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8" i="1" l="1"/>
  <c r="X209" i="1"/>
  <c r="X210" i="1"/>
  <c r="X211" i="1"/>
  <c r="K209" i="1"/>
  <c r="L209" i="1"/>
  <c r="M209" i="1"/>
  <c r="N209" i="1" s="1"/>
  <c r="V209" i="1"/>
  <c r="AA209" i="1"/>
  <c r="AB209" i="1"/>
  <c r="AC209" i="1"/>
  <c r="AD209" i="1"/>
  <c r="T209" i="1" s="1"/>
  <c r="AE209" i="1"/>
  <c r="AF209" i="1"/>
  <c r="AH209" i="1"/>
  <c r="AM209" i="1"/>
  <c r="AN209" i="1"/>
  <c r="AO209" i="1"/>
  <c r="P183" i="1"/>
  <c r="X207" i="1"/>
  <c r="AG209" i="1"/>
  <c r="AI209" i="1" l="1"/>
  <c r="U209" i="1"/>
  <c r="S209" i="1" s="1"/>
  <c r="W209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K148" i="1"/>
  <c r="L148" i="1"/>
  <c r="M148" i="1"/>
  <c r="N148" i="1" s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D5" i="6"/>
  <c r="D6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15" i="3" s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T19" i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S11" i="3" s="1"/>
  <c r="Y50" i="1"/>
  <c r="Z50" i="1"/>
  <c r="AB50" i="1"/>
  <c r="AC50" i="1"/>
  <c r="AD50" i="1"/>
  <c r="AE50" i="1"/>
  <c r="R11" i="3" s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R18" i="3" s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S12" i="3" s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AA101" i="1" s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S19" i="3" s="1"/>
  <c r="Y102" i="1"/>
  <c r="Z102" i="1"/>
  <c r="AB102" i="1"/>
  <c r="AC102" i="1"/>
  <c r="AD102" i="1"/>
  <c r="AE102" i="1"/>
  <c r="R19" i="3" s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R10" i="3" s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S16" i="3" s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P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S13" i="3" s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S9" i="3" s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9" i="1"/>
  <c r="L149" i="1"/>
  <c r="M149" i="1"/>
  <c r="N149" i="1" s="1"/>
  <c r="V149" i="1"/>
  <c r="S14" i="3" s="1"/>
  <c r="Y149" i="1"/>
  <c r="Z149" i="1"/>
  <c r="AB149" i="1"/>
  <c r="AC149" i="1"/>
  <c r="AD149" i="1"/>
  <c r="X149" i="1" s="1"/>
  <c r="AE149" i="1"/>
  <c r="R14" i="3" s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59" i="1"/>
  <c r="AM159" i="1"/>
  <c r="AN159" i="1"/>
  <c r="AO159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0" i="1"/>
  <c r="AM160" i="1"/>
  <c r="AN160" i="1"/>
  <c r="AO160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1" i="1"/>
  <c r="AM161" i="1"/>
  <c r="AN161" i="1"/>
  <c r="AO16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2" i="1"/>
  <c r="AM162" i="1"/>
  <c r="AN162" i="1"/>
  <c r="AO162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3" i="1"/>
  <c r="AM163" i="1"/>
  <c r="AN163" i="1"/>
  <c r="AO163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4" i="1"/>
  <c r="AM164" i="1"/>
  <c r="AN164" i="1"/>
  <c r="AO164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5" i="1"/>
  <c r="AM165" i="1"/>
  <c r="AN165" i="1"/>
  <c r="AO165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6" i="1"/>
  <c r="AM166" i="1"/>
  <c r="AN166" i="1"/>
  <c r="AO166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7" i="1"/>
  <c r="AM167" i="1"/>
  <c r="AN167" i="1"/>
  <c r="AO16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8" i="1"/>
  <c r="AM168" i="1"/>
  <c r="AN168" i="1"/>
  <c r="AO16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9" i="1"/>
  <c r="AM169" i="1"/>
  <c r="AN169" i="1"/>
  <c r="AO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AO17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1" i="1"/>
  <c r="AM171" i="1"/>
  <c r="AN171" i="1"/>
  <c r="AO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6" i="1"/>
  <c r="AM176" i="1"/>
  <c r="AN176" i="1"/>
  <c r="AO176" i="1"/>
  <c r="K234" i="1"/>
  <c r="L234" i="1"/>
  <c r="M234" i="1"/>
  <c r="N234" i="1" s="1"/>
  <c r="V234" i="1"/>
  <c r="S33" i="3" s="1"/>
  <c r="Y234" i="1"/>
  <c r="Z234" i="1"/>
  <c r="AB234" i="1"/>
  <c r="AC234" i="1"/>
  <c r="AD234" i="1"/>
  <c r="AE234" i="1"/>
  <c r="R33" i="3" s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S32" i="3" s="1"/>
  <c r="Y236" i="1"/>
  <c r="Z236" i="1"/>
  <c r="AB236" i="1"/>
  <c r="AC236" i="1"/>
  <c r="AD236" i="1"/>
  <c r="AE236" i="1"/>
  <c r="R32" i="3" s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2" i="1"/>
  <c r="AM182" i="1"/>
  <c r="AN182" i="1"/>
  <c r="AO182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3" i="1"/>
  <c r="AM183" i="1"/>
  <c r="AN183" i="1"/>
  <c r="AO183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4" i="1"/>
  <c r="AM184" i="1"/>
  <c r="AN184" i="1"/>
  <c r="AO184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5" i="1"/>
  <c r="AM185" i="1"/>
  <c r="AN185" i="1"/>
  <c r="AO185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6" i="1"/>
  <c r="AM186" i="1"/>
  <c r="AN186" i="1"/>
  <c r="AO186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87" i="1"/>
  <c r="AM187" i="1"/>
  <c r="AN187" i="1"/>
  <c r="AO187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8" i="1"/>
  <c r="AM188" i="1"/>
  <c r="AN188" i="1"/>
  <c r="AO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AO18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0" i="1"/>
  <c r="AM190" i="1"/>
  <c r="AN190" i="1"/>
  <c r="AO190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91" i="1"/>
  <c r="AM191" i="1"/>
  <c r="AN191" i="1"/>
  <c r="AO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AM192" i="1"/>
  <c r="AN192" i="1"/>
  <c r="AO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AM193" i="1"/>
  <c r="AN193" i="1"/>
  <c r="AO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AO19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5" i="1"/>
  <c r="AM195" i="1"/>
  <c r="AN195" i="1"/>
  <c r="AO19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6" i="1"/>
  <c r="AM196" i="1"/>
  <c r="AN196" i="1"/>
  <c r="AO19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7" i="1"/>
  <c r="AM197" i="1"/>
  <c r="AN197" i="1"/>
  <c r="AO197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98" i="1"/>
  <c r="AM198" i="1"/>
  <c r="AN198" i="1"/>
  <c r="AO19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9" i="1"/>
  <c r="AM199" i="1"/>
  <c r="AN199" i="1"/>
  <c r="AO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AO200" i="1"/>
  <c r="K173" i="1"/>
  <c r="L173" i="1"/>
  <c r="M173" i="1"/>
  <c r="V173" i="1"/>
  <c r="Y173" i="1"/>
  <c r="Z173" i="1"/>
  <c r="AB173" i="1"/>
  <c r="AC173" i="1"/>
  <c r="AD173" i="1"/>
  <c r="AE173" i="1"/>
  <c r="AF173" i="1"/>
  <c r="AH201" i="1"/>
  <c r="AM201" i="1"/>
  <c r="AN201" i="1"/>
  <c r="AO20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2" i="1"/>
  <c r="AM202" i="1"/>
  <c r="AN202" i="1"/>
  <c r="AO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AM203" i="1"/>
  <c r="AN203" i="1"/>
  <c r="AO20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AO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AO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AO20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7" i="1"/>
  <c r="AM207" i="1"/>
  <c r="AN207" i="1"/>
  <c r="AO207" i="1"/>
  <c r="K181" i="1"/>
  <c r="L181" i="1"/>
  <c r="M181" i="1"/>
  <c r="N181" i="1" s="1"/>
  <c r="V181" i="1"/>
  <c r="S24" i="3" s="1"/>
  <c r="Y181" i="1"/>
  <c r="Z181" i="1"/>
  <c r="AB181" i="1"/>
  <c r="AC181" i="1"/>
  <c r="AD181" i="1"/>
  <c r="AE181" i="1"/>
  <c r="R24" i="3" s="1"/>
  <c r="AF181" i="1"/>
  <c r="AH208" i="1"/>
  <c r="AM208" i="1"/>
  <c r="AN208" i="1"/>
  <c r="AO20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AM210" i="1"/>
  <c r="AN210" i="1"/>
  <c r="AO210" i="1"/>
  <c r="K183" i="1"/>
  <c r="L183" i="1"/>
  <c r="M183" i="1"/>
  <c r="V183" i="1"/>
  <c r="Y183" i="1"/>
  <c r="Z183" i="1"/>
  <c r="AB183" i="1"/>
  <c r="AC183" i="1"/>
  <c r="AD183" i="1"/>
  <c r="AE183" i="1"/>
  <c r="AF183" i="1"/>
  <c r="AH211" i="1"/>
  <c r="AM211" i="1"/>
  <c r="AN211" i="1"/>
  <c r="AO211" i="1"/>
  <c r="K184" i="1"/>
  <c r="L184" i="1"/>
  <c r="M184" i="1"/>
  <c r="N184" i="1" s="1"/>
  <c r="V184" i="1"/>
  <c r="S20" i="3" s="1"/>
  <c r="Y184" i="1"/>
  <c r="Z184" i="1"/>
  <c r="AB184" i="1"/>
  <c r="AC184" i="1"/>
  <c r="AD184" i="1"/>
  <c r="AE184" i="1"/>
  <c r="R21" i="3" s="1"/>
  <c r="AF184" i="1"/>
  <c r="AH212" i="1"/>
  <c r="AM212" i="1"/>
  <c r="AN212" i="1"/>
  <c r="AO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AO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AM214" i="1"/>
  <c r="AN214" i="1"/>
  <c r="AO214" i="1"/>
  <c r="K187" i="1"/>
  <c r="L187" i="1"/>
  <c r="M187" i="1"/>
  <c r="N187" i="1" s="1"/>
  <c r="V187" i="1"/>
  <c r="S25" i="3" s="1"/>
  <c r="Y187" i="1"/>
  <c r="Z187" i="1"/>
  <c r="AB187" i="1"/>
  <c r="AC187" i="1"/>
  <c r="AD187" i="1"/>
  <c r="AE187" i="1"/>
  <c r="R26" i="3" s="1"/>
  <c r="AF187" i="1"/>
  <c r="AH215" i="1"/>
  <c r="AM215" i="1"/>
  <c r="AN215" i="1"/>
  <c r="AO21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6" i="1"/>
  <c r="AM216" i="1"/>
  <c r="AN216" i="1"/>
  <c r="AO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AO21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8" i="1"/>
  <c r="AM218" i="1"/>
  <c r="AN218" i="1"/>
  <c r="AO21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9" i="1"/>
  <c r="AM219" i="1"/>
  <c r="AN219" i="1"/>
  <c r="AO219" i="1"/>
  <c r="K192" i="1"/>
  <c r="L192" i="1"/>
  <c r="M192" i="1"/>
  <c r="N192" i="1" s="1"/>
  <c r="V192" i="1"/>
  <c r="Y192" i="1"/>
  <c r="Z192" i="1"/>
  <c r="AB192" i="1"/>
  <c r="AC192" i="1"/>
  <c r="AD192" i="1"/>
  <c r="AE192" i="1"/>
  <c r="R23" i="3" s="1"/>
  <c r="AF192" i="1"/>
  <c r="AH220" i="1"/>
  <c r="AM220" i="1"/>
  <c r="AN220" i="1"/>
  <c r="AO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AO221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2" i="1"/>
  <c r="AM222" i="1"/>
  <c r="AN222" i="1"/>
  <c r="AO222" i="1"/>
  <c r="K195" i="1"/>
  <c r="L195" i="1"/>
  <c r="M195" i="1"/>
  <c r="N195" i="1" s="1"/>
  <c r="V195" i="1"/>
  <c r="Y195" i="1"/>
  <c r="Z195" i="1"/>
  <c r="AB195" i="1"/>
  <c r="AC195" i="1"/>
  <c r="AD195" i="1"/>
  <c r="AE195" i="1"/>
  <c r="R28" i="3" s="1"/>
  <c r="AF195" i="1"/>
  <c r="AH223" i="1"/>
  <c r="AM223" i="1"/>
  <c r="AN223" i="1"/>
  <c r="AO22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4" i="1"/>
  <c r="AM224" i="1"/>
  <c r="AN224" i="1"/>
  <c r="AO224" i="1"/>
  <c r="K197" i="1"/>
  <c r="L197" i="1"/>
  <c r="M197" i="1"/>
  <c r="N197" i="1" s="1"/>
  <c r="V197" i="1"/>
  <c r="S29" i="3" s="1"/>
  <c r="Y197" i="1"/>
  <c r="Z197" i="1"/>
  <c r="AB197" i="1"/>
  <c r="AC197" i="1"/>
  <c r="AD197" i="1"/>
  <c r="AE197" i="1"/>
  <c r="R29" i="3" s="1"/>
  <c r="AF197" i="1"/>
  <c r="AH225" i="1"/>
  <c r="AM225" i="1"/>
  <c r="AN225" i="1"/>
  <c r="AO22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6" i="1"/>
  <c r="AM226" i="1"/>
  <c r="AN226" i="1"/>
  <c r="AO226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7" i="1"/>
  <c r="AM227" i="1"/>
  <c r="AN227" i="1"/>
  <c r="AO22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8" i="1"/>
  <c r="AM228" i="1"/>
  <c r="AN228" i="1"/>
  <c r="AO22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9" i="1"/>
  <c r="AM229" i="1"/>
  <c r="AN229" i="1"/>
  <c r="AO22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0" i="1"/>
  <c r="AM230" i="1"/>
  <c r="AN230" i="1"/>
  <c r="AO230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1" i="1"/>
  <c r="AM231" i="1"/>
  <c r="AN231" i="1"/>
  <c r="AO23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2" i="1"/>
  <c r="AM232" i="1"/>
  <c r="AN232" i="1"/>
  <c r="AO232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3" i="1"/>
  <c r="AM233" i="1"/>
  <c r="AN233" i="1"/>
  <c r="AO233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4" i="1"/>
  <c r="AM234" i="1"/>
  <c r="AN234" i="1"/>
  <c r="AO234" i="1"/>
  <c r="AH235" i="1"/>
  <c r="AM235" i="1"/>
  <c r="AN235" i="1"/>
  <c r="AO235" i="1"/>
  <c r="K207" i="1"/>
  <c r="L207" i="1"/>
  <c r="M207" i="1"/>
  <c r="V207" i="1"/>
  <c r="Y207" i="1"/>
  <c r="Z207" i="1"/>
  <c r="AB207" i="1"/>
  <c r="AC207" i="1"/>
  <c r="AD207" i="1"/>
  <c r="AE207" i="1"/>
  <c r="AF207" i="1"/>
  <c r="AH236" i="1"/>
  <c r="AM236" i="1"/>
  <c r="AN236" i="1"/>
  <c r="AO236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7" i="1"/>
  <c r="AM237" i="1"/>
  <c r="AN237" i="1"/>
  <c r="AO237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238" i="1"/>
  <c r="AM238" i="1"/>
  <c r="AN238" i="1"/>
  <c r="AO238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9" i="1"/>
  <c r="AM239" i="1"/>
  <c r="AN239" i="1"/>
  <c r="AO239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0" i="1"/>
  <c r="AM240" i="1"/>
  <c r="AN240" i="1"/>
  <c r="AO240" i="1"/>
  <c r="K227" i="1"/>
  <c r="L227" i="1"/>
  <c r="M227" i="1"/>
  <c r="N227" i="1" s="1"/>
  <c r="V227" i="1"/>
  <c r="Y227" i="1"/>
  <c r="AA227" i="1" s="1"/>
  <c r="Z227" i="1"/>
  <c r="AB227" i="1"/>
  <c r="AC227" i="1"/>
  <c r="AD227" i="1"/>
  <c r="X227" i="1" s="1"/>
  <c r="AE227" i="1"/>
  <c r="AF227" i="1"/>
  <c r="AH241" i="1"/>
  <c r="AM241" i="1"/>
  <c r="AN241" i="1"/>
  <c r="AO241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42" i="1"/>
  <c r="AM242" i="1"/>
  <c r="AN242" i="1"/>
  <c r="AO242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43" i="1"/>
  <c r="AM243" i="1"/>
  <c r="AN243" i="1"/>
  <c r="AO243" i="1"/>
  <c r="M15" i="3"/>
  <c r="R15" i="3"/>
  <c r="U15" i="3"/>
  <c r="T15" i="3" s="1"/>
  <c r="V15" i="3"/>
  <c r="X15" i="3"/>
  <c r="M17" i="3"/>
  <c r="R17" i="3"/>
  <c r="S17" i="3"/>
  <c r="U17" i="3"/>
  <c r="V17" i="3"/>
  <c r="X17" i="3"/>
  <c r="M11" i="3"/>
  <c r="U11" i="3"/>
  <c r="AC11" i="3" s="1"/>
  <c r="V11" i="3"/>
  <c r="X11" i="3"/>
  <c r="M8" i="3"/>
  <c r="R8" i="3"/>
  <c r="S8" i="3"/>
  <c r="U8" i="3"/>
  <c r="T8" i="3" s="1"/>
  <c r="V8" i="3"/>
  <c r="X8" i="3"/>
  <c r="M7" i="3"/>
  <c r="R7" i="3"/>
  <c r="S7" i="3"/>
  <c r="U7" i="3"/>
  <c r="T7" i="3" s="1"/>
  <c r="V7" i="3"/>
  <c r="X7" i="3"/>
  <c r="M33" i="3"/>
  <c r="U33" i="3"/>
  <c r="AC33" i="3" s="1"/>
  <c r="V33" i="3"/>
  <c r="X33" i="3"/>
  <c r="M32" i="3"/>
  <c r="U32" i="3"/>
  <c r="AC32" i="3" s="1"/>
  <c r="V32" i="3"/>
  <c r="X32" i="3"/>
  <c r="M24" i="3"/>
  <c r="U24" i="3"/>
  <c r="T24" i="3" s="1"/>
  <c r="V24" i="3"/>
  <c r="X24" i="3"/>
  <c r="M18" i="3"/>
  <c r="S18" i="3"/>
  <c r="U18" i="3"/>
  <c r="T18" i="3" s="1"/>
  <c r="V18" i="3"/>
  <c r="X18" i="3"/>
  <c r="M20" i="3"/>
  <c r="U20" i="3"/>
  <c r="AD17" i="3" s="1"/>
  <c r="V20" i="3"/>
  <c r="X20" i="3"/>
  <c r="M22" i="3"/>
  <c r="U22" i="3"/>
  <c r="AC22" i="3" s="1"/>
  <c r="V22" i="3"/>
  <c r="X22" i="3"/>
  <c r="M21" i="3"/>
  <c r="S21" i="3"/>
  <c r="U21" i="3"/>
  <c r="T21" i="3" s="1"/>
  <c r="V21" i="3"/>
  <c r="X21" i="3"/>
  <c r="M12" i="3"/>
  <c r="R12" i="3"/>
  <c r="U12" i="3"/>
  <c r="T12" i="3" s="1"/>
  <c r="V12" i="3"/>
  <c r="X12" i="3"/>
  <c r="M19" i="3"/>
  <c r="U19" i="3"/>
  <c r="V19" i="3"/>
  <c r="X19" i="3"/>
  <c r="M10" i="3"/>
  <c r="S10" i="3"/>
  <c r="U10" i="3"/>
  <c r="AC10" i="3" s="1"/>
  <c r="V10" i="3"/>
  <c r="X10" i="3"/>
  <c r="M25" i="3"/>
  <c r="U25" i="3"/>
  <c r="V25" i="3"/>
  <c r="X25" i="3"/>
  <c r="M26" i="3"/>
  <c r="U26" i="3"/>
  <c r="T26" i="3" s="1"/>
  <c r="V26" i="3"/>
  <c r="X26" i="3"/>
  <c r="M23" i="3"/>
  <c r="S23" i="3"/>
  <c r="U23" i="3"/>
  <c r="V23" i="3"/>
  <c r="X23" i="3"/>
  <c r="M27" i="3"/>
  <c r="U27" i="3"/>
  <c r="AC27" i="3" s="1"/>
  <c r="V27" i="3"/>
  <c r="X27" i="3"/>
  <c r="M28" i="3"/>
  <c r="U28" i="3"/>
  <c r="T28" i="3" s="1"/>
  <c r="V28" i="3"/>
  <c r="X28" i="3"/>
  <c r="M16" i="3"/>
  <c r="R16" i="3"/>
  <c r="U16" i="3"/>
  <c r="T16" i="3" s="1"/>
  <c r="V16" i="3"/>
  <c r="X16" i="3"/>
  <c r="M29" i="3"/>
  <c r="U29" i="3"/>
  <c r="AD29" i="3" s="1"/>
  <c r="V29" i="3"/>
  <c r="X29" i="3"/>
  <c r="M13" i="3"/>
  <c r="R13" i="3"/>
  <c r="U13" i="3"/>
  <c r="AC13" i="3" s="1"/>
  <c r="V13" i="3"/>
  <c r="X13" i="3"/>
  <c r="M9" i="3"/>
  <c r="R9" i="3"/>
  <c r="U9" i="3"/>
  <c r="T9" i="3" s="1"/>
  <c r="V9" i="3"/>
  <c r="X9" i="3"/>
  <c r="M14" i="3"/>
  <c r="U14" i="3"/>
  <c r="T14" i="3" s="1"/>
  <c r="V14" i="3"/>
  <c r="X14" i="3"/>
  <c r="M30" i="3"/>
  <c r="R30" i="3"/>
  <c r="S30" i="3"/>
  <c r="U30" i="3"/>
  <c r="AD33" i="3" s="1"/>
  <c r="V30" i="3"/>
  <c r="X30" i="3"/>
  <c r="AG158" i="1"/>
  <c r="AG148" i="1"/>
  <c r="AG16" i="1"/>
  <c r="AG20" i="1"/>
  <c r="AG24" i="1"/>
  <c r="AG28" i="1"/>
  <c r="AG32" i="1"/>
  <c r="AG36" i="1"/>
  <c r="AG21" i="1"/>
  <c r="AG14" i="1"/>
  <c r="AG19" i="1"/>
  <c r="AG25" i="1"/>
  <c r="AG30" i="1"/>
  <c r="AG35" i="1"/>
  <c r="AG40" i="1"/>
  <c r="AG44" i="1"/>
  <c r="AG48" i="1"/>
  <c r="AG52" i="1"/>
  <c r="AG56" i="1"/>
  <c r="AG60" i="1"/>
  <c r="AG71" i="1"/>
  <c r="AG79" i="1"/>
  <c r="AG87" i="1"/>
  <c r="AG62" i="1"/>
  <c r="AG72" i="1"/>
  <c r="AG80" i="1"/>
  <c r="AG88" i="1"/>
  <c r="AG96" i="1"/>
  <c r="AG104" i="1"/>
  <c r="AG111" i="1"/>
  <c r="AG103" i="1"/>
  <c r="AG121" i="1"/>
  <c r="AG129" i="1"/>
  <c r="AG137" i="1"/>
  <c r="AG145" i="1"/>
  <c r="AG154" i="1"/>
  <c r="AG214" i="1"/>
  <c r="AG222" i="1"/>
  <c r="AG236" i="1"/>
  <c r="AG159" i="1"/>
  <c r="AG167" i="1"/>
  <c r="AG175" i="1"/>
  <c r="AG115" i="1"/>
  <c r="AG130" i="1"/>
  <c r="AG215" i="1"/>
  <c r="AG99" i="1"/>
  <c r="AG128" i="1"/>
  <c r="AG213" i="1"/>
  <c r="AG164" i="1"/>
  <c r="AG172" i="1"/>
  <c r="AG178" i="1"/>
  <c r="AG182" i="1"/>
  <c r="AG186" i="1"/>
  <c r="AG190" i="1"/>
  <c r="AG194" i="1"/>
  <c r="AG198" i="1"/>
  <c r="AG202" i="1"/>
  <c r="AG206" i="1"/>
  <c r="AG224" i="1"/>
  <c r="AG228" i="1"/>
  <c r="AG91" i="1"/>
  <c r="AG134" i="1"/>
  <c r="AG219" i="1"/>
  <c r="AG124" i="1"/>
  <c r="AG231" i="1"/>
  <c r="AG15" i="1"/>
  <c r="AG22" i="1"/>
  <c r="AG29" i="1"/>
  <c r="AG37" i="1"/>
  <c r="AG42" i="1"/>
  <c r="AG47" i="1"/>
  <c r="AG53" i="1"/>
  <c r="AG58" i="1"/>
  <c r="AG69" i="1"/>
  <c r="AG81" i="1"/>
  <c r="AG61" i="1"/>
  <c r="AG70" i="1"/>
  <c r="AG82" i="1"/>
  <c r="AG92" i="1"/>
  <c r="AG102" i="1"/>
  <c r="AG112" i="1"/>
  <c r="AG114" i="1"/>
  <c r="AG127" i="1"/>
  <c r="AG139" i="1"/>
  <c r="AG150" i="1"/>
  <c r="AG212" i="1"/>
  <c r="AG230" i="1"/>
  <c r="AG240" i="1"/>
  <c r="AG165" i="1"/>
  <c r="AG97" i="1"/>
  <c r="AG107" i="1"/>
  <c r="AG155" i="1"/>
  <c r="AG109" i="1"/>
  <c r="AG144" i="1"/>
  <c r="AG243" i="1"/>
  <c r="AG174" i="1"/>
  <c r="AG180" i="1"/>
  <c r="AG185" i="1"/>
  <c r="AG191" i="1"/>
  <c r="AG196" i="1"/>
  <c r="AG201" i="1"/>
  <c r="AG226" i="1"/>
  <c r="AG157" i="1"/>
  <c r="AG142" i="1"/>
  <c r="AG241" i="1"/>
  <c r="AG217" i="1"/>
  <c r="AG181" i="1"/>
  <c r="AG23" i="1"/>
  <c r="AG31" i="1"/>
  <c r="AG38" i="1"/>
  <c r="AG43" i="1"/>
  <c r="AG49" i="1"/>
  <c r="AG54" i="1"/>
  <c r="AG59" i="1"/>
  <c r="AG73" i="1"/>
  <c r="AG83" i="1"/>
  <c r="AG65" i="1"/>
  <c r="AG74" i="1"/>
  <c r="AG84" i="1"/>
  <c r="AG94" i="1"/>
  <c r="AG106" i="1"/>
  <c r="AG63" i="1"/>
  <c r="AG119" i="1"/>
  <c r="AG131" i="1"/>
  <c r="AG141" i="1"/>
  <c r="AG152" i="1"/>
  <c r="AG216" i="1"/>
  <c r="AG232" i="1"/>
  <c r="AG242" i="1"/>
  <c r="AG169" i="1"/>
  <c r="AG105" i="1"/>
  <c r="AG122" i="1"/>
  <c r="AG223" i="1"/>
  <c r="AG110" i="1"/>
  <c r="AG153" i="1"/>
  <c r="AG166" i="1"/>
  <c r="AG176" i="1"/>
  <c r="AG187" i="1"/>
  <c r="AG192" i="1"/>
  <c r="AG197" i="1"/>
  <c r="AG203" i="1"/>
  <c r="AG207" i="1"/>
  <c r="AG227" i="1"/>
  <c r="AG117" i="1"/>
  <c r="AG151" i="1"/>
  <c r="AG162" i="1"/>
  <c r="AG239" i="1"/>
  <c r="AG90" i="1"/>
  <c r="AG147" i="1"/>
  <c r="AG238" i="1"/>
  <c r="AG116" i="1"/>
  <c r="AG160" i="1"/>
  <c r="AG235" i="1"/>
  <c r="AG179" i="1"/>
  <c r="AG189" i="1"/>
  <c r="AG200" i="1"/>
  <c r="AG225" i="1"/>
  <c r="AG126" i="1"/>
  <c r="AG149" i="1"/>
  <c r="AG17" i="1"/>
  <c r="AG26" i="1"/>
  <c r="AG33" i="1"/>
  <c r="AG39" i="1"/>
  <c r="AG45" i="1"/>
  <c r="AG50" i="1"/>
  <c r="AG55" i="1"/>
  <c r="AG64" i="1"/>
  <c r="AG75" i="1"/>
  <c r="AG85" i="1"/>
  <c r="AG66" i="1"/>
  <c r="AG76" i="1"/>
  <c r="AG86" i="1"/>
  <c r="AG98" i="1"/>
  <c r="AG93" i="1"/>
  <c r="AG95" i="1"/>
  <c r="AG123" i="1"/>
  <c r="AG133" i="1"/>
  <c r="AG143" i="1"/>
  <c r="AG156" i="1"/>
  <c r="AG218" i="1"/>
  <c r="AG234" i="1"/>
  <c r="AG161" i="1"/>
  <c r="AG171" i="1"/>
  <c r="AG108" i="1"/>
  <c r="AG138" i="1"/>
  <c r="AG237" i="1"/>
  <c r="AG120" i="1"/>
  <c r="AG221" i="1"/>
  <c r="AG168" i="1"/>
  <c r="AG177" i="1"/>
  <c r="AG183" i="1"/>
  <c r="AG188" i="1"/>
  <c r="AG193" i="1"/>
  <c r="AG199" i="1"/>
  <c r="AG204" i="1"/>
  <c r="AG208" i="1"/>
  <c r="AG229" i="1"/>
  <c r="AG118" i="1"/>
  <c r="AG211" i="1"/>
  <c r="AG140" i="1"/>
  <c r="AG18" i="1"/>
  <c r="AG27" i="1"/>
  <c r="AG34" i="1"/>
  <c r="AG41" i="1"/>
  <c r="AG46" i="1"/>
  <c r="AG51" i="1"/>
  <c r="AG57" i="1"/>
  <c r="AG67" i="1"/>
  <c r="AG77" i="1"/>
  <c r="AG89" i="1"/>
  <c r="AG68" i="1"/>
  <c r="AG78" i="1"/>
  <c r="AG100" i="1"/>
  <c r="AG101" i="1"/>
  <c r="AG113" i="1"/>
  <c r="AG125" i="1"/>
  <c r="AG135" i="1"/>
  <c r="AG210" i="1"/>
  <c r="AG220" i="1"/>
  <c r="AG163" i="1"/>
  <c r="AG173" i="1"/>
  <c r="AG146" i="1"/>
  <c r="AG136" i="1"/>
  <c r="AG170" i="1"/>
  <c r="AG184" i="1"/>
  <c r="AG195" i="1"/>
  <c r="AG205" i="1"/>
  <c r="AG132" i="1"/>
  <c r="AG233" i="1"/>
  <c r="W19" i="3"/>
  <c r="W27" i="3"/>
  <c r="W11" i="3"/>
  <c r="W25" i="3"/>
  <c r="W24" i="3"/>
  <c r="W7" i="3"/>
  <c r="W33" i="3"/>
  <c r="W29" i="3"/>
  <c r="W12" i="3"/>
  <c r="W22" i="3"/>
  <c r="W16" i="3"/>
  <c r="W28" i="3"/>
  <c r="W26" i="3"/>
  <c r="W17" i="3"/>
  <c r="W23" i="3"/>
  <c r="W13" i="3"/>
  <c r="W32" i="3"/>
  <c r="W9" i="3"/>
  <c r="W21" i="3"/>
  <c r="W18" i="3"/>
  <c r="W20" i="3"/>
  <c r="W30" i="3"/>
  <c r="W14" i="3"/>
  <c r="W10" i="3"/>
  <c r="W8" i="3"/>
  <c r="W15" i="3"/>
  <c r="AD11" i="3" l="1"/>
  <c r="AA167" i="1"/>
  <c r="AA108" i="1"/>
  <c r="AA65" i="1"/>
  <c r="AA30" i="1"/>
  <c r="AA25" i="1"/>
  <c r="AA21" i="1"/>
  <c r="AA15" i="1"/>
  <c r="S22" i="3"/>
  <c r="AA226" i="1"/>
  <c r="AA175" i="1"/>
  <c r="AA114" i="1"/>
  <c r="X42" i="1"/>
  <c r="AA38" i="1"/>
  <c r="T29" i="1"/>
  <c r="AA27" i="1"/>
  <c r="AA23" i="1"/>
  <c r="AA19" i="1"/>
  <c r="X148" i="1"/>
  <c r="AD21" i="3"/>
  <c r="AD20" i="3"/>
  <c r="AA171" i="1"/>
  <c r="AA115" i="1"/>
  <c r="AA40" i="1"/>
  <c r="AA28" i="1"/>
  <c r="AA24" i="1"/>
  <c r="AA20" i="1"/>
  <c r="X158" i="1"/>
  <c r="AI158" i="1"/>
  <c r="U158" i="1"/>
  <c r="S158" i="1" s="1"/>
  <c r="W158" i="1"/>
  <c r="AC7" i="3"/>
  <c r="AE15" i="3"/>
  <c r="AD32" i="3"/>
  <c r="AD28" i="3"/>
  <c r="AD24" i="3"/>
  <c r="R25" i="3"/>
  <c r="AC20" i="3"/>
  <c r="AD15" i="3"/>
  <c r="AI148" i="1"/>
  <c r="U148" i="1"/>
  <c r="S148" i="1" s="1"/>
  <c r="W148" i="1"/>
  <c r="R22" i="3"/>
  <c r="AC24" i="3"/>
  <c r="AC30" i="3"/>
  <c r="AC9" i="3"/>
  <c r="AC29" i="3"/>
  <c r="AE23" i="3"/>
  <c r="AC21" i="3"/>
  <c r="AE11" i="3"/>
  <c r="AC15" i="3"/>
  <c r="AA225" i="1"/>
  <c r="X206" i="1"/>
  <c r="AA203" i="1"/>
  <c r="X202" i="1"/>
  <c r="AA199" i="1"/>
  <c r="X198" i="1"/>
  <c r="AA195" i="1"/>
  <c r="X194" i="1"/>
  <c r="AA191" i="1"/>
  <c r="X190" i="1"/>
  <c r="AA187" i="1"/>
  <c r="X186" i="1"/>
  <c r="AA183" i="1"/>
  <c r="X182" i="1"/>
  <c r="AA179" i="1"/>
  <c r="X178" i="1"/>
  <c r="AA173" i="1"/>
  <c r="AA165" i="1"/>
  <c r="AA160" i="1"/>
  <c r="AA159" i="1"/>
  <c r="AA240" i="1"/>
  <c r="AA237" i="1"/>
  <c r="AA236" i="1"/>
  <c r="AA232" i="1"/>
  <c r="AA223" i="1"/>
  <c r="AA222" i="1"/>
  <c r="AA218" i="1"/>
  <c r="AA215" i="1"/>
  <c r="AA214" i="1"/>
  <c r="AA210" i="1"/>
  <c r="AA155" i="1"/>
  <c r="AA154" i="1"/>
  <c r="AA150" i="1"/>
  <c r="AA146" i="1"/>
  <c r="AA145" i="1"/>
  <c r="AA141" i="1"/>
  <c r="AA138" i="1"/>
  <c r="AA137" i="1"/>
  <c r="AA133" i="1"/>
  <c r="AA130" i="1"/>
  <c r="AA129" i="1"/>
  <c r="AA125" i="1"/>
  <c r="AA122" i="1"/>
  <c r="AA121" i="1"/>
  <c r="AA117" i="1"/>
  <c r="AA106" i="1"/>
  <c r="AA105" i="1"/>
  <c r="AA99" i="1"/>
  <c r="AA87" i="1"/>
  <c r="AA82" i="1"/>
  <c r="AA81" i="1"/>
  <c r="AA76" i="1"/>
  <c r="AA71" i="1"/>
  <c r="AA63" i="1"/>
  <c r="AA36" i="1"/>
  <c r="AA29" i="1"/>
  <c r="T42" i="1"/>
  <c r="AA208" i="1"/>
  <c r="AA205" i="1"/>
  <c r="X204" i="1"/>
  <c r="AA201" i="1"/>
  <c r="X200" i="1"/>
  <c r="AA197" i="1"/>
  <c r="X196" i="1"/>
  <c r="AA193" i="1"/>
  <c r="X192" i="1"/>
  <c r="AA189" i="1"/>
  <c r="X188" i="1"/>
  <c r="AA185" i="1"/>
  <c r="X184" i="1"/>
  <c r="AA181" i="1"/>
  <c r="X180" i="1"/>
  <c r="AA177" i="1"/>
  <c r="AA169" i="1"/>
  <c r="AA161" i="1"/>
  <c r="AA243" i="1"/>
  <c r="AA242" i="1"/>
  <c r="AA238" i="1"/>
  <c r="AA235" i="1"/>
  <c r="AA234" i="1"/>
  <c r="AA230" i="1"/>
  <c r="AA221" i="1"/>
  <c r="AA220" i="1"/>
  <c r="AA216" i="1"/>
  <c r="AA213" i="1"/>
  <c r="AA212" i="1"/>
  <c r="AA156" i="1"/>
  <c r="AA153" i="1"/>
  <c r="AA152" i="1"/>
  <c r="AA147" i="1"/>
  <c r="AA144" i="1"/>
  <c r="AA143" i="1"/>
  <c r="AA139" i="1"/>
  <c r="AA136" i="1"/>
  <c r="AA135" i="1"/>
  <c r="AA131" i="1"/>
  <c r="AA128" i="1"/>
  <c r="AA127" i="1"/>
  <c r="AA123" i="1"/>
  <c r="AA120" i="1"/>
  <c r="AA119" i="1"/>
  <c r="AA113" i="1"/>
  <c r="AA112" i="1"/>
  <c r="AA90" i="1"/>
  <c r="AA89" i="1"/>
  <c r="AA84" i="1"/>
  <c r="AA79" i="1"/>
  <c r="AA74" i="1"/>
  <c r="AA73" i="1"/>
  <c r="AA68" i="1"/>
  <c r="AA62" i="1"/>
  <c r="AA42" i="1"/>
  <c r="AA39" i="1"/>
  <c r="X38" i="1"/>
  <c r="R27" i="3"/>
  <c r="X57" i="1"/>
  <c r="T57" i="1"/>
  <c r="X53" i="1"/>
  <c r="T53" i="1"/>
  <c r="X49" i="1"/>
  <c r="T49" i="1"/>
  <c r="X45" i="1"/>
  <c r="T45" i="1"/>
  <c r="X226" i="1"/>
  <c r="S26" i="3"/>
  <c r="R20" i="3"/>
  <c r="AA102" i="1"/>
  <c r="AA61" i="1"/>
  <c r="X60" i="1"/>
  <c r="T60" i="1"/>
  <c r="X56" i="1"/>
  <c r="T56" i="1"/>
  <c r="X52" i="1"/>
  <c r="T52" i="1"/>
  <c r="X48" i="1"/>
  <c r="T48" i="1"/>
  <c r="X44" i="1"/>
  <c r="T44" i="1"/>
  <c r="X225" i="1"/>
  <c r="AA207" i="1"/>
  <c r="AA204" i="1"/>
  <c r="X203" i="1"/>
  <c r="AA200" i="1"/>
  <c r="X199" i="1"/>
  <c r="AA196" i="1"/>
  <c r="X195" i="1"/>
  <c r="AA192" i="1"/>
  <c r="X191" i="1"/>
  <c r="AA188" i="1"/>
  <c r="X187" i="1"/>
  <c r="AA184" i="1"/>
  <c r="X183" i="1"/>
  <c r="AA180" i="1"/>
  <c r="X179" i="1"/>
  <c r="AA176" i="1"/>
  <c r="AA174" i="1"/>
  <c r="AA172" i="1"/>
  <c r="AA170" i="1"/>
  <c r="AA168" i="1"/>
  <c r="AA166" i="1"/>
  <c r="AA164" i="1"/>
  <c r="AA116" i="1"/>
  <c r="AA111" i="1"/>
  <c r="AA104" i="1"/>
  <c r="AA103" i="1"/>
  <c r="AA98" i="1"/>
  <c r="X58" i="1"/>
  <c r="T58" i="1"/>
  <c r="X54" i="1"/>
  <c r="T54" i="1"/>
  <c r="X50" i="1"/>
  <c r="T50" i="1"/>
  <c r="X46" i="1"/>
  <c r="T46" i="1"/>
  <c r="T36" i="1"/>
  <c r="T18" i="1"/>
  <c r="X19" i="1"/>
  <c r="X18" i="1"/>
  <c r="T16" i="1"/>
  <c r="X17" i="1"/>
  <c r="X16" i="1"/>
  <c r="T14" i="1"/>
  <c r="X15" i="1"/>
  <c r="S27" i="3"/>
  <c r="S28" i="3"/>
  <c r="AA100" i="1"/>
  <c r="X59" i="1"/>
  <c r="T59" i="1"/>
  <c r="X55" i="1"/>
  <c r="T55" i="1"/>
  <c r="X51" i="1"/>
  <c r="T51" i="1"/>
  <c r="X47" i="1"/>
  <c r="T47" i="1"/>
  <c r="X43" i="1"/>
  <c r="T43" i="1"/>
  <c r="AA93" i="1"/>
  <c r="AA91" i="1"/>
  <c r="AA83" i="1"/>
  <c r="AA75" i="1"/>
  <c r="AA67" i="1"/>
  <c r="AA64" i="1"/>
  <c r="AA224" i="1"/>
  <c r="AA206" i="1"/>
  <c r="X205" i="1"/>
  <c r="AA202" i="1"/>
  <c r="X201" i="1"/>
  <c r="AA198" i="1"/>
  <c r="X197" i="1"/>
  <c r="AA194" i="1"/>
  <c r="X193" i="1"/>
  <c r="AA190" i="1"/>
  <c r="X189" i="1"/>
  <c r="AA186" i="1"/>
  <c r="X185" i="1"/>
  <c r="AA182" i="1"/>
  <c r="X181" i="1"/>
  <c r="AA178" i="1"/>
  <c r="X177" i="1"/>
  <c r="AA110" i="1"/>
  <c r="AA109" i="1"/>
  <c r="AA96" i="1"/>
  <c r="AA95" i="1"/>
  <c r="AA86" i="1"/>
  <c r="AA85" i="1"/>
  <c r="AA78" i="1"/>
  <c r="AA77" i="1"/>
  <c r="AA70" i="1"/>
  <c r="AA69" i="1"/>
  <c r="AA41" i="1"/>
  <c r="AA35" i="1"/>
  <c r="AA34" i="1"/>
  <c r="AA33" i="1"/>
  <c r="AA88" i="1"/>
  <c r="AA80" i="1"/>
  <c r="AA72" i="1"/>
  <c r="X61" i="1"/>
  <c r="AA37" i="1"/>
  <c r="AA32" i="1"/>
  <c r="AA31" i="1"/>
  <c r="AA18" i="1"/>
  <c r="AA16" i="1"/>
  <c r="AA14" i="1"/>
  <c r="AI182" i="1"/>
  <c r="AI174" i="1"/>
  <c r="AI166" i="1"/>
  <c r="AI149" i="1"/>
  <c r="AI140" i="1"/>
  <c r="AI124" i="1"/>
  <c r="AI190" i="1"/>
  <c r="AI184" i="1"/>
  <c r="AI176" i="1"/>
  <c r="AI168" i="1"/>
  <c r="AI160" i="1"/>
  <c r="AI151" i="1"/>
  <c r="AI142" i="1"/>
  <c r="AI134" i="1"/>
  <c r="AI126" i="1"/>
  <c r="AI118" i="1"/>
  <c r="AI117" i="1"/>
  <c r="AI91" i="1"/>
  <c r="W91" i="1"/>
  <c r="AI157" i="1"/>
  <c r="AI132" i="1"/>
  <c r="U229" i="1"/>
  <c r="S229" i="1" s="1"/>
  <c r="AI243" i="1"/>
  <c r="U228" i="1"/>
  <c r="S228" i="1" s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8" i="1"/>
  <c r="AI207" i="1"/>
  <c r="AI206" i="1"/>
  <c r="AI205" i="1"/>
  <c r="AI204" i="1"/>
  <c r="AI202" i="1"/>
  <c r="AI200" i="1"/>
  <c r="AI198" i="1"/>
  <c r="AI196" i="1"/>
  <c r="AI194" i="1"/>
  <c r="AI192" i="1"/>
  <c r="AI186" i="1"/>
  <c r="AI178" i="1"/>
  <c r="AI170" i="1"/>
  <c r="AI162" i="1"/>
  <c r="AI153" i="1"/>
  <c r="AI144" i="1"/>
  <c r="AI136" i="1"/>
  <c r="AI128" i="1"/>
  <c r="AI120" i="1"/>
  <c r="AI110" i="1"/>
  <c r="AI109" i="1"/>
  <c r="AI99" i="1"/>
  <c r="W99" i="1"/>
  <c r="AI188" i="1"/>
  <c r="AI180" i="1"/>
  <c r="AI172" i="1"/>
  <c r="AI164" i="1"/>
  <c r="AI155" i="1"/>
  <c r="AI146" i="1"/>
  <c r="AI138" i="1"/>
  <c r="AI130" i="1"/>
  <c r="AI122" i="1"/>
  <c r="AI107" i="1"/>
  <c r="W107" i="1"/>
  <c r="AI116" i="1"/>
  <c r="AI115" i="1"/>
  <c r="AI108" i="1"/>
  <c r="AI105" i="1"/>
  <c r="AI97" i="1"/>
  <c r="AI203" i="1"/>
  <c r="AI201" i="1"/>
  <c r="AI199" i="1"/>
  <c r="AI197" i="1"/>
  <c r="AI195" i="1"/>
  <c r="AI193" i="1"/>
  <c r="AI191" i="1"/>
  <c r="AI189" i="1"/>
  <c r="W161" i="1"/>
  <c r="AI187" i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6" i="1"/>
  <c r="AI154" i="1"/>
  <c r="AI152" i="1"/>
  <c r="AI150" i="1"/>
  <c r="AI147" i="1"/>
  <c r="AI145" i="1"/>
  <c r="AI143" i="1"/>
  <c r="AI141" i="1"/>
  <c r="AI139" i="1"/>
  <c r="AI137" i="1"/>
  <c r="AI135" i="1"/>
  <c r="AI133" i="1"/>
  <c r="AI131" i="1"/>
  <c r="AI129" i="1"/>
  <c r="AI127" i="1"/>
  <c r="AI125" i="1"/>
  <c r="AI123" i="1"/>
  <c r="AI121" i="1"/>
  <c r="AI119" i="1"/>
  <c r="AI114" i="1"/>
  <c r="AI113" i="1"/>
  <c r="AI103" i="1"/>
  <c r="AI95" i="1"/>
  <c r="U63" i="1"/>
  <c r="S63" i="1" s="1"/>
  <c r="AI63" i="1"/>
  <c r="AI112" i="1"/>
  <c r="AI111" i="1"/>
  <c r="AI101" i="1"/>
  <c r="W101" i="1"/>
  <c r="AI93" i="1"/>
  <c r="W93" i="1"/>
  <c r="AI106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AI70" i="1"/>
  <c r="AI68" i="1"/>
  <c r="AI66" i="1"/>
  <c r="U66" i="1"/>
  <c r="S66" i="1" s="1"/>
  <c r="AI62" i="1"/>
  <c r="U62" i="1"/>
  <c r="S62" i="1" s="1"/>
  <c r="U65" i="1"/>
  <c r="S65" i="1" s="1"/>
  <c r="AI65" i="1"/>
  <c r="U61" i="1"/>
  <c r="S61" i="1" s="1"/>
  <c r="AI61" i="1"/>
  <c r="AI89" i="1"/>
  <c r="W89" i="1"/>
  <c r="AI87" i="1"/>
  <c r="W87" i="1"/>
  <c r="AI85" i="1"/>
  <c r="AI83" i="1"/>
  <c r="AI81" i="1"/>
  <c r="W81" i="1"/>
  <c r="AI79" i="1"/>
  <c r="W79" i="1"/>
  <c r="AI77" i="1"/>
  <c r="AI75" i="1"/>
  <c r="W75" i="1"/>
  <c r="AI73" i="1"/>
  <c r="W73" i="1"/>
  <c r="AI71" i="1"/>
  <c r="W71" i="1"/>
  <c r="AI69" i="1"/>
  <c r="AI67" i="1"/>
  <c r="W67" i="1"/>
  <c r="U64" i="1"/>
  <c r="S64" i="1" s="1"/>
  <c r="AI64" i="1"/>
  <c r="AI60" i="1"/>
  <c r="U60" i="1"/>
  <c r="S60" i="1" s="1"/>
  <c r="AI59" i="1"/>
  <c r="U59" i="1"/>
  <c r="S59" i="1" s="1"/>
  <c r="AI58" i="1"/>
  <c r="U58" i="1"/>
  <c r="S58" i="1" s="1"/>
  <c r="AI57" i="1"/>
  <c r="U57" i="1"/>
  <c r="S57" i="1" s="1"/>
  <c r="AI56" i="1"/>
  <c r="U56" i="1"/>
  <c r="S56" i="1" s="1"/>
  <c r="AI55" i="1"/>
  <c r="U55" i="1"/>
  <c r="S55" i="1" s="1"/>
  <c r="AI54" i="1"/>
  <c r="U54" i="1"/>
  <c r="S54" i="1" s="1"/>
  <c r="AI53" i="1"/>
  <c r="U53" i="1"/>
  <c r="S53" i="1" s="1"/>
  <c r="AI52" i="1"/>
  <c r="U52" i="1"/>
  <c r="S52" i="1" s="1"/>
  <c r="AI51" i="1"/>
  <c r="U51" i="1"/>
  <c r="S51" i="1" s="1"/>
  <c r="AI50" i="1"/>
  <c r="U50" i="1"/>
  <c r="S50" i="1" s="1"/>
  <c r="AI49" i="1"/>
  <c r="U49" i="1"/>
  <c r="S49" i="1" s="1"/>
  <c r="AI48" i="1"/>
  <c r="U48" i="1"/>
  <c r="S48" i="1" s="1"/>
  <c r="AI47" i="1"/>
  <c r="U47" i="1"/>
  <c r="S47" i="1" s="1"/>
  <c r="AI46" i="1"/>
  <c r="U46" i="1"/>
  <c r="AI45" i="1"/>
  <c r="U45" i="1"/>
  <c r="S45" i="1" s="1"/>
  <c r="AI44" i="1"/>
  <c r="U44" i="1"/>
  <c r="S44" i="1" s="1"/>
  <c r="AI43" i="1"/>
  <c r="U43" i="1"/>
  <c r="S43" i="1" s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AI34" i="1"/>
  <c r="AI33" i="1"/>
  <c r="U33" i="1"/>
  <c r="S33" i="1" s="1"/>
  <c r="AI32" i="1"/>
  <c r="AI31" i="1"/>
  <c r="U31" i="1"/>
  <c r="S31" i="1" s="1"/>
  <c r="AI30" i="1"/>
  <c r="AI29" i="1"/>
  <c r="U29" i="1"/>
  <c r="S29" i="1" s="1"/>
  <c r="AI28" i="1"/>
  <c r="AI27" i="1"/>
  <c r="AI26" i="1"/>
  <c r="AI25" i="1"/>
  <c r="AI24" i="1"/>
  <c r="AI23" i="1"/>
  <c r="AI22" i="1"/>
  <c r="AI21" i="1"/>
  <c r="AI20" i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8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11" i="1"/>
  <c r="W229" i="1"/>
  <c r="W225" i="1"/>
  <c r="W206" i="1"/>
  <c r="W204" i="1"/>
  <c r="W200" i="1"/>
  <c r="W195" i="1"/>
  <c r="W193" i="1"/>
  <c r="W191" i="1"/>
  <c r="W188" i="1"/>
  <c r="W187" i="1"/>
  <c r="W185" i="1"/>
  <c r="W184" i="1"/>
  <c r="W182" i="1"/>
  <c r="W156" i="1"/>
  <c r="W131" i="1"/>
  <c r="T102" i="1"/>
  <c r="U102" i="1" s="1"/>
  <c r="S102" i="1" s="1"/>
  <c r="X102" i="1"/>
  <c r="W85" i="1"/>
  <c r="W64" i="1"/>
  <c r="T226" i="1"/>
  <c r="U226" i="1" s="1"/>
  <c r="S226" i="1" s="1"/>
  <c r="T208" i="1"/>
  <c r="U208" i="1" s="1"/>
  <c r="S208" i="1" s="1"/>
  <c r="T206" i="1"/>
  <c r="U206" i="1" s="1"/>
  <c r="S206" i="1" s="1"/>
  <c r="T204" i="1"/>
  <c r="U204" i="1" s="1"/>
  <c r="S204" i="1" s="1"/>
  <c r="T201" i="1"/>
  <c r="U201" i="1" s="1"/>
  <c r="S201" i="1" s="1"/>
  <c r="T198" i="1"/>
  <c r="U198" i="1" s="1"/>
  <c r="S198" i="1" s="1"/>
  <c r="T195" i="1"/>
  <c r="U195" i="1" s="1"/>
  <c r="S195" i="1" s="1"/>
  <c r="T192" i="1"/>
  <c r="U192" i="1" s="1"/>
  <c r="S192" i="1" s="1"/>
  <c r="T189" i="1"/>
  <c r="U189" i="1" s="1"/>
  <c r="S189" i="1" s="1"/>
  <c r="T186" i="1"/>
  <c r="U186" i="1" s="1"/>
  <c r="S186" i="1" s="1"/>
  <c r="T183" i="1"/>
  <c r="U183" i="1" s="1"/>
  <c r="S183" i="1" s="1"/>
  <c r="T181" i="1"/>
  <c r="U181" i="1" s="1"/>
  <c r="S181" i="1" s="1"/>
  <c r="T180" i="1"/>
  <c r="U180" i="1" s="1"/>
  <c r="S180" i="1" s="1"/>
  <c r="T179" i="1"/>
  <c r="U179" i="1" s="1"/>
  <c r="S179" i="1" s="1"/>
  <c r="T178" i="1"/>
  <c r="U178" i="1" s="1"/>
  <c r="S178" i="1" s="1"/>
  <c r="T177" i="1"/>
  <c r="U177" i="1" s="1"/>
  <c r="S177" i="1" s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W160" i="1"/>
  <c r="W240" i="1"/>
  <c r="W237" i="1"/>
  <c r="W232" i="1"/>
  <c r="W223" i="1"/>
  <c r="W218" i="1"/>
  <c r="W215" i="1"/>
  <c r="W210" i="1"/>
  <c r="W155" i="1"/>
  <c r="W150" i="1"/>
  <c r="W146" i="1"/>
  <c r="W141" i="1"/>
  <c r="W138" i="1"/>
  <c r="W133" i="1"/>
  <c r="W130" i="1"/>
  <c r="W125" i="1"/>
  <c r="W122" i="1"/>
  <c r="W112" i="1"/>
  <c r="W109" i="1"/>
  <c r="T108" i="1"/>
  <c r="U108" i="1" s="1"/>
  <c r="S108" i="1" s="1"/>
  <c r="X108" i="1"/>
  <c r="W96" i="1"/>
  <c r="W95" i="1"/>
  <c r="W92" i="1"/>
  <c r="T86" i="1"/>
  <c r="U86" i="1" s="1"/>
  <c r="S86" i="1" s="1"/>
  <c r="X86" i="1"/>
  <c r="W76" i="1"/>
  <c r="T70" i="1"/>
  <c r="U70" i="1" s="1"/>
  <c r="S70" i="1" s="1"/>
  <c r="X70" i="1"/>
  <c r="W62" i="1"/>
  <c r="W226" i="1"/>
  <c r="W224" i="1"/>
  <c r="W208" i="1"/>
  <c r="W207" i="1"/>
  <c r="W205" i="1"/>
  <c r="W203" i="1"/>
  <c r="W202" i="1"/>
  <c r="W201" i="1"/>
  <c r="W199" i="1"/>
  <c r="W198" i="1"/>
  <c r="W197" i="1"/>
  <c r="W196" i="1"/>
  <c r="W194" i="1"/>
  <c r="W192" i="1"/>
  <c r="W190" i="1"/>
  <c r="W189" i="1"/>
  <c r="W186" i="1"/>
  <c r="W183" i="1"/>
  <c r="W181" i="1"/>
  <c r="W180" i="1"/>
  <c r="W179" i="1"/>
  <c r="W178" i="1"/>
  <c r="W177" i="1"/>
  <c r="T162" i="1"/>
  <c r="U162" i="1" s="1"/>
  <c r="S162" i="1" s="1"/>
  <c r="X162" i="1"/>
  <c r="W243" i="1"/>
  <c r="W238" i="1"/>
  <c r="W235" i="1"/>
  <c r="W230" i="1"/>
  <c r="W221" i="1"/>
  <c r="W216" i="1"/>
  <c r="W213" i="1"/>
  <c r="W153" i="1"/>
  <c r="W147" i="1"/>
  <c r="W144" i="1"/>
  <c r="W139" i="1"/>
  <c r="W136" i="1"/>
  <c r="W128" i="1"/>
  <c r="W123" i="1"/>
  <c r="W120" i="1"/>
  <c r="W117" i="1"/>
  <c r="T116" i="1"/>
  <c r="U116" i="1" s="1"/>
  <c r="S116" i="1" s="1"/>
  <c r="X116" i="1"/>
  <c r="W113" i="1"/>
  <c r="W110" i="1"/>
  <c r="W108" i="1"/>
  <c r="W69" i="1"/>
  <c r="T227" i="1"/>
  <c r="U227" i="1" s="1"/>
  <c r="S227" i="1" s="1"/>
  <c r="T225" i="1"/>
  <c r="U225" i="1" s="1"/>
  <c r="S225" i="1" s="1"/>
  <c r="T224" i="1"/>
  <c r="U224" i="1" s="1"/>
  <c r="S224" i="1" s="1"/>
  <c r="T207" i="1"/>
  <c r="U207" i="1" s="1"/>
  <c r="T205" i="1"/>
  <c r="U205" i="1" s="1"/>
  <c r="S205" i="1" s="1"/>
  <c r="T203" i="1"/>
  <c r="U203" i="1" s="1"/>
  <c r="S203" i="1" s="1"/>
  <c r="T202" i="1"/>
  <c r="U202" i="1" s="1"/>
  <c r="S202" i="1" s="1"/>
  <c r="T200" i="1"/>
  <c r="U200" i="1" s="1"/>
  <c r="S200" i="1" s="1"/>
  <c r="T199" i="1"/>
  <c r="U199" i="1" s="1"/>
  <c r="S199" i="1" s="1"/>
  <c r="T197" i="1"/>
  <c r="U197" i="1" s="1"/>
  <c r="S197" i="1" s="1"/>
  <c r="T196" i="1"/>
  <c r="U196" i="1" s="1"/>
  <c r="S196" i="1" s="1"/>
  <c r="T194" i="1"/>
  <c r="U194" i="1" s="1"/>
  <c r="S194" i="1" s="1"/>
  <c r="T193" i="1"/>
  <c r="U193" i="1" s="1"/>
  <c r="S193" i="1" s="1"/>
  <c r="T191" i="1"/>
  <c r="U191" i="1" s="1"/>
  <c r="S191" i="1" s="1"/>
  <c r="T190" i="1"/>
  <c r="U190" i="1" s="1"/>
  <c r="S190" i="1" s="1"/>
  <c r="T188" i="1"/>
  <c r="U188" i="1" s="1"/>
  <c r="S188" i="1" s="1"/>
  <c r="T187" i="1"/>
  <c r="U187" i="1" s="1"/>
  <c r="S187" i="1" s="1"/>
  <c r="T185" i="1"/>
  <c r="U185" i="1" s="1"/>
  <c r="S185" i="1" s="1"/>
  <c r="T184" i="1"/>
  <c r="U184" i="1" s="1"/>
  <c r="S184" i="1" s="1"/>
  <c r="T182" i="1"/>
  <c r="U182" i="1" s="1"/>
  <c r="S182" i="1" s="1"/>
  <c r="X229" i="1"/>
  <c r="X228" i="1"/>
  <c r="W242" i="1"/>
  <c r="AA239" i="1"/>
  <c r="W239" i="1" s="1"/>
  <c r="W234" i="1"/>
  <c r="AA231" i="1"/>
  <c r="W231" i="1" s="1"/>
  <c r="W220" i="1"/>
  <c r="AA217" i="1"/>
  <c r="W217" i="1" s="1"/>
  <c r="W212" i="1"/>
  <c r="AA157" i="1"/>
  <c r="W157" i="1" s="1"/>
  <c r="W152" i="1"/>
  <c r="AA149" i="1"/>
  <c r="W149" i="1" s="1"/>
  <c r="W143" i="1"/>
  <c r="AA140" i="1"/>
  <c r="W140" i="1" s="1"/>
  <c r="W135" i="1"/>
  <c r="AA132" i="1"/>
  <c r="W132" i="1" s="1"/>
  <c r="W127" i="1"/>
  <c r="AA124" i="1"/>
  <c r="W124" i="1" s="1"/>
  <c r="W119" i="1"/>
  <c r="W114" i="1"/>
  <c r="W104" i="1"/>
  <c r="W103" i="1"/>
  <c r="W100" i="1"/>
  <c r="W97" i="1"/>
  <c r="W94" i="1"/>
  <c r="W77" i="1"/>
  <c r="W227" i="1"/>
  <c r="AA162" i="1"/>
  <c r="W162" i="1" s="1"/>
  <c r="W159" i="1"/>
  <c r="AA241" i="1"/>
  <c r="W241" i="1" s="1"/>
  <c r="W236" i="1"/>
  <c r="AA233" i="1"/>
  <c r="W233" i="1" s="1"/>
  <c r="W222" i="1"/>
  <c r="AA219" i="1"/>
  <c r="W219" i="1" s="1"/>
  <c r="W214" i="1"/>
  <c r="AA211" i="1"/>
  <c r="W211" i="1" s="1"/>
  <c r="W154" i="1"/>
  <c r="AA151" i="1"/>
  <c r="W151" i="1" s="1"/>
  <c r="W145" i="1"/>
  <c r="AA142" i="1"/>
  <c r="W142" i="1" s="1"/>
  <c r="W137" i="1"/>
  <c r="AA134" i="1"/>
  <c r="W134" i="1" s="1"/>
  <c r="W129" i="1"/>
  <c r="AA126" i="1"/>
  <c r="W126" i="1" s="1"/>
  <c r="W121" i="1"/>
  <c r="AA118" i="1"/>
  <c r="W118" i="1" s="1"/>
  <c r="W116" i="1"/>
  <c r="W115" i="1"/>
  <c r="W105" i="1"/>
  <c r="W102" i="1"/>
  <c r="T94" i="1"/>
  <c r="U94" i="1" s="1"/>
  <c r="S94" i="1" s="1"/>
  <c r="X94" i="1"/>
  <c r="W84" i="1"/>
  <c r="W83" i="1"/>
  <c r="T78" i="1"/>
  <c r="U78" i="1" s="1"/>
  <c r="S78" i="1" s="1"/>
  <c r="X78" i="1"/>
  <c r="W68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T242" i="1"/>
  <c r="U242" i="1" s="1"/>
  <c r="S242" i="1" s="1"/>
  <c r="X242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2" i="1"/>
  <c r="U222" i="1" s="1"/>
  <c r="S222" i="1" s="1"/>
  <c r="X222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T156" i="1"/>
  <c r="U156" i="1" s="1"/>
  <c r="S156" i="1" s="1"/>
  <c r="X156" i="1"/>
  <c r="T154" i="1"/>
  <c r="U154" i="1" s="1"/>
  <c r="S154" i="1" s="1"/>
  <c r="X154" i="1"/>
  <c r="T152" i="1"/>
  <c r="U152" i="1" s="1"/>
  <c r="S152" i="1" s="1"/>
  <c r="X152" i="1"/>
  <c r="T150" i="1"/>
  <c r="U150" i="1" s="1"/>
  <c r="S150" i="1" s="1"/>
  <c r="X150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4" i="1"/>
  <c r="U114" i="1" s="1"/>
  <c r="S114" i="1" s="1"/>
  <c r="X114" i="1"/>
  <c r="W106" i="1"/>
  <c r="T100" i="1"/>
  <c r="U100" i="1" s="1"/>
  <c r="S100" i="1" s="1"/>
  <c r="X100" i="1"/>
  <c r="W98" i="1"/>
  <c r="T92" i="1"/>
  <c r="U92" i="1" s="1"/>
  <c r="S92" i="1" s="1"/>
  <c r="X92" i="1"/>
  <c r="W90" i="1"/>
  <c r="T84" i="1"/>
  <c r="U84" i="1" s="1"/>
  <c r="S84" i="1" s="1"/>
  <c r="X84" i="1"/>
  <c r="W82" i="1"/>
  <c r="T76" i="1"/>
  <c r="U76" i="1" s="1"/>
  <c r="S76" i="1" s="1"/>
  <c r="X76" i="1"/>
  <c r="W74" i="1"/>
  <c r="T68" i="1"/>
  <c r="U68" i="1" s="1"/>
  <c r="S68" i="1" s="1"/>
  <c r="X68" i="1"/>
  <c r="W66" i="1"/>
  <c r="W63" i="1"/>
  <c r="T112" i="1"/>
  <c r="U112" i="1" s="1"/>
  <c r="S112" i="1" s="1"/>
  <c r="X112" i="1"/>
  <c r="T106" i="1"/>
  <c r="U106" i="1" s="1"/>
  <c r="S106" i="1" s="1"/>
  <c r="X106" i="1"/>
  <c r="T98" i="1"/>
  <c r="U98" i="1" s="1"/>
  <c r="S98" i="1" s="1"/>
  <c r="X98" i="1"/>
  <c r="T90" i="1"/>
  <c r="U90" i="1" s="1"/>
  <c r="S90" i="1" s="1"/>
  <c r="X90" i="1"/>
  <c r="W88" i="1"/>
  <c r="T82" i="1"/>
  <c r="U82" i="1" s="1"/>
  <c r="S82" i="1" s="1"/>
  <c r="X82" i="1"/>
  <c r="W80" i="1"/>
  <c r="T74" i="1"/>
  <c r="U74" i="1" s="1"/>
  <c r="S74" i="1" s="1"/>
  <c r="X74" i="1"/>
  <c r="W72" i="1"/>
  <c r="W61" i="1"/>
  <c r="T160" i="1"/>
  <c r="U160" i="1" s="1"/>
  <c r="S160" i="1" s="1"/>
  <c r="X160" i="1"/>
  <c r="T243" i="1"/>
  <c r="U243" i="1" s="1"/>
  <c r="S243" i="1" s="1"/>
  <c r="X243" i="1"/>
  <c r="T241" i="1"/>
  <c r="U241" i="1" s="1"/>
  <c r="S241" i="1" s="1"/>
  <c r="X241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3" i="1"/>
  <c r="U223" i="1" s="1"/>
  <c r="S223" i="1" s="1"/>
  <c r="X223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0" i="1"/>
  <c r="U110" i="1" s="1"/>
  <c r="S110" i="1" s="1"/>
  <c r="X110" i="1"/>
  <c r="T104" i="1"/>
  <c r="U104" i="1" s="1"/>
  <c r="S104" i="1" s="1"/>
  <c r="X104" i="1"/>
  <c r="T96" i="1"/>
  <c r="U96" i="1" s="1"/>
  <c r="S96" i="1" s="1"/>
  <c r="X96" i="1"/>
  <c r="T88" i="1"/>
  <c r="U88" i="1" s="1"/>
  <c r="S88" i="1" s="1"/>
  <c r="X88" i="1"/>
  <c r="W86" i="1"/>
  <c r="T80" i="1"/>
  <c r="U80" i="1" s="1"/>
  <c r="S80" i="1" s="1"/>
  <c r="X80" i="1"/>
  <c r="W78" i="1"/>
  <c r="T72" i="1"/>
  <c r="U72" i="1" s="1"/>
  <c r="S72" i="1" s="1"/>
  <c r="X72" i="1"/>
  <c r="W70" i="1"/>
  <c r="W65" i="1"/>
  <c r="X39" i="1"/>
  <c r="T39" i="1"/>
  <c r="U39" i="1" s="1"/>
  <c r="S39" i="1" s="1"/>
  <c r="X40" i="1"/>
  <c r="T30" i="1"/>
  <c r="U30" i="1" s="1"/>
  <c r="S30" i="1" s="1"/>
  <c r="X30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W37" i="1"/>
  <c r="W36" i="1"/>
  <c r="AA60" i="1"/>
  <c r="W60" i="1" s="1"/>
  <c r="AA59" i="1"/>
  <c r="W59" i="1" s="1"/>
  <c r="AA58" i="1"/>
  <c r="W58" i="1" s="1"/>
  <c r="AA57" i="1"/>
  <c r="W57" i="1" s="1"/>
  <c r="AA56" i="1"/>
  <c r="W56" i="1" s="1"/>
  <c r="AA55" i="1"/>
  <c r="W55" i="1" s="1"/>
  <c r="AA54" i="1"/>
  <c r="W54" i="1" s="1"/>
  <c r="AA53" i="1"/>
  <c r="W53" i="1" s="1"/>
  <c r="AA52" i="1"/>
  <c r="W52" i="1" s="1"/>
  <c r="AA51" i="1"/>
  <c r="W51" i="1" s="1"/>
  <c r="AA50" i="1"/>
  <c r="W50" i="1" s="1"/>
  <c r="AA49" i="1"/>
  <c r="W49" i="1" s="1"/>
  <c r="AA48" i="1"/>
  <c r="W48" i="1" s="1"/>
  <c r="AA47" i="1"/>
  <c r="W47" i="1" s="1"/>
  <c r="AA46" i="1"/>
  <c r="W46" i="1" s="1"/>
  <c r="AA45" i="1"/>
  <c r="W45" i="1" s="1"/>
  <c r="AA44" i="1"/>
  <c r="W44" i="1" s="1"/>
  <c r="AA43" i="1"/>
  <c r="W43" i="1" s="1"/>
  <c r="X41" i="1"/>
  <c r="T41" i="1"/>
  <c r="U41" i="1" s="1"/>
  <c r="S41" i="1" s="1"/>
  <c r="W39" i="1"/>
  <c r="W38" i="1"/>
  <c r="T32" i="1"/>
  <c r="U32" i="1" s="1"/>
  <c r="S32" i="1" s="1"/>
  <c r="X32" i="1"/>
  <c r="X31" i="1"/>
  <c r="X66" i="1"/>
  <c r="X65" i="1"/>
  <c r="X64" i="1"/>
  <c r="X63" i="1"/>
  <c r="X62" i="1"/>
  <c r="W42" i="1"/>
  <c r="X37" i="1"/>
  <c r="T37" i="1"/>
  <c r="U37" i="1" s="1"/>
  <c r="S37" i="1" s="1"/>
  <c r="W35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W41" i="1"/>
  <c r="W40" i="1"/>
  <c r="X35" i="1"/>
  <c r="T35" i="1"/>
  <c r="U35" i="1" s="1"/>
  <c r="S35" i="1" s="1"/>
  <c r="T34" i="1"/>
  <c r="U34" i="1" s="1"/>
  <c r="S34" i="1" s="1"/>
  <c r="X34" i="1"/>
  <c r="X33" i="1"/>
  <c r="W33" i="1"/>
  <c r="W31" i="1"/>
  <c r="W29" i="1"/>
  <c r="W27" i="1"/>
  <c r="T27" i="1"/>
  <c r="U27" i="1" s="1"/>
  <c r="S27" i="1" s="1"/>
  <c r="W25" i="1"/>
  <c r="T25" i="1"/>
  <c r="U25" i="1" s="1"/>
  <c r="S25" i="1" s="1"/>
  <c r="W23" i="1"/>
  <c r="T23" i="1"/>
  <c r="U23" i="1" s="1"/>
  <c r="S23" i="1" s="1"/>
  <c r="W21" i="1"/>
  <c r="T21" i="1"/>
  <c r="U21" i="1" s="1"/>
  <c r="S21" i="1" s="1"/>
  <c r="W19" i="1"/>
  <c r="W17" i="1"/>
  <c r="W15" i="1"/>
  <c r="W34" i="1"/>
  <c r="W32" i="1"/>
  <c r="W30" i="1"/>
  <c r="W28" i="1"/>
  <c r="W26" i="1"/>
  <c r="W24" i="1"/>
  <c r="W22" i="1"/>
  <c r="W20" i="1"/>
  <c r="W18" i="1"/>
  <c r="W16" i="1"/>
  <c r="W14" i="1"/>
  <c r="AD25" i="3"/>
  <c r="AD19" i="3"/>
  <c r="AE19" i="3"/>
  <c r="AD16" i="3"/>
  <c r="AC16" i="3"/>
  <c r="AE27" i="3"/>
  <c r="AC26" i="3"/>
  <c r="AD23" i="3"/>
  <c r="AD13" i="3"/>
  <c r="AD9" i="3"/>
  <c r="AD27" i="3"/>
  <c r="AD12" i="3"/>
  <c r="AD8" i="3"/>
  <c r="AC25" i="3"/>
  <c r="T25" i="3"/>
  <c r="AC18" i="3"/>
  <c r="AC14" i="3"/>
  <c r="AC19" i="3"/>
  <c r="AC28" i="3"/>
  <c r="AC23" i="3"/>
  <c r="AC12" i="3"/>
  <c r="AC8" i="3"/>
  <c r="AC17" i="3"/>
  <c r="Y26" i="3"/>
  <c r="Y18" i="3"/>
  <c r="Y7" i="3"/>
  <c r="Y15" i="3"/>
  <c r="Y28" i="3"/>
  <c r="Y21" i="3"/>
  <c r="Y24" i="3"/>
  <c r="Y8" i="3"/>
  <c r="Y16" i="3"/>
  <c r="Y9" i="3"/>
  <c r="Y25" i="3"/>
  <c r="Y10" i="3"/>
  <c r="Y22" i="3"/>
  <c r="Y32" i="3"/>
  <c r="Y11" i="3"/>
  <c r="Y14" i="3"/>
  <c r="Y12" i="3"/>
  <c r="Y13" i="3"/>
  <c r="Y27" i="3"/>
  <c r="Y30" i="3"/>
  <c r="Y29" i="3"/>
  <c r="Y23" i="3"/>
  <c r="Y19" i="3"/>
  <c r="Y20" i="3"/>
  <c r="Y33" i="3"/>
  <c r="Y17" i="3"/>
  <c r="AE26" i="3"/>
  <c r="AE18" i="3"/>
  <c r="T22" i="3"/>
  <c r="AE14" i="3"/>
  <c r="T32" i="3"/>
  <c r="AE10" i="3"/>
  <c r="T11" i="3"/>
  <c r="AE33" i="3"/>
  <c r="T30" i="3"/>
  <c r="AE29" i="3"/>
  <c r="T29" i="3"/>
  <c r="AE25" i="3"/>
  <c r="T23" i="3"/>
  <c r="AD22" i="3"/>
  <c r="AE21" i="3"/>
  <c r="T19" i="3"/>
  <c r="AD18" i="3"/>
  <c r="AE17" i="3"/>
  <c r="T20" i="3"/>
  <c r="AD14" i="3"/>
  <c r="AE13" i="3"/>
  <c r="T33" i="3"/>
  <c r="AD10" i="3"/>
  <c r="AE9" i="3"/>
  <c r="T17" i="3"/>
  <c r="AE30" i="3"/>
  <c r="T13" i="3"/>
  <c r="T27" i="3"/>
  <c r="AE22" i="3"/>
  <c r="T10" i="3"/>
  <c r="AD30" i="3"/>
  <c r="AD26" i="3"/>
  <c r="AE32" i="3"/>
  <c r="AE28" i="3"/>
  <c r="AE24" i="3"/>
  <c r="AE20" i="3"/>
  <c r="AE16" i="3"/>
  <c r="AE12" i="3"/>
  <c r="AE8" i="3"/>
  <c r="S31" i="3"/>
  <c r="R31" i="3"/>
  <c r="M31" i="3"/>
  <c r="U31" i="3"/>
  <c r="V31" i="3"/>
  <c r="X31" i="3"/>
  <c r="AC31" i="3" l="1"/>
  <c r="AE31" i="3"/>
  <c r="AD31" i="3"/>
  <c r="W31" i="3"/>
  <c r="T31" i="3" l="1"/>
  <c r="Y31" i="3"/>
  <c r="M30" i="5" l="1"/>
  <c r="M29" i="5"/>
  <c r="M28" i="5"/>
  <c r="M27" i="5"/>
  <c r="M26" i="5"/>
  <c r="B3" i="6" l="1"/>
  <c r="B5" i="6" l="1"/>
  <c r="B4" i="6" l="1"/>
  <c r="D4" i="6" s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14" i="3" s="1"/>
  <c r="G227" i="4"/>
  <c r="G228" i="4"/>
  <c r="G229" i="4"/>
  <c r="G230" i="4"/>
  <c r="G231" i="4"/>
  <c r="N30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15" i="3" s="1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17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1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8" i="3" s="1"/>
  <c r="G77" i="4"/>
  <c r="G78" i="4"/>
  <c r="G79" i="4"/>
  <c r="G80" i="4"/>
  <c r="G81" i="4"/>
  <c r="G82" i="4"/>
  <c r="N7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33" i="3" s="1"/>
  <c r="G96" i="4"/>
  <c r="G97" i="4"/>
  <c r="G98" i="4"/>
  <c r="G99" i="4"/>
  <c r="G100" i="4"/>
  <c r="G101" i="4"/>
  <c r="G102" i="4"/>
  <c r="G103" i="4"/>
  <c r="N32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8" i="3" s="1"/>
  <c r="G121" i="4"/>
  <c r="G122" i="4"/>
  <c r="N24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9" i="3" s="1"/>
  <c r="G139" i="4"/>
  <c r="G140" i="4"/>
  <c r="G141" i="4"/>
  <c r="N12" i="3" s="1"/>
  <c r="G142" i="4"/>
  <c r="G143" i="4"/>
  <c r="G144" i="4"/>
  <c r="G145" i="4"/>
  <c r="G146" i="4"/>
  <c r="G147" i="4"/>
  <c r="G148" i="4"/>
  <c r="G149" i="4"/>
  <c r="N10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23" i="3" s="1"/>
  <c r="G168" i="4"/>
  <c r="G169" i="4"/>
  <c r="G170" i="4"/>
  <c r="G171" i="4"/>
  <c r="N16" i="3" s="1"/>
  <c r="G172" i="4"/>
  <c r="G173" i="4"/>
  <c r="G174" i="4"/>
  <c r="G175" i="4"/>
  <c r="G176" i="4"/>
  <c r="G177" i="4"/>
  <c r="G178" i="4"/>
  <c r="G179" i="4"/>
  <c r="G180" i="4"/>
  <c r="G181" i="4"/>
  <c r="G182" i="4"/>
  <c r="N29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3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9" i="3" s="1"/>
  <c r="G223" i="4"/>
  <c r="G2" i="4"/>
  <c r="N28" i="3" l="1"/>
  <c r="N27" i="3"/>
  <c r="N21" i="3"/>
  <c r="N20" i="3"/>
  <c r="N22" i="3"/>
  <c r="N26" i="3"/>
  <c r="N25" i="3"/>
  <c r="N3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<sst xmlns="http://schemas.openxmlformats.org/spreadsheetml/2006/main" count="2677" uniqueCount="1030">
  <si>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</si>
  <si>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</si>
  <si>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</si>
  <si>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</si>
  <si>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</si>
  <si>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</si>
  <si>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</si>
  <si>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</si>
  <si>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</si>
  <si>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</si>
  <si>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</si>
  <si>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</si>
  <si>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</si>
  <si>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</si>
  <si>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</si>
  <si>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</si>
  <si>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</si>
  <si>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</si>
  <si>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</si>
  <si>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</si>
  <si>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</si>
  <si>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</si>
  <si>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</si>
  <si>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</si>
  <si>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</si>
  <si>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</si>
  <si>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</si>
  <si>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</si>
  <si>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</si>
  <si>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</si>
  <si>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</si>
  <si>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</si>
  <si>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</si>
  <si>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</si>
  <si>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</si>
  <si>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</si>
  <si>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</si>
  <si>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</si>
  <si>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</si>
  <si>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</si>
  <si>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</si>
  <si>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</si>
  <si>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</si>
  <si>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</si>
  <si>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</si>
  <si>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</si>
  <si>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</si>
  <si>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</si>
  <si>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</si>
  <si>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</si>
  <si>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</si>
  <si>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</si>
  <si>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</si>
  <si>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</si>
  <si>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</si>
  <si>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</si>
  <si>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</si>
  <si>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</si>
  <si>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</si>
  <si>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</si>
  <si>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</si>
  <si>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</si>
  <si>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</si>
  <si>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</si>
  <si>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</si>
  <si>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</si>
  <si>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</si>
  <si>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</si>
  <si>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</si>
  <si>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</si>
  <si>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</si>
  <si>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</si>
  <si>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</si>
  <si>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</si>
  <si>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</si>
  <si>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</si>
  <si>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</si>
  <si>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</si>
  <si>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</si>
  <si>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</si>
  <si>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</si>
  <si>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</si>
  <si>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</si>
  <si>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</si>
  <si>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</si>
  <si>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</si>
  <si>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</si>
  <si>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</si>
  <si>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</si>
  <si>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</si>
  <si>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</si>
  <si>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</si>
  <si>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</si>
  <si>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</si>
  <si>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</si>
  <si>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</si>
  <si>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</si>
  <si>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</si>
  <si>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</si>
  <si>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</si>
  <si>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</si>
  <si>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</si>
  <si>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</si>
  <si>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</si>
  <si>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</si>
  <si>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</si>
  <si>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</si>
  <si>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</si>
  <si>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</si>
  <si>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</si>
  <si>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</si>
  <si>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</si>
  <si>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</si>
  <si>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</si>
  <si>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</si>
  <si>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</si>
  <si>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</si>
  <si>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</si>
  <si>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</si>
  <si>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</si>
  <si>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</si>
  <si>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</si>
  <si>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</si>
  <si>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</si>
  <si>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</si>
  <si>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</si>
  <si>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</si>
  <si>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</si>
  <si>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</si>
  <si>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</si>
  <si>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</si>
  <si>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</si>
  <si>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</si>
  <si>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</si>
  <si>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</si>
  <si>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</si>
  <si>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</si>
  <si>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</si>
  <si>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</si>
  <si>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</si>
  <si>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</si>
  <si>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</si>
  <si>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</si>
  <si>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</si>
  <si>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</si>
  <si>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</si>
  <si>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</si>
  <si>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</si>
  <si>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</si>
  <si>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</si>
  <si>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</si>
  <si>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</si>
  <si>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</si>
  <si>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</si>
  <si>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</si>
  <si>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</si>
  <si>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</si>
  <si>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</si>
  <si>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</si>
  <si>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</si>
  <si>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</si>
  <si>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</si>
  <si>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</si>
  <si>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</si>
  <si>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</si>
  <si>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</si>
  <si>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</si>
  <si>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</si>
  <si>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</si>
  <si>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</si>
  <si>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</si>
  <si>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</si>
  <si>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</si>
  <si>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</si>
  <si>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</si>
  <si>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</si>
  <si>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</si>
  <si>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</si>
  <si>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</si>
  <si>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</si>
  <si>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</si>
  <si>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</si>
  <si>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</si>
  <si>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</si>
  <si>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</si>
  <si>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</si>
  <si>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</si>
  <si>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</si>
  <si>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</si>
  <si>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</si>
  <si>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</si>
  <si>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</si>
  <si>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</si>
  <si>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</si>
  <si>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</si>
  <si>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</si>
  <si>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</si>
  <si>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</si>
  <si>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</si>
  <si>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</si>
  <si>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</si>
  <si>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</si>
  <si>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</si>
  <si>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</si>
  <si>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</si>
  <si>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</si>
  <si>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</si>
  <si>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</si>
  <si>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</si>
  <si>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</si>
  <si>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</si>
  <si>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</si>
  <si>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</si>
  <si>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</si>
  <si>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</si>
  <si>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</si>
  <si>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</si>
  <si>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</si>
  <si>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</si>
  <si>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</si>
  <si>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</si>
  <si>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</si>
  <si>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</si>
  <si>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</si>
  <si>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</si>
  <si>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</si>
  <si>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</si>
  <si>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</si>
  <si>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</si>
  <si>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</si>
  <si>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</si>
  <si>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</si>
  <si>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</si>
  <si>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</si>
  <si>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</si>
  <si>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</si>
  <si>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</si>
  <si>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</si>
  <si>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</si>
  <si>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</si>
  <si>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</si>
  <si>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</si>
  <si>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</si>
  <si>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</si>
  <si>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</si>
  <si>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</si>
  <si>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</si>
  <si>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</si>
  <si>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</si>
  <si>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</si>
  <si>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</si>
  <si>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</si>
  <si>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</si>
  <si>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</si>
  <si>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</si>
  <si>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</si>
  <si>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</si>
  <si>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</si>
  <si>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</si>
  <si>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</si>
  <si>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</si>
  <si>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</si>
  <si>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</si>
  <si>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</si>
  <si>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</si>
  <si>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</si>
  <si>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</si>
  <si>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</si>
  <si>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</si>
  <si>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</si>
  <si>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</si>
  <si>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</si>
  <si>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</si>
  <si>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</si>
  <si>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</si>
  <si>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</si>
  <si>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</si>
  <si>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</si>
  <si>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</si>
  <si>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</si>
  <si>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</si>
  <si>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</si>
  <si>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</si>
  <si>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</si>
  <si>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</si>
  <si>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</si>
  <si>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</si>
  <si>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</si>
  <si>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</si>
  <si>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</si>
  <si>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</si>
  <si>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</si>
  <si>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</si>
  <si>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</si>
  <si>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</si>
  <si>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</si>
  <si>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</si>
  <si>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</si>
  <si>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</si>
  <si>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</si>
  <si>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</si>
  <si>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</si>
  <si>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</si>
  <si>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</si>
  <si>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</si>
  <si>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</si>
  <si>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</si>
  <si>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</si>
  <si>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</si>
  <si>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</si>
  <si>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</si>
  <si>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</si>
  <si>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</si>
  <si>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</si>
  <si>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</si>
  <si>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</si>
  <si>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</si>
  <si>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</si>
  <si>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</si>
  <si>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</si>
  <si>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</si>
  <si>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</si>
  <si>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</si>
  <si>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</si>
  <si>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</si>
  <si>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</si>
  <si>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</si>
  <si>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</si>
  <si>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</si>
  <si>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</si>
  <si>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</si>
  <si>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</si>
  <si>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</si>
  <si>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</si>
  <si>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</si>
  <si>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</si>
  <si>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</si>
  <si>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</si>
  <si>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</si>
  <si>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</si>
  <si>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</si>
  <si>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</si>
  <si>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</si>
  <si>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</si>
  <si>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</si>
  <si>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</si>
  <si>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</si>
  <si>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</si>
  <si>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</si>
  <si>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</si>
  <si>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</si>
  <si>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</si>
  <si>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</si>
  <si>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</si>
  <si>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</si>
  <si>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</si>
  <si>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</si>
  <si>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</si>
  <si>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</si>
  <si>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</si>
  <si>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</si>
  <si>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</si>
  <si>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</si>
  <si>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</si>
  <si>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</si>
  <si>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</si>
  <si>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</si>
  <si>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</si>
  <si>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</si>
  <si>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</si>
  <si>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</si>
  <si>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</si>
  <si>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</si>
  <si>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</si>
  <si>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</si>
  <si>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</si>
  <si>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</si>
  <si>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</si>
  <si>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</si>
  <si>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</si>
  <si>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</si>
  <si>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</si>
  <si>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</si>
  <si>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</si>
  <si>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</si>
  <si>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</si>
  <si>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</si>
  <si>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</si>
  <si>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</si>
  <si>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</si>
  <si>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</si>
  <si>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</si>
  <si>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</si>
  <si>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</si>
  <si>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</si>
  <si>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MICHAEL</t>
  </si>
  <si>
    <t>204:233308</t>
  </si>
  <si>
    <t>204:233302</t>
  </si>
  <si>
    <t>204:160</t>
  </si>
  <si>
    <t>204:233336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</si>
  <si>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</si>
  <si>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</si>
  <si>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</si>
  <si>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</si>
  <si>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</si>
  <si>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</si>
  <si>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</si>
  <si>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</si>
  <si>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</si>
  <si>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</si>
  <si>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</si>
  <si>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</si>
  <si>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</si>
  <si>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</si>
  <si>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204:233314</t>
  </si>
  <si>
    <t>%REDMINEAPIKEY%</t>
  </si>
  <si>
    <t>rtdc.l.rtdc.4036:itc</t>
  </si>
  <si>
    <t>204:163</t>
  </si>
  <si>
    <t>204:232977</t>
  </si>
  <si>
    <t>204:464</t>
  </si>
  <si>
    <t>204:232991</t>
  </si>
  <si>
    <t>rtdc.l.rtdc.4052:itc</t>
  </si>
  <si>
    <t>rtdc.l.rtdc.4051:itc</t>
  </si>
  <si>
    <t>rtdc.l.rtdc.4046:itc</t>
  </si>
  <si>
    <t>STEWART</t>
  </si>
  <si>
    <t>204:232985</t>
  </si>
  <si>
    <t>204:165</t>
  </si>
  <si>
    <t>204:233303</t>
  </si>
  <si>
    <t>204:232994</t>
  </si>
  <si>
    <t>rtdc.l.rtdc.4035:itc</t>
  </si>
  <si>
    <t>clear-day</t>
  </si>
  <si>
    <t>204:442</t>
  </si>
  <si>
    <t>204:232965</t>
  </si>
  <si>
    <t>204:449</t>
  </si>
  <si>
    <t>204:462</t>
  </si>
  <si>
    <t>204:233310</t>
  </si>
  <si>
    <t>204:232989</t>
  </si>
  <si>
    <t>204:233289</t>
  </si>
  <si>
    <t>204:232987</t>
  </si>
  <si>
    <t>300:23346</t>
  </si>
  <si>
    <t>204:976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</si>
  <si>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</si>
  <si>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</si>
  <si>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</si>
  <si>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</si>
  <si>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</si>
  <si>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</si>
  <si>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</si>
  <si>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rtdc.l.rtdc.4031:itc</t>
  </si>
  <si>
    <t>rtdc.l.rtdc.4002:itc</t>
  </si>
  <si>
    <t>KILLION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</si>
  <si>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</si>
  <si>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</si>
  <si>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</si>
  <si>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</si>
  <si>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</si>
  <si>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</si>
  <si>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</si>
  <si>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</si>
  <si>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</si>
  <si>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</si>
  <si>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</si>
  <si>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</si>
  <si>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</si>
  <si>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</si>
  <si>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</si>
  <si>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</si>
  <si>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</si>
  <si>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</si>
  <si>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204:138</t>
  </si>
  <si>
    <t>204:232978</t>
  </si>
  <si>
    <t>204:440</t>
  </si>
  <si>
    <t>204:233019</t>
  </si>
  <si>
    <t>204:169</t>
  </si>
  <si>
    <t>204:444</t>
  </si>
  <si>
    <t>204:433</t>
  </si>
  <si>
    <t>300:58935</t>
  </si>
  <si>
    <t>rtdc.l.rtdc.4030:itc</t>
  </si>
  <si>
    <t>rtdc.l.rtdc.4042:itc</t>
  </si>
  <si>
    <t>rtdc.l.rtdc.4057:itc</t>
  </si>
  <si>
    <t>rtdc.l.rtdc.4025:itc</t>
  </si>
  <si>
    <t>rtdc.l.rtdc.4003:itc</t>
  </si>
  <si>
    <t>MAELZER</t>
  </si>
  <si>
    <t>KURT</t>
  </si>
  <si>
    <t>rtdc.l.rtdc.4026:itc</t>
  </si>
  <si>
    <t>WILLIAMS</t>
  </si>
  <si>
    <t>DONTE</t>
  </si>
  <si>
    <t>CASSIDY</t>
  </si>
  <si>
    <t>BRANDON</t>
  </si>
  <si>
    <t>GONZALEZ</t>
  </si>
  <si>
    <t>ARMANDO</t>
  </si>
  <si>
    <t>rtdc.l.rtdc.4058:itc</t>
  </si>
  <si>
    <t>BADERTSCHER</t>
  </si>
  <si>
    <t>DIANE</t>
  </si>
  <si>
    <t>THOMAS</t>
  </si>
  <si>
    <t>WEST</t>
  </si>
  <si>
    <t>BRYAN</t>
  </si>
  <si>
    <t>ELBAUM</t>
  </si>
  <si>
    <t>MIKE</t>
  </si>
  <si>
    <t>307-12</t>
  </si>
  <si>
    <t>244-12</t>
  </si>
  <si>
    <t>309-12</t>
  </si>
  <si>
    <t>311-12</t>
  </si>
  <si>
    <t>204:233349</t>
  </si>
  <si>
    <t>204:233023</t>
  </si>
  <si>
    <t>204:233299</t>
  </si>
  <si>
    <t>204:233317</t>
  </si>
  <si>
    <t>204:232969</t>
  </si>
  <si>
    <t>204:482</t>
  </si>
  <si>
    <t>204:232981</t>
  </si>
  <si>
    <t>204:136</t>
  </si>
  <si>
    <t>204:233332</t>
  </si>
  <si>
    <t>204:232973</t>
  </si>
  <si>
    <t>204:233281</t>
  </si>
  <si>
    <t>204:232986</t>
  </si>
  <si>
    <t>204:232970</t>
  </si>
  <si>
    <t>204:233329</t>
  </si>
  <si>
    <t>204:141</t>
  </si>
  <si>
    <t>204:974</t>
  </si>
  <si>
    <t>300:58617</t>
  </si>
  <si>
    <t>Wi-MAX data drop</t>
  </si>
  <si>
    <t>rtdc.l.rtdc.4016:itc</t>
  </si>
  <si>
    <t>rtdc.l.rtdc.4007:itc</t>
  </si>
  <si>
    <t>309-15</t>
  </si>
  <si>
    <t>244-15</t>
  </si>
  <si>
    <t>rtdc.l.rtdc.4018:itc</t>
  </si>
  <si>
    <t>BARRON</t>
  </si>
  <si>
    <t>PERLA</t>
  </si>
  <si>
    <t>THOMPSON</t>
  </si>
  <si>
    <t>LESTER</t>
  </si>
  <si>
    <t>LALONDE</t>
  </si>
  <si>
    <t>GREGORY</t>
  </si>
  <si>
    <t>MACDONALD</t>
  </si>
  <si>
    <t>LAMAR</t>
  </si>
  <si>
    <t>NEKESHA</t>
  </si>
  <si>
    <t>RESPASS</t>
  </si>
  <si>
    <t>AARON</t>
  </si>
  <si>
    <t>SAFIEF</t>
  </si>
  <si>
    <t>AEIMEN</t>
  </si>
  <si>
    <t>GUZMAN</t>
  </si>
  <si>
    <t>DANNY</t>
  </si>
  <si>
    <t>rtdc.l.rtdc.4044:itc</t>
  </si>
  <si>
    <t>SMITH</t>
  </si>
  <si>
    <t>rtdc.l.rtdc.4008:itc</t>
  </si>
  <si>
    <t>rtdc.l.rtdc.4006:itc</t>
  </si>
  <si>
    <t>307-15</t>
  </si>
  <si>
    <t>311-15</t>
  </si>
  <si>
    <t>204:233021</t>
  </si>
  <si>
    <t>204:233274</t>
  </si>
  <si>
    <t>204:232971</t>
  </si>
  <si>
    <t>204:233027</t>
  </si>
  <si>
    <t>204:478</t>
  </si>
  <si>
    <t>204:233319</t>
  </si>
  <si>
    <t>204:233006</t>
  </si>
  <si>
    <t>204:233009</t>
  </si>
  <si>
    <t>204:233000</t>
  </si>
  <si>
    <t>204:233295</t>
  </si>
  <si>
    <t>204:233297</t>
  </si>
  <si>
    <t>204:233304</t>
  </si>
  <si>
    <t>204:167</t>
  </si>
  <si>
    <t>204:232983</t>
  </si>
  <si>
    <t>204:233028</t>
  </si>
  <si>
    <t>204:233315</t>
  </si>
  <si>
    <t>300:58596</t>
  </si>
  <si>
    <t>204:988</t>
  </si>
  <si>
    <t>204:731</t>
  </si>
  <si>
    <t>300:58937</t>
  </si>
  <si>
    <t>300:58611</t>
  </si>
  <si>
    <t>204:978</t>
  </si>
  <si>
    <t>204:232979</t>
  </si>
  <si>
    <t>204:233351</t>
  </si>
  <si>
    <t>204:1160</t>
  </si>
  <si>
    <t>204:233344</t>
  </si>
  <si>
    <t>204:233334</t>
  </si>
  <si>
    <t>300:23306</t>
  </si>
  <si>
    <t>300:23301</t>
  </si>
  <si>
    <t>300:23589</t>
  </si>
  <si>
    <t>300:24224</t>
  </si>
  <si>
    <t>204:1477</t>
  </si>
  <si>
    <t>901-16</t>
  </si>
  <si>
    <t>rtdc.l.rtdc.4029:itc</t>
  </si>
  <si>
    <t>104-16</t>
  </si>
  <si>
    <t>125-16</t>
  </si>
  <si>
    <t>rtdc.l.rtdc.4060:itc</t>
  </si>
  <si>
    <t>137-16</t>
  </si>
  <si>
    <t>rtdc.l.rtdc.4017:itc</t>
  </si>
  <si>
    <t>140-16</t>
  </si>
  <si>
    <t>153-16</t>
  </si>
  <si>
    <t>rtdc.l.rtdc.4005:itc</t>
  </si>
  <si>
    <t>56-16</t>
  </si>
  <si>
    <t>58-16</t>
  </si>
  <si>
    <t>rtdc.l.rtdc.4050:itc</t>
  </si>
  <si>
    <t>821-16</t>
  </si>
  <si>
    <t>175-16</t>
  </si>
  <si>
    <t>rtdc.l.rtdc.4049:itc</t>
  </si>
  <si>
    <t>824-16</t>
  </si>
  <si>
    <t>186-16</t>
  </si>
  <si>
    <t>189-16</t>
  </si>
  <si>
    <t>190-16</t>
  </si>
  <si>
    <t>827-16</t>
  </si>
  <si>
    <t>832-16</t>
  </si>
  <si>
    <t>835-16</t>
  </si>
  <si>
    <t>204-16</t>
  </si>
  <si>
    <t>837-16</t>
  </si>
  <si>
    <t>222-16</t>
  </si>
  <si>
    <t>230-16</t>
  </si>
  <si>
    <t>rtdc.l.rtdc.4020:itc</t>
  </si>
  <si>
    <t>235-16</t>
  </si>
  <si>
    <t>849-16</t>
  </si>
  <si>
    <t>300-16</t>
  </si>
  <si>
    <t>51-16</t>
  </si>
  <si>
    <t>ACKERMAN</t>
  </si>
  <si>
    <t>JARED</t>
  </si>
  <si>
    <t>101-16</t>
  </si>
  <si>
    <t>302-16</t>
  </si>
  <si>
    <t>LANGERAK</t>
  </si>
  <si>
    <t>WILLIAM</t>
  </si>
  <si>
    <t>52-16</t>
  </si>
  <si>
    <t>103-16</t>
  </si>
  <si>
    <t>304-16</t>
  </si>
  <si>
    <t>rtdc.l.rtdc.4019:itc</t>
  </si>
  <si>
    <t>306-16</t>
  </si>
  <si>
    <t>105-16</t>
  </si>
  <si>
    <t>102-16</t>
  </si>
  <si>
    <t>rtdc.l.rtdc.4059:itc</t>
  </si>
  <si>
    <t>308-16</t>
  </si>
  <si>
    <t>107-16</t>
  </si>
  <si>
    <t>109-16</t>
  </si>
  <si>
    <t>rtdc.l.rtdc.4009:itc</t>
  </si>
  <si>
    <t>310-16</t>
  </si>
  <si>
    <t>YANG</t>
  </si>
  <si>
    <t>JAN</t>
  </si>
  <si>
    <t>106-16</t>
  </si>
  <si>
    <t>111-16</t>
  </si>
  <si>
    <t>800-16</t>
  </si>
  <si>
    <t>rtdc.l.rtdc.4010:itc</t>
  </si>
  <si>
    <t>113-16</t>
  </si>
  <si>
    <t>108-16</t>
  </si>
  <si>
    <t>rtdc.l.rtdc.4023:itc</t>
  </si>
  <si>
    <t>312-16</t>
  </si>
  <si>
    <t>115-16</t>
  </si>
  <si>
    <t>110-16</t>
  </si>
  <si>
    <t>801-16</t>
  </si>
  <si>
    <t>rtdc.l.rtdc.4024:itc</t>
  </si>
  <si>
    <t>117-16</t>
  </si>
  <si>
    <t>902-16</t>
  </si>
  <si>
    <t>YANAI</t>
  </si>
  <si>
    <t>IAN</t>
  </si>
  <si>
    <t>119-16</t>
  </si>
  <si>
    <t>802-16</t>
  </si>
  <si>
    <t>112-16</t>
  </si>
  <si>
    <t>803-16</t>
  </si>
  <si>
    <t>114-16</t>
  </si>
  <si>
    <t>121-16</t>
  </si>
  <si>
    <t>116-16</t>
  </si>
  <si>
    <t>123-16</t>
  </si>
  <si>
    <t>804-16</t>
  </si>
  <si>
    <t>118-16</t>
  </si>
  <si>
    <t>805-16</t>
  </si>
  <si>
    <t>120-16</t>
  </si>
  <si>
    <t>122-16</t>
  </si>
  <si>
    <t>127-16</t>
  </si>
  <si>
    <t>806-16</t>
  </si>
  <si>
    <t>807-16</t>
  </si>
  <si>
    <t>129-16</t>
  </si>
  <si>
    <t>STARKS</t>
  </si>
  <si>
    <t>ANGELINA</t>
  </si>
  <si>
    <t>124-16</t>
  </si>
  <si>
    <t>808-16</t>
  </si>
  <si>
    <t>131-16</t>
  </si>
  <si>
    <t>133-16</t>
  </si>
  <si>
    <t>809-16</t>
  </si>
  <si>
    <t>126-16</t>
  </si>
  <si>
    <t>128-16</t>
  </si>
  <si>
    <t>810-16</t>
  </si>
  <si>
    <t>135-16</t>
  </si>
  <si>
    <t>130-16</t>
  </si>
  <si>
    <t>811-16</t>
  </si>
  <si>
    <t>132-16</t>
  </si>
  <si>
    <t>812-16</t>
  </si>
  <si>
    <t>139-16</t>
  </si>
  <si>
    <t>903-16</t>
  </si>
  <si>
    <t>134-16</t>
  </si>
  <si>
    <t>136-16</t>
  </si>
  <si>
    <t>141-16</t>
  </si>
  <si>
    <t>813-16</t>
  </si>
  <si>
    <t>143-16</t>
  </si>
  <si>
    <t>138-16</t>
  </si>
  <si>
    <t>145-16</t>
  </si>
  <si>
    <t>147-16</t>
  </si>
  <si>
    <t>814-16</t>
  </si>
  <si>
    <t>142-16</t>
  </si>
  <si>
    <t>144-16</t>
  </si>
  <si>
    <t>149-16</t>
  </si>
  <si>
    <t>54-16</t>
  </si>
  <si>
    <t>151-16</t>
  </si>
  <si>
    <t>815-16</t>
  </si>
  <si>
    <t>146-16</t>
  </si>
  <si>
    <t>148-16</t>
  </si>
  <si>
    <t>55-16</t>
  </si>
  <si>
    <t>BEAM</t>
  </si>
  <si>
    <t>ROSS</t>
  </si>
  <si>
    <t>155-16</t>
  </si>
  <si>
    <t>816-16</t>
  </si>
  <si>
    <t>150-16</t>
  </si>
  <si>
    <t>157-16</t>
  </si>
  <si>
    <t>152-16</t>
  </si>
  <si>
    <t>159-16</t>
  </si>
  <si>
    <t>817-16</t>
  </si>
  <si>
    <t>161-16</t>
  </si>
  <si>
    <t>154-16</t>
  </si>
  <si>
    <t>156-16</t>
  </si>
  <si>
    <t>57-16</t>
  </si>
  <si>
    <t>BIRENBAUM</t>
  </si>
  <si>
    <t>818-16</t>
  </si>
  <si>
    <t>163-16</t>
  </si>
  <si>
    <t>158-16</t>
  </si>
  <si>
    <t>165-16</t>
  </si>
  <si>
    <t>LEVERE</t>
  </si>
  <si>
    <t>CRAIG</t>
  </si>
  <si>
    <t>160-16</t>
  </si>
  <si>
    <t>167-16</t>
  </si>
  <si>
    <t>59-16</t>
  </si>
  <si>
    <t>819-16</t>
  </si>
  <si>
    <t>162-16</t>
  </si>
  <si>
    <t>169-16</t>
  </si>
  <si>
    <t>164-16</t>
  </si>
  <si>
    <t>820-16</t>
  </si>
  <si>
    <t>171-16</t>
  </si>
  <si>
    <t>166-16</t>
  </si>
  <si>
    <t>173-16</t>
  </si>
  <si>
    <t>168-16</t>
  </si>
  <si>
    <t>170-16</t>
  </si>
  <si>
    <t>LEVIN</t>
  </si>
  <si>
    <t>SCOTT</t>
  </si>
  <si>
    <t>177-16</t>
  </si>
  <si>
    <t>172-16</t>
  </si>
  <si>
    <t>179-16</t>
  </si>
  <si>
    <t>822-16</t>
  </si>
  <si>
    <t>174-16</t>
  </si>
  <si>
    <t>181-16</t>
  </si>
  <si>
    <t>176-16</t>
  </si>
  <si>
    <t>183-16</t>
  </si>
  <si>
    <t>178-16</t>
  </si>
  <si>
    <t>823-16</t>
  </si>
  <si>
    <t>185-16</t>
  </si>
  <si>
    <t>180-16</t>
  </si>
  <si>
    <t>187-16</t>
  </si>
  <si>
    <t>182-16</t>
  </si>
  <si>
    <t>184-16</t>
  </si>
  <si>
    <t>191-16</t>
  </si>
  <si>
    <t>825-16</t>
  </si>
  <si>
    <t>193-16</t>
  </si>
  <si>
    <t>904-16</t>
  </si>
  <si>
    <t>188-16</t>
  </si>
  <si>
    <t>195-16</t>
  </si>
  <si>
    <t>826-16</t>
  </si>
  <si>
    <t>197-16</t>
  </si>
  <si>
    <t>192-16</t>
  </si>
  <si>
    <t>199-16</t>
  </si>
  <si>
    <t>828-16</t>
  </si>
  <si>
    <t>829-16</t>
  </si>
  <si>
    <t>194-16</t>
  </si>
  <si>
    <t>201-16</t>
  </si>
  <si>
    <t>196-16</t>
  </si>
  <si>
    <t>830-16</t>
  </si>
  <si>
    <t>198-16</t>
  </si>
  <si>
    <t>203-16</t>
  </si>
  <si>
    <t>75-16</t>
  </si>
  <si>
    <t>831-16</t>
  </si>
  <si>
    <t>205-16</t>
  </si>
  <si>
    <t>200-16</t>
  </si>
  <si>
    <t>207-16</t>
  </si>
  <si>
    <t>202-16</t>
  </si>
  <si>
    <t>833-16</t>
  </si>
  <si>
    <t>77-16</t>
  </si>
  <si>
    <t>209-16</t>
  </si>
  <si>
    <t>834-16</t>
  </si>
  <si>
    <t>211-16</t>
  </si>
  <si>
    <t>206-16</t>
  </si>
  <si>
    <t>213-16</t>
  </si>
  <si>
    <t>208-16</t>
  </si>
  <si>
    <t>74-16</t>
  </si>
  <si>
    <t>215-16</t>
  </si>
  <si>
    <t>836-16</t>
  </si>
  <si>
    <t>210-16</t>
  </si>
  <si>
    <t>217-16</t>
  </si>
  <si>
    <t>212-16</t>
  </si>
  <si>
    <t>219-16</t>
  </si>
  <si>
    <t>839-16</t>
  </si>
  <si>
    <t>838-16</t>
  </si>
  <si>
    <t>214-16</t>
  </si>
  <si>
    <t>301-16</t>
  </si>
  <si>
    <t>216-16</t>
  </si>
  <si>
    <t>221-16</t>
  </si>
  <si>
    <t>906-16</t>
  </si>
  <si>
    <t>841-16</t>
  </si>
  <si>
    <t>303-16</t>
  </si>
  <si>
    <t>218-16</t>
  </si>
  <si>
    <t>220-16</t>
  </si>
  <si>
    <t>840-16</t>
  </si>
  <si>
    <t>223-16</t>
  </si>
  <si>
    <t>305-16</t>
  </si>
  <si>
    <t>71-16</t>
  </si>
  <si>
    <t>GUNTHIER</t>
  </si>
  <si>
    <t>ERIC</t>
  </si>
  <si>
    <t>229-16</t>
  </si>
  <si>
    <t>843-16</t>
  </si>
  <si>
    <t>225-16</t>
  </si>
  <si>
    <t>224-16</t>
  </si>
  <si>
    <t>227-16</t>
  </si>
  <si>
    <t>842-16</t>
  </si>
  <si>
    <t>226-16</t>
  </si>
  <si>
    <t>845-16</t>
  </si>
  <si>
    <t>73-16</t>
  </si>
  <si>
    <t>231-16</t>
  </si>
  <si>
    <t>228-16</t>
  </si>
  <si>
    <t>844-16</t>
  </si>
  <si>
    <t>233-16</t>
  </si>
  <si>
    <t>847-16</t>
  </si>
  <si>
    <t>232-16</t>
  </si>
  <si>
    <t>846-16</t>
  </si>
  <si>
    <t>237-16</t>
  </si>
  <si>
    <t>234-16</t>
  </si>
  <si>
    <t>239-16</t>
  </si>
  <si>
    <t>236-16</t>
  </si>
  <si>
    <t>908-16</t>
  </si>
  <si>
    <t>241-16</t>
  </si>
  <si>
    <t>238-16</t>
  </si>
  <si>
    <t>243-16</t>
  </si>
  <si>
    <t>240-16</t>
  </si>
  <si>
    <t>313-16</t>
  </si>
  <si>
    <t>242-16</t>
  </si>
  <si>
    <t>307-16</t>
  </si>
  <si>
    <t>244-16</t>
  </si>
  <si>
    <t>309-16</t>
  </si>
  <si>
    <t>311-16</t>
  </si>
  <si>
    <t>300-17</t>
  </si>
  <si>
    <t>partly-cloudy-day</t>
  </si>
  <si>
    <t>Partly Cloudy</t>
  </si>
  <si>
    <t>204:748</t>
  </si>
  <si>
    <t>204:233017</t>
  </si>
  <si>
    <t>204:232962</t>
  </si>
  <si>
    <t>204:232982</t>
  </si>
  <si>
    <t>204:233307</t>
  </si>
  <si>
    <t>204:232968</t>
  </si>
  <si>
    <t>204:498</t>
  </si>
  <si>
    <t>204:233011</t>
  </si>
  <si>
    <t>204:233346</t>
  </si>
  <si>
    <t>204:233241</t>
  </si>
  <si>
    <t>204:232919</t>
  </si>
  <si>
    <t>204:232996</t>
  </si>
  <si>
    <t>204:469</t>
  </si>
  <si>
    <t>204:233298</t>
  </si>
  <si>
    <t>204:233288</t>
  </si>
  <si>
    <t>204:232961</t>
  </si>
  <si>
    <t>204:232972</t>
  </si>
  <si>
    <t>204:130</t>
  </si>
  <si>
    <t>204:233293</t>
  </si>
  <si>
    <t>204:233311</t>
  </si>
  <si>
    <t>204:232998</t>
  </si>
  <si>
    <t>204:233321</t>
  </si>
  <si>
    <t>204:233266</t>
  </si>
  <si>
    <t>204:232967</t>
  </si>
  <si>
    <t>204:232992</t>
  </si>
  <si>
    <t>204:233353</t>
  </si>
  <si>
    <t>204:232960</t>
  </si>
  <si>
    <t>204:233272</t>
  </si>
  <si>
    <t>204:232950</t>
  </si>
  <si>
    <t>204:233301</t>
  </si>
  <si>
    <t>204:232990</t>
  </si>
  <si>
    <t>204:437</t>
  </si>
  <si>
    <t>204:233327</t>
  </si>
  <si>
    <t>204:233362</t>
  </si>
  <si>
    <t>204:233059</t>
  </si>
  <si>
    <t>204:233034</t>
  </si>
  <si>
    <t>204:233287</t>
  </si>
  <si>
    <t>204:232976</t>
  </si>
  <si>
    <t>204:233305</t>
  </si>
  <si>
    <t>204:232980</t>
  </si>
  <si>
    <t>204:233117</t>
  </si>
  <si>
    <t>204:233001</t>
  </si>
  <si>
    <t>204:232964</t>
  </si>
  <si>
    <t>204:129</t>
  </si>
  <si>
    <t>204:233364</t>
  </si>
  <si>
    <t>204:233280</t>
  </si>
  <si>
    <t>204:176</t>
  </si>
  <si>
    <t>204:233324</t>
  </si>
  <si>
    <t>204:427</t>
  </si>
  <si>
    <t>204:233074</t>
  </si>
  <si>
    <t>204:228959</t>
  </si>
  <si>
    <t>204:127864</t>
  </si>
  <si>
    <t>204:1742</t>
  </si>
  <si>
    <t>204:898</t>
  </si>
  <si>
    <t>204:233300</t>
  </si>
  <si>
    <t>204:233010</t>
  </si>
  <si>
    <t>204:233045</t>
  </si>
  <si>
    <t>204:233363</t>
  </si>
  <si>
    <t>204:233323</t>
  </si>
  <si>
    <t>204:233393</t>
  </si>
  <si>
    <t>204:233049</t>
  </si>
  <si>
    <t>300:23487</t>
  </si>
  <si>
    <t>300:23310</t>
  </si>
  <si>
    <t>300:22187</t>
  </si>
  <si>
    <t>300:23129</t>
  </si>
  <si>
    <t>300:23304</t>
  </si>
  <si>
    <t>300:23308</t>
  </si>
  <si>
    <t>300:19850</t>
  </si>
  <si>
    <t>300:23483</t>
  </si>
  <si>
    <t>300:23171</t>
  </si>
  <si>
    <t>300:23295</t>
  </si>
  <si>
    <t>204:3469</t>
  </si>
  <si>
    <t>204:3143</t>
  </si>
  <si>
    <t>300:23718</t>
  </si>
  <si>
    <t>204:1002</t>
  </si>
  <si>
    <t>204:1313</t>
  </si>
  <si>
    <t>300:24239</t>
  </si>
  <si>
    <t>300:23349</t>
  </si>
  <si>
    <t>204:958</t>
  </si>
  <si>
    <t>204:1272</t>
  </si>
  <si>
    <t>300:24263</t>
  </si>
  <si>
    <t>300:23540</t>
  </si>
  <si>
    <t>204:4684</t>
  </si>
  <si>
    <t>204:1205</t>
  </si>
  <si>
    <t>300:24226</t>
  </si>
  <si>
    <t>204:1141</t>
  </si>
  <si>
    <t>204:3403</t>
  </si>
  <si>
    <t>204:1148</t>
  </si>
  <si>
    <t>204:3467</t>
  </si>
  <si>
    <t>204:3140</t>
  </si>
  <si>
    <t>300:22305</t>
  </si>
  <si>
    <t>204:1860</t>
  </si>
  <si>
    <t>300:23297</t>
  </si>
  <si>
    <t>204:1154</t>
  </si>
  <si>
    <t>300:58581</t>
  </si>
  <si>
    <t>204:743</t>
  </si>
  <si>
    <t>204:1035</t>
  </si>
  <si>
    <t>300:58914</t>
  </si>
  <si>
    <t>204:740</t>
  </si>
  <si>
    <t>300:58931</t>
  </si>
  <si>
    <t>300:58613</t>
  </si>
  <si>
    <t>204:692</t>
  </si>
  <si>
    <t>204:1044</t>
  </si>
  <si>
    <t>300:58920</t>
  </si>
  <si>
    <t>300:58606</t>
  </si>
  <si>
    <t>204:738</t>
  </si>
  <si>
    <t>204:971</t>
  </si>
  <si>
    <t>300:58924</t>
  </si>
  <si>
    <t>300:58626</t>
  </si>
  <si>
    <t>204:698</t>
  </si>
  <si>
    <t>204:1025</t>
  </si>
  <si>
    <t>300:58608</t>
  </si>
  <si>
    <t>300:58926</t>
  </si>
  <si>
    <t>204:705</t>
  </si>
  <si>
    <t>204:1000</t>
  </si>
  <si>
    <t>300:57244</t>
  </si>
  <si>
    <t>300:57248</t>
  </si>
  <si>
    <t>204:689</t>
  </si>
  <si>
    <t>204:671</t>
  </si>
  <si>
    <t>204:951</t>
  </si>
  <si>
    <t>300:58933</t>
  </si>
  <si>
    <t>300:58609</t>
  </si>
  <si>
    <t>204:703</t>
  </si>
  <si>
    <t>204:969</t>
  </si>
  <si>
    <t>204:670</t>
  </si>
  <si>
    <t>204:948</t>
  </si>
  <si>
    <t>204:4404</t>
  </si>
  <si>
    <t>204:922</t>
  </si>
  <si>
    <t>204:3382</t>
  </si>
  <si>
    <t>300:58651</t>
  </si>
  <si>
    <t>204:4500</t>
  </si>
  <si>
    <t>204:936</t>
  </si>
  <si>
    <t>300:58954</t>
  </si>
  <si>
    <t>300:58638</t>
  </si>
  <si>
    <t>204:656</t>
  </si>
  <si>
    <t>204:964</t>
  </si>
  <si>
    <t>300:58980</t>
  </si>
  <si>
    <t>300:58670</t>
  </si>
  <si>
    <t>204:696</t>
  </si>
  <si>
    <t>204:929</t>
  </si>
  <si>
    <t>300:58950</t>
  </si>
  <si>
    <t>300:58632</t>
  </si>
  <si>
    <t>204:659</t>
  </si>
  <si>
    <t>300:58961</t>
  </si>
  <si>
    <t>300:58653</t>
  </si>
  <si>
    <t>204:953</t>
  </si>
  <si>
    <t>300:58952</t>
  </si>
  <si>
    <t>300:58636</t>
  </si>
  <si>
    <t>204:680</t>
  </si>
  <si>
    <t>300:58969</t>
  </si>
  <si>
    <t>300:58655</t>
  </si>
  <si>
    <t>204:960</t>
  </si>
  <si>
    <t>204:965</t>
  </si>
  <si>
    <t>300:58965</t>
  </si>
  <si>
    <t>300:58624</t>
  </si>
  <si>
    <t>300:58946</t>
  </si>
  <si>
    <t>300:58944</t>
  </si>
  <si>
    <t>300:58628</t>
  </si>
  <si>
    <t>204:734</t>
  </si>
  <si>
    <t>204:1230</t>
  </si>
  <si>
    <t>300:29703</t>
  </si>
  <si>
    <t>300:58907</t>
  </si>
  <si>
    <t>300:23610</t>
  </si>
  <si>
    <t>204:1072</t>
  </si>
  <si>
    <t>300:23415</t>
  </si>
  <si>
    <t>300:58643</t>
  </si>
  <si>
    <t>300:28782</t>
  </si>
  <si>
    <t>300:58594</t>
  </si>
  <si>
    <t>300:28759</t>
  </si>
  <si>
    <t>start /low /b %USERPROFILE%\Documents\GitHub\eaglep3\Utilities\DownloadLogsFromS3.py --loco 4025 --day 2017-10-16</t>
  </si>
  <si>
    <t>start /low /b %USERPROFILE%\Documents\GitHub\eaglep3\Utilities\DownloadLogsFromS3.py --loco 4049 --day 2017-10-16</t>
  </si>
  <si>
    <t>start /low /b %USERPROFILE%\Documents\GitHub\eaglep3\Utilities\DownloadLogsFromS3.py --loco 4050 --day 2017-10-16</t>
  </si>
  <si>
    <t>start /low /b %USERPROFILE%\Documents\GitHub\eaglep3\Utilities\DownloadLogsFromS3.py --loco 4018 --day 2017-10-16</t>
  </si>
  <si>
    <t>start /low /b %USERPROFILE%\Documents\GitHub\eaglep3\Utilities\DownloadLogsFromS3.py --loco 4017 --day 2017-10-16</t>
  </si>
  <si>
    <t>start /low /b %USERPROFILE%\Documents\GitHub\eaglep3\Utilities\DownloadLogsFromS3.py --loco 4017 --day 2017-10-17</t>
  </si>
  <si>
    <t>start /low /b %USERPROFILE%\Documents\GitHub\eaglep3\Utilities\DownloadLogsFromS3.py --loco 4060 --day 2017-10-16</t>
  </si>
  <si>
    <t>start /low /b %USERPROFILE%\Documents\GitHub\eaglep3\Utilities\DownloadLogsFromS3.py --loco 4029 --day 2017-10-16</t>
  </si>
  <si>
    <t>start /low /b %USERPROFILE%\Documents\GitHub\eaglep3\Utilities\DownloadLogsFromS3.py --loco 4020 --day 2017-10-17</t>
  </si>
  <si>
    <t>start /low /b %USERPROFILE%\Documents\GitHub\eaglep3\Utilities\DownloadLogsFromS3.py --loco 4025 --day 2017-10-17</t>
  </si>
  <si>
    <t>start /low /b %USERPROFILE%\Documents\GitHub\eaglep3\Utilities\DownloadLogsFromS3.py --loco 4026 --day 2017-10-16</t>
  </si>
  <si>
    <t>start /low /b %USERPROFILE%\Documents\GitHub\eaglep3\Utilities\DownloadLogsFromS3.py --loco 4045 --day 2017-10-16</t>
  </si>
  <si>
    <t>start /low /b %USERPROFILE%\Documents\GitHub\eaglep3\Utilities\DownloadLogsFromS3.py --loco 4046 --day 2017-10-16</t>
  </si>
  <si>
    <t>start /low /b %USERPROFILE%\Documents\GitHub\eaglep3\Utilities\DownloadLogsFromS3.py --loco 4050 --day 2017-10-17</t>
  </si>
  <si>
    <t>Minor onboard en route failure during init, re-init successful</t>
  </si>
  <si>
    <t>Onboard en route failure</t>
  </si>
  <si>
    <t>Poor GPS at DUS</t>
  </si>
  <si>
    <t>Observed onboard en route failure on arrival at DUS</t>
  </si>
  <si>
    <t>Poor GPS at Wewatta St overpass</t>
  </si>
  <si>
    <t>start /low /b %USERPROFILE%\Documents\GitHub\eaglep3\Utilities\DownloadLogsFromS3.py --loco 4008 --day 2017-10-17</t>
  </si>
  <si>
    <t>Observed unhealthy crossing banner at Steele,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</si>
</sst>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8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43024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43024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COUNTIFS($N$13:$N$9423,"&gt;0",$AG$13:$AG$9423,I1)</f>
        <v>143</v>
      </c>
      <c r="K5" s="39"/>
      <c r="L5" s="172"/>
      <c r="M5" s="40">
        <f>AVERAGEIFS($N$13:$N$9423,$AG$13:$AG$9423,I1)</f>
        <v>37.398484848371311</v>
      </c>
      <c r="N5" s="38">
        <f t="array" ref="N5">MIN(IF($AG$13:$AG$9423=I1,IF(ISNUMBER($N$13:$N$9423),IF($N$13:$N$9423&gt;0,$N$13:$N$9423))))</f>
        <v>33.816666671773419</v>
      </c>
      <c r="O5" s="3">
        <f t="array" ref="O5">MAX(IF($AG$13:$AG$9423=I1,IF(ISNUMBER($N$13:$N$9423),IF($N$13:$N$9423&gt;0,$N$13:$N$9423))))</f>
        <v>43.466666664462537</v>
      </c>
      <c r="P5" s="2"/>
      <c r="R5" s="163" t="s">
        <v>17</v>
      </c>
      <c r="S5" s="207">
        <f>COUNTIFS($N$13:$N$9423,"&gt;0",$AG$13:$AG$9423,R1)</f>
        <v>48</v>
      </c>
      <c r="T5" s="172"/>
      <c r="U5" s="195"/>
      <c r="V5" s="211">
        <f>AVERAGEIFS($N$13:$N$9423,$AG$13:$AG$9423,R1)</f>
        <v>14.197916666453239</v>
      </c>
      <c r="W5" s="212">
        <f t="array" ref="W5">MIN(IF($AG$13:$AG$9423=R1,IF(ISNUMBER($N$13:$N$9423),IF($N$13:$N$9423&gt;0,$N$13:$N$9423))))</f>
        <v>11.450000004842877</v>
      </c>
      <c r="X5" s="200">
        <f t="array" ref="X5">MAX(IF($AG$13:$AG$9423=R1,IF(ISNUMBER($N$13:$N$9423),IF($N$13:$N$9423&gt;0,$N$13:$N$9423))))</f>
        <v>24.766666672658175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COUNT($O$13:$O$184)</f>
        <v>0</v>
      </c>
      <c r="K6" s="39"/>
      <c r="L6" s="172"/>
      <c r="M6" s="40">
        <f>IFERROR(AVERAGE($O$13:$O$184),0)</f>
        <v>0</v>
      </c>
      <c r="N6" s="38">
        <f>MIN($O$13:$O$184)</f>
        <v>0</v>
      </c>
      <c r="O6" s="3">
        <f>MAX($O$13:$O$184)</f>
        <v>0</v>
      </c>
      <c r="P6" s="2"/>
      <c r="R6" s="164" t="s">
        <v>43</v>
      </c>
      <c r="S6" s="207">
        <f>COUNT($O$13:$O$184)</f>
        <v>0</v>
      </c>
      <c r="T6" s="172"/>
      <c r="U6" s="195"/>
      <c r="V6" s="211">
        <f>IFERROR(AVERAGE($O$13:$O$184),0)</f>
        <v>0</v>
      </c>
      <c r="W6" s="212">
        <f>MIN($O$13:$O$184)</f>
        <v>0</v>
      </c>
      <c r="X6" s="200">
        <f>MAX($O$13:$O$184)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COUNTIFS($P$13:$P$9423,"&gt;0",$AG$13:$AG$9423,I1)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COUNTIFS($P$13:$P$9423,"&gt;0",$AG$13:$AG$9423,R1)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37.398484848371311</v>
      </c>
      <c r="N8" s="38">
        <f>N5</f>
        <v>33.816666671773419</v>
      </c>
      <c r="O8" s="3">
        <f>O5</f>
        <v>43.466666664462537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14.197916666453239</v>
      </c>
      <c r="W8" s="212">
        <f>W5</f>
        <v>11.450000004842877</v>
      </c>
      <c r="X8" s="200">
        <f>X5</f>
        <v>24.766666672658175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- 2017-10-16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613</v>
      </c>
      <c r="B13" s="7">
        <v>4018</v>
      </c>
      <c r="C13" s="21" t="s">
        <v>194</v>
      </c>
      <c r="D13" s="21" t="s">
        <v>840</v>
      </c>
      <c r="E13" s="13">
        <v>43024.131238425929</v>
      </c>
      <c r="F13" s="13">
        <v>43024.135636574072</v>
      </c>
      <c r="G13" s="7">
        <v>86</v>
      </c>
      <c r="H13" s="21" t="s">
        <v>557</v>
      </c>
      <c r="I13" s="13">
        <v>43024.161319444444</v>
      </c>
      <c r="J13" s="7">
        <v>0</v>
      </c>
      <c r="K13" s="89" t="str">
        <f>IF(ISEVEN(B13),(B13-1)&amp;"/"&amp;B13,B13&amp;"/"&amp;(B13+1))</f>
        <v>4017/4018</v>
      </c>
      <c r="L13" s="185" t="str">
        <f>VLOOKUP(A13,'Trips&amp;Operators'!$C$1:$G$99911,5,FALSE)</f>
        <v>THOMPSON LESTER</v>
      </c>
      <c r="M13" s="6">
        <f>I13-F13</f>
        <v>2.5682870371383615E-2</v>
      </c>
      <c r="N13" s="7">
        <f>24*60*SUM($M13:$M13)</f>
        <v>36.983333334792405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-16T02:08:59-0600',mode:absolute,to:'2017-10-16T04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7.4800000000000005E-2</v>
      </c>
      <c r="Z13" s="204">
        <f>RIGHT(H13,LEN(H13)-4)/10000</f>
        <v>23.329699999999999</v>
      </c>
      <c r="AA13" s="204">
        <f>ABS(Z13-Y13)</f>
        <v>23.254899999999999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/stypes="app*4018*20171016*"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4018 --swversion DE.1.0.9.0 --startMP 204:748 --initTime 2017-10-16T03:08:59 --startdatetime 2017-10-16T03:15:19 --delay 86 --endMP 204:233297 --enddatetime 2017-10-16T03:52:18 --enforcementcount 0 &gt;&gt;%USERPROFILE%\Documents\GitHub\eaglep3-reporting\EC\2017-10-16-refined-times.txt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{"issue":{"subject":"","project_id":79,"tracker_id":40,"status_id":1,"priority_id":2,"assigned_to_id":338,"start_date":"2017-10-16","description":"","custom_fields":[{"id":1,"name":"Subdivision","value":"EC"},{"id":4,"name":"Milepost","value":"23.3297"},{"id":17,"name":"Train ID","value":"101-16"},{"id":16,"name":"Locomotive ID","value":"4018"},{"id":130,"name":"Impact","value":""},{"id":150,"name":"Time of Event (Mountain Time)","value":"03:52:18"},{"id":151,"name":"Denver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4018 --day 2017-10-16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-16T02:08:59-0600',mode:absolute,to:'2017-10-16T04:52:18-0600'))&amp;_a=(columns:!('Message%20ID',Summary),filters:!(),index:'emp_*',interval:auto,query:(query_string:(analyze_wildcard:!t,query:'%22rtdc.l.rtdc.4018%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623</v>
      </c>
      <c r="B14" s="7">
        <v>4017</v>
      </c>
      <c r="C14" s="21" t="s">
        <v>194</v>
      </c>
      <c r="D14" s="21" t="s">
        <v>515</v>
      </c>
      <c r="E14" s="13">
        <v>43024.173344907409</v>
      </c>
      <c r="F14" s="13">
        <v>43024.175254629627</v>
      </c>
      <c r="G14" s="7">
        <v>68</v>
      </c>
      <c r="H14" s="21" t="s">
        <v>364</v>
      </c>
      <c r="I14" s="13">
        <v>43024.202905092592</v>
      </c>
      <c r="J14" s="7">
        <v>0</v>
      </c>
      <c r="K14" s="89" t="str">
        <f>IF(ISEVEN(B14),(B14-1)&amp;"/"&amp;B14,B14&amp;"/"&amp;(B14+1))</f>
        <v>4017/4018</v>
      </c>
      <c r="L14" s="185" t="str">
        <f>VLOOKUP(A14,'Trips&amp;Operators'!$C$1:$G$99911,5,FALSE)</f>
        <v>THOMPSON LESTER</v>
      </c>
      <c r="M14" s="6">
        <f>I14-F14</f>
        <v>2.7650462965539191E-2</v>
      </c>
      <c r="N14" s="7">
        <f>24*60*SUM($M14:$M14)</f>
        <v>39.816666670376435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-16T03:09:37-0600',mode:absolute,to:'2017-10-16T05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23.297000000000001</v>
      </c>
      <c r="Z14" s="204">
        <f>RIGHT(H14,LEN(H14)-4)/10000</f>
        <v>1.5800000000000002E-2</v>
      </c>
      <c r="AA14" s="204">
        <f>ABS(Z14-Y14)</f>
        <v>23.281200000000002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/stypes="app*4017*20171016*"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4017 --swversion DE.1.0.9.0 --startMP 204:232970 --initTime 2017-10-16T04:09:37 --startdatetime 2017-10-16T04:12:22 --delay 68 --endMP 204:158 --enddatetime 2017-10-16T04:52:11 --enforcementcount 0 &gt;&gt;%USERPROFILE%\Documents\GitHub\eaglep3-reporting\EC\2017-10-16-refined-times.txt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{"issue":{"subject":"","project_id":79,"tracker_id":40,"status_id":1,"priority_id":2,"assigned_to_id":338,"start_date":"2017-10-16","description":"","custom_fields":[{"id":1,"name":"Subdivision","value":"EC"},{"id":4,"name":"Milepost","value":"0.0158"},{"id":17,"name":"Train ID","value":"102-16"},{"id":16,"name":"Locomotive ID","value":"4017"},{"id":130,"name":"Impact","value":""},{"id":150,"name":"Time of Event (Mountain Time)","value":"04:52:11"},{"id":151,"name":"Denver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4017 --day 2017-10-16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-16T03:09:37-0600',mode:absolute,to:'2017-10-16T05:52:11-0600'))&amp;_a=(columns:!('Message%20ID',Summary),filters:!(),index:'emp_*',interval:auto,query:(query_string:(analyze_wildcard:!t,query:'%22rtdc.l.rtdc.4017%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618</v>
      </c>
      <c r="B15" s="7">
        <v>4030</v>
      </c>
      <c r="C15" s="21" t="s">
        <v>194</v>
      </c>
      <c r="D15" s="21" t="s">
        <v>391</v>
      </c>
      <c r="E15" s="13">
        <v>43024.151122685187</v>
      </c>
      <c r="F15" s="13">
        <v>43024.156435185185</v>
      </c>
      <c r="G15" s="7">
        <v>92</v>
      </c>
      <c r="H15" s="21" t="s">
        <v>397</v>
      </c>
      <c r="I15" s="13">
        <v>43024.181990740741</v>
      </c>
      <c r="J15" s="7">
        <v>0</v>
      </c>
      <c r="K15" s="89" t="str">
        <f>IF(ISEVEN(B15),(B15-1)&amp;"/"&amp;B15,B15&amp;"/"&amp;(B15+1))</f>
        <v>4029/4030</v>
      </c>
      <c r="L15" s="185" t="str">
        <f>VLOOKUP(A15,'Trips&amp;Operators'!$C$1:$G$99911,5,FALSE)</f>
        <v>LANGERAK WILLIAM</v>
      </c>
      <c r="M15" s="6">
        <f>I15-F15</f>
        <v>2.5555555555911269E-2</v>
      </c>
      <c r="N15" s="7">
        <f>24*60*SUM($M15:$M15)</f>
        <v>36.800000000512227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-16T02:37:37-0600',mode:absolute,to:'2017-10-16T05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4.6699999999999998E-2</v>
      </c>
      <c r="Z15" s="204">
        <f>RIGHT(H15,LEN(H15)-4)/10000</f>
        <v>23.330200000000001</v>
      </c>
      <c r="AA15" s="204">
        <f>ABS(Z15-Y15)</f>
        <v>23.2835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/stypes="app*4030*20171016*"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103-16 --locoid 4030 --swversion DE.1.0.9.0 --startMP 204:467 --initTime 2017-10-16T03:37:37 --startdatetime 2017-10-16T03:45:16 --delay 92 --endMP 204:233302 --enddatetime 2017-10-16T04:22:04 --enforcementcount 0 &gt;&gt;%USERPROFILE%\Documents\GitHub\eaglep3-reporting\EC\2017-10-16-refined-times.txt</v>
      </c>
      <c r="AI1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{"issue":{"subject":"","project_id":79,"tracker_id":40,"status_id":1,"priority_id":2,"assigned_to_id":338,"start_date":"2017-10-16","description":"","custom_fields":[{"id":1,"name":"Subdivision","value":"EC"},{"id":4,"name":"Milepost","value":"23.3302"},{"id":17,"name":"Train ID","value":"103-16"},{"id":16,"name":"Locomotive ID","value":"4030"},{"id":130,"name":"Impact","value":""},{"id":150,"name":"Time of Event (Mountain Time)","value":"04:22:04"},{"id":151,"name":"Denver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4030 --day 2017-10-16</v>
      </c>
      <c r="AN1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-16T02:37:37-0600',mode:absolute,to:'2017-10-16T05:22:04-0600'))&amp;_a=(columns:!('Message%20ID',Summary),filters:!(),index:'emp_*',interval:auto,query:(query_string:(analyze_wildcard:!t,query:'%22rtdc.l.rtdc.4030%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581</v>
      </c>
      <c r="B16" s="7">
        <v>4029</v>
      </c>
      <c r="C16" s="21" t="s">
        <v>194</v>
      </c>
      <c r="D16" s="21" t="s">
        <v>560</v>
      </c>
      <c r="E16" s="13">
        <v>43024.183576388888</v>
      </c>
      <c r="F16" s="13">
        <v>43024.196018518516</v>
      </c>
      <c r="G16" s="7">
        <v>54</v>
      </c>
      <c r="H16" s="21" t="s">
        <v>335</v>
      </c>
      <c r="I16" s="13">
        <v>43024.222858796296</v>
      </c>
      <c r="J16" s="7">
        <v>0</v>
      </c>
      <c r="K16" s="89" t="str">
        <f>IF(ISEVEN(B16),(B16-1)&amp;"/"&amp;B16,B16&amp;"/"&amp;(B16+1))</f>
        <v>4029/4030</v>
      </c>
      <c r="L16" s="185" t="str">
        <f>VLOOKUP(A16,'Trips&amp;Operators'!$C$1:$G$99911,5,FALSE)</f>
        <v>LANGERAK WILLIAM</v>
      </c>
      <c r="M16" s="6">
        <f>I16-F16</f>
        <v>2.6840277780138422E-2</v>
      </c>
      <c r="N16" s="7">
        <f>24*60*SUM($M16:$M16)</f>
        <v>38.650000003399327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-16T03:24:21-0600',mode:absolute,to:'2017-10-16T06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23.298300000000001</v>
      </c>
      <c r="Z16" s="204">
        <f>RIGHT(H16,LEN(H16)-4)/10000</f>
        <v>1.4999999999999999E-2</v>
      </c>
      <c r="AA16" s="204">
        <f>ABS(Z16-Y16)</f>
        <v>23.283300000000001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/stypes="app*4029*20171016*"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104-16 --locoid 4029 --swversion DE.1.0.9.0 --startMP 204:232983 --initTime 2017-10-16T04:24:21 --startdatetime 2017-10-16T04:42:16 --delay 54 --endMP 204:150 --enddatetime 2017-10-16T05:20:55 --enforcementcount 0 &gt;&gt;%USERPROFILE%\Documents\GitHub\eaglep3-reporting\EC\2017-10-16-refined-times.txt</v>
      </c>
      <c r="AI1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ID","value":"104-16"},{"id":16,"name":"Locomotive ID","value":"4029"},{"id":130,"name":"Impact","value":""},{"id":150,"name":"Time of Event (Mountain Time)","value":"05:20:55"},{"id":151,"name":"Denver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4029 --day 2017-10-16</v>
      </c>
      <c r="AN1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-16T03:24:21-0600',mode:absolute,to:'2017-10-16T06:20:55-0600'))&amp;_a=(columns:!('Message%20ID',Summary),filters:!(),index:'emp_*',interval:auto,query:(query_string:(analyze_wildcard:!t,query:'%22rtdc.l.rtdc.4029%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622</v>
      </c>
      <c r="B17" s="7">
        <v>4026</v>
      </c>
      <c r="C17" s="21" t="s">
        <v>194</v>
      </c>
      <c r="D17" s="21" t="s">
        <v>345</v>
      </c>
      <c r="E17" s="13">
        <v>43024.169398148151</v>
      </c>
      <c r="F17" s="13">
        <v>43024.177268518521</v>
      </c>
      <c r="G17" s="7">
        <v>57</v>
      </c>
      <c r="H17" s="21" t="s">
        <v>390</v>
      </c>
      <c r="I17" s="13">
        <v>43024.200983796298</v>
      </c>
      <c r="J17" s="7">
        <v>0</v>
      </c>
      <c r="K17" s="89" t="str">
        <f>IF(ISEVEN(B17),(B17-1)&amp;"/"&amp;B17,B17&amp;"/"&amp;(B17+1))</f>
        <v>4025/4026</v>
      </c>
      <c r="L17" s="185" t="str">
        <f>VLOOKUP(A17,'Trips&amp;Operators'!$C$1:$G$99911,5,FALSE)</f>
        <v>YORK EDGAR</v>
      </c>
      <c r="M17" s="6">
        <f>I17-F17</f>
        <v>2.3715277777228039E-2</v>
      </c>
      <c r="N17" s="7">
        <f>24*60*SUM($M17:$M17)</f>
        <v>34.149999999208376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-16T03:03:56-0600',mode:absolute,to:'2017-10-16T05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4.5499999999999999E-2</v>
      </c>
      <c r="Z17" s="204">
        <f>RIGHT(H17,LEN(H17)-4)/10000</f>
        <v>23.3291</v>
      </c>
      <c r="AA17" s="204">
        <f>ABS(Z17-Y17)</f>
        <v>23.2836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/stypes="app*4026*20171016*"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105-16 --locoid 4026 --swversion DE.1.0.9.0 --startMP 204:455 --initTime 2017-10-16T04:03:56 --startdatetime 2017-10-16T04:15:16 --delay 57 --endMP 204:233291 --enddatetime 2017-10-16T04:49:25 --enforcementcount 0 &gt;&gt;%USERPROFILE%\Documents\GitHub\eaglep3-reporting\EC\2017-10-16-refined-times.txt</v>
      </c>
      <c r="AI1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{"issue":{"subject":"","project_id":79,"tracker_id":40,"status_id":1,"priority_id":2,"assigned_to_id":338,"start_date":"2017-10-16","description":"","custom_fields":[{"id":1,"name":"Subdivision","value":"EC"},{"id":4,"name":"Milepost","value":"23.3291"},{"id":17,"name":"Train ID","value":"105-16"},{"id":16,"name":"Locomotive ID","value":"4026"},{"id":130,"name":"Impact","value":""},{"id":150,"name":"Time of Event (Mountain Time)","value":"04:49:25"},{"id":151,"name":"Denver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4026 --day 2017-10-16</v>
      </c>
      <c r="AN1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-16T03:03:56-0600',mode:absolute,to:'2017-10-16T05:49:25-0600'))&amp;_a=(columns:!('Message%20ID',Summary),filters:!(),index:'emp_*',interval:auto,query:(query_string:(analyze_wildcard:!t,query:'%22rtdc.l.rtdc.4026%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632</v>
      </c>
      <c r="B18" s="7">
        <v>4025</v>
      </c>
      <c r="C18" s="21" t="s">
        <v>194</v>
      </c>
      <c r="D18" s="21" t="s">
        <v>512</v>
      </c>
      <c r="E18" s="13">
        <v>43024.202048611114</v>
      </c>
      <c r="F18" s="13">
        <v>43024.216863425929</v>
      </c>
      <c r="G18" s="7">
        <v>41</v>
      </c>
      <c r="H18" s="21" t="s">
        <v>361</v>
      </c>
      <c r="I18" s="13">
        <v>43024.242719907408</v>
      </c>
      <c r="J18" s="7">
        <v>0</v>
      </c>
      <c r="K18" s="89" t="str">
        <f>IF(ISEVEN(B18),(B18-1)&amp;"/"&amp;B18,B18&amp;"/"&amp;(B18+1))</f>
        <v>4025/4026</v>
      </c>
      <c r="L18" s="185" t="str">
        <f>VLOOKUP(A18,'Trips&amp;Operators'!$C$1:$G$99911,5,FALSE)</f>
        <v>YORK EDGAR</v>
      </c>
      <c r="M18" s="6">
        <f>I18-F18</f>
        <v>2.5856481479422655E-2</v>
      </c>
      <c r="N18" s="7">
        <f>24*60*SUM($M18:$M18)</f>
        <v>37.233333330368623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-16T03:50:57-0600',mode:absolute,to:'2017-10-16T06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23.2973</v>
      </c>
      <c r="Z18" s="204">
        <f>RIGHT(H18,LEN(H18)-4)/10000</f>
        <v>1.61E-2</v>
      </c>
      <c r="AA18" s="204">
        <f>ABS(Z18-Y18)</f>
        <v>23.281199999999998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/stypes="app*4025*20171016*"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106-16 --locoid 4025 --swversion DE.1.0.9.0 --startMP 204:232973 --initTime 2017-10-16T04:50:57 --startdatetime 2017-10-16T05:12:17 --delay 41 --endMP 204:161 --enddatetime 2017-10-16T05:49:31 --enforcementcount 0 &gt;&gt;%USERPROFILE%\Documents\GitHub\eaglep3-reporting\EC\2017-10-16-refined-times.txt</v>
      </c>
      <c r="AI1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{"issue":{"subject":"","project_id":79,"tracker_id":40,"status_id":1,"priority_id":2,"assigned_to_id":338,"start_date":"2017-10-16","description":"","custom_fields":[{"id":1,"name":"Subdivision","value":"EC"},{"id":4,"name":"Milepost","value":"0.0161"},{"id":17,"name":"Train ID","value":"106-16"},{"id":16,"name":"Locomotive ID","value":"4025"},{"id":130,"name":"Impact","value":""},{"id":150,"name":"Time of Event (Mountain Time)","value":"05:49:31"},{"id":151,"name":"Denver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4025 --day 2017-10-16</v>
      </c>
      <c r="AN1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-16T03:50:57-0600',mode:absolute,to:'2017-10-16T06:49:31-0600'))&amp;_a=(columns:!('Message%20ID',Summary),filters:!(),index:'emp_*',interval:auto,query:(query_string:(analyze_wildcard:!t,query:'%22rtdc.l.rtdc.4025%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626</v>
      </c>
      <c r="B19" s="7">
        <v>4020</v>
      </c>
      <c r="C19" s="21" t="s">
        <v>194</v>
      </c>
      <c r="D19" s="21" t="s">
        <v>475</v>
      </c>
      <c r="E19" s="13">
        <v>43024.181064814817</v>
      </c>
      <c r="F19" s="13">
        <v>43024.187673611108</v>
      </c>
      <c r="G19" s="7">
        <v>62</v>
      </c>
      <c r="H19" s="21" t="s">
        <v>511</v>
      </c>
      <c r="I19" s="13">
        <v>43024.211770833332</v>
      </c>
      <c r="J19" s="7">
        <v>0</v>
      </c>
      <c r="K19" s="89" t="str">
        <f>IF(ISEVEN(B19),(B19-1)&amp;"/"&amp;B19,B19&amp;"/"&amp;(B19+1))</f>
        <v>4019/4020</v>
      </c>
      <c r="L19" s="185" t="str">
        <f>VLOOKUP(A19,'Trips&amp;Operators'!$C$1:$G$99911,5,FALSE)</f>
        <v>LALONDE GREGORY</v>
      </c>
      <c r="M19" s="6">
        <f>I19-F19</f>
        <v>2.4097222223645076E-2</v>
      </c>
      <c r="N19" s="7">
        <f>24*60*SUM($M19:$M19)</f>
        <v>34.70000000204891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-16T03:20:44-0600',mode:absolute,to:'2017-10-16T06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4.3299999999999998E-2</v>
      </c>
      <c r="Z19" s="204">
        <f>RIGHT(H19,LEN(H19)-4)/10000</f>
        <v>23.333200000000001</v>
      </c>
      <c r="AA19" s="204">
        <f>ABS(Z19-Y19)</f>
        <v>23.289900000000003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/stypes="app*4020*20171016*"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107-16 --locoid 4020 --swversion DE.1.0.9.0 --startMP 204:433 --initTime 2017-10-16T04:20:44 --startdatetime 2017-10-16T04:30:15 --delay 62 --endMP 204:233332 --enddatetime 2017-10-16T05:04:57 --enforcementcount 0 &gt;&gt;%USERPROFILE%\Documents\GitHub\eaglep3-reporting\EC\2017-10-16-refined-times.txt</v>
      </c>
      <c r="AI1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{"issue":{"subject":"","project_id":79,"tracker_id":40,"status_id":1,"priority_id":2,"assigned_to_id":338,"start_date":"2017-10-16","description":"","custom_fields":[{"id":1,"name":"Subdivision","value":"EC"},{"id":4,"name":"Milepost","value":"23.3332"},{"id":17,"name":"Train ID","value":"107-16"},{"id":16,"name":"Locomotive ID","value":"4020"},{"id":130,"name":"Impact","value":""},{"id":150,"name":"Time of Event (Mountain Time)","value":"05:04:57"},{"id":151,"name":"Denver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4020 --day 2017-10-16</v>
      </c>
      <c r="AN1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-16T03:20:44-0600',mode:absolute,to:'2017-10-16T06:04:57-0600'))&amp;_a=(columns:!('Message%20ID',Summary),filters:!(),index:'emp_*',interval:auto,query:(query_string:(analyze_wildcard:!t,query:'%22rtdc.l.rtdc.4020%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637</v>
      </c>
      <c r="B20" s="7">
        <v>4019</v>
      </c>
      <c r="C20" s="21" t="s">
        <v>194</v>
      </c>
      <c r="D20" s="21" t="s">
        <v>550</v>
      </c>
      <c r="E20" s="13">
        <v>43024.213159722225</v>
      </c>
      <c r="F20" s="13">
        <v>43024.227256944447</v>
      </c>
      <c r="G20" s="7">
        <v>53</v>
      </c>
      <c r="H20" s="21" t="s">
        <v>361</v>
      </c>
      <c r="I20" s="13">
        <v>43024.253136574072</v>
      </c>
      <c r="J20" s="7">
        <v>0</v>
      </c>
      <c r="K20" s="89" t="str">
        <f>IF(ISEVEN(B20),(B20-1)&amp;"/"&amp;B20,B20&amp;"/"&amp;(B20+1))</f>
        <v>4019/4020</v>
      </c>
      <c r="L20" s="185" t="str">
        <f>VLOOKUP(A20,'Trips&amp;Operators'!$C$1:$G$99911,5,FALSE)</f>
        <v>LALONDE GREGORY</v>
      </c>
      <c r="M20" s="6">
        <f>I20-F20</f>
        <v>2.5879629625706002E-2</v>
      </c>
      <c r="N20" s="7">
        <f>24*60*SUM($M20:$M20)</f>
        <v>37.266666661016643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-16T04:06:57-0600',mode:absolute,to:'2017-10-16T07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23.302700000000002</v>
      </c>
      <c r="Z20" s="204">
        <f>RIGHT(H20,LEN(H20)-4)/10000</f>
        <v>1.61E-2</v>
      </c>
      <c r="AA20" s="204">
        <f>ABS(Z20-Y20)</f>
        <v>23.2866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/stypes="app*4019*20171016*"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108-16 --locoid 4019 --swversion DE.1.0.9.0 --startMP 204:233027 --initTime 2017-10-16T05:06:57 --startdatetime 2017-10-16T05:27:15 --delay 53 --endMP 204:161 --enddatetime 2017-10-16T06:04:31 --enforcementcount 0 &gt;&gt;%USERPROFILE%\Documents\GitHub\eaglep3-reporting\EC\2017-10-16-refined-times.txt</v>
      </c>
      <c r="AI2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{"issue":{"subject":"","project_id":79,"tracker_id":40,"status_id":1,"priority_id":2,"assigned_to_id":338,"start_date":"2017-10-16","description":"","custom_fields":[{"id":1,"name":"Subdivision","value":"EC"},{"id":4,"name":"Milepost","value":"0.0161"},{"id":17,"name":"Train ID","value":"108-16"},{"id":16,"name":"Locomotive ID","value":"4019"},{"id":130,"name":"Impact","value":""},{"id":150,"name":"Time of Event (Mountain Time)","value":"06:04:31"},{"id":151,"name":"Denver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4019 --day 2017-10-16</v>
      </c>
      <c r="AN2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-16T04:06:57-0600',mode:absolute,to:'2017-10-16T07:04:31-0600'))&amp;_a=(columns:!('Message%20ID',Summary),filters:!(),index:'emp_*',interval:auto,query:(query_string:(analyze_wildcard:!t,query:'%22rtdc.l.rtdc.4019%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627</v>
      </c>
      <c r="B21" s="7">
        <v>4060</v>
      </c>
      <c r="C21" s="21" t="s">
        <v>194</v>
      </c>
      <c r="D21" s="21" t="s">
        <v>334</v>
      </c>
      <c r="E21" s="13">
        <v>43024.192499999997</v>
      </c>
      <c r="F21" s="13">
        <v>43024.198113425926</v>
      </c>
      <c r="G21" s="7">
        <v>59</v>
      </c>
      <c r="H21" s="21" t="s">
        <v>557</v>
      </c>
      <c r="I21" s="13">
        <v>43024.222662037035</v>
      </c>
      <c r="J21" s="7">
        <v>0</v>
      </c>
      <c r="K21" s="89" t="str">
        <f>IF(ISEVEN(B21),(B21-1)&amp;"/"&amp;B21,B21&amp;"/"&amp;(B21+1))</f>
        <v>4059/4060</v>
      </c>
      <c r="L21" s="185" t="str">
        <f>VLOOKUP(A21,'Trips&amp;Operators'!$C$1:$G$99911,5,FALSE)</f>
        <v>MAELZER KURT</v>
      </c>
      <c r="M21" s="6">
        <f>I21-F21</f>
        <v>2.4548611108912155E-2</v>
      </c>
      <c r="N21" s="7">
        <f>24*60*SUM($M21:$M21)</f>
        <v>35.349999996833503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-16T03:37:12-0600',mode:absolute,to:'2017-10-16T06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4.4600000000000001E-2</v>
      </c>
      <c r="Z21" s="204">
        <f>RIGHT(H21,LEN(H21)-4)/10000</f>
        <v>23.329699999999999</v>
      </c>
      <c r="AA21" s="204">
        <f>ABS(Z21-Y21)</f>
        <v>23.2851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/stypes="app*4060*20171016*"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109-16 --locoid 4060 --swversion DE.1.0.9.0 --startMP 204:446 --initTime 2017-10-16T04:37:12 --startdatetime 2017-10-16T04:45:17 --delay 59 --endMP 204:233297 --enddatetime 2017-10-16T05:20:38 --enforcementcount 0 &gt;&gt;%USERPROFILE%\Documents\GitHub\eaglep3-reporting\EC\2017-10-16-refined-times.txt</v>
      </c>
      <c r="AI2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{"issue":{"subject":"","project_id":79,"tracker_id":40,"status_id":1,"priority_id":2,"assigned_to_id":338,"start_date":"2017-10-16","description":"","custom_fields":[{"id":1,"name":"Subdivision","value":"EC"},{"id":4,"name":"Milepost","value":"23.3297"},{"id":17,"name":"Train ID","value":"109-16"},{"id":16,"name":"Locomotive ID","value":"4060"},{"id":130,"name":"Impact","value":""},{"id":150,"name":"Time of Event (Mountain Time)","value":"05:20:38"},{"id":151,"name":"Denver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4060 --day 2017-10-16</v>
      </c>
      <c r="AN2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-16T03:37:12-0600',mode:absolute,to:'2017-10-16T06:20:38-0600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641</v>
      </c>
      <c r="B22" s="7">
        <v>4059</v>
      </c>
      <c r="C22" s="21" t="s">
        <v>194</v>
      </c>
      <c r="D22" s="21" t="s">
        <v>841</v>
      </c>
      <c r="E22" s="13">
        <v>43024.227731481478</v>
      </c>
      <c r="F22" s="13">
        <v>43024.237858796296</v>
      </c>
      <c r="G22" s="7">
        <v>52</v>
      </c>
      <c r="H22" s="21" t="s">
        <v>510</v>
      </c>
      <c r="I22" s="13">
        <v>43024.264780092592</v>
      </c>
      <c r="J22" s="7">
        <v>0</v>
      </c>
      <c r="K22" s="89" t="str">
        <f>IF(ISEVEN(B22),(B22-1)&amp;"/"&amp;B22,B22&amp;"/"&amp;(B22+1))</f>
        <v>4059/4060</v>
      </c>
      <c r="L22" s="185" t="str">
        <f>VLOOKUP(A22,'Trips&amp;Operators'!$C$1:$G$99911,5,FALSE)</f>
        <v>MAELZER KURT</v>
      </c>
      <c r="M22" s="6">
        <f>I22-F22</f>
        <v>2.6921296295768116E-2</v>
      </c>
      <c r="N22" s="7">
        <f>24*60*SUM($M22:$M22)</f>
        <v>38.766666665906087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-16T04:27:56-0600',mode:absolute,to:'2017-10-16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23.3017</v>
      </c>
      <c r="Z22" s="204">
        <f>RIGHT(H22,LEN(H22)-4)/10000</f>
        <v>1.3599999999999999E-2</v>
      </c>
      <c r="AA22" s="204">
        <f>ABS(Z22-Y22)</f>
        <v>23.2881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/stypes="app*4059*20171016*"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110-16 --locoid 4059 --swversion DE.1.0.9.0 --startMP 204:233017 --initTime 2017-10-16T05:27:56 --startdatetime 2017-10-16T05:42:31 --delay 52 --endMP 204:136 --enddatetime 2017-10-16T06:21:17 --enforcementcount 0 &gt;&gt;%USERPROFILE%\Documents\GitHub\eaglep3-reporting\EC\2017-10-16-refined-times.txt</v>
      </c>
      <c r="AI2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{"issue":{"subject":"","project_id":79,"tracker_id":40,"status_id":1,"priority_id":2,"assigned_to_id":338,"start_date":"2017-10-16","description":"","custom_fields":[{"id":1,"name":"Subdivision","value":"EC"},{"id":4,"name":"Milepost","value":"0.0136"},{"id":17,"name":"Train ID","value":"110-16"},{"id":16,"name":"Locomotive ID","value":"4059"},{"id":130,"name":"Impact","value":""},{"id":150,"name":"Time of Event (Mountain Time)","value":"06:21:17"},{"id":151,"name":"Denver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4059 --day 2017-10-16</v>
      </c>
      <c r="AN2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-16T04:27:56-0600',mode:absolute,to:'2017-10-16T07:21:17-0600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633</v>
      </c>
      <c r="B23" s="7">
        <v>4018</v>
      </c>
      <c r="C23" s="21" t="s">
        <v>194</v>
      </c>
      <c r="D23" s="21" t="s">
        <v>419</v>
      </c>
      <c r="E23" s="13">
        <v>43024.206145833334</v>
      </c>
      <c r="F23" s="13">
        <v>43024.208645833336</v>
      </c>
      <c r="G23" s="7">
        <v>66</v>
      </c>
      <c r="H23" s="21" t="s">
        <v>548</v>
      </c>
      <c r="I23" s="13">
        <v>43024.235590277778</v>
      </c>
      <c r="J23" s="7">
        <v>0</v>
      </c>
      <c r="K23" s="89" t="str">
        <f>IF(ISEVEN(B23),(B23-1)&amp;"/"&amp;B23,B23&amp;"/"&amp;(B23+1))</f>
        <v>4017/4018</v>
      </c>
      <c r="L23" s="185" t="str">
        <f>VLOOKUP(A23,'Trips&amp;Operators'!$C$1:$G$99911,5,FALSE)</f>
        <v>THOMPSON LESTER</v>
      </c>
      <c r="M23" s="6">
        <f>I23-F23</f>
        <v>2.6944444442051463E-2</v>
      </c>
      <c r="N23" s="7">
        <f>24*60*SUM($M23:$M23)</f>
        <v>38.799999996554106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-16T03:56:51-0600',mode:absolute,to:'2017-10-16T06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4.6399999999999997E-2</v>
      </c>
      <c r="Z23" s="204">
        <f>RIGHT(H23,LEN(H23)-4)/10000</f>
        <v>23.327400000000001</v>
      </c>
      <c r="AA23" s="204">
        <f>ABS(Z23-Y23)</f>
        <v>23.281000000000002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/stypes="app*4018*20171016*"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111-16 --locoid 4018 --swversion DE.1.0.9.0 --startMP 204:464 --initTime 2017-10-16T04:56:51 --startdatetime 2017-10-16T05:00:27 --delay 66 --endMP 204:233274 --enddatetime 2017-10-16T05:39:15 --enforcementcount 0 &gt;&gt;%USERPROFILE%\Documents\GitHub\eaglep3-reporting\EC\2017-10-16-refined-times.txt</v>
      </c>
      <c r="AI2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{"issue":{"subject":"","project_id":79,"tracker_id":40,"status_id":1,"priority_id":2,"assigned_to_id":338,"start_date":"2017-10-16","description":"","custom_fields":[{"id":1,"name":"Subdivision","value":"EC"},{"id":4,"name":"Milepost","value":"23.3274"},{"id":17,"name":"Train ID","value":"111-16"},{"id":16,"name":"Locomotive ID","value":"4018"},{"id":130,"name":"Impact","value":""},{"id":150,"name":"Time of Event (Mountain Time)","value":"05:39:15"},{"id":151,"name":"Denver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4018 --day 2017-10-16</v>
      </c>
      <c r="AN2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-16T03:56:51-0600',mode:absolute,to:'2017-10-16T06:39:15-0600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650</v>
      </c>
      <c r="B24" s="7">
        <v>4017</v>
      </c>
      <c r="C24" s="21" t="s">
        <v>194</v>
      </c>
      <c r="D24" s="21" t="s">
        <v>842</v>
      </c>
      <c r="E24" s="13">
        <v>43024.24658564815</v>
      </c>
      <c r="F24" s="13">
        <v>43024.248101851852</v>
      </c>
      <c r="G24" s="7">
        <v>59</v>
      </c>
      <c r="H24" s="21" t="s">
        <v>337</v>
      </c>
      <c r="I24" s="13">
        <v>43024.276018518518</v>
      </c>
      <c r="J24" s="7">
        <v>0</v>
      </c>
      <c r="K24" s="89" t="str">
        <f>IF(ISEVEN(B24),(B24-1)&amp;"/"&amp;B24,B24&amp;"/"&amp;(B24+1))</f>
        <v>4017/4018</v>
      </c>
      <c r="L24" s="185" t="str">
        <f>VLOOKUP(A24,'Trips&amp;Operators'!$C$1:$G$99911,5,FALSE)</f>
        <v>THOMPSON LESTER</v>
      </c>
      <c r="M24" s="6">
        <f>I24-F24</f>
        <v>2.7916666665987577E-2</v>
      </c>
      <c r="N24" s="7">
        <f>24*60*SUM($M24:$M24)</f>
        <v>40.199999999022111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-16T04:55:05-0600',mode:absolute,to:'2017-10-16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23.296199999999999</v>
      </c>
      <c r="Z24" s="204">
        <f>RIGHT(H24,LEN(H24)-4)/10000</f>
        <v>1.43E-2</v>
      </c>
      <c r="AA24" s="204">
        <f>ABS(Z24-Y24)</f>
        <v>23.2819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/stypes="app*4017*20171016*"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112-16 --locoid 4017 --swversion DE.1.0.9.0 --startMP 204:232962 --initTime 2017-10-16T05:55:05 --startdatetime 2017-10-16T05:57:16 --delay 59 --endMP 204:143 --enddatetime 2017-10-16T06:37:28 --enforcementcount 0 &gt;&gt;%USERPROFILE%\Documents\GitHub\eaglep3-reporting\EC\2017-10-16-refined-times.txt</v>
      </c>
      <c r="AI2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{"issue":{"subject":"","project_id":79,"tracker_id":40,"status_id":1,"priority_id":2,"assigned_to_id":338,"start_date":"2017-10-16","description":"","custom_fields":[{"id":1,"name":"Subdivision","value":"EC"},{"id":4,"name":"Milepost","value":"0.0143"},{"id":17,"name":"Train ID","value":"112-16"},{"id":16,"name":"Locomotive ID","value":"4017"},{"id":130,"name":"Impact","value":""},{"id":150,"name":"Time of Event (Mountain Time)","value":"06:37:28"},{"id":151,"name":"Denver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4017 --day 2017-10-16</v>
      </c>
      <c r="AN2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-16T04:55:05-0600',mode:absolute,to:'2017-10-16T07:37:28-0600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636</v>
      </c>
      <c r="B25" s="7">
        <v>4010</v>
      </c>
      <c r="C25" s="21" t="s">
        <v>194</v>
      </c>
      <c r="D25" s="21" t="s">
        <v>334</v>
      </c>
      <c r="E25" s="13">
        <v>43024.212546296294</v>
      </c>
      <c r="F25" s="13">
        <v>43024.218935185185</v>
      </c>
      <c r="G25" s="7">
        <v>76</v>
      </c>
      <c r="H25" s="21" t="s">
        <v>390</v>
      </c>
      <c r="I25" s="13">
        <v>43024.243993055556</v>
      </c>
      <c r="J25" s="7">
        <v>0</v>
      </c>
      <c r="K25" s="89" t="str">
        <f>IF(ISEVEN(B25),(B25-1)&amp;"/"&amp;B25,B25&amp;"/"&amp;(B25+1))</f>
        <v>4009/4010</v>
      </c>
      <c r="L25" s="185" t="str">
        <f>VLOOKUP(A25,'Trips&amp;Operators'!$C$1:$G$99911,5,FALSE)</f>
        <v>YANG JAN</v>
      </c>
      <c r="M25" s="6">
        <f>I25-F25</f>
        <v>2.5057870370801538E-2</v>
      </c>
      <c r="N25" s="7">
        <f>24*60*SUM($M25:$M25)</f>
        <v>36.083333333954215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-16T04:06:04-0600',mode:absolute,to:'2017-10-16T06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4.4600000000000001E-2</v>
      </c>
      <c r="Z25" s="204">
        <f>RIGHT(H25,LEN(H25)-4)/10000</f>
        <v>23.3291</v>
      </c>
      <c r="AA25" s="204">
        <f>ABS(Z25-Y25)</f>
        <v>23.284500000000001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/stypes="app*4010*20171016*"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113-16 --locoid 4010 --swversion DE.1.0.9.0 --startMP 204:446 --initTime 2017-10-16T05:06:04 --startdatetime 2017-10-16T05:15:16 --delay 76 --endMP 204:233291 --enddatetime 2017-10-16T05:51:21 --enforcementcount 0 &gt;&gt;%USERPROFILE%\Documents\GitHub\eaglep3-reporting\EC\2017-10-16-refined-times.txt</v>
      </c>
      <c r="AI2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{"issue":{"subject":"","project_id":79,"tracker_id":40,"status_id":1,"priority_id":2,"assigned_to_id":338,"start_date":"2017-10-16","description":"","custom_fields":[{"id":1,"name":"Subdivision","value":"EC"},{"id":4,"name":"Milepost","value":"23.3291"},{"id":17,"name":"Train ID","value":"113-16"},{"id":16,"name":"Locomotive ID","value":"4010"},{"id":130,"name":"Impact","value":""},{"id":150,"name":"Time of Event (Mountain Time)","value":"05:51:21"},{"id":151,"name":"Denver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4010 --day 2017-10-16</v>
      </c>
      <c r="AN2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-16T04:06:04-0600',mode:absolute,to:'2017-10-16T06:51:21-0600'))&amp;_a=(columns:!('Message%20ID',Summary),filters:!(),index:'emp_*',interval:auto,query:(query_string:(analyze_wildcard:!t,query:'%22rtdc.l.rtdc.4010%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652</v>
      </c>
      <c r="B26" s="7">
        <v>4009</v>
      </c>
      <c r="C26" s="21" t="s">
        <v>194</v>
      </c>
      <c r="D26" s="21" t="s">
        <v>843</v>
      </c>
      <c r="E26" s="13">
        <v>43024.254641203705</v>
      </c>
      <c r="F26" s="13">
        <v>43024.258530092593</v>
      </c>
      <c r="G26" s="7">
        <v>68</v>
      </c>
      <c r="H26" s="21" t="s">
        <v>335</v>
      </c>
      <c r="I26" s="13">
        <v>43024.285405092596</v>
      </c>
      <c r="J26" s="7">
        <v>0</v>
      </c>
      <c r="K26" s="89" t="str">
        <f>IF(ISEVEN(B26),(B26-1)&amp;"/"&amp;B26,B26&amp;"/"&amp;(B26+1))</f>
        <v>4009/4010</v>
      </c>
      <c r="L26" s="185" t="str">
        <f>VLOOKUP(A26,'Trips&amp;Operators'!$C$1:$G$99911,5,FALSE)</f>
        <v>YANG JAN</v>
      </c>
      <c r="M26" s="6">
        <f>I26-F26</f>
        <v>2.6875000003201421E-2</v>
      </c>
      <c r="N26" s="7">
        <f>24*60*SUM($M26:$M26)</f>
        <v>38.700000004610047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-16T05:06:41-0600',mode:absolute,to:'2017-10-16T07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23.298200000000001</v>
      </c>
      <c r="Z26" s="204">
        <f>RIGHT(H26,LEN(H26)-4)/10000</f>
        <v>1.4999999999999999E-2</v>
      </c>
      <c r="AA26" s="204">
        <f>ABS(Z26-Y26)</f>
        <v>23.283200000000001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/stypes="app*4009*20171016*"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114-16 --locoid 4009 --swversion DE.1.0.9.0 --startMP 204:232982 --initTime 2017-10-16T06:06:41 --startdatetime 2017-10-16T06:12:17 --delay 68 --endMP 204:150 --enddatetime 2017-10-16T06:50:59 --enforcementcount 0 &gt;&gt;%USERPROFILE%\Documents\GitHub\eaglep3-reporting\EC\2017-10-16-refined-times.txt</v>
      </c>
      <c r="AI2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ID","value":"114-16"},{"id":16,"name":"Locomotive ID","value":"4009"},{"id":130,"name":"Impact","value":""},{"id":150,"name":"Time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4009 --day 2017-10-16</v>
      </c>
      <c r="AN2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-16T05:06:41-0600',mode:absolute,to:'2017-10-16T07:50:59-0600'))&amp;_a=(columns:!('Message%20ID',Summary),filters:!(),index:'emp_*',interval:auto,query:(query_string:(analyze_wildcard:!t,query:'%22rtdc.l.rtdc.4009%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640</v>
      </c>
      <c r="B27" s="7">
        <v>4030</v>
      </c>
      <c r="C27" s="21" t="s">
        <v>194</v>
      </c>
      <c r="D27" s="21" t="s">
        <v>354</v>
      </c>
      <c r="E27" s="13">
        <v>43024.224398148152</v>
      </c>
      <c r="F27" s="13">
        <v>43024.229456018518</v>
      </c>
      <c r="G27" s="7">
        <v>56</v>
      </c>
      <c r="H27" s="21" t="s">
        <v>437</v>
      </c>
      <c r="I27" s="13">
        <v>43024.25545138889</v>
      </c>
      <c r="J27" s="7">
        <v>0</v>
      </c>
      <c r="K27" s="89" t="str">
        <f>IF(ISEVEN(B27),(B27-1)&amp;"/"&amp;B27,B27&amp;"/"&amp;(B27+1))</f>
        <v>4029/4030</v>
      </c>
      <c r="L27" s="185" t="str">
        <f>VLOOKUP(A27,'Trips&amp;Operators'!$C$1:$G$99911,5,FALSE)</f>
        <v>LANGERAK WILLIAM</v>
      </c>
      <c r="M27" s="6">
        <f>I27-F27</f>
        <v>2.5995370371674653E-2</v>
      </c>
      <c r="N27" s="7">
        <f>24*60*SUM($M27:$M27)</f>
        <v>37.433333335211501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-16T04:23:08-0600',mode:absolute,to:'2017-10-16T07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4.58E-2</v>
      </c>
      <c r="Z27" s="204">
        <f>RIGHT(H27,LEN(H27)-4)/10000</f>
        <v>23.328900000000001</v>
      </c>
      <c r="AA27" s="204">
        <f>ABS(Z27-Y27)</f>
        <v>23.283100000000001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/stypes="app*4030*20171016*"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115-16 --locoid 4030 --swversion DE.1.0.9.0 --startMP 204:458 --initTime 2017-10-16T05:23:08 --startdatetime 2017-10-16T05:30:25 --delay 56 --endMP 204:233289 --enddatetime 2017-10-16T06:07:51 --enforcementcount 0 &gt;&gt;%USERPROFILE%\Documents\GitHub\eaglep3-reporting\EC\2017-10-16-refined-times.txt</v>
      </c>
      <c r="AI2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{"issue":{"subject":"","project_id":79,"tracker_id":40,"status_id":1,"priority_id":2,"assigned_to_id":338,"start_date":"2017-10-16","description":"","custom_fields":[{"id":1,"name":"Subdivision","value":"EC"},{"id":4,"name":"Milepost","value":"23.3289"},{"id":17,"name":"Train ID","value":"115-16"},{"id":16,"name":"Locomotive ID","value":"4030"},{"id":130,"name":"Impact","value":""},{"id":150,"name":"Time of Event (Mountain Time)","value":"06:07:51"},{"id":151,"name":"Denver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4030 --day 2017-10-16</v>
      </c>
      <c r="AN2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-16T04:23:08-0600',mode:absolute,to:'2017-10-16T07:07:51-0600'))&amp;_a=(columns:!('Message%20ID',Summary),filters:!(),index:'emp_*',interval:auto,query:(query_string:(analyze_wildcard:!t,query:'%22rtdc.l.rtdc.4030%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654</v>
      </c>
      <c r="B28" s="7">
        <v>4029</v>
      </c>
      <c r="C28" s="21" t="s">
        <v>194</v>
      </c>
      <c r="D28" s="21" t="s">
        <v>569</v>
      </c>
      <c r="E28" s="13">
        <v>43024.256585648145</v>
      </c>
      <c r="F28" s="13">
        <v>43024.268969907411</v>
      </c>
      <c r="G28" s="7">
        <v>54</v>
      </c>
      <c r="H28" s="21" t="s">
        <v>355</v>
      </c>
      <c r="I28" s="13">
        <v>43024.296249999999</v>
      </c>
      <c r="J28" s="7">
        <v>0</v>
      </c>
      <c r="K28" s="89" t="str">
        <f>IF(ISEVEN(B28),(B28-1)&amp;"/"&amp;B28,B28&amp;"/"&amp;(B28+1))</f>
        <v>4029/4030</v>
      </c>
      <c r="L28" s="185" t="str">
        <f>VLOOKUP(A28,'Trips&amp;Operators'!$C$1:$G$99911,5,FALSE)</f>
        <v>LANGERAK WILLIAM</v>
      </c>
      <c r="M28" s="6">
        <f>I28-F28</f>
        <v>2.7280092588625848E-2</v>
      </c>
      <c r="N28" s="7">
        <f>24*60*SUM($M28:$M28)</f>
        <v>39.283333327621222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-16T05:09:29-0600',mode:absolute,to:'2017-10-16T08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23.297899999999998</v>
      </c>
      <c r="Z28" s="204">
        <f>RIGHT(H28,LEN(H28)-4)/10000</f>
        <v>1.52E-2</v>
      </c>
      <c r="AA28" s="204">
        <f>ABS(Z28-Y28)</f>
        <v>23.282699999999998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/stypes="app*4029*20171016*"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116-16 --locoid 4029 --swversion DE.1.0.9.0 --startMP 204:232979 --initTime 2017-10-16T06:09:29 --startdatetime 2017-10-16T06:27:19 --delay 54 --endMP 204:152 --enddatetime 2017-10-16T07:06:36 --enforcementcount 0 &gt;&gt;%USERPROFILE%\Documents\GitHub\eaglep3-reporting\EC\2017-10-16-refined-times.txt</v>
      </c>
      <c r="AI2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{"issue":{"subject":"","project_id":79,"tracker_id":40,"status_id":1,"priority_id":2,"assigned_to_id":338,"start_date":"2017-10-16","description":"","custom_fields":[{"id":1,"name":"Subdivision","value":"EC"},{"id":4,"name":"Milepost","value":"0.0152"},{"id":17,"name":"Train ID","value":"116-16"},{"id":16,"name":"Locomotive ID","value":"4029"},{"id":130,"name":"Impact","value":""},{"id":150,"name":"Time of Event (Mountain Time)","value":"07:06:36"},{"id":151,"name":"Denver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4029 --day 2017-10-16</v>
      </c>
      <c r="AN2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-16T05:09:29-0600',mode:absolute,to:'2017-10-16T08:06:36-0600'))&amp;_a=(columns:!('Message%20ID',Summary),filters:!(),index:'emp_*',interval:auto,query:(query_string:(analyze_wildcard:!t,query:'%22rtdc.l.rtdc.4029%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644</v>
      </c>
      <c r="B29" s="7">
        <v>4024</v>
      </c>
      <c r="C29" s="21" t="s">
        <v>194</v>
      </c>
      <c r="D29" s="21" t="s">
        <v>363</v>
      </c>
      <c r="E29" s="13">
        <v>43024.234259259261</v>
      </c>
      <c r="F29" s="13">
        <v>43024.239953703705</v>
      </c>
      <c r="G29" s="7">
        <v>62</v>
      </c>
      <c r="H29" s="21" t="s">
        <v>844</v>
      </c>
      <c r="I29" s="13">
        <v>43024.263969907406</v>
      </c>
      <c r="J29" s="7">
        <v>0</v>
      </c>
      <c r="K29" s="89" t="str">
        <f>IF(ISEVEN(B29),(B29-1)&amp;"/"&amp;B29,B29&amp;"/"&amp;(B29+1))</f>
        <v>4023/4024</v>
      </c>
      <c r="L29" s="185" t="str">
        <f>VLOOKUP(A29,'Trips&amp;Operators'!$C$1:$G$99911,5,FALSE)</f>
        <v>LAMAR NEKESHA</v>
      </c>
      <c r="M29" s="6">
        <f>I29-F29</f>
        <v>2.4016203700739425E-2</v>
      </c>
      <c r="N29" s="7">
        <f>24*60*SUM($M29:$M29)</f>
        <v>34.583333329064772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-16T04:37:20-0600',mode:absolute,to:'2017-10-16T07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4.5999999999999999E-2</v>
      </c>
      <c r="Z29" s="204">
        <f>RIGHT(H29,LEN(H29)-4)/10000</f>
        <v>23.3307</v>
      </c>
      <c r="AA29" s="204">
        <f>ABS(Z29-Y29)</f>
        <v>23.284700000000001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/stypes="app*4024*20171016*"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117-16 --locoid 4024 --swversion DE.1.0.9.0 --startMP 204:460 --initTime 2017-10-16T05:37:20 --startdatetime 2017-10-16T05:45:32 --delay 62 --endMP 204:233307 --enddatetime 2017-10-16T06:20:07 --enforcementcount 0 &gt;&gt;%USERPROFILE%\Documents\GitHub\eaglep3-reporting\EC\2017-10-16-refined-times.txt</v>
      </c>
      <c r="AI2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{"issue":{"subject":"","project_id":79,"tracker_id":40,"status_id":1,"priority_id":2,"assigned_to_id":338,"start_date":"2017-10-16","description":"","custom_fields":[{"id":1,"name":"Subdivision","value":"EC"},{"id":4,"name":"Milepost","value":"23.3307"},{"id":17,"name":"Train ID","value":"117-16"},{"id":16,"name":"Locomotive ID","value":"4024"},{"id":130,"name":"Impact","value":""},{"id":150,"name":"Time of Event (Mountain Time)","value":"06:20:07"},{"id":151,"name":"Denver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4024 --day 2017-10-16</v>
      </c>
      <c r="AN2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-16T04:37:20-0600',mode:absolute,to:'2017-10-16T07:20:07-0600'))&amp;_a=(columns:!('Message%20ID',Summary),filters:!(),index:'emp_*',interval:auto,query:(query_string:(analyze_wildcard:!t,query:'%22rtdc.l.rtdc.4024%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657</v>
      </c>
      <c r="B30" s="7">
        <v>4023</v>
      </c>
      <c r="C30" s="21" t="s">
        <v>194</v>
      </c>
      <c r="D30" s="21" t="s">
        <v>432</v>
      </c>
      <c r="E30" s="13">
        <v>43024.270462962966</v>
      </c>
      <c r="F30" s="13">
        <v>43024.279363425929</v>
      </c>
      <c r="G30" s="7">
        <v>51</v>
      </c>
      <c r="H30" s="21" t="s">
        <v>426</v>
      </c>
      <c r="I30" s="13">
        <v>43024.30574074074</v>
      </c>
      <c r="J30" s="7">
        <v>0</v>
      </c>
      <c r="K30" s="89" t="str">
        <f>IF(ISEVEN(B30),(B30-1)&amp;"/"&amp;B30,B30&amp;"/"&amp;(B30+1))</f>
        <v>4023/4024</v>
      </c>
      <c r="L30" s="185" t="str">
        <f>VLOOKUP(A30,'Trips&amp;Operators'!$C$1:$G$99911,5,FALSE)</f>
        <v>LAMAR NEKESHA</v>
      </c>
      <c r="M30" s="6">
        <f>I30-F30</f>
        <v>2.6377314810815733E-2</v>
      </c>
      <c r="N30" s="7">
        <f>24*60*SUM($M30:$M30)</f>
        <v>37.983333327574655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-16T05:29:28-0600',mode:absolute,to:'2017-10-16T08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23.296500000000002</v>
      </c>
      <c r="Z30" s="204">
        <f>RIGHT(H30,LEN(H30)-4)/10000</f>
        <v>1.6500000000000001E-2</v>
      </c>
      <c r="AA30" s="204">
        <f>ABS(Z30-Y30)</f>
        <v>23.28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/stypes="app*4023*20171016*"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118-16 --locoid 4023 --swversion DE.1.0.9.0 --startMP 204:232965 --initTime 2017-10-16T06:29:28 --startdatetime 2017-10-16T06:42:17 --delay 51 --endMP 204:165 --enddatetime 2017-10-16T07:20:16 --enforcementcount 0 &gt;&gt;%USERPROFILE%\Documents\GitHub\eaglep3-reporting\EC\2017-10-16-refined-times.txt</v>
      </c>
      <c r="AI3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{"issue":{"subject":"","project_id":79,"tracker_id":40,"status_id":1,"priority_id":2,"assigned_to_id":338,"start_date":"2017-10-16","description":"","custom_fields":[{"id":1,"name":"Subdivision","value":"EC"},{"id":4,"name":"Milepost","value":"0.0165"},{"id":17,"name":"Train ID","value":"118-16"},{"id":16,"name":"Locomotive ID","value":"4023"},{"id":130,"name":"Impact","value":""},{"id":150,"name":"Time of Event (Mountain Time)","value":"07:20:16"},{"id":151,"name":"Denver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4023 --day 2017-10-16</v>
      </c>
      <c r="AN3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-16T05:29:28-0600',mode:absolute,to:'2017-10-16T08:20:16-0600'))&amp;_a=(columns:!('Message%20ID',Summary),filters:!(),index:'emp_*',interval:auto,query:(query_string:(analyze_wildcard:!t,query:'%22rtdc.l.rtdc.4023%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648</v>
      </c>
      <c r="B31" s="7">
        <v>4026</v>
      </c>
      <c r="C31" s="21" t="s">
        <v>194</v>
      </c>
      <c r="D31" s="21" t="s">
        <v>434</v>
      </c>
      <c r="E31" s="13">
        <v>43024.243703703702</v>
      </c>
      <c r="F31" s="13">
        <v>43024.250520833331</v>
      </c>
      <c r="G31" s="7">
        <v>40</v>
      </c>
      <c r="H31" s="21" t="s">
        <v>556</v>
      </c>
      <c r="I31" s="13">
        <v>43024.274872685186</v>
      </c>
      <c r="J31" s="7">
        <v>0</v>
      </c>
      <c r="K31" s="89" t="str">
        <f>IF(ISEVEN(B31),(B31-1)&amp;"/"&amp;B31,B31&amp;"/"&amp;(B31+1))</f>
        <v>4025/4026</v>
      </c>
      <c r="L31" s="185" t="str">
        <f>VLOOKUP(A31,'Trips&amp;Operators'!$C$1:$G$99911,5,FALSE)</f>
        <v>YORK EDGAR</v>
      </c>
      <c r="M31" s="6">
        <f>I31-F31</f>
        <v>2.4351851854589768E-2</v>
      </c>
      <c r="N31" s="7">
        <f>24*60*SUM($M31:$M31)</f>
        <v>35.066666670609266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-16T04:50:56-0600',mode:absolute,to:'2017-10-16T07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4.6199999999999998E-2</v>
      </c>
      <c r="Z31" s="204">
        <f>RIGHT(H31,LEN(H31)-4)/10000</f>
        <v>23.329499999999999</v>
      </c>
      <c r="AA31" s="204">
        <f>ABS(Z31-Y31)</f>
        <v>23.283300000000001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/stypes="app*4026*20171016*"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119-16 --locoid 4026 --swversion DE.1.0.9.0 --startMP 204:462 --initTime 2017-10-16T05:50:56 --startdatetime 2017-10-16T06:00:45 --delay 40 --endMP 204:233295 --enddatetime 2017-10-16T06:35:49 --enforcementcount 0 &gt;&gt;%USERPROFILE%\Documents\GitHub\eaglep3-reporting\EC\2017-10-16-refined-times.txt</v>
      </c>
      <c r="AI3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{"issue":{"subject":"","project_id":79,"tracker_id":40,"status_id":1,"priority_id":2,"assigned_to_id":338,"start_date":"2017-10-16","description":"","custom_fields":[{"id":1,"name":"Subdivision","value":"EC"},{"id":4,"name":"Milepost","value":"23.3295"},{"id":17,"name":"Train ID","value":"119-16"},{"id":16,"name":"Locomotive ID","value":"4026"},{"id":130,"name":"Impact","value":""},{"id":150,"name":"Time of Event (Mountain Time)","value":"06:35:49"},{"id":151,"name":"Denver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4026 --day 2017-10-16</v>
      </c>
      <c r="AN3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-16T04:50:56-0600',mode:absolute,to:'2017-10-16T07:35:49-0600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659</v>
      </c>
      <c r="B32" s="7">
        <v>4025</v>
      </c>
      <c r="C32" s="21" t="s">
        <v>194</v>
      </c>
      <c r="D32" s="21" t="s">
        <v>845</v>
      </c>
      <c r="E32" s="13">
        <v>43024.275821759256</v>
      </c>
      <c r="F32" s="13">
        <v>43024.28979166667</v>
      </c>
      <c r="G32" s="7">
        <v>105</v>
      </c>
      <c r="H32" s="21" t="s">
        <v>336</v>
      </c>
      <c r="I32" s="13">
        <v>43024.315740740742</v>
      </c>
      <c r="J32" s="7">
        <v>0</v>
      </c>
      <c r="K32" s="89" t="str">
        <f>IF(ISEVEN(B32),(B32-1)&amp;"/"&amp;B32,B32&amp;"/"&amp;(B32+1))</f>
        <v>4025/4026</v>
      </c>
      <c r="L32" s="185" t="str">
        <f>VLOOKUP(A32,'Trips&amp;Operators'!$C$1:$G$99911,5,FALSE)</f>
        <v>YORK EDGAR</v>
      </c>
      <c r="M32" s="6">
        <f>I32-F32</f>
        <v>2.5949074071832001E-2</v>
      </c>
      <c r="N32" s="7">
        <f>24*60*SUM($M32:$M32)</f>
        <v>37.366666663438082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-16T05:37:11-0600',mode:absolute,to:'2017-10-16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23.296800000000001</v>
      </c>
      <c r="Z32" s="204">
        <f>RIGHT(H32,LEN(H32)-4)/10000</f>
        <v>1.49E-2</v>
      </c>
      <c r="AA32" s="204">
        <f>ABS(Z32-Y32)</f>
        <v>23.2819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/stypes="app*4025*20171016*"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120-16 --locoid 4025 --swversion DE.1.0.9.0 --startMP 204:232968 --initTime 2017-10-16T06:37:11 --startdatetime 2017-10-16T06:57:18 --delay 105 --endMP 204:149 --enddatetime 2017-10-16T07:34:40 --enforcementcount 0 &gt;&gt;%USERPROFILE%\Documents\GitHub\eaglep3-reporting\EC\2017-10-16-refined-times.txt</v>
      </c>
      <c r="AI3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ID","value":"120-16"},{"id":16,"name":"Locomotive ID","value":"4025"},{"id":130,"name":"Impact","value":""},{"id":150,"name":"Time of Event (Mountain Time)","value":"07:34:40"},{"id":151,"name":"Denver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4025 --day 2017-10-16</v>
      </c>
      <c r="AN3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-16T05:37:11-0600',mode:absolute,to:'2017-10-16T08:34:40-0600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653</v>
      </c>
      <c r="B33" s="7">
        <v>4020</v>
      </c>
      <c r="C33" s="21" t="s">
        <v>194</v>
      </c>
      <c r="D33" s="21" t="s">
        <v>846</v>
      </c>
      <c r="E33" s="13">
        <v>43024.254780092589</v>
      </c>
      <c r="F33" s="13">
        <v>43024.260729166665</v>
      </c>
      <c r="G33" s="7">
        <v>65</v>
      </c>
      <c r="H33" s="21" t="s">
        <v>573</v>
      </c>
      <c r="I33" s="13">
        <v>43024.284351851849</v>
      </c>
      <c r="J33" s="7">
        <v>0</v>
      </c>
      <c r="K33" s="89" t="str">
        <f>IF(ISEVEN(B33),(B33-1)&amp;"/"&amp;B33,B33&amp;"/"&amp;(B33+1))</f>
        <v>4019/4020</v>
      </c>
      <c r="L33" s="185" t="str">
        <f>VLOOKUP(A33,'Trips&amp;Operators'!$C$1:$G$99911,5,FALSE)</f>
        <v>LALONDE GREGORY</v>
      </c>
      <c r="M33" s="6">
        <f>I33-F33</f>
        <v>2.3622685184818693E-2</v>
      </c>
      <c r="N33" s="7">
        <f>24*60*SUM($M33:$M33)</f>
        <v>34.016666666138917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-16T05:06:53-0600',mode:absolute,to:'2017-10-16T07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4.9799999999999997E-2</v>
      </c>
      <c r="Z33" s="204">
        <f>RIGHT(H33,LEN(H33)-4)/10000</f>
        <v>23.333400000000001</v>
      </c>
      <c r="AA33" s="204">
        <f>ABS(Z33-Y33)</f>
        <v>23.2836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/stypes="app*4020*20171016*"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121-16 --locoid 4020 --swversion DE.1.0.9.0 --startMP 204:498 --initTime 2017-10-16T06:06:53 --startdatetime 2017-10-16T06:15:27 --delay 65 --endMP 204:233334 --enddatetime 2017-10-16T06:49:28 --enforcementcount 0 &gt;&gt;%USERPROFILE%\Documents\GitHub\eaglep3-reporting\EC\2017-10-16-refined-times.txt</v>
      </c>
      <c r="AI3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{"issue":{"subject":"","project_id":79,"tracker_id":40,"status_id":1,"priority_id":2,"assigned_to_id":338,"start_date":"2017-10-16","description":"","custom_fields":[{"id":1,"name":"Subdivision","value":"EC"},{"id":4,"name":"Milepost","value":"23.3334"},{"id":17,"name":"Train ID","value":"121-16"},{"id":16,"name":"Locomotive ID","value":"4020"},{"id":130,"name":"Impact","value":""},{"id":150,"name":"Time of Event (Mountain Time)","value":"06:49:28"},{"id":151,"name":"Denver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4020 --day 2017-10-16</v>
      </c>
      <c r="AN3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-16T05:06:53-0600',mode:absolute,to:'2017-10-16T07:49:28-0600'))&amp;_a=(columns:!('Message%20ID',Summary),filters:!(),index:'emp_*',interval:auto,query:(query_string:(analyze_wildcard:!t,query:'%22rtdc.l.rtdc.4020%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660</v>
      </c>
      <c r="B34" s="7">
        <v>4019</v>
      </c>
      <c r="C34" s="21" t="s">
        <v>194</v>
      </c>
      <c r="D34" s="21" t="s">
        <v>847</v>
      </c>
      <c r="E34" s="13">
        <v>43024.285740740743</v>
      </c>
      <c r="F34" s="13">
        <v>43024.300150462965</v>
      </c>
      <c r="G34" s="7">
        <v>65</v>
      </c>
      <c r="H34" s="21" t="s">
        <v>356</v>
      </c>
      <c r="I34" s="13">
        <v>43024.326168981483</v>
      </c>
      <c r="J34" s="7">
        <v>0</v>
      </c>
      <c r="K34" s="89" t="str">
        <f>IF(ISEVEN(B34),(B34-1)&amp;"/"&amp;B34,B34&amp;"/"&amp;(B34+1))</f>
        <v>4019/4020</v>
      </c>
      <c r="L34" s="185" t="str">
        <f>VLOOKUP(A34,'Trips&amp;Operators'!$C$1:$G$99911,5,FALSE)</f>
        <v>LALONDE GREGORY</v>
      </c>
      <c r="M34" s="6">
        <f>I34-F34</f>
        <v>2.6018518517958E-2</v>
      </c>
      <c r="N34" s="7">
        <f>24*60*SUM($M34:$M34)</f>
        <v>37.46666666585952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-16T05:51:28-0600',mode:absolute,to:'2017-10-16T08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23.301100000000002</v>
      </c>
      <c r="Z34" s="204">
        <f>RIGHT(H34,LEN(H34)-4)/10000</f>
        <v>1.4500000000000001E-2</v>
      </c>
      <c r="AA34" s="204">
        <f>ABS(Z34-Y34)</f>
        <v>23.2866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/stypes="app*4019*20171016*"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122-16 --locoid 4019 --swversion DE.1.0.9.0 --startMP 204:233011 --initTime 2017-10-16T06:51:28 --startdatetime 2017-10-16T07:12:13 --delay 65 --endMP 204:145 --enddatetime 2017-10-16T07:49:41 --enforcementcount 0 &gt;&gt;%USERPROFILE%\Documents\GitHub\eaglep3-reporting\EC\2017-10-16-refined-times.txt</v>
      </c>
      <c r="AI3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ID","value":"122-16"},{"id":16,"name":"Locomotive ID","value":"4019"},{"id":130,"name":"Impact","value":""},{"id":150,"name":"Time of Event (Mountain Time)","value":"07:49:41"},{"id":151,"name":"Denver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4019 --day 2017-10-16</v>
      </c>
      <c r="AN3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-16T05:51:28-0600',mode:absolute,to:'2017-10-16T08:49:41-0600'))&amp;_a=(columns:!('Message%20ID',Summary),filters:!(),index:'emp_*',interval:auto,query:(query_string:(analyze_wildcard:!t,query:'%22rtdc.l.rtdc.4019%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655</v>
      </c>
      <c r="B35" s="7">
        <v>4060</v>
      </c>
      <c r="C35" s="21" t="s">
        <v>194</v>
      </c>
      <c r="D35" s="21" t="s">
        <v>338</v>
      </c>
      <c r="E35" s="13">
        <v>43024.266597222224</v>
      </c>
      <c r="F35" s="13">
        <v>43024.27107638889</v>
      </c>
      <c r="G35" s="7">
        <v>48</v>
      </c>
      <c r="H35" s="21" t="s">
        <v>848</v>
      </c>
      <c r="I35" s="13">
        <v>43024.296956018516</v>
      </c>
      <c r="J35" s="7">
        <v>0</v>
      </c>
      <c r="K35" s="89" t="str">
        <f>IF(ISEVEN(B35),(B35-1)&amp;"/"&amp;B35,B35&amp;"/"&amp;(B35+1))</f>
        <v>4059/4060</v>
      </c>
      <c r="L35" s="185" t="str">
        <f>VLOOKUP(A35,'Trips&amp;Operators'!$C$1:$G$99911,5,FALSE)</f>
        <v>MAELZER KURT</v>
      </c>
      <c r="M35" s="6">
        <f>I35-F35</f>
        <v>2.5879629625706002E-2</v>
      </c>
      <c r="N35" s="7">
        <f>24*60*SUM($M35:$M35)</f>
        <v>37.266666661016643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-16T05:23:54-0600',mode:absolute,to:'2017-10-16T08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4.53E-2</v>
      </c>
      <c r="Z35" s="204">
        <f>RIGHT(H35,LEN(H35)-4)/10000</f>
        <v>23.334599999999998</v>
      </c>
      <c r="AA35" s="204">
        <f>ABS(Z35-Y35)</f>
        <v>23.289299999999997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/stypes="app*4060*20171016*"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123-16 --locoid 4060 --swversion DE.1.0.9.0 --startMP 204:453 --initTime 2017-10-16T06:23:54 --startdatetime 2017-10-16T06:30:21 --delay 48 --endMP 204:233346 --enddatetime 2017-10-16T07:07:37 --enforcementcount 0 &gt;&gt;%USERPROFILE%\Documents\GitHub\eaglep3-reporting\EC\2017-10-16-refined-times.txt</v>
      </c>
      <c r="AI3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{"issue":{"subject":"","project_id":79,"tracker_id":40,"status_id":1,"priority_id":2,"assigned_to_id":338,"start_date":"2017-10-16","description":"","custom_fields":[{"id":1,"name":"Subdivision","value":"EC"},{"id":4,"name":"Milepost","value":"23.3346"},{"id":17,"name":"Train ID","value":"123-16"},{"id":16,"name":"Locomotive ID","value":"4060"},{"id":130,"name":"Impact","value":""},{"id":150,"name":"Time of Event (Mountain Time)","value":"07:07:37"},{"id":151,"name":"Denver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4060 --day 2017-10-16</v>
      </c>
      <c r="AN3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-16T05:23:54-0600',mode:absolute,to:'2017-10-16T08:07:37-0600'))&amp;_a=(columns:!('Message%20ID',Summary),filters:!(),index:'emp_*',interval:auto,query:(query_string:(analyze_wildcard:!t,query:'%22rtdc.l.rtdc.4060%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667</v>
      </c>
      <c r="B36" s="7">
        <v>4059</v>
      </c>
      <c r="C36" s="21" t="s">
        <v>194</v>
      </c>
      <c r="D36" s="21" t="s">
        <v>841</v>
      </c>
      <c r="E36" s="13">
        <v>43024.305127314816</v>
      </c>
      <c r="F36" s="13">
        <v>43024.310891203706</v>
      </c>
      <c r="G36" s="7">
        <v>50</v>
      </c>
      <c r="H36" s="21" t="s">
        <v>356</v>
      </c>
      <c r="I36" s="13">
        <v>43024.337465277778</v>
      </c>
      <c r="J36" s="7">
        <v>0</v>
      </c>
      <c r="K36" s="89" t="str">
        <f>IF(ISEVEN(B36),(B36-1)&amp;"/"&amp;B36,B36&amp;"/"&amp;(B36+1))</f>
        <v>4059/4060</v>
      </c>
      <c r="L36" s="185" t="str">
        <f>VLOOKUP(A36,'Trips&amp;Operators'!$C$1:$G$99911,5,FALSE)</f>
        <v>MAELZER KURT</v>
      </c>
      <c r="M36" s="6">
        <f>I36-F36</f>
        <v>2.6574074072414078E-2</v>
      </c>
      <c r="N36" s="7">
        <f>24*60*SUM($M36:$M36)</f>
        <v>38.266666664276272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-16T06:19:23-0600',mode:absolute,to:'2017-10-16T09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23.3017</v>
      </c>
      <c r="Z36" s="204">
        <f>RIGHT(H36,LEN(H36)-4)/10000</f>
        <v>1.4500000000000001E-2</v>
      </c>
      <c r="AA36" s="204">
        <f>ABS(Z36-Y36)</f>
        <v>23.287199999999999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/stypes="app*4059*20171016*"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124-16 --locoid 4059 --swversion DE.1.0.9.0 --startMP 204:233017 --initTime 2017-10-16T07:19:23 --startdatetime 2017-10-16T07:27:41 --delay 50 --endMP 204:145 --enddatetime 2017-10-16T08:05:57 --enforcementcount 0 &gt;&gt;%USERPROFILE%\Documents\GitHub\eaglep3-reporting\EC\2017-10-16-refined-times.txt</v>
      </c>
      <c r="AI3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ID","value":"124-16"},{"id":16,"name":"Locomotive ID","value":"4059"},{"id":130,"name":"Impact","value":""},{"id":150,"name":"Time of Event (Mountain Time)","value":"08:05:57"},{"id":151,"name":"Denver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4059 --day 2017-10-16</v>
      </c>
      <c r="AN3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-16T06:19:23-0600',mode:absolute,to:'2017-10-16T09:05:57-0600'))&amp;_a=(columns:!('Message%20ID',Summary),filters:!(),index:'emp_*',interval:auto,query:(query_string:(analyze_wildcard:!t,query:'%22rtdc.l.rtdc.4059%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582</v>
      </c>
      <c r="B37" s="7">
        <v>4018</v>
      </c>
      <c r="C37" s="21" t="s">
        <v>194</v>
      </c>
      <c r="D37" s="21" t="s">
        <v>431</v>
      </c>
      <c r="E37" s="13">
        <v>43024.278587962966</v>
      </c>
      <c r="F37" s="13">
        <v>43024.281539351854</v>
      </c>
      <c r="G37" s="7">
        <v>53</v>
      </c>
      <c r="H37" s="21" t="s">
        <v>849</v>
      </c>
      <c r="I37" s="13">
        <v>43024.306539351855</v>
      </c>
      <c r="J37" s="7">
        <v>0</v>
      </c>
      <c r="K37" s="89" t="str">
        <f>IF(ISEVEN(B37),(B37-1)&amp;"/"&amp;B37,B37&amp;"/"&amp;(B37+1))</f>
        <v>4017/4018</v>
      </c>
      <c r="L37" s="185" t="str">
        <f>VLOOKUP(A37,'Trips&amp;Operators'!$C$1:$G$99911,5,FALSE)</f>
        <v>THOMPSON LESTER</v>
      </c>
      <c r="M37" s="6">
        <f>I37-F37</f>
        <v>2.5000000001455192E-2</v>
      </c>
      <c r="N37" s="7">
        <f>24*60*SUM($M37:$M37)</f>
        <v>36.000000002095476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-16T05:41:10-0600',mode:absolute,to:'2017-10-16T08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4.4200000000000003E-2</v>
      </c>
      <c r="Z37" s="204">
        <f>RIGHT(H37,LEN(H37)-4)/10000</f>
        <v>23.324100000000001</v>
      </c>
      <c r="AA37" s="204">
        <f>ABS(Z37-Y37)</f>
        <v>23.279900000000001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/stypes="app*4018*20171016*"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125-16 --locoid 4018 --swversion DE.1.0.9.0 --startMP 204:442 --initTime 2017-10-16T06:41:10 --startdatetime 2017-10-16T06:45:25 --delay 53 --endMP 204:233241 --enddatetime 2017-10-16T07:21:25 --enforcementcount 0 &gt;&gt;%USERPROFILE%\Documents\GitHub\eaglep3-reporting\EC\2017-10-16-refined-times.txt</v>
      </c>
      <c r="AI3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{"issue":{"subject":"","project_id":79,"tracker_id":40,"status_id":1,"priority_id":2,"assigned_to_id":338,"start_date":"2017-10-16","description":"","custom_fields":[{"id":1,"name":"Subdivision","value":"EC"},{"id":4,"name":"Milepost","value":"23.3241"},{"id":17,"name":"Train ID","value":"125-16"},{"id":16,"name":"Locomotive ID","value":"4018"},{"id":130,"name":"Impact","value":""},{"id":150,"name":"Time of Event (Mountain Time)","value":"07:21:25"},{"id":151,"name":"Denver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4018 --day 2017-10-16</v>
      </c>
      <c r="AN3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-16T05:41:10-0600',mode:absolute,to:'2017-10-16T08:21:25-0600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672</v>
      </c>
      <c r="B38" s="7">
        <v>4017</v>
      </c>
      <c r="C38" s="21" t="s">
        <v>194</v>
      </c>
      <c r="D38" s="21" t="s">
        <v>850</v>
      </c>
      <c r="E38" s="13">
        <v>43024.31758101852</v>
      </c>
      <c r="F38" s="13">
        <v>43024.32104166667</v>
      </c>
      <c r="G38" s="7">
        <v>64</v>
      </c>
      <c r="H38" s="21" t="s">
        <v>335</v>
      </c>
      <c r="I38" s="13">
        <v>43024.348657407405</v>
      </c>
      <c r="J38" s="7">
        <v>0</v>
      </c>
      <c r="K38" s="89" t="str">
        <f>IF(ISEVEN(B38),(B38-1)&amp;"/"&amp;B38,B38&amp;"/"&amp;(B38+1))</f>
        <v>4017/4018</v>
      </c>
      <c r="L38" s="185" t="str">
        <f>VLOOKUP(A38,'Trips&amp;Operators'!$C$1:$G$99911,5,FALSE)</f>
        <v>THOMPSON LESTER</v>
      </c>
      <c r="M38" s="6">
        <f>I38-F38</f>
        <v>2.7615740735200234E-2</v>
      </c>
      <c r="N38" s="7">
        <f>24*60*SUM($M38:$M38)</f>
        <v>39.766666658688337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-16T06:37:19-0600',mode:absolute,to:'2017-10-16T09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23.291899999999998</v>
      </c>
      <c r="Z38" s="204">
        <f>RIGHT(H38,LEN(H38)-4)/10000</f>
        <v>1.4999999999999999E-2</v>
      </c>
      <c r="AA38" s="204">
        <f>ABS(Z38-Y38)</f>
        <v>23.276899999999998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/stypes="app*4017*20171016*"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126-16 --locoid 4017 --swversion DE.1.0.9.0 --startMP 204:232919 --initTime 2017-10-16T07:37:19 --startdatetime 2017-10-16T07:42:18 --delay 64 --endMP 204:150 --enddatetime 2017-10-16T08:22:04 --enforcementcount 0 &gt;&gt;%USERPROFILE%\Documents\GitHub\eaglep3-reporting\EC\2017-10-16-refined-times.txt</v>
      </c>
      <c r="AI3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ID","value":"126-16"},{"id":16,"name":"Locomotive ID","value":"4017"},{"id":130,"name":"Impact","value":""},{"id":150,"name":"Time of Event (Mountain Time)","value":"08:22:04"},{"id":151,"name":"Denver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4017 --day 2017-10-16</v>
      </c>
      <c r="AN3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-16T06:37:19-0600',mode:absolute,to:'2017-10-16T09:22:04-0600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661</v>
      </c>
      <c r="B39" s="7">
        <v>4010</v>
      </c>
      <c r="C39" s="21" t="s">
        <v>194</v>
      </c>
      <c r="D39" s="21" t="s">
        <v>380</v>
      </c>
      <c r="E39" s="13">
        <v>43024.288148148145</v>
      </c>
      <c r="F39" s="13">
        <v>43024.291875000003</v>
      </c>
      <c r="G39" s="7">
        <v>52</v>
      </c>
      <c r="H39" s="21" t="s">
        <v>552</v>
      </c>
      <c r="I39" s="13">
        <v>43024.317187499997</v>
      </c>
      <c r="J39" s="7">
        <v>0</v>
      </c>
      <c r="K39" s="89" t="str">
        <f>IF(ISEVEN(B39),(B39-1)&amp;"/"&amp;B39,B39&amp;"/"&amp;(B39+1))</f>
        <v>4009/4010</v>
      </c>
      <c r="L39" s="185" t="str">
        <f>VLOOKUP(A39,'Trips&amp;Operators'!$C$1:$G$99911,5,FALSE)</f>
        <v>YANG JAN</v>
      </c>
      <c r="M39" s="6">
        <f>I39-F39</f>
        <v>2.5312499994470272E-2</v>
      </c>
      <c r="N39" s="7">
        <f>24*60*SUM($M39:$M39)</f>
        <v>36.449999992037192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-16T05:54:56-0600',mode:absolute,to:'2017-10-16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4.5699999999999998E-2</v>
      </c>
      <c r="Z39" s="204">
        <f>RIGHT(H39,LEN(H39)-4)/10000</f>
        <v>23.331900000000001</v>
      </c>
      <c r="AA39" s="204">
        <f>ABS(Z39-Y39)</f>
        <v>23.286200000000001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/stypes="app*4010*20171016*"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127-16 --locoid 4010 --swversion DE.1.0.9.0 --startMP 204:457 --initTime 2017-10-16T06:54:56 --startdatetime 2017-10-16T07:00:18 --delay 52 --endMP 204:233319 --enddatetime 2017-10-16T07:36:45 --enforcementcount 0 &gt;&gt;%USERPROFILE%\Documents\GitHub\eaglep3-reporting\EC\2017-10-16-refined-times.txt</v>
      </c>
      <c r="AI3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{"issue":{"subject":"","project_id":79,"tracker_id":40,"status_id":1,"priority_id":2,"assigned_to_id":338,"start_date":"2017-10-16","description":"","custom_fields":[{"id":1,"name":"Subdivision","value":"EC"},{"id":4,"name":"Milepost","value":"23.3319"},{"id":17,"name":"Train ID","value":"127-16"},{"id":16,"name":"Locomotive ID","value":"4010"},{"id":130,"name":"Impact","value":""},{"id":150,"name":"Time of Event (Mountain Time)","value":"07:36:45"},{"id":151,"name":"Denver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4010 --day 2017-10-16</v>
      </c>
      <c r="AN3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-16T05:54:56-0600',mode:absolute,to:'2017-10-16T08:36:45-0600'))&amp;_a=(columns:!('Message%20ID',Summary),filters:!(),index:'emp_*',interval:auto,query:(query_string:(analyze_wildcard:!t,query:'%22rtdc.l.rtdc.4010%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673</v>
      </c>
      <c r="B40" s="7">
        <v>4009</v>
      </c>
      <c r="C40" s="21" t="s">
        <v>194</v>
      </c>
      <c r="D40" s="21" t="s">
        <v>851</v>
      </c>
      <c r="E40" s="13">
        <v>43024.324479166666</v>
      </c>
      <c r="F40" s="13">
        <v>43024.331608796296</v>
      </c>
      <c r="G40" s="7">
        <v>51</v>
      </c>
      <c r="H40" s="21" t="s">
        <v>336</v>
      </c>
      <c r="I40" s="13">
        <v>43024.361006944448</v>
      </c>
      <c r="J40" s="7">
        <v>0</v>
      </c>
      <c r="K40" s="89" t="str">
        <f>IF(ISEVEN(B40),(B40-1)&amp;"/"&amp;B40,B40&amp;"/"&amp;(B40+1))</f>
        <v>4009/4010</v>
      </c>
      <c r="L40" s="185" t="str">
        <f>VLOOKUP(A40,'Trips&amp;Operators'!$C$1:$G$99911,5,FALSE)</f>
        <v>YANG JAN</v>
      </c>
      <c r="M40" s="6">
        <f>I40-F40</f>
        <v>2.9398148151813075E-2</v>
      </c>
      <c r="N40" s="7">
        <f>24*60*SUM($M40:$M40)</f>
        <v>42.333333338610828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-16T06:47:15-0600',mode:absolute,to:'2017-10-16T09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23.299600000000002</v>
      </c>
      <c r="Z40" s="204">
        <f>RIGHT(H40,LEN(H40)-4)/10000</f>
        <v>1.49E-2</v>
      </c>
      <c r="AA40" s="204">
        <f>ABS(Z40-Y40)</f>
        <v>23.284700000000001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/stypes="app*4009*20171016*"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128-16 --locoid 4009 --swversion DE.1.0.9.0 --startMP 204:232996 --initTime 2017-10-16T07:47:15 --startdatetime 2017-10-16T07:57:31 --delay 51 --endMP 204:149 --enddatetime 2017-10-16T08:39:51 --enforcementcount 0 &gt;&gt;%USERPROFILE%\Documents\GitHub\eaglep3-reporting\EC\2017-10-16-refined-times.txt</v>
      </c>
      <c r="AI4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ID","value":"128-16"},{"id":16,"name":"Locomotive ID","value":"4009"},{"id":130,"name":"Impact","value":""},{"id":150,"name":"Time of Event (Mountain Time)","value":"08:39:51"},{"id":151,"name":"Denver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4009 --day 2017-10-16</v>
      </c>
      <c r="AN4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-16T06:47:15-0600',mode:absolute,to:'2017-10-16T09:39:51-0600'))&amp;_a=(columns:!('Message%20ID',Summary),filters:!(),index:'emp_*',interval:auto,query:(query_string:(analyze_wildcard:!t,query:'%22rtdc.l.rtdc.4009%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664</v>
      </c>
      <c r="B41" s="7">
        <v>4030</v>
      </c>
      <c r="C41" s="21" t="s">
        <v>194</v>
      </c>
      <c r="D41" s="21" t="s">
        <v>431</v>
      </c>
      <c r="E41" s="13">
        <v>43024.298946759256</v>
      </c>
      <c r="F41" s="13">
        <v>43024.302303240744</v>
      </c>
      <c r="G41" s="7">
        <v>75</v>
      </c>
      <c r="H41" s="21" t="s">
        <v>390</v>
      </c>
      <c r="I41" s="13">
        <v>43024.328611111108</v>
      </c>
      <c r="J41" s="7">
        <v>0</v>
      </c>
      <c r="K41" s="89" t="str">
        <f>IF(ISEVEN(B41),(B41-1)&amp;"/"&amp;B41,B41&amp;"/"&amp;(B41+1))</f>
        <v>4029/4030</v>
      </c>
      <c r="L41" s="185" t="str">
        <f>VLOOKUP(A41,'Trips&amp;Operators'!$C$1:$G$99911,5,FALSE)</f>
        <v>STARKS ANGELINA</v>
      </c>
      <c r="M41" s="6">
        <f>I41-F41</f>
        <v>2.6307870364689734E-2</v>
      </c>
      <c r="N41" s="7">
        <f>24*60*SUM($M41:$M41)</f>
        <v>37.883333325153217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-16T06:10:29-0600',mode:absolute,to:'2017-10-16T08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4.4200000000000003E-2</v>
      </c>
      <c r="Z41" s="204">
        <f>RIGHT(H41,LEN(H41)-4)/10000</f>
        <v>23.3291</v>
      </c>
      <c r="AA41" s="204">
        <f>ABS(Z41-Y41)</f>
        <v>23.2849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/stypes="app*4030*20171016*"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129-16 --locoid 4030 --swversion DE.1.0.9.0 --startMP 204:442 --initTime 2017-10-16T07:10:29 --startdatetime 2017-10-16T07:15:19 --delay 75 --endMP 204:233291 --enddatetime 2017-10-16T07:53:12 --enforcementcount 0 &gt;&gt;%USERPROFILE%\Documents\GitHub\eaglep3-reporting\EC\2017-10-16-refined-times.txt</v>
      </c>
      <c r="AI4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{"issue":{"subject":"","project_id":79,"tracker_id":40,"status_id":1,"priority_id":2,"assigned_to_id":338,"start_date":"2017-10-16","description":"","custom_fields":[{"id":1,"name":"Subdivision","value":"EC"},{"id":4,"name":"Milepost","value":"23.3291"},{"id":17,"name":"Train ID","value":"129-16"},{"id":16,"name":"Locomotive ID","value":"4030"},{"id":130,"name":"Impact","value":""},{"id":150,"name":"Time of Event (Mountain Time)","value":"07:53:12"},{"id":151,"name":"Denver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4030 --day 2017-10-16</v>
      </c>
      <c r="AN4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-16T06:10:29-0600',mode:absolute,to:'2017-10-16T08:53:12-0600'))&amp;_a=(columns:!('Message%20ID',Summary),filters:!(),index:'emp_*',interval:auto,query:(query_string:(analyze_wildcard:!t,query:'%22rtdc.l.rtdc.4030%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676</v>
      </c>
      <c r="B42" s="7">
        <v>4029</v>
      </c>
      <c r="C42" s="21" t="s">
        <v>194</v>
      </c>
      <c r="D42" s="21" t="s">
        <v>470</v>
      </c>
      <c r="E42" s="13">
        <v>43024.330231481479</v>
      </c>
      <c r="F42" s="13">
        <v>43024.341956018521</v>
      </c>
      <c r="G42" s="7">
        <v>83</v>
      </c>
      <c r="H42" s="21" t="s">
        <v>335</v>
      </c>
      <c r="I42" s="13">
        <v>43024.372141203705</v>
      </c>
      <c r="J42" s="7">
        <v>0</v>
      </c>
      <c r="K42" s="89" t="str">
        <f>IF(ISEVEN(B42),(B42-1)&amp;"/"&amp;B42,B42&amp;"/"&amp;(B42+1))</f>
        <v>4029/4030</v>
      </c>
      <c r="L42" s="185" t="str">
        <f>VLOOKUP(A42,'Trips&amp;Operators'!$C$1:$G$99911,5,FALSE)</f>
        <v>STARKS ANGELINA</v>
      </c>
      <c r="M42" s="6">
        <f>I42-F42</f>
        <v>3.0185185183654539E-2</v>
      </c>
      <c r="N42" s="7">
        <f>24*60*SUM($M42:$M42)</f>
        <v>43.466666664462537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-16T06:55:32-0600',mode:absolute,to:'2017-10-16T09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23.297799999999999</v>
      </c>
      <c r="Z42" s="204">
        <f>RIGHT(H42,LEN(H42)-4)/10000</f>
        <v>1.4999999999999999E-2</v>
      </c>
      <c r="AA42" s="204">
        <f>ABS(Z42-Y42)</f>
        <v>23.282799999999998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/stypes="app*4029*20171016*"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130-16 --locoid 4029 --swversion DE.1.0.9.0 --startMP 204:232978 --initTime 2017-10-16T07:55:32 --startdatetime 2017-10-16T08:12:25 --delay 83 --endMP 204:150 --enddatetime 2017-10-16T08:55:53 --enforcementcount 0 &gt;&gt;%USERPROFILE%\Documents\GitHub\eaglep3-reporting\EC\2017-10-16-refined-times.txt</v>
      </c>
      <c r="AI4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ID","value":"130-16"},{"id":16,"name":"Locomotive ID","value":"4029"},{"id":130,"name":"Impact","value":""},{"id":150,"name":"Time of Event (Mountain Time)","value":"08:55:53"},{"id":151,"name":"Denver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4029 --day 2017-10-16</v>
      </c>
      <c r="AN4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-16T06:55:32-0600',mode:absolute,to:'2017-10-16T09:55:53-0600'))&amp;_a=(columns:!('Message%20ID',Summary),filters:!(),index:'emp_*',interval:auto,query:(query_string:(analyze_wildcard:!t,query:'%22rtdc.l.rtdc.4029%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669</v>
      </c>
      <c r="B43" s="7">
        <v>4024</v>
      </c>
      <c r="C43" s="21" t="s">
        <v>194</v>
      </c>
      <c r="D43" s="21" t="s">
        <v>852</v>
      </c>
      <c r="E43" s="13">
        <v>43024.310208333336</v>
      </c>
      <c r="F43" s="13">
        <v>43024.312685185185</v>
      </c>
      <c r="G43" s="7">
        <v>52</v>
      </c>
      <c r="H43" s="21" t="s">
        <v>853</v>
      </c>
      <c r="I43" s="13">
        <v>43024.337592592594</v>
      </c>
      <c r="J43" s="7">
        <v>0</v>
      </c>
      <c r="K43" s="89" t="str">
        <f>IF(ISEVEN(B43),(B43-1)&amp;"/"&amp;B43,B43&amp;"/"&amp;(B43+1))</f>
        <v>4023/4024</v>
      </c>
      <c r="L43" s="185" t="str">
        <f>VLOOKUP(A43,'Trips&amp;Operators'!$C$1:$G$99911,5,FALSE)</f>
        <v>LAMAR NEKESHA</v>
      </c>
      <c r="M43" s="6">
        <f>I43-F43</f>
        <v>2.4907407409045845E-2</v>
      </c>
      <c r="N43" s="7">
        <f>24*60*SUM($M43:$M43)</f>
        <v>35.866666669026017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-16T06:26:42-0600',mode:absolute,to:'2017-10-16T09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4.6899999999999997E-2</v>
      </c>
      <c r="Z43" s="204">
        <f>RIGHT(H43,LEN(H43)-4)/10000</f>
        <v>23.329799999999999</v>
      </c>
      <c r="AA43" s="204">
        <f>ABS(Z43-Y43)</f>
        <v>23.282899999999998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/stypes="app*4024*20171016*"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131-16 --locoid 4024 --swversion DE.1.0.9.0 --startMP 204:469 --initTime 2017-10-16T07:26:42 --startdatetime 2017-10-16T07:30:16 --delay 52 --endMP 204:233298 --enddatetime 2017-10-16T08:06:08 --enforcementcount 0 &gt;&gt;%USERPROFILE%\Documents\GitHub\eaglep3-reporting\EC\2017-10-16-refined-times.txt</v>
      </c>
      <c r="AI4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{"issue":{"subject":"","project_id":79,"tracker_id":40,"status_id":1,"priority_id":2,"assigned_to_id":338,"start_date":"2017-10-16","description":"","custom_fields":[{"id":1,"name":"Subdivision","value":"EC"},{"id":4,"name":"Milepost","value":"23.3298"},{"id":17,"name":"Train ID","value":"131-16"},{"id":16,"name":"Locomotive ID","value":"4024"},{"id":130,"name":"Impact","value":""},{"id":150,"name":"Time of Event (Mountain Time)","value":"08:06:08"},{"id":151,"name":"Denver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4024 --day 2017-10-16</v>
      </c>
      <c r="AN4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-16T06:26:42-0600',mode:absolute,to:'2017-10-16T09:06:08-0600'))&amp;_a=(columns:!('Message%20ID',Summary),filters:!(),index:'emp_*',interval:auto,query:(query_string:(analyze_wildcard:!t,query:'%22rtdc.l.rtdc.4024%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678</v>
      </c>
      <c r="B44" s="7">
        <v>4023</v>
      </c>
      <c r="C44" s="21" t="s">
        <v>194</v>
      </c>
      <c r="D44" s="21" t="s">
        <v>560</v>
      </c>
      <c r="E44" s="13">
        <v>43024.349629629629</v>
      </c>
      <c r="F44" s="13">
        <v>43024.352256944447</v>
      </c>
      <c r="G44" s="7">
        <v>54</v>
      </c>
      <c r="H44" s="21" t="s">
        <v>559</v>
      </c>
      <c r="I44" s="13">
        <v>43024.378449074073</v>
      </c>
      <c r="J44" s="7">
        <v>0</v>
      </c>
      <c r="K44" s="89" t="str">
        <f>IF(ISEVEN(B44),(B44-1)&amp;"/"&amp;B44,B44&amp;"/"&amp;(B44+1))</f>
        <v>4023/4024</v>
      </c>
      <c r="L44" s="185" t="str">
        <f>VLOOKUP(A44,'Trips&amp;Operators'!$C$1:$G$99911,5,FALSE)</f>
        <v>LAMAR NEKESHA</v>
      </c>
      <c r="M44" s="6">
        <f>I44-F44</f>
        <v>2.619212962599704E-2</v>
      </c>
      <c r="N44" s="7">
        <f>24*60*SUM($M44:$M44)</f>
        <v>37.716666661435738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-16T07:23:28-0600',mode:absolute,to:'2017-10-16T10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23.298300000000001</v>
      </c>
      <c r="Z44" s="204">
        <f>RIGHT(H44,LEN(H44)-4)/10000</f>
        <v>1.67E-2</v>
      </c>
      <c r="AA44" s="204">
        <f>ABS(Z44-Y44)</f>
        <v>23.281600000000001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/stypes="app*4023*20171016*"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132-16 --locoid 4023 --swversion DE.1.0.9.0 --startMP 204:232983 --initTime 2017-10-16T08:23:28 --startdatetime 2017-10-16T08:27:15 --delay 54 --endMP 204:167 --enddatetime 2017-10-16T09:04:58 --enforcementcount 0 &gt;&gt;%USERPROFILE%\Documents\GitHub\eaglep3-reporting\EC\2017-10-16-refined-times.txt</v>
      </c>
      <c r="AI4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{"issue":{"subject":"","project_id":79,"tracker_id":40,"status_id":1,"priority_id":2,"assigned_to_id":338,"start_date":"2017-10-16","description":"","custom_fields":[{"id":1,"name":"Subdivision","value":"EC"},{"id":4,"name":"Milepost","value":"0.0167"},{"id":17,"name":"Train ID","value":"132-16"},{"id":16,"name":"Locomotive ID","value":"4023"},{"id":130,"name":"Impact","value":""},{"id":150,"name":"Time of Event (Mountain Time)","value":"09:04:58"},{"id":151,"name":"Denver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4023 --day 2017-10-16</v>
      </c>
      <c r="AN4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-16T07:23:28-0600',mode:absolute,to:'2017-10-16T10:04:58-0600'))&amp;_a=(columns:!('Message%20ID',Summary),filters:!(),index:'emp_*',interval:auto,query:(query_string:(analyze_wildcard:!t,query:'%22rtdc.l.rtdc.4023%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670</v>
      </c>
      <c r="B45" s="7">
        <v>4026</v>
      </c>
      <c r="C45" s="21" t="s">
        <v>194</v>
      </c>
      <c r="D45" s="21" t="s">
        <v>338</v>
      </c>
      <c r="E45" s="13">
        <v>43024.317372685182</v>
      </c>
      <c r="F45" s="13">
        <v>43024.324444444443</v>
      </c>
      <c r="G45" s="7">
        <v>46</v>
      </c>
      <c r="H45" s="21" t="s">
        <v>854</v>
      </c>
      <c r="I45" s="13">
        <v>43024.352083333331</v>
      </c>
      <c r="J45" s="7">
        <v>0</v>
      </c>
      <c r="K45" s="89" t="str">
        <f>IF(ISEVEN(B45),(B45-1)&amp;"/"&amp;B45,B45&amp;"/"&amp;(B45+1))</f>
        <v>4025/4026</v>
      </c>
      <c r="L45" s="185" t="str">
        <f>VLOOKUP(A45,'Trips&amp;Operators'!$C$1:$G$99911,5,FALSE)</f>
        <v>YORK EDGAR</v>
      </c>
      <c r="M45" s="6">
        <f>I45-F45</f>
        <v>2.7638888888759539E-2</v>
      </c>
      <c r="N45" s="7">
        <f>24*60*SUM($M45:$M45)</f>
        <v>39.799999999813735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-16T06:37:01-0600',mode:absolute,to:'2017-10-16T09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4.53E-2</v>
      </c>
      <c r="Z45" s="204">
        <f>RIGHT(H45,LEN(H45)-4)/10000</f>
        <v>23.328800000000001</v>
      </c>
      <c r="AA45" s="204">
        <f>ABS(Z45-Y45)</f>
        <v>23.2835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/stypes="app*4026*20171016*"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133-16 --locoid 4026 --swversion DE.1.0.9.0 --startMP 204:453 --initTime 2017-10-16T07:37:01 --startdatetime 2017-10-16T07:47:12 --delay 46 --endMP 204:233288 --enddatetime 2017-10-16T08:27:00 --enforcementcount 0 &gt;&gt;%USERPROFILE%\Documents\GitHub\eaglep3-reporting\EC\2017-10-16-refined-times.txt</v>
      </c>
      <c r="AI4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{"issue":{"subject":"","project_id":79,"tracker_id":40,"status_id":1,"priority_id":2,"assigned_to_id":338,"start_date":"2017-10-16","description":"","custom_fields":[{"id":1,"name":"Subdivision","value":"EC"},{"id":4,"name":"Milepost","value":"23.3288"},{"id":17,"name":"Train ID","value":"133-16"},{"id":16,"name":"Locomotive ID","value":"4026"},{"id":130,"name":"Impact","value":""},{"id":150,"name":"Time of Event (Mountain Time)","value":"08:27:00"},{"id":151,"name":"Denver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4026 --day 2017-10-16</v>
      </c>
      <c r="AN4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-16T06:37:01-0600',mode:absolute,to:'2017-10-16T09:27:00-0600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682</v>
      </c>
      <c r="B46" s="7">
        <v>4025</v>
      </c>
      <c r="C46" s="21" t="s">
        <v>194</v>
      </c>
      <c r="D46" s="21" t="s">
        <v>855</v>
      </c>
      <c r="E46" s="13">
        <v>43024.353391203702</v>
      </c>
      <c r="F46" s="13">
        <v>43024.36414351852</v>
      </c>
      <c r="G46" s="7">
        <v>74</v>
      </c>
      <c r="H46" s="21" t="s">
        <v>855</v>
      </c>
      <c r="I46" s="13">
        <v>43024.388981481483</v>
      </c>
      <c r="J46" s="7">
        <v>0</v>
      </c>
      <c r="K46" s="89" t="str">
        <f>IF(ISEVEN(B46),(B46-1)&amp;"/"&amp;B46,B46&amp;"/"&amp;(B46+1))</f>
        <v>4025/4026</v>
      </c>
      <c r="L46" s="185" t="str">
        <f>VLOOKUP(A46,'Trips&amp;Operators'!$C$1:$G$99911,5,FALSE)</f>
        <v>YORK EDGAR</v>
      </c>
      <c r="M46" s="6">
        <f>I46-F46</f>
        <v>2.4837962962919846E-2</v>
      </c>
      <c r="N46" s="7"/>
      <c r="O46" s="7"/>
      <c r="P46" s="7"/>
      <c r="Q46" s="22"/>
      <c r="R46" s="174"/>
      <c r="S46" s="221"/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-16T07:28:53-0600',mode:absolute,to:'2017-10-16T10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04" t="str">
        <f>IF(AA46&lt;VLOOKUP(AG46,Variables!$AC$3:$AD$8,2,FALSE),"Y","N")</f>
        <v>Y</v>
      </c>
      <c r="X46" s="204">
        <f>VALUE(LEFT(AD46,4))-VALUE(LEFT(AD45,4))</f>
        <v>1</v>
      </c>
      <c r="Y46" s="204">
        <f>RIGHT(D46,LEN(D46)-4)/10000</f>
        <v>23.296099999999999</v>
      </c>
      <c r="Z46" s="204">
        <f>RIGHT(H46,LEN(H46)-4)/10000</f>
        <v>23.296099999999999</v>
      </c>
      <c r="AA46" s="204">
        <f>ABS(Z46-Y46)</f>
        <v>0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/stypes="app*4025*20171016*"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134-16 --locoid 4025 --swversion DE.1.0.9.0 --startMP 204:232961 --initTime 2017-10-16T08:28:53 --startdatetime 2017-10-16T08:44:22 --delay 74 --endMP 204:232961 --enddatetime 2017-10-16T09:20:08 --enforcementcount 0 &gt;&gt;%USERPROFILE%\Documents\GitHub\eaglep3-reporting\EC\2017-10-16-refined-times.txt</v>
      </c>
      <c r="AI4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{"issue":{"subject":"","project_id":79,"tracker_id":40,"status_id":1,"priority_id":2,"assigned_to_id":338,"start_date":"2017-10-16","description":"","custom_fields":[{"id":1,"name":"Subdivision","value":"EC"},{"id":4,"name":"Milepost","value":"23.2961"},{"id":17,"name":"Train ID","value":"134-16"},{"id":16,"name":"Locomotive ID","value":"4025"},{"id":130,"name":"Impact","value":""},{"id":150,"name":"Time of Event (Mountain Time)","value":"09:20:08"},{"id":151,"name":"Denver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4025 --day 2017-10-16</v>
      </c>
      <c r="AN4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-16T07:28:53-0600',mode:absolute,to:'2017-10-16T10:20:08-0600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682</v>
      </c>
      <c r="B47" s="7">
        <v>4025</v>
      </c>
      <c r="C47" s="21" t="s">
        <v>194</v>
      </c>
      <c r="D47" s="21" t="s">
        <v>855</v>
      </c>
      <c r="E47" s="13">
        <v>43024.362523148149</v>
      </c>
      <c r="F47" s="13">
        <v>43024.36414351852</v>
      </c>
      <c r="G47" s="7">
        <v>52</v>
      </c>
      <c r="H47" s="21" t="s">
        <v>339</v>
      </c>
      <c r="I47" s="13">
        <v>43024.388981481483</v>
      </c>
      <c r="J47" s="7">
        <v>0</v>
      </c>
      <c r="K47" s="89" t="str">
        <f>IF(ISEVEN(B47),(B47-1)&amp;"/"&amp;B47,B47&amp;"/"&amp;(B47+1))</f>
        <v>4025/4026</v>
      </c>
      <c r="L47" s="185" t="str">
        <f>VLOOKUP(A47,'Trips&amp;Operators'!$C$1:$G$99911,5,FALSE)</f>
        <v>YORK EDGAR</v>
      </c>
      <c r="M47" s="6">
        <f>I47-F47</f>
        <v>2.4837962962919846E-2</v>
      </c>
      <c r="N47" s="7">
        <f>24*60*SUM($M47:$M47)</f>
        <v>35.766666666604578</v>
      </c>
      <c r="O47" s="7"/>
      <c r="P47" s="7"/>
      <c r="Q47" s="22"/>
      <c r="R47" s="174" t="s">
        <v>1023</v>
      </c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-16T07:42:02-0600',mode:absolute,to:'2017-10-16T10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0</v>
      </c>
      <c r="Y47" s="204">
        <f>RIGHT(D47,LEN(D47)-4)/10000</f>
        <v>23.296099999999999</v>
      </c>
      <c r="Z47" s="204">
        <f>RIGHT(H47,LEN(H47)-4)/10000</f>
        <v>1.47E-2</v>
      </c>
      <c r="AA47" s="204">
        <f>ABS(Z47-Y47)</f>
        <v>23.281399999999998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/stypes="app*4025*20171016*"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134-16 --locoid 4025 --swversion DE.1.0.9.0 --startMP 204:232961 --initTime 2017-10-16T08:42:02 --startdatetime 2017-10-16T08:44:22 --delay 52 --endMP 204:147 --enddatetime 2017-10-16T09:20:08 --enforcementcount 0 &gt;&gt;%USERPROFILE%\Documents\GitHub\eaglep3-reporting\EC\2017-10-16-refined-times.txt</v>
      </c>
      <c r="AI47" s="96" t="str">
        <f t="shared" si="6"/>
        <v>echo {"issue":{"subject":"Minor onboard en route failure during init, re-init successful","project_id":79,"tracker_id":40,"status_id":1,"priority_id":2,"assigned_to_id":338,"start_date":"2017-10-16","description":"","custom_fields":[{"id":1,"name":"Subdivision","value":"EC"},{"id":4,"name":"Milepost","value":"0.0147"},{"id":17,"name":"Train ID","value":"134-16"},{"id":16,"name":"Locomotive ID","value":"4025"},{"id":130,"name":"Impact","value":""},{"id":150,"name":"Time of Event (Mountain Time)","value":"09:20:08"},{"id":151,"name":"Denver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4025 --day 2017-10-16</v>
      </c>
      <c r="AN47" s="151" t="str">
        <f t="shared" si="8"/>
        <v>echo {"issue":{"subject":"Minor onboard en route failure during init, re-init successful","project_id":30,"tracker_id":4,"status_id":1,"priority_id":1,"assigned_to_id":10,"start_date":"2017-10-16","description":"","custom_fields":[{"id":30,"name":"Category","value":"Issue"},{"id":3,"name":"Functional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-16T07:42:02-0600',mode:absolute,to:'2017-10-16T10:20:08-0600'))&amp;_a=(columns:!('Message%20ID',Summary),filters:!(),index:'emp_*',interval:auto,query:(query_string:(analyze_wildcard:!t,query:'%22rtdc.l.rtdc.4025%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675</v>
      </c>
      <c r="B48" s="7">
        <v>4020</v>
      </c>
      <c r="C48" s="21" t="s">
        <v>194</v>
      </c>
      <c r="D48" s="21" t="s">
        <v>363</v>
      </c>
      <c r="E48" s="13">
        <v>43024.330127314817</v>
      </c>
      <c r="F48" s="13">
        <v>43024.333564814813</v>
      </c>
      <c r="G48" s="7">
        <v>48</v>
      </c>
      <c r="H48" s="21" t="s">
        <v>516</v>
      </c>
      <c r="I48" s="13">
        <v>43024.359074074076</v>
      </c>
      <c r="J48" s="7">
        <v>0</v>
      </c>
      <c r="K48" s="89" t="str">
        <f>IF(ISEVEN(B48),(B48-1)&amp;"/"&amp;B48,B48&amp;"/"&amp;(B48+1))</f>
        <v>4019/4020</v>
      </c>
      <c r="L48" s="185" t="str">
        <f>VLOOKUP(A48,'Trips&amp;Operators'!$C$1:$G$99911,5,FALSE)</f>
        <v>LALONDE GREGORY</v>
      </c>
      <c r="M48" s="6">
        <f>I48-F48</f>
        <v>2.5509259263344575E-2</v>
      </c>
      <c r="N48" s="7">
        <f>24*60*SUM($M48:$M48)</f>
        <v>36.733333339216188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-16T06:55:23-0600',mode:absolute,to:'2017-10-16T09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4.5999999999999999E-2</v>
      </c>
      <c r="Z48" s="204">
        <f>RIGHT(H48,LEN(H48)-4)/10000</f>
        <v>23.332899999999999</v>
      </c>
      <c r="AA48" s="204">
        <f>ABS(Z48-Y48)</f>
        <v>23.286899999999999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/stypes="app*4020*20171016*"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135-16 --locoid 4020 --swversion DE.1.0.9.0 --startMP 204:460 --initTime 2017-10-16T07:55:23 --startdatetime 2017-10-16T08:00:20 --delay 48 --endMP 204:233329 --enddatetime 2017-10-16T08:37:04 --enforcementcount 0 &gt;&gt;%USERPROFILE%\Documents\GitHub\eaglep3-reporting\EC\2017-10-16-refined-times.txt</v>
      </c>
      <c r="AI4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{"issue":{"subject":"","project_id":79,"tracker_id":40,"status_id":1,"priority_id":2,"assigned_to_id":338,"start_date":"2017-10-16","description":"","custom_fields":[{"id":1,"name":"Subdivision","value":"EC"},{"id":4,"name":"Milepost","value":"23.3329"},{"id":17,"name":"Train ID","value":"135-16"},{"id":16,"name":"Locomotive ID","value":"4020"},{"id":130,"name":"Impact","value":""},{"id":150,"name":"Time of Event (Mountain Time)","value":"08:37:04"},{"id":151,"name":"Denver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4020 --day 2017-10-16</v>
      </c>
      <c r="AN4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-16T06:55:23-0600',mode:absolute,to:'2017-10-16T09:37:04-0600'))&amp;_a=(columns:!('Message%20ID',Summary),filters:!(),index:'emp_*',interval:auto,query:(query_string:(analyze_wildcard:!t,query:'%22rtdc.l.rtdc.4020%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683</v>
      </c>
      <c r="B49" s="7">
        <v>4019</v>
      </c>
      <c r="C49" s="21" t="s">
        <v>194</v>
      </c>
      <c r="D49" s="21" t="s">
        <v>472</v>
      </c>
      <c r="E49" s="13">
        <v>43024.363020833334</v>
      </c>
      <c r="F49" s="13">
        <v>43024.373148148145</v>
      </c>
      <c r="G49" s="7">
        <v>53</v>
      </c>
      <c r="H49" s="21" t="s">
        <v>336</v>
      </c>
      <c r="I49" s="13">
        <v>43024.398634259262</v>
      </c>
      <c r="J49" s="7">
        <v>0</v>
      </c>
      <c r="K49" s="89" t="str">
        <f>IF(ISEVEN(B49),(B49-1)&amp;"/"&amp;B49,B49&amp;"/"&amp;(B49+1))</f>
        <v>4019/4020</v>
      </c>
      <c r="L49" s="185" t="str">
        <f>VLOOKUP(A49,'Trips&amp;Operators'!$C$1:$G$99911,5,FALSE)</f>
        <v>LALONDE GREGORY</v>
      </c>
      <c r="M49" s="6">
        <f>I49-F49</f>
        <v>2.5486111117061228E-2</v>
      </c>
      <c r="N49" s="7">
        <f>24*60*SUM($M49:$M49)</f>
        <v>36.700000008568168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-16T07:42:45-0600',mode:absolute,to:'2017-10-16T10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23.3019</v>
      </c>
      <c r="Z49" s="204">
        <f>RIGHT(H49,LEN(H49)-4)/10000</f>
        <v>1.49E-2</v>
      </c>
      <c r="AA49" s="204">
        <f>ABS(Z49-Y49)</f>
        <v>23.286999999999999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/stypes="app*4019*20171016*"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136-16 --locoid 4019 --swversion DE.1.0.9.0 --startMP 204:233019 --initTime 2017-10-16T08:42:45 --startdatetime 2017-10-16T08:57:20 --delay 53 --endMP 204:149 --enddatetime 2017-10-16T09:34:02 --enforcementcount 0 &gt;&gt;%USERPROFILE%\Documents\GitHub\eaglep3-reporting\EC\2017-10-16-refined-times.txt</v>
      </c>
      <c r="AI4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ID","value":"136-16"},{"id":16,"name":"Locomotive ID","value":"4019"},{"id":130,"name":"Impact","value":""},{"id":150,"name":"Time of Event (Mountain Time)","value":"09:34:02"},{"id":151,"name":"Denver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4019 --day 2017-10-16</v>
      </c>
      <c r="AN4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-16T07:42:45-0600',mode:absolute,to:'2017-10-16T10:34:02-0600'))&amp;_a=(columns:!('Message%20ID',Summary),filters:!(),index:'emp_*',interval:auto,query:(query_string:(analyze_wildcard:!t,query:'%22rtdc.l.rtdc.4019%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584</v>
      </c>
      <c r="B50" s="7">
        <v>4060</v>
      </c>
      <c r="C50" s="21" t="s">
        <v>194</v>
      </c>
      <c r="D50" s="21" t="s">
        <v>370</v>
      </c>
      <c r="E50" s="13">
        <v>43024.339479166665</v>
      </c>
      <c r="F50" s="13">
        <v>43024.344027777777</v>
      </c>
      <c r="G50" s="7">
        <v>47</v>
      </c>
      <c r="H50" s="21" t="s">
        <v>399</v>
      </c>
      <c r="I50" s="13">
        <v>43024.369988425926</v>
      </c>
      <c r="J50" s="7">
        <v>0</v>
      </c>
      <c r="K50" s="89" t="str">
        <f>IF(ISEVEN(B50),(B50-1)&amp;"/"&amp;B50,B50&amp;"/"&amp;(B50+1))</f>
        <v>4059/4060</v>
      </c>
      <c r="L50" s="185" t="str">
        <f>VLOOKUP(A50,'Trips&amp;Operators'!$C$1:$G$99911,5,FALSE)</f>
        <v>MAELZER KURT</v>
      </c>
      <c r="M50" s="6">
        <f>I50-F50</f>
        <v>2.5960648148611654E-2</v>
      </c>
      <c r="N50" s="7">
        <f>24*60*SUM($M50:$M50)</f>
        <v>37.383333334000781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-16T07:08:51-0600',mode:absolute,to:'2017-10-16T09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4.5100000000000001E-2</v>
      </c>
      <c r="Z50" s="204">
        <f>RIGHT(H50,LEN(H50)-4)/10000</f>
        <v>23.333600000000001</v>
      </c>
      <c r="AA50" s="204">
        <f>ABS(Z50-Y50)</f>
        <v>23.288499999999999</v>
      </c>
      <c r="AB50" s="54" t="str">
        <f>VLOOKUP(A50,Enforcements!$C$7:$K$11,8,0)</f>
        <v>Speed (6)</v>
      </c>
      <c r="AC50" s="51" t="str">
        <f>VLOOKUP(A50,Enforcements!$C$7:$E$11,3,0)</f>
        <v>PERMANENT SPEED RESTRICTION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/stypes="app*4060*20171016*"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137-16 --locoid 4060 --swversion DE.1.0.9.0 --startMP 204:451 --initTime 2017-10-16T08:08:51 --startdatetime 2017-10-16T08:15:24 --delay 47 --endMP 204:233336 --enddatetime 2017-10-16T08:52:47 --enforcementcount 0 &gt;&gt;%USERPROFILE%\Documents\GitHub\eaglep3-reporting\EC\2017-10-16-refined-times.txt</v>
      </c>
      <c r="AI5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{"issue":{"subject":"","project_id":79,"tracker_id":40,"status_id":1,"priority_id":2,"assigned_to_id":338,"start_date":"2017-10-16","description":"","custom_fields":[{"id":1,"name":"Subdivision","value":"EC"},{"id":4,"name":"Milepost","value":"23.3336"},{"id":17,"name":"Train ID","value":"137-16"},{"id":16,"name":"Locomotive ID","value":"4060"},{"id":130,"name":"Impact","value":""},{"id":150,"name":"Time of Event (Mountain Time)","value":"08:52:47"},{"id":151,"name":"Denver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4060 --day 2017-10-16</v>
      </c>
      <c r="AN5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-16T07:08:51-0600',mode:absolute,to:'2017-10-16T09:52:47-0600'))&amp;_a=(columns:!('Message%20ID',Summary),filters:!(),index:'emp_*',interval:auto,query:(query_string:(analyze_wildcard:!t,query:'%22rtdc.l.rtdc.4060%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687</v>
      </c>
      <c r="B51" s="7">
        <v>4059</v>
      </c>
      <c r="C51" s="21" t="s">
        <v>194</v>
      </c>
      <c r="D51" s="21" t="s">
        <v>554</v>
      </c>
      <c r="E51" s="13">
        <v>43024.37809027778</v>
      </c>
      <c r="F51" s="13">
        <v>43024.383622685185</v>
      </c>
      <c r="G51" s="7">
        <v>49</v>
      </c>
      <c r="H51" s="21" t="s">
        <v>337</v>
      </c>
      <c r="I51" s="13">
        <v>43024.41028935185</v>
      </c>
      <c r="J51" s="7">
        <v>0</v>
      </c>
      <c r="K51" s="89" t="str">
        <f>IF(ISEVEN(B51),(B51-1)&amp;"/"&amp;B51,B51&amp;"/"&amp;(B51+1))</f>
        <v>4059/4060</v>
      </c>
      <c r="L51" s="185" t="str">
        <f>VLOOKUP(A51,'Trips&amp;Operators'!$C$1:$G$99911,5,FALSE)</f>
        <v>MAELZER KURT</v>
      </c>
      <c r="M51" s="6">
        <f>I51-F51</f>
        <v>2.6666666664823424E-2</v>
      </c>
      <c r="N51" s="7">
        <f>24*60*SUM($M51:$M51)</f>
        <v>38.399999997345731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-16T08:04:27-0600',mode:absolute,to:'2017-10-16T10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23.300899999999999</v>
      </c>
      <c r="Z51" s="204">
        <f>RIGHT(H51,LEN(H51)-4)/10000</f>
        <v>1.43E-2</v>
      </c>
      <c r="AA51" s="204">
        <f>ABS(Z51-Y51)</f>
        <v>23.2866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/stypes="app*4059*20171016*"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138-16 --locoid 4059 --swversion DE.1.0.9.0 --startMP 204:233009 --initTime 2017-10-16T09:04:27 --startdatetime 2017-10-16T09:12:25 --delay 49 --endMP 204:143 --enddatetime 2017-10-16T09:50:49 --enforcementcount 0 &gt;&gt;%USERPROFILE%\Documents\GitHub\eaglep3-reporting\EC\2017-10-16-refined-times.txt</v>
      </c>
      <c r="AI5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{"issue":{"subject":"","project_id":79,"tracker_id":40,"status_id":1,"priority_id":2,"assigned_to_id":338,"start_date":"2017-10-16","description":"","custom_fields":[{"id":1,"name":"Subdivision","value":"EC"},{"id":4,"name":"Milepost","value":"0.0143"},{"id":17,"name":"Train ID","value":"138-16"},{"id":16,"name":"Locomotive ID","value":"4059"},{"id":130,"name":"Impact","value":""},{"id":150,"name":"Time of Event (Mountain Time)","value":"09:50:49"},{"id":151,"name":"Denver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4059 --day 2017-10-16</v>
      </c>
      <c r="AN5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-16T08:04:27-0600',mode:absolute,to:'2017-10-16T10:50:49-0600'))&amp;_a=(columns:!('Message%20ID',Summary),filters:!(),index:'emp_*',interval:auto,query:(query_string:(analyze_wildcard:!t,query:'%22rtdc.l.rtdc.4059%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680</v>
      </c>
      <c r="B52" s="7">
        <v>4018</v>
      </c>
      <c r="C52" s="21" t="s">
        <v>194</v>
      </c>
      <c r="D52" s="21" t="s">
        <v>375</v>
      </c>
      <c r="E52" s="13">
        <v>43024.351273148146</v>
      </c>
      <c r="F52" s="13">
        <v>43024.354456018518</v>
      </c>
      <c r="G52" s="7">
        <v>59</v>
      </c>
      <c r="H52" s="21" t="s">
        <v>513</v>
      </c>
      <c r="I52" s="13">
        <v>43024.379849537036</v>
      </c>
      <c r="J52" s="7">
        <v>0</v>
      </c>
      <c r="K52" s="89" t="str">
        <f>IF(ISEVEN(B52),(B52-1)&amp;"/"&amp;B52,B52&amp;"/"&amp;(B52+1))</f>
        <v>4017/4018</v>
      </c>
      <c r="L52" s="185" t="str">
        <f>VLOOKUP(A52,'Trips&amp;Operators'!$C$1:$G$99911,5,FALSE)</f>
        <v>THOMPSON LESTER</v>
      </c>
      <c r="M52" s="6">
        <f>I52-F52</f>
        <v>2.5393518517375924E-2</v>
      </c>
      <c r="N52" s="7">
        <f>24*60*SUM($M52:$M52)</f>
        <v>36.56666666502133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-16T07:25:50-0600',mode:absolute,to:'2017-10-16T10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4.6600000000000003E-2</v>
      </c>
      <c r="Z52" s="204">
        <f>RIGHT(H52,LEN(H52)-4)/10000</f>
        <v>23.328099999999999</v>
      </c>
      <c r="AA52" s="204">
        <f>ABS(Z52-Y52)</f>
        <v>23.281499999999998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/stypes="app*4018*20171016*"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139-16 --locoid 4018 --swversion DE.1.0.9.0 --startMP 204:466 --initTime 2017-10-16T08:25:50 --startdatetime 2017-10-16T08:30:25 --delay 59 --endMP 204:233281 --enddatetime 2017-10-16T09:06:59 --enforcementcount 0 &gt;&gt;%USERPROFILE%\Documents\GitHub\eaglep3-reporting\EC\2017-10-16-refined-times.txt</v>
      </c>
      <c r="AI5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{"issue":{"subject":"","project_id":79,"tracker_id":40,"status_id":1,"priority_id":2,"assigned_to_id":338,"start_date":"2017-10-16","description":"","custom_fields":[{"id":1,"name":"Subdivision","value":"EC"},{"id":4,"name":"Milepost","value":"23.3281"},{"id":17,"name":"Train ID","value":"139-16"},{"id":16,"name":"Locomotive ID","value":"4018"},{"id":130,"name":"Impact","value":""},{"id":150,"name":"Time of Event (Mountain Time)","value":"09:06:59"},{"id":151,"name":"Denver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4018 --day 2017-10-16</v>
      </c>
      <c r="AN5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-16T07:25:50-0600',mode:absolute,to:'2017-10-16T10:06:59-0600'))&amp;_a=(columns:!('Message%20ID',Summary),filters:!(),index:'emp_*',interval:auto,query:(query_string:(analyze_wildcard:!t,query:'%22rtdc.l.rtdc.4018%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586</v>
      </c>
      <c r="B53" s="7">
        <v>4017</v>
      </c>
      <c r="C53" s="21" t="s">
        <v>194</v>
      </c>
      <c r="D53" s="21" t="s">
        <v>856</v>
      </c>
      <c r="E53" s="13">
        <v>43024.390416666669</v>
      </c>
      <c r="F53" s="13">
        <v>43024.394016203703</v>
      </c>
      <c r="G53" s="7">
        <v>55</v>
      </c>
      <c r="H53" s="21" t="s">
        <v>857</v>
      </c>
      <c r="I53" s="13">
        <v>43024.42150462963</v>
      </c>
      <c r="J53" s="7">
        <v>0</v>
      </c>
      <c r="K53" s="89" t="str">
        <f>IF(ISEVEN(B53),(B53-1)&amp;"/"&amp;B53,B53&amp;"/"&amp;(B53+1))</f>
        <v>4017/4018</v>
      </c>
      <c r="L53" s="185" t="str">
        <f>VLOOKUP(A53,'Trips&amp;Operators'!$C$1:$G$99911,5,FALSE)</f>
        <v>THOMPSON LESTER</v>
      </c>
      <c r="M53" s="6">
        <f>I53-F53</f>
        <v>2.7488425927003846E-2</v>
      </c>
      <c r="N53" s="7">
        <f>24*60*SUM($M53:$M53)</f>
        <v>39.583333334885538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-16T08:22:12-0600',mode:absolute,to:'2017-10-16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23.2972</v>
      </c>
      <c r="Z53" s="204">
        <f>RIGHT(H53,LEN(H53)-4)/10000</f>
        <v>1.2999999999999999E-2</v>
      </c>
      <c r="AA53" s="204">
        <f>ABS(Z53-Y53)</f>
        <v>23.284199999999998</v>
      </c>
      <c r="AB53" s="54" t="str">
        <f>VLOOKUP(A53,Enforcements!$C$7:$K$11,8,0)</f>
        <v>Bulletin (2)</v>
      </c>
      <c r="AC53" s="51" t="str">
        <f>VLOOKUP(A53,Enforcements!$C$7:$E$11,3,0)</f>
        <v>GRADE CROSSING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/stypes="app*4017*20171016*"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140-16 --locoid 4017 --swversion DE.1.0.9.0 --startMP 204:232972 --initTime 2017-10-16T09:22:12 --startdatetime 2017-10-16T09:27:23 --delay 55 --endMP 204:130 --enddatetime 2017-10-16T10:06:58 --enforcementcount 0 &gt;&gt;%USERPROFILE%\Documents\GitHub\eaglep3-reporting\EC\2017-10-16-refined-times.txt</v>
      </c>
      <c r="AI5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{"issue":{"subject":"","project_id":79,"tracker_id":40,"status_id":1,"priority_id":2,"assigned_to_id":338,"start_date":"2017-10-16","description":"","custom_fields":[{"id":1,"name":"Subdivision","value":"EC"},{"id":4,"name":"Milepost","value":"0.013"},{"id":17,"name":"Train ID","value":"140-16"},{"id":16,"name":"Locomotive ID","value":"4017"},{"id":130,"name":"Impact","value":""},{"id":150,"name":"Time of Event (Mountain Time)","value":"10:06:58"},{"id":151,"name":"Denver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4017 --day 2017-10-16</v>
      </c>
      <c r="AN5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-16T08:22:12-0600',mode:absolute,to:'2017-10-16T11:06:58-0600'))&amp;_a=(columns:!('Message%20ID',Summary),filters:!(),index:'emp_*',interval:auto,query:(query_string:(analyze_wildcard:!t,query:'%22rtdc.l.rtdc.4017%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684</v>
      </c>
      <c r="B54" s="7">
        <v>4010</v>
      </c>
      <c r="C54" s="21" t="s">
        <v>194</v>
      </c>
      <c r="D54" s="21" t="s">
        <v>376</v>
      </c>
      <c r="E54" s="13">
        <v>43024.363946759258</v>
      </c>
      <c r="F54" s="13">
        <v>43024.365300925929</v>
      </c>
      <c r="G54" s="7">
        <v>56</v>
      </c>
      <c r="H54" s="21" t="s">
        <v>858</v>
      </c>
      <c r="I54" s="13">
        <v>43024.389201388891</v>
      </c>
      <c r="J54" s="7">
        <v>0</v>
      </c>
      <c r="K54" s="89" t="str">
        <f>IF(ISEVEN(B54),(B54-1)&amp;"/"&amp;B54,B54&amp;"/"&amp;(B54+1))</f>
        <v>4009/4010</v>
      </c>
      <c r="L54" s="185" t="str">
        <f>VLOOKUP(A54,'Trips&amp;Operators'!$C$1:$G$99911,5,FALSE)</f>
        <v>YANG JAN</v>
      </c>
      <c r="M54" s="6">
        <f>I54-F54</f>
        <v>2.3900462962046731E-2</v>
      </c>
      <c r="N54" s="7">
        <f>24*60*SUM($M54:$M54)</f>
        <v>34.416666665347293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-16T07:44:05-0600',mode:absolute,to:'2017-10-16T10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4.4699999999999997E-2</v>
      </c>
      <c r="Z54" s="204">
        <f>RIGHT(H54,LEN(H54)-4)/10000</f>
        <v>23.3293</v>
      </c>
      <c r="AA54" s="204">
        <f>ABS(Z54-Y54)</f>
        <v>23.284600000000001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/stypes="app*4010*20171016*"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141-16 --locoid 4010 --swversion DE.1.0.9.0 --startMP 204:447 --initTime 2017-10-16T08:44:05 --startdatetime 2017-10-16T08:46:02 --delay 56 --endMP 204:233293 --enddatetime 2017-10-16T09:20:27 --enforcementcount 0 &gt;&gt;%USERPROFILE%\Documents\GitHub\eaglep3-reporting\EC\2017-10-16-refined-times.txt</v>
      </c>
      <c r="AI5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{"issue":{"subject":"","project_id":79,"tracker_id":40,"status_id":1,"priority_id":2,"assigned_to_id":338,"start_date":"2017-10-16","description":"","custom_fields":[{"id":1,"name":"Subdivision","value":"EC"},{"id":4,"name":"Milepost","value":"23.3293"},{"id":17,"name":"Train ID","value":"141-16"},{"id":16,"name":"Locomotive ID","value":"4010"},{"id":130,"name":"Impact","value":""},{"id":150,"name":"Time of Event (Mountain Time)","value":"09:20:27"},{"id":151,"name":"Denver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4010 --day 2017-10-16</v>
      </c>
      <c r="AN5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-16T07:44:05-0600',mode:absolute,to:'2017-10-16T10:20:27-0600'))&amp;_a=(columns:!('Message%20ID',Summary),filters:!(),index:'emp_*',interval:auto,query:(query_string:(analyze_wildcard:!t,query:'%22rtdc.l.rtdc.4010%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691</v>
      </c>
      <c r="B55" s="7">
        <v>4009</v>
      </c>
      <c r="C55" s="21" t="s">
        <v>194</v>
      </c>
      <c r="D55" s="21" t="s">
        <v>514</v>
      </c>
      <c r="E55" s="13">
        <v>43024.398298611108</v>
      </c>
      <c r="F55" s="13">
        <v>43024.404386574075</v>
      </c>
      <c r="G55" s="7">
        <v>68</v>
      </c>
      <c r="H55" s="21" t="s">
        <v>469</v>
      </c>
      <c r="I55" s="13">
        <v>43024.430821759262</v>
      </c>
      <c r="J55" s="7">
        <v>0</v>
      </c>
      <c r="K55" s="89" t="str">
        <f>IF(ISEVEN(B55),(B55-1)&amp;"/"&amp;B55,B55&amp;"/"&amp;(B55+1))</f>
        <v>4009/4010</v>
      </c>
      <c r="L55" s="185" t="str">
        <f>VLOOKUP(A55,'Trips&amp;Operators'!$C$1:$G$99911,5,FALSE)</f>
        <v>YANG JAN</v>
      </c>
      <c r="M55" s="6">
        <f>I55-F55</f>
        <v>2.6435185187438037E-2</v>
      </c>
      <c r="N55" s="7">
        <f>24*60*SUM($M55:$M55)</f>
        <v>38.066666669910774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-16T08:33:33-0600',mode:absolute,to:'2017-10-16T11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23.2986</v>
      </c>
      <c r="Z55" s="204">
        <f>RIGHT(H55,LEN(H55)-4)/10000</f>
        <v>1.38E-2</v>
      </c>
      <c r="AA55" s="204">
        <f>ABS(Z55-Y55)</f>
        <v>23.284800000000001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/stypes="app*4009*20171016*"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142-16 --locoid 4009 --swversion DE.1.0.9.0 --startMP 204:232986 --initTime 2017-10-16T09:33:33 --startdatetime 2017-10-16T09:42:19 --delay 68 --endMP 204:138 --enddatetime 2017-10-16T10:20:23 --enforcementcount 0 &gt;&gt;%USERPROFILE%\Documents\GitHub\eaglep3-reporting\EC\2017-10-16-refined-times.txt</v>
      </c>
      <c r="AI5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ID","value":"142-16"},{"id":16,"name":"Locomotive ID","value":"4009"},{"id":130,"name":"Impact","value":""},{"id":150,"name":"Time of Event (Mountain Time)","value":"10:20:23"},{"id":151,"name":"Denver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4009 --day 2017-10-16</v>
      </c>
      <c r="AN5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-16T08:33:33-0600',mode:absolute,to:'2017-10-16T11:20:23-0600'))&amp;_a=(columns:!('Message%20ID',Summary),filters:!(),index:'emp_*',interval:auto,query:(query_string:(analyze_wildcard:!t,query:'%22rtdc.l.rtdc.4009%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686</v>
      </c>
      <c r="B56" s="7">
        <v>4030</v>
      </c>
      <c r="C56" s="21" t="s">
        <v>194</v>
      </c>
      <c r="D56" s="21" t="s">
        <v>380</v>
      </c>
      <c r="E56" s="13">
        <v>43024.373124999998</v>
      </c>
      <c r="F56" s="13">
        <v>43024.375173611108</v>
      </c>
      <c r="G56" s="7">
        <v>58</v>
      </c>
      <c r="H56" s="21" t="s">
        <v>435</v>
      </c>
      <c r="I56" s="13">
        <v>43024.400335648148</v>
      </c>
      <c r="J56" s="7">
        <v>0</v>
      </c>
      <c r="K56" s="89" t="str">
        <f>IF(ISEVEN(B56),(B56-1)&amp;"/"&amp;B56,B56&amp;"/"&amp;(B56+1))</f>
        <v>4029/4030</v>
      </c>
      <c r="L56" s="185" t="str">
        <f>VLOOKUP(A56,'Trips&amp;Operators'!$C$1:$G$99911,5,FALSE)</f>
        <v>LANGERAK WILLIAM</v>
      </c>
      <c r="M56" s="6">
        <f>I56-F56</f>
        <v>2.5162037039990537E-2</v>
      </c>
      <c r="N56" s="7">
        <f>24*60*SUM($M56:$M56)</f>
        <v>36.233333337586373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-16T07:57:18-0600',mode:absolute,to:'2017-10-16T10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4.5699999999999998E-2</v>
      </c>
      <c r="Z56" s="204">
        <f>RIGHT(H56,LEN(H56)-4)/10000</f>
        <v>23.331</v>
      </c>
      <c r="AA56" s="204">
        <f>ABS(Z56-Y56)</f>
        <v>23.285299999999999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/stypes="app*4030*20171016*"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143-16 --locoid 4030 --swversion DE.1.0.9.0 --startMP 204:457 --initTime 2017-10-16T08:57:18 --startdatetime 2017-10-16T09:00:15 --delay 58 --endMP 204:233310 --enddatetime 2017-10-16T09:36:29 --enforcementcount 0 &gt;&gt;%USERPROFILE%\Documents\GitHub\eaglep3-reporting\EC\2017-10-16-refined-times.txt</v>
      </c>
      <c r="AI5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{"issue":{"subject":"","project_id":79,"tracker_id":40,"status_id":1,"priority_id":2,"assigned_to_id":338,"start_date":"2017-10-16","description":"","custom_fields":[{"id":1,"name":"Subdivision","value":"EC"},{"id":4,"name":"Milepost","value":"23.331"},{"id":17,"name":"Train ID","value":"143-16"},{"id":16,"name":"Locomotive ID","value":"4030"},{"id":130,"name":"Impact","value":""},{"id":150,"name":"Time of Event (Mountain Time)","value":"09:36:29"},{"id":151,"name":"Denver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4030 --day 2017-10-16</v>
      </c>
      <c r="AN5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-16T07:57:18-0600',mode:absolute,to:'2017-10-16T10:36:29-0600'))&amp;_a=(columns:!('Message%20ID',Summary),filters:!(),index:'emp_*',interval:auto,query:(query_string:(analyze_wildcard:!t,query:'%22rtdc.l.rtdc.4030%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692</v>
      </c>
      <c r="B57" s="7">
        <v>4029</v>
      </c>
      <c r="C57" s="21" t="s">
        <v>194</v>
      </c>
      <c r="D57" s="21" t="s">
        <v>436</v>
      </c>
      <c r="E57" s="13">
        <v>43024.401597222219</v>
      </c>
      <c r="F57" s="13">
        <v>43024.414756944447</v>
      </c>
      <c r="G57" s="7">
        <v>66</v>
      </c>
      <c r="H57" s="21" t="s">
        <v>335</v>
      </c>
      <c r="I57" s="13">
        <v>43024.440960648149</v>
      </c>
      <c r="J57" s="7">
        <v>0</v>
      </c>
      <c r="K57" s="89" t="str">
        <f>IF(ISEVEN(B57),(B57-1)&amp;"/"&amp;B57,B57&amp;"/"&amp;(B57+1))</f>
        <v>4029/4030</v>
      </c>
      <c r="L57" s="185" t="str">
        <f>VLOOKUP(A57,'Trips&amp;Operators'!$C$1:$G$99911,5,FALSE)</f>
        <v>LANGERAK WILLIAM</v>
      </c>
      <c r="M57" s="6">
        <f>I57-F57</f>
        <v>2.6203703702776693E-2</v>
      </c>
      <c r="N57" s="7">
        <f>24*60*SUM($M57:$M57)</f>
        <v>37.733333331998438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-16T08:38:18-0600',mode:absolute,to:'2017-10-16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23.2989</v>
      </c>
      <c r="Z57" s="204">
        <f>RIGHT(H57,LEN(H57)-4)/10000</f>
        <v>1.4999999999999999E-2</v>
      </c>
      <c r="AA57" s="204">
        <f>ABS(Z57-Y57)</f>
        <v>23.283899999999999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/stypes="app*4029*20171016*"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144-16 --locoid 4029 --swversion DE.1.0.9.0 --startMP 204:232989 --initTime 2017-10-16T09:38:18 --startdatetime 2017-10-16T09:57:15 --delay 66 --endMP 204:150 --enddatetime 2017-10-16T10:34:59 --enforcementcount 0 &gt;&gt;%USERPROFILE%\Documents\GitHub\eaglep3-reporting\EC\2017-10-16-refined-times.txt</v>
      </c>
      <c r="AI5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ID","value":"144-16"},{"id":16,"name":"Locomotive ID","value":"4029"},{"id":130,"name":"Impact","value":""},{"id":150,"name":"Time of Event (Mountain Time)","value":"10:34:59"},{"id":151,"name":"Denver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4029 --day 2017-10-16</v>
      </c>
      <c r="AN5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-16T08:38:18-0600',mode:absolute,to:'2017-10-16T11:34:59-0600'))&amp;_a=(columns:!('Message%20ID',Summary),filters:!(),index:'emp_*',interval:auto,query:(query_string:(analyze_wildcard:!t,query:'%22rtdc.l.rtdc.4029%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688</v>
      </c>
      <c r="B58" s="7">
        <v>4024</v>
      </c>
      <c r="C58" s="21" t="s">
        <v>194</v>
      </c>
      <c r="D58" s="21" t="s">
        <v>363</v>
      </c>
      <c r="E58" s="13">
        <v>43024.38013888889</v>
      </c>
      <c r="F58" s="13">
        <v>43024.385682870372</v>
      </c>
      <c r="G58" s="7">
        <v>70</v>
      </c>
      <c r="H58" s="21" t="s">
        <v>859</v>
      </c>
      <c r="I58" s="13">
        <v>43024.409756944442</v>
      </c>
      <c r="J58" s="7">
        <v>0</v>
      </c>
      <c r="K58" s="89" t="str">
        <f>IF(ISEVEN(B58),(B58-1)&amp;"/"&amp;B58,B58&amp;"/"&amp;(B58+1))</f>
        <v>4023/4024</v>
      </c>
      <c r="L58" s="185" t="str">
        <f>VLOOKUP(A58,'Trips&amp;Operators'!$C$1:$G$99911,5,FALSE)</f>
        <v>LAMAR NEKESHA</v>
      </c>
      <c r="M58" s="6">
        <f>I58-F58</f>
        <v>2.4074074070085771E-2</v>
      </c>
      <c r="N58" s="7">
        <f>24*60*SUM($M58:$M58)</f>
        <v>34.666666660923511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-16T08:07:24-0600',mode:absolute,to:'2017-10-16T10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4.5999999999999999E-2</v>
      </c>
      <c r="Z58" s="204">
        <f>RIGHT(H58,LEN(H58)-4)/10000</f>
        <v>23.331099999999999</v>
      </c>
      <c r="AA58" s="204">
        <f>ABS(Z58-Y58)</f>
        <v>23.2851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/stypes="app*4024*20171016*"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145-16 --locoid 4024 --swversion DE.1.0.9.0 --startMP 204:460 --initTime 2017-10-16T09:07:24 --startdatetime 2017-10-16T09:15:23 --delay 70 --endMP 204:233311 --enddatetime 2017-10-16T09:50:03 --enforcementcount 0 &gt;&gt;%USERPROFILE%\Documents\GitHub\eaglep3-reporting\EC\2017-10-16-refined-times.txt</v>
      </c>
      <c r="AI5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{"issue":{"subject":"","project_id":79,"tracker_id":40,"status_id":1,"priority_id":2,"assigned_to_id":338,"start_date":"2017-10-16","description":"","custom_fields":[{"id":1,"name":"Subdivision","value":"EC"},{"id":4,"name":"Milepost","value":"23.3311"},{"id":17,"name":"Train ID","value":"145-16"},{"id":16,"name":"Locomotive ID","value":"4024"},{"id":130,"name":"Impact","value":""},{"id":150,"name":"Time of Event (Mountain Time)","value":"09:50:03"},{"id":151,"name":"Denver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4024 --day 2017-10-16</v>
      </c>
      <c r="AN5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-16T08:07:24-0600',mode:absolute,to:'2017-10-16T10:50:03-0600'))&amp;_a=(columns:!('Message%20ID',Summary),filters:!(),index:'emp_*',interval:auto,query:(query_string:(analyze_wildcard:!t,query:'%22rtdc.l.rtdc.4024%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697</v>
      </c>
      <c r="B59" s="7">
        <v>4023</v>
      </c>
      <c r="C59" s="21" t="s">
        <v>194</v>
      </c>
      <c r="D59" s="21" t="s">
        <v>860</v>
      </c>
      <c r="E59" s="13">
        <v>43024.421006944445</v>
      </c>
      <c r="F59" s="13">
        <v>43024.425219907411</v>
      </c>
      <c r="G59" s="7">
        <v>47</v>
      </c>
      <c r="H59" s="21" t="s">
        <v>355</v>
      </c>
      <c r="I59" s="13">
        <v>43024.451493055552</v>
      </c>
      <c r="J59" s="7">
        <v>0</v>
      </c>
      <c r="K59" s="89" t="str">
        <f>IF(ISEVEN(B59),(B59-1)&amp;"/"&amp;B59,B59&amp;"/"&amp;(B59+1))</f>
        <v>4023/4024</v>
      </c>
      <c r="L59" s="185" t="str">
        <f>VLOOKUP(A59,'Trips&amp;Operators'!$C$1:$G$99911,5,FALSE)</f>
        <v>LAMAR NEKESHA</v>
      </c>
      <c r="M59" s="6">
        <f>I59-F59</f>
        <v>2.6273148141626734E-2</v>
      </c>
      <c r="N59" s="7">
        <f>24*60*SUM($M59:$M59)</f>
        <v>37.833333323942497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-16T09:06:15-0600',mode:absolute,to:'2017-10-16T11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23.299800000000001</v>
      </c>
      <c r="Z59" s="204">
        <f>RIGHT(H59,LEN(H59)-4)/10000</f>
        <v>1.52E-2</v>
      </c>
      <c r="AA59" s="204">
        <f>ABS(Z59-Y59)</f>
        <v>23.284600000000001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/stypes="app*4023*20171016*"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146-16 --locoid 4023 --swversion DE.1.0.9.0 --startMP 204:232998 --initTime 2017-10-16T10:06:15 --startdatetime 2017-10-16T10:12:19 --delay 47 --endMP 204:152 --enddatetime 2017-10-16T10:50:09 --enforcementcount 0 &gt;&gt;%USERPROFILE%\Documents\GitHub\eaglep3-reporting\EC\2017-10-16-refined-times.txt</v>
      </c>
      <c r="AI5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{"issue":{"subject":"","project_id":79,"tracker_id":40,"status_id":1,"priority_id":2,"assigned_to_id":338,"start_date":"2017-10-16","description":"","custom_fields":[{"id":1,"name":"Subdivision","value":"EC"},{"id":4,"name":"Milepost","value":"0.0152"},{"id":17,"name":"Train ID","value":"146-16"},{"id":16,"name":"Locomotive ID","value":"4023"},{"id":130,"name":"Impact","value":""},{"id":150,"name":"Time of Event (Mountain Time)","value":"10:50:09"},{"id":151,"name":"Denver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4023 --day 2017-10-16</v>
      </c>
      <c r="AN5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-16T09:06:15-0600',mode:absolute,to:'2017-10-16T11:50:09-0600'))&amp;_a=(columns:!('Message%20ID',Summary),filters:!(),index:'emp_*',interval:auto,query:(query_string:(analyze_wildcard:!t,query:'%22rtdc.l.rtdc.4023%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689</v>
      </c>
      <c r="B60" s="7">
        <v>4026</v>
      </c>
      <c r="C60" s="21" t="s">
        <v>194</v>
      </c>
      <c r="D60" s="21" t="s">
        <v>434</v>
      </c>
      <c r="E60" s="13">
        <v>43024.3903125</v>
      </c>
      <c r="F60" s="13">
        <v>43024.396122685182</v>
      </c>
      <c r="G60" s="7">
        <v>61</v>
      </c>
      <c r="H60" s="21" t="s">
        <v>861</v>
      </c>
      <c r="I60" s="13">
        <v>43024.420185185183</v>
      </c>
      <c r="J60" s="7">
        <v>0</v>
      </c>
      <c r="K60" s="89" t="str">
        <f>IF(ISEVEN(B60),(B60-1)&amp;"/"&amp;B60,B60&amp;"/"&amp;(B60+1))</f>
        <v>4025/4026</v>
      </c>
      <c r="L60" s="185" t="str">
        <f>VLOOKUP(A60,'Trips&amp;Operators'!$C$1:$G$99911,5,FALSE)</f>
        <v>YORK EDGAR</v>
      </c>
      <c r="M60" s="6">
        <f>I60-F60</f>
        <v>2.4062500000582077E-2</v>
      </c>
      <c r="N60" s="7">
        <f>24*60*SUM($M60:$M60)</f>
        <v>34.65000000083819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-16T08:22:03-0600',mode:absolute,to:'2017-10-16T11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4.6199999999999998E-2</v>
      </c>
      <c r="Z60" s="204">
        <f>RIGHT(H60,LEN(H60)-4)/10000</f>
        <v>23.332100000000001</v>
      </c>
      <c r="AA60" s="204">
        <f>ABS(Z60-Y60)</f>
        <v>23.285900000000002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/stypes="app*4026*20171016*"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147-16 --locoid 4026 --swversion DE.1.0.9.0 --startMP 204:462 --initTime 2017-10-16T09:22:03 --startdatetime 2017-10-16T09:30:25 --delay 61 --endMP 204:233321 --enddatetime 2017-10-16T10:05:04 --enforcementcount 0 &gt;&gt;%USERPROFILE%\Documents\GitHub\eaglep3-reporting\EC\2017-10-16-refined-times.txt</v>
      </c>
      <c r="AI6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{"issue":{"subject":"","project_id":79,"tracker_id":40,"status_id":1,"priority_id":2,"assigned_to_id":338,"start_date":"2017-10-16","description":"","custom_fields":[{"id":1,"name":"Subdivision","value":"EC"},{"id":4,"name":"Milepost","value":"23.3321"},{"id":17,"name":"Train ID","value":"147-16"},{"id":16,"name":"Locomotive ID","value":"4026"},{"id":130,"name":"Impact","value":""},{"id":150,"name":"Time of Event (Mountain Time)","value":"10:05:04"},{"id":151,"name":"Denver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4026 --day 2017-10-16</v>
      </c>
      <c r="AN6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-16T08:22:03-0600',mode:absolute,to:'2017-10-16T11:05:04-0600'))&amp;_a=(columns:!('Message%20ID',Summary),filters:!(),index:'emp_*',interval:auto,query:(query_string:(analyze_wildcard:!t,query:'%22rtdc.l.rtdc.4026%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698</v>
      </c>
      <c r="B61" s="7">
        <v>4025</v>
      </c>
      <c r="C61" s="21" t="s">
        <v>194</v>
      </c>
      <c r="D61" s="21" t="s">
        <v>569</v>
      </c>
      <c r="E61" s="13">
        <v>43024.421122685184</v>
      </c>
      <c r="F61" s="13">
        <v>43024.435694444444</v>
      </c>
      <c r="G61" s="7">
        <v>58</v>
      </c>
      <c r="H61" s="21" t="s">
        <v>336</v>
      </c>
      <c r="I61" s="13">
        <v>43024.460949074077</v>
      </c>
      <c r="J61" s="7">
        <v>0</v>
      </c>
      <c r="K61" s="89" t="str">
        <f>IF(ISEVEN(B61),(B61-1)&amp;"/"&amp;B61,B61&amp;"/"&amp;(B61+1))</f>
        <v>4025/4026</v>
      </c>
      <c r="L61" s="185" t="str">
        <f>VLOOKUP(A61,'Trips&amp;Operators'!$C$1:$G$99911,5,FALSE)</f>
        <v>YORK EDGAR</v>
      </c>
      <c r="M61" s="6">
        <f>I61-F61</f>
        <v>2.5254629632399883E-2</v>
      </c>
      <c r="N61" s="7">
        <f>24*60*SUM($M61:$M61)</f>
        <v>36.366666670655832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-16T09:06:25-0600',mode:absolute,to:'2017-10-16T12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23.297899999999998</v>
      </c>
      <c r="Z61" s="204">
        <f>RIGHT(H61,LEN(H61)-4)/10000</f>
        <v>1.49E-2</v>
      </c>
      <c r="AA61" s="204">
        <f>ABS(Z61-Y61)</f>
        <v>23.282999999999998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/stypes="app*4025*20171016*"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148-16 --locoid 4025 --swversion DE.1.0.9.0 --startMP 204:232979 --initTime 2017-10-16T10:06:25 --startdatetime 2017-10-16T10:27:24 --delay 58 --endMP 204:149 --enddatetime 2017-10-16T11:03:46 --enforcementcount 0 &gt;&gt;%USERPROFILE%\Documents\GitHub\eaglep3-reporting\EC\2017-10-16-refined-times.txt</v>
      </c>
      <c r="AI6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ID","value":"148-16"},{"id":16,"name":"Locomotive ID","value":"4025"},{"id":130,"name":"Impact","value":""},{"id":150,"name":"Time of Event (Mountain Time)","value":"11:03:46"},{"id":151,"name":"Denver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4025 --day 2017-10-16</v>
      </c>
      <c r="AN6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-16T09:06:25-0600',mode:absolute,to:'2017-10-16T12:03:46-0600'))&amp;_a=(columns:!('Message%20ID',Summary),filters:!(),index:'emp_*',interval:auto,query:(query_string:(analyze_wildcard:!t,query:'%22rtdc.l.rtdc.4025%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693</v>
      </c>
      <c r="B62" s="7">
        <v>4020</v>
      </c>
      <c r="C62" s="21" t="s">
        <v>194</v>
      </c>
      <c r="D62" s="21" t="s">
        <v>354</v>
      </c>
      <c r="E62" s="13">
        <v>43024.401435185187</v>
      </c>
      <c r="F62" s="13">
        <v>43024.406493055554</v>
      </c>
      <c r="G62" s="7">
        <v>124</v>
      </c>
      <c r="H62" s="21" t="s">
        <v>570</v>
      </c>
      <c r="I62" s="13">
        <v>43024.429976851854</v>
      </c>
      <c r="J62" s="7">
        <v>0</v>
      </c>
      <c r="K62" s="89" t="str">
        <f>IF(ISEVEN(B62),(B62-1)&amp;"/"&amp;B62,B62&amp;"/"&amp;(B62+1))</f>
        <v>4019/4020</v>
      </c>
      <c r="L62" s="185" t="str">
        <f>VLOOKUP(A62,'Trips&amp;Operators'!$C$1:$G$99911,5,FALSE)</f>
        <v>LALONDE GREGORY</v>
      </c>
      <c r="M62" s="6">
        <f>I62-F62</f>
        <v>2.3483796299842652E-2</v>
      </c>
      <c r="N62" s="7">
        <f>24*60*SUM($M62:$M62)</f>
        <v>33.816666671773419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-16T08:38:04-0600',mode:absolute,to:'2017-10-16T11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4.58E-2</v>
      </c>
      <c r="Z62" s="204">
        <f>RIGHT(H62,LEN(H62)-4)/10000</f>
        <v>23.335100000000001</v>
      </c>
      <c r="AA62" s="204">
        <f>ABS(Z62-Y62)</f>
        <v>23.289300000000001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/stypes="app*4020*20171016*"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149-16 --locoid 4020 --swversion DE.1.0.9.0 --startMP 204:458 --initTime 2017-10-16T09:38:04 --startdatetime 2017-10-16T09:45:21 --delay 124 --endMP 204:233351 --enddatetime 2017-10-16T10:19:10 --enforcementcount 0 &gt;&gt;%USERPROFILE%\Documents\GitHub\eaglep3-reporting\EC\2017-10-16-refined-times.txt</v>
      </c>
      <c r="AI6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{"issue":{"subject":"","project_id":79,"tracker_id":40,"status_id":1,"priority_id":2,"assigned_to_id":338,"start_date":"2017-10-16","description":"","custom_fields":[{"id":1,"name":"Subdivision","value":"EC"},{"id":4,"name":"Milepost","value":"23.3351"},{"id":17,"name":"Train ID","value":"149-16"},{"id":16,"name":"Locomotive ID","value":"4020"},{"id":130,"name":"Impact","value":""},{"id":150,"name":"Time of Event (Mountain Time)","value":"10:19:10"},{"id":151,"name":"Denver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4020 --day 2017-10-16</v>
      </c>
      <c r="AN6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-16T08:38:04-0600',mode:absolute,to:'2017-10-16T11:19:10-0600'))&amp;_a=(columns:!('Message%20ID',Summary),filters:!(),index:'emp_*',interval:auto,query:(query_string:(analyze_wildcard:!t,query:'%22rtdc.l.rtdc.4020%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704</v>
      </c>
      <c r="B63" s="7">
        <v>4019</v>
      </c>
      <c r="C63" s="21" t="s">
        <v>194</v>
      </c>
      <c r="D63" s="21" t="s">
        <v>847</v>
      </c>
      <c r="E63" s="13">
        <v>43024.434571759259</v>
      </c>
      <c r="F63" s="13">
        <v>43024.446956018517</v>
      </c>
      <c r="G63" s="7">
        <v>67</v>
      </c>
      <c r="H63" s="21" t="s">
        <v>364</v>
      </c>
      <c r="I63" s="13">
        <v>43024.472314814811</v>
      </c>
      <c r="J63" s="7">
        <v>0</v>
      </c>
      <c r="K63" s="89" t="str">
        <f>IF(ISEVEN(B63),(B63-1)&amp;"/"&amp;B63,B63&amp;"/"&amp;(B63+1))</f>
        <v>4019/4020</v>
      </c>
      <c r="L63" s="185" t="str">
        <f>VLOOKUP(A63,'Trips&amp;Operators'!$C$1:$G$99911,5,FALSE)</f>
        <v>LALONDE GREGORY</v>
      </c>
      <c r="M63" s="6">
        <f>I63-F63</f>
        <v>2.5358796294312924E-2</v>
      </c>
      <c r="N63" s="7">
        <f>24*60*SUM($M63:$M63)</f>
        <v>36.516666663810611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-16T09:25:47-0600',mode:absolute,to:'2017-10-16T12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23.301100000000002</v>
      </c>
      <c r="Z63" s="204">
        <f>RIGHT(H63,LEN(H63)-4)/10000</f>
        <v>1.5800000000000002E-2</v>
      </c>
      <c r="AA63" s="204">
        <f>ABS(Z63-Y63)</f>
        <v>23.285300000000003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/stypes="app*4019*20171016*"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150-16 --locoid 4019 --swversion DE.1.0.9.0 --startMP 204:233011 --initTime 2017-10-16T10:25:47 --startdatetime 2017-10-16T10:43:37 --delay 67 --endMP 204:158 --enddatetime 2017-10-16T11:20:08 --enforcementcount 0 &gt;&gt;%USERPROFILE%\Documents\GitHub\eaglep3-reporting\EC\2017-10-16-refined-times.txt</v>
      </c>
      <c r="AI6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{"issue":{"subject":"","project_id":79,"tracker_id":40,"status_id":1,"priority_id":2,"assigned_to_id":338,"start_date":"2017-10-16","description":"","custom_fields":[{"id":1,"name":"Subdivision","value":"EC"},{"id":4,"name":"Milepost","value":"0.0158"},{"id":17,"name":"Train ID","value":"150-16"},{"id":16,"name":"Locomotive ID","value":"4019"},{"id":130,"name":"Impact","value":""},{"id":150,"name":"Time of Event (Mountain Time)","value":"11:20:08"},{"id":151,"name":"Denver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4019 --day 2017-10-16</v>
      </c>
      <c r="AN6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-16T09:25:47-0600',mode:absolute,to:'2017-10-16T12:20:08-0600'))&amp;_a=(columns:!('Message%20ID',Summary),filters:!(),index:'emp_*',interval:auto,query:(query_string:(analyze_wildcard:!t,query:'%22rtdc.l.rtdc.4019%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695</v>
      </c>
      <c r="B64" s="7">
        <v>4060</v>
      </c>
      <c r="C64" s="21" t="s">
        <v>194</v>
      </c>
      <c r="D64" s="21" t="s">
        <v>372</v>
      </c>
      <c r="E64" s="13">
        <v>43024.412708333337</v>
      </c>
      <c r="F64" s="13">
        <v>43024.416898148149</v>
      </c>
      <c r="G64" s="7">
        <v>45</v>
      </c>
      <c r="H64" s="21" t="s">
        <v>572</v>
      </c>
      <c r="I64" s="13">
        <v>43024.441886574074</v>
      </c>
      <c r="J64" s="7">
        <v>0</v>
      </c>
      <c r="K64" s="89" t="str">
        <f>IF(ISEVEN(B64),(B64-1)&amp;"/"&amp;B64,B64&amp;"/"&amp;(B64+1))</f>
        <v>4059/4060</v>
      </c>
      <c r="L64" s="185" t="str">
        <f>VLOOKUP(A64,'Trips&amp;Operators'!$C$1:$G$99911,5,FALSE)</f>
        <v>MAELZER KURT</v>
      </c>
      <c r="M64" s="6">
        <f>I64-F64</f>
        <v>2.4988425924675539E-2</v>
      </c>
      <c r="N64" s="7">
        <f>24*60*SUM($M64:$M64)</f>
        <v>35.983333331532776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-16T08:54:18-0600',mode:absolute,to:'2017-10-16T11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4.7100000000000003E-2</v>
      </c>
      <c r="Z64" s="204">
        <f>RIGHT(H64,LEN(H64)-4)/10000</f>
        <v>23.334399999999999</v>
      </c>
      <c r="AA64" s="204">
        <f>ABS(Z64-Y64)</f>
        <v>23.287299999999998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/stypes="app*4060*20171016*"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151-16 --locoid 4060 --swversion DE.1.0.9.0 --startMP 204:471 --initTime 2017-10-16T09:54:18 --startdatetime 2017-10-16T10:00:20 --delay 45 --endMP 204:233344 --enddatetime 2017-10-16T10:36:19 --enforcementcount 0 &gt;&gt;%USERPROFILE%\Documents\GitHub\eaglep3-reporting\EC\2017-10-16-refined-times.txt</v>
      </c>
      <c r="AI6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{"issue":{"subject":"","project_id":79,"tracker_id":40,"status_id":1,"priority_id":2,"assigned_to_id":338,"start_date":"2017-10-16","description":"","custom_fields":[{"id":1,"name":"Subdivision","value":"EC"},{"id":4,"name":"Milepost","value":"23.3344"},{"id":17,"name":"Train ID","value":"151-16"},{"id":16,"name":"Locomotive ID","value":"4060"},{"id":130,"name":"Impact","value":""},{"id":150,"name":"Time of Event (Mountain Time)","value":"10:36:19"},{"id":151,"name":"Denver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4060 --day 2017-10-16</v>
      </c>
      <c r="AN6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-16T08:54:18-0600',mode:absolute,to:'2017-10-16T11:36:19-0600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706</v>
      </c>
      <c r="B65" s="7">
        <v>4059</v>
      </c>
      <c r="C65" s="21" t="s">
        <v>194</v>
      </c>
      <c r="D65" s="21" t="s">
        <v>547</v>
      </c>
      <c r="E65" s="13">
        <v>43024.454467592594</v>
      </c>
      <c r="F65" s="13">
        <v>43024.45648148148</v>
      </c>
      <c r="G65" s="7">
        <v>52</v>
      </c>
      <c r="H65" s="21" t="s">
        <v>337</v>
      </c>
      <c r="I65" s="13">
        <v>43024.482939814814</v>
      </c>
      <c r="J65" s="7">
        <v>0</v>
      </c>
      <c r="K65" s="89" t="str">
        <f>IF(ISEVEN(B65),(B65-1)&amp;"/"&amp;B65,B65&amp;"/"&amp;(B65+1))</f>
        <v>4059/4060</v>
      </c>
      <c r="L65" s="185" t="str">
        <f>VLOOKUP(A65,'Trips&amp;Operators'!$C$1:$G$99911,5,FALSE)</f>
        <v>MAELZER KURT</v>
      </c>
      <c r="M65" s="6">
        <f>I65-F65</f>
        <v>2.6458333333721384E-2</v>
      </c>
      <c r="N65" s="7">
        <f>24*60*SUM($M65:$M65)</f>
        <v>38.100000000558794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-16T09:54:26-0600',mode:absolute,to:'2017-10-16T12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23.302099999999999</v>
      </c>
      <c r="Z65" s="204">
        <f>RIGHT(H65,LEN(H65)-4)/10000</f>
        <v>1.43E-2</v>
      </c>
      <c r="AA65" s="204">
        <f>ABS(Z65-Y65)</f>
        <v>23.287800000000001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/stypes="app*4059*20171016*"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152-16 --locoid 4059 --swversion DE.1.0.9.0 --startMP 204:233021 --initTime 2017-10-16T10:54:26 --startdatetime 2017-10-16T10:57:20 --delay 52 --endMP 204:143 --enddatetime 2017-10-16T11:35:26 --enforcementcount 0 &gt;&gt;%USERPROFILE%\Documents\GitHub\eaglep3-reporting\EC\2017-10-16-refined-times.txt</v>
      </c>
      <c r="AI6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{"issue":{"subject":"","project_id":79,"tracker_id":40,"status_id":1,"priority_id":2,"assigned_to_id":338,"start_date":"2017-10-16","description":"","custom_fields":[{"id":1,"name":"Subdivision","value":"EC"},{"id":4,"name":"Milepost","value":"0.0143"},{"id":17,"name":"Train ID","value":"152-16"},{"id":16,"name":"Locomotive ID","value":"4059"},{"id":130,"name":"Impact","value":""},{"id":150,"name":"Time of Event (Mountain Time)","value":"11:35:26"},{"id":151,"name":"Denver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4059 --day 2017-10-16</v>
      </c>
      <c r="AN6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-16T09:54:26-0600',mode:absolute,to:'2017-10-16T12:35:26-0600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587</v>
      </c>
      <c r="B66" s="7">
        <v>4018</v>
      </c>
      <c r="C66" s="21" t="s">
        <v>194</v>
      </c>
      <c r="D66" s="21" t="s">
        <v>474</v>
      </c>
      <c r="E66" s="13">
        <v>43024.42324074074</v>
      </c>
      <c r="F66" s="13">
        <v>43024.427731481483</v>
      </c>
      <c r="G66" s="7">
        <v>65</v>
      </c>
      <c r="H66" s="21" t="s">
        <v>862</v>
      </c>
      <c r="I66" s="13">
        <v>43024.451793981483</v>
      </c>
      <c r="J66" s="7">
        <v>0</v>
      </c>
      <c r="K66" s="89" t="str">
        <f>IF(ISEVEN(B66),(B66-1)&amp;"/"&amp;B66,B66&amp;"/"&amp;(B66+1))</f>
        <v>4017/4018</v>
      </c>
      <c r="L66" s="185" t="str">
        <f>VLOOKUP(A66,'Trips&amp;Operators'!$C$1:$G$99911,5,FALSE)</f>
        <v>MACDONALD THOMAS</v>
      </c>
      <c r="M66" s="6">
        <f>I66-F66</f>
        <v>2.4062500000582077E-2</v>
      </c>
      <c r="N66" s="7">
        <f>24*60*SUM($M66:$M66)</f>
        <v>34.65000000083819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-16T09:09:28-0600',mode:absolute,to:'2017-10-16T11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4.4400000000000002E-2</v>
      </c>
      <c r="Z66" s="204">
        <f>RIGHT(H66,LEN(H66)-4)/10000</f>
        <v>23.326599999999999</v>
      </c>
      <c r="AA66" s="204">
        <f>ABS(Z66-Y66)</f>
        <v>23.2822</v>
      </c>
      <c r="AB66" s="54" t="str">
        <f>VLOOKUP(A66,Enforcements!$C$7:$K$11,8,0)</f>
        <v>Bulletin (2)</v>
      </c>
      <c r="AC66" s="51" t="str">
        <f>VLOOKUP(A66,Enforcements!$C$7:$E$11,3,0)</f>
        <v>GRADE CROSSING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/stypes="app*4018*20171016*"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153-16 --locoid 4018 --swversion DE.1.0.9.0 --startMP 204:444 --initTime 2017-10-16T10:09:28 --startdatetime 2017-10-16T10:15:56 --delay 65 --endMP 204:233266 --enddatetime 2017-10-16T10:50:35 --enforcementcount 0 &gt;&gt;%USERPROFILE%\Documents\GitHub\eaglep3-reporting\EC\2017-10-16-refined-times.txt</v>
      </c>
      <c r="AI6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{"issue":{"subject":"","project_id":79,"tracker_id":40,"status_id":1,"priority_id":2,"assigned_to_id":338,"start_date":"2017-10-16","description":"","custom_fields":[{"id":1,"name":"Subdivision","value":"EC"},{"id":4,"name":"Milepost","value":"23.3266"},{"id":17,"name":"Train ID","value":"153-16"},{"id":16,"name":"Locomotive ID","value":"4018"},{"id":130,"name":"Impact","value":""},{"id":150,"name":"Time of Event (Mountain Time)","value":"10:50:35"},{"id":151,"name":"Denver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4018 --day 2017-10-16</v>
      </c>
      <c r="AN6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-16T09:09:28-0600',mode:absolute,to:'2017-10-16T11:50:35-0600'))&amp;_a=(columns:!('Message%20ID',Summary),filters:!(),index:'emp_*',interval:auto,query:(query_string:(analyze_wildcard:!t,query:'%22rtdc.l.rtdc.4018%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710</v>
      </c>
      <c r="B67" s="7">
        <v>4017</v>
      </c>
      <c r="C67" s="21" t="s">
        <v>194</v>
      </c>
      <c r="D67" s="21" t="s">
        <v>863</v>
      </c>
      <c r="E67" s="13">
        <v>43024.464780092596</v>
      </c>
      <c r="F67" s="13">
        <v>43024.466932870368</v>
      </c>
      <c r="G67" s="7">
        <v>57</v>
      </c>
      <c r="H67" s="21" t="s">
        <v>358</v>
      </c>
      <c r="I67" s="13">
        <v>43024.492719907408</v>
      </c>
      <c r="J67" s="7">
        <v>0</v>
      </c>
      <c r="K67" s="89" t="str">
        <f>IF(ISEVEN(B67),(B67-1)&amp;"/"&amp;B67,B67&amp;"/"&amp;(B67+1))</f>
        <v>4017/4018</v>
      </c>
      <c r="L67" s="185" t="str">
        <f>VLOOKUP(A67,'Trips&amp;Operators'!$C$1:$G$99911,5,FALSE)</f>
        <v>MACDONALD THOMAS</v>
      </c>
      <c r="M67" s="6">
        <f>I67-F67</f>
        <v>2.5787037040572613E-2</v>
      </c>
      <c r="N67" s="7">
        <f>24*60*SUM($M67:$M67)</f>
        <v>37.133333338424563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-16T10:09:17-0600',mode:absolute,to:'2017-10-16T12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23.296700000000001</v>
      </c>
      <c r="Z67" s="204">
        <f>RIGHT(H67,LEN(H67)-4)/10000</f>
        <v>1.5599999999999999E-2</v>
      </c>
      <c r="AA67" s="204">
        <f>ABS(Z67-Y67)</f>
        <v>23.281100000000002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/stypes="app*4017*20171016*"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154-16 --locoid 4017 --swversion DE.1.0.9.0 --startMP 204:232967 --initTime 2017-10-16T11:09:17 --startdatetime 2017-10-16T11:12:23 --delay 57 --endMP 204:156 --enddatetime 2017-10-16T11:49:31 --enforcementcount 0 &gt;&gt;%USERPROFILE%\Documents\GitHub\eaglep3-reporting\EC\2017-10-16-refined-times.txt</v>
      </c>
      <c r="AI6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{"issue":{"subject":"","project_id":79,"tracker_id":40,"status_id":1,"priority_id":2,"assigned_to_id":338,"start_date":"2017-10-16","description":"","custom_fields":[{"id":1,"name":"Subdivision","value":"EC"},{"id":4,"name":"Milepost","value":"0.0156"},{"id":17,"name":"Train ID","value":"154-16"},{"id":16,"name":"Locomotive ID","value":"4017"},{"id":130,"name":"Impact","value":""},{"id":150,"name":"Time of Event (Mountain Time)","value":"11:49:31"},{"id":151,"name":"Denver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4017 --day 2017-10-16</v>
      </c>
      <c r="AN6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-16T10:09:17-0600',mode:absolute,to:'2017-10-16T12:49:31-0600'))&amp;_a=(columns:!('Message%20ID',Summary),filters:!(),index:'emp_*',interval:auto,query:(query_string:(analyze_wildcard:!t,query:'%22rtdc.l.rtdc.4017%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702</v>
      </c>
      <c r="B68" s="7">
        <v>4010</v>
      </c>
      <c r="C68" s="21" t="s">
        <v>194</v>
      </c>
      <c r="D68" s="21" t="s">
        <v>345</v>
      </c>
      <c r="E68" s="13">
        <v>43024.433356481481</v>
      </c>
      <c r="F68" s="13">
        <v>43024.437939814816</v>
      </c>
      <c r="G68" s="7">
        <v>54</v>
      </c>
      <c r="H68" s="21" t="s">
        <v>414</v>
      </c>
      <c r="I68" s="13">
        <v>43024.462812500002</v>
      </c>
      <c r="J68" s="7">
        <v>0</v>
      </c>
      <c r="K68" s="89" t="str">
        <f>IF(ISEVEN(B68),(B68-1)&amp;"/"&amp;B68,B68&amp;"/"&amp;(B68+1))</f>
        <v>4009/4010</v>
      </c>
      <c r="L68" s="185" t="str">
        <f>VLOOKUP(A68,'Trips&amp;Operators'!$C$1:$G$99911,5,FALSE)</f>
        <v>YANG JAN</v>
      </c>
      <c r="M68" s="6">
        <f>I68-F68</f>
        <v>2.4872685185982846E-2</v>
      </c>
      <c r="N68" s="7">
        <f>24*60*SUM($M68:$M68)</f>
        <v>35.816666667815298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-16T09:24:02-0600',mode:absolute,to:'2017-10-16T12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4.5499999999999999E-2</v>
      </c>
      <c r="Z68" s="204">
        <f>RIGHT(H68,LEN(H68)-4)/10000</f>
        <v>23.331399999999999</v>
      </c>
      <c r="AA68" s="204">
        <f>ABS(Z68-Y68)</f>
        <v>23.285899999999998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/stypes="app*4010*20171016*"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155-16 --locoid 4010 --swversion DE.1.0.9.0 --startMP 204:455 --initTime 2017-10-16T10:24:02 --startdatetime 2017-10-16T10:30:38 --delay 54 --endMP 204:233314 --enddatetime 2017-10-16T11:06:27 --enforcementcount 0 &gt;&gt;%USERPROFILE%\Documents\GitHub\eaglep3-reporting\EC\2017-10-16-refined-times.txt</v>
      </c>
      <c r="AI68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{"issue":{"subject":"","project_id":79,"tracker_id":40,"status_id":1,"priority_id":2,"assigned_to_id":338,"start_date":"2017-10-16","description":"","custom_fields":[{"id":1,"name":"Subdivision","value":"EC"},{"id":4,"name":"Milepost","value":"23.3314"},{"id":17,"name":"Train ID","value":"155-16"},{"id":16,"name":"Locomotive ID","value":"4010"},{"id":130,"name":"Impact","value":""},{"id":150,"name":"Time of Event (Mountain Time)","value":"11:06:27"},{"id":151,"name":"Denver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4010 --day 2017-10-16</v>
      </c>
      <c r="AN68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-16T09:24:02-0600',mode:absolute,to:'2017-10-16T12:06:27-0600'))&amp;_a=(columns:!('Message%20ID',Summary),filters:!(),index:'emp_*',interval:auto,query:(query_string:(analyze_wildcard:!t,query:'%22rtdc.l.rtdc.4010%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711</v>
      </c>
      <c r="B69" s="7">
        <v>4009</v>
      </c>
      <c r="C69" s="21" t="s">
        <v>194</v>
      </c>
      <c r="D69" s="21" t="s">
        <v>560</v>
      </c>
      <c r="E69" s="13">
        <v>43024.470925925925</v>
      </c>
      <c r="F69" s="13">
        <v>43024.477384259262</v>
      </c>
      <c r="G69" s="7">
        <v>54</v>
      </c>
      <c r="H69" s="21" t="s">
        <v>335</v>
      </c>
      <c r="I69" s="13">
        <v>43024.503344907411</v>
      </c>
      <c r="J69" s="7">
        <v>0</v>
      </c>
      <c r="K69" s="89" t="str">
        <f>IF(ISEVEN(B69),(B69-1)&amp;"/"&amp;B69,B69&amp;"/"&amp;(B69+1))</f>
        <v>4009/4010</v>
      </c>
      <c r="L69" s="185" t="str">
        <f>VLOOKUP(A69,'Trips&amp;Operators'!$C$1:$G$99911,5,FALSE)</f>
        <v>YANG JAN</v>
      </c>
      <c r="M69" s="6">
        <f>I69-F69</f>
        <v>2.5960648148611654E-2</v>
      </c>
      <c r="N69" s="7">
        <f>24*60*SUM($M69:$M69)</f>
        <v>37.383333334000781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-16T10:18:08-0600',mode:absolute,to:'2017-10-16T13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23.298300000000001</v>
      </c>
      <c r="Z69" s="204">
        <f>RIGHT(H69,LEN(H69)-4)/10000</f>
        <v>1.4999999999999999E-2</v>
      </c>
      <c r="AA69" s="204">
        <f>ABS(Z69-Y69)</f>
        <v>23.283300000000001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/stypes="app*4009*20171016*"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156-16 --locoid 4009 --swversion DE.1.0.9.0 --startMP 204:232983 --initTime 2017-10-16T11:18:08 --startdatetime 2017-10-16T11:27:26 --delay 54 --endMP 204:150 --enddatetime 2017-10-16T12:04:49 --enforcementcount 0 &gt;&gt;%USERPROFILE%\Documents\GitHub\eaglep3-reporting\EC\2017-10-16-refined-times.txt</v>
      </c>
      <c r="AI69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ID","value":"156-16"},{"id":16,"name":"Locomotive ID","value":"4009"},{"id":130,"name":"Impact","value":""},{"id":150,"name":"Time of Event (Mountain Time)","value":"12:04:49"},{"id":151,"name":"Denver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4009 --day 2017-10-16</v>
      </c>
      <c r="AN69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-16T10:18:08-0600',mode:absolute,to:'2017-10-16T13:04:49-0600'))&amp;_a=(columns:!('Message%20ID',Summary),filters:!(),index:'emp_*',interval:auto,query:(query_string:(analyze_wildcard:!t,query:'%22rtdc.l.rtdc.4009%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705</v>
      </c>
      <c r="B70" s="7">
        <v>4030</v>
      </c>
      <c r="C70" s="21" t="s">
        <v>194</v>
      </c>
      <c r="D70" s="21" t="s">
        <v>391</v>
      </c>
      <c r="E70" s="13">
        <v>43024.442511574074</v>
      </c>
      <c r="F70" s="13">
        <v>43024.448113425926</v>
      </c>
      <c r="G70" s="7">
        <v>109</v>
      </c>
      <c r="H70" s="21" t="s">
        <v>427</v>
      </c>
      <c r="I70" s="13">
        <v>43024.472708333335</v>
      </c>
      <c r="J70" s="7">
        <v>0</v>
      </c>
      <c r="K70" s="89" t="str">
        <f>IF(ISEVEN(B70),(B70-1)&amp;"/"&amp;B70,B70&amp;"/"&amp;(B70+1))</f>
        <v>4029/4030</v>
      </c>
      <c r="L70" s="185" t="str">
        <f>VLOOKUP(A70,'Trips&amp;Operators'!$C$1:$G$99911,5,FALSE)</f>
        <v>BADERTSCHER DIANE</v>
      </c>
      <c r="M70" s="6">
        <f>I70-F70</f>
        <v>2.4594907408754807E-2</v>
      </c>
      <c r="N70" s="7">
        <f>24*60*SUM($M70:$M70)</f>
        <v>35.416666668606922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-16T09:37:13-0600',mode:absolute,to:'2017-10-16T12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4.6699999999999998E-2</v>
      </c>
      <c r="Z70" s="204">
        <f>RIGHT(H70,LEN(H70)-4)/10000</f>
        <v>23.330300000000001</v>
      </c>
      <c r="AA70" s="204">
        <f>ABS(Z70-Y70)</f>
        <v>23.2836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/stypes="app*4030*20171016*"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157-16 --locoid 4030 --swversion DE.1.0.9.0 --startMP 204:467 --initTime 2017-10-16T10:37:13 --startdatetime 2017-10-16T10:45:17 --delay 109 --endMP 204:233303 --enddatetime 2017-10-16T11:20:42 --enforcementcount 0 &gt;&gt;%USERPROFILE%\Documents\GitHub\eaglep3-reporting\EC\2017-10-16-refined-times.txt</v>
      </c>
      <c r="AI70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{"issue":{"subject":"","project_id":79,"tracker_id":40,"status_id":1,"priority_id":2,"assigned_to_id":338,"start_date":"2017-10-16","description":"","custom_fields":[{"id":1,"name":"Subdivision","value":"EC"},{"id":4,"name":"Milepost","value":"23.3303"},{"id":17,"name":"Train ID","value":"157-16"},{"id":16,"name":"Locomotive ID","value":"4030"},{"id":130,"name":"Impact","value":""},{"id":150,"name":"Time of Event (Mountain Time)","value":"11:20:42"},{"id":151,"name":"Denver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4030 --day 2017-10-16</v>
      </c>
      <c r="AN70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-16T09:37:13-0600',mode:absolute,to:'2017-10-16T12:20:42-0600'))&amp;_a=(columns:!('Message%20ID',Summary),filters:!(),index:'emp_*',interval:auto,query:(query_string:(analyze_wildcard:!t,query:'%22rtdc.l.rtdc.4030%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716</v>
      </c>
      <c r="B71" s="7">
        <v>4029</v>
      </c>
      <c r="C71" s="21" t="s">
        <v>194</v>
      </c>
      <c r="D71" s="21" t="s">
        <v>864</v>
      </c>
      <c r="E71" s="13">
        <v>43024.481030092589</v>
      </c>
      <c r="F71" s="13">
        <v>43024.487673611111</v>
      </c>
      <c r="G71" s="7">
        <v>89</v>
      </c>
      <c r="H71" s="21" t="s">
        <v>367</v>
      </c>
      <c r="I71" s="13">
        <v>43024.515034722222</v>
      </c>
      <c r="J71" s="7">
        <v>0</v>
      </c>
      <c r="K71" s="89" t="str">
        <f>IF(ISEVEN(B71),(B71-1)&amp;"/"&amp;B71,B71&amp;"/"&amp;(B71+1))</f>
        <v>4029/4030</v>
      </c>
      <c r="L71" s="185" t="str">
        <f>VLOOKUP(A71,'Trips&amp;Operators'!$C$1:$G$99911,5,FALSE)</f>
        <v>BADERTSCHER DIANE</v>
      </c>
      <c r="M71" s="6">
        <f>I71-F71</f>
        <v>2.73611111115315E-2</v>
      </c>
      <c r="N71" s="7">
        <f>24*60*SUM($M71:$M71)</f>
        <v>39.40000000060536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-16T10:32:41-0600',mode:absolute,to:'2017-10-16T13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23.299199999999999</v>
      </c>
      <c r="Z71" s="204">
        <f>RIGHT(H71,LEN(H71)-4)/10000</f>
        <v>1.3899999999999999E-2</v>
      </c>
      <c r="AA71" s="204">
        <f>ABS(Z71-Y71)</f>
        <v>23.285299999999999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/stypes="app*4029*20171016*"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158-16 --locoid 4029 --swversion DE.1.0.9.0 --startMP 204:232992 --initTime 2017-10-16T11:32:41 --startdatetime 2017-10-16T11:42:15 --delay 89 --endMP 204:139 --enddatetime 2017-10-16T12:21:39 --enforcementcount 0 &gt;&gt;%USERPROFILE%\Documents\GitHub\eaglep3-reporting\EC\2017-10-16-refined-times.txt</v>
      </c>
      <c r="AI71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{"issue":{"subject":"","project_id":79,"tracker_id":40,"status_id":1,"priority_id":2,"assigned_to_id":338,"start_date":"2017-10-16","description":"","custom_fields":[{"id":1,"name":"Subdivision","value":"EC"},{"id":4,"name":"Milepost","value":"0.0139"},{"id":17,"name":"Train ID","value":"158-16"},{"id":16,"name":"Locomotive ID","value":"4029"},{"id":130,"name":"Impact","value":""},{"id":150,"name":"Time of Event (Mountain Time)","value":"12:21:39"},{"id":151,"name":"Denver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4029 --day 2017-10-16</v>
      </c>
      <c r="AN71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-16T10:32:41-0600',mode:absolute,to:'2017-10-16T13:21:39-0600'))&amp;_a=(columns:!('Message%20ID',Summary),filters:!(),index:'emp_*',interval:auto,query:(query_string:(analyze_wildcard:!t,query:'%22rtdc.l.rtdc.4029%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707</v>
      </c>
      <c r="B72" s="7">
        <v>4024</v>
      </c>
      <c r="C72" s="21" t="s">
        <v>194</v>
      </c>
      <c r="D72" s="21" t="s">
        <v>419</v>
      </c>
      <c r="E72" s="13">
        <v>43024.454351851855</v>
      </c>
      <c r="F72" s="13">
        <v>43024.458506944444</v>
      </c>
      <c r="G72" s="7">
        <v>80</v>
      </c>
      <c r="H72" s="21" t="s">
        <v>562</v>
      </c>
      <c r="I72" s="13">
        <v>43024.483668981484</v>
      </c>
      <c r="J72" s="7">
        <v>0</v>
      </c>
      <c r="K72" s="89" t="str">
        <f>IF(ISEVEN(B72),(B72-1)&amp;"/"&amp;B72,B72&amp;"/"&amp;(B72+1))</f>
        <v>4023/4024</v>
      </c>
      <c r="L72" s="185" t="str">
        <f>VLOOKUP(A72,'Trips&amp;Operators'!$C$1:$G$99911,5,FALSE)</f>
        <v>LAMAR NEKESHA</v>
      </c>
      <c r="M72" s="6">
        <f>I72-F72</f>
        <v>2.5162037039990537E-2</v>
      </c>
      <c r="N72" s="7">
        <f>24*60*SUM($M72:$M72)</f>
        <v>36.233333337586373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-16T09:54:16-0600',mode:absolute,to:'2017-10-16T12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4.6399999999999997E-2</v>
      </c>
      <c r="Z72" s="204">
        <f>RIGHT(H72,LEN(H72)-4)/10000</f>
        <v>23.331499999999998</v>
      </c>
      <c r="AA72" s="204">
        <f>ABS(Z72-Y72)</f>
        <v>23.2851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/stypes="app*4024*20171016*"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159-16 --locoid 4024 --swversion DE.1.0.9.0 --startMP 204:464 --initTime 2017-10-16T10:54:16 --startdatetime 2017-10-16T11:00:15 --delay 80 --endMP 204:233315 --enddatetime 2017-10-16T11:36:29 --enforcementcount 0 &gt;&gt;%USERPROFILE%\Documents\GitHub\eaglep3-reporting\EC\2017-10-16-refined-times.txt</v>
      </c>
      <c r="AI72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{"issue":{"subject":"","project_id":79,"tracker_id":40,"status_id":1,"priority_id":2,"assigned_to_id":338,"start_date":"2017-10-16","description":"","custom_fields":[{"id":1,"name":"Subdivision","value":"EC"},{"id":4,"name":"Milepost","value":"23.3315"},{"id":17,"name":"Train ID","value":"159-16"},{"id":16,"name":"Locomotive ID","value":"4024"},{"id":130,"name":"Impact","value":""},{"id":150,"name":"Time of Event (Mountain Time)","value":"11:36:29"},{"id":151,"name":"Denver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4024 --day 2017-10-16</v>
      </c>
      <c r="AN72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-16T09:54:16-0600',mode:absolute,to:'2017-10-16T12:36:29-0600'))&amp;_a=(columns:!('Message%20ID',Summary),filters:!(),index:'emp_*',interval:auto,query:(query_string:(analyze_wildcard:!t,query:'%22rtdc.l.rtdc.4024%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720</v>
      </c>
      <c r="B73" s="7">
        <v>4023</v>
      </c>
      <c r="C73" s="21" t="s">
        <v>194</v>
      </c>
      <c r="D73" s="21" t="s">
        <v>851</v>
      </c>
      <c r="E73" s="13">
        <v>43024.491284722222</v>
      </c>
      <c r="F73" s="13">
        <v>43024.498113425929</v>
      </c>
      <c r="G73" s="7">
        <v>47</v>
      </c>
      <c r="H73" s="21" t="s">
        <v>364</v>
      </c>
      <c r="I73" s="13">
        <v>43024.52416666667</v>
      </c>
      <c r="J73" s="7">
        <v>0</v>
      </c>
      <c r="K73" s="89" t="str">
        <f>IF(ISEVEN(B73),(B73-1)&amp;"/"&amp;B73,B73&amp;"/"&amp;(B73+1))</f>
        <v>4023/4024</v>
      </c>
      <c r="L73" s="185" t="str">
        <f>VLOOKUP(A73,'Trips&amp;Operators'!$C$1:$G$99911,5,FALSE)</f>
        <v>LAMAR NEKESHA</v>
      </c>
      <c r="M73" s="6">
        <f>I73-F73</f>
        <v>2.6053240741021E-2</v>
      </c>
      <c r="N73" s="7">
        <f>24*60*SUM($M73:$M73)</f>
        <v>37.51666666707024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-16T10:47:27-0600',mode:absolute,to:'2017-10-16T13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23.299600000000002</v>
      </c>
      <c r="Z73" s="204">
        <f>RIGHT(H73,LEN(H73)-4)/10000</f>
        <v>1.5800000000000002E-2</v>
      </c>
      <c r="AA73" s="204">
        <f>ABS(Z73-Y73)</f>
        <v>23.283800000000003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/stypes="app*4023*20171016*"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160-16 --locoid 4023 --swversion DE.1.0.9.0 --startMP 204:232996 --initTime 2017-10-16T11:47:27 --startdatetime 2017-10-16T11:57:17 --delay 47 --endMP 204:158 --enddatetime 2017-10-16T12:34:48 --enforcementcount 0 &gt;&gt;%USERPROFILE%\Documents\GitHub\eaglep3-reporting\EC\2017-10-16-refined-times.txt</v>
      </c>
      <c r="AI73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{"issue":{"subject":"","project_id":79,"tracker_id":40,"status_id":1,"priority_id":2,"assigned_to_id":338,"start_date":"2017-10-16","description":"","custom_fields":[{"id":1,"name":"Subdivision","value":"EC"},{"id":4,"name":"Milepost","value":"0.0158"},{"id":17,"name":"Train ID","value":"160-16"},{"id":16,"name":"Locomotive ID","value":"4023"},{"id":130,"name":"Impact","value":""},{"id":150,"name":"Time of Event (Mountain Time)","value":"12:34:48"},{"id":151,"name":"Denver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4023 --day 2017-10-16</v>
      </c>
      <c r="AN73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-16T10:47:27-0600',mode:absolute,to:'2017-10-16T13:34:48-0600'))&amp;_a=(columns:!('Message%20ID',Summary),filters:!(),index:'emp_*',interval:auto,query:(query_string:(analyze_wildcard:!t,query:'%22rtdc.l.rtdc.4023%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709</v>
      </c>
      <c r="B74" s="7">
        <v>4026</v>
      </c>
      <c r="C74" s="21" t="s">
        <v>194</v>
      </c>
      <c r="D74" s="21" t="s">
        <v>345</v>
      </c>
      <c r="E74" s="13">
        <v>43024.462893518517</v>
      </c>
      <c r="F74" s="13">
        <v>43024.468923611108</v>
      </c>
      <c r="G74" s="7">
        <v>86</v>
      </c>
      <c r="H74" s="21" t="s">
        <v>865</v>
      </c>
      <c r="I74" s="13">
        <v>43024.492615740739</v>
      </c>
      <c r="J74" s="7">
        <v>0</v>
      </c>
      <c r="K74" s="89" t="str">
        <f>IF(ISEVEN(B74),(B74-1)&amp;"/"&amp;B74,B74&amp;"/"&amp;(B74+1))</f>
        <v>4025/4026</v>
      </c>
      <c r="L74" s="185" t="str">
        <f>VLOOKUP(A74,'Trips&amp;Operators'!$C$1:$G$99911,5,FALSE)</f>
        <v>GONZALEZ ARMANDO</v>
      </c>
      <c r="M74" s="6">
        <f>I74-F74</f>
        <v>2.3692129630944692E-2</v>
      </c>
      <c r="N74" s="7">
        <f>24*60*SUM($M74:$M74)</f>
        <v>34.116666668560356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-16T10:06:34-0600',mode:absolute,to:'2017-10-16T12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4.5499999999999999E-2</v>
      </c>
      <c r="Z74" s="204">
        <f>RIGHT(H74,LEN(H74)-4)/10000</f>
        <v>23.3353</v>
      </c>
      <c r="AA74" s="204">
        <f>ABS(Z74-Y74)</f>
        <v>23.2898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/stypes="app*4026*20171016*" /stext=" 17:.+((SYSTEM_STATE.+slice.+state.+changed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161-16 --locoid 4026 --swversion DE.1.0.9.0 --startMP 204:455 --initTime 2017-10-16T11:06:34 --startdatetime 2017-10-16T11:15:15 --delay 86 --endMP 204:233353 --enddatetime 2017-10-16T11:49:22 --enforcementcount 0 &gt;&gt;%USERPROFILE%\Documents\GitHub\eaglep3-reporting\EC\2017-10-16-refined-times.txt</v>
      </c>
      <c r="AI74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{"issue":{"subject":"","project_id":79,"tracker_id":40,"status_id":1,"priority_id":2,"assigned_to_id":338,"start_date":"2017-10-16","description":"","custom_fields":[{"id":1,"name":"Subdivision","value":"EC"},{"id":4,"name":"Milepost","value":"23.3353"},{"id":17,"name":"Train ID","value":"161-16"},{"id":16,"name":"Locomotive ID","value":"4026"},{"id":130,"name":"Impact","value":""},{"id":150,"name":"Time of Event (Mountain Time)","value":"11:49:22"},{"id":151,"name":"Denver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4026 --day 2017-10-16</v>
      </c>
      <c r="AN74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-16T10:06:34-0600',mode:absolute,to:'2017-10-16T12:49:22-0600'))&amp;_a=(columns:!('Message%20ID',Summary),filters:!(),index:'emp_*',interval:auto,query:(query_string:(analyze_wildcard:!t,query:'%22rtdc.l.rtdc.4026%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724</v>
      </c>
      <c r="B75" s="7">
        <v>4025</v>
      </c>
      <c r="C75" s="21" t="s">
        <v>194</v>
      </c>
      <c r="D75" s="21" t="s">
        <v>472</v>
      </c>
      <c r="E75" s="13">
        <v>43024.503495370373</v>
      </c>
      <c r="F75" s="13">
        <v>43024.508518518516</v>
      </c>
      <c r="G75" s="7">
        <v>73</v>
      </c>
      <c r="H75" s="21" t="s">
        <v>374</v>
      </c>
      <c r="I75" s="13">
        <v>43024.534594907411</v>
      </c>
      <c r="J75" s="7">
        <v>0</v>
      </c>
      <c r="K75" s="89" t="str">
        <f>IF(ISEVEN(B75),(B75-1)&amp;"/"&amp;B75,B75&amp;"/"&amp;(B75+1))</f>
        <v>4025/4026</v>
      </c>
      <c r="L75" s="185" t="str">
        <f>VLOOKUP(A75,'Trips&amp;Operators'!$C$1:$G$99911,5,FALSE)</f>
        <v>GONZALEZ ARMANDO</v>
      </c>
      <c r="M75" s="6">
        <f>I75-F75</f>
        <v>2.6076388894580305E-2</v>
      </c>
      <c r="N75" s="7">
        <f>24*60*SUM($M75:$M75)</f>
        <v>37.550000008195639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-16T11:05:02-0600',mode:absolute,to:'2017-10-16T13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23.3019</v>
      </c>
      <c r="Z75" s="204">
        <f>RIGHT(H75,LEN(H75)-4)/10000</f>
        <v>1.54E-2</v>
      </c>
      <c r="AA75" s="204">
        <f>ABS(Z75-Y75)</f>
        <v>23.2865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/stypes="app*4025*20171016*"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162-16 --locoid 4025 --swversion DE.1.0.9.0 --startMP 204:233019 --initTime 2017-10-16T12:05:02 --startdatetime 2017-10-16T12:12:16 --delay 73 --endMP 204:154 --enddatetime 2017-10-16T12:49:49 --enforcementcount 0 &gt;&gt;%USERPROFILE%\Documents\GitHub\eaglep3-reporting\EC\2017-10-16-refined-times.txt</v>
      </c>
      <c r="AI75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{"issue":{"subject":"","project_id":79,"tracker_id":40,"status_id":1,"priority_id":2,"assigned_to_id":338,"start_date":"2017-10-16","description":"","custom_fields":[{"id":1,"name":"Subdivision","value":"EC"},{"id":4,"name":"Milepost","value":"0.0154"},{"id":17,"name":"Train ID","value":"162-16"},{"id":16,"name":"Locomotive ID","value":"4025"},{"id":130,"name":"Impact","value":""},{"id":150,"name":"Time of Event (Mountain Time)","value":"12:49:49"},{"id":151,"name":"Denver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4025 --day 2017-10-16</v>
      </c>
      <c r="AN75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-16T11:05:02-0600',mode:absolute,to:'2017-10-16T13:49:49-0600'))&amp;_a=(columns:!('Message%20ID',Summary),filters:!(),index:'emp_*',interval:auto,query:(query_string:(analyze_wildcard:!t,query:'%22rtdc.l.rtdc.4025%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715</v>
      </c>
      <c r="B76" s="7">
        <v>4020</v>
      </c>
      <c r="C76" s="21" t="s">
        <v>194</v>
      </c>
      <c r="D76" s="21" t="s">
        <v>392</v>
      </c>
      <c r="E76" s="13">
        <v>43024.475057870368</v>
      </c>
      <c r="F76" s="13">
        <v>43024.479444444441</v>
      </c>
      <c r="G76" s="7">
        <v>70</v>
      </c>
      <c r="H76" s="21" t="s">
        <v>862</v>
      </c>
      <c r="I76" s="13">
        <v>43024.504513888889</v>
      </c>
      <c r="J76" s="7">
        <v>0</v>
      </c>
      <c r="K76" s="89" t="str">
        <f>IF(ISEVEN(B76),(B76-1)&amp;"/"&amp;B76,B76&amp;"/"&amp;(B76+1))</f>
        <v>4019/4020</v>
      </c>
      <c r="L76" s="185" t="str">
        <f>VLOOKUP(A76,'Trips&amp;Operators'!$C$1:$G$99911,5,FALSE)</f>
        <v>STEWART MICHAEL</v>
      </c>
      <c r="M76" s="6">
        <f>I76-F76</f>
        <v>2.5069444447581191E-2</v>
      </c>
      <c r="N76" s="7">
        <f>24*60*SUM($M76:$M76)</f>
        <v>36.100000004516914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-16T10:24:05-0600',mode:absolute,to:'2017-10-16T13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4.7300000000000002E-2</v>
      </c>
      <c r="Z76" s="204">
        <f>RIGHT(H76,LEN(H76)-4)/10000</f>
        <v>23.326599999999999</v>
      </c>
      <c r="AA76" s="204">
        <f>ABS(Z76-Y76)</f>
        <v>23.279299999999999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/stypes="app*4020*20171016*"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163-16 --locoid 4020 --swversion DE.1.0.9.0 --startMP 204:473 --initTime 2017-10-16T11:24:05 --startdatetime 2017-10-16T11:30:24 --delay 70 --endMP 204:233266 --enddatetime 2017-10-16T12:06:30 --enforcementcount 0 &gt;&gt;%USERPROFILE%\Documents\GitHub\eaglep3-reporting\EC\2017-10-16-refined-times.txt</v>
      </c>
      <c r="AI76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{"issue":{"subject":"","project_id":79,"tracker_id":40,"status_id":1,"priority_id":2,"assigned_to_id":338,"start_date":"2017-10-16","description":"","custom_fields":[{"id":1,"name":"Subdivision","value":"EC"},{"id":4,"name":"Milepost","value":"23.3266"},{"id":17,"name":"Train ID","value":"163-16"},{"id":16,"name":"Locomotive ID","value":"4020"},{"id":130,"name":"Impact","value":""},{"id":150,"name":"Time of Event (Mountain Time)","value":"12:06:30"},{"id":151,"name":"Denver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4020 --day 2017-10-16</v>
      </c>
      <c r="AN76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-16T10:24:05-0600',mode:absolute,to:'2017-10-16T13:06:30-0600'))&amp;_a=(columns:!('Message%20ID',Summary),filters:!(),index:'emp_*',interval:auto,query:(query_string:(analyze_wildcard:!t,query:'%22rtdc.l.rtdc.4020%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726</v>
      </c>
      <c r="B77" s="7">
        <v>4019</v>
      </c>
      <c r="C77" s="21" t="s">
        <v>194</v>
      </c>
      <c r="D77" s="21" t="s">
        <v>866</v>
      </c>
      <c r="E77" s="13">
        <v>43024.513888888891</v>
      </c>
      <c r="F77" s="13">
        <v>43024.518935185188</v>
      </c>
      <c r="G77" s="7">
        <v>70</v>
      </c>
      <c r="H77" s="21" t="s">
        <v>398</v>
      </c>
      <c r="I77" s="13">
        <v>43024.545972222222</v>
      </c>
      <c r="J77" s="7">
        <v>0</v>
      </c>
      <c r="K77" s="89" t="str">
        <f>IF(ISEVEN(B77),(B77-1)&amp;"/"&amp;B77,B77&amp;"/"&amp;(B77+1))</f>
        <v>4019/4020</v>
      </c>
      <c r="L77" s="185" t="str">
        <f>VLOOKUP(A77,'Trips&amp;Operators'!$C$1:$G$99911,5,FALSE)</f>
        <v>STEWART MICHAEL</v>
      </c>
      <c r="M77" s="6">
        <f>I77-F77</f>
        <v>2.7037037034460809E-2</v>
      </c>
      <c r="N77" s="7">
        <f>24*60*SUM($M77:$M77)</f>
        <v>38.933333329623565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-16T11:20:00-0600',mode:absolute,to:'2017-10-16T14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23.295999999999999</v>
      </c>
      <c r="Z77" s="204">
        <f>RIGHT(H77,LEN(H77)-4)/10000</f>
        <v>1.6E-2</v>
      </c>
      <c r="AA77" s="204">
        <f>ABS(Z77-Y77)</f>
        <v>23.28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/stypes="app*4019*20171016*"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164-16 --locoid 4019 --swversion DE.1.0.9.0 --startMP 204:232960 --initTime 2017-10-16T12:20:00 --startdatetime 2017-10-16T12:27:16 --delay 70 --endMP 204:160 --enddatetime 2017-10-16T13:06:12 --enforcementcount 0 &gt;&gt;%USERPROFILE%\Documents\GitHub\eaglep3-reporting\EC\2017-10-16-refined-times.txt</v>
      </c>
      <c r="AI77" s="96" t="str">
        <f t="shared" si="6"/>
        <v>echo {"issue":{"subject":"","project_id":79,"tracker_id":40,"status_id":1,"priority_id":2,"assigned_to_id":338,"start_date":"2017-10-16","description":"","custom_fields":[{"id":1,"name":"Subdivision","value":"EC"},{"id":4,"name":"Milepost","value":"0.016"},{"id":17,"name":"Train ID","value":"164-16"},{"id":16,"name":"Locomotive ID","value":"4019"},{"id":130,"name":"Impact","value":""},{"id":150,"name":"Time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4019 --day 2017-10-16</v>
      </c>
      <c r="AN77" s="151" t="str">
        <f t="shared" si="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-16T11:20:00-0600',mode:absolute,to:'2017-10-16T14:06:12-0600'))&amp;_a=(columns:!('Message%20ID',Summary),filters:!(),index:'emp_*',interval:auto,query:(query_string:(analyze_wildcard:!t,query:'%22rtdc.l.rtdc.4019%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717</v>
      </c>
      <c r="B78" s="7">
        <v>4060</v>
      </c>
      <c r="C78" s="21" t="s">
        <v>194</v>
      </c>
      <c r="D78" s="21" t="s">
        <v>419</v>
      </c>
      <c r="E78" s="13">
        <v>43024.48646990741</v>
      </c>
      <c r="F78" s="13">
        <v>43024.48978009259</v>
      </c>
      <c r="G78" s="7">
        <v>79</v>
      </c>
      <c r="H78" s="21" t="s">
        <v>867</v>
      </c>
      <c r="I78" s="13">
        <v>43024.514849537038</v>
      </c>
      <c r="J78" s="7">
        <v>0</v>
      </c>
      <c r="K78" s="89" t="str">
        <f>IF(ISEVEN(B78),(B78-1)&amp;"/"&amp;B78,B78&amp;"/"&amp;(B78+1))</f>
        <v>4059/4060</v>
      </c>
      <c r="L78" s="185" t="str">
        <f>VLOOKUP(A78,'Trips&amp;Operators'!$C$1:$G$99911,5,FALSE)</f>
        <v>LEVERE CRAIG</v>
      </c>
      <c r="M78" s="6">
        <f>I78-F78</f>
        <v>2.5069444447581191E-2</v>
      </c>
      <c r="N78" s="7">
        <f>24*60*SUM($M78:$M78)</f>
        <v>36.100000004516914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-16T10:40:31-0600',mode:absolute,to:'2017-10-16T13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4.6399999999999997E-2</v>
      </c>
      <c r="Z78" s="204">
        <f>RIGHT(H78,LEN(H78)-4)/10000</f>
        <v>23.327200000000001</v>
      </c>
      <c r="AA78" s="204">
        <f>ABS(Z78-Y78)</f>
        <v>23.280800000000003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/stypes="app*4060*20171016*"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1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165-16 --locoid 4060 --swversion DE.1.0.9.0 --startMP 204:464 --initTime 2017-10-16T11:40:31 --startdatetime 2017-10-16T11:45:17 --delay 79 --endMP 204:233272 --enddatetime 2017-10-16T12:21:23 --enforcementcount 0 &gt;&gt;%USERPROFILE%\Documents\GitHub\eaglep3-reporting\EC\2017-10-16-refined-times.txt</v>
      </c>
      <c r="AI78" s="96" t="str">
        <f t="shared" ref="AI78:AI141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{"issue":{"subject":"","project_id":79,"tracker_id":40,"status_id":1,"priority_id":2,"assigned_to_id":338,"start_date":"2017-10-16","description":"","custom_fields":[{"id":1,"name":"Subdivision","value":"EC"},{"id":4,"name":"Milepost","value":"23.3272"},{"id":17,"name":"Train ID","value":"165-16"},{"id":16,"name":"Locomotive ID","value":"4060"},{"id":130,"name":"Impact","value":""},{"id":150,"name":"Time of Event (Mountain Time)","value":"12:21:23"},{"id":151,"name":"Denver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1" si="12">"start /low /b "&amp;dls3logs&amp;" --loco "&amp;B78&amp;" --day "&amp;TEXT(F78,"YYYY-MM-DD")</f>
        <v>start /low /b %USERPROFILE%\Documents\GitHub\eaglep3\Utilities\DownloadLogsFromS3.py --loco 4060 --day 2017-10-16</v>
      </c>
      <c r="AN78" s="151" t="str">
        <f t="shared" ref="AN78:AN141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1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-16T10:40:31-0600',mode:absolute,to:'2017-10-16T13:21:23-0600'))&amp;_a=(columns:!('Message%20ID',Summary),filters:!(),index:'emp_*',interval:auto,query:(query_string:(analyze_wildcard:!t,query:'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729</v>
      </c>
      <c r="B79" s="7">
        <v>4059</v>
      </c>
      <c r="C79" s="21" t="s">
        <v>194</v>
      </c>
      <c r="D79" s="21" t="s">
        <v>868</v>
      </c>
      <c r="E79" s="13">
        <v>43024.521111111113</v>
      </c>
      <c r="F79" s="13">
        <v>43024.529351851852</v>
      </c>
      <c r="G79" s="7">
        <v>104</v>
      </c>
      <c r="H79" s="21" t="s">
        <v>364</v>
      </c>
      <c r="I79" s="13">
        <v>43024.556388888886</v>
      </c>
      <c r="J79" s="7">
        <v>0</v>
      </c>
      <c r="K79" s="89" t="str">
        <f>IF(ISEVEN(B79),(B79-1)&amp;"/"&amp;B79,B79&amp;"/"&amp;(B79+1))</f>
        <v>4059/4060</v>
      </c>
      <c r="L79" s="185" t="str">
        <f>VLOOKUP(A79,'Trips&amp;Operators'!$C$1:$G$99911,5,FALSE)</f>
        <v>LEVERE CRAIG</v>
      </c>
      <c r="M79" s="6">
        <f>I79-F79</f>
        <v>2.7037037034460809E-2</v>
      </c>
      <c r="N79" s="7">
        <f>24*60*SUM($M79:$M79)</f>
        <v>38.933333329623565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-16T11:30:24-0600',mode:absolute,to:'2017-10-16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23.295000000000002</v>
      </c>
      <c r="Z79" s="204">
        <f>RIGHT(H79,LEN(H79)-4)/10000</f>
        <v>1.5800000000000002E-2</v>
      </c>
      <c r="AA79" s="204">
        <f>ABS(Z79-Y79)</f>
        <v>23.279200000000003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/stypes="app*4059*20171016*"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166-16 --locoid 4059 --swversion DE.1.0.9.0 --startMP 204:232950 --initTime 2017-10-16T12:30:24 --startdatetime 2017-10-16T12:42:16 --delay 104 --endMP 204:158 --enddatetime 2017-10-16T13:21:12 --enforcementcount 0 &gt;&gt;%USERPROFILE%\Documents\GitHub\eaglep3-reporting\EC\2017-10-16-refined-times.txt</v>
      </c>
      <c r="AI7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{"issue":{"subject":"","project_id":79,"tracker_id":40,"status_id":1,"priority_id":2,"assigned_to_id":338,"start_date":"2017-10-16","description":"","custom_fields":[{"id":1,"name":"Subdivision","value":"EC"},{"id":4,"name":"Milepost","value":"0.0158"},{"id":17,"name":"Train ID","value":"166-16"},{"id":16,"name":"Locomotive ID","value":"4059"},{"id":130,"name":"Impact","value":""},{"id":150,"name":"Time of Event (Mountain Time)","value":"13:21:12"},{"id":151,"name":"Denver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4059 --day 2017-10-16</v>
      </c>
      <c r="AN79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-16T11:30:24-0600',mode:absolute,to:'2017-10-16T14:21:12-0600'))&amp;_a=(columns:!('Message%20ID',Summary),filters:!(),index:'emp_*',interval:auto,query:(query_string:(analyze_wildcard:!t,query:'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721</v>
      </c>
      <c r="B80" s="7">
        <v>4018</v>
      </c>
      <c r="C80" s="21" t="s">
        <v>194</v>
      </c>
      <c r="D80" s="21" t="s">
        <v>370</v>
      </c>
      <c r="E80" s="13">
        <v>43024.494872685187</v>
      </c>
      <c r="F80" s="13">
        <v>43024.500185185185</v>
      </c>
      <c r="G80" s="7">
        <v>63</v>
      </c>
      <c r="H80" s="21" t="s">
        <v>413</v>
      </c>
      <c r="I80" s="13">
        <v>43024.525208333333</v>
      </c>
      <c r="J80" s="7">
        <v>0</v>
      </c>
      <c r="K80" s="89" t="str">
        <f>IF(ISEVEN(B80),(B80-1)&amp;"/"&amp;B80,B80&amp;"/"&amp;(B80+1))</f>
        <v>4017/4018</v>
      </c>
      <c r="L80" s="185" t="str">
        <f>VLOOKUP(A80,'Trips&amp;Operators'!$C$1:$G$99911,5,FALSE)</f>
        <v>GUZMAN DANNY</v>
      </c>
      <c r="M80" s="6">
        <f>I80-F80</f>
        <v>2.5023148147738539E-2</v>
      </c>
      <c r="N80" s="7">
        <f>24*60*SUM($M80:$M80)</f>
        <v>36.033333332743496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-16T10:52:37-0600',mode:absolute,to:'2017-10-16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4.5100000000000001E-2</v>
      </c>
      <c r="Z80" s="204">
        <f>RIGHT(H80,LEN(H80)-4)/10000</f>
        <v>23.3306</v>
      </c>
      <c r="AA80" s="204">
        <f>ABS(Z80-Y80)</f>
        <v>23.285499999999999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/stypes="app*4018*20171016*"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167-16 --locoid 4018 --swversion DE.1.0.9.0 --startMP 204:451 --initTime 2017-10-16T11:52:37 --startdatetime 2017-10-16T12:00:16 --delay 63 --endMP 204:233306 --enddatetime 2017-10-16T12:36:18 --enforcementcount 0 &gt;&gt;%USERPROFILE%\Documents\GitHub\eaglep3-reporting\EC\2017-10-16-refined-times.txt</v>
      </c>
      <c r="AI8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{"issue":{"subject":"","project_id":79,"tracker_id":40,"status_id":1,"priority_id":2,"assigned_to_id":338,"start_date":"2017-10-16","description":"","custom_fields":[{"id":1,"name":"Subdivision","value":"EC"},{"id":4,"name":"Milepost","value":"23.3306"},{"id":17,"name":"Train ID","value":"167-16"},{"id":16,"name":"Locomotive ID","value":"4018"},{"id":130,"name":"Impact","value":""},{"id":150,"name":"Time of Event (Mountain Time)","value":"12:36:18"},{"id":151,"name":"Denver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4018 --day 2017-10-16</v>
      </c>
      <c r="AN80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-16T10:52:37-0600',mode:absolute,to:'2017-10-16T13:36:18-0600'))&amp;_a=(columns:!('Message%20ID',Summary),filters:!(),index:'emp_*',interval:auto,query:(query_string:(analyze_wildcard:!t,query:'%22rtdc.l.rtdc.4018%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731</v>
      </c>
      <c r="B81" s="7">
        <v>4017</v>
      </c>
      <c r="C81" s="21" t="s">
        <v>194</v>
      </c>
      <c r="D81" s="21" t="s">
        <v>418</v>
      </c>
      <c r="E81" s="13">
        <v>43024.529756944445</v>
      </c>
      <c r="F81" s="13">
        <v>43024.539803240739</v>
      </c>
      <c r="G81" s="7">
        <v>69</v>
      </c>
      <c r="H81" s="21" t="s">
        <v>337</v>
      </c>
      <c r="I81" s="13">
        <v>43024.565775462965</v>
      </c>
      <c r="J81" s="7">
        <v>0</v>
      </c>
      <c r="K81" s="89" t="str">
        <f>IF(ISEVEN(B81),(B81-1)&amp;"/"&amp;B81,B81&amp;"/"&amp;(B81+1))</f>
        <v>4017/4018</v>
      </c>
      <c r="L81" s="185" t="str">
        <f>VLOOKUP(A81,'Trips&amp;Operators'!$C$1:$G$99911,5,FALSE)</f>
        <v>GUZMAN DANNY</v>
      </c>
      <c r="M81" s="6">
        <f>I81-F81</f>
        <v>2.5972222225391306E-2</v>
      </c>
      <c r="N81" s="7">
        <f>24*60*SUM($M81:$M81)</f>
        <v>37.400000004563481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-16T11:42:51-0600',mode:absolute,to:'2017-10-16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23.297699999999999</v>
      </c>
      <c r="Z81" s="204">
        <f>RIGHT(H81,LEN(H81)-4)/10000</f>
        <v>1.43E-2</v>
      </c>
      <c r="AA81" s="204">
        <f>ABS(Z81-Y81)</f>
        <v>23.2834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/stypes="app*4017*20171016*"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168-16 --locoid 4017 --swversion DE.1.0.9.0 --startMP 204:232977 --initTime 2017-10-16T12:42:51 --startdatetime 2017-10-16T12:57:19 --delay 69 --endMP 204:143 --enddatetime 2017-10-16T13:34:43 --enforcementcount 0 &gt;&gt;%USERPROFILE%\Documents\GitHub\eaglep3-reporting\EC\2017-10-16-refined-times.txt</v>
      </c>
      <c r="AI8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{"issue":{"subject":"","project_id":79,"tracker_id":40,"status_id":1,"priority_id":2,"assigned_to_id":338,"start_date":"2017-10-16","description":"","custom_fields":[{"id":1,"name":"Subdivision","value":"EC"},{"id":4,"name":"Milepost","value":"0.0143"},{"id":17,"name":"Train ID","value":"168-16"},{"id":16,"name":"Locomotive ID","value":"4017"},{"id":130,"name":"Impact","value":""},{"id":150,"name":"Time of Event (Mountain Time)","value":"13:34:43"},{"id":151,"name":"Denver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4017 --day 2017-10-16</v>
      </c>
      <c r="AN81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-16T11:42:51-0600',mode:absolute,to:'2017-10-16T14:34:43-0600'))&amp;_a=(columns:!('Message%20ID',Summary),filters:!(),index:'emp_*',interval:auto,query:(query_string:(analyze_wildcard:!t,query:'%22rtdc.l.rtdc.4017%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725</v>
      </c>
      <c r="B82" s="7">
        <v>4010</v>
      </c>
      <c r="C82" s="21" t="s">
        <v>194</v>
      </c>
      <c r="D82" s="21" t="s">
        <v>380</v>
      </c>
      <c r="E82" s="13">
        <v>43024.505057870374</v>
      </c>
      <c r="F82" s="13">
        <v>43024.510729166665</v>
      </c>
      <c r="G82" s="7">
        <v>259</v>
      </c>
      <c r="H82" s="21" t="s">
        <v>869</v>
      </c>
      <c r="I82" s="13">
        <v>43024.535069444442</v>
      </c>
      <c r="J82" s="7">
        <v>0</v>
      </c>
      <c r="K82" s="89" t="str">
        <f>IF(ISEVEN(B82),(B82-1)&amp;"/"&amp;B82,B82&amp;"/"&amp;(B82+1))</f>
        <v>4009/4010</v>
      </c>
      <c r="L82" s="185" t="str">
        <f>VLOOKUP(A82,'Trips&amp;Operators'!$C$1:$G$99911,5,FALSE)</f>
        <v>SAFIEF AEIMEN</v>
      </c>
      <c r="M82" s="6">
        <f>I82-F82</f>
        <v>2.4340277777810115E-2</v>
      </c>
      <c r="N82" s="7">
        <f>24*60*SUM($M82:$M82)</f>
        <v>35.050000000046566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-16T11:07:17-0600',mode:absolute,to:'2017-10-16T13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4.5699999999999998E-2</v>
      </c>
      <c r="Z82" s="204">
        <f>RIGHT(H82,LEN(H82)-4)/10000</f>
        <v>23.330100000000002</v>
      </c>
      <c r="AA82" s="204">
        <f>ABS(Z82-Y82)</f>
        <v>23.284400000000002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/stypes="app*4010*20171016*"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169-16 --locoid 4010 --swversion DE.1.0.9.0 --startMP 204:457 --initTime 2017-10-16T12:07:17 --startdatetime 2017-10-16T12:15:27 --delay 259 --endMP 204:233301 --enddatetime 2017-10-16T12:50:30 --enforcementcount 0 &gt;&gt;%USERPROFILE%\Documents\GitHub\eaglep3-reporting\EC\2017-10-16-refined-times.txt</v>
      </c>
      <c r="AI82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{"issue":{"subject":"","project_id":79,"tracker_id":40,"status_id":1,"priority_id":2,"assigned_to_id":338,"start_date":"2017-10-16","description":"","custom_fields":[{"id":1,"name":"Subdivision","value":"EC"},{"id":4,"name":"Milepost","value":"23.3301"},{"id":17,"name":"Train ID","value":"169-16"},{"id":16,"name":"Locomotive ID","value":"4010"},{"id":130,"name":"Impact","value":""},{"id":150,"name":"Time of Event (Mountain Time)","value":"12:50:30"},{"id":151,"name":"Denver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4010 --day 2017-10-16</v>
      </c>
      <c r="AN82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-16T11:07:17-0600',mode:absolute,to:'2017-10-16T13:50:30-0600'))&amp;_a=(columns:!('Message%20ID',Summary),filters:!(),index:'emp_*',interval:auto,query:(query_string:(analyze_wildcard:!t,query:'%22rtdc.l.rtdc.4010%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732</v>
      </c>
      <c r="B83" s="7">
        <v>4009</v>
      </c>
      <c r="C83" s="21" t="s">
        <v>194</v>
      </c>
      <c r="D83" s="21" t="s">
        <v>870</v>
      </c>
      <c r="E83" s="13">
        <v>43024.537187499998</v>
      </c>
      <c r="F83" s="13">
        <v>43024.550162037034</v>
      </c>
      <c r="G83" s="7">
        <v>107</v>
      </c>
      <c r="H83" s="21" t="s">
        <v>857</v>
      </c>
      <c r="I83" s="13">
        <v>43024.57644675926</v>
      </c>
      <c r="J83" s="7">
        <v>0</v>
      </c>
      <c r="K83" s="89" t="str">
        <f>IF(ISEVEN(B83),(B83-1)&amp;"/"&amp;B83,B83&amp;"/"&amp;(B83+1))</f>
        <v>4009/4010</v>
      </c>
      <c r="L83" s="185" t="str">
        <f>VLOOKUP(A83,'Trips&amp;Operators'!$C$1:$G$99911,5,FALSE)</f>
        <v>SAFIEF AEIMEN</v>
      </c>
      <c r="M83" s="6">
        <f>I83-F83</f>
        <v>2.6284722225682344E-2</v>
      </c>
      <c r="N83" s="7">
        <f>24*60*SUM($M83:$M83)</f>
        <v>37.850000004982576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-16T11:53:33-0600',mode:absolute,to:'2017-10-16T14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23.298999999999999</v>
      </c>
      <c r="Z83" s="204">
        <f>RIGHT(H83,LEN(H83)-4)/10000</f>
        <v>1.2999999999999999E-2</v>
      </c>
      <c r="AA83" s="204">
        <f>ABS(Z83-Y83)</f>
        <v>23.285999999999998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/stypes="app*4009*20171016*"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170-16 --locoid 4009 --swversion DE.1.0.9.0 --startMP 204:232990 --initTime 2017-10-16T12:53:33 --startdatetime 2017-10-16T13:12:14 --delay 107 --endMP 204:130 --enddatetime 2017-10-16T13:50:05 --enforcementcount 0 &gt;&gt;%USERPROFILE%\Documents\GitHub\eaglep3-reporting\EC\2017-10-16-refined-times.txt</v>
      </c>
      <c r="AI8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{"issue":{"subject":"","project_id":79,"tracker_id":40,"status_id":1,"priority_id":2,"assigned_to_id":338,"start_date":"2017-10-16","description":"","custom_fields":[{"id":1,"name":"Subdivision","value":"EC"},{"id":4,"name":"Milepost","value":"0.013"},{"id":17,"name":"Train ID","value":"170-16"},{"id":16,"name":"Locomotive ID","value":"4009"},{"id":130,"name":"Impact","value":""},{"id":150,"name":"Time of Event (Mountain Time)","value":"13:50:05"},{"id":151,"name":"Denver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4009 --day 2017-10-16</v>
      </c>
      <c r="AN83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-16T11:53:33-0600',mode:absolute,to:'2017-10-16T14:50:05-0600'))&amp;_a=(columns:!('Message%20ID',Summary),filters:!(),index:'emp_*',interval:auto,query:(query_string:(analyze_wildcard:!t,query:'%22rtdc.l.rtdc.4009%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728</v>
      </c>
      <c r="B84" s="7">
        <v>4030</v>
      </c>
      <c r="C84" s="21" t="s">
        <v>194</v>
      </c>
      <c r="D84" s="21" t="s">
        <v>871</v>
      </c>
      <c r="E84" s="13">
        <v>43024.516759259262</v>
      </c>
      <c r="F84" s="13">
        <v>43024.520995370367</v>
      </c>
      <c r="G84" s="7">
        <v>54</v>
      </c>
      <c r="H84" s="21" t="s">
        <v>872</v>
      </c>
      <c r="I84" s="13">
        <v>43024.54619212963</v>
      </c>
      <c r="J84" s="7">
        <v>0</v>
      </c>
      <c r="K84" s="89" t="str">
        <f>IF(ISEVEN(B84),(B84-1)&amp;"/"&amp;B84,B84&amp;"/"&amp;(B84+1))</f>
        <v>4029/4030</v>
      </c>
      <c r="L84" s="185" t="str">
        <f>VLOOKUP(A84,'Trips&amp;Operators'!$C$1:$G$99911,5,FALSE)</f>
        <v>BADERTSCHER DIANE</v>
      </c>
      <c r="M84" s="6">
        <f>I84-F84</f>
        <v>2.5196759263053536E-2</v>
      </c>
      <c r="N84" s="7">
        <f>24*60*SUM($M84:$M84)</f>
        <v>36.283333338797092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-16T11:24:08-0600',mode:absolute,to:'2017-10-16T14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4.3700000000000003E-2</v>
      </c>
      <c r="Z84" s="204">
        <f>RIGHT(H84,LEN(H84)-4)/10000</f>
        <v>23.332699999999999</v>
      </c>
      <c r="AA84" s="204">
        <f>ABS(Z84-Y84)</f>
        <v>23.288999999999998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/stypes="app*4030*20171016*"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171-16 --locoid 4030 --swversion DE.1.0.9.0 --startMP 204:437 --initTime 2017-10-16T12:24:08 --startdatetime 2017-10-16T12:30:14 --delay 54 --endMP 204:233327 --enddatetime 2017-10-16T13:06:31 --enforcementcount 0 &gt;&gt;%USERPROFILE%\Documents\GitHub\eaglep3-reporting\EC\2017-10-16-refined-times.txt</v>
      </c>
      <c r="AI8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{"issue":{"subject":"","project_id":79,"tracker_id":40,"status_id":1,"priority_id":2,"assigned_to_id":338,"start_date":"2017-10-16","description":"","custom_fields":[{"id":1,"name":"Subdivision","value":"EC"},{"id":4,"name":"Milepost","value":"23.3327"},{"id":17,"name":"Train ID","value":"171-16"},{"id":16,"name":"Locomotive ID","value":"4030"},{"id":130,"name":"Impact","value":""},{"id":150,"name":"Time of Event (Mountain Time)","value":"13:06:31"},{"id":151,"name":"Denver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4030 --day 2017-10-16</v>
      </c>
      <c r="AN84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-16T11:24:08-0600',mode:absolute,to:'2017-10-16T14:06:31-0600'))&amp;_a=(columns:!('Message%20ID',Summary),filters:!(),index:'emp_*',interval:auto,query:(query_string:(analyze_wildcard:!t,query:'%22rtdc.l.rtdc.4030%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736</v>
      </c>
      <c r="B85" s="7">
        <v>4029</v>
      </c>
      <c r="C85" s="21" t="s">
        <v>194</v>
      </c>
      <c r="D85" s="21" t="s">
        <v>553</v>
      </c>
      <c r="E85" s="13">
        <v>43024.55568287037</v>
      </c>
      <c r="F85" s="13">
        <v>43024.560578703706</v>
      </c>
      <c r="G85" s="7">
        <v>89</v>
      </c>
      <c r="H85" s="21" t="s">
        <v>517</v>
      </c>
      <c r="I85" s="13">
        <v>43024.588854166665</v>
      </c>
      <c r="J85" s="7">
        <v>0</v>
      </c>
      <c r="K85" s="89" t="str">
        <f>IF(ISEVEN(B85),(B85-1)&amp;"/"&amp;B85,B85&amp;"/"&amp;(B85+1))</f>
        <v>4029/4030</v>
      </c>
      <c r="L85" s="185" t="str">
        <f>VLOOKUP(A85,'Trips&amp;Operators'!$C$1:$G$99911,5,FALSE)</f>
        <v>BADERTSCHER DIANE</v>
      </c>
      <c r="M85" s="6">
        <f>I85-F85</f>
        <v>2.827546295884531E-2</v>
      </c>
      <c r="N85" s="7">
        <f>24*60*SUM($M85:$M85)</f>
        <v>40.716666660737246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-16T12:20:11-0600',mode:absolute,to:'2017-10-16T15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23.300599999999999</v>
      </c>
      <c r="Z85" s="204">
        <f>RIGHT(H85,LEN(H85)-4)/10000</f>
        <v>1.41E-2</v>
      </c>
      <c r="AA85" s="204">
        <f>ABS(Z85-Y85)</f>
        <v>23.2865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/stypes="app*4029*20171016*"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172-16 --locoid 4029 --swversion DE.1.0.9.0 --startMP 204:233006 --initTime 2017-10-16T13:20:11 --startdatetime 2017-10-16T13:27:14 --delay 89 --endMP 204:141 --enddatetime 2017-10-16T14:07:57 --enforcementcount 0 &gt;&gt;%USERPROFILE%\Documents\GitHub\eaglep3-reporting\EC\2017-10-16-refined-times.txt</v>
      </c>
      <c r="AI8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{"issue":{"subject":"","project_id":79,"tracker_id":40,"status_id":1,"priority_id":2,"assigned_to_id":338,"start_date":"2017-10-16","description":"","custom_fields":[{"id":1,"name":"Subdivision","value":"EC"},{"id":4,"name":"Milepost","value":"0.0141"},{"id":17,"name":"Train ID","value":"172-16"},{"id":16,"name":"Locomotive ID","value":"4029"},{"id":130,"name":"Impact","value":""},{"id":150,"name":"Time of Event (Mountain Time)","value":"14:07:57"},{"id":151,"name":"Denver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4029 --day 2017-10-16</v>
      </c>
      <c r="AN85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-16T12:20:11-0600',mode:absolute,to:'2017-10-16T15:07:57-0600'))&amp;_a=(columns:!('Message%20ID',Summary),filters:!(),index:'emp_*',interval:auto,query:(query_string:(analyze_wildcard:!t,query:'%22rtdc.l.rtdc.4029%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730</v>
      </c>
      <c r="B86" s="7">
        <v>4024</v>
      </c>
      <c r="C86" s="21" t="s">
        <v>194</v>
      </c>
      <c r="D86" s="21" t="s">
        <v>852</v>
      </c>
      <c r="E86" s="13">
        <v>43024.527291666665</v>
      </c>
      <c r="F86" s="13">
        <v>43024.531504629631</v>
      </c>
      <c r="G86" s="7">
        <v>65</v>
      </c>
      <c r="H86" s="21" t="s">
        <v>873</v>
      </c>
      <c r="I86" s="13">
        <v>43024.556238425925</v>
      </c>
      <c r="J86" s="7">
        <v>0</v>
      </c>
      <c r="K86" s="89" t="str">
        <f>IF(ISEVEN(B86),(B86-1)&amp;"/"&amp;B86,B86&amp;"/"&amp;(B86+1))</f>
        <v>4023/4024</v>
      </c>
      <c r="L86" s="185" t="str">
        <f>VLOOKUP(A86,'Trips&amp;Operators'!$C$1:$G$99911,5,FALSE)</f>
        <v>SMITH MICHAEL</v>
      </c>
      <c r="M86" s="6">
        <f>I86-F86</f>
        <v>2.4733796293730848E-2</v>
      </c>
      <c r="N86" s="7">
        <f>24*60*SUM($M86:$M86)</f>
        <v>35.61666666297242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-16T11:39:18-0600',mode:absolute,to:'2017-10-16T14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4.6899999999999997E-2</v>
      </c>
      <c r="Z86" s="204">
        <f>RIGHT(H86,LEN(H86)-4)/10000</f>
        <v>23.336200000000002</v>
      </c>
      <c r="AA86" s="204">
        <f>ABS(Z86-Y86)</f>
        <v>23.289300000000001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/stypes="app*4024*20171016*"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173-16 --locoid 4024 --swversion DE.1.0.9.0 --startMP 204:469 --initTime 2017-10-16T12:39:18 --startdatetime 2017-10-16T12:45:22 --delay 65 --endMP 204:233362 --enddatetime 2017-10-16T13:20:59 --enforcementcount 0 &gt;&gt;%USERPROFILE%\Documents\GitHub\eaglep3-reporting\EC\2017-10-16-refined-times.txt</v>
      </c>
      <c r="AI8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{"issue":{"subject":"","project_id":79,"tracker_id":40,"status_id":1,"priority_id":2,"assigned_to_id":338,"start_date":"2017-10-16","description":"","custom_fields":[{"id":1,"name":"Subdivision","value":"EC"},{"id":4,"name":"Milepost","value":"23.3362"},{"id":17,"name":"Train ID","value":"173-16"},{"id":16,"name":"Locomotive ID","value":"4024"},{"id":130,"name":"Impact","value":""},{"id":150,"name":"Time of Event (Mountain Time)","value":"13:20:59"},{"id":151,"name":"Denver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4024 --day 2017-10-16</v>
      </c>
      <c r="AN86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-16T11:39:18-0600',mode:absolute,to:'2017-10-16T14:20:59-0600'))&amp;_a=(columns:!('Message%20ID',Summary),filters:!(),index:'emp_*',interval:auto,query:(query_string:(analyze_wildcard:!t,query:'%22rtdc.l.rtdc.4024%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739</v>
      </c>
      <c r="B87" s="7">
        <v>4023</v>
      </c>
      <c r="C87" s="21" t="s">
        <v>194</v>
      </c>
      <c r="D87" s="21" t="s">
        <v>874</v>
      </c>
      <c r="E87" s="13">
        <v>43024.561203703706</v>
      </c>
      <c r="F87" s="13">
        <v>43024.571134259262</v>
      </c>
      <c r="G87" s="7">
        <v>69</v>
      </c>
      <c r="H87" s="21" t="s">
        <v>473</v>
      </c>
      <c r="I87" s="13">
        <v>43024.597685185188</v>
      </c>
      <c r="J87" s="7">
        <v>0</v>
      </c>
      <c r="K87" s="89" t="str">
        <f>IF(ISEVEN(B87),(B87-1)&amp;"/"&amp;B87,B87&amp;"/"&amp;(B87+1))</f>
        <v>4023/4024</v>
      </c>
      <c r="L87" s="185" t="str">
        <f>VLOOKUP(A87,'Trips&amp;Operators'!$C$1:$G$99911,5,FALSE)</f>
        <v>SMITH MICHAEL</v>
      </c>
      <c r="M87" s="6">
        <f>I87-F87</f>
        <v>2.6550925926130731E-2</v>
      </c>
      <c r="N87" s="7">
        <f>24*60*SUM($M87:$M87)</f>
        <v>38.233333333628252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-16T12:28:08-0600',mode:absolute,to:'2017-10-16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23.305900000000001</v>
      </c>
      <c r="Z87" s="204">
        <f>RIGHT(H87,LEN(H87)-4)/10000</f>
        <v>1.6899999999999998E-2</v>
      </c>
      <c r="AA87" s="204">
        <f>ABS(Z87-Y87)</f>
        <v>23.289000000000001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/stypes="app*4023*20171016*"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174-16 --locoid 4023 --swversion DE.1.0.9.0 --startMP 204:233059 --initTime 2017-10-16T13:28:08 --startdatetime 2017-10-16T13:42:26 --delay 69 --endMP 204:169 --enddatetime 2017-10-16T14:20:40 --enforcementcount 0 &gt;&gt;%USERPROFILE%\Documents\GitHub\eaglep3-reporting\EC\2017-10-16-refined-times.txt</v>
      </c>
      <c r="AI8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{"issue":{"subject":"","project_id":79,"tracker_id":40,"status_id":1,"priority_id":2,"assigned_to_id":338,"start_date":"2017-10-16","description":"","custom_fields":[{"id":1,"name":"Subdivision","value":"EC"},{"id":4,"name":"Milepost","value":"0.0169"},{"id":17,"name":"Train ID","value":"174-16"},{"id":16,"name":"Locomotive ID","value":"4023"},{"id":130,"name":"Impact","value":""},{"id":150,"name":"Time of Event (Mountain Time)","value":"14:20:40"},{"id":151,"name":"Denver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4023 --day 2017-10-16</v>
      </c>
      <c r="AN87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-16T12:28:08-0600',mode:absolute,to:'2017-10-16T15:20:40-0600'))&amp;_a=(columns:!('Message%20ID',Summary),filters:!(),index:'emp_*',interval:auto,query:(query_string:(analyze_wildcard:!t,query:'%22rtdc.l.rtdc.4023%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593</v>
      </c>
      <c r="B88" s="7">
        <v>4026</v>
      </c>
      <c r="C88" s="21" t="s">
        <v>194</v>
      </c>
      <c r="D88" s="21" t="s">
        <v>474</v>
      </c>
      <c r="E88" s="13">
        <v>43024.537141203706</v>
      </c>
      <c r="F88" s="13">
        <v>43024.542118055557</v>
      </c>
      <c r="G88" s="7">
        <v>91</v>
      </c>
      <c r="H88" s="21" t="s">
        <v>573</v>
      </c>
      <c r="I88" s="13">
        <v>43024.568668981483</v>
      </c>
      <c r="J88" s="7">
        <v>0</v>
      </c>
      <c r="K88" s="89" t="str">
        <f>IF(ISEVEN(B88),(B88-1)&amp;"/"&amp;B88,B88&amp;"/"&amp;(B88+1))</f>
        <v>4025/4026</v>
      </c>
      <c r="L88" s="185" t="str">
        <f>VLOOKUP(A88,'Trips&amp;Operators'!$C$1:$G$99911,5,FALSE)</f>
        <v>DAVIS MICHAEL</v>
      </c>
      <c r="M88" s="6">
        <f>I88-F88</f>
        <v>2.6550925926130731E-2</v>
      </c>
      <c r="N88" s="7">
        <f>24*60*SUM($M88:$M88)</f>
        <v>38.233333333628252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-16T11:53:29-0600',mode:absolute,to:'2017-10-16T14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4.4400000000000002E-2</v>
      </c>
      <c r="Z88" s="204">
        <f>RIGHT(H88,LEN(H88)-4)/10000</f>
        <v>23.333400000000001</v>
      </c>
      <c r="AA88" s="204">
        <f>ABS(Z88-Y88)</f>
        <v>23.289000000000001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/stypes="app*4026*20171016*"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175-16 --locoid 4026 --swversion DE.1.0.9.0 --startMP 204:444 --initTime 2017-10-16T12:53:29 --startdatetime 2017-10-16T13:00:39 --delay 91 --endMP 204:233334 --enddatetime 2017-10-16T13:38:53 --enforcementcount 0 &gt;&gt;%USERPROFILE%\Documents\GitHub\eaglep3-reporting\EC\2017-10-16-refined-times.txt</v>
      </c>
      <c r="AI8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{"issue":{"subject":"","project_id":79,"tracker_id":40,"status_id":1,"priority_id":2,"assigned_to_id":338,"start_date":"2017-10-16","description":"","custom_fields":[{"id":1,"name":"Subdivision","value":"EC"},{"id":4,"name":"Milepost","value":"23.3334"},{"id":17,"name":"Train ID","value":"175-16"},{"id":16,"name":"Locomotive ID","value":"4026"},{"id":130,"name":"Impact","value":""},{"id":150,"name":"Time of Event (Mountain Time)","value":"13:38:53"},{"id":151,"name":"Denver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4026 --day 2017-10-16</v>
      </c>
      <c r="AN88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-16T11:53:29-0600',mode:absolute,to:'2017-10-16T14:38:53-0600'))&amp;_a=(columns:!('Message%20ID',Summary),filters:!(),index:'emp_*',interval:auto,query:(query_string:(analyze_wildcard:!t,query:'%22rtdc.l.rtdc.4026%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741</v>
      </c>
      <c r="B89" s="7">
        <v>4025</v>
      </c>
      <c r="C89" s="21" t="s">
        <v>194</v>
      </c>
      <c r="D89" s="21" t="s">
        <v>875</v>
      </c>
      <c r="E89" s="13">
        <v>43024.578275462962</v>
      </c>
      <c r="F89" s="13">
        <v>43024.581712962965</v>
      </c>
      <c r="G89" s="7">
        <v>102</v>
      </c>
      <c r="H89" s="21" t="s">
        <v>398</v>
      </c>
      <c r="I89" s="13">
        <v>43024.608969907407</v>
      </c>
      <c r="J89" s="7">
        <v>0</v>
      </c>
      <c r="K89" s="89" t="str">
        <f>IF(ISEVEN(B89),(B89-1)&amp;"/"&amp;B89,B89&amp;"/"&amp;(B89+1))</f>
        <v>4025/4026</v>
      </c>
      <c r="L89" s="185" t="str">
        <f>VLOOKUP(A89,'Trips&amp;Operators'!$C$1:$G$99911,5,FALSE)</f>
        <v>DAVIS MICHAEL</v>
      </c>
      <c r="M89" s="6">
        <f>I89-F89</f>
        <v>2.7256944442342501E-2</v>
      </c>
      <c r="N89" s="7">
        <f>24*60*SUM($M89:$M89)</f>
        <v>39.249999996973202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-16T12:52:43-0600',mode:absolute,to:'2017-10-16T15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23.3034</v>
      </c>
      <c r="Z89" s="204">
        <f>RIGHT(H89,LEN(H89)-4)/10000</f>
        <v>1.6E-2</v>
      </c>
      <c r="AA89" s="204">
        <f>ABS(Z89-Y89)</f>
        <v>23.287400000000002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/stypes="app*4025*20171016*"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176-16 --locoid 4025 --swversion DE.1.0.9.0 --startMP 204:233034 --initTime 2017-10-16T13:52:43 --startdatetime 2017-10-16T13:57:40 --delay 102 --endMP 204:160 --enddatetime 2017-10-16T14:36:55 --enforcementcount 0 &gt;&gt;%USERPROFILE%\Documents\GitHub\eaglep3-reporting\EC\2017-10-16-refined-times.txt</v>
      </c>
      <c r="AI8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{"issue":{"subject":"","project_id":79,"tracker_id":40,"status_id":1,"priority_id":2,"assigned_to_id":338,"start_date":"2017-10-16","description":"","custom_fields":[{"id":1,"name":"Subdivision","value":"EC"},{"id":4,"name":"Milepost","value":"0.016"},{"id":17,"name":"Train ID","value":"176-16"},{"id":16,"name":"Locomotive ID","value":"4025"},{"id":130,"name":"Impact","value":""},{"id":150,"name":"Time of Event (Mountain Time)","value":"14:36:55"},{"id":151,"name":"Denver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4025 --day 2017-10-16</v>
      </c>
      <c r="AN89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-16T12:52:43-0600',mode:absolute,to:'2017-10-16T15:36:55-0600'))&amp;_a=(columns:!('Message%20ID',Summary),filters:!(),index:'emp_*',interval:auto,query:(query_string:(analyze_wildcard:!t,query:'%22rtdc.l.rtdc.4025%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735</v>
      </c>
      <c r="B90" s="7">
        <v>4020</v>
      </c>
      <c r="C90" s="21" t="s">
        <v>194</v>
      </c>
      <c r="D90" s="21" t="s">
        <v>392</v>
      </c>
      <c r="E90" s="13">
        <v>43024.54824074074</v>
      </c>
      <c r="F90" s="13">
        <v>43024.552291666667</v>
      </c>
      <c r="G90" s="7">
        <v>70</v>
      </c>
      <c r="H90" s="21" t="s">
        <v>437</v>
      </c>
      <c r="I90" s="13">
        <v>43024.57712962963</v>
      </c>
      <c r="J90" s="7">
        <v>0</v>
      </c>
      <c r="K90" s="89" t="str">
        <f>IF(ISEVEN(B90),(B90-1)&amp;"/"&amp;B90,B90&amp;"/"&amp;(B90+1))</f>
        <v>4019/4020</v>
      </c>
      <c r="L90" s="185" t="str">
        <f>VLOOKUP(A90,'Trips&amp;Operators'!$C$1:$G$99911,5,FALSE)</f>
        <v>STEWART MICHAEL</v>
      </c>
      <c r="M90" s="6">
        <f>I90-F90</f>
        <v>2.4837962962919846E-2</v>
      </c>
      <c r="N90" s="7">
        <f>24*60*SUM($M90:$M90)</f>
        <v>35.766666666604578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-16T12:09:28-0600',mode:absolute,to:'2017-10-16T14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4.7300000000000002E-2</v>
      </c>
      <c r="Z90" s="204">
        <f>RIGHT(H90,LEN(H90)-4)/10000</f>
        <v>23.328900000000001</v>
      </c>
      <c r="AA90" s="204">
        <f>ABS(Z90-Y90)</f>
        <v>23.281600000000001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/stypes="app*4020*20171016*"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177-16 --locoid 4020 --swversion DE.1.0.9.0 --startMP 204:473 --initTime 2017-10-16T13:09:28 --startdatetime 2017-10-16T13:15:18 --delay 70 --endMP 204:233289 --enddatetime 2017-10-16T13:51:04 --enforcementcount 0 &gt;&gt;%USERPROFILE%\Documents\GitHub\eaglep3-reporting\EC\2017-10-16-refined-times.txt</v>
      </c>
      <c r="AI9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{"issue":{"subject":"","project_id":79,"tracker_id":40,"status_id":1,"priority_id":2,"assigned_to_id":338,"start_date":"2017-10-16","description":"","custom_fields":[{"id":1,"name":"Subdivision","value":"EC"},{"id":4,"name":"Milepost","value":"23.3289"},{"id":17,"name":"Train ID","value":"177-16"},{"id":16,"name":"Locomotive ID","value":"4020"},{"id":130,"name":"Impact","value":""},{"id":150,"name":"Time of Event (Mountain Time)","value":"13:51:04"},{"id":151,"name":"Denver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4020 --day 2017-10-16</v>
      </c>
      <c r="AN90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-16T12:09:28-0600',mode:absolute,to:'2017-10-16T14:51:04-0600'))&amp;_a=(columns:!('Message%20ID',Summary),filters:!(),index:'emp_*',interval:auto,query:(query_string:(analyze_wildcard:!t,query:'%22rtdc.l.rtdc.4020%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743</v>
      </c>
      <c r="B91" s="7">
        <v>4019</v>
      </c>
      <c r="C91" s="21" t="s">
        <v>194</v>
      </c>
      <c r="D91" s="21" t="s">
        <v>863</v>
      </c>
      <c r="E91" s="13">
        <v>43024.585393518515</v>
      </c>
      <c r="F91" s="13">
        <v>43024.592037037037</v>
      </c>
      <c r="G91" s="7">
        <v>62</v>
      </c>
      <c r="H91" s="21" t="s">
        <v>364</v>
      </c>
      <c r="I91" s="13">
        <v>43024.61859953704</v>
      </c>
      <c r="J91" s="7">
        <v>0</v>
      </c>
      <c r="K91" s="89" t="str">
        <f>IF(ISEVEN(B91),(B91-1)&amp;"/"&amp;B91,B91&amp;"/"&amp;(B91+1))</f>
        <v>4019/4020</v>
      </c>
      <c r="L91" s="185" t="str">
        <f>VLOOKUP(A91,'Trips&amp;Operators'!$C$1:$G$99911,5,FALSE)</f>
        <v>STEWART MICHAEL</v>
      </c>
      <c r="M91" s="6">
        <f>I91-F91</f>
        <v>2.6562500002910383E-2</v>
      </c>
      <c r="N91" s="7">
        <f>24*60*SUM($M91:$M91)</f>
        <v>38.250000004190952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-16T13:02:58-0600',mode:absolute,to:'2017-10-16T15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23.296700000000001</v>
      </c>
      <c r="Z91" s="204">
        <f>RIGHT(H91,LEN(H91)-4)/10000</f>
        <v>1.5800000000000002E-2</v>
      </c>
      <c r="AA91" s="204">
        <f>ABS(Z91-Y91)</f>
        <v>23.280900000000003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/stypes="app*4019*20171016*"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178-16 --locoid 4019 --swversion DE.1.0.9.0 --startMP 204:232967 --initTime 2017-10-16T14:02:58 --startdatetime 2017-10-16T14:12:32 --delay 62 --endMP 204:158 --enddatetime 2017-10-16T14:50:47 --enforcementcount 0 &gt;&gt;%USERPROFILE%\Documents\GitHub\eaglep3-reporting\EC\2017-10-16-refined-times.txt</v>
      </c>
      <c r="AI9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{"issue":{"subject":"","project_id":79,"tracker_id":40,"status_id":1,"priority_id":2,"assigned_to_id":338,"start_date":"2017-10-16","description":"","custom_fields":[{"id":1,"name":"Subdivision","value":"EC"},{"id":4,"name":"Milepost","value":"0.0158"},{"id":17,"name":"Train ID","value":"178-16"},{"id":16,"name":"Locomotive ID","value":"4019"},{"id":130,"name":"Impact","value":""},{"id":150,"name":"Time of Event (Mountain Time)","value":"14:50:47"},{"id":151,"name":"Denver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4019 --day 2017-10-16</v>
      </c>
      <c r="AN91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-16T13:02:58-0600',mode:absolute,to:'2017-10-16T15:50:47-0600'))&amp;_a=(columns:!('Message%20ID',Summary),filters:!(),index:'emp_*',interval:auto,query:(query_string:(analyze_wildcard:!t,query:'%22rtdc.l.rtdc.4019%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737</v>
      </c>
      <c r="B92" s="7">
        <v>4060</v>
      </c>
      <c r="C92" s="21" t="s">
        <v>194</v>
      </c>
      <c r="D92" s="21" t="s">
        <v>363</v>
      </c>
      <c r="E92" s="13">
        <v>43024.557905092595</v>
      </c>
      <c r="F92" s="13">
        <v>43024.562673611108</v>
      </c>
      <c r="G92" s="7">
        <v>75</v>
      </c>
      <c r="H92" s="21" t="s">
        <v>876</v>
      </c>
      <c r="I92" s="13">
        <v>43024.58761574074</v>
      </c>
      <c r="J92" s="7">
        <v>0</v>
      </c>
      <c r="K92" s="89" t="str">
        <f>IF(ISEVEN(B92),(B92-1)&amp;"/"&amp;B92,B92&amp;"/"&amp;(B92+1))</f>
        <v>4059/4060</v>
      </c>
      <c r="L92" s="185" t="str">
        <f>VLOOKUP(A92,'Trips&amp;Operators'!$C$1:$G$99911,5,FALSE)</f>
        <v>RESPASS AARON</v>
      </c>
      <c r="M92" s="6">
        <f>I92-F92</f>
        <v>2.4942129632108845E-2</v>
      </c>
      <c r="N92" s="7">
        <f>24*60*SUM($M92:$M92)</f>
        <v>35.916666670236737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-16T12:23:23-0600',mode:absolute,to:'2017-10-16T15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4.5999999999999999E-2</v>
      </c>
      <c r="Z92" s="204">
        <f>RIGHT(H92,LEN(H92)-4)/10000</f>
        <v>23.328700000000001</v>
      </c>
      <c r="AA92" s="204">
        <f>ABS(Z92-Y92)</f>
        <v>23.282700000000002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/stypes="app*4060*20171016*"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179-16 --locoid 4060 --swversion DE.1.0.9.0 --startMP 204:460 --initTime 2017-10-16T13:23:23 --startdatetime 2017-10-16T13:30:15 --delay 75 --endMP 204:233287 --enddatetime 2017-10-16T14:06:10 --enforcementcount 0 &gt;&gt;%USERPROFILE%\Documents\GitHub\eaglep3-reporting\EC\2017-10-16-refined-times.txt</v>
      </c>
      <c r="AI92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{"issue":{"subject":"","project_id":79,"tracker_id":40,"status_id":1,"priority_id":2,"assigned_to_id":338,"start_date":"2017-10-16","description":"","custom_fields":[{"id":1,"name":"Subdivision","value":"EC"},{"id":4,"name":"Milepost","value":"23.3287"},{"id":17,"name":"Train ID","value":"179-16"},{"id":16,"name":"Locomotive ID","value":"4060"},{"id":130,"name":"Impact","value":""},{"id":150,"name":"Time of Event (Mountain Time)","value":"14:06:10"},{"id":151,"name":"Denver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4060 --day 2017-10-16</v>
      </c>
      <c r="AN92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-16T12:23:23-0600',mode:absolute,to:'2017-10-16T15:06:10-0600'))&amp;_a=(columns:!('Message%20ID',Summary),filters:!(),index:'emp_*',interval:auto,query:(query_string:(analyze_wildcard:!t,query:'%22rtdc.l.rtdc.4060%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746</v>
      </c>
      <c r="B93" s="7">
        <v>4059</v>
      </c>
      <c r="C93" s="21" t="s">
        <v>194</v>
      </c>
      <c r="D93" s="21" t="s">
        <v>877</v>
      </c>
      <c r="E93" s="13">
        <v>43024.596412037034</v>
      </c>
      <c r="F93" s="13">
        <v>43024.602256944447</v>
      </c>
      <c r="G93" s="7">
        <v>70</v>
      </c>
      <c r="H93" s="21" t="s">
        <v>374</v>
      </c>
      <c r="I93" s="13">
        <v>43024.628761574073</v>
      </c>
      <c r="J93" s="7">
        <v>0</v>
      </c>
      <c r="K93" s="89" t="str">
        <f>IF(ISEVEN(B93),(B93-1)&amp;"/"&amp;B93,B93&amp;"/"&amp;(B93+1))</f>
        <v>4059/4060</v>
      </c>
      <c r="L93" s="185" t="str">
        <f>VLOOKUP(A93,'Trips&amp;Operators'!$C$1:$G$99911,5,FALSE)</f>
        <v>RESPASS AARON</v>
      </c>
      <c r="M93" s="6">
        <f>I93-F93</f>
        <v>2.6504629626288079E-2</v>
      </c>
      <c r="N93" s="7">
        <f>24*60*SUM($M93:$M93)</f>
        <v>38.166666661854833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-16T13:18:50-0600',mode:absolute,to:'2017-10-16T16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23.297599999999999</v>
      </c>
      <c r="Z93" s="204">
        <f>RIGHT(H93,LEN(H93)-4)/10000</f>
        <v>1.54E-2</v>
      </c>
      <c r="AA93" s="204">
        <f>ABS(Z93-Y93)</f>
        <v>23.2822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/stypes="app*4059*20171016*"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180-16 --locoid 4059 --swversion DE.1.0.9.0 --startMP 204:232976 --initTime 2017-10-16T14:18:50 --startdatetime 2017-10-16T14:27:15 --delay 70 --endMP 204:154 --enddatetime 2017-10-16T15:05:25 --enforcementcount 0 &gt;&gt;%USERPROFILE%\Documents\GitHub\eaglep3-reporting\EC\2017-10-16-refined-times.txt</v>
      </c>
      <c r="AI9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{"issue":{"subject":"","project_id":79,"tracker_id":40,"status_id":1,"priority_id":2,"assigned_to_id":338,"start_date":"2017-10-16","description":"","custom_fields":[{"id":1,"name":"Subdivision","value":"EC"},{"id":4,"name":"Milepost","value":"0.0154"},{"id":17,"name":"Train ID","value":"180-16"},{"id":16,"name":"Locomotive ID","value":"4059"},{"id":130,"name":"Impact","value":""},{"id":150,"name":"Time of Event (Mountain Time)","value":"15:05:25"},{"id":151,"name":"Denver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4059 --day 2017-10-16</v>
      </c>
      <c r="AN93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-16T13:18:50-0600',mode:absolute,to:'2017-10-16T16:05:25-0600'))&amp;_a=(columns:!('Message%20ID',Summary),filters:!(),index:'emp_*',interval:auto,query:(query_string:(analyze_wildcard:!t,query:'%22rtdc.l.rtdc.4059%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740</v>
      </c>
      <c r="B94" s="7">
        <v>4018</v>
      </c>
      <c r="C94" s="21" t="s">
        <v>194</v>
      </c>
      <c r="D94" s="21" t="s">
        <v>468</v>
      </c>
      <c r="E94" s="13">
        <v>43024.56827546296</v>
      </c>
      <c r="F94" s="13">
        <v>43024.573113425926</v>
      </c>
      <c r="G94" s="7">
        <v>76</v>
      </c>
      <c r="H94" s="21" t="s">
        <v>878</v>
      </c>
      <c r="I94" s="13">
        <v>43024.598333333335</v>
      </c>
      <c r="J94" s="7">
        <v>0</v>
      </c>
      <c r="K94" s="89" t="str">
        <f>IF(ISEVEN(B94),(B94-1)&amp;"/"&amp;B94,B94&amp;"/"&amp;(B94+1))</f>
        <v>4017/4018</v>
      </c>
      <c r="L94" s="185" t="str">
        <f>VLOOKUP(A94,'Trips&amp;Operators'!$C$1:$G$99911,5,FALSE)</f>
        <v>KILLION DAVID</v>
      </c>
      <c r="M94" s="6">
        <f>I94-F94</f>
        <v>2.5219907409336884E-2</v>
      </c>
      <c r="N94" s="7">
        <f>24*60*SUM($M94:$M94)</f>
        <v>36.316666669445112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-16T12:38:19-0600',mode:absolute,to:'2017-10-16T15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4.3799999999999999E-2</v>
      </c>
      <c r="Z94" s="204">
        <f>RIGHT(H94,LEN(H94)-4)/10000</f>
        <v>23.330500000000001</v>
      </c>
      <c r="AA94" s="204">
        <f>ABS(Z94-Y94)</f>
        <v>23.2867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/stypes="app*4018*20171016*"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181-16 --locoid 4018 --swversion DE.1.0.9.0 --startMP 204:438 --initTime 2017-10-16T13:38:19 --startdatetime 2017-10-16T13:45:17 --delay 76 --endMP 204:233305 --enddatetime 2017-10-16T14:21:36 --enforcementcount 0 &gt;&gt;%USERPROFILE%\Documents\GitHub\eaglep3-reporting\EC\2017-10-16-refined-times.txt</v>
      </c>
      <c r="AI9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{"issue":{"subject":"","project_id":79,"tracker_id":40,"status_id":1,"priority_id":2,"assigned_to_id":338,"start_date":"2017-10-16","description":"","custom_fields":[{"id":1,"name":"Subdivision","value":"EC"},{"id":4,"name":"Milepost","value":"23.3305"},{"id":17,"name":"Train ID","value":"181-16"},{"id":16,"name":"Locomotive ID","value":"4018"},{"id":130,"name":"Impact","value":""},{"id":150,"name":"Time of Event (Mountain Time)","value":"14:21:36"},{"id":151,"name":"Denver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4018 --day 2017-10-16</v>
      </c>
      <c r="AN94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-16T12:38:19-0600',mode:absolute,to:'2017-10-16T15:21:36-0600'))&amp;_a=(columns:!('Message%20ID',Summary),filters:!(),index:'emp_*',interval:auto,query:(query_string:(analyze_wildcard:!t,query:'%22rtdc.l.rtdc.4018%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748</v>
      </c>
      <c r="B95" s="7">
        <v>4017</v>
      </c>
      <c r="C95" s="21" t="s">
        <v>194</v>
      </c>
      <c r="D95" s="21" t="s">
        <v>879</v>
      </c>
      <c r="E95" s="13">
        <v>43024.603796296295</v>
      </c>
      <c r="F95" s="13">
        <v>43024.612754629627</v>
      </c>
      <c r="G95" s="7">
        <v>61</v>
      </c>
      <c r="H95" s="21" t="s">
        <v>356</v>
      </c>
      <c r="I95" s="13">
        <v>43024.639189814814</v>
      </c>
      <c r="J95" s="7">
        <v>0</v>
      </c>
      <c r="K95" s="89" t="str">
        <f>IF(ISEVEN(B95),(B95-1)&amp;"/"&amp;B95,B95&amp;"/"&amp;(B95+1))</f>
        <v>4017/4018</v>
      </c>
      <c r="L95" s="185" t="str">
        <f>VLOOKUP(A95,'Trips&amp;Operators'!$C$1:$G$99911,5,FALSE)</f>
        <v>KILLION DAVID</v>
      </c>
      <c r="M95" s="6">
        <f>I95-F95</f>
        <v>2.6435185187438037E-2</v>
      </c>
      <c r="N95" s="7">
        <f>24*60*SUM($M95:$M95)</f>
        <v>38.066666669910774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-16T13:29:28-0600',mode:absolute,to:'2017-10-16T16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23.297999999999998</v>
      </c>
      <c r="Z95" s="204">
        <f>RIGHT(H95,LEN(H95)-4)/10000</f>
        <v>1.4500000000000001E-2</v>
      </c>
      <c r="AA95" s="204">
        <f>ABS(Z95-Y95)</f>
        <v>23.283499999999997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/stypes="app*4017*20171016*"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182-16 --locoid 4017 --swversion DE.1.0.9.0 --startMP 204:232980 --initTime 2017-10-16T14:29:28 --startdatetime 2017-10-16T14:42:22 --delay 61 --endMP 204:145 --enddatetime 2017-10-16T15:20:26 --enforcementcount 0 &gt;&gt;%USERPROFILE%\Documents\GitHub\eaglep3-reporting\EC\2017-10-16-refined-times.txt</v>
      </c>
      <c r="AI9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ID","value":"182-16"},{"id":16,"name":"Locomotive ID","value":"4017"},{"id":130,"name":"Impact","value":""},{"id":150,"name":"Time of Event (Mountain Time)","value":"15:20:26"},{"id":151,"name":"Denver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4017 --day 2017-10-16</v>
      </c>
      <c r="AN95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-16T13:29:28-0600',mode:absolute,to:'2017-10-16T16:20:26-0600'))&amp;_a=(columns:!('Message%20ID',Summary),filters:!(),index:'emp_*',interval:auto,query:(query_string:(analyze_wildcard:!t,query:'%22rtdc.l.rtdc.4017%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742</v>
      </c>
      <c r="B96" s="7">
        <v>4010</v>
      </c>
      <c r="C96" s="21" t="s">
        <v>194</v>
      </c>
      <c r="D96" s="21" t="s">
        <v>345</v>
      </c>
      <c r="E96" s="13">
        <v>43024.580462962964</v>
      </c>
      <c r="F96" s="13">
        <v>43024.583553240744</v>
      </c>
      <c r="G96" s="7">
        <v>92</v>
      </c>
      <c r="H96" s="21" t="s">
        <v>516</v>
      </c>
      <c r="I96" s="13">
        <v>43024.608194444445</v>
      </c>
      <c r="J96" s="7">
        <v>0</v>
      </c>
      <c r="K96" s="89" t="str">
        <f>IF(ISEVEN(B96),(B96-1)&amp;"/"&amp;B96,B96&amp;"/"&amp;(B96+1))</f>
        <v>4009/4010</v>
      </c>
      <c r="L96" s="185" t="str">
        <f>VLOOKUP(A96,'Trips&amp;Operators'!$C$1:$G$99911,5,FALSE)</f>
        <v>SAFIEF AEIMEN</v>
      </c>
      <c r="M96" s="6">
        <f>I96-F96</f>
        <v>2.4641203701321501E-2</v>
      </c>
      <c r="N96" s="7">
        <f>24*60*SUM($M96:$M96)</f>
        <v>35.483333329902962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-16T12:55:52-0600',mode:absolute,to:'2017-10-16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4.5499999999999999E-2</v>
      </c>
      <c r="Z96" s="204">
        <f>RIGHT(H96,LEN(H96)-4)/10000</f>
        <v>23.332899999999999</v>
      </c>
      <c r="AA96" s="204">
        <f>ABS(Z96-Y96)</f>
        <v>23.287399999999998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/stypes="app*4010*20171016*"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183-16 --locoid 4010 --swversion DE.1.0.9.0 --startMP 204:455 --initTime 2017-10-16T13:55:52 --startdatetime 2017-10-16T14:00:19 --delay 92 --endMP 204:233329 --enddatetime 2017-10-16T14:35:48 --enforcementcount 0 &gt;&gt;%USERPROFILE%\Documents\GitHub\eaglep3-reporting\EC\2017-10-16-refined-times.txt</v>
      </c>
      <c r="AI9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{"issue":{"subject":"","project_id":79,"tracker_id":40,"status_id":1,"priority_id":2,"assigned_to_id":338,"start_date":"2017-10-16","description":"","custom_fields":[{"id":1,"name":"Subdivision","value":"EC"},{"id":4,"name":"Milepost","value":"23.3329"},{"id":17,"name":"Train ID","value":"183-16"},{"id":16,"name":"Locomotive ID","value":"4010"},{"id":130,"name":"Impact","value":""},{"id":150,"name":"Time of Event (Mountain Time)","value":"14:35:48"},{"id":151,"name":"Denver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4010 --day 2017-10-16</v>
      </c>
      <c r="AN96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-16T12:55:52-0600',mode:absolute,to:'2017-10-16T15:35:48-0600'))&amp;_a=(columns:!('Message%20ID',Summary),filters:!(),index:'emp_*',interval:auto,query:(query_string:(analyze_wildcard:!t,query:'%22rtdc.l.rtdc.4010%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749</v>
      </c>
      <c r="B97" s="7">
        <v>4009</v>
      </c>
      <c r="C97" s="21" t="s">
        <v>194</v>
      </c>
      <c r="D97" s="21" t="s">
        <v>555</v>
      </c>
      <c r="E97" s="13">
        <v>43024.613206018519</v>
      </c>
      <c r="F97" s="13">
        <v>43024.623402777775</v>
      </c>
      <c r="G97" s="7">
        <v>71</v>
      </c>
      <c r="H97" s="21" t="s">
        <v>361</v>
      </c>
      <c r="I97" s="13">
        <v>43024.650509259256</v>
      </c>
      <c r="J97" s="7">
        <v>0</v>
      </c>
      <c r="K97" s="89" t="str">
        <f>IF(ISEVEN(B97),(B97-1)&amp;"/"&amp;B97,B97&amp;"/"&amp;(B97+1))</f>
        <v>4009/4010</v>
      </c>
      <c r="L97" s="185" t="str">
        <f>VLOOKUP(A97,'Trips&amp;Operators'!$C$1:$G$99911,5,FALSE)</f>
        <v>SAFIEF AEIMEN</v>
      </c>
      <c r="M97" s="6">
        <f>I97-F97</f>
        <v>2.7106481480586808E-2</v>
      </c>
      <c r="N97" s="7">
        <f>24*60*SUM($M97:$M97)</f>
        <v>39.033333332045004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-16T13:43:01-0600',mode:absolute,to:'2017-10-16T16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23.3</v>
      </c>
      <c r="Z97" s="204">
        <f>RIGHT(H97,LEN(H97)-4)/10000</f>
        <v>1.61E-2</v>
      </c>
      <c r="AA97" s="204">
        <f>ABS(Z97-Y97)</f>
        <v>23.283899999999999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/stypes="app*4009*20171016*"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184-16 --locoid 4009 --swversion DE.1.0.9.0 --startMP 204:233000 --initTime 2017-10-16T14:43:01 --startdatetime 2017-10-16T14:57:42 --delay 71 --endMP 204:161 --enddatetime 2017-10-16T15:36:44 --enforcementcount 0 &gt;&gt;%USERPROFILE%\Documents\GitHub\eaglep3-reporting\EC\2017-10-16-refined-times.txt</v>
      </c>
      <c r="AI9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{"issue":{"subject":"","project_id":79,"tracker_id":40,"status_id":1,"priority_id":2,"assigned_to_id":338,"start_date":"2017-10-16","description":"","custom_fields":[{"id":1,"name":"Subdivision","value":"EC"},{"id":4,"name":"Milepost","value":"0.0161"},{"id":17,"name":"Train ID","value":"184-16"},{"id":16,"name":"Locomotive ID","value":"4009"},{"id":130,"name":"Impact","value":""},{"id":150,"name":"Time of Event (Mountain Time)","value":"15:36:44"},{"id":151,"name":"Denver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4009 --day 2017-10-16</v>
      </c>
      <c r="AN97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-16T13:43:01-0600',mode:absolute,to:'2017-10-16T16:36:44-0600'))&amp;_a=(columns:!('Message%20ID',Summary),filters:!(),index:'emp_*',interval:auto,query:(query_string:(analyze_wildcard:!t,query:'%22rtdc.l.rtdc.4009%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745</v>
      </c>
      <c r="B98" s="7">
        <v>4030</v>
      </c>
      <c r="C98" s="21" t="s">
        <v>194</v>
      </c>
      <c r="D98" s="21" t="s">
        <v>354</v>
      </c>
      <c r="E98" s="13">
        <v>43024.590509259258</v>
      </c>
      <c r="F98" s="13">
        <v>43024.593935185185</v>
      </c>
      <c r="G98" s="7">
        <v>63</v>
      </c>
      <c r="H98" s="21" t="s">
        <v>427</v>
      </c>
      <c r="I98" s="13">
        <v>43024.619363425925</v>
      </c>
      <c r="J98" s="7">
        <v>0</v>
      </c>
      <c r="K98" s="89" t="str">
        <f>IF(ISEVEN(B98),(B98-1)&amp;"/"&amp;B98,B98&amp;"/"&amp;(B98+1))</f>
        <v>4029/4030</v>
      </c>
      <c r="L98" s="185" t="str">
        <f>VLOOKUP(A98,'Trips&amp;Operators'!$C$1:$G$99911,5,FALSE)</f>
        <v>BADERTSCHER DIANE</v>
      </c>
      <c r="M98" s="6">
        <f>I98-F98</f>
        <v>2.5428240740438923E-2</v>
      </c>
      <c r="N98" s="7">
        <f>24*60*SUM($M98:$M98)</f>
        <v>36.616666666232049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-16T13:10:20-0600',mode:absolute,to:'2017-10-16T15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4.58E-2</v>
      </c>
      <c r="Z98" s="204">
        <f>RIGHT(H98,LEN(H98)-4)/10000</f>
        <v>23.330300000000001</v>
      </c>
      <c r="AA98" s="204">
        <f>ABS(Z98-Y98)</f>
        <v>23.284500000000001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/stypes="app*4030*20171016*"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185-16 --locoid 4030 --swversion DE.1.0.9.0 --startMP 204:458 --initTime 2017-10-16T14:10:20 --startdatetime 2017-10-16T14:15:16 --delay 63 --endMP 204:233303 --enddatetime 2017-10-16T14:51:53 --enforcementcount 0 &gt;&gt;%USERPROFILE%\Documents\GitHub\eaglep3-reporting\EC\2017-10-16-refined-times.txt</v>
      </c>
      <c r="AI9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{"issue":{"subject":"","project_id":79,"tracker_id":40,"status_id":1,"priority_id":2,"assigned_to_id":338,"start_date":"2017-10-16","description":"","custom_fields":[{"id":1,"name":"Subdivision","value":"EC"},{"id":4,"name":"Milepost","value":"23.3303"},{"id":17,"name":"Train ID","value":"185-16"},{"id":16,"name":"Locomotive ID","value":"4030"},{"id":130,"name":"Impact","value":""},{"id":150,"name":"Time of Event (Mountain Time)","value":"14:51:53"},{"id":151,"name":"Denver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4030 --day 2017-10-16</v>
      </c>
      <c r="AN98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-16T13:10:20-0600',mode:absolute,to:'2017-10-16T15:51:53-0600'))&amp;_a=(columns:!('Message%20ID',Summary),filters:!(),index:'emp_*',interval:auto,query:(query_string:(analyze_wildcard:!t,query:'%22rtdc.l.rtdc.4030%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3">
      <c r="A99" s="32" t="s">
        <v>596</v>
      </c>
      <c r="B99" s="7">
        <v>4029</v>
      </c>
      <c r="C99" s="21" t="s">
        <v>194</v>
      </c>
      <c r="D99" s="21" t="s">
        <v>843</v>
      </c>
      <c r="E99" s="13">
        <v>43024.628935185188</v>
      </c>
      <c r="F99" s="13">
        <v>43024.633506944447</v>
      </c>
      <c r="G99" s="7">
        <v>66</v>
      </c>
      <c r="H99" s="21" t="s">
        <v>510</v>
      </c>
      <c r="I99" s="13">
        <v>43024.661620370367</v>
      </c>
      <c r="J99" s="7">
        <v>0</v>
      </c>
      <c r="K99" s="89" t="str">
        <f>IF(ISEVEN(B99),(B99-1)&amp;"/"&amp;B99,B99&amp;"/"&amp;(B99+1))</f>
        <v>4029/4030</v>
      </c>
      <c r="L99" s="185" t="str">
        <f>VLOOKUP(A99,'Trips&amp;Operators'!$C$1:$G$99911,5,FALSE)</f>
        <v>BADERTSCHER DIANE</v>
      </c>
      <c r="M99" s="6">
        <f>I99-F99</f>
        <v>2.8113425920309965E-2</v>
      </c>
      <c r="N99" s="7">
        <f>24*60*SUM($M99:$M99)</f>
        <v>40.483333325246349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-16T14:05:40-0600',mode:absolute,to:'2017-10-16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23.298200000000001</v>
      </c>
      <c r="Z99" s="204">
        <f>RIGHT(H99,LEN(H99)-4)/10000</f>
        <v>1.3599999999999999E-2</v>
      </c>
      <c r="AA99" s="204">
        <f>ABS(Z99-Y99)</f>
        <v>23.284600000000001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/stypes="app*4029*20171016*"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186-16 --locoid 4029 --swversion DE.1.0.9.0 --startMP 204:232982 --initTime 2017-10-16T15:05:40 --startdatetime 2017-10-16T15:12:15 --delay 66 --endMP 204:136 --enddatetime 2017-10-16T15:52:44 --enforcementcount 0 &gt;&gt;%USERPROFILE%\Documents\GitHub\eaglep3-reporting\EC\2017-10-16-refined-times.txt</v>
      </c>
      <c r="AI9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{"issue":{"subject":"","project_id":79,"tracker_id":40,"status_id":1,"priority_id":2,"assigned_to_id":338,"start_date":"2017-10-16","description":"","custom_fields":[{"id":1,"name":"Subdivision","value":"EC"},{"id":4,"name":"Milepost","value":"0.0136"},{"id":17,"name":"Train ID","value":"186-16"},{"id":16,"name":"Locomotive ID","value":"4029"},{"id":130,"name":"Impact","value":""},{"id":150,"name":"Time of Event (Mountain Time)","value":"15:52:44"},{"id":151,"name":"Denver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4029 --day 2017-10-16</v>
      </c>
      <c r="AN99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-16T14:05:40-0600',mode:absolute,to:'2017-10-16T16:52:44-0600'))&amp;_a=(columns:!('Message%20ID',Summary),filters:!(),index:'emp_*',interval:auto,query:(query_string:(analyze_wildcard:!t,query:'%22rtdc.l.rtdc.4029%22')),sort:!(Time.ISO8601,asc))</v>
      </c>
    </row>
    <row r="100" spans="1:91" s="20" customFormat="1" x14ac:dyDescent="0.3">
      <c r="A100" s="32" t="s">
        <v>747</v>
      </c>
      <c r="B100" s="7">
        <v>4024</v>
      </c>
      <c r="C100" s="21" t="s">
        <v>194</v>
      </c>
      <c r="D100" s="21" t="s">
        <v>392</v>
      </c>
      <c r="E100" s="13">
        <v>43024.599780092591</v>
      </c>
      <c r="F100" s="13">
        <v>43024.604409722226</v>
      </c>
      <c r="G100" s="7">
        <v>58</v>
      </c>
      <c r="H100" s="21" t="s">
        <v>558</v>
      </c>
      <c r="I100" s="13">
        <v>43024.628993055558</v>
      </c>
      <c r="J100" s="7">
        <v>0</v>
      </c>
      <c r="K100" s="89" t="str">
        <f>IF(ISEVEN(B100),(B100-1)&amp;"/"&amp;B100,B100&amp;"/"&amp;(B100+1))</f>
        <v>4023/4024</v>
      </c>
      <c r="L100" s="185" t="str">
        <f>VLOOKUP(A100,'Trips&amp;Operators'!$C$1:$G$99911,5,FALSE)</f>
        <v>SMITH MICHAEL</v>
      </c>
      <c r="M100" s="6">
        <f>I100-F100</f>
        <v>2.4583333331975155E-2</v>
      </c>
      <c r="N100" s="7">
        <f>24*60*SUM($M100:$M100)</f>
        <v>35.399999998044223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-16T13:23:41-0600',mode:absolute,to:'2017-10-16T16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4.7300000000000002E-2</v>
      </c>
      <c r="Z100" s="204">
        <f>RIGHT(H100,LEN(H100)-4)/10000</f>
        <v>23.330400000000001</v>
      </c>
      <c r="AA100" s="204">
        <f>ABS(Z100-Y100)</f>
        <v>23.283100000000001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/stypes="app*4024*20171016*"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187-16 --locoid 4024 --swversion DE.1.0.9.0 --startMP 204:473 --initTime 2017-10-16T14:23:41 --startdatetime 2017-10-16T14:30:21 --delay 58 --endMP 204:233304 --enddatetime 2017-10-16T15:05:45 --enforcementcount 0 &gt;&gt;%USERPROFILE%\Documents\GitHub\eaglep3-reporting\EC\2017-10-16-refined-times.txt</v>
      </c>
      <c r="AI10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{"issue":{"subject":"","project_id":79,"tracker_id":40,"status_id":1,"priority_id":2,"assigned_to_id":338,"start_date":"2017-10-16","description":"","custom_fields":[{"id":1,"name":"Subdivision","value":"EC"},{"id":4,"name":"Milepost","value":"23.3304"},{"id":17,"name":"Train ID","value":"187-16"},{"id":16,"name":"Locomotive ID","value":"4024"},{"id":130,"name":"Impact","value":""},{"id":150,"name":"Time of Event (Mountain Time)","value":"15:05:45"},{"id":151,"name":"Denver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12"/>
        <v>start /low /b %USERPROFILE%\Documents\GitHub\eaglep3\Utilities\DownloadLogsFromS3.py --loco 4024 --day 2017-10-16</v>
      </c>
      <c r="AN100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-16T13:23:41-0600',mode:absolute,to:'2017-10-16T16:05:45-0600'))&amp;_a=(columns:!('Message%20ID',Summary),filters:!(),index:'emp_*',interval:auto,query:(query_string:(analyze_wildcard:!t,query:'%22rtdc.l.rtdc.4024%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754</v>
      </c>
      <c r="B101" s="7">
        <v>4023</v>
      </c>
      <c r="C101" s="21" t="s">
        <v>194</v>
      </c>
      <c r="D101" s="21" t="s">
        <v>555</v>
      </c>
      <c r="E101" s="13">
        <v>43024.637060185189</v>
      </c>
      <c r="F101" s="13">
        <v>43024.643993055557</v>
      </c>
      <c r="G101" s="7">
        <v>66</v>
      </c>
      <c r="H101" s="21" t="s">
        <v>336</v>
      </c>
      <c r="I101" s="13">
        <v>43024.669930555552</v>
      </c>
      <c r="J101" s="7">
        <v>0</v>
      </c>
      <c r="K101" s="89" t="str">
        <f>IF(ISEVEN(B101),(B101-1)&amp;"/"&amp;B101,B101&amp;"/"&amp;(B101+1))</f>
        <v>4023/4024</v>
      </c>
      <c r="L101" s="185" t="str">
        <f>VLOOKUP(A101,'Trips&amp;Operators'!$C$1:$G$99911,5,FALSE)</f>
        <v>SMITH MICHAEL</v>
      </c>
      <c r="M101" s="6">
        <f>I101-F101</f>
        <v>2.5937499995052349E-2</v>
      </c>
      <c r="N101" s="7">
        <f>24*60*SUM($M101:$M101)</f>
        <v>37.349999992875382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-16T14:17:22-0600',mode:absolute,to:'2017-10-16T17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23.3</v>
      </c>
      <c r="Z101" s="204">
        <f>RIGHT(H101,LEN(H101)-4)/10000</f>
        <v>1.49E-2</v>
      </c>
      <c r="AA101" s="204">
        <f>ABS(Z101-Y101)</f>
        <v>23.2851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/stypes="app*4023*20171016*"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188-16 --locoid 4023 --swversion DE.1.0.9.0 --startMP 204:233000 --initTime 2017-10-16T15:17:22 --startdatetime 2017-10-16T15:27:21 --delay 66 --endMP 204:149 --enddatetime 2017-10-16T16:04:42 --enforcementcount 0 &gt;&gt;%USERPROFILE%\Documents\GitHub\eaglep3-reporting\EC\2017-10-16-refined-times.txt</v>
      </c>
      <c r="AI10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ID","value":"188-16"},{"id":16,"name":"Locomotive ID","value":"4023"},{"id":130,"name":"Impact","value":""},{"id":150,"name":"Time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2"/>
        <v>start /low /b %USERPROFILE%\Documents\GitHub\eaglep3\Utilities\DownloadLogsFromS3.py --loco 4023 --day 2017-10-16</v>
      </c>
      <c r="AN101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-16T14:17:22-0600',mode:absolute,to:'2017-10-16T17:04:42-0600'))&amp;_a=(columns:!('Message%20ID',Summary),filters:!(),index:'emp_*',interval:auto,query:(query_string:(analyze_wildcard:!t,query:'%22rtdc.l.rtdc.4023%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597</v>
      </c>
      <c r="B102" s="7">
        <v>4026</v>
      </c>
      <c r="C102" s="21" t="s">
        <v>194</v>
      </c>
      <c r="D102" s="21" t="s">
        <v>471</v>
      </c>
      <c r="E102" s="13">
        <v>43024.61273148148</v>
      </c>
      <c r="F102" s="13">
        <v>43024.614999999998</v>
      </c>
      <c r="G102" s="7">
        <v>68</v>
      </c>
      <c r="H102" s="21" t="s">
        <v>880</v>
      </c>
      <c r="I102" s="13">
        <v>43024.641087962962</v>
      </c>
      <c r="J102" s="7">
        <v>0</v>
      </c>
      <c r="K102" s="89" t="str">
        <f>IF(ISEVEN(B102),(B102-1)&amp;"/"&amp;B102,B102&amp;"/"&amp;(B102+1))</f>
        <v>4025/4026</v>
      </c>
      <c r="L102" s="185" t="str">
        <f>VLOOKUP(A102,'Trips&amp;Operators'!$C$1:$G$99911,5,FALSE)</f>
        <v>DAVIS MICHAEL</v>
      </c>
      <c r="M102" s="6">
        <f>I102-F102</f>
        <v>2.6087962964083999E-2</v>
      </c>
      <c r="N102" s="7">
        <f>24*60*SUM($M102:$M102)</f>
        <v>37.566666668280959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-16T13:42:20-0600',mode:absolute,to:'2017-10-16T16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4.3999999999999997E-2</v>
      </c>
      <c r="Z102" s="204">
        <f>RIGHT(H102,LEN(H102)-4)/10000</f>
        <v>23.311699999999998</v>
      </c>
      <c r="AA102" s="204">
        <f>ABS(Z102-Y102)</f>
        <v>23.267699999999998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/stypes="app*4026*20171016*"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189-16 --locoid 4026 --swversion DE.1.0.9.0 --startMP 204:440 --initTime 2017-10-16T14:42:20 --startdatetime 2017-10-16T14:45:36 --delay 68 --endMP 204:233117 --enddatetime 2017-10-16T15:23:10 --enforcementcount 0 &gt;&gt;%USERPROFILE%\Documents\GitHub\eaglep3-reporting\EC\2017-10-16-refined-times.txt</v>
      </c>
      <c r="AI102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{"issue":{"subject":"","project_id":79,"tracker_id":40,"status_id":1,"priority_id":2,"assigned_to_id":338,"start_date":"2017-10-16","description":"","custom_fields":[{"id":1,"name":"Subdivision","value":"EC"},{"id":4,"name":"Milepost","value":"23.3117"},{"id":17,"name":"Train ID","value":"189-16"},{"id":16,"name":"Locomotive ID","value":"4026"},{"id":130,"name":"Impact","value":""},{"id":150,"name":"Time of Event (Mountain Time)","value":"15:23:10"},{"id":151,"name":"Denver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4026 --day 2017-10-16</v>
      </c>
      <c r="AN102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-16T13:42:20-0600',mode:absolute,to:'2017-10-16T16:23:10-0600'))&amp;_a=(columns:!('Message%20ID',Summary),filters:!(),index:'emp_*',interval:auto,query:(query_string:(analyze_wildcard:!t,query:'%22rtdc.l.rtdc.4026%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598</v>
      </c>
      <c r="B103" s="7">
        <v>4025</v>
      </c>
      <c r="C103" s="21" t="s">
        <v>194</v>
      </c>
      <c r="D103" s="21" t="s">
        <v>881</v>
      </c>
      <c r="E103" s="13">
        <v>43024.652592592596</v>
      </c>
      <c r="F103" s="13">
        <v>43024.654652777775</v>
      </c>
      <c r="G103" s="7">
        <v>66</v>
      </c>
      <c r="H103" s="21" t="s">
        <v>367</v>
      </c>
      <c r="I103" s="13">
        <v>43024.683865740742</v>
      </c>
      <c r="J103" s="7">
        <v>0</v>
      </c>
      <c r="K103" s="89" t="str">
        <f>IF(ISEVEN(B103),(B103-1)&amp;"/"&amp;B103,B103&amp;"/"&amp;(B103+1))</f>
        <v>4025/4026</v>
      </c>
      <c r="L103" s="185" t="str">
        <f>VLOOKUP(A103,'Trips&amp;Operators'!$C$1:$G$99911,5,FALSE)</f>
        <v>DAVIS MICHAEL</v>
      </c>
      <c r="M103" s="6">
        <f>I103-F103</f>
        <v>2.9212962966994382E-2</v>
      </c>
      <c r="N103" s="7">
        <f>24*60*SUM($M103:$M103)</f>
        <v>42.066666672471911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-16T14:39:44-0600',mode:absolute,to:'2017-10-16T17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23.3001</v>
      </c>
      <c r="Z103" s="204">
        <f>RIGHT(H103,LEN(H103)-4)/10000</f>
        <v>1.3899999999999999E-2</v>
      </c>
      <c r="AA103" s="204">
        <f>ABS(Z103-Y103)</f>
        <v>23.286200000000001</v>
      </c>
      <c r="AB103" s="54" t="str">
        <f>VLOOKUP(A103,Enforcements!$C$7:$K$11,8,0)</f>
        <v>Speed (6)</v>
      </c>
      <c r="AC103" s="51" t="str">
        <f>VLOOKUP(A103,Enforcements!$C$7:$E$11,3,0)</f>
        <v>PERMANENT SPEED RESTRICTION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/stypes="app*4025*20171016*"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190-16 --locoid 4025 --swversion DE.1.0.9.0 --startMP 204:233001 --initTime 2017-10-16T15:39:44 --startdatetime 2017-10-16T15:42:42 --delay 66 --endMP 204:139 --enddatetime 2017-10-16T16:24:46 --enforcementcount 0 &gt;&gt;%USERPROFILE%\Documents\GitHub\eaglep3-reporting\EC\2017-10-16-refined-times.txt</v>
      </c>
      <c r="AI10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{"issue":{"subject":"","project_id":79,"tracker_id":40,"status_id":1,"priority_id":2,"assigned_to_id":338,"start_date":"2017-10-16","description":"","custom_fields":[{"id":1,"name":"Subdivision","value":"EC"},{"id":4,"name":"Milepost","value":"0.0139"},{"id":17,"name":"Train ID","value":"190-16"},{"id":16,"name":"Locomotive ID","value":"4025"},{"id":130,"name":"Impact","value":""},{"id":150,"name":"Time of Event (Mountain Time)","value":"16:24:46"},{"id":151,"name":"Denver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4025 --day 2017-10-16</v>
      </c>
      <c r="AN103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-16T14:39:44-0600',mode:absolute,to:'2017-10-16T17:24:46-0600'))&amp;_a=(columns:!('Message%20ID',Summary),filters:!(),index:'emp_*',interval:auto,query:(query_string:(analyze_wildcard:!t,query:'%22rtdc.l.rtdc.4025%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750</v>
      </c>
      <c r="B104" s="7">
        <v>4020</v>
      </c>
      <c r="C104" s="21" t="s">
        <v>194</v>
      </c>
      <c r="D104" s="21" t="s">
        <v>391</v>
      </c>
      <c r="E104" s="13">
        <v>43024.621388888889</v>
      </c>
      <c r="F104" s="13">
        <v>43024.625231481485</v>
      </c>
      <c r="G104" s="7">
        <v>61</v>
      </c>
      <c r="H104" s="21" t="s">
        <v>876</v>
      </c>
      <c r="I104" s="13">
        <v>43024.650185185186</v>
      </c>
      <c r="J104" s="7">
        <v>0</v>
      </c>
      <c r="K104" s="89" t="str">
        <f>IF(ISEVEN(B104),(B104-1)&amp;"/"&amp;B104,B104&amp;"/"&amp;(B104+1))</f>
        <v>4019/4020</v>
      </c>
      <c r="L104" s="185" t="str">
        <f>VLOOKUP(A104,'Trips&amp;Operators'!$C$1:$G$99911,5,FALSE)</f>
        <v>STEWART MICHAEL</v>
      </c>
      <c r="M104" s="6">
        <f>I104-F104</f>
        <v>2.495370370161254E-2</v>
      </c>
      <c r="N104" s="7">
        <f>24*60*SUM($M104:$M104)</f>
        <v>35.933333330322057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-16T13:54:48-0600',mode:absolute,to:'2017-10-16T16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4.6699999999999998E-2</v>
      </c>
      <c r="Z104" s="204">
        <f>RIGHT(H104,LEN(H104)-4)/10000</f>
        <v>23.328700000000001</v>
      </c>
      <c r="AA104" s="204">
        <f>ABS(Z104-Y104)</f>
        <v>23.282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/stypes="app*4020*20171016*"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191-16 --locoid 4020 --swversion DE.1.0.9.0 --startMP 204:467 --initTime 2017-10-16T14:54:48 --startdatetime 2017-10-16T15:00:20 --delay 61 --endMP 204:233287 --enddatetime 2017-10-16T15:36:16 --enforcementcount 0 &gt;&gt;%USERPROFILE%\Documents\GitHub\eaglep3-reporting\EC\2017-10-16-refined-times.txt</v>
      </c>
      <c r="AI10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{"issue":{"subject":"","project_id":79,"tracker_id":40,"status_id":1,"priority_id":2,"assigned_to_id":338,"start_date":"2017-10-16","description":"","custom_fields":[{"id":1,"name":"Subdivision","value":"EC"},{"id":4,"name":"Milepost","value":"23.3287"},{"id":17,"name":"Train ID","value":"191-16"},{"id":16,"name":"Locomotive ID","value":"4020"},{"id":130,"name":"Impact","value":""},{"id":150,"name":"Time of Event (Mountain Time)","value":"15:36:16"},{"id":151,"name":"Denver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4020 --day 2017-10-16</v>
      </c>
      <c r="AN104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-16T13:54:48-0600',mode:absolute,to:'2017-10-16T16:36:16-0600'))&amp;_a=(columns:!('Message%20ID',Summary),filters:!(),index:'emp_*',interval:auto,query:(query_string:(analyze_wildcard:!t,query:'%22rtdc.l.rtdc.4020%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758</v>
      </c>
      <c r="B105" s="7">
        <v>4019</v>
      </c>
      <c r="C105" s="21" t="s">
        <v>194</v>
      </c>
      <c r="D105" s="21" t="s">
        <v>882</v>
      </c>
      <c r="E105" s="13">
        <v>43024.660162037035</v>
      </c>
      <c r="F105" s="13">
        <v>43024.664837962962</v>
      </c>
      <c r="G105" s="7">
        <v>52</v>
      </c>
      <c r="H105" s="21" t="s">
        <v>356</v>
      </c>
      <c r="I105" s="13">
        <v>43024.691412037035</v>
      </c>
      <c r="J105" s="7">
        <v>0</v>
      </c>
      <c r="K105" s="89" t="str">
        <f>IF(ISEVEN(B105),(B105-1)&amp;"/"&amp;B105,B105&amp;"/"&amp;(B105+1))</f>
        <v>4019/4020</v>
      </c>
      <c r="L105" s="185" t="str">
        <f>VLOOKUP(A105,'Trips&amp;Operators'!$C$1:$G$99911,5,FALSE)</f>
        <v>STEWART MICHAEL</v>
      </c>
      <c r="M105" s="6">
        <f>I105-F105</f>
        <v>2.6574074072414078E-2</v>
      </c>
      <c r="N105" s="7">
        <f>24*60*SUM($M105:$M105)</f>
        <v>38.266666664276272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-16T14:50:38-0600',mode:absolute,to:'2017-10-16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23.296399999999998</v>
      </c>
      <c r="Z105" s="204">
        <f>RIGHT(H105,LEN(H105)-4)/10000</f>
        <v>1.4500000000000001E-2</v>
      </c>
      <c r="AA105" s="204">
        <f>ABS(Z105-Y105)</f>
        <v>23.281899999999997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/stypes="app*4019*20171016*"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192-16 --locoid 4019 --swversion DE.1.0.9.0 --startMP 204:232964 --initTime 2017-10-16T15:50:38 --startdatetime 2017-10-16T15:57:22 --delay 52 --endMP 204:145 --enddatetime 2017-10-16T16:35:38 --enforcementcount 0 &gt;&gt;%USERPROFILE%\Documents\GitHub\eaglep3-reporting\EC\2017-10-16-refined-times.txt</v>
      </c>
      <c r="AI10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ID","value":"192-16"},{"id":16,"name":"Locomotive ID","value":"4019"},{"id":130,"name":"Impact","value":""},{"id":150,"name":"Time of Event (Mountain Time)","value":"16:35:38"},{"id":151,"name":"Denver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4019 --day 2017-10-16</v>
      </c>
      <c r="AN105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-16T14:50:38-0600',mode:absolute,to:'2017-10-16T17:35:38-0600'))&amp;_a=(columns:!('Message%20ID',Summary),filters:!(),index:'emp_*',interval:auto,query:(query_string:(analyze_wildcard:!t,query:'%22rtdc.l.rtdc.4019%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752</v>
      </c>
      <c r="B106" s="7">
        <v>4060</v>
      </c>
      <c r="C106" s="21" t="s">
        <v>194</v>
      </c>
      <c r="D106" s="21" t="s">
        <v>433</v>
      </c>
      <c r="E106" s="13">
        <v>43024.630127314813</v>
      </c>
      <c r="F106" s="13">
        <v>43024.635601851849</v>
      </c>
      <c r="G106" s="7">
        <v>64</v>
      </c>
      <c r="H106" s="21" t="s">
        <v>869</v>
      </c>
      <c r="I106" s="13">
        <v>43024.661597222221</v>
      </c>
      <c r="J106" s="7">
        <v>0</v>
      </c>
      <c r="K106" s="89" t="str">
        <f>IF(ISEVEN(B106),(B106-1)&amp;"/"&amp;B106,B106&amp;"/"&amp;(B106+1))</f>
        <v>4059/4060</v>
      </c>
      <c r="L106" s="185" t="str">
        <f>VLOOKUP(A106,'Trips&amp;Operators'!$C$1:$G$99911,5,FALSE)</f>
        <v>LEVERE CRAIG</v>
      </c>
      <c r="M106" s="6">
        <f>I106-F106</f>
        <v>2.5995370371674653E-2</v>
      </c>
      <c r="N106" s="7">
        <f>24*60*SUM($M106:$M106)</f>
        <v>37.433333335211501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-16T14:07:23-0600',mode:absolute,to:'2017-10-16T16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4.4900000000000002E-2</v>
      </c>
      <c r="Z106" s="204">
        <f>RIGHT(H106,LEN(H106)-4)/10000</f>
        <v>23.330100000000002</v>
      </c>
      <c r="AA106" s="204">
        <f>ABS(Z106-Y106)</f>
        <v>23.285200000000003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/stypes="app*4060*20171016*"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193-16 --locoid 4060 --swversion DE.1.0.9.0 --startMP 204:449 --initTime 2017-10-16T15:07:23 --startdatetime 2017-10-16T15:15:16 --delay 64 --endMP 204:233301 --enddatetime 2017-10-16T15:52:42 --enforcementcount 0 &gt;&gt;%USERPROFILE%\Documents\GitHub\eaglep3-reporting\EC\2017-10-16-refined-times.txt</v>
      </c>
      <c r="AI10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{"issue":{"subject":"","project_id":79,"tracker_id":40,"status_id":1,"priority_id":2,"assigned_to_id":338,"start_date":"2017-10-16","description":"","custom_fields":[{"id":1,"name":"Subdivision","value":"EC"},{"id":4,"name":"Milepost","value":"23.3301"},{"id":17,"name":"Train ID","value":"193-16"},{"id":16,"name":"Locomotive ID","value":"4060"},{"id":130,"name":"Impact","value":""},{"id":150,"name":"Time of Event (Mountain Time)","value":"15:52:42"},{"id":151,"name":"Denver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4060 --day 2017-10-16</v>
      </c>
      <c r="AN106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-16T14:07:23-0600',mode:absolute,to:'2017-10-16T16:52:42-0600'))&amp;_a=(columns:!('Message%20ID',Summary),filters:!(),index:'emp_*',interval:auto,query:(query_string:(analyze_wildcard:!t,query:'%22rtdc.l.rtdc.4060%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762</v>
      </c>
      <c r="B107" s="7">
        <v>4059</v>
      </c>
      <c r="C107" s="21" t="s">
        <v>194</v>
      </c>
      <c r="D107" s="21" t="s">
        <v>507</v>
      </c>
      <c r="E107" s="13">
        <v>43024.668113425927</v>
      </c>
      <c r="F107" s="13">
        <v>43024.675312500003</v>
      </c>
      <c r="G107" s="7">
        <v>88</v>
      </c>
      <c r="H107" s="21" t="s">
        <v>339</v>
      </c>
      <c r="I107" s="13">
        <v>43024.702222222222</v>
      </c>
      <c r="J107" s="7">
        <v>0</v>
      </c>
      <c r="K107" s="89" t="str">
        <f>IF(ISEVEN(B107),(B107-1)&amp;"/"&amp;B107,B107&amp;"/"&amp;(B107+1))</f>
        <v>4059/4060</v>
      </c>
      <c r="L107" s="185" t="str">
        <f>VLOOKUP(A107,'Trips&amp;Operators'!$C$1:$G$99911,5,FALSE)</f>
        <v>LEVERE CRAIG</v>
      </c>
      <c r="M107" s="6">
        <f>I107-F107</f>
        <v>2.6909722218988463E-2</v>
      </c>
      <c r="N107" s="7">
        <f>24*60*SUM($M107:$M107)</f>
        <v>38.749999995343387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-16T15:02:05-0600',mode:absolute,to:'2017-10-16T17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23.296900000000001</v>
      </c>
      <c r="Z107" s="204">
        <f>RIGHT(H107,LEN(H107)-4)/10000</f>
        <v>1.47E-2</v>
      </c>
      <c r="AA107" s="204">
        <f>ABS(Z107-Y107)</f>
        <v>23.2822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/stypes="app*4059*20171016*"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194-16 --locoid 4059 --swversion DE.1.0.9.0 --startMP 204:232969 --initTime 2017-10-16T16:02:05 --startdatetime 2017-10-16T16:12:27 --delay 88 --endMP 204:147 --enddatetime 2017-10-16T16:51:12 --enforcementcount 0 &gt;&gt;%USERPROFILE%\Documents\GitHub\eaglep3-reporting\EC\2017-10-16-refined-times.txt</v>
      </c>
      <c r="AI10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ID","value":"194-16"},{"id":16,"name":"Locomotive ID","value":"4059"},{"id":130,"name":"Impact","value":""},{"id":150,"name":"Time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4059 --day 2017-10-16</v>
      </c>
      <c r="AN107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-16T15:02:05-0600',mode:absolute,to:'2017-10-16T17:51:12-0600'))&amp;_a=(columns:!('Message%20ID',Summary),filters:!(),index:'emp_*',interval:auto,query:(query_string:(analyze_wildcard:!t,query:'%22rtdc.l.rtdc.4059%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755</v>
      </c>
      <c r="B108" s="7">
        <v>4018</v>
      </c>
      <c r="C108" s="21" t="s">
        <v>194</v>
      </c>
      <c r="D108" s="21" t="s">
        <v>345</v>
      </c>
      <c r="E108" s="13">
        <v>43024.640636574077</v>
      </c>
      <c r="F108" s="13">
        <v>43024.646145833336</v>
      </c>
      <c r="G108" s="7">
        <v>80</v>
      </c>
      <c r="H108" s="21" t="s">
        <v>558</v>
      </c>
      <c r="I108" s="13">
        <v>43024.670949074076</v>
      </c>
      <c r="J108" s="7">
        <v>0</v>
      </c>
      <c r="K108" s="89" t="str">
        <f>IF(ISEVEN(B108),(B108-1)&amp;"/"&amp;B108,B108&amp;"/"&amp;(B108+1))</f>
        <v>4017/4018</v>
      </c>
      <c r="L108" s="185" t="str">
        <f>VLOOKUP(A108,'Trips&amp;Operators'!$C$1:$G$99911,5,FALSE)</f>
        <v>GUZMAN DANNY</v>
      </c>
      <c r="M108" s="6">
        <f>I108-F108</f>
        <v>2.4803240739856847E-2</v>
      </c>
      <c r="N108" s="7">
        <f>24*60*SUM($M108:$M108)</f>
        <v>35.716666665393859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-16T14:22:31-0600',mode:absolute,to:'2017-10-16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4.5499999999999999E-2</v>
      </c>
      <c r="Z108" s="204">
        <f>RIGHT(H108,LEN(H108)-4)/10000</f>
        <v>23.330400000000001</v>
      </c>
      <c r="AA108" s="204">
        <f>ABS(Z108-Y108)</f>
        <v>23.2849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/stypes="app*4018*20171016*"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195-16 --locoid 4018 --swversion DE.1.0.9.0 --startMP 204:455 --initTime 2017-10-16T15:22:31 --startdatetime 2017-10-16T15:30:27 --delay 80 --endMP 204:233304 --enddatetime 2017-10-16T16:06:10 --enforcementcount 0 &gt;&gt;%USERPROFILE%\Documents\GitHub\eaglep3-reporting\EC\2017-10-16-refined-times.txt</v>
      </c>
      <c r="AI10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{"issue":{"subject":"","project_id":79,"tracker_id":40,"status_id":1,"priority_id":2,"assigned_to_id":338,"start_date":"2017-10-16","description":"","custom_fields":[{"id":1,"name":"Subdivision","value":"EC"},{"id":4,"name":"Milepost","value":"23.3304"},{"id":17,"name":"Train ID","value":"195-16"},{"id":16,"name":"Locomotive ID","value":"4018"},{"id":130,"name":"Impact","value":""},{"id":150,"name":"Time of Event (Mountain Time)","value":"16:06:10"},{"id":151,"name":"Denver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4018 --day 2017-10-16</v>
      </c>
      <c r="AN108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-16T14:22:31-0600',mode:absolute,to:'2017-10-16T17:06:10-0600'))&amp;_a=(columns:!('Message%20ID',Summary),filters:!(),index:'emp_*',interval:auto,query:(query_string:(analyze_wildcard:!t,query:'%22rtdc.l.rtdc.4018%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764</v>
      </c>
      <c r="B109" s="7">
        <v>4017</v>
      </c>
      <c r="C109" s="21" t="s">
        <v>194</v>
      </c>
      <c r="D109" s="21" t="s">
        <v>560</v>
      </c>
      <c r="E109" s="13">
        <v>43024.67863425926</v>
      </c>
      <c r="F109" s="13">
        <v>43024.685578703706</v>
      </c>
      <c r="G109" s="7">
        <v>68</v>
      </c>
      <c r="H109" s="21" t="s">
        <v>358</v>
      </c>
      <c r="I109" s="13">
        <v>43024.712708333333</v>
      </c>
      <c r="J109" s="7">
        <v>0</v>
      </c>
      <c r="K109" s="89" t="str">
        <f>IF(ISEVEN(B109),(B109-1)&amp;"/"&amp;B109,B109&amp;"/"&amp;(B109+1))</f>
        <v>4017/4018</v>
      </c>
      <c r="L109" s="185" t="str">
        <f>VLOOKUP(A109,'Trips&amp;Operators'!$C$1:$G$99911,5,FALSE)</f>
        <v>GUZMAN DANNY</v>
      </c>
      <c r="M109" s="6">
        <f>I109-F109</f>
        <v>2.7129629626870155E-2</v>
      </c>
      <c r="N109" s="7">
        <f>24*60*SUM($M109:$M109)</f>
        <v>39.066666662693024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-16T15:17:14-0600',mode:absolute,to:'2017-10-16T18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23.298300000000001</v>
      </c>
      <c r="Z109" s="204">
        <f>RIGHT(H109,LEN(H109)-4)/10000</f>
        <v>1.5599999999999999E-2</v>
      </c>
      <c r="AA109" s="204">
        <f>ABS(Z109-Y109)</f>
        <v>23.282700000000002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/stypes="app*4017*20171016*"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196-16 --locoid 4017 --swversion DE.1.0.9.0 --startMP 204:232983 --initTime 2017-10-16T16:17:14 --startdatetime 2017-10-16T16:27:14 --delay 68 --endMP 204:156 --enddatetime 2017-10-16T17:06:18 --enforcementcount 0 &gt;&gt;%USERPROFILE%\Documents\GitHub\eaglep3-reporting\EC\2017-10-16-refined-times.txt</v>
      </c>
      <c r="AI10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{"issue":{"subject":"","project_id":79,"tracker_id":40,"status_id":1,"priority_id":2,"assigned_to_id":338,"start_date":"2017-10-16","description":"","custom_fields":[{"id":1,"name":"Subdivision","value":"EC"},{"id":4,"name":"Milepost","value":"0.0156"},{"id":17,"name":"Train ID","value":"196-16"},{"id":16,"name":"Locomotive ID","value":"4017"},{"id":130,"name":"Impact","value":""},{"id":150,"name":"Time of Event (Mountain Time)","value":"17:06:18"},{"id":151,"name":"Denver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4017 --day 2017-10-16</v>
      </c>
      <c r="AN109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-16T15:17:14-0600',mode:absolute,to:'2017-10-16T18:06:18-0600'))&amp;_a=(columns:!('Message%20ID',Summary),filters:!(),index:'emp_*',interval:auto,query:(query_string:(analyze_wildcard:!t,query:'%22rtdc.l.rtdc.4017%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757</v>
      </c>
      <c r="B110" s="7">
        <v>4010</v>
      </c>
      <c r="C110" s="21" t="s">
        <v>194</v>
      </c>
      <c r="D110" s="21" t="s">
        <v>380</v>
      </c>
      <c r="E110" s="13">
        <v>43024.654189814813</v>
      </c>
      <c r="F110" s="13">
        <v>43024.656597222223</v>
      </c>
      <c r="G110" s="7">
        <v>60</v>
      </c>
      <c r="H110" s="21" t="s">
        <v>505</v>
      </c>
      <c r="I110" s="13">
        <v>43024.682175925926</v>
      </c>
      <c r="J110" s="7">
        <v>0</v>
      </c>
      <c r="K110" s="89" t="str">
        <f>IF(ISEVEN(B110),(B110-1)&amp;"/"&amp;B110,B110&amp;"/"&amp;(B110+1))</f>
        <v>4009/4010</v>
      </c>
      <c r="L110" s="185" t="str">
        <f>VLOOKUP(A110,'Trips&amp;Operators'!$C$1:$G$99911,5,FALSE)</f>
        <v>SAFIEF AEIMEN</v>
      </c>
      <c r="M110" s="6">
        <f>I110-F110</f>
        <v>2.5578703702194616E-2</v>
      </c>
      <c r="N110" s="7">
        <f>24*60*SUM($M110:$M110)</f>
        <v>36.833333331160247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-16T14:42:02-0600',mode:absolute,to:'2017-10-16T17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4.5699999999999998E-2</v>
      </c>
      <c r="Z110" s="204">
        <f>RIGHT(H110,LEN(H110)-4)/10000</f>
        <v>23.329899999999999</v>
      </c>
      <c r="AA110" s="204">
        <f>ABS(Z110-Y110)</f>
        <v>23.284199999999998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/stypes="app*4010*20171016*"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197-16 --locoid 4010 --swversion DE.1.0.9.0 --startMP 204:457 --initTime 2017-10-16T15:42:02 --startdatetime 2017-10-16T15:45:30 --delay 60 --endMP 204:233299 --enddatetime 2017-10-16T16:22:20 --enforcementcount 0 &gt;&gt;%USERPROFILE%\Documents\GitHub\eaglep3-reporting\EC\2017-10-16-refined-times.txt</v>
      </c>
      <c r="AI11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{"issue":{"subject":"","project_id":79,"tracker_id":40,"status_id":1,"priority_id":2,"assigned_to_id":338,"start_date":"2017-10-16","description":"","custom_fields":[{"id":1,"name":"Subdivision","value":"EC"},{"id":4,"name":"Milepost","value":"23.3299"},{"id":17,"name":"Train ID","value":"197-16"},{"id":16,"name":"Locomotive ID","value":"4010"},{"id":130,"name":"Impact","value":""},{"id":150,"name":"Time of Event (Mountain Time)","value":"16:22:20"},{"id":151,"name":"Denver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4010 --day 2017-10-16</v>
      </c>
      <c r="AN110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-16T14:42:02-0600',mode:absolute,to:'2017-10-16T17:22:20-0600'))&amp;_a=(columns:!('Message%20ID',Summary),filters:!(),index:'emp_*',interval:auto,query:(query_string:(analyze_wildcard:!t,query:'%22rtdc.l.rtdc.4010%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766</v>
      </c>
      <c r="B111" s="7">
        <v>4009</v>
      </c>
      <c r="C111" s="21" t="s">
        <v>194</v>
      </c>
      <c r="D111" s="21" t="s">
        <v>879</v>
      </c>
      <c r="E111" s="13">
        <v>43024.685474537036</v>
      </c>
      <c r="F111" s="13">
        <v>43024.696053240739</v>
      </c>
      <c r="G111" s="7">
        <v>74</v>
      </c>
      <c r="H111" s="21" t="s">
        <v>367</v>
      </c>
      <c r="I111" s="13">
        <v>43024.722881944443</v>
      </c>
      <c r="J111" s="7">
        <v>0</v>
      </c>
      <c r="K111" s="89" t="str">
        <f>IF(ISEVEN(B111),(B111-1)&amp;"/"&amp;B111,B111&amp;"/"&amp;(B111+1))</f>
        <v>4009/4010</v>
      </c>
      <c r="L111" s="185" t="str">
        <f>VLOOKUP(A111,'Trips&amp;Operators'!$C$1:$G$99911,5,FALSE)</f>
        <v>SAFIEF AEIMEN</v>
      </c>
      <c r="M111" s="6">
        <f>I111-F111</f>
        <v>2.6828703703358769E-2</v>
      </c>
      <c r="N111" s="7">
        <f>24*60*SUM($M111:$M111)</f>
        <v>38.633333332836628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-16T15:27:05-0600',mode:absolute,to:'2017-10-16T18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23.297999999999998</v>
      </c>
      <c r="Z111" s="204">
        <f>RIGHT(H111,LEN(H111)-4)/10000</f>
        <v>1.3899999999999999E-2</v>
      </c>
      <c r="AA111" s="204">
        <f>ABS(Z111-Y111)</f>
        <v>23.284099999999999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/stypes="app*4009*20171016*"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198-16 --locoid 4009 --swversion DE.1.0.9.0 --startMP 204:232980 --initTime 2017-10-16T16:27:05 --startdatetime 2017-10-16T16:42:19 --delay 74 --endMP 204:139 --enddatetime 2017-10-16T17:20:57 --enforcementcount 0 &gt;&gt;%USERPROFILE%\Documents\GitHub\eaglep3-reporting\EC\2017-10-16-refined-times.txt</v>
      </c>
      <c r="AI11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{"issue":{"subject":"","project_id":79,"tracker_id":40,"status_id":1,"priority_id":2,"assigned_to_id":338,"start_date":"2017-10-16","description":"","custom_fields":[{"id":1,"name":"Subdivision","value":"EC"},{"id":4,"name":"Milepost","value":"0.0139"},{"id":17,"name":"Train ID","value":"198-16"},{"id":16,"name":"Locomotive ID","value":"4009"},{"id":130,"name":"Impact","value":""},{"id":150,"name":"Time of Event (Mountain Time)","value":"17:20:57"},{"id":151,"name":"Denver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4009 --day 2017-10-16</v>
      </c>
      <c r="AN111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-16T15:27:05-0600',mode:absolute,to:'2017-10-16T18:20:57-0600'))&amp;_a=(columns:!('Message%20ID',Summary),filters:!(),index:'emp_*',interval:auto,query:(query_string:(analyze_wildcard:!t,query:'%22rtdc.l.rtdc.4009%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759</v>
      </c>
      <c r="B112" s="7">
        <v>4030</v>
      </c>
      <c r="C112" s="21" t="s">
        <v>194</v>
      </c>
      <c r="D112" s="21" t="s">
        <v>471</v>
      </c>
      <c r="E112" s="13">
        <v>43024.663645833331</v>
      </c>
      <c r="F112" s="13">
        <v>43024.666851851849</v>
      </c>
      <c r="G112" s="7">
        <v>55</v>
      </c>
      <c r="H112" s="21" t="s">
        <v>552</v>
      </c>
      <c r="I112" s="13">
        <v>43024.691967592589</v>
      </c>
      <c r="J112" s="7">
        <v>0</v>
      </c>
      <c r="K112" s="89" t="str">
        <f>IF(ISEVEN(B112),(B112-1)&amp;"/"&amp;B112,B112&amp;"/"&amp;(B112+1))</f>
        <v>4029/4030</v>
      </c>
      <c r="L112" s="185" t="str">
        <f>VLOOKUP(A112,'Trips&amp;Operators'!$C$1:$G$99911,5,FALSE)</f>
        <v>BADERTSCHER DIANE</v>
      </c>
      <c r="M112" s="6">
        <f>I112-F112</f>
        <v>2.5115740740147885E-2</v>
      </c>
      <c r="N112" s="7">
        <f>24*60*SUM($M112:$M112)</f>
        <v>36.166666665812954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-16T14:55:39-0600',mode:absolute,to:'2017-10-16T17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4.3999999999999997E-2</v>
      </c>
      <c r="Z112" s="204">
        <f>RIGHT(H112,LEN(H112)-4)/10000</f>
        <v>23.331900000000001</v>
      </c>
      <c r="AA112" s="204">
        <f>ABS(Z112-Y112)</f>
        <v>23.2879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/stypes="app*4030*20171016*"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199-16 --locoid 4030 --swversion DE.1.0.9.0 --startMP 204:440 --initTime 2017-10-16T15:55:39 --startdatetime 2017-10-16T16:00:16 --delay 55 --endMP 204:233319 --enddatetime 2017-10-16T16:36:26 --enforcementcount 0 &gt;&gt;%USERPROFILE%\Documents\GitHub\eaglep3-reporting\EC\2017-10-16-refined-times.txt</v>
      </c>
      <c r="AI112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{"issue":{"subject":"","project_id":79,"tracker_id":40,"status_id":1,"priority_id":2,"assigned_to_id":338,"start_date":"2017-10-16","description":"","custom_fields":[{"id":1,"name":"Subdivision","value":"EC"},{"id":4,"name":"Milepost","value":"23.3319"},{"id":17,"name":"Train ID","value":"199-16"},{"id":16,"name":"Locomotive ID","value":"4030"},{"id":130,"name":"Impact","value":""},{"id":150,"name":"Time of Event (Mountain Time)","value":"16:36:26"},{"id":151,"name":"Denver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4030 --day 2017-10-16</v>
      </c>
      <c r="AN112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-16T14:55:39-0600',mode:absolute,to:'2017-10-16T17:36:26-0600'))&amp;_a=(columns:!('Message%20ID',Summary),filters:!(),index:'emp_*',interval:auto,query:(query_string:(analyze_wildcard:!t,query:'%22rtdc.l.rtdc.4030%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771</v>
      </c>
      <c r="B113" s="7">
        <v>4029</v>
      </c>
      <c r="C113" s="21" t="s">
        <v>194</v>
      </c>
      <c r="D113" s="21" t="s">
        <v>420</v>
      </c>
      <c r="E113" s="13">
        <v>43024.697569444441</v>
      </c>
      <c r="F113" s="13">
        <v>43024.706400462965</v>
      </c>
      <c r="G113" s="7">
        <v>67</v>
      </c>
      <c r="H113" s="21" t="s">
        <v>883</v>
      </c>
      <c r="I113" s="13">
        <v>43024.735092592593</v>
      </c>
      <c r="J113" s="7">
        <v>0</v>
      </c>
      <c r="K113" s="89" t="str">
        <f>IF(ISEVEN(B113),(B113-1)&amp;"/"&amp;B113,B113&amp;"/"&amp;(B113+1))</f>
        <v>4029/4030</v>
      </c>
      <c r="L113" s="185" t="str">
        <f>VLOOKUP(A113,'Trips&amp;Operators'!$C$1:$G$99911,5,FALSE)</f>
        <v>BADERTSCHER DIANE</v>
      </c>
      <c r="M113" s="6">
        <f>I113-F113</f>
        <v>2.8692129628325347E-2</v>
      </c>
      <c r="N113" s="7">
        <f>24*60*SUM($M113:$M113)</f>
        <v>41.316666664788499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-16T15:44:30-0600',mode:absolute,to:'2017-10-16T18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23.299099999999999</v>
      </c>
      <c r="Z113" s="204">
        <f>RIGHT(H113,LEN(H113)-4)/10000</f>
        <v>1.29E-2</v>
      </c>
      <c r="AA113" s="204">
        <f>ABS(Z113-Y113)</f>
        <v>23.286200000000001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/stypes="app*4029*20171016*"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200-16 --locoid 4029 --swversion DE.1.0.9.0 --startMP 204:232991 --initTime 2017-10-16T16:44:30 --startdatetime 2017-10-16T16:57:13 --delay 67 --endMP 204:129 --enddatetime 2017-10-16T17:38:32 --enforcementcount 0 &gt;&gt;%USERPROFILE%\Documents\GitHub\eaglep3-reporting\EC\2017-10-16-refined-times.txt</v>
      </c>
      <c r="AI11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{"issue":{"subject":"","project_id":79,"tracker_id":40,"status_id":1,"priority_id":2,"assigned_to_id":338,"start_date":"2017-10-16","description":"","custom_fields":[{"id":1,"name":"Subdivision","value":"EC"},{"id":4,"name":"Milepost","value":"0.0129"},{"id":17,"name":"Train ID","value":"200-16"},{"id":16,"name":"Locomotive ID","value":"4029"},{"id":130,"name":"Impact","value":""},{"id":150,"name":"Time of Event (Mountain Time)","value":"17:38:32"},{"id":151,"name":"Denver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4029 --day 2017-10-16</v>
      </c>
      <c r="AN113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-16T15:44:30-0600',mode:absolute,to:'2017-10-16T18:38:32-0600'))&amp;_a=(columns:!('Message%20ID',Summary),filters:!(),index:'emp_*',interval:auto,query:(query_string:(analyze_wildcard:!t,query:'%22rtdc.l.rtdc.4029%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763</v>
      </c>
      <c r="B114" s="7">
        <v>4024</v>
      </c>
      <c r="C114" s="21" t="s">
        <v>194</v>
      </c>
      <c r="D114" s="21" t="s">
        <v>551</v>
      </c>
      <c r="E114" s="13">
        <v>43024.671967592592</v>
      </c>
      <c r="F114" s="13">
        <v>43024.677534722221</v>
      </c>
      <c r="G114" s="7">
        <v>60</v>
      </c>
      <c r="H114" s="21" t="s">
        <v>884</v>
      </c>
      <c r="I114" s="13">
        <v>43024.702719907407</v>
      </c>
      <c r="J114" s="7">
        <v>0</v>
      </c>
      <c r="K114" s="89" t="str">
        <f>IF(ISEVEN(B114),(B114-1)&amp;"/"&amp;B114,B114&amp;"/"&amp;(B114+1))</f>
        <v>4023/4024</v>
      </c>
      <c r="L114" s="185" t="str">
        <f>VLOOKUP(A114,'Trips&amp;Operators'!$C$1:$G$99911,5,FALSE)</f>
        <v>SMITH MICHAEL</v>
      </c>
      <c r="M114" s="6">
        <f>I114-F114</f>
        <v>2.5185185186273884E-2</v>
      </c>
      <c r="N114" s="7">
        <f>24*60*SUM($M114:$M114)</f>
        <v>36.266666668234393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-16T15:07:38-0600',mode:absolute,to:'2017-10-16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4.7800000000000002E-2</v>
      </c>
      <c r="Z114" s="204">
        <f>RIGHT(H114,LEN(H114)-4)/10000</f>
        <v>23.336400000000001</v>
      </c>
      <c r="AA114" s="204">
        <f>ABS(Z114-Y114)</f>
        <v>23.288600000000002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/stypes="app*4024*20171016*"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201-16 --locoid 4024 --swversion DE.1.0.9.0 --startMP 204:478 --initTime 2017-10-16T16:07:38 --startdatetime 2017-10-16T16:15:39 --delay 60 --endMP 204:233364 --enddatetime 2017-10-16T16:51:55 --enforcementcount 0 &gt;&gt;%USERPROFILE%\Documents\GitHub\eaglep3-reporting\EC\2017-10-16-refined-times.txt</v>
      </c>
      <c r="AI11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{"issue":{"subject":"","project_id":79,"tracker_id":40,"status_id":1,"priority_id":2,"assigned_to_id":338,"start_date":"2017-10-16","description":"","custom_fields":[{"id":1,"name":"Subdivision","value":"EC"},{"id":4,"name":"Milepost","value":"23.3364"},{"id":17,"name":"Train ID","value":"201-16"},{"id":16,"name":"Locomotive ID","value":"4024"},{"id":130,"name":"Impact","value":""},{"id":150,"name":"Time of Event (Mountain Time)","value":"16:51:55"},{"id":151,"name":"Denver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4024 --day 2017-10-16</v>
      </c>
      <c r="AN114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-16T15:07:38-0600',mode:absolute,to:'2017-10-16T17:51:55-0600'))&amp;_a=(columns:!('Message%20ID',Summary),filters:!(),index:'emp_*',interval:auto,query:(query_string:(analyze_wildcard:!t,query:'%22rtdc.l.rtdc.4024%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773</v>
      </c>
      <c r="B115" s="7">
        <v>4023</v>
      </c>
      <c r="C115" s="21" t="s">
        <v>194</v>
      </c>
      <c r="D115" s="21" t="s">
        <v>504</v>
      </c>
      <c r="E115" s="13">
        <v>43024.706863425927</v>
      </c>
      <c r="F115" s="13">
        <v>43024.716840277775</v>
      </c>
      <c r="G115" s="7">
        <v>57</v>
      </c>
      <c r="H115" s="21" t="s">
        <v>339</v>
      </c>
      <c r="I115" s="13">
        <v>43024.743726851855</v>
      </c>
      <c r="J115" s="7">
        <v>0</v>
      </c>
      <c r="K115" s="89" t="str">
        <f>IF(ISEVEN(B115),(B115-1)&amp;"/"&amp;B115,B115&amp;"/"&amp;(B115+1))</f>
        <v>4023/4024</v>
      </c>
      <c r="L115" s="185" t="str">
        <f>VLOOKUP(A115,'Trips&amp;Operators'!$C$1:$G$99911,5,FALSE)</f>
        <v>SMITH MICHAEL</v>
      </c>
      <c r="M115" s="6">
        <f>I115-F115</f>
        <v>2.6886574079981074E-2</v>
      </c>
      <c r="N115" s="7">
        <f>24*60*SUM($M115:$M115)</f>
        <v>38.716666675172746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-16T15:57:53-0600',mode:absolute,to:'2017-10-16T18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23.302299999999999</v>
      </c>
      <c r="Z115" s="204">
        <f>RIGHT(H115,LEN(H115)-4)/10000</f>
        <v>1.47E-2</v>
      </c>
      <c r="AA115" s="204">
        <f>ABS(Z115-Y115)</f>
        <v>23.287599999999998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/stypes="app*4023*20171016*"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202-16 --locoid 4023 --swversion DE.1.0.9.0 --startMP 204:233023 --initTime 2017-10-16T16:57:53 --startdatetime 2017-10-16T17:12:15 --delay 57 --endMP 204:147 --enddatetime 2017-10-16T17:50:58 --enforcementcount 0 &gt;&gt;%USERPROFILE%\Documents\GitHub\eaglep3-reporting\EC\2017-10-16-refined-times.txt</v>
      </c>
      <c r="AI11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ID","value":"202-16"},{"id":16,"name":"Locomotive ID","value":"4023"},{"id":130,"name":"Impact","value":""},{"id":150,"name":"Time of Event (Mountain Time)","value":"17:50:58"},{"id":151,"name":"Denver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4023 --day 2017-10-16</v>
      </c>
      <c r="AN115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-16T15:57:53-0600',mode:absolute,to:'2017-10-16T18:50:58-0600'))&amp;_a=(columns:!('Message%20ID',Summary),filters:!(),index:'emp_*',interval:auto,query:(query_string:(analyze_wildcard:!t,query:'%22rtdc.l.rtdc.4023%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767</v>
      </c>
      <c r="B116" s="7">
        <v>4026</v>
      </c>
      <c r="C116" s="21" t="s">
        <v>194</v>
      </c>
      <c r="D116" s="21" t="s">
        <v>376</v>
      </c>
      <c r="E116" s="13">
        <v>43024.686307870368</v>
      </c>
      <c r="F116" s="13">
        <v>43024.688206018516</v>
      </c>
      <c r="G116" s="7">
        <v>56</v>
      </c>
      <c r="H116" s="21" t="s">
        <v>396</v>
      </c>
      <c r="I116" s="13">
        <v>43024.714618055557</v>
      </c>
      <c r="J116" s="7">
        <v>0</v>
      </c>
      <c r="K116" s="89" t="str">
        <f>IF(ISEVEN(B116),(B116-1)&amp;"/"&amp;B116,B116&amp;"/"&amp;(B116+1))</f>
        <v>4025/4026</v>
      </c>
      <c r="L116" s="185" t="str">
        <f>VLOOKUP(A116,'Trips&amp;Operators'!$C$1:$G$99911,5,FALSE)</f>
        <v>DAVIS MICHAEL</v>
      </c>
      <c r="M116" s="6">
        <f>I116-F116</f>
        <v>2.641203704115469E-2</v>
      </c>
      <c r="N116" s="7">
        <f>24*60*SUM($M116:$M116)</f>
        <v>38.033333339262754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-16T15:28:17-0600',mode:absolute,to:'2017-10-16T18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4.4699999999999997E-2</v>
      </c>
      <c r="Z116" s="204">
        <f>RIGHT(H116,LEN(H116)-4)/10000</f>
        <v>23.3308</v>
      </c>
      <c r="AA116" s="204">
        <f>ABS(Z116-Y116)</f>
        <v>23.286100000000001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/stypes="app*4026*20171016*"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203-16 --locoid 4026 --swversion DE.1.0.9.0 --startMP 204:447 --initTime 2017-10-16T16:28:17 --startdatetime 2017-10-16T16:31:01 --delay 56 --endMP 204:233308 --enddatetime 2017-10-16T17:09:03 --enforcementcount 0 &gt;&gt;%USERPROFILE%\Documents\GitHub\eaglep3-reporting\EC\2017-10-16-refined-times.txt</v>
      </c>
      <c r="AI11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{"issue":{"subject":"","project_id":79,"tracker_id":40,"status_id":1,"priority_id":2,"assigned_to_id":338,"start_date":"2017-10-16","description":"","custom_fields":[{"id":1,"name":"Subdivision","value":"EC"},{"id":4,"name":"Milepost","value":"23.3308"},{"id":17,"name":"Train ID","value":"203-16"},{"id":16,"name":"Locomotive ID","value":"4026"},{"id":130,"name":"Impact","value":""},{"id":150,"name":"Time of Event (Mountain Time)","value":"17:09:03"},{"id":151,"name":"Denver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4026 --day 2017-10-16</v>
      </c>
      <c r="AN116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-16T15:28:17-0600',mode:absolute,to:'2017-10-16T18:09:03-0600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602</v>
      </c>
      <c r="B117" s="7">
        <v>4025</v>
      </c>
      <c r="C117" s="21" t="s">
        <v>194</v>
      </c>
      <c r="D117" s="21" t="s">
        <v>561</v>
      </c>
      <c r="E117" s="13">
        <v>43024.724282407406</v>
      </c>
      <c r="F117" s="13">
        <v>43024.727627314816</v>
      </c>
      <c r="G117" s="7">
        <v>75</v>
      </c>
      <c r="H117" s="21" t="s">
        <v>356</v>
      </c>
      <c r="I117" s="13">
        <v>43024.757268518515</v>
      </c>
      <c r="J117" s="7">
        <v>0</v>
      </c>
      <c r="K117" s="89" t="str">
        <f>IF(ISEVEN(B117),(B117-1)&amp;"/"&amp;B117,B117&amp;"/"&amp;(B117+1))</f>
        <v>4025/4026</v>
      </c>
      <c r="L117" s="185" t="str">
        <f>VLOOKUP(A117,'Trips&amp;Operators'!$C$1:$G$99911,5,FALSE)</f>
        <v>DAVIS MICHAEL</v>
      </c>
      <c r="M117" s="6">
        <f>I117-F117</f>
        <v>2.9641203698702157E-2</v>
      </c>
      <c r="N117" s="7">
        <f>24*60*SUM($M117:$M117)</f>
        <v>42.683333326131105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-16T16:22:58-0600',mode:absolute,to:'2017-10-16T19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23.302800000000001</v>
      </c>
      <c r="Z117" s="204">
        <f>RIGHT(H117,LEN(H117)-4)/10000</f>
        <v>1.4500000000000001E-2</v>
      </c>
      <c r="AA117" s="204">
        <f>ABS(Z117-Y117)</f>
        <v>23.2883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/stypes="app*4025*20171017*"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204-16 --locoid 4025 --swversion DE.1.0.9.0 --startMP 204:233028 --initTime 2017-10-16T17:22:58 --startdatetime 2017-10-16T17:27:47 --delay 75 --endMP 204:145 --enddatetime 2017-10-16T18:10:28 --enforcementcount 0 &gt;&gt;%USERPROFILE%\Documents\GitHub\eaglep3-reporting\EC\2017-10-16-refined-times.txt</v>
      </c>
      <c r="AI11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ID","value":"204-16"},{"id":16,"name":"Locomotive ID","value":"4025"},{"id":130,"name":"Impact","value":""},{"id":150,"name":"Time of Event (Mountain Time)","value":"18:10:28"},{"id":151,"name":"Denver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4025 --day 2017-10-16</v>
      </c>
      <c r="AN11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-16T16:22:58-0600',mode:absolute,to:'2017-10-16T19:10:28-0600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770</v>
      </c>
      <c r="B118" s="7">
        <v>4020</v>
      </c>
      <c r="C118" s="21" t="s">
        <v>194</v>
      </c>
      <c r="D118" s="21" t="s">
        <v>551</v>
      </c>
      <c r="E118" s="13">
        <v>43024.694351851853</v>
      </c>
      <c r="F118" s="13">
        <v>43024.698206018518</v>
      </c>
      <c r="G118" s="7">
        <v>55</v>
      </c>
      <c r="H118" s="21" t="s">
        <v>885</v>
      </c>
      <c r="I118" s="13">
        <v>43024.724270833336</v>
      </c>
      <c r="J118" s="7">
        <v>0</v>
      </c>
      <c r="K118" s="89" t="str">
        <f>IF(ISEVEN(B118),(B118-1)&amp;"/"&amp;B118,B118&amp;"/"&amp;(B118+1))</f>
        <v>4019/4020</v>
      </c>
      <c r="L118" s="185" t="str">
        <f>VLOOKUP(A118,'Trips&amp;Operators'!$C$1:$G$99911,5,FALSE)</f>
        <v>STEWART MICHAEL</v>
      </c>
      <c r="M118" s="6">
        <f>I118-F118</f>
        <v>2.6064814817800652E-2</v>
      </c>
      <c r="N118" s="7">
        <f>24*60*SUM($M118:$M118)</f>
        <v>37.533333337632939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-16T15:39:52-0600',mode:absolute,to:'2017-10-16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4.7800000000000002E-2</v>
      </c>
      <c r="Z118" s="204">
        <f>RIGHT(H118,LEN(H118)-4)/10000</f>
        <v>23.327999999999999</v>
      </c>
      <c r="AA118" s="204">
        <f>ABS(Z118-Y118)</f>
        <v>23.280200000000001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/stypes="app*4020*20171016*"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205-16 --locoid 4020 --swversion DE.1.0.9.0 --startMP 204:478 --initTime 2017-10-16T16:39:52 --startdatetime 2017-10-16T16:45:25 --delay 55 --endMP 204:233280 --enddatetime 2017-10-16T17:22:57 --enforcementcount 0 &gt;&gt;%USERPROFILE%\Documents\GitHub\eaglep3-reporting\EC\2017-10-16-refined-times.txt</v>
      </c>
      <c r="AI11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{"issue":{"subject":"","project_id":79,"tracker_id":40,"status_id":1,"priority_id":2,"assigned_to_id":338,"start_date":"2017-10-16","description":"","custom_fields":[{"id":1,"name":"Subdivision","value":"EC"},{"id":4,"name":"Milepost","value":"23.328"},{"id":17,"name":"Train ID","value":"205-16"},{"id":16,"name":"Locomotive ID","value":"4020"},{"id":130,"name":"Impact","value":""},{"id":150,"name":"Time of Event (Mountain Time)","value":"17:22:57"},{"id":151,"name":"Denver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4020 --day 2017-10-16</v>
      </c>
      <c r="AN118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-16T15:39:52-0600',mode:absolute,to:'2017-10-16T18:22:57-0600'))&amp;_a=(columns:!('Message%20ID',Summary),filters:!(),index:'emp_*',interval:auto,query:(query_string:(analyze_wildcard:!t,query:'%22rtdc.l.rtdc.4020%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779</v>
      </c>
      <c r="B119" s="7">
        <v>4019</v>
      </c>
      <c r="C119" s="21" t="s">
        <v>194</v>
      </c>
      <c r="D119" s="21" t="s">
        <v>549</v>
      </c>
      <c r="E119" s="13">
        <v>43024.734409722223</v>
      </c>
      <c r="F119" s="13">
        <v>43024.737685185188</v>
      </c>
      <c r="G119" s="7">
        <v>55</v>
      </c>
      <c r="H119" s="21" t="s">
        <v>886</v>
      </c>
      <c r="I119" s="13">
        <v>43024.763888888891</v>
      </c>
      <c r="J119" s="7">
        <v>0</v>
      </c>
      <c r="K119" s="89" t="str">
        <f>IF(ISEVEN(B119),(B119-1)&amp;"/"&amp;B119,B119&amp;"/"&amp;(B119+1))</f>
        <v>4019/4020</v>
      </c>
      <c r="L119" s="185" t="str">
        <f>VLOOKUP(A119,'Trips&amp;Operators'!$C$1:$G$99911,5,FALSE)</f>
        <v>STEWART MICHAEL</v>
      </c>
      <c r="M119" s="6">
        <f>I119-F119</f>
        <v>2.6203703702776693E-2</v>
      </c>
      <c r="N119" s="7">
        <f>24*60*SUM($M119:$M119)</f>
        <v>37.733333331998438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-16T16:37:33-0600',mode:absolute,to:'2017-10-16T19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23.2971</v>
      </c>
      <c r="Z119" s="204">
        <f>RIGHT(H119,LEN(H119)-4)/10000</f>
        <v>1.7600000000000001E-2</v>
      </c>
      <c r="AA119" s="204">
        <f>ABS(Z119-Y119)</f>
        <v>23.279499999999999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/stypes="app*4019*20171017*"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206-16 --locoid 4019 --swversion DE.1.0.9.0 --startMP 204:232971 --initTime 2017-10-16T17:37:33 --startdatetime 2017-10-16T17:42:16 --delay 55 --endMP 204:176 --enddatetime 2017-10-16T18:20:00 --enforcementcount 0 &gt;&gt;%USERPROFILE%\Documents\GitHub\eaglep3-reporting\EC\2017-10-16-refined-times.txt</v>
      </c>
      <c r="AI11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{"issue":{"subject":"","project_id":79,"tracker_id":40,"status_id":1,"priority_id":2,"assigned_to_id":338,"start_date":"2017-10-16","description":"","custom_fields":[{"id":1,"name":"Subdivision","value":"EC"},{"id":4,"name":"Milepost","value":"0.0176"},{"id":17,"name":"Train ID","value":"206-16"},{"id":16,"name":"Locomotive ID","value":"4019"},{"id":130,"name":"Impact","value":""},{"id":150,"name":"Time of Event (Mountain Time)","value":"18:20:00"},{"id":151,"name":"Denver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4019 --day 2017-10-16</v>
      </c>
      <c r="AN11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-16T16:37:33-0600',mode:absolute,to:'2017-10-16T19:20:00-0600'))&amp;_a=(columns:!('Message%20ID',Summary),filters:!(),index:'emp_*',interval:auto,query:(query_string:(analyze_wildcard:!t,query:'%22rtdc.l.rtdc.4019%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772</v>
      </c>
      <c r="B120" s="7">
        <v>4060</v>
      </c>
      <c r="C120" s="21" t="s">
        <v>194</v>
      </c>
      <c r="D120" s="21" t="s">
        <v>392</v>
      </c>
      <c r="E120" s="13">
        <v>43024.704872685186</v>
      </c>
      <c r="F120" s="13">
        <v>43024.708935185183</v>
      </c>
      <c r="G120" s="7">
        <v>63</v>
      </c>
      <c r="H120" s="21" t="s">
        <v>413</v>
      </c>
      <c r="I120" s="13">
        <v>43024.73542824074</v>
      </c>
      <c r="J120" s="7">
        <v>0</v>
      </c>
      <c r="K120" s="89" t="str">
        <f>IF(ISEVEN(B120),(B120-1)&amp;"/"&amp;B120,B120&amp;"/"&amp;(B120+1))</f>
        <v>4059/4060</v>
      </c>
      <c r="L120" s="185" t="str">
        <f>VLOOKUP(A120,'Trips&amp;Operators'!$C$1:$G$99911,5,FALSE)</f>
        <v>LEVERE CRAIG</v>
      </c>
      <c r="M120" s="6">
        <f>I120-F120</f>
        <v>2.6493055556784384E-2</v>
      </c>
      <c r="N120" s="7">
        <f>24*60*SUM($M120:$M120)</f>
        <v>38.150000001769513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-16T15:55:01-0600',mode:absolute,to:'2017-10-16T18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4.7300000000000002E-2</v>
      </c>
      <c r="Z120" s="204">
        <f>RIGHT(H120,LEN(H120)-4)/10000</f>
        <v>23.3306</v>
      </c>
      <c r="AA120" s="204">
        <f>ABS(Z120-Y120)</f>
        <v>23.283300000000001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/stypes="app*4060*20171016*"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207-16 --locoid 4060 --swversion DE.1.0.9.0 --startMP 204:473 --initTime 2017-10-16T16:55:01 --startdatetime 2017-10-16T17:00:52 --delay 63 --endMP 204:233306 --enddatetime 2017-10-16T17:39:01 --enforcementcount 0 &gt;&gt;%USERPROFILE%\Documents\GitHub\eaglep3-reporting\EC\2017-10-16-refined-times.txt</v>
      </c>
      <c r="AI12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{"issue":{"subject":"","project_id":79,"tracker_id":40,"status_id":1,"priority_id":2,"assigned_to_id":338,"start_date":"2017-10-16","description":"","custom_fields":[{"id":1,"name":"Subdivision","value":"EC"},{"id":4,"name":"Milepost","value":"23.3306"},{"id":17,"name":"Train ID","value":"207-16"},{"id":16,"name":"Locomotive ID","value":"4060"},{"id":130,"name":"Impact","value":""},{"id":150,"name":"Time of Event (Mountain Time)","value":"17:39:01"},{"id":151,"name":"Denver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4060 --day 2017-10-16</v>
      </c>
      <c r="AN120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-16T15:55:01-0600',mode:absolute,to:'2017-10-16T18:39:01-0600'))&amp;_a=(columns:!('Message%20ID',Summary),filters:!(),index:'emp_*',interval:auto,query:(query_string:(analyze_wildcard:!t,query:'%22rtdc.l.rtdc.4060%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781</v>
      </c>
      <c r="B121" s="7">
        <v>4059</v>
      </c>
      <c r="C121" s="21" t="s">
        <v>194</v>
      </c>
      <c r="D121" s="21" t="s">
        <v>425</v>
      </c>
      <c r="E121" s="13">
        <v>43024.742546296293</v>
      </c>
      <c r="F121" s="13">
        <v>43024.748101851852</v>
      </c>
      <c r="G121" s="7">
        <v>64</v>
      </c>
      <c r="H121" s="21" t="s">
        <v>356</v>
      </c>
      <c r="I121" s="13">
        <v>43024.774884259263</v>
      </c>
      <c r="J121" s="7">
        <v>0</v>
      </c>
      <c r="K121" s="89" t="str">
        <f>IF(ISEVEN(B121),(B121-1)&amp;"/"&amp;B121,B121&amp;"/"&amp;(B121+1))</f>
        <v>4059/4060</v>
      </c>
      <c r="L121" s="185" t="str">
        <f>VLOOKUP(A121,'Trips&amp;Operators'!$C$1:$G$99911,5,FALSE)</f>
        <v>LEVERE CRAIG</v>
      </c>
      <c r="M121" s="6">
        <f>I121-F121</f>
        <v>2.6782407410792075E-2</v>
      </c>
      <c r="N121" s="7">
        <f>24*60*SUM($M121:$M121)</f>
        <v>38.566666671540588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-16T16:49:16-0600',mode:absolute,to:'2017-10-16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23.298500000000001</v>
      </c>
      <c r="Z121" s="204">
        <f>RIGHT(H121,LEN(H121)-4)/10000</f>
        <v>1.4500000000000001E-2</v>
      </c>
      <c r="AA121" s="204">
        <f>ABS(Z121-Y121)</f>
        <v>23.283999999999999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/stypes="app*4059*20171017*"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208-16 --locoid 4059 --swversion DE.1.0.9.0 --startMP 204:232985 --initTime 2017-10-16T17:49:16 --startdatetime 2017-10-16T17:57:16 --delay 64 --endMP 204:145 --enddatetime 2017-10-16T18:35:50 --enforcementcount 0 &gt;&gt;%USERPROFILE%\Documents\GitHub\eaglep3-reporting\EC\2017-10-16-refined-times.txt</v>
      </c>
      <c r="AI12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{"issue":{"subject":"","project_id":79,"tracker_id":40,"status_id":1,"priority_id":2,"assigned_to_id":338,"start_date":"2017-10-16","description":"","custom_fields":[{"id":1,"name":"Subdivision","value":"EC"},{"id":4,"name":"Milepost","value":"0.0145"},{"id":17,"name":"Train ID","value":"208-16"},{"id":16,"name":"Locomotive ID","value":"4059"},{"id":130,"name":"Impact","value":""},{"id":150,"name":"Time of Event (Mountain Time)","value":"18:35:50"},{"id":151,"name":"Denver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4059 --day 2017-10-16</v>
      </c>
      <c r="AN12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-16T16:49:16-0600',mode:absolute,to:'2017-10-16T19:35:50-0600'))&amp;_a=(columns:!('Message%20ID',Summary),filters:!(),index:'emp_*',interval:auto,query:(query_string:(analyze_wildcard:!t,query:'%22rtdc.l.rtdc.4059%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776</v>
      </c>
      <c r="B122" s="7">
        <v>4018</v>
      </c>
      <c r="C122" s="21" t="s">
        <v>194</v>
      </c>
      <c r="D122" s="21" t="s">
        <v>431</v>
      </c>
      <c r="E122" s="13">
        <v>43024.715879629628</v>
      </c>
      <c r="F122" s="13">
        <v>43024.718935185185</v>
      </c>
      <c r="G122" s="7">
        <v>48</v>
      </c>
      <c r="H122" s="21" t="s">
        <v>887</v>
      </c>
      <c r="I122" s="13">
        <v>43024.744340277779</v>
      </c>
      <c r="J122" s="7">
        <v>0</v>
      </c>
      <c r="K122" s="89" t="str">
        <f>IF(ISEVEN(B122),(B122-1)&amp;"/"&amp;B122,B122&amp;"/"&amp;(B122+1))</f>
        <v>4017/4018</v>
      </c>
      <c r="L122" s="185" t="str">
        <f>VLOOKUP(A122,'Trips&amp;Operators'!$C$1:$G$99911,5,FALSE)</f>
        <v>GUZMAN DANNY</v>
      </c>
      <c r="M122" s="6">
        <f>I122-F122</f>
        <v>2.5405092594155576E-2</v>
      </c>
      <c r="N122" s="7">
        <f>24*60*SUM($M122:$M122)</f>
        <v>36.58333333558403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-16T16:10:52-0600',mode:absolute,to:'2017-10-16T18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4.4200000000000003E-2</v>
      </c>
      <c r="Z122" s="204">
        <f>RIGHT(H122,LEN(H122)-4)/10000</f>
        <v>23.3324</v>
      </c>
      <c r="AA122" s="204">
        <f>ABS(Z122-Y122)</f>
        <v>23.2882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/stypes="app*4018*20171016*"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209-16 --locoid 4018 --swversion DE.1.0.9.0 --startMP 204:442 --initTime 2017-10-16T17:10:52 --startdatetime 2017-10-16T17:15:16 --delay 48 --endMP 204:233324 --enddatetime 2017-10-16T17:51:51 --enforcementcount 0 &gt;&gt;%USERPROFILE%\Documents\GitHub\eaglep3-reporting\EC\2017-10-16-refined-times.txt</v>
      </c>
      <c r="AI122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{"issue":{"subject":"","project_id":79,"tracker_id":40,"status_id":1,"priority_id":2,"assigned_to_id":338,"start_date":"2017-10-16","description":"","custom_fields":[{"id":1,"name":"Subdivision","value":"EC"},{"id":4,"name":"Milepost","value":"23.3324"},{"id":17,"name":"Train ID","value":"209-16"},{"id":16,"name":"Locomotive ID","value":"4018"},{"id":130,"name":"Impact","value":""},{"id":150,"name":"Time of Event (Mountain Time)","value":"17:51:51"},{"id":151,"name":"Denver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4018 --day 2017-10-16</v>
      </c>
      <c r="AN122" s="151" t="str">
        <f t="shared" si="13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-16T16:10:52-0600',mode:absolute,to:'2017-10-16T18:51:51-0600'))&amp;_a=(columns:!('Message%20ID',Summary),filters:!(),index:'emp_*',interval:auto,query:(query_string:(analyze_wildcard:!t,query:'%22rtdc.l.rtdc.4018%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785</v>
      </c>
      <c r="B123" s="7">
        <v>4017</v>
      </c>
      <c r="C123" s="21" t="s">
        <v>194</v>
      </c>
      <c r="D123" s="21" t="s">
        <v>418</v>
      </c>
      <c r="E123" s="13">
        <v>43024.748240740744</v>
      </c>
      <c r="F123" s="13">
        <v>43024.758506944447</v>
      </c>
      <c r="G123" s="7">
        <v>64</v>
      </c>
      <c r="H123" s="21" t="s">
        <v>339</v>
      </c>
      <c r="I123" s="13">
        <v>43024.784722222219</v>
      </c>
      <c r="J123" s="7">
        <v>0</v>
      </c>
      <c r="K123" s="89" t="str">
        <f>IF(ISEVEN(B123),(B123-1)&amp;"/"&amp;B123,B123&amp;"/"&amp;(B123+1))</f>
        <v>4017/4018</v>
      </c>
      <c r="L123" s="185" t="str">
        <f>VLOOKUP(A123,'Trips&amp;Operators'!$C$1:$G$99911,5,FALSE)</f>
        <v>GUZMAN DANNY</v>
      </c>
      <c r="M123" s="6">
        <f>I123-F123</f>
        <v>2.6215277772280388E-2</v>
      </c>
      <c r="N123" s="7">
        <f>24*60*SUM($M123:$M123)</f>
        <v>37.749999992083758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-16T16:57:28-0600',mode:absolute,to:'2017-10-16T19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23.297699999999999</v>
      </c>
      <c r="Z123" s="204">
        <f>RIGHT(H123,LEN(H123)-4)/10000</f>
        <v>1.47E-2</v>
      </c>
      <c r="AA123" s="204">
        <f>ABS(Z123-Y123)</f>
        <v>23.282999999999998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/stypes="app*4017*20171017*"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210-16 --locoid 4017 --swversion DE.1.0.9.0 --startMP 204:232977 --initTime 2017-10-16T17:57:28 --startdatetime 2017-10-16T18:12:15 --delay 64 --endMP 204:147 --enddatetime 2017-10-16T18:50:00 --enforcementcount 0 &gt;&gt;%USERPROFILE%\Documents\GitHub\eaglep3-reporting\EC\2017-10-16-refined-times.txt</v>
      </c>
      <c r="AI12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ID","value":"210-16"},{"id":16,"name":"Locomotive ID","value":"4017"},{"id":130,"name":"Impact","value":""},{"id":150,"name":"Time of Event (Mountain Time)","value":"18:50:00"},{"id":151,"name":"Denver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4017 --day 2017-10-16</v>
      </c>
      <c r="AN12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-16T16:57:28-0600',mode:absolute,to:'2017-10-16T19:50:00-0600'))&amp;_a=(columns:!('Message%20ID',Summary),filters:!(),index:'emp_*',interval:auto,query:(query_string:(analyze_wildcard:!t,query:'%22rtdc.l.rtdc.4017%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778</v>
      </c>
      <c r="B124" s="7">
        <v>4010</v>
      </c>
      <c r="C124" s="21" t="s">
        <v>194</v>
      </c>
      <c r="D124" s="21" t="s">
        <v>334</v>
      </c>
      <c r="E124" s="13">
        <v>43024.725821759261</v>
      </c>
      <c r="F124" s="13">
        <v>43024.729456018518</v>
      </c>
      <c r="G124" s="7">
        <v>109</v>
      </c>
      <c r="H124" s="21" t="s">
        <v>414</v>
      </c>
      <c r="I124" s="13">
        <v>43024.754421296297</v>
      </c>
      <c r="J124" s="7">
        <v>0</v>
      </c>
      <c r="K124" s="89" t="str">
        <f>IF(ISEVEN(B124),(B124-1)&amp;"/"&amp;B124,B124&amp;"/"&amp;(B124+1))</f>
        <v>4009/4010</v>
      </c>
      <c r="L124" s="185" t="str">
        <f>VLOOKUP(A124,'Trips&amp;Operators'!$C$1:$G$99911,5,FALSE)</f>
        <v>SAFIEF AEIMEN</v>
      </c>
      <c r="M124" s="6">
        <f>I124-F124</f>
        <v>2.4965277778392192E-2</v>
      </c>
      <c r="N124" s="7">
        <f>24*60*SUM($M124:$M124)</f>
        <v>35.950000000884756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-16T16:25:11-0600',mode:absolute,to:'2017-10-16T19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4.4600000000000001E-2</v>
      </c>
      <c r="Z124" s="204">
        <f>RIGHT(H124,LEN(H124)-4)/10000</f>
        <v>23.331399999999999</v>
      </c>
      <c r="AA124" s="204">
        <f>ABS(Z124-Y124)</f>
        <v>23.286799999999999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/stypes="app*4010*20171017*"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211-16 --locoid 4010 --swversion DE.1.0.9.0 --startMP 204:446 --initTime 2017-10-16T17:25:11 --startdatetime 2017-10-16T17:30:25 --delay 109 --endMP 204:233314 --enddatetime 2017-10-16T18:06:22 --enforcementcount 0 &gt;&gt;%USERPROFILE%\Documents\GitHub\eaglep3-reporting\EC\2017-10-16-refined-times.txt</v>
      </c>
      <c r="AI12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{"issue":{"subject":"","project_id":79,"tracker_id":40,"status_id":1,"priority_id":2,"assigned_to_id":338,"start_date":"2017-10-16","description":"","custom_fields":[{"id":1,"name":"Subdivision","value":"EC"},{"id":4,"name":"Milepost","value":"23.3314"},{"id":17,"name":"Train ID","value":"211-16"},{"id":16,"name":"Locomotive ID","value":"4010"},{"id":130,"name":"Impact","value":""},{"id":150,"name":"Time of Event (Mountain Time)","value":"18:06:22"},{"id":151,"name":"Denver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4010 --day 2017-10-16</v>
      </c>
      <c r="AN124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-16T16:25:11-0600',mode:absolute,to:'2017-10-16T19:06:22-0600'))&amp;_a=(columns:!('Message%20ID',Summary),filters:!(),index:'emp_*',interval:auto,query:(query_string:(analyze_wildcard:!t,query:'%22rtdc.l.rtdc.4010%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787</v>
      </c>
      <c r="B125" s="7">
        <v>4009</v>
      </c>
      <c r="C125" s="21" t="s">
        <v>194</v>
      </c>
      <c r="D125" s="21" t="s">
        <v>509</v>
      </c>
      <c r="E125" s="13">
        <v>43024.758912037039</v>
      </c>
      <c r="F125" s="13">
        <v>43024.769131944442</v>
      </c>
      <c r="G125" s="7">
        <v>77</v>
      </c>
      <c r="H125" s="21" t="s">
        <v>335</v>
      </c>
      <c r="I125" s="13">
        <v>43024.795115740744</v>
      </c>
      <c r="J125" s="7">
        <v>0</v>
      </c>
      <c r="K125" s="89" t="str">
        <f>IF(ISEVEN(B125),(B125-1)&amp;"/"&amp;B125,B125&amp;"/"&amp;(B125+1))</f>
        <v>4009/4010</v>
      </c>
      <c r="L125" s="185" t="str">
        <f>VLOOKUP(A125,'Trips&amp;Operators'!$C$1:$G$99911,5,FALSE)</f>
        <v>SAFIEF AEIMEN</v>
      </c>
      <c r="M125" s="6">
        <f>I125-F125</f>
        <v>2.5983796302170958E-2</v>
      </c>
      <c r="N125" s="7">
        <f>24*60*SUM($M125:$M125)</f>
        <v>37.41666667512618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-16T17:12:50-0600',mode:absolute,to:'2017-10-16T20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23.298100000000002</v>
      </c>
      <c r="Z125" s="204">
        <f>RIGHT(H125,LEN(H125)-4)/10000</f>
        <v>1.4999999999999999E-2</v>
      </c>
      <c r="AA125" s="204">
        <f>ABS(Z125-Y125)</f>
        <v>23.283100000000001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/stypes="app*4009*20171017*"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212-16 --locoid 4009 --swversion DE.1.0.9.0 --startMP 204:232981 --initTime 2017-10-16T18:12:50 --startdatetime 2017-10-16T18:27:33 --delay 77 --endMP 204:150 --enddatetime 2017-10-16T19:04:58 --enforcementcount 0 &gt;&gt;%USERPROFILE%\Documents\GitHub\eaglep3-reporting\EC\2017-10-16-refined-times.txt</v>
      </c>
      <c r="AI12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{"issue":{"subject":"","project_id":79,"tracker_id":40,"status_id":1,"priority_id":2,"assigned_to_id":338,"start_date":"2017-10-16","description":"","custom_fields":[{"id":1,"name":"Subdivision","value":"EC"},{"id":4,"name":"Milepost","value":"0.015"},{"id":17,"name":"Train ID","value":"212-16"},{"id":16,"name":"Locomotive ID","value":"4009"},{"id":130,"name":"Impact","value":""},{"id":150,"name":"Time of Event (Mountain Time)","value":"19:04:58"},{"id":151,"name":"Denver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4009 --day 2017-10-16</v>
      </c>
      <c r="AN12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-16T17:12:50-0600',mode:absolute,to:'2017-10-16T20:04:58-0600'))&amp;_a=(columns:!('Message%20ID',Summary),filters:!(),index:'emp_*',interval:auto,query:(query_string:(analyze_wildcard:!t,query:'%22rtdc.l.rtdc.4009%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780</v>
      </c>
      <c r="B126" s="7">
        <v>4030</v>
      </c>
      <c r="C126" s="21" t="s">
        <v>194</v>
      </c>
      <c r="D126" s="21" t="s">
        <v>888</v>
      </c>
      <c r="E126" s="13">
        <v>43024.738217592596</v>
      </c>
      <c r="F126" s="13">
        <v>43024.740266203706</v>
      </c>
      <c r="G126" s="7">
        <v>100</v>
      </c>
      <c r="H126" s="21" t="s">
        <v>437</v>
      </c>
      <c r="I126" s="13">
        <v>43024.765104166669</v>
      </c>
      <c r="J126" s="7">
        <v>0</v>
      </c>
      <c r="K126" s="89" t="str">
        <f>IF(ISEVEN(B126),(B126-1)&amp;"/"&amp;B126,B126&amp;"/"&amp;(B126+1))</f>
        <v>4029/4030</v>
      </c>
      <c r="L126" s="185" t="str">
        <f>VLOOKUP(A126,'Trips&amp;Operators'!$C$1:$G$99911,5,FALSE)</f>
        <v>LOZA FIDEL</v>
      </c>
      <c r="M126" s="6">
        <f>I126-F126</f>
        <v>2.4837962962919846E-2</v>
      </c>
      <c r="N126" s="7">
        <f>24*60*SUM($M126:$M126)</f>
        <v>35.766666666604578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-16T16:43:02-0600',mode:absolute,to:'2017-10-16T19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4.2700000000000002E-2</v>
      </c>
      <c r="Z126" s="204">
        <f>RIGHT(H126,LEN(H126)-4)/10000</f>
        <v>23.328900000000001</v>
      </c>
      <c r="AA126" s="204">
        <f>ABS(Z126-Y126)</f>
        <v>23.286200000000001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/stypes="app*4030*20171017*"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213-16 --locoid 4030 --swversion DE.1.0.9.0 --startMP 204:427 --initTime 2017-10-16T17:43:02 --startdatetime 2017-10-16T17:45:59 --delay 100 --endMP 204:233289 --enddatetime 2017-10-16T18:21:45 --enforcementcount 0 &gt;&gt;%USERPROFILE%\Documents\GitHub\eaglep3-reporting\EC\2017-10-16-refined-times.txt</v>
      </c>
      <c r="AI12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{"issue":{"subject":"","project_id":79,"tracker_id":40,"status_id":1,"priority_id":2,"assigned_to_id":338,"start_date":"2017-10-16","description":"","custom_fields":[{"id":1,"name":"Subdivision","value":"EC"},{"id":4,"name":"Milepost","value":"23.3289"},{"id":17,"name":"Train ID","value":"213-16"},{"id":16,"name":"Locomotive ID","value":"4030"},{"id":130,"name":"Impact","value":""},{"id":150,"name":"Time of Event (Mountain Time)","value":"18:21:45"},{"id":151,"name":"Denver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4030 --day 2017-10-16</v>
      </c>
      <c r="AN126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-16T16:43:02-0600',mode:absolute,to:'2017-10-16T19:21:45-0600'))&amp;_a=(columns:!('Message%20ID',Summary),filters:!(),index:'emp_*',interval:auto,query:(query_string:(analyze_wildcard:!t,query:'%22rtdc.l.rtdc.4030%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791</v>
      </c>
      <c r="B127" s="7">
        <v>4029</v>
      </c>
      <c r="C127" s="21" t="s">
        <v>194</v>
      </c>
      <c r="D127" s="21" t="s">
        <v>428</v>
      </c>
      <c r="E127" s="13">
        <v>43024.775960648149</v>
      </c>
      <c r="F127" s="13">
        <v>43024.779374999998</v>
      </c>
      <c r="G127" s="7">
        <v>105</v>
      </c>
      <c r="H127" s="21" t="s">
        <v>367</v>
      </c>
      <c r="I127" s="13">
        <v>43024.804791666669</v>
      </c>
      <c r="J127" s="7">
        <v>0</v>
      </c>
      <c r="K127" s="89" t="str">
        <f>IF(ISEVEN(B127),(B127-1)&amp;"/"&amp;B127,B127&amp;"/"&amp;(B127+1))</f>
        <v>4029/4030</v>
      </c>
      <c r="L127" s="185" t="str">
        <f>VLOOKUP(A127,'Trips&amp;Operators'!$C$1:$G$99911,5,FALSE)</f>
        <v>LOZA FIDEL</v>
      </c>
      <c r="M127" s="6">
        <f>I127-F127</f>
        <v>2.5416666670935228E-2</v>
      </c>
      <c r="N127" s="7">
        <f>24*60*SUM($M127:$M127)</f>
        <v>36.600000006146729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-16T17:37:23-0600',mode:absolute,to:'2017-10-16T20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23.299399999999999</v>
      </c>
      <c r="Z127" s="204">
        <f>RIGHT(H127,LEN(H127)-4)/10000</f>
        <v>1.3899999999999999E-2</v>
      </c>
      <c r="AA127" s="204">
        <f>ABS(Z127-Y127)</f>
        <v>23.285499999999999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/stypes="app*4029*20171017*"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214-16 --locoid 4029 --swversion DE.1.0.9.0 --startMP 204:232994 --initTime 2017-10-16T18:37:23 --startdatetime 2017-10-16T18:42:18 --delay 105 --endMP 204:139 --enddatetime 2017-10-16T19:18:54 --enforcementcount 0 &gt;&gt;%USERPROFILE%\Documents\GitHub\eaglep3-reporting\EC\2017-10-16-refined-times.txt</v>
      </c>
      <c r="AI12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{"issue":{"subject":"","project_id":79,"tracker_id":40,"status_id":1,"priority_id":2,"assigned_to_id":338,"start_date":"2017-10-16","description":"","custom_fields":[{"id":1,"name":"Subdivision","value":"EC"},{"id":4,"name":"Milepost","value":"0.0139"},{"id":17,"name":"Train ID","value":"214-16"},{"id":16,"name":"Locomotive ID","value":"4029"},{"id":130,"name":"Impact","value":""},{"id":150,"name":"Time of Event (Mountain Time)","value":"19:18:54"},{"id":151,"name":"Denver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4029 --day 2017-10-16</v>
      </c>
      <c r="AN12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-16T17:37:23-0600',mode:absolute,to:'2017-10-16T20:18:54-0600'))&amp;_a=(columns:!('Message%20ID',Summary),filters:!(),index:'emp_*',interval:auto,query:(query_string:(analyze_wildcard:!t,query:'%22rtdc.l.rtdc.4029%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783</v>
      </c>
      <c r="B128" s="7">
        <v>4024</v>
      </c>
      <c r="C128" s="21" t="s">
        <v>194</v>
      </c>
      <c r="D128" s="21" t="s">
        <v>334</v>
      </c>
      <c r="E128" s="13">
        <v>43024.746574074074</v>
      </c>
      <c r="F128" s="13">
        <v>43024.750289351854</v>
      </c>
      <c r="G128" s="7">
        <v>56</v>
      </c>
      <c r="H128" s="21" t="s">
        <v>506</v>
      </c>
      <c r="I128" s="13">
        <v>43024.774872685186</v>
      </c>
      <c r="J128" s="7">
        <v>0</v>
      </c>
      <c r="K128" s="89" t="str">
        <f>IF(ISEVEN(B128),(B128-1)&amp;"/"&amp;B128,B128&amp;"/"&amp;(B128+1))</f>
        <v>4023/4024</v>
      </c>
      <c r="L128" s="185" t="str">
        <f>VLOOKUP(A128,'Trips&amp;Operators'!$C$1:$G$99911,5,FALSE)</f>
        <v>SMITH MICHAEL</v>
      </c>
      <c r="M128" s="6">
        <f>I128-F128</f>
        <v>2.4583333331975155E-2</v>
      </c>
      <c r="N128" s="7">
        <f>24*60*SUM($M128:$M128)</f>
        <v>35.399999998044223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-16T16:55:04-0600',mode:absolute,to:'2017-10-16T19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4.4600000000000001E-2</v>
      </c>
      <c r="Z128" s="204">
        <f>RIGHT(H128,LEN(H128)-4)/10000</f>
        <v>23.331700000000001</v>
      </c>
      <c r="AA128" s="204">
        <f>ABS(Z128-Y128)</f>
        <v>23.287100000000002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/stypes="app*4024*20171017*"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215-16 --locoid 4024 --swversion DE.1.0.9.0 --startMP 204:446 --initTime 2017-10-16T17:55:04 --startdatetime 2017-10-16T18:00:25 --delay 56 --endMP 204:233317 --enddatetime 2017-10-16T18:35:49 --enforcementcount 0 &gt;&gt;%USERPROFILE%\Documents\GitHub\eaglep3-reporting\EC\2017-10-16-refined-times.txt</v>
      </c>
      <c r="AI12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{"issue":{"subject":"","project_id":79,"tracker_id":40,"status_id":1,"priority_id":2,"assigned_to_id":338,"start_date":"2017-10-16","description":"","custom_fields":[{"id":1,"name":"Subdivision","value":"EC"},{"id":4,"name":"Milepost","value":"23.3317"},{"id":17,"name":"Train ID","value":"215-16"},{"id":16,"name":"Locomotive ID","value":"4024"},{"id":130,"name":"Impact","value":""},{"id":150,"name":"Time of Event (Mountain Time)","value":"18:35:49"},{"id":151,"name":"Denver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4024 --day 2017-10-16</v>
      </c>
      <c r="AN128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-16T16:55:04-0600',mode:absolute,to:'2017-10-16T19:35:49-0600'))&amp;_a=(columns:!('Message%20ID',Summary),filters:!(),index:'emp_*',interval:auto,query:(query_string:(analyze_wildcard:!t,query:'%22rtdc.l.rtdc.4024%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793</v>
      </c>
      <c r="B129" s="7">
        <v>4023</v>
      </c>
      <c r="C129" s="21" t="s">
        <v>194</v>
      </c>
      <c r="D129" s="21" t="s">
        <v>851</v>
      </c>
      <c r="E129" s="13">
        <v>43024.782592592594</v>
      </c>
      <c r="F129" s="13">
        <v>43024.789780092593</v>
      </c>
      <c r="G129" s="7">
        <v>67</v>
      </c>
      <c r="H129" s="21" t="s">
        <v>339</v>
      </c>
      <c r="I129" s="13">
        <v>43024.816689814812</v>
      </c>
      <c r="J129" s="7">
        <v>0</v>
      </c>
      <c r="K129" s="89" t="str">
        <f>IF(ISEVEN(B129),(B129-1)&amp;"/"&amp;B129,B129&amp;"/"&amp;(B129+1))</f>
        <v>4023/4024</v>
      </c>
      <c r="L129" s="185" t="str">
        <f>VLOOKUP(A129,'Trips&amp;Operators'!$C$1:$G$99911,5,FALSE)</f>
        <v>SMITH MICHAEL</v>
      </c>
      <c r="M129" s="6">
        <f>I129-F129</f>
        <v>2.6909722218988463E-2</v>
      </c>
      <c r="N129" s="7">
        <f>24*60*SUM($M129:$M129)</f>
        <v>38.749999995343387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-16T17:46:56-0600',mode:absolute,to:'2017-10-16T20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23.299600000000002</v>
      </c>
      <c r="Z129" s="204">
        <f>RIGHT(H129,LEN(H129)-4)/10000</f>
        <v>1.47E-2</v>
      </c>
      <c r="AA129" s="204">
        <f>ABS(Z129-Y129)</f>
        <v>23.2849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/stypes="app*4023*20171017*"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216-16 --locoid 4023 --swversion DE.1.0.9.0 --startMP 204:232996 --initTime 2017-10-16T18:46:56 --startdatetime 2017-10-16T18:57:17 --delay 67 --endMP 204:147 --enddatetime 2017-10-16T19:36:02 --enforcementcount 0 &gt;&gt;%USERPROFILE%\Documents\GitHub\eaglep3-reporting\EC\2017-10-16-refined-times.txt</v>
      </c>
      <c r="AI129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ID","value":"216-16"},{"id":16,"name":"Locomotive ID","value":"4023"},{"id":130,"name":"Impact","value":""},{"id":150,"name":"Time of Event (Mountain Time)","value":"19:36:02"},{"id":151,"name":"Denver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4023 --day 2017-10-16</v>
      </c>
      <c r="AN12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-16T17:46:56-0600',mode:absolute,to:'2017-10-16T20:36:02-0600'))&amp;_a=(columns:!('Message%20ID',Summary),filters:!(),index:'emp_*',interval:auto,query:(query_string:(analyze_wildcard:!t,query:'%22rtdc.l.rtdc.4023%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786</v>
      </c>
      <c r="B130" s="7">
        <v>4026</v>
      </c>
      <c r="C130" s="21" t="s">
        <v>194</v>
      </c>
      <c r="D130" s="21" t="s">
        <v>474</v>
      </c>
      <c r="E130" s="13">
        <v>43024.75854166667</v>
      </c>
      <c r="F130" s="13">
        <v>43024.760601851849</v>
      </c>
      <c r="G130" s="7">
        <v>65</v>
      </c>
      <c r="H130" s="21" t="s">
        <v>503</v>
      </c>
      <c r="I130" s="13">
        <v>43024.785462962966</v>
      </c>
      <c r="J130" s="7">
        <v>0</v>
      </c>
      <c r="K130" s="89" t="str">
        <f>IF(ISEVEN(B130),(B130-1)&amp;"/"&amp;B130,B130&amp;"/"&amp;(B130+1))</f>
        <v>4025/4026</v>
      </c>
      <c r="L130" s="185" t="str">
        <f>VLOOKUP(A130,'Trips&amp;Operators'!$C$1:$G$99911,5,FALSE)</f>
        <v>DUNCAN SHEILA</v>
      </c>
      <c r="M130" s="6">
        <f>I130-F130</f>
        <v>2.4861111116479151E-2</v>
      </c>
      <c r="N130" s="7">
        <f>24*60*SUM($M130:$M130)</f>
        <v>35.800000007729977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-16T17:12:18-0600',mode:absolute,to:'2017-10-16T19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4.4400000000000002E-2</v>
      </c>
      <c r="Z130" s="204">
        <f>RIGHT(H130,LEN(H130)-4)/10000</f>
        <v>23.334900000000001</v>
      </c>
      <c r="AA130" s="204">
        <f>ABS(Z130-Y130)</f>
        <v>23.290500000000002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/stypes="app*4026*20171017*"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217-16 --locoid 4026 --swversion DE.1.0.9.0 --startMP 204:444 --initTime 2017-10-16T18:12:18 --startdatetime 2017-10-16T18:15:16 --delay 65 --endMP 204:233349 --enddatetime 2017-10-16T18:51:04 --enforcementcount 0 &gt;&gt;%USERPROFILE%\Documents\GitHub\eaglep3-reporting\EC\2017-10-16-refined-times.txt</v>
      </c>
      <c r="AI13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{"issue":{"subject":"","project_id":79,"tracker_id":40,"status_id":1,"priority_id":2,"assigned_to_id":338,"start_date":"2017-10-16","description":"","custom_fields":[{"id":1,"name":"Subdivision","value":"EC"},{"id":4,"name":"Milepost","value":"23.3349"},{"id":17,"name":"Train ID","value":"217-16"},{"id":16,"name":"Locomotive ID","value":"4026"},{"id":130,"name":"Impact","value":""},{"id":150,"name":"Time of Event (Mountain Time)","value":"18:51:04"},{"id":151,"name":"Denver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4026 --day 2017-10-16</v>
      </c>
      <c r="AN13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-16T17:12:18-0600',mode:absolute,to:'2017-10-16T19:51:04-0600'))&amp;_a=(columns:!('Message%20ID',Summary),filters:!(),index:'emp_*',interval:auto,query:(query_string:(analyze_wildcard:!t,query:'%22rtdc.l.rtdc.4026%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798</v>
      </c>
      <c r="B131" s="7">
        <v>4025</v>
      </c>
      <c r="C131" s="21" t="s">
        <v>194</v>
      </c>
      <c r="D131" s="21" t="s">
        <v>889</v>
      </c>
      <c r="E131" s="13">
        <v>43024.797384259262</v>
      </c>
      <c r="F131" s="13">
        <v>43024.820243055554</v>
      </c>
      <c r="G131" s="7">
        <v>87</v>
      </c>
      <c r="H131" s="21" t="s">
        <v>890</v>
      </c>
      <c r="I131" s="13">
        <v>43024.836689814816</v>
      </c>
      <c r="J131" s="7">
        <v>0</v>
      </c>
      <c r="K131" s="89" t="str">
        <f>IF(ISEVEN(B131),(B131-1)&amp;"/"&amp;B131,B131&amp;"/"&amp;(B131+1))</f>
        <v>4025/4026</v>
      </c>
      <c r="L131" s="185" t="str">
        <f>VLOOKUP(A131,'Trips&amp;Operators'!$C$1:$G$99911,5,FALSE)</f>
        <v>DUNCAN SHEILA</v>
      </c>
      <c r="M131" s="6">
        <f>I131-F131</f>
        <v>1.6446759262180422E-2</v>
      </c>
      <c r="N131" s="7"/>
      <c r="O131" s="7"/>
      <c r="P131" s="7"/>
      <c r="Q131" s="22"/>
      <c r="R131" s="174"/>
      <c r="S131" s="221"/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-16T18:08:14-0600',mode:absolute,to:'2017-10-16T21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04" t="str">
        <f>IF(AA131&lt;VLOOKUP(AG131,Variables!$AC$3:$AD$8,2,FALSE),"Y","N")</f>
        <v>Y</v>
      </c>
      <c r="X131" s="204">
        <f>VALUE(LEFT(AD131,4))-VALUE(LEFT(AD130,4))</f>
        <v>1</v>
      </c>
      <c r="Y131" s="204">
        <f>RIGHT(D131,LEN(D131)-4)/10000</f>
        <v>23.307400000000001</v>
      </c>
      <c r="Z131" s="204">
        <f>RIGHT(H131,LEN(H131)-4)/10000</f>
        <v>22.895900000000001</v>
      </c>
      <c r="AA131" s="204">
        <f>ABS(Z131-Y131)</f>
        <v>0.4115000000000002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/stypes="app*4025*20171017*" /stext=" 02:.+((SYSTEM_STATE.+slice.+state.+changed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218-16 --locoid 4025 --swversion DE.1.0.9.0 --startMP 204:233074 --initTime 2017-10-16T19:08:14 --startdatetime 2017-10-16T19:41:09 --delay 87 --endMP 204:228959 --enddatetime 2017-10-16T20:04:50 --enforcementcount 0 &gt;&gt;%USERPROFILE%\Documents\GitHub\eaglep3-reporting\EC\2017-10-16-refined-times.txt</v>
      </c>
      <c r="AI13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{"issue":{"subject":"","project_id":79,"tracker_id":40,"status_id":1,"priority_id":2,"assigned_to_id":338,"start_date":"2017-10-16","description":"","custom_fields":[{"id":1,"name":"Subdivision","value":"EC"},{"id":4,"name":"Milepost","value":"22.8959"},{"id":17,"name":"Train ID","value":"218-16"},{"id":16,"name":"Locomotive ID","value":"4025"},{"id":130,"name":"Impact","value":""},{"id":150,"name":"Time of Event (Mountain Time)","value":"20:04:50"},{"id":151,"name":"Denver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4025 --day 2017-10-16</v>
      </c>
      <c r="AN13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-16T18:08:14-0600',mode:absolute,to:'2017-10-16T21:04:50-0600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798</v>
      </c>
      <c r="B132" s="7">
        <v>4025</v>
      </c>
      <c r="C132" s="21" t="s">
        <v>194</v>
      </c>
      <c r="D132" s="21" t="s">
        <v>891</v>
      </c>
      <c r="E132" s="13">
        <v>43024.818171296298</v>
      </c>
      <c r="F132" s="13">
        <v>43024.820243055554</v>
      </c>
      <c r="G132" s="7">
        <v>124</v>
      </c>
      <c r="H132" s="21" t="s">
        <v>892</v>
      </c>
      <c r="I132" s="13">
        <v>43024.836689814816</v>
      </c>
      <c r="J132" s="7">
        <v>0</v>
      </c>
      <c r="K132" s="89" t="str">
        <f>IF(ISEVEN(B132),(B132-1)&amp;"/"&amp;B132,B132&amp;"/"&amp;(B132+1))</f>
        <v>4025/4026</v>
      </c>
      <c r="L132" s="185" t="str">
        <f>VLOOKUP(A132,'Trips&amp;Operators'!$C$1:$G$99911,5,FALSE)</f>
        <v>DUNCAN SHEILA</v>
      </c>
      <c r="M132" s="6">
        <f>I132-F132</f>
        <v>1.6446759262180422E-2</v>
      </c>
      <c r="N132" s="7"/>
      <c r="O132" s="7"/>
      <c r="P132" s="7">
        <f>24*60*SUM($M132:$M132)</f>
        <v>23.683333337539807</v>
      </c>
      <c r="Q132" s="22"/>
      <c r="R132" s="174" t="s">
        <v>1024</v>
      </c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-16T18:38:10-0600',mode:absolute,to:'2017-10-16T21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204" t="str">
        <f>IF(AA132&lt;VLOOKUP(AG132,Variables!$AC$3:$AD$8,2,FALSE),"Y","N")</f>
        <v>Y</v>
      </c>
      <c r="X132" s="204">
        <f>VALUE(LEFT(AD132,4))-VALUE(LEFT(AD131,4))</f>
        <v>0</v>
      </c>
      <c r="Y132" s="204">
        <f>RIGHT(D132,LEN(D132)-4)/10000</f>
        <v>12.7864</v>
      </c>
      <c r="Z132" s="204">
        <f>RIGHT(H132,LEN(H132)-4)/10000</f>
        <v>0.17419999999999999</v>
      </c>
      <c r="AA132" s="204">
        <f>ABS(Z132-Y132)</f>
        <v>12.6122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/stypes="app*4025*20171017*"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218-16 --locoid 4025 --swversion DE.1.0.9.0 --startMP 204:127864 --initTime 2017-10-16T19:38:10 --startdatetime 2017-10-16T19:41:09 --delay 124 --endMP 204:1742 --enddatetime 2017-10-16T20:04:50 --enforcementcount 0 &gt;&gt;%USERPROFILE%\Documents\GitHub\eaglep3-reporting\EC\2017-10-16-refined-times.txt</v>
      </c>
      <c r="AI132" s="96" t="str">
        <f t="shared" si="11"/>
        <v>echo {"issue":{"subject":"Onboard en route failure","project_id":79,"tracker_id":40,"status_id":1,"priority_id":2,"assigned_to_id":338,"start_date":"2017-10-16","description":"","custom_fields":[{"id":1,"name":"Subdivision","value":"EC"},{"id":4,"name":"Milepost","value":"0.1742"},{"id":17,"name":"Train ID","value":"218-16"},{"id":16,"name":"Locomotive ID","value":"4025"},{"id":130,"name":"Impact","value":""},{"id":150,"name":"Time of Event (Mountain Time)","value":"20:04:50"},{"id":151,"name":"Denver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4025 --day 2017-10-16</v>
      </c>
      <c r="AN132" s="151" t="str">
        <f t="shared" si="13"/>
        <v>echo {"issue":{"subject":"Onboard en route failure","project_id":30,"tracker_id":4,"status_id":1,"priority_id":1,"assigned_to_id":10,"start_date":"2017-10-17","description":"","custom_fields":[{"id":30,"name":"Category","value":"Issue"},{"id":3,"name":"Functional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-16T18:38:10-0600',mode:absolute,to:'2017-10-16T21:04:50-0600'))&amp;_a=(columns:!('Message%20ID',Summary),filters:!(),index:'emp_*',interval:auto,query:(query_string:(analyze_wildcard:!t,query:'%22rtdc.l.rtdc.4025%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788</v>
      </c>
      <c r="B133" s="7">
        <v>4020</v>
      </c>
      <c r="C133" s="21" t="s">
        <v>194</v>
      </c>
      <c r="D133" s="21" t="s">
        <v>551</v>
      </c>
      <c r="E133" s="13">
        <v>43024.767581018517</v>
      </c>
      <c r="F133" s="13">
        <v>43024.77103009259</v>
      </c>
      <c r="G133" s="7">
        <v>80</v>
      </c>
      <c r="H133" s="21" t="s">
        <v>414</v>
      </c>
      <c r="I133" s="13">
        <v>43024.797060185185</v>
      </c>
      <c r="J133" s="7">
        <v>0</v>
      </c>
      <c r="K133" s="89" t="str">
        <f>IF(ISEVEN(B133),(B133-1)&amp;"/"&amp;B133,B133&amp;"/"&amp;(B133+1))</f>
        <v>4019/4020</v>
      </c>
      <c r="L133" s="185" t="str">
        <f>VLOOKUP(A133,'Trips&amp;Operators'!$C$1:$G$99911,5,FALSE)</f>
        <v>WILLIAMS DONTE</v>
      </c>
      <c r="M133" s="6">
        <f>I133-F133</f>
        <v>2.6030092594737653E-2</v>
      </c>
      <c r="N133" s="7">
        <f>24*60*SUM($M133:$M133)</f>
        <v>37.48333333642222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-16T17:25:19-0600',mode:absolute,to:'2017-10-16T20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4.7800000000000002E-2</v>
      </c>
      <c r="Z133" s="204">
        <f>RIGHT(H133,LEN(H133)-4)/10000</f>
        <v>23.331399999999999</v>
      </c>
      <c r="AA133" s="204">
        <f>ABS(Z133-Y133)</f>
        <v>23.2836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/stypes="app*4020*20171017*"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219-16 --locoid 4020 --swversion DE.1.0.9.0 --startMP 204:478 --initTime 2017-10-16T18:25:19 --startdatetime 2017-10-16T18:30:17 --delay 80 --endMP 204:233314 --enddatetime 2017-10-16T19:07:46 --enforcementcount 0 &gt;&gt;%USERPROFILE%\Documents\GitHub\eaglep3-reporting\EC\2017-10-16-refined-times.txt</v>
      </c>
      <c r="AI133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{"issue":{"subject":"","project_id":79,"tracker_id":40,"status_id":1,"priority_id":2,"assigned_to_id":338,"start_date":"2017-10-16","description":"","custom_fields":[{"id":1,"name":"Subdivision","value":"EC"},{"id":4,"name":"Milepost","value":"23.3314"},{"id":17,"name":"Train ID","value":"219-16"},{"id":16,"name":"Locomotive ID","value":"4020"},{"id":130,"name":"Impact","value":""},{"id":150,"name":"Time of Event (Mountain Time)","value":"19:07:46"},{"id":151,"name":"Denver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4020 --day 2017-10-16</v>
      </c>
      <c r="AN13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-16T17:25:19-0600',mode:absolute,to:'2017-10-16T20:07:46-0600'))&amp;_a=(columns:!('Message%20ID',Summary),filters:!(),index:'emp_*',interval:auto,query:(query_string:(analyze_wildcard:!t,query:'%22rtdc.l.rtdc.4020%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799</v>
      </c>
      <c r="B134" s="7">
        <v>4019</v>
      </c>
      <c r="C134" s="21" t="s">
        <v>194</v>
      </c>
      <c r="D134" s="21" t="s">
        <v>420</v>
      </c>
      <c r="E134" s="13">
        <v>43024.805578703701</v>
      </c>
      <c r="F134" s="13">
        <v>43024.812071759261</v>
      </c>
      <c r="G134" s="7">
        <v>110</v>
      </c>
      <c r="H134" s="21" t="s">
        <v>469</v>
      </c>
      <c r="I134" s="13">
        <v>43024.841516203705</v>
      </c>
      <c r="J134" s="7">
        <v>0</v>
      </c>
      <c r="K134" s="89" t="str">
        <f>IF(ISEVEN(B134),(B134-1)&amp;"/"&amp;B134,B134&amp;"/"&amp;(B134+1))</f>
        <v>4019/4020</v>
      </c>
      <c r="L134" s="185" t="str">
        <f>VLOOKUP(A134,'Trips&amp;Operators'!$C$1:$G$99911,5,FALSE)</f>
        <v>WILLIAMS DONTE</v>
      </c>
      <c r="M134" s="6">
        <f>I134-F134</f>
        <v>2.9444444444379769E-2</v>
      </c>
      <c r="N134" s="7">
        <f>24*60*SUM($M134:$M134)</f>
        <v>42.399999999906868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-16T18:20:02-0600',mode:absolute,to:'2017-10-16T21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23.299099999999999</v>
      </c>
      <c r="Z134" s="204">
        <f>RIGHT(H134,LEN(H134)-4)/10000</f>
        <v>1.38E-2</v>
      </c>
      <c r="AA134" s="204">
        <f>ABS(Z134-Y134)</f>
        <v>23.285299999999999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/stypes="app*4019*20171017*"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220-16 --locoid 4019 --swversion DE.1.0.9.0 --startMP 204:232991 --initTime 2017-10-16T19:20:02 --startdatetime 2017-10-16T19:29:23 --delay 110 --endMP 204:138 --enddatetime 2017-10-16T20:11:47 --enforcementcount 0 &gt;&gt;%USERPROFILE%\Documents\GitHub\eaglep3-reporting\EC\2017-10-16-refined-times.txt</v>
      </c>
      <c r="AI134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ID","value":"220-16"},{"id":16,"name":"Locomotive ID","value":"4019"},{"id":130,"name":"Impact","value":""},{"id":150,"name":"Time of Event (Mountain Time)","value":"20:11:47"},{"id":151,"name":"Denver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4019 --day 2017-10-16</v>
      </c>
      <c r="AN134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-16T18:20:02-0600',mode:absolute,to:'2017-10-16T21:11:47-0600'))&amp;_a=(columns:!('Message%20ID',Summary),filters:!(),index:'emp_*',interval:auto,query:(query_string:(analyze_wildcard:!t,query:'%22rtdc.l.rtdc.4019%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794</v>
      </c>
      <c r="B135" s="7">
        <v>4018</v>
      </c>
      <c r="C135" s="21" t="s">
        <v>194</v>
      </c>
      <c r="D135" s="21" t="s">
        <v>419</v>
      </c>
      <c r="E135" s="13">
        <v>43024.786111111112</v>
      </c>
      <c r="F135" s="13">
        <v>43024.791817129626</v>
      </c>
      <c r="G135" s="7">
        <v>114</v>
      </c>
      <c r="H135" s="21" t="s">
        <v>887</v>
      </c>
      <c r="I135" s="13">
        <v>43024.816250000003</v>
      </c>
      <c r="J135" s="7">
        <v>0</v>
      </c>
      <c r="K135" s="89" t="str">
        <f>IF(ISEVEN(B135),(B135-1)&amp;"/"&amp;B135,B135&amp;"/"&amp;(B135+1))</f>
        <v>4017/4018</v>
      </c>
      <c r="L135" s="185" t="str">
        <f>VLOOKUP(A135,'Trips&amp;Operators'!$C$1:$G$99911,5,FALSE)</f>
        <v>ELBAUM MIKE</v>
      </c>
      <c r="M135" s="6">
        <f>I135-F135</f>
        <v>2.4432870377495419E-2</v>
      </c>
      <c r="N135" s="7">
        <f>24*60*SUM($M135:$M135)</f>
        <v>35.183333343593404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-16T17:52:00-0600',mode:absolute,to:'2017-10-16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4.6399999999999997E-2</v>
      </c>
      <c r="Z135" s="204">
        <f>RIGHT(H135,LEN(H135)-4)/10000</f>
        <v>23.3324</v>
      </c>
      <c r="AA135" s="204">
        <f>ABS(Z135-Y135)</f>
        <v>23.286000000000001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/stypes="app*4018*20171017*" /stext=" 01:.+((SYSTEM_STATE.+slice.+state.+changed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221-16 --locoid 4018 --swversion DE.1.0.9.0 --startMP 204:464 --initTime 2017-10-16T18:52:00 --startdatetime 2017-10-16T19:00:13 --delay 114 --endMP 204:233324 --enddatetime 2017-10-16T19:35:24 --enforcementcount 0 &gt;&gt;%USERPROFILE%\Documents\GitHub\eaglep3-reporting\EC\2017-10-16-refined-times.txt</v>
      </c>
      <c r="AI135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{"issue":{"subject":"","project_id":79,"tracker_id":40,"status_id":1,"priority_id":2,"assigned_to_id":338,"start_date":"2017-10-16","description":"","custom_fields":[{"id":1,"name":"Subdivision","value":"EC"},{"id":4,"name":"Milepost","value":"23.3324"},{"id":17,"name":"Train ID","value":"221-16"},{"id":16,"name":"Locomotive ID","value":"4018"},{"id":130,"name":"Impact","value":""},{"id":150,"name":"Time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4018 --day 2017-10-16</v>
      </c>
      <c r="AN13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-16T17:52:00-0600',mode:absolute,to:'2017-10-16T20:35:24-0600'))&amp;_a=(columns:!('Message%20ID',Summary),filters:!(),index:'emp_*',interval:auto,query:(query_string:(analyze_wildcard:!t,query:'%22rtdc.l.rtdc.4018%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604</v>
      </c>
      <c r="B136" s="7">
        <v>4017</v>
      </c>
      <c r="C136" s="21" t="s">
        <v>194</v>
      </c>
      <c r="D136" s="21" t="s">
        <v>860</v>
      </c>
      <c r="E136" s="13">
        <v>43024.817604166667</v>
      </c>
      <c r="F136" s="13">
        <v>43024.831400462965</v>
      </c>
      <c r="G136" s="7">
        <v>84</v>
      </c>
      <c r="H136" s="21" t="s">
        <v>336</v>
      </c>
      <c r="I136" s="13">
        <v>43024.858356481483</v>
      </c>
      <c r="J136" s="7">
        <v>0</v>
      </c>
      <c r="K136" s="89" t="str">
        <f>IF(ISEVEN(B136),(B136-1)&amp;"/"&amp;B136,B136&amp;"/"&amp;(B136+1))</f>
        <v>4017/4018</v>
      </c>
      <c r="L136" s="185" t="str">
        <f>VLOOKUP(A136,'Trips&amp;Operators'!$C$1:$G$99911,5,FALSE)</f>
        <v>ELBAUM MIKE</v>
      </c>
      <c r="M136" s="6">
        <f>I136-F136</f>
        <v>2.6956018518831115E-2</v>
      </c>
      <c r="N136" s="7">
        <f>24*60*SUM($M136:$M136)</f>
        <v>38.816666667116806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-16T18:37:21-0600',mode:absolute,to:'2017-10-16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23.299800000000001</v>
      </c>
      <c r="Z136" s="204">
        <f>RIGHT(H136,LEN(H136)-4)/10000</f>
        <v>1.49E-2</v>
      </c>
      <c r="AA136" s="204">
        <f>ABS(Z136-Y136)</f>
        <v>23.2849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/stypes="app*4017*20171017*"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222-16 --locoid 4017 --swversion DE.1.0.9.0 --startMP 204:232998 --initTime 2017-10-16T19:37:21 --startdatetime 2017-10-16T19:57:13 --delay 84 --endMP 204:149 --enddatetime 2017-10-16T20:36:02 --enforcementcount 0 &gt;&gt;%USERPROFILE%\Documents\GitHub\eaglep3-reporting\EC\2017-10-16-refined-times.txt</v>
      </c>
      <c r="AI136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{"issue":{"subject":"","project_id":79,"tracker_id":40,"status_id":1,"priority_id":2,"assigned_to_id":338,"start_date":"2017-10-16","description":"","custom_fields":[{"id":1,"name":"Subdivision","value":"EC"},{"id":4,"name":"Milepost","value":"0.0149"},{"id":17,"name":"Train ID","value":"222-16"},{"id":16,"name":"Locomotive ID","value":"4017"},{"id":130,"name":"Impact","value":""},{"id":150,"name":"Time of Event (Mountain Time)","value":"20:36:02"},{"id":151,"name":"Denver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4017 --day 2017-10-16</v>
      </c>
      <c r="AN136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-16T18:37:21-0600',mode:absolute,to:'2017-10-16T21:36:02-0600'))&amp;_a=(columns:!('Message%20ID',Summary),filters:!(),index:'emp_*',interval:auto,query:(query_string:(analyze_wildcard:!t,query:'%22rtdc.l.rtdc.4017%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801</v>
      </c>
      <c r="B137" s="7">
        <v>4030</v>
      </c>
      <c r="C137" s="21" t="s">
        <v>194</v>
      </c>
      <c r="D137" s="21" t="s">
        <v>345</v>
      </c>
      <c r="E137" s="13">
        <v>43024.807789351849</v>
      </c>
      <c r="F137" s="13">
        <v>43024.812928240739</v>
      </c>
      <c r="G137" s="7">
        <v>177</v>
      </c>
      <c r="H137" s="21" t="s">
        <v>562</v>
      </c>
      <c r="I137" s="13">
        <v>43024.838854166665</v>
      </c>
      <c r="J137" s="7">
        <v>0</v>
      </c>
      <c r="K137" s="89" t="str">
        <f>IF(ISEVEN(B137),(B137-1)&amp;"/"&amp;B137,B137&amp;"/"&amp;(B137+1))</f>
        <v>4029/4030</v>
      </c>
      <c r="L137" s="185" t="str">
        <f>VLOOKUP(A137,'Trips&amp;Operators'!$C$1:$G$99911,5,FALSE)</f>
        <v>WEST BRYAN</v>
      </c>
      <c r="M137" s="6">
        <f>I137-F137</f>
        <v>2.5925925925548654E-2</v>
      </c>
      <c r="N137" s="7">
        <f>24*60*SUM($M137:$M137)</f>
        <v>37.333333332790062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-16T18:23:13-0600',mode:absolute,to:'2017-10-16T21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4.5499999999999999E-2</v>
      </c>
      <c r="Z137" s="204">
        <f>RIGHT(H137,LEN(H137)-4)/10000</f>
        <v>23.331499999999998</v>
      </c>
      <c r="AA137" s="204">
        <f>ABS(Z137-Y137)</f>
        <v>23.285999999999998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/stypes="app*4030*20171017*"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223-16 --locoid 4030 --swversion DE.1.0.9.0 --startMP 204:455 --initTime 2017-10-16T19:23:13 --startdatetime 2017-10-16T19:30:37 --delay 177 --endMP 204:233315 --enddatetime 2017-10-16T20:07:57 --enforcementcount 0 &gt;&gt;%USERPROFILE%\Documents\GitHub\eaglep3-reporting\EC\2017-10-16-refined-times.txt</v>
      </c>
      <c r="AI137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{"issue":{"subject":"","project_id":79,"tracker_id":40,"status_id":1,"priority_id":2,"assigned_to_id":338,"start_date":"2017-10-16","description":"","custom_fields":[{"id":1,"name":"Subdivision","value":"EC"},{"id":4,"name":"Milepost","value":"23.3315"},{"id":17,"name":"Train ID","value":"223-16"},{"id":16,"name":"Locomotive ID","value":"4030"},{"id":130,"name":"Impact","value":""},{"id":150,"name":"Time of Event (Mountain Time)","value":"20:07:57"},{"id":151,"name":"Denver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4030 --day 2017-10-16</v>
      </c>
      <c r="AN13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-16T18:23:13-0600',mode:absolute,to:'2017-10-16T21:07:57-0600'))&amp;_a=(columns:!('Message%20ID',Summary),filters:!(),index:'emp_*',interval:auto,query:(query_string:(analyze_wildcard:!t,query:'%22rtdc.l.rtdc.4030%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809</v>
      </c>
      <c r="B138" s="7">
        <v>4029</v>
      </c>
      <c r="C138" s="21" t="s">
        <v>194</v>
      </c>
      <c r="D138" s="21" t="s">
        <v>438</v>
      </c>
      <c r="E138" s="13">
        <v>43024.841192129628</v>
      </c>
      <c r="F138" s="13">
        <v>43024.852326388886</v>
      </c>
      <c r="G138" s="7">
        <v>81</v>
      </c>
      <c r="H138" s="21" t="s">
        <v>339</v>
      </c>
      <c r="I138" s="13">
        <v>43024.880254629628</v>
      </c>
      <c r="J138" s="7">
        <v>0</v>
      </c>
      <c r="K138" s="89" t="str">
        <f>IF(ISEVEN(B138),(B138-1)&amp;"/"&amp;B138,B138&amp;"/"&amp;(B138+1))</f>
        <v>4029/4030</v>
      </c>
      <c r="L138" s="185" t="str">
        <f>VLOOKUP(A138,'Trips&amp;Operators'!$C$1:$G$99911,5,FALSE)</f>
        <v>WEST BRYAN</v>
      </c>
      <c r="M138" s="6">
        <f>I138-F138</f>
        <v>2.792824074276723E-2</v>
      </c>
      <c r="N138" s="7">
        <f>24*60*SUM($M138:$M138)</f>
        <v>40.216666669584811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-16T19:11:19-0600',mode:absolute,to:'2017-10-16T22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23.2987</v>
      </c>
      <c r="Z138" s="204">
        <f>RIGHT(H138,LEN(H138)-4)/10000</f>
        <v>1.47E-2</v>
      </c>
      <c r="AA138" s="204">
        <f>ABS(Z138-Y138)</f>
        <v>23.283999999999999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/stypes="app*4029*20171017*"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224-16 --locoid 4029 --swversion DE.1.0.9.0 --startMP 204:232987 --initTime 2017-10-16T20:11:19 --startdatetime 2017-10-16T20:27:21 --delay 81 --endMP 204:147 --enddatetime 2017-10-16T21:07:34 --enforcementcount 0 &gt;&gt;%USERPROFILE%\Documents\GitHub\eaglep3-reporting\EC\2017-10-16-refined-times.txt</v>
      </c>
      <c r="AI138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ID","value":"224-16"},{"id":16,"name":"Locomotive ID","value":"4029"},{"id":130,"name":"Impact","value":""},{"id":150,"name":"Time of Event (Mountain Time)","value":"21:07:34"},{"id":151,"name":"Denver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4029 --day 2017-10-16</v>
      </c>
      <c r="AN138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-16T19:11:19-0600',mode:absolute,to:'2017-10-16T22:07:34-0600'))&amp;_a=(columns:!('Message%20ID',Summary),filters:!(),index:'emp_*',interval:auto,query:(query_string:(analyze_wildcard:!t,query:'%22rtdc.l.rtdc.4029%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808</v>
      </c>
      <c r="B139" s="7">
        <v>4008</v>
      </c>
      <c r="C139" s="21" t="s">
        <v>194</v>
      </c>
      <c r="D139" s="21" t="s">
        <v>434</v>
      </c>
      <c r="E139" s="13">
        <v>43024.83222222222</v>
      </c>
      <c r="F139" s="13">
        <v>43024.835717592592</v>
      </c>
      <c r="G139" s="7">
        <v>257</v>
      </c>
      <c r="H139" s="21" t="s">
        <v>853</v>
      </c>
      <c r="I139" s="13">
        <v>43024.861134259256</v>
      </c>
      <c r="J139" s="7">
        <v>0</v>
      </c>
      <c r="K139" s="89" t="str">
        <f>IF(ISEVEN(B139),(B139-1)&amp;"/"&amp;B139,B139&amp;"/"&amp;(B139+1))</f>
        <v>4007/4008</v>
      </c>
      <c r="L139" s="185" t="str">
        <f>VLOOKUP(A139,'Trips&amp;Operators'!$C$1:$G$99911,5,FALSE)</f>
        <v>GUNTHIER ERIC</v>
      </c>
      <c r="M139" s="6">
        <f>I139-F139</f>
        <v>2.5416666663659271E-2</v>
      </c>
      <c r="N139" s="7">
        <f>24*60*SUM($M139:$M139)</f>
        <v>36.59999999566935</v>
      </c>
      <c r="O139" s="7"/>
      <c r="P139" s="7"/>
      <c r="Q139" s="22"/>
      <c r="R139" s="174" t="s">
        <v>1029</v>
      </c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-16T18:58:24-0600',mode:absolute,to:'2017-10-16T21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4.6199999999999998E-2</v>
      </c>
      <c r="Z139" s="204">
        <f>RIGHT(H139,LEN(H139)-4)/10000</f>
        <v>23.329799999999999</v>
      </c>
      <c r="AA139" s="204">
        <f>ABS(Z139-Y139)</f>
        <v>23.2836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s3://rtdc.mdm.uploadarchive.raw/RTDC4008/ "%USERPROFILE%\AppData\Local\Temp\OnboardLogs"\RTDC4008\2017-10-16 --exclude "*" --recursive --include "*20171016*" &amp; "%USERPROFILE%\Documents\GitHub\mrs-test-scripts\Headless Mode &amp; Sideloading\WalkAndUnGZ.bat" "%USERPROFILE%\AppData\Local\Temp\OnboardLogs"\RTDC4008\2017-10-16 &amp; aws s3 cp s3://rtdc.mdm.uploadarchive.raw/RTDC4008/ "%USERPROFILE%\AppData\Local\Temp\OnboardLogs"\RTDC4008\2017-10-17 --exclude "*" --recursive --include "*20171017*" &amp; "%USERPROFILE%\Documents\GitHub\mrs-test-scripts\Headless Mode &amp; Sideloading\WalkAndUnGZ.bat" "%USERPROFILE%\AppData\Local\Temp\OnboardLogs"\RTDC4008\2017-10-17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/stypes="app*4008*20171017*" /stext=" 02:.+((SYSTEM_STATE.+slice.+state.+changed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225-16 --locoid 4008 --swversion DE.1.0.9.0 --startMP 204:462 --initTime 2017-10-16T19:58:24 --startdatetime 2017-10-16T20:03:26 --delay 257 --endMP 204:233298 --enddatetime 2017-10-16T20:40:02 --enforcementcount 0 &gt;&gt;%USERPROFILE%\Documents\GitHub\eaglep3-reporting\EC\2017-10-16-refined-times.txt</v>
      </c>
      <c r="AI139" s="96" t="str">
        <f t="shared" si="11"/>
        <v>echo {"issue":{"subject":"Observed unhealthy crossing banner at Steele, no enforcement","project_id":79,"tracker_id":40,"status_id":1,"priority_id":2,"assigned_to_id":338,"start_date":"2017-10-16","description":"","custom_fields":[{"id":1,"name":"Subdivision","value":"EC"},{"id":4,"name":"Milepost","value":"23.3298"},{"id":17,"name":"Train ID","value":"225-16"},{"id":16,"name":"Locomotive ID","value":"4008"},{"id":130,"name":"Impact","value":""},{"id":150,"name":"Time of Event (Mountain Time)","value":"20:40:02"},{"id":151,"name":"Denver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4008 --day 2017-10-16</v>
      </c>
      <c r="AN139" s="151" t="str">
        <f t="shared" si="13"/>
        <v>echo {"issue":{"subject":"Observed unhealthy crossing banner at Steele, no enforcement","project_id":30,"tracker_id":4,"status_id":1,"priority_id":1,"assigned_to_id":10,"start_date":"2017-10-17","description":"","custom_fields":[{"id":30,"name":"Category","value":"Issue"},{"id":3,"name":"Functional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-16T18:58:24-0600',mode:absolute,to:'2017-10-16T21:40:02-0600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812</v>
      </c>
      <c r="B140" s="7">
        <v>4007</v>
      </c>
      <c r="C140" s="21" t="s">
        <v>194</v>
      </c>
      <c r="D140" s="21" t="s">
        <v>560</v>
      </c>
      <c r="E140" s="13">
        <v>43024.867569444446</v>
      </c>
      <c r="F140" s="13">
        <v>43024.873078703706</v>
      </c>
      <c r="G140" s="7">
        <v>49</v>
      </c>
      <c r="H140" s="21" t="s">
        <v>893</v>
      </c>
      <c r="I140" s="13">
        <v>43024.900081018517</v>
      </c>
      <c r="J140" s="7">
        <v>0</v>
      </c>
      <c r="K140" s="89" t="str">
        <f>IF(ISEVEN(B140),(B140-1)&amp;"/"&amp;B140,B140&amp;"/"&amp;(B140+1))</f>
        <v>4007/4008</v>
      </c>
      <c r="L140" s="185" t="str">
        <f>VLOOKUP(A140,'Trips&amp;Operators'!$C$1:$G$99911,5,FALSE)</f>
        <v>GUNTHIER ERIC</v>
      </c>
      <c r="M140" s="6">
        <f>I140-F140</f>
        <v>2.700231481139781E-2</v>
      </c>
      <c r="N140" s="7">
        <f>24*60*SUM($M140:$M140)</f>
        <v>38.883333328412846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-16T19:49:18-0600',mode:absolute,to:'2017-10-16T22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23.298300000000001</v>
      </c>
      <c r="Z140" s="204">
        <f>RIGHT(H140,LEN(H140)-4)/10000</f>
        <v>8.9800000000000005E-2</v>
      </c>
      <c r="AA140" s="204">
        <f>ABS(Z140-Y140)</f>
        <v>23.208500000000001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 &amp; aws s3 cp s3://rtdc.mdm.uploadarchive.raw/RTDC4007/ "%USERPROFILE%\AppData\Local\Temp\OnboardLogs"\RTDC4007\2017-10-17 --exclude "*" --recursive --include "*20171017*" &amp; "%USERPROFILE%\Documents\GitHub\mrs-test-scripts\Headless Mode &amp; Sideloading\WalkAndUnGZ.bat" "%USERPROFILE%\AppData\Local\Temp\OnboardLogs"\RTDC4007\2017-10-17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/stypes="app*4007*20171017*"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226-16 --locoid 4007 --swversion DE.1.0.9.0 --startMP 204:232983 --initTime 2017-10-16T20:49:18 --startdatetime 2017-10-16T20:57:14 --delay 49 --endMP 204:898 --enddatetime 2017-10-16T21:36:07 --enforcementcount 0 &gt;&gt;%USERPROFILE%\Documents\GitHub\eaglep3-reporting\EC\2017-10-16-refined-times.txt</v>
      </c>
      <c r="AI140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{"issue":{"subject":"","project_id":79,"tracker_id":40,"status_id":1,"priority_id":2,"assigned_to_id":338,"start_date":"2017-10-16","description":"","custom_fields":[{"id":1,"name":"Subdivision","value":"EC"},{"id":4,"name":"Milepost","value":"0.0898"},{"id":17,"name":"Train ID","value":"226-16"},{"id":16,"name":"Locomotive ID","value":"4007"},{"id":130,"name":"Impact","value":""},{"id":150,"name":"Time of Event (Mountain Time)","value":"21:36:07"},{"id":151,"name":"Denver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4007 --day 2017-10-16</v>
      </c>
      <c r="AN14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-16T19:49:18-0600',mode:absolute,to:'2017-10-16T22:36:07-0600'))&amp;_a=(columns:!('Message%20ID',Summary),filters:!(),index:'emp_*',interval:auto,query:(query_string:(analyze_wildcard:!t,query:'%22rtdc.l.rtdc.4007%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810</v>
      </c>
      <c r="B141" s="7">
        <v>4020</v>
      </c>
      <c r="C141" s="21" t="s">
        <v>194</v>
      </c>
      <c r="D141" s="21" t="s">
        <v>419</v>
      </c>
      <c r="E141" s="13">
        <v>43024.849537037036</v>
      </c>
      <c r="F141" s="13">
        <v>43024.85434027778</v>
      </c>
      <c r="G141" s="7">
        <v>64</v>
      </c>
      <c r="H141" s="21" t="s">
        <v>894</v>
      </c>
      <c r="I141" s="13">
        <v>43024.880706018521</v>
      </c>
      <c r="J141" s="7">
        <v>0</v>
      </c>
      <c r="K141" s="89" t="str">
        <f>IF(ISEVEN(B141),(B141-1)&amp;"/"&amp;B141,B141&amp;"/"&amp;(B141+1))</f>
        <v>4019/4020</v>
      </c>
      <c r="L141" s="185" t="str">
        <f>VLOOKUP(A141,'Trips&amp;Operators'!$C$1:$G$99911,5,FALSE)</f>
        <v>WILLIAMS DONTE</v>
      </c>
      <c r="M141" s="6">
        <f>I141-F141</f>
        <v>2.6365740741312038E-2</v>
      </c>
      <c r="N141" s="7">
        <f>24*60*SUM($M141:$M141)</f>
        <v>37.966666667489335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-16T19:23:20-0600',mode:absolute,to:'2017-10-16T22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4.6399999999999997E-2</v>
      </c>
      <c r="Z141" s="204">
        <f>RIGHT(H141,LEN(H141)-4)/10000</f>
        <v>23.33</v>
      </c>
      <c r="AA141" s="204">
        <f>ABS(Z141-Y141)</f>
        <v>23.2836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/stypes="app*4020*20171017*"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227-16 --locoid 4020 --swversion DE.1.0.9.0 --startMP 204:464 --initTime 2017-10-16T20:23:20 --startdatetime 2017-10-16T20:30:15 --delay 64 --endMP 204:233300 --enddatetime 2017-10-16T21:08:13 --enforcementcount 0 &gt;&gt;%USERPROFILE%\Documents\GitHub\eaglep3-reporting\EC\2017-10-16-refined-times.txt</v>
      </c>
      <c r="AI141" s="96" t="str">
        <f t="shared" si="11"/>
        <v>echo {"issue":{"subject":"","project_id":79,"tracker_id":40,"status_id":1,"priority_id":2,"assigned_to_id":338,"start_date":"2017-10-16","description":"","custom_fields":[{"id":1,"name":"Subdivision","value":"EC"},{"id":4,"name":"Milepost","value":"23.33"},{"id":17,"name":"Train ID","value":"227-16"},{"id":16,"name":"Locomotive ID","value":"4020"},{"id":130,"name":"Impact","value":""},{"id":150,"name":"Time of Event (Mountain Time)","value":"21:08:13"},{"id":151,"name":"Denver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4020 --day 2017-10-16</v>
      </c>
      <c r="AN14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-16T19:23:20-0600',mode:absolute,to:'2017-10-16T22:08:13-0600'))&amp;_a=(columns:!('Message%20ID',Summary),filters:!(),index:'emp_*',interval:auto,query:(query_string:(analyze_wildcard:!t,query:'%22rtdc.l.rtdc.4020%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816</v>
      </c>
      <c r="B142" s="7">
        <v>4019</v>
      </c>
      <c r="C142" s="21" t="s">
        <v>194</v>
      </c>
      <c r="D142" s="21" t="s">
        <v>436</v>
      </c>
      <c r="E142" s="13">
        <v>43024.889444444445</v>
      </c>
      <c r="F142" s="13">
        <v>43024.894189814811</v>
      </c>
      <c r="G142" s="7">
        <v>76</v>
      </c>
      <c r="H142" s="21" t="s">
        <v>374</v>
      </c>
      <c r="I142" s="13">
        <v>43024.922546296293</v>
      </c>
      <c r="J142" s="7">
        <v>0</v>
      </c>
      <c r="K142" s="89" t="str">
        <f>IF(ISEVEN(B142),(B142-1)&amp;"/"&amp;B142,B142&amp;"/"&amp;(B142+1))</f>
        <v>4019/4020</v>
      </c>
      <c r="L142" s="185" t="str">
        <f>VLOOKUP(A142,'Trips&amp;Operators'!$C$1:$G$99911,5,FALSE)</f>
        <v>WILLIAMS DONTE</v>
      </c>
      <c r="M142" s="6">
        <f>I142-F142</f>
        <v>2.8356481481750961E-2</v>
      </c>
      <c r="N142" s="7">
        <f>24*60*SUM($M142:$M142)</f>
        <v>40.833333333721384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-16T20:20:48-0600',mode:absolute,to:'2017-10-16T23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23.2989</v>
      </c>
      <c r="Z142" s="204">
        <f>RIGHT(H142,LEN(H142)-4)/10000</f>
        <v>1.54E-2</v>
      </c>
      <c r="AA142" s="204">
        <f>ABS(Z142-Y142)</f>
        <v>23.2835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/stypes="app*4019*20171017*"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ref="AH142:AH206" si="1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228-16 --locoid 4019 --swversion DE.1.0.9.0 --startMP 204:232989 --initTime 2017-10-16T21:20:48 --startdatetime 2017-10-16T21:27:38 --delay 76 --endMP 204:154 --enddatetime 2017-10-16T22:08:28 --enforcementcount 0 &gt;&gt;%USERPROFILE%\Documents\GitHub\eaglep3-reporting\EC\2017-10-16-refined-times.txt</v>
      </c>
      <c r="AI142" s="96" t="str">
        <f t="shared" ref="AI142:AI206" si="1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{"issue":{"subject":"","project_id":79,"tracker_id":40,"status_id":1,"priority_id":2,"assigned_to_id":338,"start_date":"2017-10-16","description":"","custom_fields":[{"id":1,"name":"Subdivision","value":"EC"},{"id":4,"name":"Milepost","value":"0.0154"},{"id":17,"name":"Train ID","value":"228-16"},{"id":16,"name":"Locomotive ID","value":"4019"},{"id":130,"name":"Impact","value":""},{"id":150,"name":"Time of Event (Mountain Time)","value":"22:08:28"},{"id":151,"name":"Denver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6" si="17">"start /low /b "&amp;dls3logs&amp;" --loco "&amp;B142&amp;" --day "&amp;TEXT(F142,"YYYY-MM-DD")</f>
        <v>start /low /b %USERPROFILE%\Documents\GitHub\eaglep3\Utilities\DownloadLogsFromS3.py --loco 4019 --day 2017-10-16</v>
      </c>
      <c r="AN142" s="151" t="str">
        <f t="shared" ref="AN142:AN206" si="1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6" si="1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-16T20:20:48-0600',mode:absolute,to:'2017-10-16T23:08:28-0600'))&amp;_a=(columns:!('Message%20ID',Summary),filters:!(),index:'emp_*',interval:auto,query:(query_string:(analyze_wildcard:!t,query:'%22rtdc.l.rtdc.4019%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806</v>
      </c>
      <c r="B143" s="7">
        <v>4018</v>
      </c>
      <c r="C143" s="21" t="s">
        <v>194</v>
      </c>
      <c r="D143" s="21" t="s">
        <v>363</v>
      </c>
      <c r="E143" s="13">
        <v>43024.859837962962</v>
      </c>
      <c r="F143" s="13">
        <v>43024.8752662037</v>
      </c>
      <c r="G143" s="7">
        <v>329</v>
      </c>
      <c r="H143" s="21" t="s">
        <v>516</v>
      </c>
      <c r="I143" s="13">
        <v>43024.899861111109</v>
      </c>
      <c r="J143" s="7">
        <v>0</v>
      </c>
      <c r="K143" s="89" t="str">
        <f>IF(ISEVEN(B143),(B143-1)&amp;"/"&amp;B143,B143&amp;"/"&amp;(B143+1))</f>
        <v>4017/4018</v>
      </c>
      <c r="L143" s="185" t="str">
        <f>VLOOKUP(A143,'Trips&amp;Operators'!$C$1:$G$99911,5,FALSE)</f>
        <v>GUNTHIER ERIC</v>
      </c>
      <c r="M143" s="6">
        <f>I143-F143</f>
        <v>2.4594907408754807E-2</v>
      </c>
      <c r="N143" s="7">
        <f>24*60*SUM($M143:$M143)</f>
        <v>35.416666668606922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-16T19:38:10-0600',mode:absolute,to:'2017-10-16T22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4.5999999999999999E-2</v>
      </c>
      <c r="Z143" s="204">
        <f>RIGHT(H143,LEN(H143)-4)/10000</f>
        <v>23.332899999999999</v>
      </c>
      <c r="AA143" s="204">
        <f>ABS(Z143-Y143)</f>
        <v>23.286899999999999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/stypes="app*4018*20171017*" /stext=" 03:.+((SYSTEM_STATE.+slice.+state.+changed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5"/>
        <v>"%USERPROFILE%\Documents\GitHub\eaglep3\Utilities\RefineRTDCRunTimes.py" --tripid 229-16 --locoid 4018 --swversion DE.1.0.9.0 --startMP 204:460 --initTime 2017-10-16T20:38:10 --startdatetime 2017-10-16T21:00:23 --delay 329 --endMP 204:233329 --enddatetime 2017-10-16T21:35:48 --enforcementcount 0 &gt;&gt;%USERPROFILE%\Documents\GitHub\eaglep3-reporting\EC\2017-10-16-refined-times.txt</v>
      </c>
      <c r="AI143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{"issue":{"subject":"","project_id":79,"tracker_id":40,"status_id":1,"priority_id":2,"assigned_to_id":338,"start_date":"2017-10-16","description":"","custom_fields":[{"id":1,"name":"Subdivision","value":"EC"},{"id":4,"name":"Milepost","value":"23.3329"},{"id":17,"name":"Train ID","value":"229-16"},{"id":16,"name":"Locomotive ID","value":"4018"},{"id":130,"name":"Impact","value":""},{"id":150,"name":"Time of Event (Mountain Time)","value":"21:35:48"},{"id":151,"name":"Denver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7"/>
        <v>start /low /b %USERPROFILE%\Documents\GitHub\eaglep3\Utilities\DownloadLogsFromS3.py --loco 4018 --day 2017-10-16</v>
      </c>
      <c r="AN143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9"/>
        <v>https://d0f6bd738d7f1b3e5a7ca70fe4ff75f0.us-east-1.aws.found.io/app/kibana#/discover/Steve-Slow-Train-Analysis-(2080s-and-2083s)?_g=(refreshInterval:(display:Off,pause:!f,section:0,value:0),time:(from:'2017-10-16T19:38:10-0600',mode:absolute,to:'2017-10-16T22:35:48-0600'))&amp;_a=(columns:!('Message%20ID',Summary),filters:!(),index:'emp_*',interval:auto,query:(query_string:(analyze_wildcard:!t,query:'%22rtdc.l.rtdc.4018%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605</v>
      </c>
      <c r="B144" s="7">
        <v>4017</v>
      </c>
      <c r="C144" s="21" t="s">
        <v>194</v>
      </c>
      <c r="D144" s="21" t="s">
        <v>895</v>
      </c>
      <c r="E144" s="13">
        <v>43024.900833333333</v>
      </c>
      <c r="F144" s="13">
        <v>43024.914861111109</v>
      </c>
      <c r="G144" s="7">
        <v>59</v>
      </c>
      <c r="H144" s="21" t="s">
        <v>469</v>
      </c>
      <c r="I144" s="13">
        <v>43024.940925925926</v>
      </c>
      <c r="J144" s="7">
        <v>0</v>
      </c>
      <c r="K144" s="89" t="str">
        <f>IF(ISEVEN(B144),(B144-1)&amp;"/"&amp;B144,B144&amp;"/"&amp;(B144+1))</f>
        <v>4017/4018</v>
      </c>
      <c r="L144" s="185" t="str">
        <f>VLOOKUP(A144,'Trips&amp;Operators'!$C$1:$G$99911,5,FALSE)</f>
        <v>ELBAUM MIKE</v>
      </c>
      <c r="M144" s="6">
        <f>I144-F144</f>
        <v>2.6064814817800652E-2</v>
      </c>
      <c r="N144" s="7">
        <f>24*60*SUM($M144:$M144)</f>
        <v>37.533333337632939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-16T20:37:12-0600',mode:absolute,to:'2017-10-16T23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23.300999999999998</v>
      </c>
      <c r="Z144" s="204">
        <f>RIGHT(H144,LEN(H144)-4)/10000</f>
        <v>1.38E-2</v>
      </c>
      <c r="AA144" s="204">
        <f>ABS(Z144-Y144)</f>
        <v>23.287199999999999</v>
      </c>
      <c r="AB144" s="54" t="str">
        <f>VLOOKUP(A144,Enforcements!$C$7:$K$11,8,0)</f>
        <v>Bulletin (2)</v>
      </c>
      <c r="AC144" s="51" t="str">
        <f>VLOOKUP(A144,Enforcements!$C$7:$E$11,3,0)</f>
        <v>GRADE CROSSING</v>
      </c>
      <c r="AD144" s="179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/stypes="app*4017*20171017*"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15"/>
        <v>"%USERPROFILE%\Documents\GitHub\eaglep3\Utilities\RefineRTDCRunTimes.py" --tripid 230-16 --locoid 4017 --swversion DE.1.0.9.0 --startMP 204:233010 --initTime 2017-10-16T21:37:12 --startdatetime 2017-10-16T21:57:24 --delay 59 --endMP 204:138 --enddatetime 2017-10-16T22:34:56 --enforcementcount 0 &gt;&gt;%USERPROFILE%\Documents\GitHub\eaglep3-reporting\EC\2017-10-16-refined-times.txt</v>
      </c>
      <c r="AI144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ID","value":"230-16"},{"id":16,"name":"Locomotive ID","value":"4017"},{"id":130,"name":"Impact","value":""},{"id":150,"name":"Time of Event (Mountain Time)","value":"22:34:56"},{"id":151,"name":"Denver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7"/>
        <v>start /low /b %USERPROFILE%\Documents\GitHub\eaglep3\Utilities\DownloadLogsFromS3.py --loco 4017 --day 2017-10-16</v>
      </c>
      <c r="AN144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19"/>
        <v>https://d0f6bd738d7f1b3e5a7ca70fe4ff75f0.us-east-1.aws.found.io/app/kibana#/discover/Steve-Slow-Train-Analysis-(2080s-and-2083s)?_g=(refreshInterval:(display:Off,pause:!f,section:0,value:0),time:(from:'2017-10-16T20:37:12-0600',mode:absolute,to:'2017-10-16T23:34:56-0600'))&amp;_a=(columns:!('Message%20ID',Summary),filters:!(),index:'emp_*',interval:auto,query:(query_string:(analyze_wildcard:!t,query:'%22rtdc.l.rtdc.4017%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815</v>
      </c>
      <c r="B145" s="7">
        <v>4030</v>
      </c>
      <c r="C145" s="21" t="s">
        <v>194</v>
      </c>
      <c r="D145" s="21" t="s">
        <v>475</v>
      </c>
      <c r="E145" s="13">
        <v>43024.883576388886</v>
      </c>
      <c r="F145" s="13">
        <v>43024.896053240744</v>
      </c>
      <c r="G145" s="7">
        <v>90</v>
      </c>
      <c r="H145" s="21" t="s">
        <v>573</v>
      </c>
      <c r="I145" s="13">
        <v>43024.920266203706</v>
      </c>
      <c r="J145" s="7">
        <v>0</v>
      </c>
      <c r="K145" s="89" t="str">
        <f>IF(ISEVEN(B145),(B145-1)&amp;"/"&amp;B145,B145&amp;"/"&amp;(B145+1))</f>
        <v>4029/4030</v>
      </c>
      <c r="L145" s="185" t="str">
        <f>VLOOKUP(A145,'Trips&amp;Operators'!$C$1:$G$99911,5,FALSE)</f>
        <v>LOZA FIDEL</v>
      </c>
      <c r="M145" s="6">
        <f>I145-F145</f>
        <v>2.421296296233777E-2</v>
      </c>
      <c r="N145" s="7">
        <f>24*60*SUM($M145:$M145)</f>
        <v>34.866666665766388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-16T20:12:21-0600',mode:absolute,to:'2017-10-16T23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4.3299999999999998E-2</v>
      </c>
      <c r="Z145" s="204">
        <f>RIGHT(H145,LEN(H145)-4)/10000</f>
        <v>23.333400000000001</v>
      </c>
      <c r="AA145" s="204">
        <f>ABS(Z145-Y145)</f>
        <v>23.290100000000002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/stypes="app*4030*20171017*"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5"/>
        <v>"%USERPROFILE%\Documents\GitHub\eaglep3\Utilities\RefineRTDCRunTimes.py" --tripid 231-16 --locoid 4030 --swversion DE.1.0.9.0 --startMP 204:433 --initTime 2017-10-16T21:12:21 --startdatetime 2017-10-16T21:30:19 --delay 90 --endMP 204:233334 --enddatetime 2017-10-16T22:05:11 --enforcementcount 0 &gt;&gt;%USERPROFILE%\Documents\GitHub\eaglep3-reporting\EC\2017-10-16-refined-times.txt</v>
      </c>
      <c r="AI145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{"issue":{"subject":"","project_id":79,"tracker_id":40,"status_id":1,"priority_id":2,"assigned_to_id":338,"start_date":"2017-10-16","description":"","custom_fields":[{"id":1,"name":"Subdivision","value":"EC"},{"id":4,"name":"Milepost","value":"23.3334"},{"id":17,"name":"Train ID","value":"231-16"},{"id":16,"name":"Locomotive ID","value":"4030"},{"id":130,"name":"Impact","value":""},{"id":150,"name":"Time of Event (Mountain Time)","value":"22:05:11"},{"id":151,"name":"Denver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7"/>
        <v>start /low /b %USERPROFILE%\Documents\GitHub\eaglep3\Utilities\DownloadLogsFromS3.py --loco 4030 --day 2017-10-16</v>
      </c>
      <c r="AN145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9"/>
        <v>https://d0f6bd738d7f1b3e5a7ca70fe4ff75f0.us-east-1.aws.found.io/app/kibana#/discover/Steve-Slow-Train-Analysis-(2080s-and-2083s)?_g=(refreshInterval:(display:Off,pause:!f,section:0,value:0),time:(from:'2017-10-16T20:12:21-0600',mode:absolute,to:'2017-10-16T23:05:11-0600'))&amp;_a=(columns:!('Message%20ID',Summary),filters:!(),index:'emp_*',interval:auto,query:(query_string:(analyze_wildcard:!t,query:'%22rtdc.l.rtdc.4030%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820</v>
      </c>
      <c r="B146" s="7">
        <v>4029</v>
      </c>
      <c r="C146" s="21" t="s">
        <v>194</v>
      </c>
      <c r="D146" s="21" t="s">
        <v>896</v>
      </c>
      <c r="E146" s="13">
        <v>43024.934282407405</v>
      </c>
      <c r="F146" s="13">
        <v>43024.936111111114</v>
      </c>
      <c r="G146" s="7">
        <v>70</v>
      </c>
      <c r="H146" s="21" t="s">
        <v>469</v>
      </c>
      <c r="I146" s="13">
        <v>43024.961469907408</v>
      </c>
      <c r="J146" s="7">
        <v>0</v>
      </c>
      <c r="K146" s="89" t="str">
        <f>IF(ISEVEN(B146),(B146-1)&amp;"/"&amp;B146,B146&amp;"/"&amp;(B146+1))</f>
        <v>4029/4030</v>
      </c>
      <c r="L146" s="185" t="str">
        <f>VLOOKUP(A146,'Trips&amp;Operators'!$C$1:$G$99911,5,FALSE)</f>
        <v>LOZA FIDEL</v>
      </c>
      <c r="M146" s="6">
        <f>I146-F146</f>
        <v>2.5358796294312924E-2</v>
      </c>
      <c r="N146" s="7">
        <f>24*60*SUM($M146:$M146)</f>
        <v>36.516666663810611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-16T21:25:22-0600',mode:absolute,to:'2017-10-17T00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23.304500000000001</v>
      </c>
      <c r="Z146" s="204">
        <f>RIGHT(H146,LEN(H146)-4)/10000</f>
        <v>1.38E-2</v>
      </c>
      <c r="AA146" s="204">
        <f>ABS(Z146-Y146)</f>
        <v>23.290700000000001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/stypes="app*4029*20171017*"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15"/>
        <v>"%USERPROFILE%\Documents\GitHub\eaglep3\Utilities\RefineRTDCRunTimes.py" --tripid 232-16 --locoid 4029 --swversion DE.1.0.9.0 --startMP 204:233045 --initTime 2017-10-16T22:25:22 --startdatetime 2017-10-16T22:28:00 --delay 70 --endMP 204:138 --enddatetime 2017-10-16T23:04:31 --enforcementcount 0 &gt;&gt;%USERPROFILE%\Documents\GitHub\eaglep3-reporting\EC\2017-10-16-refined-times.txt</v>
      </c>
      <c r="AI146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ID","value":"232-16"},{"id":16,"name":"Locomotive ID","value":"4029"},{"id":130,"name":"Impact","value":""},{"id":150,"name":"Time of Event (Mountain Time)","value":"23:04:31"},{"id":151,"name":"Denver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17"/>
        <v>start /low /b %USERPROFILE%\Documents\GitHub\eaglep3\Utilities\DownloadLogsFromS3.py --loco 4029 --day 2017-10-16</v>
      </c>
      <c r="AN146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19"/>
        <v>https://d0f6bd738d7f1b3e5a7ca70fe4ff75f0.us-east-1.aws.found.io/app/kibana#/discover/Steve-Slow-Train-Analysis-(2080s-and-2083s)?_g=(refreshInterval:(display:Off,pause:!f,section:0,value:0),time:(from:'2017-10-16T21:25:22-0600',mode:absolute,to:'2017-10-17T00:04:31-0600'))&amp;_a=(columns:!('Message%20ID',Summary),filters:!(),index:'emp_*',interval:auto,query:(query_string:(analyze_wildcard:!t,query:'%22rtdc.l.rtdc.4029%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818</v>
      </c>
      <c r="B147" s="7">
        <v>4026</v>
      </c>
      <c r="C147" s="21" t="s">
        <v>194</v>
      </c>
      <c r="D147" s="21" t="s">
        <v>338</v>
      </c>
      <c r="E147" s="13">
        <v>43024.896238425928</v>
      </c>
      <c r="F147" s="13">
        <v>43024.91684027778</v>
      </c>
      <c r="G147" s="7">
        <v>97</v>
      </c>
      <c r="H147" s="21" t="s">
        <v>897</v>
      </c>
      <c r="I147" s="13">
        <v>43024.94159722222</v>
      </c>
      <c r="J147" s="7">
        <v>0</v>
      </c>
      <c r="K147" s="89" t="str">
        <f>IF(ISEVEN(B147),(B147-1)&amp;"/"&amp;B147,B147&amp;"/"&amp;(B147+1))</f>
        <v>4025/4026</v>
      </c>
      <c r="L147" s="185" t="str">
        <f>VLOOKUP(A147,'Trips&amp;Operators'!$C$1:$G$99911,5,FALSE)</f>
        <v>DUNCAN SHEILA</v>
      </c>
      <c r="M147" s="6">
        <f>I147-F147</f>
        <v>2.4756944440014195E-2</v>
      </c>
      <c r="N147" s="7">
        <f>24*60*SUM($M147:$M147)</f>
        <v>35.64999999362044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-16T20:30:35-0600',mode:absolute,to:'2017-10-16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4.53E-2</v>
      </c>
      <c r="Z147" s="204">
        <f>RIGHT(H147,LEN(H147)-4)/10000</f>
        <v>23.336300000000001</v>
      </c>
      <c r="AA147" s="204">
        <f>ABS(Z147-Y147)</f>
        <v>23.291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/stypes="app*4026*20171017*" /stext=" 04:.+((SYSTEM_STATE.+slice.+state.+changed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15"/>
        <v>"%USERPROFILE%\Documents\GitHub\eaglep3\Utilities\RefineRTDCRunTimes.py" --tripid 233-16 --locoid 4026 --swversion DE.1.0.9.0 --startMP 204:453 --initTime 2017-10-16T21:30:35 --startdatetime 2017-10-16T22:00:15 --delay 97 --endMP 204:233363 --enddatetime 2017-10-16T22:35:54 --enforcementcount 0 &gt;&gt;%USERPROFILE%\Documents\GitHub\eaglep3-reporting\EC\2017-10-16-refined-times.txt</v>
      </c>
      <c r="AI147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{"issue":{"subject":"","project_id":79,"tracker_id":40,"status_id":1,"priority_id":2,"assigned_to_id":338,"start_date":"2017-10-16","description":"","custom_fields":[{"id":1,"name":"Subdivision","value":"EC"},{"id":4,"name":"Milepost","value":"23.3363"},{"id":17,"name":"Train ID","value":"233-16"},{"id":16,"name":"Locomotive ID","value":"4026"},{"id":130,"name":"Impact","value":""},{"id":150,"name":"Time of Event (Mountain Time)","value":"22:35:54"},{"id":151,"name":"Denver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17"/>
        <v>start /low /b %USERPROFILE%\Documents\GitHub\eaglep3\Utilities\DownloadLogsFromS3.py --loco 4026 --day 2017-10-16</v>
      </c>
      <c r="AN147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19"/>
        <v>https://d0f6bd738d7f1b3e5a7ca70fe4ff75f0.us-east-1.aws.found.io/app/kibana#/discover/Steve-Slow-Train-Analysis-(2080s-and-2083s)?_g=(refreshInterval:(display:Off,pause:!f,section:0,value:0),time:(from:'2017-10-16T20:30:35-0600',mode:absolute,to:'2017-10-16T23:35:54-0600'))&amp;_a=(columns:!('Message%20ID',Summary),filters:!(),index:'emp_*',interval:auto,query:(query_string:(analyze_wildcard:!t,query:'%22rtdc.l.rtdc.4026%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823</v>
      </c>
      <c r="B148" s="7">
        <v>4025</v>
      </c>
      <c r="C148" s="21" t="s">
        <v>194</v>
      </c>
      <c r="D148" s="21" t="s">
        <v>338</v>
      </c>
      <c r="E148" s="13">
        <v>43024.896238425928</v>
      </c>
      <c r="F148" s="13">
        <v>43024.956620370373</v>
      </c>
      <c r="G148" s="7">
        <v>97</v>
      </c>
      <c r="H148" s="21" t="s">
        <v>897</v>
      </c>
      <c r="I148" s="13">
        <v>43024.984513888892</v>
      </c>
      <c r="J148" s="7">
        <v>0</v>
      </c>
      <c r="K148" s="89" t="str">
        <f>IF(ISEVEN(B148),(B148-1)&amp;"/"&amp;B148,B148&amp;"/"&amp;(B148+1))</f>
        <v>4025/4026</v>
      </c>
      <c r="L148" s="185" t="str">
        <f>VLOOKUP(A148,'Trips&amp;Operators'!$C$1:$G$99911,5,FALSE)</f>
        <v>DUNCAN SHEILA</v>
      </c>
      <c r="M148" s="6">
        <f>I148-F148</f>
        <v>2.789351851970423E-2</v>
      </c>
      <c r="N148" s="7">
        <f>24*60*SUM($M148:$M148)</f>
        <v>40.166666668374091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-16T20:30:35-0600',mode:absolute,to:'2017-10-17T00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8" s="204" t="str">
        <f>IF(AA148&lt;VLOOKUP(AG148,Variables!$AC$3:$AD$8,2,FALSE),"Y","N")</f>
        <v>N</v>
      </c>
      <c r="X148" s="204">
        <f t="shared" ref="X148:X149" si="20">VALUE(LEFT(AD148,4))-VALUE(LEFT(AD147,4))</f>
        <v>1</v>
      </c>
      <c r="Y148" s="204">
        <v>23.304500000000001</v>
      </c>
      <c r="Z148" s="204">
        <v>1.38E-2</v>
      </c>
      <c r="AA148" s="204">
        <f>ABS(Z148-Y148)</f>
        <v>23.290700000000001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/stypes="app*4025*20171017*"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ref="AH148" si="21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234-16 --locoid 4025 --swversion DE.1.0.9.0 --startMP 204:453 --initTime 2017-10-16T21:30:35 --startdatetime 2017-10-16T22:57:32 --delay 97 --endMP 204:233363 --enddatetime 2017-10-16T23:37:42 --enforcementcount 0 &gt;&gt;%USERPROFILE%\Documents\GitHub\eaglep3-reporting\EC\2017-10-16-refined-times.txt</v>
      </c>
      <c r="AI148" s="96" t="str">
        <f t="shared" ref="AI148" si="22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ID","value":"234-16"},{"id":16,"name":"Locomotive ID","value":"4025"},{"id":130,"name":"Impact","value":""},{"id":150,"name":"Time of Event (Mountain Time)","value":"23:37:42"},{"id":151,"name":"Denver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ref="AM148" si="23">"start /low /b "&amp;dls3logs&amp;" --loco "&amp;B148&amp;" --day "&amp;TEXT(F148,"YYYY-MM-DD")</f>
        <v>start /low /b %USERPROFILE%\Documents\GitHub\eaglep3\Utilities\DownloadLogsFromS3.py --loco 4025 --day 2017-10-16</v>
      </c>
      <c r="AN148" s="151" t="str">
        <f t="shared" ref="AN148" si="24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ref="AO148" si="25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-16T20:30:35-0600',mode:absolute,to:'2017-10-17T00:37:42-0600'))&amp;_a=(columns:!('Message%20ID',Summary),filters:!(),index:'emp_*',interval:auto,query:(query_string:(analyze_wildcard:!t,query:'%22rtdc.l.rtdc.4025%22')),sort:!(Time.ISO8601,asc))</v>
      </c>
    </row>
    <row r="149" spans="1:91" s="20" customFormat="1" x14ac:dyDescent="0.3">
      <c r="A149" s="32" t="s">
        <v>607</v>
      </c>
      <c r="B149" s="7">
        <v>4020</v>
      </c>
      <c r="C149" s="21" t="s">
        <v>194</v>
      </c>
      <c r="D149" s="21" t="s">
        <v>363</v>
      </c>
      <c r="E149" s="13">
        <v>43024.931701388887</v>
      </c>
      <c r="F149" s="13">
        <v>43024.937708333331</v>
      </c>
      <c r="G149" s="7">
        <v>81</v>
      </c>
      <c r="H149" s="21" t="s">
        <v>853</v>
      </c>
      <c r="I149" s="13">
        <v>43024.964814814812</v>
      </c>
      <c r="J149" s="7">
        <v>0</v>
      </c>
      <c r="K149" s="89" t="str">
        <f>IF(ISEVEN(B149),(B149-1)&amp;"/"&amp;B149,B149&amp;"/"&amp;(B149+1))</f>
        <v>4019/4020</v>
      </c>
      <c r="L149" s="185" t="str">
        <f>VLOOKUP(A149,'Trips&amp;Operators'!$C$1:$G$99911,5,FALSE)</f>
        <v>WILLIAMS DONTE</v>
      </c>
      <c r="M149" s="6">
        <f>I149-F149</f>
        <v>2.7106481480586808E-2</v>
      </c>
      <c r="N149" s="7">
        <f>24*60*SUM($M149:$M149)</f>
        <v>39.033333332045004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-16T21:21:39-0600',mode:absolute,to:'2017-10-17T00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204" t="str">
        <f>IF(AA149&lt;VLOOKUP(AG149,Variables!$AC$3:$AD$8,2,FALSE),"Y","N")</f>
        <v>N</v>
      </c>
      <c r="X149" s="204">
        <f t="shared" si="20"/>
        <v>1</v>
      </c>
      <c r="Y149" s="204">
        <f>RIGHT(D149,LEN(D149)-4)/10000</f>
        <v>4.5999999999999999E-2</v>
      </c>
      <c r="Z149" s="204">
        <f>RIGHT(H149,LEN(H149)-4)/10000</f>
        <v>23.329799999999999</v>
      </c>
      <c r="AA149" s="204">
        <f>ABS(Z149-Y149)</f>
        <v>23.283799999999999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/stypes="app*4020*20171017*"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15"/>
        <v>"%USERPROFILE%\Documents\GitHub\eaglep3\Utilities\RefineRTDCRunTimes.py" --tripid 235-16 --locoid 4020 --swversion DE.1.0.9.0 --startMP 204:460 --initTime 2017-10-16T22:21:39 --startdatetime 2017-10-16T22:30:18 --delay 81 --endMP 204:233298 --enddatetime 2017-10-16T23:09:20 --enforcementcount 0 &gt;&gt;%USERPROFILE%\Documents\GitHub\eaglep3-reporting\EC\2017-10-16-refined-times.txt</v>
      </c>
      <c r="AI149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{"issue":{"subject":"","project_id":79,"tracker_id":40,"status_id":1,"priority_id":2,"assigned_to_id":338,"start_date":"2017-10-16","description":"","custom_fields":[{"id":1,"name":"Subdivision","value":"EC"},{"id":4,"name":"Milepost","value":"23.3298"},{"id":17,"name":"Train ID","value":"235-16"},{"id":16,"name":"Locomotive ID","value":"4020"},{"id":130,"name":"Impact","value":""},{"id":150,"name":"Time of Event (Mountain Time)","value":"23:09:20"},{"id":151,"name":"Denver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17"/>
        <v>start /low /b %USERPROFILE%\Documents\GitHub\eaglep3\Utilities\DownloadLogsFromS3.py --loco 4020 --day 2017-10-16</v>
      </c>
      <c r="AN149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19"/>
        <v>https://d0f6bd738d7f1b3e5a7ca70fe4ff75f0.us-east-1.aws.found.io/app/kibana#/discover/Steve-Slow-Train-Analysis-(2080s-and-2083s)?_g=(refreshInterval:(display:Off,pause:!f,section:0,value:0),time:(from:'2017-10-16T21:21:39-0600',mode:absolute,to:'2017-10-17T00:09:20-0600'))&amp;_a=(columns:!('Message%20ID',Summary),filters:!(),index:'emp_*',interval:auto,query:(query_string:(analyze_wildcard:!t,query:'%22rtdc.l.rtdc.4020%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825</v>
      </c>
      <c r="B150" s="7">
        <v>4019</v>
      </c>
      <c r="C150" s="21" t="s">
        <v>194</v>
      </c>
      <c r="D150" s="21" t="s">
        <v>560</v>
      </c>
      <c r="E150" s="13">
        <v>43024.971215277779</v>
      </c>
      <c r="F150" s="13">
        <v>43024.977280092593</v>
      </c>
      <c r="G150" s="7">
        <v>58</v>
      </c>
      <c r="H150" s="21" t="s">
        <v>355</v>
      </c>
      <c r="I150" s="13">
        <v>43025.005428240744</v>
      </c>
      <c r="J150" s="7">
        <v>0</v>
      </c>
      <c r="K150" s="89" t="str">
        <f>IF(ISEVEN(B150),(B150-1)&amp;"/"&amp;B150,B150&amp;"/"&amp;(B150+1))</f>
        <v>4019/4020</v>
      </c>
      <c r="L150" s="185" t="str">
        <f>VLOOKUP(A150,'Trips&amp;Operators'!$C$1:$G$99911,5,FALSE)</f>
        <v>WILLIAMS DONTE</v>
      </c>
      <c r="M150" s="6">
        <f>I150-F150</f>
        <v>2.8148148150648922E-2</v>
      </c>
      <c r="N150" s="7">
        <f>24*60*SUM($M150:$M150)</f>
        <v>40.533333336934447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-16T22:18:33-0600',mode:absolute,to:'2017-10-17T01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23.298300000000001</v>
      </c>
      <c r="Z150" s="204">
        <f>RIGHT(H150,LEN(H150)-4)/10000</f>
        <v>1.52E-2</v>
      </c>
      <c r="AA150" s="204">
        <f>ABS(Z150-Y150)</f>
        <v>23.283100000000001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/stypes="app*4019*20171017*"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15"/>
        <v>"%USERPROFILE%\Documents\GitHub\eaglep3\Utilities\RefineRTDCRunTimes.py" --tripid 236-16 --locoid 4019 --swversion DE.1.0.9.0 --startMP 204:232983 --initTime 2017-10-16T23:18:33 --startdatetime 2017-10-16T23:27:17 --delay 58 --endMP 204:152 --enddatetime 2017-10-17T00:07:49 --enforcementcount 0 &gt;&gt;%USERPROFILE%\Documents\GitHub\eaglep3-reporting\EC\2017-10-16-refined-times.txt</v>
      </c>
      <c r="AI150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ID","value":"236-16"},{"id":16,"name":"Locomotive ID","value":"4019"},{"id":130,"name":"Impact","value":""},{"id":150,"name":"Time of Event (Mountain Time)","value":"00:07:49"},{"id":151,"name":"Denver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17"/>
        <v>start /low /b %USERPROFILE%\Documents\GitHub\eaglep3\Utilities\DownloadLogsFromS3.py --loco 4019 --day 2017-10-16</v>
      </c>
      <c r="AN150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19"/>
        <v>https://d0f6bd738d7f1b3e5a7ca70fe4ff75f0.us-east-1.aws.found.io/app/kibana#/discover/Steve-Slow-Train-Analysis-(2080s-and-2083s)?_g=(refreshInterval:(display:Off,pause:!f,section:0,value:0),time:(from:'2017-10-16T22:18:33-0600',mode:absolute,to:'2017-10-17T01:07:49-0600'))&amp;_a=(columns:!('Message%20ID',Summary),filters:!(),index:'emp_*',interval:auto,query:(query_string:(analyze_wildcard:!t,query:'%22rtdc.l.rtdc.4019%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822</v>
      </c>
      <c r="B151" s="7">
        <v>4018</v>
      </c>
      <c r="C151" s="21" t="s">
        <v>194</v>
      </c>
      <c r="D151" s="21" t="s">
        <v>376</v>
      </c>
      <c r="E151" s="13">
        <v>43024.942025462966</v>
      </c>
      <c r="F151" s="13">
        <v>43024.958483796298</v>
      </c>
      <c r="G151" s="7">
        <v>83</v>
      </c>
      <c r="H151" s="21" t="s">
        <v>371</v>
      </c>
      <c r="I151" s="13">
        <v>43024.982465277775</v>
      </c>
      <c r="J151" s="7">
        <v>0</v>
      </c>
      <c r="K151" s="89" t="str">
        <f>IF(ISEVEN(B151),(B151-1)&amp;"/"&amp;B151,B151&amp;"/"&amp;(B151+1))</f>
        <v>4017/4018</v>
      </c>
      <c r="L151" s="185" t="str">
        <f>VLOOKUP(A151,'Trips&amp;Operators'!$C$1:$G$99911,5,FALSE)</f>
        <v>ELBAUM MIKE</v>
      </c>
      <c r="M151" s="6">
        <f>I151-F151</f>
        <v>2.3981481477676425E-2</v>
      </c>
      <c r="N151" s="7">
        <f>24*60*SUM($M151:$M151)</f>
        <v>34.533333327854052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-16T21:36:31-0600',mode:absolute,to:'2017-10-17T00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4.4699999999999997E-2</v>
      </c>
      <c r="Z151" s="204">
        <f>RIGHT(H151,LEN(H151)-4)/10000</f>
        <v>23.331199999999999</v>
      </c>
      <c r="AA151" s="204">
        <f>ABS(Z151-Y151)</f>
        <v>23.2865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/stypes="app*4018*20171017*" /stext=" 05:.+((SYSTEM_STATE.+slice.+state.+changed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15"/>
        <v>"%USERPROFILE%\Documents\GitHub\eaglep3\Utilities\RefineRTDCRunTimes.py" --tripid 237-16 --locoid 4018 --swversion DE.1.0.9.0 --startMP 204:447 --initTime 2017-10-16T22:36:31 --startdatetime 2017-10-16T23:00:13 --delay 83 --endMP 204:233312 --enddatetime 2017-10-16T23:34:45 --enforcementcount 0 &gt;&gt;%USERPROFILE%\Documents\GitHub\eaglep3-reporting\EC\2017-10-16-refined-times.txt</v>
      </c>
      <c r="AI151" s="96" t="str">
        <f t="shared" si="16"/>
        <v>echo {"issue":{"subject":"","project_id":79,"tracker_id":40,"status_id":1,"priority_id":2,"assigned_to_id":338,"start_date":"2017-10-16","description":"","custom_fields":[{"id":1,"name":"Subdivision","value":"EC"},{"id":4,"name":"Milepost","value":"23.3312"},{"id":17,"name":"Train ID","value":"237-16"},{"id":16,"name":"Locomotive ID","value":"4018"},{"id":130,"name":"Impact","value":""},{"id":150,"name":"Time of Event (Mountain Time)","value":"23:34:45"},{"id":151,"name":"Denver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17"/>
        <v>start /low /b %USERPROFILE%\Documents\GitHub\eaglep3\Utilities\DownloadLogsFromS3.py --loco 4018 --day 2017-10-16</v>
      </c>
      <c r="AN151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9"/>
        <v>https://d0f6bd738d7f1b3e5a7ca70fe4ff75f0.us-east-1.aws.found.io/app/kibana#/discover/Steve-Slow-Train-Analysis-(2080s-and-2083s)?_g=(refreshInterval:(display:Off,pause:!f,section:0,value:0),time:(from:'2017-10-16T21:36:31-0600',mode:absolute,to:'2017-10-17T00:34:45-0600'))&amp;_a=(columns:!('Message%20ID',Summary),filters:!(),index:'emp_*',interval:auto,query:(query_string:(analyze_wildcard:!t,query:'%22rtdc.l.rtdc.4018%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828</v>
      </c>
      <c r="B152" s="7">
        <v>4017</v>
      </c>
      <c r="C152" s="21" t="s">
        <v>194</v>
      </c>
      <c r="D152" s="21" t="s">
        <v>436</v>
      </c>
      <c r="E152" s="13">
        <v>43024.99486111111</v>
      </c>
      <c r="F152" s="13">
        <v>43024.998078703706</v>
      </c>
      <c r="G152" s="7">
        <v>49</v>
      </c>
      <c r="H152" s="21" t="s">
        <v>339</v>
      </c>
      <c r="I152" s="13">
        <v>43025.023518518516</v>
      </c>
      <c r="J152" s="7">
        <v>0</v>
      </c>
      <c r="K152" s="89" t="str">
        <f>IF(ISEVEN(B152),(B152-1)&amp;"/"&amp;B152,B152&amp;"/"&amp;(B152+1))</f>
        <v>4017/4018</v>
      </c>
      <c r="L152" s="185" t="str">
        <f>VLOOKUP(A152,'Trips&amp;Operators'!$C$1:$G$99911,5,FALSE)</f>
        <v>ELBAUM MIKE</v>
      </c>
      <c r="M152" s="6">
        <f>I152-F152</f>
        <v>2.5439814809942618E-2</v>
      </c>
      <c r="N152" s="7">
        <f>24*60*SUM($M152:$M152)</f>
        <v>36.63333332631737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-16T22:52:36-0600',mode:absolute,to:'2017-10-17T01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23.2989</v>
      </c>
      <c r="Z152" s="204">
        <f>RIGHT(H152,LEN(H152)-4)/10000</f>
        <v>1.47E-2</v>
      </c>
      <c r="AA152" s="204">
        <f>ABS(Z152-Y152)</f>
        <v>23.284199999999998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/stypes="app*4017*20171017*"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15"/>
        <v>"%USERPROFILE%\Documents\GitHub\eaglep3\Utilities\RefineRTDCRunTimes.py" --tripid 238-16 --locoid 4017 --swversion DE.1.0.9.0 --startMP 204:232989 --initTime 2017-10-16T23:52:36 --startdatetime 2017-10-16T23:57:14 --delay 49 --endMP 204:147 --enddatetime 2017-10-17T00:33:52 --enforcementcount 0 &gt;&gt;%USERPROFILE%\Documents\GitHub\eaglep3-reporting\EC\2017-10-16-refined-times.txt</v>
      </c>
      <c r="AI152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{"issue":{"subject":"","project_id":79,"tracker_id":40,"status_id":1,"priority_id":2,"assigned_to_id":338,"start_date":"2017-10-17","description":"","custom_fields":[{"id":1,"name":"Subdivision","value":"EC"},{"id":4,"name":"Milepost","value":"0.0147"},{"id":17,"name":"Train ID","value":"238-16"},{"id":16,"name":"Locomotive ID","value":"4017"},{"id":130,"name":"Impact","value":""},{"id":150,"name":"Time of Event (Mountain Time)","value":"00:33:52"},{"id":151,"name":"Denver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17"/>
        <v>start /low /b %USERPROFILE%\Documents\GitHub\eaglep3\Utilities\DownloadLogsFromS3.py --loco 4017 --day 2017-10-16</v>
      </c>
      <c r="AN152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06:33:52"},{"id":29,"name":"Sharepoint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9"/>
        <v>https://d0f6bd738d7f1b3e5a7ca70fe4ff75f0.us-east-1.aws.found.io/app/kibana#/discover/Steve-Slow-Train-Analysis-(2080s-and-2083s)?_g=(refreshInterval:(display:Off,pause:!f,section:0,value:0),time:(from:'2017-10-16T22:52:36-0600',mode:absolute,to:'2017-10-17T01:33:52-0600'))&amp;_a=(columns:!('Message%20ID',Summary),filters:!(),index:'emp_*',interval:auto,query:(query_string:(analyze_wildcard:!t,query:'%22rtdc.l.rtdc.4017%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824</v>
      </c>
      <c r="B153" s="7">
        <v>4030</v>
      </c>
      <c r="C153" s="21" t="s">
        <v>194</v>
      </c>
      <c r="D153" s="21" t="s">
        <v>354</v>
      </c>
      <c r="E153" s="13">
        <v>43024.967152777775</v>
      </c>
      <c r="F153" s="13">
        <v>43024.979363425926</v>
      </c>
      <c r="G153" s="7">
        <v>65</v>
      </c>
      <c r="H153" s="21" t="s">
        <v>898</v>
      </c>
      <c r="I153" s="13">
        <v>43025.003379629627</v>
      </c>
      <c r="J153" s="7">
        <v>0</v>
      </c>
      <c r="K153" s="89" t="str">
        <f>IF(ISEVEN(B153),(B153-1)&amp;"/"&amp;B153,B153&amp;"/"&amp;(B153+1))</f>
        <v>4029/4030</v>
      </c>
      <c r="L153" s="185" t="str">
        <f>VLOOKUP(A153,'Trips&amp;Operators'!$C$1:$G$99911,5,FALSE)</f>
        <v>LOZA FIDEL</v>
      </c>
      <c r="M153" s="6">
        <f>I153-F153</f>
        <v>2.4016203700739425E-2</v>
      </c>
      <c r="N153" s="7">
        <f>24*60*SUM($M153:$M153)</f>
        <v>34.583333329064772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-16T22:12:42-0600',mode:absolute,to:'2017-10-17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4.58E-2</v>
      </c>
      <c r="Z153" s="204">
        <f>RIGHT(H153,LEN(H153)-4)/10000</f>
        <v>23.3323</v>
      </c>
      <c r="AA153" s="204">
        <f>ABS(Z153-Y153)</f>
        <v>23.2865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 &amp; 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/stypes="app*4030*20171017*"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15"/>
        <v>"%USERPROFILE%\Documents\GitHub\eaglep3\Utilities\RefineRTDCRunTimes.py" --tripid 239-16 --locoid 4030 --swversion DE.1.0.9.0 --startMP 204:458 --initTime 2017-10-16T23:12:42 --startdatetime 2017-10-16T23:30:17 --delay 65 --endMP 204:233323 --enddatetime 2017-10-17T00:04:52 --enforcementcount 0 &gt;&gt;%USERPROFILE%\Documents\GitHub\eaglep3-reporting\EC\2017-10-16-refined-times.txt</v>
      </c>
      <c r="AI153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{"issue":{"subject":"","project_id":79,"tracker_id":40,"status_id":1,"priority_id":2,"assigned_to_id":338,"start_date":"2017-10-17","description":"","custom_fields":[{"id":1,"name":"Subdivision","value":"EC"},{"id":4,"name":"Milepost","value":"23.3323"},{"id":17,"name":"Train ID","value":"239-16"},{"id":16,"name":"Locomotive ID","value":"4030"},{"id":130,"name":"Impact","value":""},{"id":150,"name":"Time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17"/>
        <v>start /low /b %USERPROFILE%\Documents\GitHub\eaglep3\Utilities\DownloadLogsFromS3.py --loco 4030 --day 2017-10-16</v>
      </c>
      <c r="AN153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9"/>
        <v>https://d0f6bd738d7f1b3e5a7ca70fe4ff75f0.us-east-1.aws.found.io/app/kibana#/discover/Steve-Slow-Train-Analysis-(2080s-and-2083s)?_g=(refreshInterval:(display:Off,pause:!f,section:0,value:0),time:(from:'2017-10-16T22:12:42-0600',mode:absolute,to:'2017-10-17T01:04:52-0600'))&amp;_a=(columns:!('Message%20ID',Summary),filters:!(),index:'emp_*',interval:auto,query:(query_string:(analyze_wildcard:!t,query:'%22rtdc.l.rtdc.4030%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830</v>
      </c>
      <c r="B154" s="7">
        <v>4029</v>
      </c>
      <c r="C154" s="21" t="s">
        <v>194</v>
      </c>
      <c r="D154" s="21" t="s">
        <v>841</v>
      </c>
      <c r="E154" s="13">
        <v>43025.015300925923</v>
      </c>
      <c r="F154" s="13">
        <v>43025.019085648149</v>
      </c>
      <c r="G154" s="7">
        <v>107</v>
      </c>
      <c r="H154" s="21" t="s">
        <v>355</v>
      </c>
      <c r="I154" s="13">
        <v>43025.044872685183</v>
      </c>
      <c r="J154" s="7">
        <v>0</v>
      </c>
      <c r="K154" s="89" t="str">
        <f>IF(ISEVEN(B154),(B154-1)&amp;"/"&amp;B154,B154&amp;"/"&amp;(B154+1))</f>
        <v>4029/4030</v>
      </c>
      <c r="L154" s="185" t="str">
        <f>VLOOKUP(A154,'Trips&amp;Operators'!$C$1:$G$99911,5,FALSE)</f>
        <v>LOZA FIDEL</v>
      </c>
      <c r="M154" s="6">
        <f>I154-F154</f>
        <v>2.5787037033296656E-2</v>
      </c>
      <c r="N154" s="7">
        <f>24*60*SUM($M154:$M154)</f>
        <v>37.133333327947184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-16T23:22:02-0600',mode:absolute,to:'2017-10-17T02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23.3017</v>
      </c>
      <c r="Z154" s="204">
        <f>RIGHT(H154,LEN(H154)-4)/10000</f>
        <v>1.52E-2</v>
      </c>
      <c r="AA154" s="204">
        <f>ABS(Z154-Y154)</f>
        <v>23.2865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 &amp; aws s3 cp s3://rtdc.mdm.uploadarchive.raw/RTDC4029/ "%USERPROFILE%\AppData\Local\Temp\OnboardLogs"\RTDC4029\2017-10-18 --exclude "*" --recursive --include "*20171018*" &amp; "%USERPROFILE%\Documents\GitHub\mrs-test-scripts\Headless Mode &amp; Sideloading\WalkAndUnGZ.bat" "%USERPROFILE%\AppData\Local\Temp\OnboardLogs"\RTDC4029\2017-10-18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/stypes="app*4029*20171017*"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15"/>
        <v>"%USERPROFILE%\Documents\GitHub\eaglep3\Utilities\RefineRTDCRunTimes.py" --tripid 240-16 --locoid 4029 --swversion DE.1.0.9.0 --startMP 204:233017 --initTime 2017-10-17T00:22:02 --startdatetime 2017-10-17T00:27:29 --delay 107 --endMP 204:152 --enddatetime 2017-10-17T01:04:37 --enforcementcount 0 &gt;&gt;%USERPROFILE%\Documents\GitHub\eaglep3-reporting\EC\2017-10-16-refined-times.txt</v>
      </c>
      <c r="AI154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ID","value":"240-16"},{"id":16,"name":"Locomotive ID","value":"4029"},{"id":130,"name":"Impact","value":""},{"id":150,"name":"Time of Event (Mountain Time)","value":"01:04:37"},{"id":151,"name":"Denver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17"/>
        <v>start /low /b %USERPROFILE%\Documents\GitHub\eaglep3\Utilities\DownloadLogsFromS3.py --loco 4029 --day 2017-10-17</v>
      </c>
      <c r="AN154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07:04:37"},{"id":29,"name":"Sharepoint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9"/>
        <v>https://d0f6bd738d7f1b3e5a7ca70fe4ff75f0.us-east-1.aws.found.io/app/kibana#/discover/Steve-Slow-Train-Analysis-(2080s-and-2083s)?_g=(refreshInterval:(display:Off,pause:!f,section:0,value:0),time:(from:'2017-10-16T23:22:02-0600',mode:absolute,to:'2017-10-17T02:04:37-0600'))&amp;_a=(columns:!('Message%20ID',Summary),filters:!(),index:'emp_*',interval:auto,query:(query_string:(analyze_wildcard:!t,query:'%22rtdc.l.rtdc.4029%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827</v>
      </c>
      <c r="B155" s="7">
        <v>4026</v>
      </c>
      <c r="C155" s="21" t="s">
        <v>194</v>
      </c>
      <c r="D155" s="21" t="s">
        <v>380</v>
      </c>
      <c r="E155" s="13">
        <v>43024.987280092595</v>
      </c>
      <c r="F155" s="13">
        <v>43025.000173611108</v>
      </c>
      <c r="G155" s="7">
        <v>64</v>
      </c>
      <c r="H155" s="21" t="s">
        <v>899</v>
      </c>
      <c r="I155" s="13">
        <v>43025.024375000001</v>
      </c>
      <c r="J155" s="7">
        <v>0</v>
      </c>
      <c r="K155" s="89" t="str">
        <f>IF(ISEVEN(B155),(B155-1)&amp;"/"&amp;B155,B155&amp;"/"&amp;(B155+1))</f>
        <v>4025/4026</v>
      </c>
      <c r="L155" s="185" t="str">
        <f>VLOOKUP(A155,'Trips&amp;Operators'!$C$1:$G$99911,5,FALSE)</f>
        <v>DUNCAN SHEILA</v>
      </c>
      <c r="M155" s="6">
        <f>I155-F155</f>
        <v>2.4201388892834075E-2</v>
      </c>
      <c r="N155" s="7">
        <f>24*60*SUM($M155:$M155)</f>
        <v>34.850000005681068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-16T22:41:41-0600',mode:absolute,to:'2017-10-17T01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4.5699999999999998E-2</v>
      </c>
      <c r="Z155" s="204">
        <f>RIGHT(H155,LEN(H155)-4)/10000</f>
        <v>23.339300000000001</v>
      </c>
      <c r="AA155" s="204">
        <f>ABS(Z155-Y155)</f>
        <v>23.293600000000001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 &amp; 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/stypes="app*4026*20171017*" /stext=" 06:.+((SYSTEM_STATE.+slice.+state.+changed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15"/>
        <v>"%USERPROFILE%\Documents\GitHub\eaglep3\Utilities\RefineRTDCRunTimes.py" --tripid 241-16 --locoid 4026 --swversion DE.1.0.9.0 --startMP 204:457 --initTime 2017-10-16T23:41:41 --startdatetime 2017-10-17T00:00:15 --delay 64 --endMP 204:233393 --enddatetime 2017-10-17T00:35:06 --enforcementcount 0 &gt;&gt;%USERPROFILE%\Documents\GitHub\eaglep3-reporting\EC\2017-10-16-refined-times.txt</v>
      </c>
      <c r="AI155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{"issue":{"subject":"","project_id":79,"tracker_id":40,"status_id":1,"priority_id":2,"assigned_to_id":338,"start_date":"2017-10-17","description":"","custom_fields":[{"id":1,"name":"Subdivision","value":"EC"},{"id":4,"name":"Milepost","value":"23.3393"},{"id":17,"name":"Train ID","value":"241-16"},{"id":16,"name":"Locomotive ID","value":"4026"},{"id":130,"name":"Impact","value":""},{"id":150,"name":"Time of Event (Mountain Time)","value":"00:35:06"},{"id":151,"name":"Denver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17"/>
        <v>start /low /b %USERPROFILE%\Documents\GitHub\eaglep3\Utilities\DownloadLogsFromS3.py --loco 4026 --day 2017-10-17</v>
      </c>
      <c r="AN155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06:35:06"},{"id":29,"name":"Sharepoint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9"/>
        <v>https://d0f6bd738d7f1b3e5a7ca70fe4ff75f0.us-east-1.aws.found.io/app/kibana#/discover/Steve-Slow-Train-Analysis-(2080s-and-2083s)?_g=(refreshInterval:(display:Off,pause:!f,section:0,value:0),time:(from:'2017-10-16T22:41:41-0600',mode:absolute,to:'2017-10-17T01:35:06-0600'))&amp;_a=(columns:!('Message%20ID',Summary),filters:!(),index:'emp_*',interval:auto,query:(query_string:(analyze_wildcard:!t,query:'%22rtdc.l.rtdc.4026%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832</v>
      </c>
      <c r="B156" s="7">
        <v>4025</v>
      </c>
      <c r="C156" s="21" t="s">
        <v>194</v>
      </c>
      <c r="D156" s="21" t="s">
        <v>900</v>
      </c>
      <c r="E156" s="13">
        <v>43025.028958333336</v>
      </c>
      <c r="F156" s="13">
        <v>43025.039872685185</v>
      </c>
      <c r="G156" s="7">
        <v>56</v>
      </c>
      <c r="H156" s="21" t="s">
        <v>426</v>
      </c>
      <c r="I156" s="13">
        <v>43025.066342592596</v>
      </c>
      <c r="J156" s="7">
        <v>0</v>
      </c>
      <c r="K156" s="89" t="str">
        <f>IF(ISEVEN(B156),(B156-1)&amp;"/"&amp;B156,B156&amp;"/"&amp;(B156+1))</f>
        <v>4025/4026</v>
      </c>
      <c r="L156" s="185" t="str">
        <f>VLOOKUP(A156,'Trips&amp;Operators'!$C$1:$G$99911,5,FALSE)</f>
        <v>DUNCAN SHEILA</v>
      </c>
      <c r="M156" s="6">
        <f>I156-F156</f>
        <v>2.6469907410501037E-2</v>
      </c>
      <c r="N156" s="7">
        <f>24*60*SUM($M156:$M156)</f>
        <v>38.116666671121493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-16T23:41:42-0600',mode:absolute,to:'2017-10-17T02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23.3049</v>
      </c>
      <c r="Z156" s="204">
        <f>RIGHT(H156,LEN(H156)-4)/10000</f>
        <v>1.6500000000000001E-2</v>
      </c>
      <c r="AA156" s="204">
        <f>ABS(Z156-Y156)</f>
        <v>23.288399999999999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 &amp; aws s3 cp s3://rtdc.mdm.uploadarchive.raw/RTDC4025/ "%USERPROFILE%\AppData\Local\Temp\OnboardLogs"\RTDC4025\2017-10-18 --exclude "*" --recursive --include "*20171018*" &amp; "%USERPROFILE%\Documents\GitHub\mrs-test-scripts\Headless Mode &amp; Sideloading\WalkAndUnGZ.bat" "%USERPROFILE%\AppData\Local\Temp\OnboardLogs"\RTDC4025\2017-10-18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/stypes="app*4025*20171017*"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15"/>
        <v>"%USERPROFILE%\Documents\GitHub\eaglep3\Utilities\RefineRTDCRunTimes.py" --tripid 242-16 --locoid 4025 --swversion DE.1.0.9.0 --startMP 204:233049 --initTime 2017-10-17T00:41:42 --startdatetime 2017-10-17T00:57:25 --delay 56 --endMP 204:165 --enddatetime 2017-10-17T01:35:32 --enforcementcount 0 &gt;&gt;%USERPROFILE%\Documents\GitHub\eaglep3-reporting\EC\2017-10-16-refined-times.txt</v>
      </c>
      <c r="AI156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{"issue":{"subject":"","project_id":79,"tracker_id":40,"status_id":1,"priority_id":2,"assigned_to_id":338,"start_date":"2017-10-17","description":"","custom_fields":[{"id":1,"name":"Subdivision","value":"EC"},{"id":4,"name":"Milepost","value":"0.0165"},{"id":17,"name":"Train ID","value":"242-16"},{"id":16,"name":"Locomotive ID","value":"4025"},{"id":130,"name":"Impact","value":""},{"id":150,"name":"Time of Event (Mountain Time)","value":"01:35:32"},{"id":151,"name":"Denver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17"/>
        <v>start /low /b %USERPROFILE%\Documents\GitHub\eaglep3\Utilities\DownloadLogsFromS3.py --loco 4025 --day 2017-10-17</v>
      </c>
      <c r="AN156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9"/>
        <v>https://d0f6bd738d7f1b3e5a7ca70fe4ff75f0.us-east-1.aws.found.io/app/kibana#/discover/Steve-Slow-Train-Analysis-(2080s-and-2083s)?_g=(refreshInterval:(display:Off,pause:!f,section:0,value:0),time:(from:'2017-10-16T23:41:42-0600',mode:absolute,to:'2017-10-17T02:35:32-0600'))&amp;_a=(columns:!('Message%20ID',Summary),filters:!(),index:'emp_*',interval:auto,query:(query_string:(analyze_wildcard:!t,query:'%22rtdc.l.rtdc.4025%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829</v>
      </c>
      <c r="B157" s="7">
        <v>4020</v>
      </c>
      <c r="C157" s="21" t="s">
        <v>194</v>
      </c>
      <c r="D157" s="21" t="s">
        <v>474</v>
      </c>
      <c r="E157" s="13">
        <v>43025.012118055558</v>
      </c>
      <c r="F157" s="13">
        <v>43025.021006944444</v>
      </c>
      <c r="G157" s="7">
        <v>68</v>
      </c>
      <c r="H157" s="21" t="s">
        <v>413</v>
      </c>
      <c r="I157" s="13">
        <v>43025.046956018516</v>
      </c>
      <c r="J157" s="7">
        <v>0</v>
      </c>
      <c r="K157" s="89" t="str">
        <f>IF(ISEVEN(B157),(B157-1)&amp;"/"&amp;B157,B157&amp;"/"&amp;(B157+1))</f>
        <v>4019/4020</v>
      </c>
      <c r="L157" s="185" t="str">
        <f>VLOOKUP(A157,'Trips&amp;Operators'!$C$1:$G$99911,5,FALSE)</f>
        <v>WILLIAMS DONTE</v>
      </c>
      <c r="M157" s="6">
        <f>I157-F157</f>
        <v>2.5949074071832001E-2</v>
      </c>
      <c r="N157" s="7">
        <f>24*60*SUM($M157:$M157)</f>
        <v>37.366666663438082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-16T23:17:27-0600',mode:absolute,to:'2017-10-17T02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4.4400000000000002E-2</v>
      </c>
      <c r="Z157" s="204">
        <f>RIGHT(H157,LEN(H157)-4)/10000</f>
        <v>23.3306</v>
      </c>
      <c r="AA157" s="204">
        <f>ABS(Z157-Y157)</f>
        <v>23.286200000000001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 &amp; 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/stypes="app*4020*20171017*"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15"/>
        <v>"%USERPROFILE%\Documents\GitHub\eaglep3\Utilities\RefineRTDCRunTimes.py" --tripid 243-16 --locoid 4020 --swversion DE.1.0.9.0 --startMP 204:444 --initTime 2017-10-17T00:17:27 --startdatetime 2017-10-17T00:30:15 --delay 68 --endMP 204:233306 --enddatetime 2017-10-17T01:07:37 --enforcementcount 0 &gt;&gt;%USERPROFILE%\Documents\GitHub\eaglep3-reporting\EC\2017-10-16-refined-times.txt</v>
      </c>
      <c r="AI157" s="96" t="str">
        <f t="shared" si="16"/>
        <v>echo {"issue":{"subject":"","project_id":79,"tracker_id":40,"status_id":1,"priority_id":2,"assigned_to_id":338,"start_date":"2017-10-17","description":"","custom_fields":[{"id":1,"name":"Subdivision","value":"EC"},{"id":4,"name":"Milepost","value":"23.3306"},{"id":17,"name":"Train ID","value":"243-16"},{"id":16,"name":"Locomotive ID","value":"4020"},{"id":130,"name":"Impact","value":""},{"id":150,"name":"Time of Event (Mountain Time)","value":"01:07:37"},{"id":151,"name":"Denver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17"/>
        <v>start /low /b %USERPROFILE%\Documents\GitHub\eaglep3\Utilities\DownloadLogsFromS3.py --loco 4020 --day 2017-10-17</v>
      </c>
      <c r="AN157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9"/>
        <v>https://d0f6bd738d7f1b3e5a7ca70fe4ff75f0.us-east-1.aws.found.io/app/kibana#/discover/Steve-Slow-Train-Analysis-(2080s-and-2083s)?_g=(refreshInterval:(display:Off,pause:!f,section:0,value:0),time:(from:'2017-10-16T23:17:27-0600',mode:absolute,to:'2017-10-17T02:07:37-0600'))&amp;_a=(columns:!('Message%20ID',Summary),filters:!(),index:'emp_*',interval:auto,query:(query_string:(analyze_wildcard:!t,query:'%22rtdc.l.rtdc.4020%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834</v>
      </c>
      <c r="B158" s="7">
        <v>4019</v>
      </c>
      <c r="C158" s="21" t="s">
        <v>194</v>
      </c>
      <c r="D158" s="21" t="s">
        <v>474</v>
      </c>
      <c r="E158" s="13">
        <v>43025.012118055558</v>
      </c>
      <c r="F158" s="13">
        <v>43025.060613425929</v>
      </c>
      <c r="G158" s="7">
        <v>68</v>
      </c>
      <c r="H158" s="21" t="s">
        <v>413</v>
      </c>
      <c r="I158" s="13">
        <v>43025.088425925926</v>
      </c>
      <c r="J158" s="7">
        <v>0</v>
      </c>
      <c r="K158" s="89" t="str">
        <f>IF(ISEVEN(B158),(B158-1)&amp;"/"&amp;B158,B158&amp;"/"&amp;(B158+1))</f>
        <v>4019/4020</v>
      </c>
      <c r="L158" s="185" t="str">
        <f>VLOOKUP(A158,'Trips&amp;Operators'!$C$1:$G$99911,5,FALSE)</f>
        <v>WILLIAMS DONTE</v>
      </c>
      <c r="M158" s="6">
        <f>I158-F158</f>
        <v>2.7812499996798579E-2</v>
      </c>
      <c r="N158" s="7">
        <f>24*60*SUM($M158:$M158)</f>
        <v>40.049999995389953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-16T23:17:27-0600',mode:absolute,to:'2017-10-17T03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204" t="str">
        <f>IF(AA158&lt;VLOOKUP(AG158,Variables!$AC$3:$AD$8,2,FALSE),"Y","N")</f>
        <v>N</v>
      </c>
      <c r="X158" s="204">
        <f t="shared" ref="X158:X159" si="26">VALUE(LEFT(AD158,4))-VALUE(LEFT(AD157,4))</f>
        <v>1</v>
      </c>
      <c r="Y158" s="204">
        <v>23.3049</v>
      </c>
      <c r="Z158" s="204">
        <v>1.6500000000000001E-2</v>
      </c>
      <c r="AA158" s="204">
        <f>ABS(Z158-Y158)</f>
        <v>23.288399999999999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 &amp; aws s3 cp s3://rtdc.mdm.uploadarchive.raw/RTDC4019/ "%USERPROFILE%\AppData\Local\Temp\OnboardLogs"\RTDC4019\2017-10-18 --exclude "*" --recursive --include "*20171018*" &amp; "%USERPROFILE%\Documents\GitHub\mrs-test-scripts\Headless Mode &amp; Sideloading\WalkAndUnGZ.bat" "%USERPROFILE%\AppData\Local\Temp\OnboardLogs"\RTDC4019\2017-10-18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/stypes="app*4019*20171017*"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ref="AH158" si="27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244-16 --locoid 4019 --swversion DE.1.0.9.0 --startMP 204:444 --initTime 2017-10-17T00:17:27 --startdatetime 2017-10-17T01:27:17 --delay 68 --endMP 204:233306 --enddatetime 2017-10-17T02:07:20 --enforcementcount 0 &gt;&gt;%USERPROFILE%\Documents\GitHub\eaglep3-reporting\EC\2017-10-16-refined-times.txt</v>
      </c>
      <c r="AI158" s="96" t="str">
        <f t="shared" ref="AI158" si="28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{"issue":{"subject":"","project_id":79,"tracker_id":40,"status_id":1,"priority_id":2,"assigned_to_id":338,"start_date":"2017-10-17","description":"","custom_fields":[{"id":1,"name":"Subdivision","value":"EC"},{"id":4,"name":"Milepost","value":"0.0165"},{"id":17,"name":"Train ID","value":"244-16"},{"id":16,"name":"Locomotive ID","value":"4019"},{"id":130,"name":"Impact","value":""},{"id":150,"name":"Time of Event (Mountain Time)","value":"02:07:20"},{"id":151,"name":"Denver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ref="AM158" si="29">"start /low /b "&amp;dls3logs&amp;" --loco "&amp;B158&amp;" --day "&amp;TEXT(F158,"YYYY-MM-DD")</f>
        <v>start /low /b %USERPROFILE%\Documents\GitHub\eaglep3\Utilities\DownloadLogsFromS3.py --loco 4019 --day 2017-10-17</v>
      </c>
      <c r="AN158" s="151" t="str">
        <f t="shared" ref="AN158" si="30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08:07:20"},{"id":29,"name":"Sharepoint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31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-16T23:17:27-0600',mode:absolute,to:'2017-10-17T03:07:20-0600'))&amp;_a=(columns:!('Message%20ID',Summary),filters:!(),index:'emp_*',interval:auto,query:(query_string:(analyze_wildcard:!t,query:'%22rtdc.l.rtdc.4019%22')),sort:!(Time.ISO8601,asc))</v>
      </c>
    </row>
    <row r="159" spans="1:91" s="20" customFormat="1" x14ac:dyDescent="0.3">
      <c r="A159" s="32" t="s">
        <v>634</v>
      </c>
      <c r="B159" s="7">
        <v>4045</v>
      </c>
      <c r="C159" s="21" t="s">
        <v>194</v>
      </c>
      <c r="D159" s="21" t="s">
        <v>934</v>
      </c>
      <c r="E159" s="13">
        <v>43024.212245370371</v>
      </c>
      <c r="F159" s="13">
        <v>43024.213634259257</v>
      </c>
      <c r="G159" s="7">
        <v>56</v>
      </c>
      <c r="H159" s="21" t="s">
        <v>935</v>
      </c>
      <c r="I159" s="13">
        <v>43024.226331018515</v>
      </c>
      <c r="J159" s="7">
        <v>0</v>
      </c>
      <c r="K159" s="89" t="str">
        <f>IF(ISEVEN(B159),(B159-1)&amp;"/"&amp;B159,B159&amp;"/"&amp;(B159+1))</f>
        <v>4045/4046</v>
      </c>
      <c r="L159" s="185" t="str">
        <f>VLOOKUP(A159,'Trips&amp;Operators'!$C$1:$G$99911,5,FALSE)</f>
        <v>MACDONALD THOMAS</v>
      </c>
      <c r="M159" s="6">
        <f>I159-F159</f>
        <v>1.2696759258687962E-2</v>
      </c>
      <c r="N159" s="7">
        <f>24*60*SUM($M159:$M159)</f>
        <v>18.283333332510665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-16T04:05:38-0600',mode:absolute,to:'2017-10-16T06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204" t="str">
        <f>IF(AA159&lt;VLOOKUP(AG159,Variables!$AC$3:$AD$8,2,FALSE),"Y","N")</f>
        <v>N</v>
      </c>
      <c r="X159" s="204">
        <f t="shared" si="26"/>
        <v>556</v>
      </c>
      <c r="Y159" s="204">
        <f>RIGHT(D159,LEN(D159)-4)/10000</f>
        <v>5.8581000000000003</v>
      </c>
      <c r="Z159" s="204">
        <f>RIGHT(H159,LEN(H159)-4)/10000</f>
        <v>7.4300000000000005E-2</v>
      </c>
      <c r="AA159" s="204">
        <f>ABS(Z159-Y159)</f>
        <v>5.7838000000000003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/stypes="app*4045*20171016*"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15"/>
        <v>"%USERPROFILE%\Documents\GitHub\eaglep3\Utilities\RefineRTDCRunTimes.py" --tripid 800-16 --locoid 4045 --swversion DE.1.0.9.0 --startMP 300:58581 --initTime 2017-10-16T05:05:38 --startdatetime 2017-10-16T05:07:38 --delay 56 --endMP 204:743 --enddatetime 2017-10-16T05:25:55 --enforcementcount 0 &gt;&gt;%USERPROFILE%\Documents\GitHub\eaglep3-reporting\EC\2017-10-16-refined-times.txt</v>
      </c>
      <c r="AI159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{"issue":{"subject":"","project_id":79,"tracker_id":40,"status_id":1,"priority_id":2,"assigned_to_id":338,"start_date":"2017-10-16","description":"","custom_fields":[{"id":1,"name":"Subdivision","value":"NW"},{"id":4,"name":"Milepost","value":"0.0743"},{"id":17,"name":"Train ID","value":"800-16"},{"id":16,"name":"Locomotive ID","value":"4045"},{"id":130,"name":"Impact","value":""},{"id":150,"name":"Time of Event (Mountain Time)","value":"05:25:55"},{"id":151,"name":"Denver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17"/>
        <v>start /low /b %USERPROFILE%\Documents\GitHub\eaglep3\Utilities\DownloadLogsFromS3.py --loco 4045 --day 2017-10-16</v>
      </c>
      <c r="AN15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9"/>
        <v>https://d0f6bd738d7f1b3e5a7ca70fe4ff75f0.us-east-1.aws.found.io/app/kibana#/discover/Steve-Slow-Train-Analysis-(2080s-and-2083s)?_g=(refreshInterval:(display:Off,pause:!f,section:0,value:0),time:(from:'2017-10-16T04:05:38-0600',mode:absolute,to:'2017-10-16T06:25:55-0600'))&amp;_a=(columns:!('Message%20ID',Summary),filters:!(),index:'emp_*',interval:auto,query:(query_string:(analyze_wildcard:!t,query:'%22rtdc.l.rtdc.4045%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642</v>
      </c>
      <c r="B160" s="7">
        <v>4046</v>
      </c>
      <c r="C160" s="21" t="s">
        <v>194</v>
      </c>
      <c r="D160" s="21" t="s">
        <v>936</v>
      </c>
      <c r="E160" s="13">
        <v>43024.227418981478</v>
      </c>
      <c r="F160" s="13">
        <v>43024.236168981479</v>
      </c>
      <c r="G160" s="7">
        <v>536</v>
      </c>
      <c r="H160" s="21" t="s">
        <v>937</v>
      </c>
      <c r="I160" s="13">
        <v>43024.245312500003</v>
      </c>
      <c r="J160" s="7">
        <v>0</v>
      </c>
      <c r="K160" s="89" t="str">
        <f>IF(ISEVEN(B160),(B160-1)&amp;"/"&amp;B160,B160&amp;"/"&amp;(B160+1))</f>
        <v>4045/4046</v>
      </c>
      <c r="L160" s="185" t="str">
        <f>VLOOKUP(A160,'Trips&amp;Operators'!$C$1:$G$99911,5,FALSE)</f>
        <v>MACDONALD THOMAS</v>
      </c>
      <c r="M160" s="6">
        <f>I160-F160</f>
        <v>9.1435185240698047E-3</v>
      </c>
      <c r="N160" s="7">
        <f>24*60*SUM($M160:$M160)</f>
        <v>13.166666674660519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-16T04:27:29-0600',mode:absolute,to:'2017-10-16T06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0.10349999999999999</v>
      </c>
      <c r="Z160" s="204">
        <f>RIGHT(H160,LEN(H160)-4)/10000</f>
        <v>5.8914</v>
      </c>
      <c r="AA160" s="204">
        <f>ABS(Z160-Y160)</f>
        <v>5.7878999999999996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/stypes="app*4046*20171016*"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15"/>
        <v>"%USERPROFILE%\Documents\GitHub\eaglep3\Utilities\RefineRTDCRunTimes.py" --tripid 801-16 --locoid 4046 --swversion DE.1.0.9.0 --startMP 204:1035 --initTime 2017-10-16T05:27:29 --startdatetime 2017-10-16T05:40:05 --delay 536 --endMP 300:58914 --enddatetime 2017-10-16T05:53:15 --enforcementcount 0 &gt;&gt;%USERPROFILE%\Documents\GitHub\eaglep3-reporting\EC\2017-10-16-refined-times.txt</v>
      </c>
      <c r="AI160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{"issue":{"subject":"","project_id":79,"tracker_id":40,"status_id":1,"priority_id":2,"assigned_to_id":338,"start_date":"2017-10-16","description":"","custom_fields":[{"id":1,"name":"Subdivision","value":"NW"},{"id":4,"name":"Milepost","value":"5.8914"},{"id":17,"name":"Train ID","value":"801-16"},{"id":16,"name":"Locomotive ID","value":"4046"},{"id":130,"name":"Impact","value":""},{"id":150,"name":"Time of Event (Mountain Time)","value":"05:53:15"},{"id":151,"name":"Denver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17"/>
        <v>start /low /b %USERPROFILE%\Documents\GitHub\eaglep3\Utilities\DownloadLogsFromS3.py --loco 4046 --day 2017-10-16</v>
      </c>
      <c r="AN16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19"/>
        <v>https://d0f6bd738d7f1b3e5a7ca70fe4ff75f0.us-east-1.aws.found.io/app/kibana#/discover/Steve-Slow-Train-Analysis-(2080s-and-2083s)?_g=(refreshInterval:(display:Off,pause:!f,section:0,value:0),time:(from:'2017-10-16T04:27:29-0600',mode:absolute,to:'2017-10-16T06:53:15-0600'))&amp;_a=(columns:!('Message%20ID',Summary),filters:!(),index:'emp_*',interval:auto,query:(query_string:(analyze_wildcard:!t,query:'%22rtdc.l.rtdc.4046%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649</v>
      </c>
      <c r="B161" s="7">
        <v>4045</v>
      </c>
      <c r="C161" s="21" t="s">
        <v>194</v>
      </c>
      <c r="D161" s="21" t="s">
        <v>563</v>
      </c>
      <c r="E161" s="13">
        <v>43024.245995370373</v>
      </c>
      <c r="F161" s="13">
        <v>43024.258761574078</v>
      </c>
      <c r="G161" s="7">
        <v>44</v>
      </c>
      <c r="H161" s="21" t="s">
        <v>938</v>
      </c>
      <c r="I161" s="13">
        <v>43024.267326388886</v>
      </c>
      <c r="J161" s="7">
        <v>0</v>
      </c>
      <c r="K161" s="89" t="str">
        <f>IF(ISEVEN(B161),(B161-1)&amp;"/"&amp;B161,B161&amp;"/"&amp;(B161+1))</f>
        <v>4045/4046</v>
      </c>
      <c r="L161" s="185" t="str">
        <f>VLOOKUP(A161,'Trips&amp;Operators'!$C$1:$G$99911,5,FALSE)</f>
        <v>MACDONALD THOMAS</v>
      </c>
      <c r="M161" s="6">
        <f>I161-F161</f>
        <v>8.5648148087784648E-3</v>
      </c>
      <c r="N161" s="7">
        <f>24*60*SUM($M161:$M161)</f>
        <v>12.333333324640989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-16T04:54:14-0600',mode:absolute,to:'2017-10-16T07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5.8596000000000004</v>
      </c>
      <c r="Z161" s="204">
        <f>RIGHT(H161,LEN(H161)-4)/10000</f>
        <v>7.3999999999999996E-2</v>
      </c>
      <c r="AA161" s="204">
        <f>ABS(Z161-Y161)</f>
        <v>5.7856000000000005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/stypes="app*4045*20171016*"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15"/>
        <v>"%USERPROFILE%\Documents\GitHub\eaglep3\Utilities\RefineRTDCRunTimes.py" --tripid 802-16 --locoid 4045 --swversion DE.1.0.9.0 --startMP 300:58596 --initTime 2017-10-16T05:54:14 --startdatetime 2017-10-16T06:12:37 --delay 44 --endMP 204:740 --enddatetime 2017-10-16T06:24:57 --enforcementcount 0 &gt;&gt;%USERPROFILE%\Documents\GitHub\eaglep3-reporting\EC\2017-10-16-refined-times.txt</v>
      </c>
      <c r="AI161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{"issue":{"subject":"","project_id":79,"tracker_id":40,"status_id":1,"priority_id":2,"assigned_to_id":338,"start_date":"2017-10-16","description":"","custom_fields":[{"id":1,"name":"Subdivision","value":"NW"},{"id":4,"name":"Milepost","value":"0.074"},{"id":17,"name":"Train ID","value":"802-16"},{"id":16,"name":"Locomotive ID","value":"4045"},{"id":130,"name":"Impact","value":""},{"id":150,"name":"Time of Event (Mountain Time)","value":"06:24:57"},{"id":151,"name":"Denver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17"/>
        <v>start /low /b %USERPROFILE%\Documents\GitHub\eaglep3\Utilities\DownloadLogsFromS3.py --loco 4045 --day 2017-10-16</v>
      </c>
      <c r="AN16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9"/>
        <v>https://d0f6bd738d7f1b3e5a7ca70fe4ff75f0.us-east-1.aws.found.io/app/kibana#/discover/Steve-Slow-Train-Analysis-(2080s-and-2083s)?_g=(refreshInterval:(display:Off,pause:!f,section:0,value:0),time:(from:'2017-10-16T04:54:14-0600',mode:absolute,to:'2017-10-16T07:24:57-0600'))&amp;_a=(columns:!('Message%20ID',Summary),filters:!(),index:'emp_*',interval:auto,query:(query_string:(analyze_wildcard:!t,query:'%22rtdc.l.rtdc.4045%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651</v>
      </c>
      <c r="B162" s="7">
        <v>4050</v>
      </c>
      <c r="C162" s="21" t="s">
        <v>194</v>
      </c>
      <c r="D162" s="21" t="s">
        <v>568</v>
      </c>
      <c r="E162" s="13">
        <v>43024.247789351852</v>
      </c>
      <c r="F162" s="13">
        <v>43024.256412037037</v>
      </c>
      <c r="G162" s="7">
        <v>65</v>
      </c>
      <c r="H162" s="21" t="s">
        <v>939</v>
      </c>
      <c r="I162" s="13">
        <v>43024.266319444447</v>
      </c>
      <c r="J162" s="7">
        <v>0</v>
      </c>
      <c r="K162" s="89" t="str">
        <f>IF(ISEVEN(B162),(B162-1)&amp;"/"&amp;B162,B162&amp;"/"&amp;(B162+1))</f>
        <v>4049/4050</v>
      </c>
      <c r="L162" s="185" t="str">
        <f>VLOOKUP(A162,'Trips&amp;Operators'!$C$1:$G$99911,5,FALSE)</f>
        <v>YANAI IAN</v>
      </c>
      <c r="M162" s="6">
        <f>I162-F162</f>
        <v>9.9074074096279219E-3</v>
      </c>
      <c r="N162" s="7">
        <f>24*60*SUM($M162:$M162)</f>
        <v>14.266666669864208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-16T04:56:49-0600',mode:absolute,to:'2017-10-16T07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9.7799999999999998E-2</v>
      </c>
      <c r="Z162" s="204">
        <f>RIGHT(H162,LEN(H162)-4)/10000</f>
        <v>5.8930999999999996</v>
      </c>
      <c r="AA162" s="204">
        <f>ABS(Z162-Y162)</f>
        <v>5.7952999999999992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/stypes="app*4050*20171016*"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15"/>
        <v>"%USERPROFILE%\Documents\GitHub\eaglep3\Utilities\RefineRTDCRunTimes.py" --tripid 803-16 --locoid 4050 --swversion DE.1.0.9.0 --startMP 204:978 --initTime 2017-10-16T05:56:49 --startdatetime 2017-10-16T06:09:14 --delay 65 --endMP 300:58931 --enddatetime 2017-10-16T06:23:30 --enforcementcount 0 &gt;&gt;%USERPROFILE%\Documents\GitHub\eaglep3-reporting\EC\2017-10-16-refined-times.txt</v>
      </c>
      <c r="AI162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{"issue":{"subject":"","project_id":79,"tracker_id":40,"status_id":1,"priority_id":2,"assigned_to_id":338,"start_date":"2017-10-16","description":"","custom_fields":[{"id":1,"name":"Subdivision","value":"NW"},{"id":4,"name":"Milepost","value":"5.8931"},{"id":17,"name":"Train ID","value":"803-16"},{"id":16,"name":"Locomotive ID","value":"4050"},{"id":130,"name":"Impact","value":""},{"id":150,"name":"Time of Event (Mountain Time)","value":"06:23:30"},{"id":151,"name":"Denver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17"/>
        <v>start /low /b %USERPROFILE%\Documents\GitHub\eaglep3\Utilities\DownloadLogsFromS3.py --loco 4050 --day 2017-10-16</v>
      </c>
      <c r="AN162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9"/>
        <v>https://d0f6bd738d7f1b3e5a7ca70fe4ff75f0.us-east-1.aws.found.io/app/kibana#/discover/Steve-Slow-Train-Analysis-(2080s-and-2083s)?_g=(refreshInterval:(display:Off,pause:!f,section:0,value:0),time:(from:'2017-10-16T04:56:49-0600',mode:absolute,to:'2017-10-16T07:23:30-0600'))&amp;_a=(columns:!('Message%20ID',Summary),filters:!(),index:'emp_*',interval:auto,query:(query_string:(analyze_wildcard:!t,query:'%22rtdc.l.rtdc.4050%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656</v>
      </c>
      <c r="B163" s="7">
        <v>4049</v>
      </c>
      <c r="C163" s="21" t="s">
        <v>194</v>
      </c>
      <c r="D163" s="21" t="s">
        <v>940</v>
      </c>
      <c r="E163" s="13">
        <v>43024.267071759263</v>
      </c>
      <c r="F163" s="13">
        <v>43024.279965277776</v>
      </c>
      <c r="G163" s="7">
        <v>53</v>
      </c>
      <c r="H163" s="21" t="s">
        <v>941</v>
      </c>
      <c r="I163" s="13">
        <v>43024.287986111114</v>
      </c>
      <c r="J163" s="7">
        <v>0</v>
      </c>
      <c r="K163" s="89" t="str">
        <f>IF(ISEVEN(B163),(B163-1)&amp;"/"&amp;B163,B163&amp;"/"&amp;(B163+1))</f>
        <v>4049/4050</v>
      </c>
      <c r="L163" s="185" t="str">
        <f>VLOOKUP(A163,'Trips&amp;Operators'!$C$1:$G$99911,5,FALSE)</f>
        <v>YANAI IAN</v>
      </c>
      <c r="M163" s="6">
        <f>I163-F163</f>
        <v>8.0208333383779973E-3</v>
      </c>
      <c r="N163" s="7">
        <f>24*60*SUM($M163:$M163)</f>
        <v>11.550000007264316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-16T05:24:35-0600',mode:absolute,to:'2017-10-16T07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5.8613</v>
      </c>
      <c r="Z163" s="204">
        <f>RIGHT(H163,LEN(H163)-4)/10000</f>
        <v>6.9199999999999998E-2</v>
      </c>
      <c r="AA163" s="204">
        <f>ABS(Z163-Y163)</f>
        <v>5.7920999999999996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/stypes="app*4049*20171016*"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15"/>
        <v>"%USERPROFILE%\Documents\GitHub\eaglep3\Utilities\RefineRTDCRunTimes.py" --tripid 804-16 --locoid 4049 --swversion DE.1.0.9.0 --startMP 300:58613 --initTime 2017-10-16T06:24:35 --startdatetime 2017-10-16T06:43:09 --delay 53 --endMP 204:692 --enddatetime 2017-10-16T06:54:42 --enforcementcount 0 &gt;&gt;%USERPROFILE%\Documents\GitHub\eaglep3-reporting\EC\2017-10-16-refined-times.txt</v>
      </c>
      <c r="AI163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{"issue":{"subject":"","project_id":79,"tracker_id":40,"status_id":1,"priority_id":2,"assigned_to_id":338,"start_date":"2017-10-16","description":"","custom_fields":[{"id":1,"name":"Subdivision","value":"NW"},{"id":4,"name":"Milepost","value":"0.0692"},{"id":17,"name":"Train ID","value":"804-16"},{"id":16,"name":"Locomotive ID","value":"4049"},{"id":130,"name":"Impact","value":""},{"id":150,"name":"Time of Event (Mountain Time)","value":"06:54:42"},{"id":151,"name":"Denver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17"/>
        <v>start /low /b %USERPROFILE%\Documents\GitHub\eaglep3\Utilities\DownloadLogsFromS3.py --loco 4049 --day 2017-10-16</v>
      </c>
      <c r="AN163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19"/>
        <v>https://d0f6bd738d7f1b3e5a7ca70fe4ff75f0.us-east-1.aws.found.io/app/kibana#/discover/Steve-Slow-Train-Analysis-(2080s-and-2083s)?_g=(refreshInterval:(display:Off,pause:!f,section:0,value:0),time:(from:'2017-10-16T05:24:35-0600',mode:absolute,to:'2017-10-16T07:54:42-0600'))&amp;_a=(columns:!('Message%20ID',Summary),filters:!(),index:'emp_*',interval:auto,query:(query_string:(analyze_wildcard:!t,query:'%22rtdc.l.rtdc.4049%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658</v>
      </c>
      <c r="B164" s="7">
        <v>4046</v>
      </c>
      <c r="C164" s="21" t="s">
        <v>194</v>
      </c>
      <c r="D164" s="21" t="s">
        <v>942</v>
      </c>
      <c r="E164" s="13">
        <v>43024.274548611109</v>
      </c>
      <c r="F164" s="13">
        <v>43024.277430555558</v>
      </c>
      <c r="G164" s="7">
        <v>191</v>
      </c>
      <c r="H164" s="21" t="s">
        <v>943</v>
      </c>
      <c r="I164" s="13">
        <v>43024.287465277775</v>
      </c>
      <c r="J164" s="7">
        <v>0</v>
      </c>
      <c r="K164" s="89" t="str">
        <f>IF(ISEVEN(B164),(B164-1)&amp;"/"&amp;B164,B164&amp;"/"&amp;(B164+1))</f>
        <v>4045/4046</v>
      </c>
      <c r="L164" s="185" t="str">
        <f>VLOOKUP(A164,'Trips&amp;Operators'!$C$1:$G$99911,5,FALSE)</f>
        <v>MACDONALD THOMAS</v>
      </c>
      <c r="M164" s="6">
        <f>I164-F164</f>
        <v>1.003472221782431E-2</v>
      </c>
      <c r="N164" s="7">
        <f>24*60*SUM($M164:$M164)</f>
        <v>14.449999993667006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-16T05:35:21-0600',mode:absolute,to:'2017-10-16T07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0.10440000000000001</v>
      </c>
      <c r="Z164" s="204">
        <f>RIGHT(H164,LEN(H164)-4)/10000</f>
        <v>5.8920000000000003</v>
      </c>
      <c r="AA164" s="204">
        <f>ABS(Z164-Y164)</f>
        <v>5.7876000000000003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/stypes="app*4046*20171016*"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15"/>
        <v>"%USERPROFILE%\Documents\GitHub\eaglep3\Utilities\RefineRTDCRunTimes.py" --tripid 805-16 --locoid 4046 --swversion DE.1.0.9.0 --startMP 204:1044 --initTime 2017-10-16T06:35:21 --startdatetime 2017-10-16T06:39:30 --delay 191 --endMP 300:58920 --enddatetime 2017-10-16T06:53:57 --enforcementcount 0 &gt;&gt;%USERPROFILE%\Documents\GitHub\eaglep3-reporting\EC\2017-10-16-refined-times.txt</v>
      </c>
      <c r="AI164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{"issue":{"subject":"","project_id":79,"tracker_id":40,"status_id":1,"priority_id":2,"assigned_to_id":338,"start_date":"2017-10-16","description":"","custom_fields":[{"id":1,"name":"Subdivision","value":"NW"},{"id":4,"name":"Milepost","value":"5.892"},{"id":17,"name":"Train ID","value":"805-16"},{"id":16,"name":"Locomotive ID","value":"4046"},{"id":130,"name":"Impact","value":""},{"id":150,"name":"Time of Event (Mountain Time)","value":"06:53:57"},{"id":151,"name":"Denver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17"/>
        <v>start /low /b %USERPROFILE%\Documents\GitHub\eaglep3\Utilities\DownloadLogsFromS3.py --loco 4046 --day 2017-10-16</v>
      </c>
      <c r="AN16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12:53:57"},{"id":29,"name":"Sharepoint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9"/>
        <v>https://d0f6bd738d7f1b3e5a7ca70fe4ff75f0.us-east-1.aws.found.io/app/kibana#/discover/Steve-Slow-Train-Analysis-(2080s-and-2083s)?_g=(refreshInterval:(display:Off,pause:!f,section:0,value:0),time:(from:'2017-10-16T05:35:21-0600',mode:absolute,to:'2017-10-16T07:53:57-0600'))&amp;_a=(columns:!('Message%20ID',Summary),filters:!(),index:'emp_*',interval:auto,query:(query_string:(analyze_wildcard:!t,query:'%22rtdc.l.rtdc.4046%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662</v>
      </c>
      <c r="B165" s="7">
        <v>4045</v>
      </c>
      <c r="C165" s="21" t="s">
        <v>194</v>
      </c>
      <c r="D165" s="21" t="s">
        <v>944</v>
      </c>
      <c r="E165" s="13">
        <v>43024.288495370369</v>
      </c>
      <c r="F165" s="13">
        <v>43024.300902777781</v>
      </c>
      <c r="G165" s="7">
        <v>75</v>
      </c>
      <c r="H165" s="21" t="s">
        <v>945</v>
      </c>
      <c r="I165" s="13">
        <v>43024.309259259258</v>
      </c>
      <c r="J165" s="7">
        <v>0</v>
      </c>
      <c r="K165" s="89" t="str">
        <f>IF(ISEVEN(B165),(B165-1)&amp;"/"&amp;B165,B165&amp;"/"&amp;(B165+1))</f>
        <v>4045/4046</v>
      </c>
      <c r="L165" s="185" t="str">
        <f>VLOOKUP(A165,'Trips&amp;Operators'!$C$1:$G$99911,5,FALSE)</f>
        <v>MACDONALD THOMAS</v>
      </c>
      <c r="M165" s="6">
        <f>I165-F165</f>
        <v>8.3564814776764251E-3</v>
      </c>
      <c r="N165" s="7">
        <f>24*60*SUM($M165:$M165)</f>
        <v>12.033333327854052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-16T05:55:26-0600',mode:absolute,to:'2017-10-16T08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5.8605999999999998</v>
      </c>
      <c r="Z165" s="204">
        <f>RIGHT(H165,LEN(H165)-4)/10000</f>
        <v>7.3800000000000004E-2</v>
      </c>
      <c r="AA165" s="204">
        <f>ABS(Z165-Y165)</f>
        <v>5.7867999999999995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/stypes="app*4045*20171016*"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15"/>
        <v>"%USERPROFILE%\Documents\GitHub\eaglep3\Utilities\RefineRTDCRunTimes.py" --tripid 806-16 --locoid 4045 --swversion DE.1.0.9.0 --startMP 300:58606 --initTime 2017-10-16T06:55:26 --startdatetime 2017-10-16T07:13:18 --delay 75 --endMP 204:738 --enddatetime 2017-10-16T07:25:20 --enforcementcount 0 &gt;&gt;%USERPROFILE%\Documents\GitHub\eaglep3-reporting\EC\2017-10-16-refined-times.txt</v>
      </c>
      <c r="AI165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{"issue":{"subject":"","project_id":79,"tracker_id":40,"status_id":1,"priority_id":2,"assigned_to_id":338,"start_date":"2017-10-16","description":"","custom_fields":[{"id":1,"name":"Subdivision","value":"NW"},{"id":4,"name":"Milepost","value":"0.0738"},{"id":17,"name":"Train ID","value":"806-16"},{"id":16,"name":"Locomotive ID","value":"4045"},{"id":130,"name":"Impact","value":""},{"id":150,"name":"Time of Event (Mountain Time)","value":"07:25:20"},{"id":151,"name":"Denver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17"/>
        <v>start /low /b %USERPROFILE%\Documents\GitHub\eaglep3\Utilities\DownloadLogsFromS3.py --loco 4045 --day 2017-10-16</v>
      </c>
      <c r="AN16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9"/>
        <v>https://d0f6bd738d7f1b3e5a7ca70fe4ff75f0.us-east-1.aws.found.io/app/kibana#/discover/Steve-Slow-Train-Analysis-(2080s-and-2083s)?_g=(refreshInterval:(display:Off,pause:!f,section:0,value:0),time:(from:'2017-10-16T05:55:26-0600',mode:absolute,to:'2017-10-16T08:25:20-0600'))&amp;_a=(columns:!('Message%20ID',Summary),filters:!(),index:'emp_*',interval:auto,query:(query_string:(analyze_wildcard:!t,query:'%22rtdc.l.rtdc.4045%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663</v>
      </c>
      <c r="B166" s="7">
        <v>4050</v>
      </c>
      <c r="C166" s="21" t="s">
        <v>194</v>
      </c>
      <c r="D166" s="21" t="s">
        <v>946</v>
      </c>
      <c r="E166" s="13">
        <v>43024.289189814815</v>
      </c>
      <c r="F166" s="13">
        <v>43024.298090277778</v>
      </c>
      <c r="G166" s="7">
        <v>46</v>
      </c>
      <c r="H166" s="21" t="s">
        <v>947</v>
      </c>
      <c r="I166" s="13">
        <v>43024.307824074072</v>
      </c>
      <c r="J166" s="7">
        <v>0</v>
      </c>
      <c r="K166" s="89" t="str">
        <f>IF(ISEVEN(B166),(B166-1)&amp;"/"&amp;B166,B166&amp;"/"&amp;(B166+1))</f>
        <v>4049/4050</v>
      </c>
      <c r="L166" s="185" t="str">
        <f>VLOOKUP(A166,'Trips&amp;Operators'!$C$1:$G$99911,5,FALSE)</f>
        <v>YANAI IAN</v>
      </c>
      <c r="M166" s="6">
        <f>I166-F166</f>
        <v>9.7337962943129241E-3</v>
      </c>
      <c r="N166" s="7">
        <f>24*60*SUM($M166:$M166)</f>
        <v>14.016666663810611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-16T05:56:26-0600',mode:absolute,to:'2017-10-16T08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9.7100000000000006E-2</v>
      </c>
      <c r="Z166" s="204">
        <f>RIGHT(H166,LEN(H166)-4)/10000</f>
        <v>5.8924000000000003</v>
      </c>
      <c r="AA166" s="204">
        <f>ABS(Z166-Y166)</f>
        <v>5.7953000000000001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/stypes="app*4050*20171016*"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15"/>
        <v>"%USERPROFILE%\Documents\GitHub\eaglep3\Utilities\RefineRTDCRunTimes.py" --tripid 807-16 --locoid 4050 --swversion DE.1.0.9.0 --startMP 204:971 --initTime 2017-10-16T06:56:26 --startdatetime 2017-10-16T07:09:15 --delay 46 --endMP 300:58924 --enddatetime 2017-10-16T07:23:16 --enforcementcount 0 &gt;&gt;%USERPROFILE%\Documents\GitHub\eaglep3-reporting\EC\2017-10-16-refined-times.txt</v>
      </c>
      <c r="AI166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{"issue":{"subject":"","project_id":79,"tracker_id":40,"status_id":1,"priority_id":2,"assigned_to_id":338,"start_date":"2017-10-16","description":"","custom_fields":[{"id":1,"name":"Subdivision","value":"NW"},{"id":4,"name":"Milepost","value":"5.8924"},{"id":17,"name":"Train ID","value":"807-16"},{"id":16,"name":"Locomotive ID","value":"4050"},{"id":130,"name":"Impact","value":""},{"id":150,"name":"Time of Event (Mountain Time)","value":"07:23:16"},{"id":151,"name":"Denver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17"/>
        <v>start /low /b %USERPROFILE%\Documents\GitHub\eaglep3\Utilities\DownloadLogsFromS3.py --loco 4050 --day 2017-10-16</v>
      </c>
      <c r="AN166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9"/>
        <v>https://d0f6bd738d7f1b3e5a7ca70fe4ff75f0.us-east-1.aws.found.io/app/kibana#/discover/Steve-Slow-Train-Analysis-(2080s-and-2083s)?_g=(refreshInterval:(display:Off,pause:!f,section:0,value:0),time:(from:'2017-10-16T05:56:26-0600',mode:absolute,to:'2017-10-16T08:23:16-0600'))&amp;_a=(columns:!('Message%20ID',Summary),filters:!(),index:'emp_*',interval:auto,query:(query_string:(analyze_wildcard:!t,query:'%22rtdc.l.rtdc.4050%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668</v>
      </c>
      <c r="B167" s="7">
        <v>4049</v>
      </c>
      <c r="C167" s="21" t="s">
        <v>194</v>
      </c>
      <c r="D167" s="21" t="s">
        <v>948</v>
      </c>
      <c r="E167" s="13">
        <v>43024.308506944442</v>
      </c>
      <c r="F167" s="13">
        <v>43024.321597222224</v>
      </c>
      <c r="G167" s="7">
        <v>45</v>
      </c>
      <c r="H167" s="21" t="s">
        <v>949</v>
      </c>
      <c r="I167" s="13">
        <v>43024.329618055555</v>
      </c>
      <c r="J167" s="7">
        <v>0</v>
      </c>
      <c r="K167" s="89" t="str">
        <f>IF(ISEVEN(B167),(B167-1)&amp;"/"&amp;B167,B167&amp;"/"&amp;(B167+1))</f>
        <v>4049/4050</v>
      </c>
      <c r="L167" s="185" t="str">
        <f>VLOOKUP(A167,'Trips&amp;Operators'!$C$1:$G$99911,5,FALSE)</f>
        <v>YANAI IAN</v>
      </c>
      <c r="M167" s="6">
        <f>I167-F167</f>
        <v>8.0208333311020397E-3</v>
      </c>
      <c r="N167" s="7">
        <f>24*60*SUM($M167:$M167)</f>
        <v>11.549999996786937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-16T06:24:15-0600',mode:absolute,to:'2017-10-16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5.8625999999999996</v>
      </c>
      <c r="Z167" s="204">
        <f>RIGHT(H167,LEN(H167)-4)/10000</f>
        <v>6.9800000000000001E-2</v>
      </c>
      <c r="AA167" s="204">
        <f>ABS(Z167-Y167)</f>
        <v>5.7927999999999997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/stypes="app*4049*20171016*"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15"/>
        <v>"%USERPROFILE%\Documents\GitHub\eaglep3\Utilities\RefineRTDCRunTimes.py" --tripid 808-16 --locoid 4049 --swversion DE.1.0.9.0 --startMP 300:58626 --initTime 2017-10-16T07:24:15 --startdatetime 2017-10-16T07:43:06 --delay 45 --endMP 204:698 --enddatetime 2017-10-16T07:54:39 --enforcementcount 0 &gt;&gt;%USERPROFILE%\Documents\GitHub\eaglep3-reporting\EC\2017-10-16-refined-times.txt</v>
      </c>
      <c r="AI167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{"issue":{"subject":"","project_id":79,"tracker_id":40,"status_id":1,"priority_id":2,"assigned_to_id":338,"start_date":"2017-10-16","description":"","custom_fields":[{"id":1,"name":"Subdivision","value":"NW"},{"id":4,"name":"Milepost","value":"0.0698"},{"id":17,"name":"Train ID","value":"808-16"},{"id":16,"name":"Locomotive ID","value":"4049"},{"id":130,"name":"Impact","value":""},{"id":150,"name":"Time of Event (Mountain Time)","value":"07:54:39"},{"id":151,"name":"Denver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17"/>
        <v>start /low /b %USERPROFILE%\Documents\GitHub\eaglep3\Utilities\DownloadLogsFromS3.py --loco 4049 --day 2017-10-16</v>
      </c>
      <c r="AN16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9"/>
        <v>https://d0f6bd738d7f1b3e5a7ca70fe4ff75f0.us-east-1.aws.found.io/app/kibana#/discover/Steve-Slow-Train-Analysis-(2080s-and-2083s)?_g=(refreshInterval:(display:Off,pause:!f,section:0,value:0),time:(from:'2017-10-16T06:24:15-0600',mode:absolute,to:'2017-10-16T08:54:39-0600'))&amp;_a=(columns:!('Message%20ID',Summary),filters:!(),index:'emp_*',interval:auto,query:(query_string:(analyze_wildcard:!t,query:'%22rtdc.l.rtdc.4049%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671</v>
      </c>
      <c r="B168" s="7">
        <v>4046</v>
      </c>
      <c r="C168" s="21" t="s">
        <v>194</v>
      </c>
      <c r="D168" s="21" t="s">
        <v>950</v>
      </c>
      <c r="E168" s="13">
        <v>43024.310300925928</v>
      </c>
      <c r="F168" s="13">
        <v>43024.318969907406</v>
      </c>
      <c r="G168" s="7">
        <v>675</v>
      </c>
      <c r="H168" s="21" t="s">
        <v>943</v>
      </c>
      <c r="I168" s="13">
        <v>43024.32880787037</v>
      </c>
      <c r="J168" s="7">
        <v>0</v>
      </c>
      <c r="K168" s="89" t="str">
        <f>IF(ISEVEN(B168),(B168-1)&amp;"/"&amp;B168,B168&amp;"/"&amp;(B168+1))</f>
        <v>4045/4046</v>
      </c>
      <c r="L168" s="185" t="str">
        <f>VLOOKUP(A168,'Trips&amp;Operators'!$C$1:$G$99911,5,FALSE)</f>
        <v>MACDONALD THOMAS</v>
      </c>
      <c r="M168" s="6">
        <f>I168-F168</f>
        <v>9.8379629635019228E-3</v>
      </c>
      <c r="N168" s="7">
        <f>24*60*SUM($M168:$M168)</f>
        <v>14.166666667442769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-16T06:26:50-0600',mode:absolute,to:'2017-10-16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0.10249999999999999</v>
      </c>
      <c r="Z168" s="204">
        <f>RIGHT(H168,LEN(H168)-4)/10000</f>
        <v>5.8920000000000003</v>
      </c>
      <c r="AA168" s="204">
        <f>ABS(Z168-Y168)</f>
        <v>5.7895000000000003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/stypes="app*4046*20171016*"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15"/>
        <v>"%USERPROFILE%\Documents\GitHub\eaglep3\Utilities\RefineRTDCRunTimes.py" --tripid 809-16 --locoid 4046 --swversion DE.1.0.9.0 --startMP 204:1025 --initTime 2017-10-16T07:26:50 --startdatetime 2017-10-16T07:39:19 --delay 675 --endMP 300:58920 --enddatetime 2017-10-16T07:53:29 --enforcementcount 0 &gt;&gt;%USERPROFILE%\Documents\GitHub\eaglep3-reporting\EC\2017-10-16-refined-times.txt</v>
      </c>
      <c r="AI168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{"issue":{"subject":"","project_id":79,"tracker_id":40,"status_id":1,"priority_id":2,"assigned_to_id":338,"start_date":"2017-10-16","description":"","custom_fields":[{"id":1,"name":"Subdivision","value":"NW"},{"id":4,"name":"Milepost","value":"5.892"},{"id":17,"name":"Train ID","value":"809-16"},{"id":16,"name":"Locomotive ID","value":"4046"},{"id":130,"name":"Impact","value":""},{"id":150,"name":"Time of Event (Mountain Time)","value":"07:53:29"},{"id":151,"name":"Denver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17"/>
        <v>start /low /b %USERPROFILE%\Documents\GitHub\eaglep3\Utilities\DownloadLogsFromS3.py --loco 4046 --day 2017-10-16</v>
      </c>
      <c r="AN168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9"/>
        <v>https://d0f6bd738d7f1b3e5a7ca70fe4ff75f0.us-east-1.aws.found.io/app/kibana#/discover/Steve-Slow-Train-Analysis-(2080s-and-2083s)?_g=(refreshInterval:(display:Off,pause:!f,section:0,value:0),time:(from:'2017-10-16T06:26:50-0600',mode:absolute,to:'2017-10-16T08:53:29-0600'))&amp;_a=(columns:!('Message%20ID',Summary),filters:!(),index:'emp_*',interval:auto,query:(query_string:(analyze_wildcard:!t,query:'%22rtdc.l.rtdc.4046%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674</v>
      </c>
      <c r="B169" s="7">
        <v>4045</v>
      </c>
      <c r="C169" s="21" t="s">
        <v>194</v>
      </c>
      <c r="D169" s="21" t="s">
        <v>951</v>
      </c>
      <c r="E169" s="13">
        <v>43024.329409722224</v>
      </c>
      <c r="F169" s="13">
        <v>43024.342557870368</v>
      </c>
      <c r="G169" s="7">
        <v>49</v>
      </c>
      <c r="H169" s="21" t="s">
        <v>840</v>
      </c>
      <c r="I169" s="13">
        <v>43024.351134259261</v>
      </c>
      <c r="J169" s="7">
        <v>0</v>
      </c>
      <c r="K169" s="89" t="str">
        <f>IF(ISEVEN(B169),(B169-1)&amp;"/"&amp;B169,B169&amp;"/"&amp;(B169+1))</f>
        <v>4045/4046</v>
      </c>
      <c r="L169" s="185" t="str">
        <f>VLOOKUP(A169,'Trips&amp;Operators'!$C$1:$G$99911,5,FALSE)</f>
        <v>MACDONALD THOMAS</v>
      </c>
      <c r="M169" s="6">
        <f>I169-F169</f>
        <v>8.5763888928340748E-3</v>
      </c>
      <c r="N169" s="7">
        <f>24*60*SUM($M169:$M169)</f>
        <v>12.350000005681068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-16T06:54:21-0600',mode:absolute,to:'2017-10-16T09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5.8608000000000002</v>
      </c>
      <c r="Z169" s="204">
        <f>RIGHT(H169,LEN(H169)-4)/10000</f>
        <v>7.4800000000000005E-2</v>
      </c>
      <c r="AA169" s="204">
        <f>ABS(Z169-Y169)</f>
        <v>5.7860000000000005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/stypes="app*4045*20171016*"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15"/>
        <v>"%USERPROFILE%\Documents\GitHub\eaglep3\Utilities\RefineRTDCRunTimes.py" --tripid 810-16 --locoid 4045 --swversion DE.1.0.9.0 --startMP 300:58608 --initTime 2017-10-16T07:54:21 --startdatetime 2017-10-16T08:13:17 --delay 49 --endMP 204:748 --enddatetime 2017-10-16T08:25:38 --enforcementcount 0 &gt;&gt;%USERPROFILE%\Documents\GitHub\eaglep3-reporting\EC\2017-10-16-refined-times.txt</v>
      </c>
      <c r="AI169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{"issue":{"subject":"","project_id":79,"tracker_id":40,"status_id":1,"priority_id":2,"assigned_to_id":338,"start_date":"2017-10-16","description":"","custom_fields":[{"id":1,"name":"Subdivision","value":"NW"},{"id":4,"name":"Milepost","value":"0.0748"},{"id":17,"name":"Train ID","value":"810-16"},{"id":16,"name":"Locomotive ID","value":"4045"},{"id":130,"name":"Impact","value":""},{"id":150,"name":"Time of Event (Mountain Time)","value":"08:25:38"},{"id":151,"name":"Denver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17"/>
        <v>start /low /b %USERPROFILE%\Documents\GitHub\eaglep3\Utilities\DownloadLogsFromS3.py --loco 4045 --day 2017-10-16</v>
      </c>
      <c r="AN16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9"/>
        <v>https://d0f6bd738d7f1b3e5a7ca70fe4ff75f0.us-east-1.aws.found.io/app/kibana#/discover/Steve-Slow-Train-Analysis-(2080s-and-2083s)?_g=(refreshInterval:(display:Off,pause:!f,section:0,value:0),time:(from:'2017-10-16T06:54:21-0600',mode:absolute,to:'2017-10-16T09:25:38-0600'))&amp;_a=(columns:!('Message%20ID',Summary),filters:!(),index:'emp_*',interval:auto,query:(query_string:(analyze_wildcard:!t,query:'%22rtdc.l.rtdc.4045%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677</v>
      </c>
      <c r="B170" s="7">
        <v>4050</v>
      </c>
      <c r="C170" s="21" t="s">
        <v>194</v>
      </c>
      <c r="D170" s="21" t="s">
        <v>568</v>
      </c>
      <c r="E170" s="13">
        <v>43024.333171296297</v>
      </c>
      <c r="F170" s="13">
        <v>43024.339756944442</v>
      </c>
      <c r="G170" s="7">
        <v>47</v>
      </c>
      <c r="H170" s="21" t="s">
        <v>952</v>
      </c>
      <c r="I170" s="13">
        <v>43024.349131944444</v>
      </c>
      <c r="J170" s="7">
        <v>0</v>
      </c>
      <c r="K170" s="89" t="str">
        <f>IF(ISEVEN(B170),(B170-1)&amp;"/"&amp;B170,B170&amp;"/"&amp;(B170+1))</f>
        <v>4049/4050</v>
      </c>
      <c r="L170" s="185" t="str">
        <f>VLOOKUP(A170,'Trips&amp;Operators'!$C$1:$G$99911,5,FALSE)</f>
        <v>YANAI IAN</v>
      </c>
      <c r="M170" s="6">
        <f>I170-F170</f>
        <v>9.3750000014551915E-3</v>
      </c>
      <c r="N170" s="7">
        <f>24*60*SUM($M170:$M170)</f>
        <v>13.500000002095476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-16T06:59:46-0600',mode:absolute,to:'2017-10-16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9.7799999999999998E-2</v>
      </c>
      <c r="Z170" s="204">
        <f>RIGHT(H170,LEN(H170)-4)/10000</f>
        <v>5.8925999999999998</v>
      </c>
      <c r="AA170" s="204">
        <f>ABS(Z170-Y170)</f>
        <v>5.7947999999999995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/stypes="app*4050*20171016*"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15"/>
        <v>"%USERPROFILE%\Documents\GitHub\eaglep3\Utilities\RefineRTDCRunTimes.py" --tripid 811-16 --locoid 4050 --swversion DE.1.0.9.0 --startMP 204:978 --initTime 2017-10-16T07:59:46 --startdatetime 2017-10-16T08:09:15 --delay 47 --endMP 300:58926 --enddatetime 2017-10-16T08:22:45 --enforcementcount 0 &gt;&gt;%USERPROFILE%\Documents\GitHub\eaglep3-reporting\EC\2017-10-16-refined-times.txt</v>
      </c>
      <c r="AI170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{"issue":{"subject":"","project_id":79,"tracker_id":40,"status_id":1,"priority_id":2,"assigned_to_id":338,"start_date":"2017-10-16","description":"","custom_fields":[{"id":1,"name":"Subdivision","value":"NW"},{"id":4,"name":"Milepost","value":"5.8926"},{"id":17,"name":"Train ID","value":"811-16"},{"id":16,"name":"Locomotive ID","value":"4050"},{"id":130,"name":"Impact","value":""},{"id":150,"name":"Time of Event (Mountain Time)","value":"08:22:45"},{"id":151,"name":"Denver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17"/>
        <v>start /low /b %USERPROFILE%\Documents\GitHub\eaglep3\Utilities\DownloadLogsFromS3.py --loco 4050 --day 2017-10-16</v>
      </c>
      <c r="AN17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9"/>
        <v>https://d0f6bd738d7f1b3e5a7ca70fe4ff75f0.us-east-1.aws.found.io/app/kibana#/discover/Steve-Slow-Train-Analysis-(2080s-and-2083s)?_g=(refreshInterval:(display:Off,pause:!f,section:0,value:0),time:(from:'2017-10-16T06:59:46-0600',mode:absolute,to:'2017-10-16T09:22:45-0600'))&amp;_a=(columns:!('Message%20ID',Summary),filters:!(),index:'emp_*',interval:auto,query:(query_string:(analyze_wildcard:!t,query:'%22rtdc.l.rtdc.4050%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679</v>
      </c>
      <c r="B171" s="7">
        <v>4049</v>
      </c>
      <c r="C171" s="21" t="s">
        <v>194</v>
      </c>
      <c r="D171" s="21" t="s">
        <v>940</v>
      </c>
      <c r="E171" s="13">
        <v>43024.349872685183</v>
      </c>
      <c r="F171" s="13">
        <v>43024.363020833334</v>
      </c>
      <c r="G171" s="7">
        <v>50</v>
      </c>
      <c r="H171" s="21" t="s">
        <v>953</v>
      </c>
      <c r="I171" s="13">
        <v>43024.371296296296</v>
      </c>
      <c r="J171" s="7">
        <v>0</v>
      </c>
      <c r="K171" s="89" t="str">
        <f>IF(ISEVEN(B171),(B171-1)&amp;"/"&amp;B171,B171&amp;"/"&amp;(B171+1))</f>
        <v>4049/4050</v>
      </c>
      <c r="L171" s="185" t="str">
        <f>VLOOKUP(A171,'Trips&amp;Operators'!$C$1:$G$99911,5,FALSE)</f>
        <v>YANAI IAN</v>
      </c>
      <c r="M171" s="6">
        <f>I171-F171</f>
        <v>8.2754629620467313E-3</v>
      </c>
      <c r="N171" s="7">
        <f>24*60*SUM($M171:$M171)</f>
        <v>11.916666665347293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-16T07:23:49-0600',mode:absolute,to:'2017-10-16T09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5.8613</v>
      </c>
      <c r="Z171" s="204">
        <f>RIGHT(H171,LEN(H171)-4)/10000</f>
        <v>7.0499999999999993E-2</v>
      </c>
      <c r="AA171" s="204">
        <f>ABS(Z171-Y171)</f>
        <v>5.7907999999999999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/stypes="app*4049*20171016*"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15"/>
        <v>"%USERPROFILE%\Documents\GitHub\eaglep3\Utilities\RefineRTDCRunTimes.py" --tripid 812-16 --locoid 4049 --swversion DE.1.0.9.0 --startMP 300:58613 --initTime 2017-10-16T08:23:49 --startdatetime 2017-10-16T08:42:45 --delay 50 --endMP 204:705 --enddatetime 2017-10-16T08:54:40 --enforcementcount 0 &gt;&gt;%USERPROFILE%\Documents\GitHub\eaglep3-reporting\EC\2017-10-16-refined-times.txt</v>
      </c>
      <c r="AI171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{"issue":{"subject":"","project_id":79,"tracker_id":40,"status_id":1,"priority_id":2,"assigned_to_id":338,"start_date":"2017-10-16","description":"","custom_fields":[{"id":1,"name":"Subdivision","value":"NW"},{"id":4,"name":"Milepost","value":"0.0705"},{"id":17,"name":"Train ID","value":"812-16"},{"id":16,"name":"Locomotive ID","value":"4049"},{"id":130,"name":"Impact","value":""},{"id":150,"name":"Time of Event (Mountain Time)","value":"08:54:40"},{"id":151,"name":"Denver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17"/>
        <v>start /low /b %USERPROFILE%\Documents\GitHub\eaglep3\Utilities\DownloadLogsFromS3.py --loco 4049 --day 2017-10-16</v>
      </c>
      <c r="AN17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9"/>
        <v>https://d0f6bd738d7f1b3e5a7ca70fe4ff75f0.us-east-1.aws.found.io/app/kibana#/discover/Steve-Slow-Train-Analysis-(2080s-and-2083s)?_g=(refreshInterval:(display:Off,pause:!f,section:0,value:0),time:(from:'2017-10-16T07:23:49-0600',mode:absolute,to:'2017-10-16T09:54:40-0600'))&amp;_a=(columns:!('Message%20ID',Summary),filters:!(),index:'emp_*',interval:auto,query:(query_string:(analyze_wildcard:!t,query:'%22rtdc.l.rtdc.4049%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685</v>
      </c>
      <c r="B172" s="7">
        <v>4050</v>
      </c>
      <c r="C172" s="21" t="s">
        <v>194</v>
      </c>
      <c r="D172" s="21" t="s">
        <v>954</v>
      </c>
      <c r="E172" s="13">
        <v>43024.372650462959</v>
      </c>
      <c r="F172" s="13">
        <v>43024.381435185183</v>
      </c>
      <c r="G172" s="7">
        <v>48</v>
      </c>
      <c r="H172" s="21" t="s">
        <v>939</v>
      </c>
      <c r="I172" s="13">
        <v>43024.390509259261</v>
      </c>
      <c r="J172" s="7">
        <v>0</v>
      </c>
      <c r="K172" s="89" t="str">
        <f>IF(ISEVEN(B172),(B172-1)&amp;"/"&amp;B172,B172&amp;"/"&amp;(B172+1))</f>
        <v>4049/4050</v>
      </c>
      <c r="L172" s="185" t="str">
        <f>VLOOKUP(A172,'Trips&amp;Operators'!$C$1:$G$99911,5,FALSE)</f>
        <v>YANAI IAN</v>
      </c>
      <c r="M172" s="6">
        <f>I172-F172</f>
        <v>9.0740740779438056E-3</v>
      </c>
      <c r="N172" s="7">
        <f>24*60*SUM($M172:$M172)</f>
        <v>13.06666667223908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-16T07:56:37-0600',mode:absolute,to:'2017-10-16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</v>
      </c>
      <c r="Z172" s="204">
        <f>RIGHT(H172,LEN(H172)-4)/10000</f>
        <v>5.8930999999999996</v>
      </c>
      <c r="AA172" s="204">
        <f>ABS(Z172-Y172)</f>
        <v>5.7930999999999999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/stypes="app*4050*20171016*"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15"/>
        <v>"%USERPROFILE%\Documents\GitHub\eaglep3\Utilities\RefineRTDCRunTimes.py" --tripid 813-16 --locoid 4050 --swversion DE.1.0.9.0 --startMP 204:1000 --initTime 2017-10-16T08:56:37 --startdatetime 2017-10-16T09:09:16 --delay 48 --endMP 300:58931 --enddatetime 2017-10-16T09:22:20 --enforcementcount 0 &gt;&gt;%USERPROFILE%\Documents\GitHub\eaglep3-reporting\EC\2017-10-16-refined-times.txt</v>
      </c>
      <c r="AI172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{"issue":{"subject":"","project_id":79,"tracker_id":40,"status_id":1,"priority_id":2,"assigned_to_id":338,"start_date":"2017-10-16","description":"","custom_fields":[{"id":1,"name":"Subdivision","value":"NW"},{"id":4,"name":"Milepost","value":"5.8931"},{"id":17,"name":"Train ID","value":"813-16"},{"id":16,"name":"Locomotive ID","value":"4050"},{"id":130,"name":"Impact","value":""},{"id":150,"name":"Time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17"/>
        <v>start /low /b %USERPROFILE%\Documents\GitHub\eaglep3\Utilities\DownloadLogsFromS3.py --loco 4050 --day 2017-10-16</v>
      </c>
      <c r="AN172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9"/>
        <v>https://d0f6bd738d7f1b3e5a7ca70fe4ff75f0.us-east-1.aws.found.io/app/kibana#/discover/Steve-Slow-Train-Analysis-(2080s-and-2083s)?_g=(refreshInterval:(display:Off,pause:!f,section:0,value:0),time:(from:'2017-10-16T07:56:37-0600',mode:absolute,to:'2017-10-16T10:22:20-0600'))&amp;_a=(columns:!('Message%20ID',Summary),filters:!(),index:'emp_*',interval:auto,query:(query_string:(analyze_wildcard:!t,query:'%22rtdc.l.rtdc.4050%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690</v>
      </c>
      <c r="B173" s="7">
        <v>4049</v>
      </c>
      <c r="C173" s="21" t="s">
        <v>194</v>
      </c>
      <c r="D173" s="21" t="s">
        <v>567</v>
      </c>
      <c r="E173" s="13">
        <v>43024.391134259262</v>
      </c>
      <c r="F173" s="13">
        <v>43024.405081018522</v>
      </c>
      <c r="G173" s="7">
        <v>55</v>
      </c>
      <c r="H173" s="21" t="s">
        <v>955</v>
      </c>
      <c r="I173" s="13">
        <v>43024.414039351854</v>
      </c>
      <c r="J173" s="7">
        <v>0</v>
      </c>
      <c r="K173" s="89" t="str">
        <f>IF(ISEVEN(B173),(B173-1)&amp;"/"&amp;B173,B173&amp;"/"&amp;(B173+1))</f>
        <v>4049/4050</v>
      </c>
      <c r="L173" s="185" t="str">
        <f>VLOOKUP(A173,'Trips&amp;Operators'!$C$1:$G$99911,5,FALSE)</f>
        <v>YANAI IAN</v>
      </c>
      <c r="M173" s="6">
        <f>I173-F173</f>
        <v>8.9583333319751546E-3</v>
      </c>
      <c r="N173" s="7"/>
      <c r="O173" s="7"/>
      <c r="P173" s="7"/>
      <c r="Q173" s="22"/>
      <c r="R173" s="174"/>
      <c r="S173" s="221"/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-16T08:23:14-0600',mode:absolute,to:'2017-10-16T10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3" s="204" t="str">
        <f>IF(AA173&lt;VLOOKUP(AG173,Variables!$AC$3:$AD$8,2,FALSE),"Y","N")</f>
        <v>Y</v>
      </c>
      <c r="X173" s="204">
        <f>VALUE(LEFT(AD173,4))-VALUE(LEFT(AD172,4))</f>
        <v>1</v>
      </c>
      <c r="Y173" s="204">
        <f>RIGHT(D173,LEN(D173)-4)/10000</f>
        <v>5.8611000000000004</v>
      </c>
      <c r="Z173" s="204">
        <f>RIGHT(H173,LEN(H173)-4)/10000</f>
        <v>5.7244000000000002</v>
      </c>
      <c r="AA173" s="204">
        <f>ABS(Z173-Y173)</f>
        <v>0.13670000000000027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/stypes="app*4049*20171016*"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15"/>
        <v>"%USERPROFILE%\Documents\GitHub\eaglep3\Utilities\RefineRTDCRunTimes.py" --tripid 814-16 --locoid 4049 --swversion DE.1.0.9.0 --startMP 300:58611 --initTime 2017-10-16T09:23:14 --startdatetime 2017-10-16T09:43:19 --delay 55 --endMP 300:57244 --enddatetime 2017-10-16T09:56:13 --enforcementcount 0 &gt;&gt;%USERPROFILE%\Documents\GitHub\eaglep3-reporting\EC\2017-10-16-refined-times.txt</v>
      </c>
      <c r="AI173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{"issue":{"subject":"","project_id":79,"tracker_id":40,"status_id":1,"priority_id":2,"assigned_to_id":338,"start_date":"2017-10-16","description":"","custom_fields":[{"id":1,"name":"Subdivision","value":"NW"},{"id":4,"name":"Milepost","value":"5.7244"},{"id":17,"name":"Train ID","value":"814-16"},{"id":16,"name":"Locomotive ID","value":"4049"},{"id":130,"name":"Impact","value":""},{"id":150,"name":"Time of Event (Mountain Time)","value":"09:56:13"},{"id":151,"name":"Denver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17"/>
        <v>start /low /b %USERPROFILE%\Documents\GitHub\eaglep3\Utilities\DownloadLogsFromS3.py --loco 4049 --day 2017-10-16</v>
      </c>
      <c r="AN173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9"/>
        <v>https://d0f6bd738d7f1b3e5a7ca70fe4ff75f0.us-east-1.aws.found.io/app/kibana#/discover/Steve-Slow-Train-Analysis-(2080s-and-2083s)?_g=(refreshInterval:(display:Off,pause:!f,section:0,value:0),time:(from:'2017-10-16T08:23:14-0600',mode:absolute,to:'2017-10-16T10:56:13-0600'))&amp;_a=(columns:!('Message%20ID',Summary),filters:!(),index:'emp_*',interval:auto,query:(query_string:(analyze_wildcard:!t,query:'%22rtdc.l.rtdc.4049%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690</v>
      </c>
      <c r="B174" s="7">
        <v>4049</v>
      </c>
      <c r="C174" s="21" t="s">
        <v>194</v>
      </c>
      <c r="D174" s="21" t="s">
        <v>956</v>
      </c>
      <c r="E174" s="13">
        <v>43024.393101851849</v>
      </c>
      <c r="F174" s="13">
        <v>43024.405081018522</v>
      </c>
      <c r="G174" s="7">
        <v>54</v>
      </c>
      <c r="H174" s="21" t="s">
        <v>957</v>
      </c>
      <c r="I174" s="13">
        <v>43024.414039351854</v>
      </c>
      <c r="J174" s="7">
        <v>0</v>
      </c>
      <c r="K174" s="89" t="str">
        <f>IF(ISEVEN(B174),(B174-1)&amp;"/"&amp;B174,B174&amp;"/"&amp;(B174+1))</f>
        <v>4049/4050</v>
      </c>
      <c r="L174" s="185" t="str">
        <f>VLOOKUP(A174,'Trips&amp;Operators'!$C$1:$G$99911,5,FALSE)</f>
        <v>YANAI IAN</v>
      </c>
      <c r="M174" s="6">
        <f>I174-F174</f>
        <v>8.9583333319751546E-3</v>
      </c>
      <c r="N174" s="7">
        <f>24*60*SUM($M174:$M174)</f>
        <v>12.899999998044223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-16T08:26:04-0600',mode:absolute,to:'2017-10-16T10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0</v>
      </c>
      <c r="Y174" s="204">
        <f>RIGHT(D174,LEN(D174)-4)/10000</f>
        <v>5.7248000000000001</v>
      </c>
      <c r="Z174" s="204">
        <f>RIGHT(H174,LEN(H174)-4)/10000</f>
        <v>6.8900000000000003E-2</v>
      </c>
      <c r="AA174" s="204">
        <f>ABS(Z174-Y174)</f>
        <v>5.6558999999999999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814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/stypes="app*4049*20171016*"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15"/>
        <v>"%USERPROFILE%\Documents\GitHub\eaglep3\Utilities\RefineRTDCRunTimes.py" --tripid 814-16 --locoid 4049 --swversion DE.1.0.9.0 --startMP 300:57248 --initTime 2017-10-16T09:26:04 --startdatetime 2017-10-16T09:43:19 --delay 54 --endMP 204:689 --enddatetime 2017-10-16T09:56:13 --enforcementcount 0 &gt;&gt;%USERPROFILE%\Documents\GitHub\eaglep3-reporting\EC\2017-10-16-refined-times.txt</v>
      </c>
      <c r="AI174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{"issue":{"subject":"","project_id":79,"tracker_id":40,"status_id":1,"priority_id":2,"assigned_to_id":338,"start_date":"2017-10-16","description":"","custom_fields":[{"id":1,"name":"Subdivision","value":"NW"},{"id":4,"name":"Milepost","value":"0.0689"},{"id":17,"name":"Train ID","value":"814-16"},{"id":16,"name":"Locomotive ID","value":"4049"},{"id":130,"name":"Impact","value":""},{"id":150,"name":"Time of Event (Mountain Time)","value":"09:56:13"},{"id":151,"name":"Denver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17"/>
        <v>start /low /b %USERPROFILE%\Documents\GitHub\eaglep3\Utilities\DownloadLogsFromS3.py --loco 4049 --day 2017-10-16</v>
      </c>
      <c r="AN17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9"/>
        <v>https://d0f6bd738d7f1b3e5a7ca70fe4ff75f0.us-east-1.aws.found.io/app/kibana#/discover/Steve-Slow-Train-Analysis-(2080s-and-2083s)?_g=(refreshInterval:(display:Off,pause:!f,section:0,value:0),time:(from:'2017-10-16T08:26:04-0600',mode:absolute,to:'2017-10-16T10:56:13-0600'))&amp;_a=(columns:!('Message%20ID',Summary),filters:!(),index:'emp_*',interval:auto,query:(query_string:(analyze_wildcard:!t,query:'%22rtdc.l.rtdc.4049%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696</v>
      </c>
      <c r="B175" s="7">
        <v>4050</v>
      </c>
      <c r="C175" s="21" t="s">
        <v>194</v>
      </c>
      <c r="D175" s="21" t="s">
        <v>518</v>
      </c>
      <c r="E175" s="13">
        <v>43024.415173611109</v>
      </c>
      <c r="F175" s="13">
        <v>43024.423449074071</v>
      </c>
      <c r="G175" s="7">
        <v>46</v>
      </c>
      <c r="H175" s="21" t="s">
        <v>566</v>
      </c>
      <c r="I175" s="13">
        <v>43024.432708333334</v>
      </c>
      <c r="J175" s="7">
        <v>0</v>
      </c>
      <c r="K175" s="89" t="str">
        <f>IF(ISEVEN(B175),(B175-1)&amp;"/"&amp;B175,B175&amp;"/"&amp;(B175+1))</f>
        <v>4049/4050</v>
      </c>
      <c r="L175" s="185" t="str">
        <f>VLOOKUP(A175,'Trips&amp;Operators'!$C$1:$G$99911,5,FALSE)</f>
        <v>YANAI IAN</v>
      </c>
      <c r="M175" s="6">
        <f>I175-F175</f>
        <v>9.2592592627624981E-3</v>
      </c>
      <c r="N175" s="7">
        <f>24*60*SUM($M175:$M175)</f>
        <v>13.333333338377997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-16T08:57:51-0600',mode:absolute,to:'2017-10-16T11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9.74E-2</v>
      </c>
      <c r="Z175" s="204">
        <f>RIGHT(H175,LEN(H175)-4)/10000</f>
        <v>5.8936999999999999</v>
      </c>
      <c r="AA175" s="204">
        <f>ABS(Z175-Y175)</f>
        <v>5.7962999999999996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815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/stypes="app*4050*20171016*"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15"/>
        <v>"%USERPROFILE%\Documents\GitHub\eaglep3\Utilities\RefineRTDCRunTimes.py" --tripid 815-16 --locoid 4050 --swversion DE.1.0.9.0 --startMP 204:974 --initTime 2017-10-16T09:57:51 --startdatetime 2017-10-16T10:09:46 --delay 46 --endMP 300:58937 --enddatetime 2017-10-16T10:23:06 --enforcementcount 0 &gt;&gt;%USERPROFILE%\Documents\GitHub\eaglep3-reporting\EC\2017-10-16-refined-times.txt</v>
      </c>
      <c r="AI175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{"issue":{"subject":"","project_id":79,"tracker_id":40,"status_id":1,"priority_id":2,"assigned_to_id":338,"start_date":"2017-10-16","description":"","custom_fields":[{"id":1,"name":"Subdivision","value":"NW"},{"id":4,"name":"Milepost","value":"5.8937"},{"id":17,"name":"Train ID","value":"815-16"},{"id":16,"name":"Locomotive ID","value":"4050"},{"id":130,"name":"Impact","value":""},{"id":150,"name":"Time of Event (Mountain Time)","value":"10:23:06"},{"id":151,"name":"Denver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17"/>
        <v>start /low /b %USERPROFILE%\Documents\GitHub\eaglep3\Utilities\DownloadLogsFromS3.py --loco 4050 --day 2017-10-16</v>
      </c>
      <c r="AN17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9"/>
        <v>https://d0f6bd738d7f1b3e5a7ca70fe4ff75f0.us-east-1.aws.found.io/app/kibana#/discover/Steve-Slow-Train-Analysis-(2080s-and-2083s)?_g=(refreshInterval:(display:Off,pause:!f,section:0,value:0),time:(from:'2017-10-16T08:57:51-0600',mode:absolute,to:'2017-10-16T11:23:06-0600'))&amp;_a=(columns:!('Message%20ID',Summary),filters:!(),index:'emp_*',interval:auto,query:(query_string:(analyze_wildcard:!t,query:'%22rtdc.l.rtdc.4050%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703</v>
      </c>
      <c r="B176" s="7">
        <v>4049</v>
      </c>
      <c r="C176" s="21" t="s">
        <v>194</v>
      </c>
      <c r="D176" s="21" t="s">
        <v>519</v>
      </c>
      <c r="E176" s="13">
        <v>43024.433564814812</v>
      </c>
      <c r="F176" s="13">
        <v>43024.446608796294</v>
      </c>
      <c r="G176" s="7">
        <v>48</v>
      </c>
      <c r="H176" s="21" t="s">
        <v>958</v>
      </c>
      <c r="I176" s="13">
        <v>43024.454710648148</v>
      </c>
      <c r="J176" s="7">
        <v>0</v>
      </c>
      <c r="K176" s="89" t="str">
        <f>IF(ISEVEN(B176),(B176-1)&amp;"/"&amp;B176,B176&amp;"/"&amp;(B176+1))</f>
        <v>4049/4050</v>
      </c>
      <c r="L176" s="185" t="str">
        <f>VLOOKUP(A176,'Trips&amp;Operators'!$C$1:$G$99911,5,FALSE)</f>
        <v>YANAI IAN</v>
      </c>
      <c r="M176" s="6">
        <f>I176-F176</f>
        <v>8.1018518540076911E-3</v>
      </c>
      <c r="N176" s="7">
        <f>24*60*SUM($M176:$M176)</f>
        <v>11.666666669771075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-16T09:24:20-0600',mode:absolute,to:'2017-10-16T11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5.8616999999999999</v>
      </c>
      <c r="Z176" s="204">
        <f>RIGHT(H176,LEN(H176)-4)/10000</f>
        <v>6.7100000000000007E-2</v>
      </c>
      <c r="AA176" s="204">
        <f>ABS(Z176-Y176)</f>
        <v>5.7946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/stypes="app*4049*20171016*" /stext=" 16:.+((SYSTEM_STATE.+slice.+state.+changed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15"/>
        <v>"%USERPROFILE%\Documents\GitHub\eaglep3\Utilities\RefineRTDCRunTimes.py" --tripid 816-16 --locoid 4049 --swversion DE.1.0.9.0 --startMP 300:58617 --initTime 2017-10-16T10:24:20 --startdatetime 2017-10-16T10:43:07 --delay 48 --endMP 204:671 --enddatetime 2017-10-16T10:54:47 --enforcementcount 0 &gt;&gt;%USERPROFILE%\Documents\GitHub\eaglep3-reporting\EC\2017-10-16-refined-times.txt</v>
      </c>
      <c r="AI176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{"issue":{"subject":"","project_id":79,"tracker_id":40,"status_id":1,"priority_id":2,"assigned_to_id":338,"start_date":"2017-10-16","description":"","custom_fields":[{"id":1,"name":"Subdivision","value":"NW"},{"id":4,"name":"Milepost","value":"0.0671"},{"id":17,"name":"Train ID","value":"816-16"},{"id":16,"name":"Locomotive ID","value":"4049"},{"id":130,"name":"Impact","value":""},{"id":150,"name":"Time of Event (Mountain Time)","value":"10:54:47"},{"id":151,"name":"Denver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17"/>
        <v>start /low /b %USERPROFILE%\Documents\GitHub\eaglep3\Utilities\DownloadLogsFromS3.py --loco 4049 --day 2017-10-16</v>
      </c>
      <c r="AN176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9"/>
        <v>https://d0f6bd738d7f1b3e5a7ca70fe4ff75f0.us-east-1.aws.found.io/app/kibana#/discover/Steve-Slow-Train-Analysis-(2080s-and-2083s)?_g=(refreshInterval:(display:Off,pause:!f,section:0,value:0),time:(from:'2017-10-16T09:24:20-0600',mode:absolute,to:'2017-10-16T11:54:47-0600'))&amp;_a=(columns:!('Message%20ID',Summary),filters:!(),index:'emp_*',interval:auto,query:(query_string:(analyze_wildcard:!t,query:'%22rtdc.l.rtdc.4049%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708</v>
      </c>
      <c r="B177" s="7">
        <v>4050</v>
      </c>
      <c r="C177" s="21" t="s">
        <v>194</v>
      </c>
      <c r="D177" s="21" t="s">
        <v>959</v>
      </c>
      <c r="E177" s="13">
        <v>43024.455682870372</v>
      </c>
      <c r="F177" s="13">
        <v>43024.464756944442</v>
      </c>
      <c r="G177" s="7">
        <v>47</v>
      </c>
      <c r="H177" s="21" t="s">
        <v>960</v>
      </c>
      <c r="I177" s="13">
        <v>43024.473761574074</v>
      </c>
      <c r="J177" s="7">
        <v>0</v>
      </c>
      <c r="K177" s="89" t="str">
        <f>IF(ISEVEN(B177),(B177-1)&amp;"/"&amp;B177,B177&amp;"/"&amp;(B177+1))</f>
        <v>4049/4050</v>
      </c>
      <c r="L177" s="185" t="str">
        <f>VLOOKUP(A177,'Trips&amp;Operators'!$C$1:$G$99911,5,FALSE)</f>
        <v>YANAI IAN</v>
      </c>
      <c r="M177" s="6">
        <f>I177-F177</f>
        <v>9.0046296318178065E-3</v>
      </c>
      <c r="N177" s="7">
        <f>24*60*SUM($M177:$M177)</f>
        <v>12.966666669817641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-16T09:56:11-0600',mode:absolute,to:'2017-10-16T12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9.5100000000000004E-2</v>
      </c>
      <c r="Z177" s="204">
        <f>RIGHT(H177,LEN(H177)-4)/10000</f>
        <v>5.8933</v>
      </c>
      <c r="AA177" s="204">
        <f>ABS(Z177-Y177)</f>
        <v>5.7981999999999996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/stypes="app*4050*20171016*"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15"/>
        <v>"%USERPROFILE%\Documents\GitHub\eaglep3\Utilities\RefineRTDCRunTimes.py" --tripid 817-16 --locoid 4050 --swversion DE.1.0.9.0 --startMP 204:951 --initTime 2017-10-16T10:56:11 --startdatetime 2017-10-16T11:09:15 --delay 47 --endMP 300:58933 --enddatetime 2017-10-16T11:22:13 --enforcementcount 0 &gt;&gt;%USERPROFILE%\Documents\GitHub\eaglep3-reporting\EC\2017-10-16-refined-times.txt</v>
      </c>
      <c r="AI177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{"issue":{"subject":"","project_id":79,"tracker_id":40,"status_id":1,"priority_id":2,"assigned_to_id":338,"start_date":"2017-10-16","description":"","custom_fields":[{"id":1,"name":"Subdivision","value":"NW"},{"id":4,"name":"Milepost","value":"5.8933"},{"id":17,"name":"Train ID","value":"817-16"},{"id":16,"name":"Locomotive ID","value":"4050"},{"id":130,"name":"Impact","value":""},{"id":150,"name":"Time of Event (Mountain Time)","value":"11:22:13"},{"id":151,"name":"Denver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17"/>
        <v>start /low /b %USERPROFILE%\Documents\GitHub\eaglep3\Utilities\DownloadLogsFromS3.py --loco 4050 --day 2017-10-16</v>
      </c>
      <c r="AN17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9"/>
        <v>https://d0f6bd738d7f1b3e5a7ca70fe4ff75f0.us-east-1.aws.found.io/app/kibana#/discover/Steve-Slow-Train-Analysis-(2080s-and-2083s)?_g=(refreshInterval:(display:Off,pause:!f,section:0,value:0),time:(from:'2017-10-16T09:56:11-0600',mode:absolute,to:'2017-10-16T12:22:13-0600'))&amp;_a=(columns:!('Message%20ID',Summary),filters:!(),index:'emp_*',interval:auto,query:(query_string:(analyze_wildcard:!t,query:'%22rtdc.l.rtdc.4050%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714</v>
      </c>
      <c r="B178" s="7">
        <v>4049</v>
      </c>
      <c r="C178" s="21" t="s">
        <v>194</v>
      </c>
      <c r="D178" s="21" t="s">
        <v>961</v>
      </c>
      <c r="E178" s="13">
        <v>43024.474537037036</v>
      </c>
      <c r="F178" s="13">
        <v>43024.488252314812</v>
      </c>
      <c r="G178" s="7">
        <v>48</v>
      </c>
      <c r="H178" s="21" t="s">
        <v>962</v>
      </c>
      <c r="I178" s="13">
        <v>43024.496296296296</v>
      </c>
      <c r="J178" s="7">
        <v>0</v>
      </c>
      <c r="K178" s="89" t="str">
        <f>IF(ISEVEN(B178),(B178-1)&amp;"/"&amp;B178,B178&amp;"/"&amp;(B178+1))</f>
        <v>4049/4050</v>
      </c>
      <c r="L178" s="185" t="str">
        <f>VLOOKUP(A178,'Trips&amp;Operators'!$C$1:$G$99911,5,FALSE)</f>
        <v>YANAI IAN</v>
      </c>
      <c r="M178" s="6">
        <f>I178-F178</f>
        <v>8.0439814846613444E-3</v>
      </c>
      <c r="N178" s="7">
        <f>24*60*SUM($M178:$M178)</f>
        <v>11.583333337912336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-16T10:23:20-0600',mode:absolute,to:'2017-10-16T12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5.8609</v>
      </c>
      <c r="Z178" s="204">
        <f>RIGHT(H178,LEN(H178)-4)/10000</f>
        <v>7.0300000000000001E-2</v>
      </c>
      <c r="AA178" s="204">
        <f>ABS(Z178-Y178)</f>
        <v>5.7906000000000004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/stypes="app*4049*20171016*" /stext=" 17:.+((SYSTEM_STATE.+slice.+state.+changed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15"/>
        <v>"%USERPROFILE%\Documents\GitHub\eaglep3\Utilities\RefineRTDCRunTimes.py" --tripid 818-16 --locoid 4049 --swversion DE.1.0.9.0 --startMP 300:58609 --initTime 2017-10-16T11:23:20 --startdatetime 2017-10-16T11:43:05 --delay 48 --endMP 204:703 --enddatetime 2017-10-16T11:54:40 --enforcementcount 0 &gt;&gt;%USERPROFILE%\Documents\GitHub\eaglep3-reporting\EC\2017-10-16-refined-times.txt</v>
      </c>
      <c r="AI178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{"issue":{"subject":"","project_id":79,"tracker_id":40,"status_id":1,"priority_id":2,"assigned_to_id":338,"start_date":"2017-10-16","description":"","custom_fields":[{"id":1,"name":"Subdivision","value":"NW"},{"id":4,"name":"Milepost","value":"0.0703"},{"id":17,"name":"Train ID","value":"818-16"},{"id":16,"name":"Locomotive ID","value":"4049"},{"id":130,"name":"Impact","value":""},{"id":150,"name":"Time of Event (Mountain Time)","value":"11:54:40"},{"id":151,"name":"Denver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17"/>
        <v>start /low /b %USERPROFILE%\Documents\GitHub\eaglep3\Utilities\DownloadLogsFromS3.py --loco 4049 --day 2017-10-16</v>
      </c>
      <c r="AN178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9"/>
        <v>https://d0f6bd738d7f1b3e5a7ca70fe4ff75f0.us-east-1.aws.found.io/app/kibana#/discover/Steve-Slow-Train-Analysis-(2080s-and-2083s)?_g=(refreshInterval:(display:Off,pause:!f,section:0,value:0),time:(from:'2017-10-16T10:23:20-0600',mode:absolute,to:'2017-10-16T12:54:40-0600'))&amp;_a=(columns:!('Message%20ID',Summary),filters:!(),index:'emp_*',interval:auto,query:(query_string:(analyze_wildcard:!t,query:'%22rtdc.l.rtdc.4049%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723</v>
      </c>
      <c r="B179" s="7">
        <v>4050</v>
      </c>
      <c r="C179" s="21" t="s">
        <v>194</v>
      </c>
      <c r="D179" s="21" t="s">
        <v>963</v>
      </c>
      <c r="E179" s="13">
        <v>43024.497488425928</v>
      </c>
      <c r="F179" s="13">
        <v>43024.506423611114</v>
      </c>
      <c r="G179" s="7">
        <v>52</v>
      </c>
      <c r="H179" s="21" t="s">
        <v>947</v>
      </c>
      <c r="I179" s="13">
        <v>43024.515428240738</v>
      </c>
      <c r="J179" s="7">
        <v>0</v>
      </c>
      <c r="K179" s="89" t="str">
        <f>IF(ISEVEN(B179),(B179-1)&amp;"/"&amp;B179,B179&amp;"/"&amp;(B179+1))</f>
        <v>4049/4050</v>
      </c>
      <c r="L179" s="185" t="str">
        <f>VLOOKUP(A179,'Trips&amp;Operators'!$C$1:$G$99911,5,FALSE)</f>
        <v>YANAI IAN</v>
      </c>
      <c r="M179" s="6">
        <f>I179-F179</f>
        <v>9.0046296245418489E-3</v>
      </c>
      <c r="N179" s="7">
        <f>24*60*SUM($M179:$M179)</f>
        <v>12.966666659340262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-16T10:56:23-0600',mode:absolute,to:'2017-10-16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9.69E-2</v>
      </c>
      <c r="Z179" s="204">
        <f>RIGHT(H179,LEN(H179)-4)/10000</f>
        <v>5.8924000000000003</v>
      </c>
      <c r="AA179" s="204">
        <f>ABS(Z179-Y179)</f>
        <v>5.7955000000000005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/stypes="app*4050*20171016*"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15"/>
        <v>"%USERPROFILE%\Documents\GitHub\eaglep3\Utilities\RefineRTDCRunTimes.py" --tripid 819-16 --locoid 4050 --swversion DE.1.0.9.0 --startMP 204:969 --initTime 2017-10-16T11:56:23 --startdatetime 2017-10-16T12:09:15 --delay 52 --endMP 300:58924 --enddatetime 2017-10-16T12:22:13 --enforcementcount 0 &gt;&gt;%USERPROFILE%\Documents\GitHub\eaglep3-reporting\EC\2017-10-16-refined-times.txt</v>
      </c>
      <c r="AI179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{"issue":{"subject":"","project_id":79,"tracker_id":40,"status_id":1,"priority_id":2,"assigned_to_id":338,"start_date":"2017-10-16","description":"","custom_fields":[{"id":1,"name":"Subdivision","value":"NW"},{"id":4,"name":"Milepost","value":"5.8924"},{"id":17,"name":"Train ID","value":"819-16"},{"id":16,"name":"Locomotive ID","value":"4050"},{"id":130,"name":"Impact","value":""},{"id":150,"name":"Time of Event (Mountain Time)","value":"12:22:13"},{"id":151,"name":"Denver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17"/>
        <v>start /low /b %USERPROFILE%\Documents\GitHub\eaglep3\Utilities\DownloadLogsFromS3.py --loco 4050 --day 2017-10-16</v>
      </c>
      <c r="AN17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9"/>
        <v>https://d0f6bd738d7f1b3e5a7ca70fe4ff75f0.us-east-1.aws.found.io/app/kibana#/discover/Steve-Slow-Train-Analysis-(2080s-and-2083s)?_g=(refreshInterval:(display:Off,pause:!f,section:0,value:0),time:(from:'2017-10-16T10:56:23-0600',mode:absolute,to:'2017-10-16T13:22:13-0600'))&amp;_a=(columns:!('Message%20ID',Summary),filters:!(),index:'emp_*',interval:auto,query:(query_string:(analyze_wildcard:!t,query:'%22rtdc.l.rtdc.4050%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727</v>
      </c>
      <c r="B180" s="7">
        <v>4049</v>
      </c>
      <c r="C180" s="21" t="s">
        <v>194</v>
      </c>
      <c r="D180" s="21" t="s">
        <v>567</v>
      </c>
      <c r="E180" s="13">
        <v>43024.516423611109</v>
      </c>
      <c r="F180" s="13">
        <v>43024.529918981483</v>
      </c>
      <c r="G180" s="7">
        <v>47</v>
      </c>
      <c r="H180" s="21" t="s">
        <v>964</v>
      </c>
      <c r="I180" s="13">
        <v>43024.53800925926</v>
      </c>
      <c r="J180" s="7">
        <v>0</v>
      </c>
      <c r="K180" s="89" t="str">
        <f>IF(ISEVEN(B180),(B180-1)&amp;"/"&amp;B180,B180&amp;"/"&amp;(B180+1))</f>
        <v>4049/4050</v>
      </c>
      <c r="L180" s="185" t="str">
        <f>VLOOKUP(A180,'Trips&amp;Operators'!$C$1:$G$99911,5,FALSE)</f>
        <v>YANAI IAN</v>
      </c>
      <c r="M180" s="6">
        <f>I180-F180</f>
        <v>8.0902777772280388E-3</v>
      </c>
      <c r="N180" s="7">
        <f>24*60*SUM($M180:$M180)</f>
        <v>11.649999999208376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-16T11:23:39-0600',mode:absolute,to:'2017-10-16T13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5.8611000000000004</v>
      </c>
      <c r="Z180" s="204">
        <f>RIGHT(H180,LEN(H180)-4)/10000</f>
        <v>6.7000000000000004E-2</v>
      </c>
      <c r="AA180" s="204">
        <f>ABS(Z180-Y180)</f>
        <v>5.7941000000000003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/stypes="app*4049*20171016*" /stext=" 18:.+((SYSTEM_STATE.+slice.+state.+changed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15"/>
        <v>"%USERPROFILE%\Documents\GitHub\eaglep3\Utilities\RefineRTDCRunTimes.py" --tripid 820-16 --locoid 4049 --swversion DE.1.0.9.0 --startMP 300:58611 --initTime 2017-10-16T12:23:39 --startdatetime 2017-10-16T12:43:05 --delay 47 --endMP 204:670 --enddatetime 2017-10-16T12:54:44 --enforcementcount 0 &gt;&gt;%USERPROFILE%\Documents\GitHub\eaglep3-reporting\EC\2017-10-16-refined-times.txt</v>
      </c>
      <c r="AI180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{"issue":{"subject":"","project_id":79,"tracker_id":40,"status_id":1,"priority_id":2,"assigned_to_id":338,"start_date":"2017-10-16","description":"","custom_fields":[{"id":1,"name":"Subdivision","value":"NW"},{"id":4,"name":"Milepost","value":"0.067"},{"id":17,"name":"Train ID","value":"820-16"},{"id":16,"name":"Locomotive ID","value":"4049"},{"id":130,"name":"Impact","value":""},{"id":150,"name":"Time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17"/>
        <v>start /low /b %USERPROFILE%\Documents\GitHub\eaglep3\Utilities\DownloadLogsFromS3.py --loco 4049 --day 2017-10-16</v>
      </c>
      <c r="AN18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9"/>
        <v>https://d0f6bd738d7f1b3e5a7ca70fe4ff75f0.us-east-1.aws.found.io/app/kibana#/discover/Steve-Slow-Train-Analysis-(2080s-and-2083s)?_g=(refreshInterval:(display:Off,pause:!f,section:0,value:0),time:(from:'2017-10-16T11:23:39-0600',mode:absolute,to:'2017-10-16T13:54:44-0600'))&amp;_a=(columns:!('Message%20ID',Summary),filters:!(),index:'emp_*',interval:auto,query:(query_string:(analyze_wildcard:!t,query:'%22rtdc.l.rtdc.4049%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592</v>
      </c>
      <c r="B181" s="7">
        <v>4050</v>
      </c>
      <c r="C181" s="21" t="s">
        <v>194</v>
      </c>
      <c r="D181" s="21" t="s">
        <v>965</v>
      </c>
      <c r="E181" s="13">
        <v>43024.541030092594</v>
      </c>
      <c r="F181" s="13">
        <v>43024.548078703701</v>
      </c>
      <c r="G181" s="7">
        <v>107</v>
      </c>
      <c r="H181" s="21" t="s">
        <v>939</v>
      </c>
      <c r="I181" s="13">
        <v>43024.557349537034</v>
      </c>
      <c r="J181" s="7">
        <v>0</v>
      </c>
      <c r="K181" s="89" t="str">
        <f>IF(ISEVEN(B181),(B181-1)&amp;"/"&amp;B181,B181&amp;"/"&amp;(B181+1))</f>
        <v>4049/4050</v>
      </c>
      <c r="L181" s="185" t="str">
        <f>VLOOKUP(A181,'Trips&amp;Operators'!$C$1:$G$99911,5,FALSE)</f>
        <v>LEVIN SCOTT</v>
      </c>
      <c r="M181" s="6">
        <f>I181-F181</f>
        <v>9.2708333322661929E-3</v>
      </c>
      <c r="N181" s="7">
        <f>24*60*SUM($M181:$M181)</f>
        <v>13.349999998463318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-16T11:59:05-0600',mode:absolute,to:'2017-10-16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9.4799999999999995E-2</v>
      </c>
      <c r="Z181" s="204">
        <f>RIGHT(H181,LEN(H181)-4)/10000</f>
        <v>5.8930999999999996</v>
      </c>
      <c r="AA181" s="204">
        <f>ABS(Z181-Y181)</f>
        <v>5.7982999999999993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/stypes="app*4050*20171016*"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15"/>
        <v>"%USERPROFILE%\Documents\GitHub\eaglep3\Utilities\RefineRTDCRunTimes.py" --tripid 821-16 --locoid 4050 --swversion DE.1.0.9.0 --startMP 204:948 --initTime 2017-10-16T12:59:05 --startdatetime 2017-10-16T13:09:14 --delay 107 --endMP 300:58931 --enddatetime 2017-10-16T13:22:35 --enforcementcount 0 &gt;&gt;%USERPROFILE%\Documents\GitHub\eaglep3-reporting\EC\2017-10-16-refined-times.txt</v>
      </c>
      <c r="AI181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{"issue":{"subject":"","project_id":79,"tracker_id":40,"status_id":1,"priority_id":2,"assigned_to_id":338,"start_date":"2017-10-16","description":"","custom_fields":[{"id":1,"name":"Subdivision","value":"NW"},{"id":4,"name":"Milepost","value":"5.8931"},{"id":17,"name":"Train ID","value":"821-16"},{"id":16,"name":"Locomotive ID","value":"4050"},{"id":130,"name":"Impact","value":""},{"id":150,"name":"Time of Event (Mountain Time)","value":"13:22:35"},{"id":151,"name":"Denver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17"/>
        <v>start /low /b %USERPROFILE%\Documents\GitHub\eaglep3\Utilities\DownloadLogsFromS3.py --loco 4050 --day 2017-10-16</v>
      </c>
      <c r="AN18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9"/>
        <v>https://d0f6bd738d7f1b3e5a7ca70fe4ff75f0.us-east-1.aws.found.io/app/kibana#/discover/Steve-Slow-Train-Analysis-(2080s-and-2083s)?_g=(refreshInterval:(display:Off,pause:!f,section:0,value:0),time:(from:'2017-10-16T11:59:05-0600',mode:absolute,to:'2017-10-16T14:22:35-0600'))&amp;_a=(columns:!('Message%20ID',Summary),filters:!(),index:'emp_*',interval:auto,query:(query_string:(analyze_wildcard:!t,query:'%22rtdc.l.rtdc.4050%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738</v>
      </c>
      <c r="B182" s="7">
        <v>4049</v>
      </c>
      <c r="C182" s="21" t="s">
        <v>194</v>
      </c>
      <c r="D182" s="21" t="s">
        <v>940</v>
      </c>
      <c r="E182" s="13">
        <v>43024.558287037034</v>
      </c>
      <c r="F182" s="13">
        <v>43024.571203703701</v>
      </c>
      <c r="G182" s="7">
        <v>73</v>
      </c>
      <c r="H182" s="21" t="s">
        <v>966</v>
      </c>
      <c r="I182" s="13">
        <v>43024.579155092593</v>
      </c>
      <c r="J182" s="7">
        <v>0</v>
      </c>
      <c r="K182" s="89" t="str">
        <f>IF(ISEVEN(B182),(B182-1)&amp;"/"&amp;B182,B182&amp;"/"&amp;(B182+1))</f>
        <v>4049/4050</v>
      </c>
      <c r="L182" s="185" t="str">
        <f>VLOOKUP(A182,'Trips&amp;Operators'!$C$1:$G$99911,5,FALSE)</f>
        <v>LEVIN SCOTT</v>
      </c>
      <c r="M182" s="6">
        <f>I182-F182</f>
        <v>7.9513888922519982E-3</v>
      </c>
      <c r="N182" s="7">
        <f>24*60*SUM($M182:$M182)</f>
        <v>11.450000004842877</v>
      </c>
      <c r="O182" s="7"/>
      <c r="P182" s="7"/>
      <c r="Q182" s="22"/>
      <c r="R182" s="174" t="s">
        <v>1026</v>
      </c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-16T12:23:56-0600',mode:absolute,to:'2017-10-16T14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04" t="str">
        <f>IF(AA182&lt;VLOOKUP(AG182,Variables!$AC$3:$AD$8,2,FALSE),"Y","N")</f>
        <v>Y</v>
      </c>
      <c r="X182" s="204">
        <f>VALUE(LEFT(AD182,4))-VALUE(LEFT(AD181,4))</f>
        <v>1</v>
      </c>
      <c r="Y182" s="204">
        <f>RIGHT(D182,LEN(D182)-4)/10000</f>
        <v>5.8613</v>
      </c>
      <c r="Z182" s="204">
        <f>RIGHT(H182,LEN(H182)-4)/10000</f>
        <v>0.44040000000000001</v>
      </c>
      <c r="AA182" s="204">
        <f>ABS(Z182-Y182)</f>
        <v>5.4208999999999996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/stypes="app*4049*20171016*" /stext=" 19:.+((SYSTEM_STATE.+slice.+state.+changed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15"/>
        <v>"%USERPROFILE%\Documents\GitHub\eaglep3\Utilities\RefineRTDCRunTimes.py" --tripid 822-16 --locoid 4049 --swversion DE.1.0.9.0 --startMP 300:58613 --initTime 2017-10-16T13:23:56 --startdatetime 2017-10-16T13:42:32 --delay 73 --endMP 204:4404 --enddatetime 2017-10-16T13:53:59 --enforcementcount 0 &gt;&gt;%USERPROFILE%\Documents\GitHub\eaglep3-reporting\EC\2017-10-16-refined-times.txt</v>
      </c>
      <c r="AI182" s="96" t="str">
        <f t="shared" si="16"/>
        <v>echo {"issue":{"subject":"Observed onboard en route failure on arrival at DUS","project_id":79,"tracker_id":40,"status_id":1,"priority_id":2,"assigned_to_id":338,"start_date":"2017-10-16","description":"","custom_fields":[{"id":1,"name":"Subdivision","value":"NW"},{"id":4,"name":"Milepost","value":"0.4404"},{"id":17,"name":"Train ID","value":"822-16"},{"id":16,"name":"Locomotive ID","value":"4049"},{"id":130,"name":"Impact","value":""},{"id":150,"name":"Time of Event (Mountain Time)","value":"13:53:59"},{"id":151,"name":"Denver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17"/>
        <v>start /low /b %USERPROFILE%\Documents\GitHub\eaglep3\Utilities\DownloadLogsFromS3.py --loco 4049 --day 2017-10-16</v>
      </c>
      <c r="AN182" s="151" t="str">
        <f t="shared" si="18"/>
        <v>echo {"issue":{"subject":"Observed onboard en route failure on arrival at DUS","project_id":30,"tracker_id":4,"status_id":1,"priority_id":1,"assigned_to_id":10,"start_date":"2017-10-16","description":"","custom_fields":[{"id":30,"name":"Category","value":"Issue"},{"id":3,"name":"Functional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19:53:59"},{"id":29,"name":"Sharepoint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9"/>
        <v>https://d0f6bd738d7f1b3e5a7ca70fe4ff75f0.us-east-1.aws.found.io/app/kibana#/discover/Steve-Slow-Train-Analysis-(2080s-and-2083s)?_g=(refreshInterval:(display:Off,pause:!f,section:0,value:0),time:(from:'2017-10-16T12:23:56-0600',mode:absolute,to:'2017-10-16T14:53:59-0600'))&amp;_a=(columns:!('Message%20ID',Summary),filters:!(),index:'emp_*',interval:auto,query:(query_string:(analyze_wildcard:!t,query:'%22rtdc.l.rtdc.4049%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744</v>
      </c>
      <c r="B183" s="7">
        <v>4050</v>
      </c>
      <c r="C183" s="21" t="s">
        <v>194</v>
      </c>
      <c r="D183" s="21" t="s">
        <v>967</v>
      </c>
      <c r="E183" s="13">
        <v>43024.587534722225</v>
      </c>
      <c r="F183" s="13">
        <v>43024.590127314812</v>
      </c>
      <c r="G183" s="7">
        <v>59</v>
      </c>
      <c r="H183" s="21" t="s">
        <v>968</v>
      </c>
      <c r="I183" s="13">
        <v>43024.59070601852</v>
      </c>
      <c r="J183" s="7">
        <v>0</v>
      </c>
      <c r="K183" s="89" t="str">
        <f>IF(ISEVEN(B183),(B183-1)&amp;"/"&amp;B183,B183&amp;"/"&amp;(B183+1))</f>
        <v>4049/4050</v>
      </c>
      <c r="L183" s="185" t="str">
        <f>VLOOKUP(A183,'Trips&amp;Operators'!$C$1:$G$99911,5,FALSE)</f>
        <v>LEVIN SCOTT</v>
      </c>
      <c r="M183" s="6">
        <f>I183-F183</f>
        <v>5.7870370801538229E-4</v>
      </c>
      <c r="N183" s="7"/>
      <c r="O183" s="7"/>
      <c r="P183" s="7">
        <f>24*60*SUM($M183:$M183)</f>
        <v>0.8333333395421505</v>
      </c>
      <c r="Q183" s="22"/>
      <c r="R183" s="174" t="s">
        <v>1025</v>
      </c>
      <c r="S183" s="221">
        <f>1/IF(AG183="EC",12,1)*SUM(U183:U183)</f>
        <v>0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-16T13:06:03-0600',mode:absolute,to:'2017-10-16T15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04" t="str">
        <f>IF(AA183&lt;VLOOKUP(AG183,Variables!$AC$3:$AD$8,2,FALSE),"Y","N")</f>
        <v>Y</v>
      </c>
      <c r="X183" s="204">
        <f>VALUE(LEFT(AD183,4))-VALUE(LEFT(AD182,4))</f>
        <v>1</v>
      </c>
      <c r="Y183" s="204">
        <f>RIGHT(D183,LEN(D183)-4)/10000</f>
        <v>9.2200000000000004E-2</v>
      </c>
      <c r="Z183" s="204">
        <f>RIGHT(H183,LEN(H183)-4)/10000</f>
        <v>0.3382</v>
      </c>
      <c r="AA183" s="204">
        <f>ABS(Z183-Y183)</f>
        <v>0.246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/stypes="app*4050*20171016*"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15"/>
        <v>"%USERPROFILE%\Documents\GitHub\eaglep3\Utilities\RefineRTDCRunTimes.py" --tripid 823-16 --locoid 4050 --swversion DE.1.0.9.0 --startMP 204:922 --initTime 2017-10-16T14:06:03 --startdatetime 2017-10-16T14:09:47 --delay 59 --endMP 204:3382 --enddatetime 2017-10-16T14:10:37 --enforcementcount 0 &gt;&gt;%USERPROFILE%\Documents\GitHub\eaglep3-reporting\EC\2017-10-16-refined-times.txt</v>
      </c>
      <c r="AI183" s="96" t="str">
        <f t="shared" si="16"/>
        <v>echo {"issue":{"subject":"Poor GPS at DUS","project_id":79,"tracker_id":40,"status_id":1,"priority_id":2,"assigned_to_id":338,"start_date":"2017-10-16","description":"","custom_fields":[{"id":1,"name":"Subdivision","value":"NW"},{"id":4,"name":"Milepost","value":"0.3382"},{"id":17,"name":"Train ID","value":"823-16"},{"id":16,"name":"Locomotive ID","value":"4050"},{"id":130,"name":"Impact","value":""},{"id":150,"name":"Time of Event (Mountain Time)","value":"14:10:37"},{"id":151,"name":"Denver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17"/>
        <v>start /low /b %USERPROFILE%\Documents\GitHub\eaglep3\Utilities\DownloadLogsFromS3.py --loco 4050 --day 2017-10-16</v>
      </c>
      <c r="AN183" s="151" t="str">
        <f t="shared" si="18"/>
        <v>echo {"issue":{"subject":"Poor GPS at DUS","project_id":30,"tracker_id":4,"status_id":1,"priority_id":1,"assigned_to_id":10,"start_date":"2017-10-16","description":"","custom_fields":[{"id":30,"name":"Category","value":"Issue"},{"id":3,"name":"Functional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9"/>
        <v>https://d0f6bd738d7f1b3e5a7ca70fe4ff75f0.us-east-1.aws.found.io/app/kibana#/discover/Steve-Slow-Train-Analysis-(2080s-and-2083s)?_g=(refreshInterval:(display:Off,pause:!f,section:0,value:0),time:(from:'2017-10-16T13:06:03-0600',mode:absolute,to:'2017-10-16T15:10:37-0600'))&amp;_a=(columns:!('Message%20ID',Summary),filters:!(),index:'emp_*',interval:auto,query:(query_string:(analyze_wildcard:!t,query:'%22rtdc.l.rtdc.4050%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595</v>
      </c>
      <c r="B184" s="7">
        <v>4049</v>
      </c>
      <c r="C184" s="21" t="s">
        <v>194</v>
      </c>
      <c r="D184" s="21" t="s">
        <v>969</v>
      </c>
      <c r="E184" s="13">
        <v>43024.606145833335</v>
      </c>
      <c r="F184" s="13">
        <v>43024.608067129629</v>
      </c>
      <c r="G184" s="7">
        <v>94</v>
      </c>
      <c r="H184" s="21" t="s">
        <v>970</v>
      </c>
      <c r="I184" s="13">
        <v>43024.620810185188</v>
      </c>
      <c r="J184" s="7">
        <v>0</v>
      </c>
      <c r="K184" s="89" t="str">
        <f>IF(ISEVEN(B184),(B184-1)&amp;"/"&amp;B184,B184&amp;"/"&amp;(B184+1))</f>
        <v>4049/4050</v>
      </c>
      <c r="L184" s="185" t="str">
        <f>VLOOKUP(A184,'Trips&amp;Operators'!$C$1:$G$99911,5,FALSE)</f>
        <v>LEVIN SCOTT</v>
      </c>
      <c r="M184" s="6">
        <f>I184-F184</f>
        <v>1.2743055558530614E-2</v>
      </c>
      <c r="N184" s="7">
        <f>24*60*SUM($M184:$M184)</f>
        <v>18.350000004284084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-16T13:32:51-0600',mode:absolute,to:'2017-10-16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04" t="str">
        <f>IF(AA184&lt;VLOOKUP(AG184,Variables!$AC$3:$AD$8,2,FALSE),"Y","N")</f>
        <v>Y</v>
      </c>
      <c r="X184" s="204">
        <f>VALUE(LEFT(AD184,4))-VALUE(LEFT(AD183,4))</f>
        <v>1</v>
      </c>
      <c r="Y184" s="204">
        <f>RIGHT(D184,LEN(D184)-4)/10000</f>
        <v>5.8651</v>
      </c>
      <c r="Z184" s="204">
        <f>RIGHT(H184,LEN(H184)-4)/10000</f>
        <v>0.45</v>
      </c>
      <c r="AA184" s="204">
        <f>ABS(Z184-Y184)</f>
        <v>5.4150999999999998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824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/stypes="app*4049*20171016*" /stext=" 20:.+((SYSTEM_STATE.+slice.+state.+changed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15"/>
        <v>"%USERPROFILE%\Documents\GitHub\eaglep3\Utilities\RefineRTDCRunTimes.py" --tripid 824-16 --locoid 4049 --swversion DE.1.0.9.0 --startMP 300:58651 --initTime 2017-10-16T14:32:51 --startdatetime 2017-10-16T14:35:37 --delay 94 --endMP 204:4500 --enddatetime 2017-10-16T14:53:58 --enforcementcount 0 &gt;&gt;%USERPROFILE%\Documents\GitHub\eaglep3-reporting\EC\2017-10-16-refined-times.txt</v>
      </c>
      <c r="AI184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{"issue":{"subject":"","project_id":79,"tracker_id":40,"status_id":1,"priority_id":2,"assigned_to_id":338,"start_date":"2017-10-16","description":"","custom_fields":[{"id":1,"name":"Subdivision","value":"NW"},{"id":4,"name":"Milepost","value":"0.45"},{"id":17,"name":"Train ID","value":"824-16"},{"id":16,"name":"Locomotive ID","value":"4049"},{"id":130,"name":"Impact","value":""},{"id":150,"name":"Time of Event (Mountain Time)","value":"14:53:58"},{"id":151,"name":"Denver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17"/>
        <v>start /low /b %USERPROFILE%\Documents\GitHub\eaglep3\Utilities\DownloadLogsFromS3.py --loco 4049 --day 2017-10-16</v>
      </c>
      <c r="AN18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9"/>
        <v>https://d0f6bd738d7f1b3e5a7ca70fe4ff75f0.us-east-1.aws.found.io/app/kibana#/discover/Steve-Slow-Train-Analysis-(2080s-and-2083s)?_g=(refreshInterval:(display:Off,pause:!f,section:0,value:0),time:(from:'2017-10-16T13:32:51-0600',mode:absolute,to:'2017-10-16T15:53:58-0600'))&amp;_a=(columns:!('Message%20ID',Summary),filters:!(),index:'emp_*',interval:auto,query:(query_string:(analyze_wildcard:!t,query:'%22rtdc.l.rtdc.4049%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751</v>
      </c>
      <c r="B185" s="7">
        <v>4050</v>
      </c>
      <c r="C185" s="21" t="s">
        <v>194</v>
      </c>
      <c r="D185" s="21" t="s">
        <v>971</v>
      </c>
      <c r="E185" s="13">
        <v>43024.629803240743</v>
      </c>
      <c r="F185" s="13">
        <v>43024.631481481483</v>
      </c>
      <c r="G185" s="7">
        <v>56</v>
      </c>
      <c r="H185" s="21" t="s">
        <v>972</v>
      </c>
      <c r="I185" s="13">
        <v>43024.646493055552</v>
      </c>
      <c r="J185" s="7">
        <v>0</v>
      </c>
      <c r="K185" s="89" t="str">
        <f>IF(ISEVEN(B185),(B185-1)&amp;"/"&amp;B185,B185&amp;"/"&amp;(B185+1))</f>
        <v>4049/4050</v>
      </c>
      <c r="L185" s="185" t="str">
        <f>VLOOKUP(A185,'Trips&amp;Operators'!$C$1:$G$99911,5,FALSE)</f>
        <v>LEVIN SCOTT</v>
      </c>
      <c r="M185" s="6">
        <f>I185-F185</f>
        <v>1.5011574068921618E-2</v>
      </c>
      <c r="N185" s="7">
        <f>24*60*SUM($M185:$M185)</f>
        <v>21.61666665924713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-16T14:06:55-0600',mode:absolute,to:'2017-10-16T16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9.3600000000000003E-2</v>
      </c>
      <c r="Z185" s="204">
        <f>RIGHT(H185,LEN(H185)-4)/10000</f>
        <v>5.8954000000000004</v>
      </c>
      <c r="AA185" s="204">
        <f>ABS(Z185-Y185)</f>
        <v>5.8018000000000001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825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/stypes="app*4050*20171016*"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15"/>
        <v>"%USERPROFILE%\Documents\GitHub\eaglep3\Utilities\RefineRTDCRunTimes.py" --tripid 825-16 --locoid 4050 --swversion DE.1.0.9.0 --startMP 204:936 --initTime 2017-10-16T15:06:55 --startdatetime 2017-10-16T15:09:20 --delay 56 --endMP 300:58954 --enddatetime 2017-10-16T15:30:57 --enforcementcount 0 &gt;&gt;%USERPROFILE%\Documents\GitHub\eaglep3-reporting\EC\2017-10-16-refined-times.txt</v>
      </c>
      <c r="AI185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{"issue":{"subject":"","project_id":79,"tracker_id":40,"status_id":1,"priority_id":2,"assigned_to_id":338,"start_date":"2017-10-16","description":"","custom_fields":[{"id":1,"name":"Subdivision","value":"NW"},{"id":4,"name":"Milepost","value":"5.8954"},{"id":17,"name":"Train ID","value":"825-16"},{"id":16,"name":"Locomotive ID","value":"4050"},{"id":130,"name":"Impact","value":""},{"id":150,"name":"Time of Event (Mountain Time)","value":"15:30:57"},{"id":151,"name":"Denver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17"/>
        <v>start /low /b %USERPROFILE%\Documents\GitHub\eaglep3\Utilities\DownloadLogsFromS3.py --loco 4050 --day 2017-10-16</v>
      </c>
      <c r="AN18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19"/>
        <v>https://d0f6bd738d7f1b3e5a7ca70fe4ff75f0.us-east-1.aws.found.io/app/kibana#/discover/Steve-Slow-Train-Analysis-(2080s-and-2083s)?_g=(refreshInterval:(display:Off,pause:!f,section:0,value:0),time:(from:'2017-10-16T14:06:55-0600',mode:absolute,to:'2017-10-16T16:30:57-0600'))&amp;_a=(columns:!('Message%20ID',Summary),filters:!(),index:'emp_*',interval:auto,query:(query_string:(analyze_wildcard:!t,query:'%22rtdc.l.rtdc.4050%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756</v>
      </c>
      <c r="B186" s="7">
        <v>4049</v>
      </c>
      <c r="C186" s="21" t="s">
        <v>194</v>
      </c>
      <c r="D186" s="21" t="s">
        <v>973</v>
      </c>
      <c r="E186" s="13">
        <v>43024.648425925923</v>
      </c>
      <c r="F186" s="13">
        <v>43024.649768518517</v>
      </c>
      <c r="G186" s="7">
        <v>64</v>
      </c>
      <c r="H186" s="21" t="s">
        <v>974</v>
      </c>
      <c r="I186" s="13">
        <v>43024.663495370369</v>
      </c>
      <c r="J186" s="7">
        <v>0</v>
      </c>
      <c r="K186" s="89" t="str">
        <f>IF(ISEVEN(B186),(B186-1)&amp;"/"&amp;B186,B186&amp;"/"&amp;(B186+1))</f>
        <v>4049/4050</v>
      </c>
      <c r="L186" s="185" t="str">
        <f>VLOOKUP(A186,'Trips&amp;Operators'!$C$1:$G$99911,5,FALSE)</f>
        <v>LEVIN SCOTT</v>
      </c>
      <c r="M186" s="6">
        <f>I186-F186</f>
        <v>1.3726851851970423E-2</v>
      </c>
      <c r="N186" s="7">
        <f>24*60*SUM($M186:$M186)</f>
        <v>19.766666666837409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-16T14:33:44-0600',mode:absolute,to:'2017-10-16T16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5.8638000000000003</v>
      </c>
      <c r="Z186" s="204">
        <f>RIGHT(H186,LEN(H186)-4)/10000</f>
        <v>6.5600000000000006E-2</v>
      </c>
      <c r="AA186" s="204">
        <f>ABS(Z186-Y186)</f>
        <v>5.7982000000000005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826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/stypes="app*4049*20171016*"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15"/>
        <v>"%USERPROFILE%\Documents\GitHub\eaglep3\Utilities\RefineRTDCRunTimes.py" --tripid 826-16 --locoid 4049 --swversion DE.1.0.9.0 --startMP 300:58638 --initTime 2017-10-16T15:33:44 --startdatetime 2017-10-16T15:35:40 --delay 64 --endMP 204:656 --enddatetime 2017-10-16T15:55:26 --enforcementcount 0 &gt;&gt;%USERPROFILE%\Documents\GitHub\eaglep3-reporting\EC\2017-10-16-refined-times.txt</v>
      </c>
      <c r="AI186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{"issue":{"subject":"","project_id":79,"tracker_id":40,"status_id":1,"priority_id":2,"assigned_to_id":338,"start_date":"2017-10-16","description":"","custom_fields":[{"id":1,"name":"Subdivision","value":"NW"},{"id":4,"name":"Milepost","value":"0.0656"},{"id":17,"name":"Train ID","value":"826-16"},{"id":16,"name":"Locomotive ID","value":"4049"},{"id":130,"name":"Impact","value":""},{"id":150,"name":"Time of Event (Mountain Time)","value":"15:55:26"},{"id":151,"name":"Denver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17"/>
        <v>start /low /b %USERPROFILE%\Documents\GitHub\eaglep3\Utilities\DownloadLogsFromS3.py --loco 4049 --day 2017-10-16</v>
      </c>
      <c r="AN186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9"/>
        <v>https://d0f6bd738d7f1b3e5a7ca70fe4ff75f0.us-east-1.aws.found.io/app/kibana#/discover/Steve-Slow-Train-Analysis-(2080s-and-2083s)?_g=(refreshInterval:(display:Off,pause:!f,section:0,value:0),time:(from:'2017-10-16T14:33:44-0600',mode:absolute,to:'2017-10-16T16:55:26-0600'))&amp;_a=(columns:!('Message%20ID',Summary),filters:!(),index:'emp_*',interval:auto,query:(query_string:(analyze_wildcard:!t,query:'%22rtdc.l.rtdc.4049%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599</v>
      </c>
      <c r="B187" s="7">
        <v>4046</v>
      </c>
      <c r="C187" s="21" t="s">
        <v>194</v>
      </c>
      <c r="D187" s="21" t="s">
        <v>975</v>
      </c>
      <c r="E187" s="13">
        <v>43024.647870370369</v>
      </c>
      <c r="F187" s="13">
        <v>43024.652349537035</v>
      </c>
      <c r="G187" s="7">
        <v>67</v>
      </c>
      <c r="H187" s="21" t="s">
        <v>976</v>
      </c>
      <c r="I187" s="13">
        <v>43024.661840277775</v>
      </c>
      <c r="J187" s="7">
        <v>0</v>
      </c>
      <c r="K187" s="89" t="str">
        <f>IF(ISEVEN(B187),(B187-1)&amp;"/"&amp;B187,B187&amp;"/"&amp;(B187+1))</f>
        <v>4045/4046</v>
      </c>
      <c r="L187" s="185" t="str">
        <f>VLOOKUP(A187,'Trips&amp;Operators'!$C$1:$G$99911,5,FALSE)</f>
        <v>KILLION DAVID</v>
      </c>
      <c r="M187" s="6">
        <f>I187-F187</f>
        <v>9.4907407401478849E-3</v>
      </c>
      <c r="N187" s="7">
        <f>24*60*SUM($M187:$M187)</f>
        <v>13.666666665812954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-16T14:32:56-0600',mode:absolute,to:'2017-10-16T16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9.64E-2</v>
      </c>
      <c r="Z187" s="204">
        <f>RIGHT(H187,LEN(H187)-4)/10000</f>
        <v>5.8979999999999997</v>
      </c>
      <c r="AA187" s="204">
        <f>ABS(Z187-Y187)</f>
        <v>5.8015999999999996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827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/stypes="app*4046*20171016*"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15"/>
        <v>"%USERPROFILE%\Documents\GitHub\eaglep3\Utilities\RefineRTDCRunTimes.py" --tripid 827-16 --locoid 4046 --swversion DE.1.0.9.0 --startMP 204:964 --initTime 2017-10-16T15:32:56 --startdatetime 2017-10-16T15:39:23 --delay 67 --endMP 300:58980 --enddatetime 2017-10-16T15:53:03 --enforcementcount 0 &gt;&gt;%USERPROFILE%\Documents\GitHub\eaglep3-reporting\EC\2017-10-16-refined-times.txt</v>
      </c>
      <c r="AI187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{"issue":{"subject":"","project_id":79,"tracker_id":40,"status_id":1,"priority_id":2,"assigned_to_id":338,"start_date":"2017-10-16","description":"","custom_fields":[{"id":1,"name":"Subdivision","value":"NW"},{"id":4,"name":"Milepost","value":"5.898"},{"id":17,"name":"Train ID","value":"827-16"},{"id":16,"name":"Locomotive ID","value":"4046"},{"id":130,"name":"Impact","value":""},{"id":150,"name":"Time of Event (Mountain Time)","value":"15:53:03"},{"id":151,"name":"Denver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17"/>
        <v>start /low /b %USERPROFILE%\Documents\GitHub\eaglep3\Utilities\DownloadLogsFromS3.py --loco 4046 --day 2017-10-16</v>
      </c>
      <c r="AN18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9"/>
        <v>https://d0f6bd738d7f1b3e5a7ca70fe4ff75f0.us-east-1.aws.found.io/app/kibana#/discover/Steve-Slow-Train-Analysis-(2080s-and-2083s)?_g=(refreshInterval:(display:Off,pause:!f,section:0,value:0),time:(from:'2017-10-16T14:32:56-0600',mode:absolute,to:'2017-10-16T16:53:03-0600'))&amp;_a=(columns:!('Message%20ID',Summary),filters:!(),index:'emp_*',interval:auto,query:(query_string:(analyze_wildcard:!t,query:'%22rtdc.l.rtdc.4046%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760</v>
      </c>
      <c r="B188" s="7">
        <v>4045</v>
      </c>
      <c r="C188" s="21" t="s">
        <v>194</v>
      </c>
      <c r="D188" s="21" t="s">
        <v>977</v>
      </c>
      <c r="E188" s="13">
        <v>43024.664502314816</v>
      </c>
      <c r="F188" s="13">
        <v>43024.667141203703</v>
      </c>
      <c r="G188" s="7">
        <v>67</v>
      </c>
      <c r="H188" s="21" t="s">
        <v>978</v>
      </c>
      <c r="I188" s="13">
        <v>43024.684340277781</v>
      </c>
      <c r="J188" s="7">
        <v>0</v>
      </c>
      <c r="K188" s="89" t="str">
        <f>IF(ISEVEN(B188),(B188-1)&amp;"/"&amp;B188,B188&amp;"/"&amp;(B188+1))</f>
        <v>4045/4046</v>
      </c>
      <c r="L188" s="185" t="str">
        <f>VLOOKUP(A188,'Trips&amp;Operators'!$C$1:$G$99911,5,FALSE)</f>
        <v>KILLION DAVID</v>
      </c>
      <c r="M188" s="6">
        <f>I188-F188</f>
        <v>1.7199074078234844E-2</v>
      </c>
      <c r="N188" s="7">
        <f>24*60*SUM($M188:$M188)</f>
        <v>24.766666672658175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-16T14:56:53-0600',mode:absolute,to:'2017-10-16T17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5.867</v>
      </c>
      <c r="Z188" s="204">
        <f>RIGHT(H188,LEN(H188)-4)/10000</f>
        <v>6.9599999999999995E-2</v>
      </c>
      <c r="AA188" s="204">
        <f>ABS(Z188-Y188)</f>
        <v>5.7973999999999997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828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/stypes="app*4045*20171016*"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15"/>
        <v>"%USERPROFILE%\Documents\GitHub\eaglep3\Utilities\RefineRTDCRunTimes.py" --tripid 828-16 --locoid 4045 --swversion DE.1.0.9.0 --startMP 300:58670 --initTime 2017-10-16T15:56:53 --startdatetime 2017-10-16T16:00:41 --delay 67 --endMP 204:696 --enddatetime 2017-10-16T16:25:27 --enforcementcount 0 &gt;&gt;%USERPROFILE%\Documents\GitHub\eaglep3-reporting\EC\2017-10-16-refined-times.txt</v>
      </c>
      <c r="AI188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{"issue":{"subject":"","project_id":79,"tracker_id":40,"status_id":1,"priority_id":2,"assigned_to_id":338,"start_date":"2017-10-16","description":"","custom_fields":[{"id":1,"name":"Subdivision","value":"NW"},{"id":4,"name":"Milepost","value":"0.0696"},{"id":17,"name":"Train ID","value":"828-16"},{"id":16,"name":"Locomotive ID","value":"4045"},{"id":130,"name":"Impact","value":""},{"id":150,"name":"Time of Event (Mountain Time)","value":"16:25:27"},{"id":151,"name":"Denver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17"/>
        <v>start /low /b %USERPROFILE%\Documents\GitHub\eaglep3\Utilities\DownloadLogsFromS3.py --loco 4045 --day 2017-10-16</v>
      </c>
      <c r="AN188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9"/>
        <v>https://d0f6bd738d7f1b3e5a7ca70fe4ff75f0.us-east-1.aws.found.io/app/kibana#/discover/Steve-Slow-Train-Analysis-(2080s-and-2083s)?_g=(refreshInterval:(display:Off,pause:!f,section:0,value:0),time:(from:'2017-10-16T14:56:53-0600',mode:absolute,to:'2017-10-16T17:25:27-0600'))&amp;_a=(columns:!('Message%20ID',Summary),filters:!(),index:'emp_*',interval:auto,query:(query_string:(analyze_wildcard:!t,query:'%22rtdc.l.rtdc.4045%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761</v>
      </c>
      <c r="B189" s="7">
        <v>4050</v>
      </c>
      <c r="C189" s="21" t="s">
        <v>194</v>
      </c>
      <c r="D189" s="21" t="s">
        <v>979</v>
      </c>
      <c r="E189" s="13">
        <v>43024.665162037039</v>
      </c>
      <c r="F189" s="13">
        <v>43024.673159722224</v>
      </c>
      <c r="G189" s="7">
        <v>53</v>
      </c>
      <c r="H189" s="21" t="s">
        <v>980</v>
      </c>
      <c r="I189" s="13">
        <v>43024.683182870373</v>
      </c>
      <c r="J189" s="7">
        <v>0</v>
      </c>
      <c r="K189" s="89" t="str">
        <f>IF(ISEVEN(B189),(B189-1)&amp;"/"&amp;B189,B189&amp;"/"&amp;(B189+1))</f>
        <v>4049/4050</v>
      </c>
      <c r="L189" s="185" t="str">
        <f>VLOOKUP(A189,'Trips&amp;Operators'!$C$1:$G$99911,5,FALSE)</f>
        <v>LEVIN SCOTT</v>
      </c>
      <c r="M189" s="6">
        <f>I189-F189</f>
        <v>1.0023148148320615E-2</v>
      </c>
      <c r="N189" s="7">
        <f>24*60*SUM($M189:$M189)</f>
        <v>14.433333333581686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-16T14:57:50-0600',mode:absolute,to:'2017-10-16T17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9.2899999999999996E-2</v>
      </c>
      <c r="Z189" s="204">
        <f>RIGHT(H189,LEN(H189)-4)/10000</f>
        <v>5.8949999999999996</v>
      </c>
      <c r="AA189" s="204">
        <f>ABS(Z189-Y189)</f>
        <v>5.8020999999999994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829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/stypes="app*4050*20171016*"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15"/>
        <v>"%USERPROFILE%\Documents\GitHub\eaglep3\Utilities\RefineRTDCRunTimes.py" --tripid 829-16 --locoid 4050 --swversion DE.1.0.9.0 --startMP 204:929 --initTime 2017-10-16T15:57:50 --startdatetime 2017-10-16T16:09:21 --delay 53 --endMP 300:58950 --enddatetime 2017-10-16T16:23:47 --enforcementcount 0 &gt;&gt;%USERPROFILE%\Documents\GitHub\eaglep3-reporting\EC\2017-10-16-refined-times.txt</v>
      </c>
      <c r="AI189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{"issue":{"subject":"","project_id":79,"tracker_id":40,"status_id":1,"priority_id":2,"assigned_to_id":338,"start_date":"2017-10-16","description":"","custom_fields":[{"id":1,"name":"Subdivision","value":"NW"},{"id":4,"name":"Milepost","value":"5.895"},{"id":17,"name":"Train ID","value":"829-16"},{"id":16,"name":"Locomotive ID","value":"4050"},{"id":130,"name":"Impact","value":""},{"id":150,"name":"Time of Event (Mountain Time)","value":"16:23:47"},{"id":151,"name":"Denver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17"/>
        <v>start /low /b %USERPROFILE%\Documents\GitHub\eaglep3\Utilities\DownloadLogsFromS3.py --loco 4050 --day 2017-10-16</v>
      </c>
      <c r="AN18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9"/>
        <v>https://d0f6bd738d7f1b3e5a7ca70fe4ff75f0.us-east-1.aws.found.io/app/kibana#/discover/Steve-Slow-Train-Analysis-(2080s-and-2083s)?_g=(refreshInterval:(display:Off,pause:!f,section:0,value:0),time:(from:'2017-10-16T14:57:50-0600',mode:absolute,to:'2017-10-16T17:23:47-0600'))&amp;_a=(columns:!('Message%20ID',Summary),filters:!(),index:'emp_*',interval:auto,query:(query_string:(analyze_wildcard:!t,query:'%22rtdc.l.rtdc.4050%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765</v>
      </c>
      <c r="B190" s="7">
        <v>4049</v>
      </c>
      <c r="C190" s="21" t="s">
        <v>194</v>
      </c>
      <c r="D190" s="21" t="s">
        <v>981</v>
      </c>
      <c r="E190" s="13">
        <v>43024.684155092589</v>
      </c>
      <c r="F190" s="13">
        <v>43024.696689814817</v>
      </c>
      <c r="G190" s="7">
        <v>64</v>
      </c>
      <c r="H190" s="21" t="s">
        <v>982</v>
      </c>
      <c r="I190" s="13">
        <v>43024.705347222225</v>
      </c>
      <c r="J190" s="7">
        <v>0</v>
      </c>
      <c r="K190" s="89" t="str">
        <f>IF(ISEVEN(B190),(B190-1)&amp;"/"&amp;B190,B190&amp;"/"&amp;(B190+1))</f>
        <v>4049/4050</v>
      </c>
      <c r="L190" s="185" t="str">
        <f>VLOOKUP(A190,'Trips&amp;Operators'!$C$1:$G$99911,5,FALSE)</f>
        <v>LEVIN SCOTT</v>
      </c>
      <c r="M190" s="6">
        <f>I190-F190</f>
        <v>8.6574074084637687E-3</v>
      </c>
      <c r="N190" s="7">
        <f>24*60*SUM($M190:$M190)</f>
        <v>12.466666668187827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-16T15:25:11-0600',mode:absolute,to:'2017-10-16T17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5.8632</v>
      </c>
      <c r="Z190" s="204">
        <f>RIGHT(H190,LEN(H190)-4)/10000</f>
        <v>6.59E-2</v>
      </c>
      <c r="AA190" s="204">
        <f>ABS(Z190-Y190)</f>
        <v>5.7972999999999999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830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/stypes="app*4049*20171016*"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15"/>
        <v>"%USERPROFILE%\Documents\GitHub\eaglep3\Utilities\RefineRTDCRunTimes.py" --tripid 830-16 --locoid 4049 --swversion DE.1.0.9.0 --startMP 300:58632 --initTime 2017-10-16T16:25:11 --startdatetime 2017-10-16T16:43:14 --delay 64 --endMP 204:659 --enddatetime 2017-10-16T16:55:42 --enforcementcount 0 &gt;&gt;%USERPROFILE%\Documents\GitHub\eaglep3-reporting\EC\2017-10-16-refined-times.txt</v>
      </c>
      <c r="AI190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{"issue":{"subject":"","project_id":79,"tracker_id":40,"status_id":1,"priority_id":2,"assigned_to_id":338,"start_date":"2017-10-16","description":"","custom_fields":[{"id":1,"name":"Subdivision","value":"NW"},{"id":4,"name":"Milepost","value":"0.0659"},{"id":17,"name":"Train ID","value":"830-16"},{"id":16,"name":"Locomotive ID","value":"4049"},{"id":130,"name":"Impact","value":""},{"id":150,"name":"Time of Event (Mountain Time)","value":"16:55:42"},{"id":151,"name":"Denver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17"/>
        <v>start /low /b %USERPROFILE%\Documents\GitHub\eaglep3\Utilities\DownloadLogsFromS3.py --loco 4049 --day 2017-10-16</v>
      </c>
      <c r="AN19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9"/>
        <v>https://d0f6bd738d7f1b3e5a7ca70fe4ff75f0.us-east-1.aws.found.io/app/kibana#/discover/Steve-Slow-Train-Analysis-(2080s-and-2083s)?_g=(refreshInterval:(display:Off,pause:!f,section:0,value:0),time:(from:'2017-10-16T15:25:11-0600',mode:absolute,to:'2017-10-16T17:55:42-0600'))&amp;_a=(columns:!('Message%20ID',Summary),filters:!(),index:'emp_*',interval:auto,query:(query_string:(analyze_wildcard:!t,query:'%22rtdc.l.rtdc.4049%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769</v>
      </c>
      <c r="B191" s="7">
        <v>4046</v>
      </c>
      <c r="C191" s="21" t="s">
        <v>194</v>
      </c>
      <c r="D191" s="21" t="s">
        <v>440</v>
      </c>
      <c r="E191" s="13">
        <v>43024.691863425927</v>
      </c>
      <c r="F191" s="13">
        <v>43024.694085648145</v>
      </c>
      <c r="G191" s="7">
        <v>73</v>
      </c>
      <c r="H191" s="21" t="s">
        <v>983</v>
      </c>
      <c r="I191" s="13">
        <v>43024.703877314816</v>
      </c>
      <c r="J191" s="7">
        <v>0</v>
      </c>
      <c r="K191" s="89" t="str">
        <f>IF(ISEVEN(B191),(B191-1)&amp;"/"&amp;B191,B191&amp;"/"&amp;(B191+1))</f>
        <v>4045/4046</v>
      </c>
      <c r="L191" s="185" t="str">
        <f>VLOOKUP(A191,'Trips&amp;Operators'!$C$1:$G$99911,5,FALSE)</f>
        <v>STAMBAUGH JAMES</v>
      </c>
      <c r="M191" s="6">
        <f>I191-F191</f>
        <v>9.7916666709352285E-3</v>
      </c>
      <c r="N191" s="7">
        <f>24*60*SUM($M191:$M191)</f>
        <v>14.100000006146729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-16T15:36:17-0600',mode:absolute,to:'2017-10-16T17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9.7600000000000006E-2</v>
      </c>
      <c r="Z191" s="204">
        <f>RIGHT(H191,LEN(H191)-4)/10000</f>
        <v>5.8960999999999997</v>
      </c>
      <c r="AA191" s="204">
        <f>ABS(Z191-Y191)</f>
        <v>5.7984999999999998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831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/stypes="app*4046*20171016*"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15"/>
        <v>"%USERPROFILE%\Documents\GitHub\eaglep3\Utilities\RefineRTDCRunTimes.py" --tripid 831-16 --locoid 4046 --swversion DE.1.0.9.0 --startMP 204:976 --initTime 2017-10-16T16:36:17 --startdatetime 2017-10-16T16:39:29 --delay 73 --endMP 300:58961 --enddatetime 2017-10-16T16:53:35 --enforcementcount 0 &gt;&gt;%USERPROFILE%\Documents\GitHub\eaglep3-reporting\EC\2017-10-16-refined-times.txt</v>
      </c>
      <c r="AI191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{"issue":{"subject":"","project_id":79,"tracker_id":40,"status_id":1,"priority_id":2,"assigned_to_id":338,"start_date":"2017-10-16","description":"","custom_fields":[{"id":1,"name":"Subdivision","value":"NW"},{"id":4,"name":"Milepost","value":"5.8961"},{"id":17,"name":"Train ID","value":"831-16"},{"id":16,"name":"Locomotive ID","value":"4046"},{"id":130,"name":"Impact","value":""},{"id":150,"name":"Time of Event (Mountain Time)","value":"16:53:35"},{"id":151,"name":"Denver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17"/>
        <v>start /low /b %USERPROFILE%\Documents\GitHub\eaglep3\Utilities\DownloadLogsFromS3.py --loco 4046 --day 2017-10-16</v>
      </c>
      <c r="AN19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9"/>
        <v>https://d0f6bd738d7f1b3e5a7ca70fe4ff75f0.us-east-1.aws.found.io/app/kibana#/discover/Steve-Slow-Train-Analysis-(2080s-and-2083s)?_g=(refreshInterval:(display:Off,pause:!f,section:0,value:0),time:(from:'2017-10-16T15:36:17-0600',mode:absolute,to:'2017-10-16T17:53:35-0600'))&amp;_a=(columns:!('Message%20ID',Summary),filters:!(),index:'emp_*',interval:auto,query:(query_string:(analyze_wildcard:!t,query:'%22rtdc.l.rtdc.4046%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600</v>
      </c>
      <c r="B192" s="7">
        <v>4045</v>
      </c>
      <c r="C192" s="21" t="s">
        <v>194</v>
      </c>
      <c r="D192" s="21" t="s">
        <v>984</v>
      </c>
      <c r="E192" s="13">
        <v>43024.707326388889</v>
      </c>
      <c r="F192" s="13">
        <v>43024.709039351852</v>
      </c>
      <c r="G192" s="7">
        <v>68</v>
      </c>
      <c r="H192" s="21" t="s">
        <v>565</v>
      </c>
      <c r="I192" s="13">
        <v>43024.72556712963</v>
      </c>
      <c r="J192" s="7">
        <v>0</v>
      </c>
      <c r="K192" s="89" t="str">
        <f>IF(ISEVEN(B192),(B192-1)&amp;"/"&amp;B192,B192&amp;"/"&amp;(B192+1))</f>
        <v>4045/4046</v>
      </c>
      <c r="L192" s="185" t="str">
        <f>VLOOKUP(A192,'Trips&amp;Operators'!$C$1:$G$99911,5,FALSE)</f>
        <v>STAMBAUGH JAMES</v>
      </c>
      <c r="M192" s="6">
        <f>I192-F192</f>
        <v>1.6527777777810115E-2</v>
      </c>
      <c r="N192" s="7">
        <f>24*60*SUM($M192:$M192)</f>
        <v>23.800000000046566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-16T15:58:33-0600',mode:absolute,to:'2017-10-16T18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5.8653000000000004</v>
      </c>
      <c r="Z192" s="204">
        <f>RIGHT(H192,LEN(H192)-4)/10000</f>
        <v>7.3099999999999998E-2</v>
      </c>
      <c r="AA192" s="204">
        <f>ABS(Z192-Y192)</f>
        <v>5.7922000000000002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832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/stypes="app*4045*20171016*"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15"/>
        <v>"%USERPROFILE%\Documents\GitHub\eaglep3\Utilities\RefineRTDCRunTimes.py" --tripid 832-16 --locoid 4045 --swversion DE.1.0.9.0 --startMP 300:58653 --initTime 2017-10-16T16:58:33 --startdatetime 2017-10-16T17:01:01 --delay 68 --endMP 204:731 --enddatetime 2017-10-16T17:24:49 --enforcementcount 0 &gt;&gt;%USERPROFILE%\Documents\GitHub\eaglep3-reporting\EC\2017-10-16-refined-times.txt</v>
      </c>
      <c r="AI192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{"issue":{"subject":"","project_id":79,"tracker_id":40,"status_id":1,"priority_id":2,"assigned_to_id":338,"start_date":"2017-10-16","description":"","custom_fields":[{"id":1,"name":"Subdivision","value":"NW"},{"id":4,"name":"Milepost","value":"0.0731"},{"id":17,"name":"Train ID","value":"832-16"},{"id":16,"name":"Locomotive ID","value":"4045"},{"id":130,"name":"Impact","value":""},{"id":150,"name":"Time of Event (Mountain Time)","value":"17:24:49"},{"id":151,"name":"Denver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17"/>
        <v>start /low /b %USERPROFILE%\Documents\GitHub\eaglep3\Utilities\DownloadLogsFromS3.py --loco 4045 --day 2017-10-16</v>
      </c>
      <c r="AN192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9"/>
        <v>https://d0f6bd738d7f1b3e5a7ca70fe4ff75f0.us-east-1.aws.found.io/app/kibana#/discover/Steve-Slow-Train-Analysis-(2080s-and-2083s)?_g=(refreshInterval:(display:Off,pause:!f,section:0,value:0),time:(from:'2017-10-16T15:58:33-0600',mode:absolute,to:'2017-10-16T18:24:49-0600'))&amp;_a=(columns:!('Message%20ID',Summary),filters:!(),index:'emp_*',interval:auto,query:(query_string:(analyze_wildcard:!t,query:'%22rtdc.l.rtdc.4045%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774</v>
      </c>
      <c r="B193" s="7">
        <v>4050</v>
      </c>
      <c r="C193" s="21" t="s">
        <v>194</v>
      </c>
      <c r="D193" s="21" t="s">
        <v>985</v>
      </c>
      <c r="E193" s="13">
        <v>43024.708090277774</v>
      </c>
      <c r="F193" s="13">
        <v>43024.714849537035</v>
      </c>
      <c r="G193" s="7">
        <v>55</v>
      </c>
      <c r="H193" s="21" t="s">
        <v>986</v>
      </c>
      <c r="I193" s="13">
        <v>43024.724907407406</v>
      </c>
      <c r="J193" s="7">
        <v>0</v>
      </c>
      <c r="K193" s="89" t="str">
        <f>IF(ISEVEN(B193),(B193-1)&amp;"/"&amp;B193,B193&amp;"/"&amp;(B193+1))</f>
        <v>4049/4050</v>
      </c>
      <c r="L193" s="185" t="str">
        <f>VLOOKUP(A193,'Trips&amp;Operators'!$C$1:$G$99911,5,FALSE)</f>
        <v>LEVIN SCOTT</v>
      </c>
      <c r="M193" s="6">
        <f>I193-F193</f>
        <v>1.0057870371383615E-2</v>
      </c>
      <c r="N193" s="7">
        <f>24*60*SUM($M193:$M193)</f>
        <v>14.483333334792405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-16T15:59:39-0600',mode:absolute,to:'2017-10-16T18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9.5299999999999996E-2</v>
      </c>
      <c r="Z193" s="204">
        <f>RIGHT(H193,LEN(H193)-4)/10000</f>
        <v>5.8952</v>
      </c>
      <c r="AA193" s="204">
        <f>ABS(Z193-Y193)</f>
        <v>5.7999000000000001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833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/stypes="app*4050*20171016*"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15"/>
        <v>"%USERPROFILE%\Documents\GitHub\eaglep3\Utilities\RefineRTDCRunTimes.py" --tripid 833-16 --locoid 4050 --swversion DE.1.0.9.0 --startMP 204:953 --initTime 2017-10-16T16:59:39 --startdatetime 2017-10-16T17:09:23 --delay 55 --endMP 300:58952 --enddatetime 2017-10-16T17:23:52 --enforcementcount 0 &gt;&gt;%USERPROFILE%\Documents\GitHub\eaglep3-reporting\EC\2017-10-16-refined-times.txt</v>
      </c>
      <c r="AI193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{"issue":{"subject":"","project_id":79,"tracker_id":40,"status_id":1,"priority_id":2,"assigned_to_id":338,"start_date":"2017-10-16","description":"","custom_fields":[{"id":1,"name":"Subdivision","value":"NW"},{"id":4,"name":"Milepost","value":"5.8952"},{"id":17,"name":"Train ID","value":"833-16"},{"id":16,"name":"Locomotive ID","value":"4050"},{"id":130,"name":"Impact","value":""},{"id":150,"name":"Time of Event (Mountain Time)","value":"17:23:52"},{"id":151,"name":"Denver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17"/>
        <v>start /low /b %USERPROFILE%\Documents\GitHub\eaglep3\Utilities\DownloadLogsFromS3.py --loco 4050 --day 2017-10-16</v>
      </c>
      <c r="AN193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19"/>
        <v>https://d0f6bd738d7f1b3e5a7ca70fe4ff75f0.us-east-1.aws.found.io/app/kibana#/discover/Steve-Slow-Train-Analysis-(2080s-and-2083s)?_g=(refreshInterval:(display:Off,pause:!f,section:0,value:0),time:(from:'2017-10-16T15:59:39-0600',mode:absolute,to:'2017-10-16T18:23:52-0600'))&amp;_a=(columns:!('Message%20ID',Summary),filters:!(),index:'emp_*',interval:auto,query:(query_string:(analyze_wildcard:!t,query:'%22rtdc.l.rtdc.4050%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777</v>
      </c>
      <c r="B194" s="7">
        <v>4049</v>
      </c>
      <c r="C194" s="21" t="s">
        <v>194</v>
      </c>
      <c r="D194" s="21" t="s">
        <v>987</v>
      </c>
      <c r="E194" s="13">
        <v>43024.725856481484</v>
      </c>
      <c r="F194" s="13">
        <v>43024.737210648149</v>
      </c>
      <c r="G194" s="7">
        <v>66</v>
      </c>
      <c r="H194" s="21" t="s">
        <v>958</v>
      </c>
      <c r="I194" s="13">
        <v>43024.746388888889</v>
      </c>
      <c r="J194" s="7">
        <v>0</v>
      </c>
      <c r="K194" s="89" t="str">
        <f>IF(ISEVEN(B194),(B194-1)&amp;"/"&amp;B194,B194&amp;"/"&amp;(B194+1))</f>
        <v>4049/4050</v>
      </c>
      <c r="L194" s="185" t="str">
        <f>VLOOKUP(A194,'Trips&amp;Operators'!$C$1:$G$99911,5,FALSE)</f>
        <v>LEVIN SCOTT</v>
      </c>
      <c r="M194" s="6">
        <f>I194-F194</f>
        <v>9.1782407398568466E-3</v>
      </c>
      <c r="N194" s="7">
        <f>24*60*SUM($M194:$M194)</f>
        <v>13.216666665393859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-16T16:25:14-0600',mode:absolute,to:'2017-10-16T18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5.8635999999999999</v>
      </c>
      <c r="Z194" s="204">
        <f>RIGHT(H194,LEN(H194)-4)/10000</f>
        <v>6.7100000000000007E-2</v>
      </c>
      <c r="AA194" s="204">
        <f>ABS(Z194-Y194)</f>
        <v>5.7965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834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/stypes="app*4049*20171016*"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15"/>
        <v>"%USERPROFILE%\Documents\GitHub\eaglep3\Utilities\RefineRTDCRunTimes.py" --tripid 834-16 --locoid 4049 --swversion DE.1.0.9.0 --startMP 300:58636 --initTime 2017-10-16T17:25:14 --startdatetime 2017-10-16T17:41:35 --delay 66 --endMP 204:671 --enddatetime 2017-10-16T17:54:48 --enforcementcount 0 &gt;&gt;%USERPROFILE%\Documents\GitHub\eaglep3-reporting\EC\2017-10-16-refined-times.txt</v>
      </c>
      <c r="AI194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{"issue":{"subject":"","project_id":79,"tracker_id":40,"status_id":1,"priority_id":2,"assigned_to_id":338,"start_date":"2017-10-16","description":"","custom_fields":[{"id":1,"name":"Subdivision","value":"NW"},{"id":4,"name":"Milepost","value":"0.0671"},{"id":17,"name":"Train ID","value":"834-16"},{"id":16,"name":"Locomotive ID","value":"4049"},{"id":130,"name":"Impact","value":""},{"id":150,"name":"Time of Event (Mountain Time)","value":"17:54:48"},{"id":151,"name":"Denver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17"/>
        <v>start /low /b %USERPROFILE%\Documents\GitHub\eaglep3\Utilities\DownloadLogsFromS3.py --loco 4049 --day 2017-10-16</v>
      </c>
      <c r="AN19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9"/>
        <v>https://d0f6bd738d7f1b3e5a7ca70fe4ff75f0.us-east-1.aws.found.io/app/kibana#/discover/Steve-Slow-Train-Analysis-(2080s-and-2083s)?_g=(refreshInterval:(display:Off,pause:!f,section:0,value:0),time:(from:'2017-10-16T16:25:14-0600',mode:absolute,to:'2017-10-16T18:54:48-0600'))&amp;_a=(columns:!('Message%20ID',Summary),filters:!(),index:'emp_*',interval:auto,query:(query_string:(analyze_wildcard:!t,query:'%22rtdc.l.rtdc.4049%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601</v>
      </c>
      <c r="B195" s="7">
        <v>4046</v>
      </c>
      <c r="C195" s="21" t="s">
        <v>194</v>
      </c>
      <c r="D195" s="21" t="s">
        <v>914</v>
      </c>
      <c r="E195" s="13">
        <v>43024.732777777775</v>
      </c>
      <c r="F195" s="13">
        <v>43024.735914351855</v>
      </c>
      <c r="G195" s="7">
        <v>60</v>
      </c>
      <c r="H195" s="21" t="s">
        <v>960</v>
      </c>
      <c r="I195" s="13">
        <v>43024.74490740741</v>
      </c>
      <c r="J195" s="7">
        <v>0</v>
      </c>
      <c r="K195" s="89" t="str">
        <f>IF(ISEVEN(B195),(B195-1)&amp;"/"&amp;B195,B195&amp;"/"&amp;(B195+1))</f>
        <v>4045/4046</v>
      </c>
      <c r="L195" s="185" t="str">
        <f>VLOOKUP(A195,'Trips&amp;Operators'!$C$1:$G$99911,5,FALSE)</f>
        <v>STAMBAUGH JAMES</v>
      </c>
      <c r="M195" s="6">
        <f>I195-F195</f>
        <v>8.9930555550381541E-3</v>
      </c>
      <c r="N195" s="7">
        <f>24*60*SUM($M195:$M195)</f>
        <v>12.949999999254942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-16T16:35:12-0600',mode:absolute,to:'2017-10-16T18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0.1002</v>
      </c>
      <c r="Z195" s="204">
        <f>RIGHT(H195,LEN(H195)-4)/10000</f>
        <v>5.8933</v>
      </c>
      <c r="AA195" s="204">
        <f>ABS(Z195-Y195)</f>
        <v>5.7930999999999999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835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/stypes="app*4046*20171016*"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15"/>
        <v>"%USERPROFILE%\Documents\GitHub\eaglep3\Utilities\RefineRTDCRunTimes.py" --tripid 835-16 --locoid 4046 --swversion DE.1.0.9.0 --startMP 204:1002 --initTime 2017-10-16T17:35:12 --startdatetime 2017-10-16T17:39:43 --delay 60 --endMP 300:58933 --enddatetime 2017-10-16T17:52:40 --enforcementcount 0 &gt;&gt;%USERPROFILE%\Documents\GitHub\eaglep3-reporting\EC\2017-10-16-refined-times.txt</v>
      </c>
      <c r="AI195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{"issue":{"subject":"","project_id":79,"tracker_id":40,"status_id":1,"priority_id":2,"assigned_to_id":338,"start_date":"2017-10-16","description":"","custom_fields":[{"id":1,"name":"Subdivision","value":"NW"},{"id":4,"name":"Milepost","value":"5.8933"},{"id":17,"name":"Train ID","value":"835-16"},{"id":16,"name":"Locomotive ID","value":"4046"},{"id":130,"name":"Impact","value":""},{"id":150,"name":"Time of Event (Mountain Time)","value":"17:52:40"},{"id":151,"name":"Denver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17"/>
        <v>start /low /b %USERPROFILE%\Documents\GitHub\eaglep3\Utilities\DownloadLogsFromS3.py --loco 4046 --day 2017-10-16</v>
      </c>
      <c r="AN19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9"/>
        <v>https://d0f6bd738d7f1b3e5a7ca70fe4ff75f0.us-east-1.aws.found.io/app/kibana#/discover/Steve-Slow-Train-Analysis-(2080s-and-2083s)?_g=(refreshInterval:(display:Off,pause:!f,section:0,value:0),time:(from:'2017-10-16T16:35:12-0600',mode:absolute,to:'2017-10-16T18:52:40-0600'))&amp;_a=(columns:!('Message%20ID',Summary),filters:!(),index:'emp_*',interval:auto,query:(query_string:(analyze_wildcard:!t,query:'%22rtdc.l.rtdc.4046%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784</v>
      </c>
      <c r="B196" s="7">
        <v>4045</v>
      </c>
      <c r="C196" s="21" t="s">
        <v>194</v>
      </c>
      <c r="D196" s="21" t="s">
        <v>940</v>
      </c>
      <c r="E196" s="13">
        <v>43024.746504629627</v>
      </c>
      <c r="F196" s="13">
        <v>43024.758784722224</v>
      </c>
      <c r="G196" s="7">
        <v>149</v>
      </c>
      <c r="H196" s="21" t="s">
        <v>988</v>
      </c>
      <c r="I196" s="13">
        <v>43024.767280092594</v>
      </c>
      <c r="J196" s="7">
        <v>0</v>
      </c>
      <c r="K196" s="89" t="str">
        <f>IF(ISEVEN(B196),(B196-1)&amp;"/"&amp;B196,B196&amp;"/"&amp;(B196+1))</f>
        <v>4045/4046</v>
      </c>
      <c r="L196" s="185" t="str">
        <f>VLOOKUP(A196,'Trips&amp;Operators'!$C$1:$G$99911,5,FALSE)</f>
        <v>STAMBAUGH JAMES</v>
      </c>
      <c r="M196" s="6">
        <f>I196-F196</f>
        <v>8.4953703699284233E-3</v>
      </c>
      <c r="N196" s="7">
        <f>24*60*SUM($M196:$M196)</f>
        <v>12.23333333269693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-16T16:54:58-0600',mode:absolute,to:'2017-10-16T19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5.8613</v>
      </c>
      <c r="Z196" s="204">
        <f>RIGHT(H196,LEN(H196)-4)/10000</f>
        <v>6.8000000000000005E-2</v>
      </c>
      <c r="AA196" s="204">
        <f>ABS(Z196-Y196)</f>
        <v>5.7933000000000003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836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/stypes="app*4045*20171017*"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15"/>
        <v>"%USERPROFILE%\Documents\GitHub\eaglep3\Utilities\RefineRTDCRunTimes.py" --tripid 836-16 --locoid 4045 --swversion DE.1.0.9.0 --startMP 300:58613 --initTime 2017-10-16T17:54:58 --startdatetime 2017-10-16T18:12:39 --delay 149 --endMP 204:680 --enddatetime 2017-10-16T18:24:53 --enforcementcount 0 &gt;&gt;%USERPROFILE%\Documents\GitHub\eaglep3-reporting\EC\2017-10-16-refined-times.txt</v>
      </c>
      <c r="AI196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{"issue":{"subject":"","project_id":79,"tracker_id":40,"status_id":1,"priority_id":2,"assigned_to_id":338,"start_date":"2017-10-16","description":"","custom_fields":[{"id":1,"name":"Subdivision","value":"NW"},{"id":4,"name":"Milepost","value":"0.068"},{"id":17,"name":"Train ID","value":"836-16"},{"id":16,"name":"Locomotive ID","value":"4045"},{"id":130,"name":"Impact","value":""},{"id":150,"name":"Time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17"/>
        <v>start /low /b %USERPROFILE%\Documents\GitHub\eaglep3\Utilities\DownloadLogsFromS3.py --loco 4045 --day 2017-10-16</v>
      </c>
      <c r="AN196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9"/>
        <v>https://d0f6bd738d7f1b3e5a7ca70fe4ff75f0.us-east-1.aws.found.io/app/kibana#/discover/Steve-Slow-Train-Analysis-(2080s-and-2083s)?_g=(refreshInterval:(display:Off,pause:!f,section:0,value:0),time:(from:'2017-10-16T16:54:58-0600',mode:absolute,to:'2017-10-16T19:24:53-0600'))&amp;_a=(columns:!('Message%20ID',Summary),filters:!(),index:'emp_*',interval:auto,query:(query_string:(analyze_wildcard:!t,query:'%22rtdc.l.rtdc.4045%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603</v>
      </c>
      <c r="B197" s="7">
        <v>4050</v>
      </c>
      <c r="C197" s="21" t="s">
        <v>194</v>
      </c>
      <c r="D197" s="21" t="s">
        <v>967</v>
      </c>
      <c r="E197" s="13">
        <v>43024.749456018515</v>
      </c>
      <c r="F197" s="13">
        <v>43024.75712962963</v>
      </c>
      <c r="G197" s="7">
        <v>46</v>
      </c>
      <c r="H197" s="21" t="s">
        <v>989</v>
      </c>
      <c r="I197" s="13">
        <v>43024.766875000001</v>
      </c>
      <c r="J197" s="7">
        <v>0</v>
      </c>
      <c r="K197" s="89" t="str">
        <f>IF(ISEVEN(B197),(B197-1)&amp;"/"&amp;B197,B197&amp;"/"&amp;(B197+1))</f>
        <v>4049/4050</v>
      </c>
      <c r="L197" s="185" t="str">
        <f>VLOOKUP(A197,'Trips&amp;Operators'!$C$1:$G$99911,5,FALSE)</f>
        <v>LEVIN SCOTT</v>
      </c>
      <c r="M197" s="6">
        <f>I197-F197</f>
        <v>9.7453703710925765E-3</v>
      </c>
      <c r="N197" s="7">
        <f>24*60*SUM($M197:$M197)</f>
        <v>14.03333333437331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-16T16:59:13-0600',mode:absolute,to:'2017-10-16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9.2200000000000004E-2</v>
      </c>
      <c r="Z197" s="204">
        <f>RIGHT(H197,LEN(H197)-4)/10000</f>
        <v>5.8968999999999996</v>
      </c>
      <c r="AA197" s="204">
        <f>ABS(Z197-Y197)</f>
        <v>5.8046999999999995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837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/stypes="app*4050*20171017*"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15"/>
        <v>"%USERPROFILE%\Documents\GitHub\eaglep3\Utilities\RefineRTDCRunTimes.py" --tripid 837-16 --locoid 4050 --swversion DE.1.0.9.0 --startMP 204:922 --initTime 2017-10-16T17:59:13 --startdatetime 2017-10-16T18:10:16 --delay 46 --endMP 300:58969 --enddatetime 2017-10-16T18:24:18 --enforcementcount 0 &gt;&gt;%USERPROFILE%\Documents\GitHub\eaglep3-reporting\EC\2017-10-16-refined-times.txt</v>
      </c>
      <c r="AI197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{"issue":{"subject":"","project_id":79,"tracker_id":40,"status_id":1,"priority_id":2,"assigned_to_id":338,"start_date":"2017-10-16","description":"","custom_fields":[{"id":1,"name":"Subdivision","value":"NW"},{"id":4,"name":"Milepost","value":"5.8969"},{"id":17,"name":"Train ID","value":"837-16"},{"id":16,"name":"Locomotive ID","value":"4050"},{"id":130,"name":"Impact","value":""},{"id":150,"name":"Time of Event (Mountain Time)","value":"18:24:18"},{"id":151,"name":"Denver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17"/>
        <v>start /low /b %USERPROFILE%\Documents\GitHub\eaglep3\Utilities\DownloadLogsFromS3.py --loco 4050 --day 2017-10-16</v>
      </c>
      <c r="AN197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9"/>
        <v>https://d0f6bd738d7f1b3e5a7ca70fe4ff75f0.us-east-1.aws.found.io/app/kibana#/discover/Steve-Slow-Train-Analysis-(2080s-and-2083s)?_g=(refreshInterval:(display:Off,pause:!f,section:0,value:0),time:(from:'2017-10-16T16:59:13-0600',mode:absolute,to:'2017-10-16T19:24:18-0600'))&amp;_a=(columns:!('Message%20ID',Summary),filters:!(),index:'emp_*',interval:auto,query:(query_string:(analyze_wildcard:!t,query:'%22rtdc.l.rtdc.4050%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790</v>
      </c>
      <c r="B198" s="7">
        <v>4049</v>
      </c>
      <c r="C198" s="21" t="s">
        <v>194</v>
      </c>
      <c r="D198" s="21" t="s">
        <v>990</v>
      </c>
      <c r="E198" s="13">
        <v>43024.769861111112</v>
      </c>
      <c r="F198" s="13">
        <v>43024.779930555553</v>
      </c>
      <c r="G198" s="7">
        <v>57</v>
      </c>
      <c r="H198" s="21" t="s">
        <v>964</v>
      </c>
      <c r="I198" s="13">
        <v>43024.788530092592</v>
      </c>
      <c r="J198" s="7">
        <v>0</v>
      </c>
      <c r="K198" s="89" t="str">
        <f>IF(ISEVEN(B198),(B198-1)&amp;"/"&amp;B198,B198&amp;"/"&amp;(B198+1))</f>
        <v>4049/4050</v>
      </c>
      <c r="L198" s="185" t="str">
        <f>VLOOKUP(A198,'Trips&amp;Operators'!$C$1:$G$99911,5,FALSE)</f>
        <v>LEVIN SCOTT</v>
      </c>
      <c r="M198" s="6">
        <f>I198-F198</f>
        <v>8.599537039117422E-3</v>
      </c>
      <c r="N198" s="7">
        <f>24*60*SUM($M198:$M198)</f>
        <v>12.383333336329088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-16T17:28:36-0600',mode:absolute,to:'2017-10-16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5.8654999999999999</v>
      </c>
      <c r="Z198" s="204">
        <f>RIGHT(H198,LEN(H198)-4)/10000</f>
        <v>6.7000000000000004E-2</v>
      </c>
      <c r="AA198" s="204">
        <f>ABS(Z198-Y198)</f>
        <v>5.7984999999999998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838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/stypes="app*4049*20171017*"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15"/>
        <v>"%USERPROFILE%\Documents\GitHub\eaglep3\Utilities\RefineRTDCRunTimes.py" --tripid 838-16 --locoid 4049 --swversion DE.1.0.9.0 --startMP 300:58655 --initTime 2017-10-16T18:28:36 --startdatetime 2017-10-16T18:43:06 --delay 57 --endMP 204:670 --enddatetime 2017-10-16T18:55:29 --enforcementcount 0 &gt;&gt;%USERPROFILE%\Documents\GitHub\eaglep3-reporting\EC\2017-10-16-refined-times.txt</v>
      </c>
      <c r="AI198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{"issue":{"subject":"","project_id":79,"tracker_id":40,"status_id":1,"priority_id":2,"assigned_to_id":338,"start_date":"2017-10-16","description":"","custom_fields":[{"id":1,"name":"Subdivision","value":"NW"},{"id":4,"name":"Milepost","value":"0.067"},{"id":17,"name":"Train ID","value":"838-16"},{"id":16,"name":"Locomotive ID","value":"4049"},{"id":130,"name":"Impact","value":""},{"id":150,"name":"Time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17"/>
        <v>start /low /b %USERPROFILE%\Documents\GitHub\eaglep3\Utilities\DownloadLogsFromS3.py --loco 4049 --day 2017-10-16</v>
      </c>
      <c r="AN198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9"/>
        <v>https://d0f6bd738d7f1b3e5a7ca70fe4ff75f0.us-east-1.aws.found.io/app/kibana#/discover/Steve-Slow-Train-Analysis-(2080s-and-2083s)?_g=(refreshInterval:(display:Off,pause:!f,section:0,value:0),time:(from:'2017-10-16T17:28:36-0600',mode:absolute,to:'2017-10-16T19:55:29-0600'))&amp;_a=(columns:!('Message%20ID',Summary),filters:!(),index:'emp_*',interval:auto,query:(query_string:(analyze_wildcard:!t,query:'%22rtdc.l.rtdc.4049%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789</v>
      </c>
      <c r="B199" s="7">
        <v>4046</v>
      </c>
      <c r="C199" s="21" t="s">
        <v>194</v>
      </c>
      <c r="D199" s="21" t="s">
        <v>991</v>
      </c>
      <c r="E199" s="13">
        <v>43024.768541666665</v>
      </c>
      <c r="F199" s="13">
        <v>43024.777303240742</v>
      </c>
      <c r="G199" s="7">
        <v>67</v>
      </c>
      <c r="H199" s="21" t="s">
        <v>972</v>
      </c>
      <c r="I199" s="13">
        <v>43024.786817129629</v>
      </c>
      <c r="J199" s="7">
        <v>0</v>
      </c>
      <c r="K199" s="89" t="str">
        <f>IF(ISEVEN(B199),(B199-1)&amp;"/"&amp;B199,B199&amp;"/"&amp;(B199+1))</f>
        <v>4045/4046</v>
      </c>
      <c r="L199" s="185" t="str">
        <f>VLOOKUP(A199,'Trips&amp;Operators'!$C$1:$G$99911,5,FALSE)</f>
        <v>STAMBAUGH JAMES</v>
      </c>
      <c r="M199" s="6">
        <f>I199-F199</f>
        <v>9.5138888864312321E-3</v>
      </c>
      <c r="N199" s="7">
        <f>24*60*SUM($M199:$M199)</f>
        <v>13.699999996460974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-16T17:26:42-0600',mode:absolute,to:'2017-10-16T19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9.6000000000000002E-2</v>
      </c>
      <c r="Z199" s="204">
        <f>RIGHT(H199,LEN(H199)-4)/10000</f>
        <v>5.8954000000000004</v>
      </c>
      <c r="AA199" s="204">
        <f>ABS(Z199-Y199)</f>
        <v>5.7994000000000003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839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/stypes="app*4046*20171017*"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15"/>
        <v>"%USERPROFILE%\Documents\GitHub\eaglep3\Utilities\RefineRTDCRunTimes.py" --tripid 839-16 --locoid 4046 --swversion DE.1.0.9.0 --startMP 204:960 --initTime 2017-10-16T18:26:42 --startdatetime 2017-10-16T18:39:19 --delay 67 --endMP 300:58954 --enddatetime 2017-10-16T18:53:01 --enforcementcount 0 &gt;&gt;%USERPROFILE%\Documents\GitHub\eaglep3-reporting\EC\2017-10-16-refined-times.txt</v>
      </c>
      <c r="AI199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{"issue":{"subject":"","project_id":79,"tracker_id":40,"status_id":1,"priority_id":2,"assigned_to_id":338,"start_date":"2017-10-16","description":"","custom_fields":[{"id":1,"name":"Subdivision","value":"NW"},{"id":4,"name":"Milepost","value":"5.8954"},{"id":17,"name":"Train ID","value":"839-16"},{"id":16,"name":"Locomotive ID","value":"4046"},{"id":130,"name":"Impact","value":""},{"id":150,"name":"Time of Event (Mountain Time)","value":"18:53:01"},{"id":151,"name":"Denver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17"/>
        <v>start /low /b %USERPROFILE%\Documents\GitHub\eaglep3\Utilities\DownloadLogsFromS3.py --loco 4046 --day 2017-10-16</v>
      </c>
      <c r="AN199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19"/>
        <v>https://d0f6bd738d7f1b3e5a7ca70fe4ff75f0.us-east-1.aws.found.io/app/kibana#/discover/Steve-Slow-Train-Analysis-(2080s-and-2083s)?_g=(refreshInterval:(display:Off,pause:!f,section:0,value:0),time:(from:'2017-10-16T17:26:42-0600',mode:absolute,to:'2017-10-16T19:53:01-0600'))&amp;_a=(columns:!('Message%20ID',Summary),filters:!(),index:'emp_*',interval:auto,query:(query_string:(analyze_wildcard:!t,query:'%22rtdc.l.rtdc.4046%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800</v>
      </c>
      <c r="B200" s="7">
        <v>4049</v>
      </c>
      <c r="C200" s="21" t="s">
        <v>194</v>
      </c>
      <c r="D200" s="21" t="s">
        <v>969</v>
      </c>
      <c r="E200" s="13">
        <v>43024.808900462966</v>
      </c>
      <c r="F200" s="13">
        <v>43024.821597222224</v>
      </c>
      <c r="G200" s="7">
        <v>61</v>
      </c>
      <c r="H200" s="21" t="s">
        <v>949</v>
      </c>
      <c r="I200" s="13">
        <v>43024.830254629633</v>
      </c>
      <c r="J200" s="7">
        <v>0</v>
      </c>
      <c r="K200" s="89" t="str">
        <f>IF(ISEVEN(B200),(B200-1)&amp;"/"&amp;B200,B200&amp;"/"&amp;(B200+1))</f>
        <v>4049/4050</v>
      </c>
      <c r="L200" s="185" t="str">
        <f>VLOOKUP(A200,'Trips&amp;Operators'!$C$1:$G$99911,5,FALSE)</f>
        <v>LEVIN SCOTT</v>
      </c>
      <c r="M200" s="6">
        <f>I200-F200</f>
        <v>8.6574074084637687E-3</v>
      </c>
      <c r="N200" s="7">
        <f>24*60*SUM($M200:$M200)</f>
        <v>12.466666668187827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-16T18:24:49-0600',mode:absolute,to:'2017-10-16T20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5.8651</v>
      </c>
      <c r="Z200" s="204">
        <f>RIGHT(H200,LEN(H200)-4)/10000</f>
        <v>6.9800000000000001E-2</v>
      </c>
      <c r="AA200" s="204">
        <f>ABS(Z200-Y200)</f>
        <v>5.7953000000000001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840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/stypes="app*4049*20171017*"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15"/>
        <v>"%USERPROFILE%\Documents\GitHub\eaglep3\Utilities\RefineRTDCRunTimes.py" --tripid 840-16 --locoid 4049 --swversion DE.1.0.9.0 --startMP 300:58651 --initTime 2017-10-16T19:24:49 --startdatetime 2017-10-16T19:43:06 --delay 61 --endMP 204:698 --enddatetime 2017-10-16T19:55:34 --enforcementcount 0 &gt;&gt;%USERPROFILE%\Documents\GitHub\eaglep3-reporting\EC\2017-10-16-refined-times.txt</v>
      </c>
      <c r="AI200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{"issue":{"subject":"","project_id":79,"tracker_id":40,"status_id":1,"priority_id":2,"assigned_to_id":338,"start_date":"2017-10-16","description":"","custom_fields":[{"id":1,"name":"Subdivision","value":"NW"},{"id":4,"name":"Milepost","value":"0.0698"},{"id":17,"name":"Train ID","value":"840-16"},{"id":16,"name":"Locomotive ID","value":"4049"},{"id":130,"name":"Impact","value":""},{"id":150,"name":"Time of Event (Mountain Time)","value":"19:55:34"},{"id":151,"name":"Denver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17"/>
        <v>start /low /b %USERPROFILE%\Documents\GitHub\eaglep3\Utilities\DownloadLogsFromS3.py --loco 4049 --day 2017-10-16</v>
      </c>
      <c r="AN200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9"/>
        <v>https://d0f6bd738d7f1b3e5a7ca70fe4ff75f0.us-east-1.aws.found.io/app/kibana#/discover/Steve-Slow-Train-Analysis-(2080s-and-2083s)?_g=(refreshInterval:(display:Off,pause:!f,section:0,value:0),time:(from:'2017-10-16T18:24:49-0600',mode:absolute,to:'2017-10-16T20:55:34-0600'))&amp;_a=(columns:!('Message%20ID',Summary),filters:!(),index:'emp_*',interval:auto,query:(query_string:(analyze_wildcard:!t,query:'%22rtdc.l.rtdc.4049%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796</v>
      </c>
      <c r="B201" s="7">
        <v>4050</v>
      </c>
      <c r="C201" s="21" t="s">
        <v>194</v>
      </c>
      <c r="D201" s="21" t="s">
        <v>992</v>
      </c>
      <c r="E201" s="13">
        <v>43024.79111111111</v>
      </c>
      <c r="F201" s="13">
        <v>43024.798125000001</v>
      </c>
      <c r="G201" s="7">
        <v>64</v>
      </c>
      <c r="H201" s="21" t="s">
        <v>993</v>
      </c>
      <c r="I201" s="13">
        <v>43024.807847222219</v>
      </c>
      <c r="J201" s="7">
        <v>0</v>
      </c>
      <c r="K201" s="89" t="str">
        <f>IF(ISEVEN(B201),(B201-1)&amp;"/"&amp;B201,B201&amp;"/"&amp;(B201+1))</f>
        <v>4049/4050</v>
      </c>
      <c r="L201" s="185" t="str">
        <f>VLOOKUP(A201,'Trips&amp;Operators'!$C$1:$G$99911,5,FALSE)</f>
        <v>LEVIN SCOTT</v>
      </c>
      <c r="M201" s="6">
        <f>I201-F201</f>
        <v>9.7222222175332718E-3</v>
      </c>
      <c r="N201" s="7">
        <f>24*60*SUM($M201:$M201)</f>
        <v>13.999999993247911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-16T17:59:12-0600',mode:absolute,to:'2017-10-16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9.6500000000000002E-2</v>
      </c>
      <c r="Z201" s="204">
        <f>RIGHT(H201,LEN(H201)-4)/10000</f>
        <v>5.8964999999999996</v>
      </c>
      <c r="AA201" s="204">
        <f>ABS(Z201-Y201)</f>
        <v>5.8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841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/stypes="app*4050*20171017*"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15"/>
        <v>"%USERPROFILE%\Documents\GitHub\eaglep3\Utilities\RefineRTDCRunTimes.py" --tripid 841-16 --locoid 4050 --swversion DE.1.0.9.0 --startMP 204:965 --initTime 2017-10-16T18:59:12 --startdatetime 2017-10-16T19:09:18 --delay 64 --endMP 300:58965 --enddatetime 2017-10-16T19:23:18 --enforcementcount 0 &gt;&gt;%USERPROFILE%\Documents\GitHub\eaglep3-reporting\EC\2017-10-16-refined-times.txt</v>
      </c>
      <c r="AI201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{"issue":{"subject":"","project_id":79,"tracker_id":40,"status_id":1,"priority_id":2,"assigned_to_id":338,"start_date":"2017-10-16","description":"","custom_fields":[{"id":1,"name":"Subdivision","value":"NW"},{"id":4,"name":"Milepost","value":"5.8965"},{"id":17,"name":"Train ID","value":"841-16"},{"id":16,"name":"Locomotive ID","value":"4050"},{"id":130,"name":"Impact","value":""},{"id":150,"name":"Time of Event (Mountain Time)","value":"19:23:18"},{"id":151,"name":"Denver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17"/>
        <v>start /low /b %USERPROFILE%\Documents\GitHub\eaglep3\Utilities\DownloadLogsFromS3.py --loco 4050 --day 2017-10-16</v>
      </c>
      <c r="AN201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9"/>
        <v>https://d0f6bd738d7f1b3e5a7ca70fe4ff75f0.us-east-1.aws.found.io/app/kibana#/discover/Steve-Slow-Train-Analysis-(2080s-and-2083s)?_g=(refreshInterval:(display:Off,pause:!f,section:0,value:0),time:(from:'2017-10-16T17:59:12-0600',mode:absolute,to:'2017-10-16T20:23:18-0600'))&amp;_a=(columns:!('Message%20ID',Summary),filters:!(),index:'emp_*',interval:auto,query:(query_string:(analyze_wildcard:!t,query:'%22rtdc.l.rtdc.4050%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811</v>
      </c>
      <c r="B202" s="7">
        <v>4049</v>
      </c>
      <c r="C202" s="21" t="s">
        <v>194</v>
      </c>
      <c r="D202" s="21" t="s">
        <v>994</v>
      </c>
      <c r="E202" s="13">
        <v>43024.850138888891</v>
      </c>
      <c r="F202" s="13">
        <v>43024.863275462965</v>
      </c>
      <c r="G202" s="7">
        <v>82</v>
      </c>
      <c r="H202" s="21" t="s">
        <v>974</v>
      </c>
      <c r="I202" s="13">
        <v>43024.872037037036</v>
      </c>
      <c r="J202" s="7">
        <v>0</v>
      </c>
      <c r="K202" s="89" t="str">
        <f>IF(ISEVEN(B202),(B202-1)&amp;"/"&amp;B202,B202&amp;"/"&amp;(B202+1))</f>
        <v>4049/4050</v>
      </c>
      <c r="L202" s="185" t="str">
        <f>VLOOKUP(A202,'Trips&amp;Operators'!$C$1:$G$99911,5,FALSE)</f>
        <v>LEVIN SCOTT</v>
      </c>
      <c r="M202" s="6">
        <f>I202-F202</f>
        <v>8.7615740703768097E-3</v>
      </c>
      <c r="N202" s="7">
        <f>24*60*SUM($M202:$M202)</f>
        <v>12.616666661342606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-16T19:24:12-0600',mode:absolute,to:'2017-10-16T21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5.8624000000000001</v>
      </c>
      <c r="Z202" s="204">
        <f>RIGHT(H202,LEN(H202)-4)/10000</f>
        <v>6.5600000000000006E-2</v>
      </c>
      <c r="AA202" s="204">
        <f>ABS(Z202-Y202)</f>
        <v>5.7968000000000002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842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/stypes="app*4049*20171017*"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15"/>
        <v>"%USERPROFILE%\Documents\GitHub\eaglep3\Utilities\RefineRTDCRunTimes.py" --tripid 842-16 --locoid 4049 --swversion DE.1.0.9.0 --startMP 300:58624 --initTime 2017-10-16T20:24:12 --startdatetime 2017-10-16T20:43:07 --delay 82 --endMP 204:656 --enddatetime 2017-10-16T20:55:44 --enforcementcount 0 &gt;&gt;%USERPROFILE%\Documents\GitHub\eaglep3-reporting\EC\2017-10-16-refined-times.txt</v>
      </c>
      <c r="AI202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{"issue":{"subject":"","project_id":79,"tracker_id":40,"status_id":1,"priority_id":2,"assigned_to_id":338,"start_date":"2017-10-16","description":"","custom_fields":[{"id":1,"name":"Subdivision","value":"NW"},{"id":4,"name":"Milepost","value":"0.0656"},{"id":17,"name":"Train ID","value":"842-16"},{"id":16,"name":"Locomotive ID","value":"4049"},{"id":130,"name":"Impact","value":""},{"id":150,"name":"Time of Event (Mountain Time)","value":"20:55:44"},{"id":151,"name":"Denver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17"/>
        <v>start /low /b %USERPROFILE%\Documents\GitHub\eaglep3\Utilities\DownloadLogsFromS3.py --loco 4049 --day 2017-10-16</v>
      </c>
      <c r="AN202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9"/>
        <v>https://d0f6bd738d7f1b3e5a7ca70fe4ff75f0.us-east-1.aws.found.io/app/kibana#/discover/Steve-Slow-Train-Analysis-(2080s-and-2083s)?_g=(refreshInterval:(display:Off,pause:!f,section:0,value:0),time:(from:'2017-10-16T19:24:12-0600',mode:absolute,to:'2017-10-16T21:55:44-0600'))&amp;_a=(columns:!('Message%20ID',Summary),filters:!(),index:'emp_*',interval:auto,query:(query_string:(analyze_wildcard:!t,query:'%22rtdc.l.rtdc.4049%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807</v>
      </c>
      <c r="B203" s="7">
        <v>4050</v>
      </c>
      <c r="C203" s="21" t="s">
        <v>194</v>
      </c>
      <c r="D203" s="21" t="s">
        <v>440</v>
      </c>
      <c r="E203" s="13">
        <v>43024.832106481481</v>
      </c>
      <c r="F203" s="13">
        <v>43024.839768518519</v>
      </c>
      <c r="G203" s="7">
        <v>77</v>
      </c>
      <c r="H203" s="21" t="s">
        <v>995</v>
      </c>
      <c r="I203" s="13">
        <v>43024.849189814813</v>
      </c>
      <c r="J203" s="7">
        <v>0</v>
      </c>
      <c r="K203" s="89" t="str">
        <f>IF(ISEVEN(B203),(B203-1)&amp;"/"&amp;B203,B203&amp;"/"&amp;(B203+1))</f>
        <v>4049/4050</v>
      </c>
      <c r="L203" s="185" t="str">
        <f>VLOOKUP(A203,'Trips&amp;Operators'!$C$1:$G$99911,5,FALSE)</f>
        <v>LEVIN SCOTT</v>
      </c>
      <c r="M203" s="6">
        <f>I203-F203</f>
        <v>9.4212962940218858E-3</v>
      </c>
      <c r="N203" s="7">
        <f>24*60*SUM($M203:$M203)</f>
        <v>13.566666663391516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-16T18:58:14-0600',mode:absolute,to:'2017-10-16T21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9.7600000000000006E-2</v>
      </c>
      <c r="Z203" s="204">
        <f>RIGHT(H203,LEN(H203)-4)/10000</f>
        <v>5.8945999999999996</v>
      </c>
      <c r="AA203" s="204">
        <f>ABS(Z203-Y203)</f>
        <v>5.7969999999999997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843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/stypes="app*4050*20171017*" /stext=" 02:.+((SYSTEM_STATE.+slice.+state.+changed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15"/>
        <v>"%USERPROFILE%\Documents\GitHub\eaglep3\Utilities\RefineRTDCRunTimes.py" --tripid 843-16 --locoid 4050 --swversion DE.1.0.9.0 --startMP 204:976 --initTime 2017-10-16T19:58:14 --startdatetime 2017-10-16T20:09:16 --delay 77 --endMP 300:58946 --enddatetime 2017-10-16T20:22:50 --enforcementcount 0 &gt;&gt;%USERPROFILE%\Documents\GitHub\eaglep3-reporting\EC\2017-10-16-refined-times.txt</v>
      </c>
      <c r="AI203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{"issue":{"subject":"","project_id":79,"tracker_id":40,"status_id":1,"priority_id":2,"assigned_to_id":338,"start_date":"2017-10-16","description":"","custom_fields":[{"id":1,"name":"Subdivision","value":"NW"},{"id":4,"name":"Milepost","value":"5.8946"},{"id":17,"name":"Train ID","value":"843-16"},{"id":16,"name":"Locomotive ID","value":"4050"},{"id":130,"name":"Impact","value":""},{"id":150,"name":"Time of Event (Mountain Time)","value":"20:22:50"},{"id":151,"name":"Denver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17"/>
        <v>start /low /b %USERPROFILE%\Documents\GitHub\eaglep3\Utilities\DownloadLogsFromS3.py --loco 4050 --day 2017-10-16</v>
      </c>
      <c r="AN203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19"/>
        <v>https://d0f6bd738d7f1b3e5a7ca70fe4ff75f0.us-east-1.aws.found.io/app/kibana#/discover/Steve-Slow-Train-Analysis-(2080s-and-2083s)?_g=(refreshInterval:(display:Off,pause:!f,section:0,value:0),time:(from:'2017-10-16T18:58:14-0600',mode:absolute,to:'2017-10-16T21:22:50-0600'))&amp;_a=(columns:!('Message%20ID',Summary),filters:!(),index:'emp_*',interval:auto,query:(query_string:(analyze_wildcard:!t,query:'%22rtdc.l.rtdc.4050%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817</v>
      </c>
      <c r="B204" s="7">
        <v>4049</v>
      </c>
      <c r="C204" s="21" t="s">
        <v>194</v>
      </c>
      <c r="D204" s="21" t="s">
        <v>987</v>
      </c>
      <c r="E204" s="13">
        <v>43024.892500000002</v>
      </c>
      <c r="F204" s="13">
        <v>43024.904490740744</v>
      </c>
      <c r="G204" s="7">
        <v>60</v>
      </c>
      <c r="H204" s="21" t="s">
        <v>953</v>
      </c>
      <c r="I204" s="13">
        <v>43024.913622685184</v>
      </c>
      <c r="J204" s="7">
        <v>0</v>
      </c>
      <c r="K204" s="89" t="str">
        <f>IF(ISEVEN(B204),(B204-1)&amp;"/"&amp;B204,B204&amp;"/"&amp;(B204+1))</f>
        <v>4049/4050</v>
      </c>
      <c r="L204" s="185" t="str">
        <f>VLOOKUP(A204,'Trips&amp;Operators'!$C$1:$G$99911,5,FALSE)</f>
        <v>CASSIDY BRANDON</v>
      </c>
      <c r="M204" s="6">
        <f>I204-F204</f>
        <v>9.1319444400141947E-3</v>
      </c>
      <c r="N204" s="7">
        <f>24*60*SUM($M204:$M204)</f>
        <v>13.14999999362044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-16T20:25:12-0600',mode:absolute,to:'2017-10-16T22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5.8635999999999999</v>
      </c>
      <c r="Z204" s="204">
        <f>RIGHT(H204,LEN(H204)-4)/10000</f>
        <v>7.0499999999999993E-2</v>
      </c>
      <c r="AA204" s="204">
        <f>ABS(Z204-Y204)</f>
        <v>5.7930999999999999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844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/stypes="app*4049*20171017*"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15"/>
        <v>"%USERPROFILE%\Documents\GitHub\eaglep3\Utilities\RefineRTDCRunTimes.py" --tripid 844-16 --locoid 4049 --swversion DE.1.0.9.0 --startMP 300:58636 --initTime 2017-10-16T21:25:12 --startdatetime 2017-10-16T21:42:28 --delay 60 --endMP 204:705 --enddatetime 2017-10-16T21:55:37 --enforcementcount 0 &gt;&gt;%USERPROFILE%\Documents\GitHub\eaglep3-reporting\EC\2017-10-16-refined-times.txt</v>
      </c>
      <c r="AI204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{"issue":{"subject":"","project_id":79,"tracker_id":40,"status_id":1,"priority_id":2,"assigned_to_id":338,"start_date":"2017-10-16","description":"","custom_fields":[{"id":1,"name":"Subdivision","value":"NW"},{"id":4,"name":"Milepost","value":"0.0705"},{"id":17,"name":"Train ID","value":"844-16"},{"id":16,"name":"Locomotive ID","value":"4049"},{"id":130,"name":"Impact","value":""},{"id":150,"name":"Time of Event (Mountain Time)","value":"21:55:37"},{"id":151,"name":"Denver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17"/>
        <v>start /low /b %USERPROFILE%\Documents\GitHub\eaglep3\Utilities\DownloadLogsFromS3.py --loco 4049 --day 2017-10-16</v>
      </c>
      <c r="AN204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19"/>
        <v>https://d0f6bd738d7f1b3e5a7ca70fe4ff75f0.us-east-1.aws.found.io/app/kibana#/discover/Steve-Slow-Train-Analysis-(2080s-and-2083s)?_g=(refreshInterval:(display:Off,pause:!f,section:0,value:0),time:(from:'2017-10-16T20:25:12-0600',mode:absolute,to:'2017-10-16T22:55:37-0600'))&amp;_a=(columns:!('Message%20ID',Summary),filters:!(),index:'emp_*',interval:auto,query:(query_string:(analyze_wildcard:!t,query:'%22rtdc.l.rtdc.4049%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813</v>
      </c>
      <c r="B205" s="7">
        <v>4050</v>
      </c>
      <c r="C205" s="21" t="s">
        <v>194</v>
      </c>
      <c r="D205" s="21" t="s">
        <v>971</v>
      </c>
      <c r="E205" s="13">
        <v>43024.879305555558</v>
      </c>
      <c r="F205" s="13">
        <v>43024.88144675926</v>
      </c>
      <c r="G205" s="7">
        <v>76</v>
      </c>
      <c r="H205" s="21" t="s">
        <v>996</v>
      </c>
      <c r="I205" s="13">
        <v>43024.891111111108</v>
      </c>
      <c r="J205" s="7">
        <v>0</v>
      </c>
      <c r="K205" s="89" t="str">
        <f>IF(ISEVEN(B205),(B205-1)&amp;"/"&amp;B205,B205&amp;"/"&amp;(B205+1))</f>
        <v>4049/4050</v>
      </c>
      <c r="L205" s="185" t="str">
        <f>VLOOKUP(A205,'Trips&amp;Operators'!$C$1:$G$99911,5,FALSE)</f>
        <v>CASSIDY BRANDON</v>
      </c>
      <c r="M205" s="6">
        <f>I205-F205</f>
        <v>9.6643518481869251E-3</v>
      </c>
      <c r="N205" s="7">
        <f>24*60*SUM($M205:$M205)</f>
        <v>13.916666661389172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-16T20:06:12-0600',mode:absolute,to:'2017-10-16T22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9.3600000000000003E-2</v>
      </c>
      <c r="Z205" s="204">
        <f>RIGHT(H205,LEN(H205)-4)/10000</f>
        <v>5.8944000000000001</v>
      </c>
      <c r="AA205" s="204">
        <f>ABS(Z205-Y205)</f>
        <v>5.8007999999999997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845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/stypes="app*4050*20171017*" /stext=" 03:.+((SYSTEM_STATE.+slice.+state.+changed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15"/>
        <v>"%USERPROFILE%\Documents\GitHub\eaglep3\Utilities\RefineRTDCRunTimes.py" --tripid 845-16 --locoid 4050 --swversion DE.1.0.9.0 --startMP 204:936 --initTime 2017-10-16T21:06:12 --startdatetime 2017-10-16T21:09:17 --delay 76 --endMP 300:58944 --enddatetime 2017-10-16T21:23:12 --enforcementcount 0 &gt;&gt;%USERPROFILE%\Documents\GitHub\eaglep3-reporting\EC\2017-10-16-refined-times.txt</v>
      </c>
      <c r="AI205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{"issue":{"subject":"","project_id":79,"tracker_id":40,"status_id":1,"priority_id":2,"assigned_to_id":338,"start_date":"2017-10-16","description":"","custom_fields":[{"id":1,"name":"Subdivision","value":"NW"},{"id":4,"name":"Milepost","value":"5.8944"},{"id":17,"name":"Train ID","value":"845-16"},{"id":16,"name":"Locomotive ID","value":"4050"},{"id":130,"name":"Impact","value":""},{"id":150,"name":"Time of Event (Mountain Time)","value":"21:23:12"},{"id":151,"name":"Denver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17"/>
        <v>start /low /b %USERPROFILE%\Documents\GitHub\eaglep3\Utilities\DownloadLogsFromS3.py --loco 4050 --day 2017-10-16</v>
      </c>
      <c r="AN205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19"/>
        <v>https://d0f6bd738d7f1b3e5a7ca70fe4ff75f0.us-east-1.aws.found.io/app/kibana#/discover/Steve-Slow-Train-Analysis-(2080s-and-2083s)?_g=(refreshInterval:(display:Off,pause:!f,section:0,value:0),time:(from:'2017-10-16T20:06:12-0600',mode:absolute,to:'2017-10-16T22:23:12-0600'))&amp;_a=(columns:!('Message%20ID',Summary),filters:!(),index:'emp_*',interval:auto,query:(query_string:(analyze_wildcard:!t,query:'%22rtdc.l.rtdc.4050%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821</v>
      </c>
      <c r="B206" s="7">
        <v>4049</v>
      </c>
      <c r="C206" s="21" t="s">
        <v>194</v>
      </c>
      <c r="D206" s="21" t="s">
        <v>997</v>
      </c>
      <c r="E206" s="13">
        <v>43024.9378125</v>
      </c>
      <c r="F206" s="13">
        <v>43024.94</v>
      </c>
      <c r="G206" s="7">
        <v>100</v>
      </c>
      <c r="H206" s="21" t="s">
        <v>998</v>
      </c>
      <c r="I206" s="13">
        <v>43024.956273148149</v>
      </c>
      <c r="J206" s="7">
        <v>0</v>
      </c>
      <c r="K206" s="89" t="str">
        <f>IF(ISEVEN(B206),(B206-1)&amp;"/"&amp;B206,B206&amp;"/"&amp;(B206+1))</f>
        <v>4049/4050</v>
      </c>
      <c r="L206" s="185" t="str">
        <f>VLOOKUP(A206,'Trips&amp;Operators'!$C$1:$G$99911,5,FALSE)</f>
        <v>BARRON PERLA</v>
      </c>
      <c r="M206" s="6">
        <f>I206-F206</f>
        <v>1.6273148146865424E-2</v>
      </c>
      <c r="N206" s="7">
        <f>24*60*SUM($M206:$M206)</f>
        <v>23.43333333148621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-16T21:30:27-0600',mode:absolute,to:'2017-10-16T23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5.8628</v>
      </c>
      <c r="Z206" s="204">
        <f>RIGHT(H206,LEN(H206)-4)/10000</f>
        <v>7.3400000000000007E-2</v>
      </c>
      <c r="AA206" s="204">
        <f>ABS(Z206-Y206)</f>
        <v>5.7893999999999997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846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/stypes="app*4049*20171017*"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15"/>
        <v>"%USERPROFILE%\Documents\GitHub\eaglep3\Utilities\RefineRTDCRunTimes.py" --tripid 846-16 --locoid 4049 --swversion DE.1.0.9.0 --startMP 300:58628 --initTime 2017-10-16T22:30:27 --startdatetime 2017-10-16T22:33:36 --delay 100 --endMP 204:734 --enddatetime 2017-10-16T22:57:02 --enforcementcount 0 &gt;&gt;%USERPROFILE%\Documents\GitHub\eaglep3-reporting\EC\2017-10-16-refined-times.txt</v>
      </c>
      <c r="AI206" s="96" t="str">
        <f t="shared" si="16"/>
        <v>echo {"issue":{"subject":"","project_id":79,"tracker_id":40,"status_id":1,"priority_id":2,"assigned_to_id":338,"start_date":"2017-10-16","description":"","custom_fields":[{"id":1,"name":"Subdivision","value":"NW"},{"id":4,"name":"Milepost","value":"0.0734"},{"id":17,"name":"Train ID","value":"846-16"},{"id":16,"name":"Locomotive ID","value":"4049"},{"id":130,"name":"Impact","value":""},{"id":150,"name":"Time of Event (Mountain Time)","value":"22:57:02"},{"id":151,"name":"Denver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17"/>
        <v>start /low /b %USERPROFILE%\Documents\GitHub\eaglep3\Utilities\DownloadLogsFromS3.py --loco 4049 --day 2017-10-16</v>
      </c>
      <c r="AN206" s="151" t="str">
        <f t="shared" si="1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19"/>
        <v>https://d0f6bd738d7f1b3e5a7ca70fe4ff75f0.us-east-1.aws.found.io/app/kibana#/discover/Steve-Slow-Train-Analysis-(2080s-and-2083s)?_g=(refreshInterval:(display:Off,pause:!f,section:0,value:0),time:(from:'2017-10-16T21:30:27-0600',mode:absolute,to:'2017-10-16T23:57:02-0600'))&amp;_a=(columns:!('Message%20ID',Summary),filters:!(),index:'emp_*',interval:auto,query:(query_string:(analyze_wildcard:!t,query:'%22rtdc.l.rtdc.4049%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819</v>
      </c>
      <c r="B207" s="7">
        <v>4050</v>
      </c>
      <c r="C207" s="21" t="s">
        <v>194</v>
      </c>
      <c r="D207" s="21" t="s">
        <v>914</v>
      </c>
      <c r="E207" s="13">
        <v>43024.921481481484</v>
      </c>
      <c r="F207" s="13">
        <v>43024.926180555558</v>
      </c>
      <c r="G207" s="7">
        <v>91</v>
      </c>
      <c r="H207" s="21" t="s">
        <v>564</v>
      </c>
      <c r="I207" s="13">
        <v>43024.934201388889</v>
      </c>
      <c r="J207" s="7">
        <v>0</v>
      </c>
      <c r="K207" s="89" t="str">
        <f>IF(ISEVEN(B207),(B207-1)&amp;"/"&amp;B207,B207&amp;"/"&amp;(B207+1))</f>
        <v>4049/4050</v>
      </c>
      <c r="L207" s="185" t="str">
        <f>VLOOKUP(A207,'Trips&amp;Operators'!$C$1:$G$99911,5,FALSE)</f>
        <v>BARRON PERLA</v>
      </c>
      <c r="M207" s="6">
        <f>I207-F207</f>
        <v>8.0208333311020397E-3</v>
      </c>
      <c r="N207" s="7"/>
      <c r="O207" s="7"/>
      <c r="P207" s="7"/>
      <c r="Q207" s="22"/>
      <c r="R207" s="174"/>
      <c r="S207" s="221"/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-16T21:06:56-0600',mode:absolute,to:'2017-10-16T23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1</v>
      </c>
      <c r="Y207" s="204">
        <f>RIGHT(D207,LEN(D207)-4)/10000</f>
        <v>0.1002</v>
      </c>
      <c r="Z207" s="204">
        <f>RIGHT(H207,LEN(H207)-4)/10000</f>
        <v>9.8799999999999999E-2</v>
      </c>
      <c r="AA207" s="204">
        <f>ABS(Z207-Y207)</f>
        <v>1.3999999999999985E-3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847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/stypes="app*4050*20171017*" /stext=" 04:.+((SYSTEM_STATE.+slice.+state.+changed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ref="AH207:AH243" si="3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847-16 --locoid 4050 --swversion DE.1.0.9.0 --startMP 204:1002 --initTime 2017-10-16T22:06:56 --startdatetime 2017-10-16T22:13:42 --delay 91 --endMP 204:988 --enddatetime 2017-10-16T22:25:15 --enforcementcount 0 &gt;&gt;%USERPROFILE%\Documents\GitHub\eaglep3-reporting\EC\2017-10-16-refined-times.txt</v>
      </c>
      <c r="AI207" s="96" t="str">
        <f t="shared" ref="AI207:AI243" si="3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{"issue":{"subject":"","project_id":79,"tracker_id":40,"status_id":1,"priority_id":2,"assigned_to_id":338,"start_date":"2017-10-16","description":"","custom_fields":[{"id":1,"name":"Subdivision","value":"NW"},{"id":4,"name":"Milepost","value":"0.0988"},{"id":17,"name":"Train ID","value":"847-16"},{"id":16,"name":"Locomotive ID","value":"4050"},{"id":130,"name":"Impact","value":""},{"id":150,"name":"Time of Event (Mountain Time)","value":"22:25:15"},{"id":151,"name":"Denver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43" si="34">"start /low /b "&amp;dls3logs&amp;" --loco "&amp;B207&amp;" --day "&amp;TEXT(F207,"YYYY-MM-DD")</f>
        <v>start /low /b %USERPROFILE%\Documents\GitHub\eaglep3\Utilities\DownloadLogsFromS3.py --loco 4050 --day 2017-10-16</v>
      </c>
      <c r="AN207" s="151" t="str">
        <f t="shared" ref="AN207:AN243" si="3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43" si="36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-16T21:06:56-0600',mode:absolute,to:'2017-10-16T23:25:15-0600'))&amp;_a=(columns:!('Message%20ID',Summary),filters:!(),index:'emp_*',interval:auto,query:(query_string:(analyze_wildcard:!t,query:'%22rtdc.l.rtdc.4050%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819</v>
      </c>
      <c r="B208" s="7">
        <v>4050</v>
      </c>
      <c r="C208" s="21" t="s">
        <v>194</v>
      </c>
      <c r="D208" s="21" t="s">
        <v>999</v>
      </c>
      <c r="E208" s="13">
        <v>43024.923877314817</v>
      </c>
      <c r="F208" s="13">
        <v>43024.926180555558</v>
      </c>
      <c r="G208" s="7">
        <v>53</v>
      </c>
      <c r="H208" s="21" t="s">
        <v>476</v>
      </c>
      <c r="I208" s="13">
        <v>43024.934201388889</v>
      </c>
      <c r="J208" s="7">
        <v>0</v>
      </c>
      <c r="K208" s="89" t="str">
        <f>IF(ISEVEN(B208),(B208-1)&amp;"/"&amp;B208,B208&amp;"/"&amp;(B208+1))</f>
        <v>4049/4050</v>
      </c>
      <c r="L208" s="185" t="str">
        <f>VLOOKUP(A208,'Trips&amp;Operators'!$C$1:$G$99911,5,FALSE)</f>
        <v>BARRON PERLA</v>
      </c>
      <c r="M208" s="6">
        <f>I208-F208</f>
        <v>8.0208333311020397E-3</v>
      </c>
      <c r="N208" s="7">
        <f>24*60*SUM($M208:$M208)</f>
        <v>11.549999996786937</v>
      </c>
      <c r="O208" s="7"/>
      <c r="P208" s="7"/>
      <c r="Q208" s="22"/>
      <c r="R208" s="174" t="s">
        <v>1025</v>
      </c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-16T21:10:23-0600',mode:absolute,to:'2017-10-16T23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8" s="204" t="str">
        <f>IF(AA208&lt;VLOOKUP(AG208,Variables!$AC$3:$AD$8,2,FALSE),"Y","N")</f>
        <v>N</v>
      </c>
      <c r="X208" s="204">
        <f t="shared" ref="X208:X211" si="37">VALUE(LEFT(AD208,4))-VALUE(LEFT(AD207,4))</f>
        <v>0</v>
      </c>
      <c r="Y208" s="204">
        <f>RIGHT(D208,LEN(D208)-4)/10000</f>
        <v>0.123</v>
      </c>
      <c r="Z208" s="204">
        <f>RIGHT(H208,LEN(H208)-4)/10000</f>
        <v>5.8935000000000004</v>
      </c>
      <c r="AA208" s="204">
        <f>ABS(Z208-Y208)</f>
        <v>5.7705000000000002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847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/stypes="app*4050*20171017*" /stext=" 04:.+((SYSTEM_STATE.+slice.+state.+changed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32"/>
        <v>"%USERPROFILE%\Documents\GitHub\eaglep3\Utilities\RefineRTDCRunTimes.py" --tripid 847-16 --locoid 4050 --swversion DE.1.0.9.0 --startMP 204:1230 --initTime 2017-10-16T22:10:23 --startdatetime 2017-10-16T22:13:42 --delay 53 --endMP 300:58935 --enddatetime 2017-10-16T22:25:15 --enforcementcount 0 &gt;&gt;%USERPROFILE%\Documents\GitHub\eaglep3-reporting\EC\2017-10-16-refined-times.txt</v>
      </c>
      <c r="AI208" s="96" t="str">
        <f t="shared" si="33"/>
        <v>echo {"issue":{"subject":"Poor GPS at DUS","project_id":79,"tracker_id":40,"status_id":1,"priority_id":2,"assigned_to_id":338,"start_date":"2017-10-16","description":"","custom_fields":[{"id":1,"name":"Subdivision","value":"NW"},{"id":4,"name":"Milepost","value":"5.8935"},{"id":17,"name":"Train ID","value":"847-16"},{"id":16,"name":"Locomotive ID","value":"4050"},{"id":130,"name":"Impact","value":""},{"id":150,"name":"Time of Event (Mountain Time)","value":"22:25:15"},{"id":151,"name":"Denver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34"/>
        <v>start /low /b %USERPROFILE%\Documents\GitHub\eaglep3\Utilities\DownloadLogsFromS3.py --loco 4050 --day 2017-10-16</v>
      </c>
      <c r="AN208" s="151" t="str">
        <f t="shared" si="35"/>
        <v>echo {"issue":{"subject":"Poor GPS at DUS","project_id":30,"tracker_id":4,"status_id":1,"priority_id":1,"assigned_to_id":10,"start_date":"2017-10-17","description":"","custom_fields":[{"id":30,"name":"Category","value":"Issue"},{"id":3,"name":"Functional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6"/>
        <v>https://d0f6bd738d7f1b3e5a7ca70fe4ff75f0.us-east-1.aws.found.io/app/kibana#/discover/Steve-Slow-Train-Analysis-(2080s-and-2083s)?_g=(refreshInterval:(display:Off,pause:!f,section:0,value:0),time:(from:'2017-10-16T21:10:23-0600',mode:absolute,to:'2017-10-16T23:25:15-0600'))&amp;_a=(columns:!('Message%20ID',Summary),filters:!(),index:'emp_*',interval:auto,query:(query_string:(analyze_wildcard:!t,query:'%22rtdc.l.rtdc.4050%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608</v>
      </c>
      <c r="B209" s="7">
        <v>4050</v>
      </c>
      <c r="C209" s="21" t="s">
        <v>194</v>
      </c>
      <c r="D209" s="21" t="s">
        <v>999</v>
      </c>
      <c r="E209" s="13">
        <v>43024.923877314817</v>
      </c>
      <c r="F209" s="13">
        <v>43024.964918981481</v>
      </c>
      <c r="G209" s="7">
        <v>53</v>
      </c>
      <c r="H209" s="21" t="s">
        <v>476</v>
      </c>
      <c r="I209" s="13">
        <v>43024.97347222222</v>
      </c>
      <c r="J209" s="7">
        <v>0</v>
      </c>
      <c r="K209" s="89" t="str">
        <f>IF(ISEVEN(B209),(B209-1)&amp;"/"&amp;B209,B209&amp;"/"&amp;(B209+1))</f>
        <v>4049/4050</v>
      </c>
      <c r="L209" s="185" t="str">
        <f>VLOOKUP(A209,'Trips&amp;Operators'!$C$1:$G$99911,5,FALSE)</f>
        <v>STAMBAUGH JAMES</v>
      </c>
      <c r="M209" s="6">
        <f>I209-F209</f>
        <v>8.55324073927477E-3</v>
      </c>
      <c r="N209" s="7">
        <f>24*60*SUM($M209:$M209)</f>
        <v>12.316666664555669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-16T21:10:23-0600',mode:absolute,to:'2017-10-17T00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9" s="204" t="str">
        <f>IF(AA209&lt;VLOOKUP(AG209,Variables!$AC$3:$AD$8,2,FALSE),"Y","N")</f>
        <v>N</v>
      </c>
      <c r="X209" s="204">
        <f t="shared" si="37"/>
        <v>2</v>
      </c>
      <c r="Y209" s="204">
        <v>9.3600000000000003E-2</v>
      </c>
      <c r="Z209" s="204">
        <v>5.8944000000000001</v>
      </c>
      <c r="AA209" s="204">
        <f>ABS(Z209-Y209)</f>
        <v>5.8007999999999997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849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/stypes="app*4050*20171017*" /stext=" 05:.+((SYSTEM_STATE.+slice.+state.+changed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ref="AH209" si="38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849-16 --locoid 4050 --swversion DE.1.0.9.0 --startMP 204:1230 --initTime 2017-10-16T22:10:23 --startdatetime 2017-10-16T23:09:29 --delay 53 --endMP 300:58935 --enddatetime 2017-10-16T23:21:48 --enforcementcount 0 &gt;&gt;%USERPROFILE%\Documents\GitHub\eaglep3-reporting\EC\2017-10-16-refined-times.txt</v>
      </c>
      <c r="AI209" s="96" t="str">
        <f t="shared" ref="AI209" si="39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{"issue":{"subject":"","project_id":79,"tracker_id":40,"status_id":1,"priority_id":2,"assigned_to_id":338,"start_date":"2017-10-16","description":"","custom_fields":[{"id":1,"name":"Subdivision","value":"NW"},{"id":4,"name":"Milepost","value":"5.8944"},{"id":17,"name":"Train ID","value":"849-16"},{"id":16,"name":"Locomotive ID","value":"4050"},{"id":130,"name":"Impact","value":""},{"id":150,"name":"Time of Event (Mountain Time)","value":"23:21:48"},{"id":151,"name":"Denver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" si="40">"start /low /b "&amp;dls3logs&amp;" --loco "&amp;B209&amp;" --day "&amp;TEXT(F209,"YYYY-MM-DD")</f>
        <v>start /low /b %USERPROFILE%\Documents\GitHub\eaglep3\Utilities\DownloadLogsFromS3.py --loco 4050 --day 2017-10-16</v>
      </c>
      <c r="AN209" s="151" t="str">
        <f t="shared" ref="AN209" si="41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" si="42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-16T21:10:23-0600',mode:absolute,to:'2017-10-17T00:21:48-0600'))&amp;_a=(columns:!('Message%20ID',Summary),filters:!(),index:'emp_*',interval:auto,query:(query_string:(analyze_wildcard:!t,query:'%22rtdc.l.rtdc.4050%22')),sort:!(Time.ISO8601,asc))</v>
      </c>
    </row>
    <row r="210" spans="1:91" s="20" customFormat="1" x14ac:dyDescent="0.3">
      <c r="A210" s="32" t="s">
        <v>609</v>
      </c>
      <c r="B210" s="7">
        <v>4065</v>
      </c>
      <c r="C210" s="21" t="s">
        <v>194</v>
      </c>
      <c r="D210" s="21" t="s">
        <v>901</v>
      </c>
      <c r="E210" s="13">
        <v>43024.117083333331</v>
      </c>
      <c r="F210" s="13">
        <v>43024.120532407411</v>
      </c>
      <c r="G210" s="7">
        <v>65</v>
      </c>
      <c r="H210" s="21" t="s">
        <v>517</v>
      </c>
      <c r="I210" s="13">
        <v>43024.127002314817</v>
      </c>
      <c r="J210" s="7">
        <v>0</v>
      </c>
      <c r="K210" s="89" t="str">
        <f>IF(ISEVEN(B210),(B210-1)&amp;"/"&amp;B210,B210&amp;"/"&amp;(B210+1))</f>
        <v>4065/4066</v>
      </c>
      <c r="L210" s="185" t="str">
        <f>VLOOKUP(A210,'Trips&amp;Operators'!$C$1:$G$99911,5,FALSE)</f>
        <v>THOMPSON LESTER</v>
      </c>
      <c r="M210" s="6">
        <f>I210-F210</f>
        <v>6.4699074064265005E-3</v>
      </c>
      <c r="N210" s="7">
        <f>24*60*SUM($M210:$M210)</f>
        <v>9.3166666652541608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-16T01:48:36-0600',mode:absolute,to:'2017-10-16T04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0" s="204" t="str">
        <f>IF(AA210&lt;VLOOKUP(AG210,Variables!$AC$3:$AD$8,2,FALSE),"Y","N")</f>
        <v>Y</v>
      </c>
      <c r="X210" s="204">
        <f t="shared" si="37"/>
        <v>-549</v>
      </c>
      <c r="Y210" s="204">
        <f>RIGHT(D210,LEN(D210)-4)/10000</f>
        <v>2.3487</v>
      </c>
      <c r="Z210" s="204">
        <f>RIGHT(H210,LEN(H210)-4)/10000</f>
        <v>1.41E-2</v>
      </c>
      <c r="AA210" s="204">
        <f>ABS(Z210-Y210)</f>
        <v>2.3346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s3://rtdc.mdm.uploadarchive.raw/RTDC4065/ "%USERPROFILE%\AppData\Local\Temp\OnboardLogs"\RTDC4065\2017-10-16 --exclude "*" --recursive --include "*20171016*" &amp; "%USERPROFILE%\Documents\GitHub\mrs-test-scripts\Headless Mode &amp; Sideloading\WalkAndUnGZ.bat" "%USERPROFILE%\AppData\Local\Temp\OnboardLogs"\RTDC4065\2017-10-16 &amp; 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/stypes="app*4065*20171016*"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32"/>
        <v>"%USERPROFILE%\Documents\GitHub\eaglep3\Utilities\RefineRTDCRunTimes.py" --tripid 300-16 --locoid 4065 --swversion DE.1.0.9.0 --startMP 300:23487 --initTime 2017-10-16T02:48:36 --startdatetime 2017-10-16T02:53:34 --delay 65 --endMP 204:141 --enddatetime 2017-10-16T03:02:53 --enforcementcount 0 &gt;&gt;%USERPROFILE%\Documents\GitHub\eaglep3-reporting\EC\2017-10-16-refined-times.txt</v>
      </c>
      <c r="AI210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{"issue":{"subject":"","project_id":79,"tracker_id":40,"status_id":1,"priority_id":2,"assigned_to_id":338,"start_date":"2017-10-16","description":"","custom_fields":[{"id":1,"name":"Subdivision","value":"Other"},{"id":4,"name":"Milepost","value":"0.0141"},{"id":17,"name":"Train ID","value":"300-16"},{"id":16,"name":"Locomotive ID","value":"4065"},{"id":130,"name":"Impact","value":""},{"id":150,"name":"Time of Event (Mountain Time)","value":"03:02:53"},{"id":151,"name":"Denver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4"/>
        <v>start /low /b %USERPROFILE%\Documents\GitHub\eaglep3\Utilities\DownloadLogsFromS3.py --loco 4065 --day 2017-10-16</v>
      </c>
      <c r="AN210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09:02:53"},{"id":29,"name":"Sharepoint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36"/>
        <v>https://d0f6bd738d7f1b3e5a7ca70fe4ff75f0.us-east-1.aws.found.io/app/kibana#/discover/Steve-Slow-Train-Analysis-(2080s-and-2083s)?_g=(refreshInterval:(display:Off,pause:!f,section:0,value:0),time:(from:'2017-10-16T01:48:36-0600',mode:absolute,to:'2017-10-16T04:02:53-0600'))&amp;_a=(columns:!('Message%20ID',Summary),filters:!(),index:'emp_*',interval:auto,query:(query_string:(analyze_wildcard:!t,query:'%22rtdc.l.rtdc.4065%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792</v>
      </c>
      <c r="B211" s="7">
        <v>4060</v>
      </c>
      <c r="C211" s="21" t="s">
        <v>194</v>
      </c>
      <c r="D211" s="21" t="s">
        <v>334</v>
      </c>
      <c r="E211" s="13">
        <v>43024.777581018519</v>
      </c>
      <c r="F211" s="13">
        <v>43024.779583333337</v>
      </c>
      <c r="G211" s="7">
        <v>63</v>
      </c>
      <c r="H211" s="21" t="s">
        <v>902</v>
      </c>
      <c r="I211" s="13">
        <v>43024.787164351852</v>
      </c>
      <c r="J211" s="7">
        <v>0</v>
      </c>
      <c r="K211" s="89" t="str">
        <f>IF(ISEVEN(B211),(B211-1)&amp;"/"&amp;B211,B211&amp;"/"&amp;(B211+1))</f>
        <v>4059/4060</v>
      </c>
      <c r="L211" s="185" t="str">
        <f>VLOOKUP(A211,'Trips&amp;Operators'!$C$1:$G$99911,5,FALSE)</f>
        <v>LEVERE CRAIG</v>
      </c>
      <c r="M211" s="6">
        <f>I211-F211</f>
        <v>7.5810185153386556E-3</v>
      </c>
      <c r="N211" s="7">
        <f>24*60*SUM($M211:$M211)</f>
        <v>10.916666662087664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-16T17:39:43-0600',mode:absolute,to:'2017-10-16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204" t="str">
        <f>IF(AA211&lt;VLOOKUP(AG211,Variables!$AC$3:$AD$8,2,FALSE),"Y","N")</f>
        <v>Y</v>
      </c>
      <c r="X211" s="204">
        <f t="shared" si="37"/>
        <v>1</v>
      </c>
      <c r="Y211" s="204">
        <f>RIGHT(D211,LEN(D211)-4)/10000</f>
        <v>4.4600000000000001E-2</v>
      </c>
      <c r="Z211" s="204">
        <f>RIGHT(H211,LEN(H211)-4)/10000</f>
        <v>2.331</v>
      </c>
      <c r="AA211" s="204">
        <f>ABS(Z211-Y211)</f>
        <v>2.2864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301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/stypes="app*4060*20171017*" /stext=" 00:.+((SYSTEM_STATE.+slice.+state.+changed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32"/>
        <v>"%USERPROFILE%\Documents\GitHub\eaglep3\Utilities\RefineRTDCRunTimes.py" --tripid 301-16 --locoid 4060 --swversion DE.1.0.9.0 --startMP 204:446 --initTime 2017-10-16T18:39:43 --startdatetime 2017-10-16T18:42:36 --delay 63 --endMP 300:23310 --enddatetime 2017-10-16T18:53:31 --enforcementcount 0 &gt;&gt;%USERPROFILE%\Documents\GitHub\eaglep3-reporting\EC\2017-10-16-refined-times.txt</v>
      </c>
      <c r="AI211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{"issue":{"subject":"","project_id":79,"tracker_id":40,"status_id":1,"priority_id":2,"assigned_to_id":338,"start_date":"2017-10-16","description":"","custom_fields":[{"id":1,"name":"Subdivision","value":"Other"},{"id":4,"name":"Milepost","value":"2.331"},{"id":17,"name":"Train ID","value":"301-16"},{"id":16,"name":"Locomotive ID","value":"4060"},{"id":130,"name":"Impact","value":""},{"id":150,"name":"Time of Event (Mountain Time)","value":"18:53:31"},{"id":151,"name":"Denver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34"/>
        <v>start /low /b %USERPROFILE%\Documents\GitHub\eaglep3\Utilities\DownloadLogsFromS3.py --loco 4060 --day 2017-10-16</v>
      </c>
      <c r="AN211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36"/>
        <v>https://d0f6bd738d7f1b3e5a7ca70fe4ff75f0.us-east-1.aws.found.io/app/kibana#/discover/Steve-Slow-Train-Analysis-(2080s-and-2083s)?_g=(refreshInterval:(display:Off,pause:!f,section:0,value:0),time:(from:'2017-10-16T17:39:43-0600',mode:absolute,to:'2017-10-16T19:53:31-0600'))&amp;_a=(columns:!('Message%20ID',Summary),filters:!(),index:'emp_*',interval:auto,query:(query_string:(analyze_wildcard:!t,query:'%22rtdc.l.rtdc.4060%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614</v>
      </c>
      <c r="B212" s="7">
        <v>4029</v>
      </c>
      <c r="C212" s="21" t="s">
        <v>194</v>
      </c>
      <c r="D212" s="21" t="s">
        <v>903</v>
      </c>
      <c r="E212" s="13">
        <v>43024.13790509259</v>
      </c>
      <c r="F212" s="13">
        <v>43024.142696759256</v>
      </c>
      <c r="G212" s="7">
        <v>82</v>
      </c>
      <c r="H212" s="21" t="s">
        <v>374</v>
      </c>
      <c r="I212" s="13">
        <v>43024.149351851855</v>
      </c>
      <c r="J212" s="7">
        <v>0</v>
      </c>
      <c r="K212" s="89" t="str">
        <f>IF(ISEVEN(B212),(B212-1)&amp;"/"&amp;B212,B212&amp;"/"&amp;(B212+1))</f>
        <v>4029/4030</v>
      </c>
      <c r="L212" s="185" t="str">
        <f>VLOOKUP(A212,'Trips&amp;Operators'!$C$1:$G$99911,5,FALSE)</f>
        <v>LANGERAK WILLIAM</v>
      </c>
      <c r="M212" s="6">
        <f>I212-F212</f>
        <v>6.6550925985211506E-3</v>
      </c>
      <c r="N212" s="7">
        <f>24*60*SUM($M212:$M212)</f>
        <v>9.5833333418704569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-16T02:18:35-0600',mode:absolute,to:'2017-10-16T04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2.2187000000000001</v>
      </c>
      <c r="Z212" s="204">
        <f>RIGHT(H212,LEN(H212)-4)/10000</f>
        <v>1.54E-2</v>
      </c>
      <c r="AA212" s="204">
        <f>ABS(Z212-Y212)</f>
        <v>2.2033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302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/stypes="app*4029*20171016*" /stext=" 09:.+((SYSTEM_STATE.+slice.+state.+changed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32"/>
        <v>"%USERPROFILE%\Documents\GitHub\eaglep3\Utilities\RefineRTDCRunTimes.py" --tripid 302-16 --locoid 4029 --swversion DE.1.0.9.0 --startMP 300:22187 --initTime 2017-10-16T03:18:35 --startdatetime 2017-10-16T03:25:29 --delay 82 --endMP 204:154 --enddatetime 2017-10-16T03:35:04 --enforcementcount 0 &gt;&gt;%USERPROFILE%\Documents\GitHub\eaglep3-reporting\EC\2017-10-16-refined-times.txt</v>
      </c>
      <c r="AI212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{"issue":{"subject":"","project_id":79,"tracker_id":40,"status_id":1,"priority_id":2,"assigned_to_id":338,"start_date":"2017-10-16","description":"","custom_fields":[{"id":1,"name":"Subdivision","value":"Other"},{"id":4,"name":"Milepost","value":"0.0154"},{"id":17,"name":"Train ID","value":"302-16"},{"id":16,"name":"Locomotive ID","value":"4029"},{"id":130,"name":"Impact","value":""},{"id":150,"name":"Time of Event (Mountain Time)","value":"03:35:04"},{"id":151,"name":"Denver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34"/>
        <v>start /low /b %USERPROFILE%\Documents\GitHub\eaglep3\Utilities\DownloadLogsFromS3.py --loco 4029 --day 2017-10-16</v>
      </c>
      <c r="AN212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09:35:04"},{"id":29,"name":"Sharepoint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36"/>
        <v>https://d0f6bd738d7f1b3e5a7ca70fe4ff75f0.us-east-1.aws.found.io/app/kibana#/discover/Steve-Slow-Train-Analysis-(2080s-and-2083s)?_g=(refreshInterval:(display:Off,pause:!f,section:0,value:0),time:(from:'2017-10-16T02:18:35-0600',mode:absolute,to:'2017-10-16T04:35:04-0600'))&amp;_a=(columns:!('Message%20ID',Summary),filters:!(),index:'emp_*',interval:auto,query:(query_string:(analyze_wildcard:!t,query:'%22rtdc.l.rtdc.4029%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797</v>
      </c>
      <c r="B213" s="7">
        <v>4010</v>
      </c>
      <c r="C213" s="21" t="s">
        <v>194</v>
      </c>
      <c r="D213" s="21" t="s">
        <v>380</v>
      </c>
      <c r="E213" s="13">
        <v>43024.797233796293</v>
      </c>
      <c r="F213" s="13">
        <v>43024.800185185188</v>
      </c>
      <c r="G213" s="7">
        <v>60</v>
      </c>
      <c r="H213" s="21" t="s">
        <v>574</v>
      </c>
      <c r="I213" s="13">
        <v>43024.806967592594</v>
      </c>
      <c r="J213" s="7">
        <v>0</v>
      </c>
      <c r="K213" s="89" t="str">
        <f>IF(ISEVEN(B213),(B213-1)&amp;"/"&amp;B213,B213&amp;"/"&amp;(B213+1))</f>
        <v>4009/4010</v>
      </c>
      <c r="L213" s="185" t="str">
        <f>VLOOKUP(A213,'Trips&amp;Operators'!$C$1:$G$99911,5,FALSE)</f>
        <v>SAFIEF AEIMEN</v>
      </c>
      <c r="M213" s="6">
        <f>I213-F213</f>
        <v>6.7824074067175388E-3</v>
      </c>
      <c r="N213" s="7">
        <f>24*60*SUM($M213:$M213)</f>
        <v>9.7666666656732559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-16T18:08:01-0600',mode:absolute,to:'2017-10-16T20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4.5699999999999998E-2</v>
      </c>
      <c r="Z213" s="204">
        <f>RIGHT(H213,LEN(H213)-4)/10000</f>
        <v>2.3306</v>
      </c>
      <c r="AA213" s="204">
        <f>ABS(Z213-Y213)</f>
        <v>2.2848999999999999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303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"%USERPROFILE%\AppData\Local\Temp\OnboardLogs"\RTDC4010\2017-10-16 --exclude "*" --recursive --include "*20171016*" &amp; "%USERPROFILE%\Documents\GitHub\mrs-test-scripts\Headless Mode &amp; Sideloading\WalkAndUnGZ.bat" "%USERPROFILE%\AppData\Local\Temp\OnboardLogs"\RTDC4010\2017-10-16 &amp; 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/stypes="app*4010*20171017*" /stext=" 01:.+((SYSTEM_STATE.+slice.+state.+changed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32"/>
        <v>"%USERPROFILE%\Documents\GitHub\eaglep3\Utilities\RefineRTDCRunTimes.py" --tripid 303-16 --locoid 4010 --swversion DE.1.0.9.0 --startMP 204:457 --initTime 2017-10-16T19:08:01 --startdatetime 2017-10-16T19:12:16 --delay 60 --endMP 300:23306 --enddatetime 2017-10-16T19:22:02 --enforcementcount 0 &gt;&gt;%USERPROFILE%\Documents\GitHub\eaglep3-reporting\EC\2017-10-16-refined-times.txt</v>
      </c>
      <c r="AI213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{"issue":{"subject":"","project_id":79,"tracker_id":40,"status_id":1,"priority_id":2,"assigned_to_id":338,"start_date":"2017-10-16","description":"","custom_fields":[{"id":1,"name":"Subdivision","value":"Other"},{"id":4,"name":"Milepost","value":"2.3306"},{"id":17,"name":"Train ID","value":"303-16"},{"id":16,"name":"Locomotive ID","value":"4010"},{"id":130,"name":"Impact","value":""},{"id":150,"name":"Time of Event (Mountain Time)","value":"19:22:02"},{"id":151,"name":"Denver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34"/>
        <v>start /low /b %USERPROFILE%\Documents\GitHub\eaglep3\Utilities\DownloadLogsFromS3.py --loco 4010 --day 2017-10-16</v>
      </c>
      <c r="AN213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36"/>
        <v>https://d0f6bd738d7f1b3e5a7ca70fe4ff75f0.us-east-1.aws.found.io/app/kibana#/discover/Steve-Slow-Train-Analysis-(2080s-and-2083s)?_g=(refreshInterval:(display:Off,pause:!f,section:0,value:0),time:(from:'2017-10-16T18:08:01-0600',mode:absolute,to:'2017-10-16T20:22:02-0600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619</v>
      </c>
      <c r="B214" s="7">
        <v>4025</v>
      </c>
      <c r="C214" s="21" t="s">
        <v>194</v>
      </c>
      <c r="D214" s="21" t="s">
        <v>904</v>
      </c>
      <c r="E214" s="13">
        <v>43024.161469907405</v>
      </c>
      <c r="F214" s="13">
        <v>43024.163819444446</v>
      </c>
      <c r="G214" s="7">
        <v>55</v>
      </c>
      <c r="H214" s="21" t="s">
        <v>367</v>
      </c>
      <c r="I214" s="13">
        <v>43024.168449074074</v>
      </c>
      <c r="J214" s="7">
        <v>0</v>
      </c>
      <c r="K214" s="89" t="str">
        <f>IF(ISEVEN(B214),(B214-1)&amp;"/"&amp;B214,B214&amp;"/"&amp;(B214+1))</f>
        <v>4025/4026</v>
      </c>
      <c r="L214" s="185" t="str">
        <f>VLOOKUP(A214,'Trips&amp;Operators'!$C$1:$G$99911,5,FALSE)</f>
        <v>YORK EDGAR</v>
      </c>
      <c r="M214" s="6">
        <f>I214-F214</f>
        <v>4.6296296277432702E-3</v>
      </c>
      <c r="N214" s="7">
        <f>24*60*SUM($M214:$M214)</f>
        <v>6.6666666639503092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-16T02:52:31-0600',mode:absolute,to:'2017-10-16T05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2.3129</v>
      </c>
      <c r="Z214" s="204">
        <f>RIGHT(H214,LEN(H214)-4)/10000</f>
        <v>1.3899999999999999E-2</v>
      </c>
      <c r="AA214" s="204">
        <f>ABS(Z214-Y214)</f>
        <v>2.2989999999999999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304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/stypes="app*4025*20171016*"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32"/>
        <v>"%USERPROFILE%\Documents\GitHub\eaglep3\Utilities\RefineRTDCRunTimes.py" --tripid 304-16 --locoid 4025 --swversion DE.1.0.9.0 --startMP 300:23129 --initTime 2017-10-16T03:52:31 --startdatetime 2017-10-16T03:55:54 --delay 55 --endMP 204:139 --enddatetime 2017-10-16T04:02:34 --enforcementcount 0 &gt;&gt;%USERPROFILE%\Documents\GitHub\eaglep3-reporting\EC\2017-10-16-refined-times.txt</v>
      </c>
      <c r="AI214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{"issue":{"subject":"","project_id":79,"tracker_id":40,"status_id":1,"priority_id":2,"assigned_to_id":338,"start_date":"2017-10-16","description":"","custom_fields":[{"id":1,"name":"Subdivision","value":"Other"},{"id":4,"name":"Milepost","value":"0.0139"},{"id":17,"name":"Train ID","value":"304-16"},{"id":16,"name":"Locomotive ID","value":"4025"},{"id":130,"name":"Impact","value":""},{"id":150,"name":"Time of Event (Mountain Time)","value":"04:02:34"},{"id":151,"name":"Denver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34"/>
        <v>start /low /b %USERPROFILE%\Documents\GitHub\eaglep3\Utilities\DownloadLogsFromS3.py --loco 4025 --day 2017-10-16</v>
      </c>
      <c r="AN214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36"/>
        <v>https://d0f6bd738d7f1b3e5a7ca70fe4ff75f0.us-east-1.aws.found.io/app/kibana#/discover/Steve-Slow-Train-Analysis-(2080s-and-2083s)?_g=(refreshInterval:(display:Off,pause:!f,section:0,value:0),time:(from:'2017-10-16T02:52:31-0600',mode:absolute,to:'2017-10-16T05:02:34-0600'))&amp;_a=(columns:!('Message%20ID',Summary),filters:!(),index:'emp_*',interval:auto,query:(query_string:(analyze_wildcard:!t,query:'%22rtdc.l.rtdc.4025%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802</v>
      </c>
      <c r="B215" s="7">
        <v>4024</v>
      </c>
      <c r="C215" s="21" t="s">
        <v>194</v>
      </c>
      <c r="D215" s="21" t="s">
        <v>372</v>
      </c>
      <c r="E215" s="13">
        <v>43024.819884259261</v>
      </c>
      <c r="F215" s="13">
        <v>43024.821643518517</v>
      </c>
      <c r="G215" s="7">
        <v>56</v>
      </c>
      <c r="H215" s="21" t="s">
        <v>905</v>
      </c>
      <c r="I215" s="13">
        <v>43024.829317129632</v>
      </c>
      <c r="J215" s="7">
        <v>0</v>
      </c>
      <c r="K215" s="89" t="str">
        <f>IF(ISEVEN(B215),(B215-1)&amp;"/"&amp;B215,B215&amp;"/"&amp;(B215+1))</f>
        <v>4023/4024</v>
      </c>
      <c r="L215" s="185" t="str">
        <f>VLOOKUP(A215,'Trips&amp;Operators'!$C$1:$G$99911,5,FALSE)</f>
        <v>SMITH MICHAEL</v>
      </c>
      <c r="M215" s="6">
        <f>I215-F215</f>
        <v>7.6736111150239594E-3</v>
      </c>
      <c r="N215" s="7">
        <f>24*60*SUM($M215:$M215)</f>
        <v>11.050000005634502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-16T18:40:38-0600',mode:absolute,to:'2017-10-16T20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4.7100000000000003E-2</v>
      </c>
      <c r="Z215" s="204">
        <f>RIGHT(H215,LEN(H215)-4)/10000</f>
        <v>2.3304</v>
      </c>
      <c r="AA215" s="204">
        <f>ABS(Z215-Y215)</f>
        <v>2.2833000000000001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305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s3://rtdc.mdm.uploadarchive.raw/RTDC4024/ "%USERPROFILE%\AppData\Local\Temp\OnboardLogs"\RTDC4024\2017-10-16 --exclude "*" --recursive --include "*20171016*" &amp; "%USERPROFILE%\Documents\GitHub\mrs-test-scripts\Headless Mode &amp; Sideloading\WalkAndUnGZ.bat" "%USERPROFILE%\AppData\Local\Temp\OnboardLogs"\RTDC4024\2017-10-16 &amp; 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/stypes="app*4024*20171017*" /stext=" 01:.+((SYSTEM_STATE.+slice.+state.+changed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32"/>
        <v>"%USERPROFILE%\Documents\GitHub\eaglep3\Utilities\RefineRTDCRunTimes.py" --tripid 305-16 --locoid 4024 --swversion DE.1.0.9.0 --startMP 204:471 --initTime 2017-10-16T19:40:38 --startdatetime 2017-10-16T19:43:10 --delay 56 --endMP 300:23304 --enddatetime 2017-10-16T19:54:13 --enforcementcount 0 &gt;&gt;%USERPROFILE%\Documents\GitHub\eaglep3-reporting\EC\2017-10-16-refined-times.txt</v>
      </c>
      <c r="AI215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{"issue":{"subject":"","project_id":79,"tracker_id":40,"status_id":1,"priority_id":2,"assigned_to_id":338,"start_date":"2017-10-16","description":"","custom_fields":[{"id":1,"name":"Subdivision","value":"Other"},{"id":4,"name":"Milepost","value":"2.3304"},{"id":17,"name":"Train ID","value":"305-16"},{"id":16,"name":"Locomotive ID","value":"4024"},{"id":130,"name":"Impact","value":""},{"id":150,"name":"Time of Event (Mountain Time)","value":"19:54:13"},{"id":151,"name":"Denver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34"/>
        <v>start /low /b %USERPROFILE%\Documents\GitHub\eaglep3\Utilities\DownloadLogsFromS3.py --loco 4024 --day 2017-10-16</v>
      </c>
      <c r="AN215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36"/>
        <v>https://d0f6bd738d7f1b3e5a7ca70fe4ff75f0.us-east-1.aws.found.io/app/kibana#/discover/Steve-Slow-Train-Analysis-(2080s-and-2083s)?_g=(refreshInterval:(display:Off,pause:!f,section:0,value:0),time:(from:'2017-10-16T18:40:38-0600',mode:absolute,to:'2017-10-16T20:54:13-0600'))&amp;_a=(columns:!('Message%20ID',Summary),filters:!(),index:'emp_*',interval:auto,query:(query_string:(analyze_wildcard:!t,query:'%22rtdc.l.rtdc.4024%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621</v>
      </c>
      <c r="B216" s="7">
        <v>4019</v>
      </c>
      <c r="C216" s="21" t="s">
        <v>194</v>
      </c>
      <c r="D216" s="21" t="s">
        <v>576</v>
      </c>
      <c r="E216" s="13">
        <v>43024.168506944443</v>
      </c>
      <c r="F216" s="13">
        <v>43024.172361111108</v>
      </c>
      <c r="G216" s="7">
        <v>57</v>
      </c>
      <c r="H216" s="21" t="s">
        <v>374</v>
      </c>
      <c r="I216" s="13">
        <v>43024.179571759261</v>
      </c>
      <c r="J216" s="7">
        <v>0</v>
      </c>
      <c r="K216" s="89" t="str">
        <f>IF(ISEVEN(B216),(B216-1)&amp;"/"&amp;B216,B216&amp;"/"&amp;(B216+1))</f>
        <v>4019/4020</v>
      </c>
      <c r="L216" s="185" t="str">
        <f>VLOOKUP(A216,'Trips&amp;Operators'!$C$1:$G$99911,5,FALSE)</f>
        <v>LALONDE GREGORY</v>
      </c>
      <c r="M216" s="6">
        <f>I216-F216</f>
        <v>7.2106481529772282E-3</v>
      </c>
      <c r="N216" s="7">
        <f>24*60*SUM($M216:$M216)</f>
        <v>10.383333340287209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-16T03:02:39-0600',mode:absolute,to:'2017-10-16T05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2.3589000000000002</v>
      </c>
      <c r="Z216" s="204">
        <f>RIGHT(H216,LEN(H216)-4)/10000</f>
        <v>1.54E-2</v>
      </c>
      <c r="AA216" s="204">
        <f>ABS(Z216-Y216)</f>
        <v>2.3435000000000001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306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s3://rtdc.mdm.uploadarchive.raw/RTDC4019/ "%USERPROFILE%\AppData\Local\Temp\OnboardLogs"\RTDC4019\2017-10-16 --exclude "*" --recursive --include "*20171016*" &amp; "%USERPROFILE%\Documents\GitHub\mrs-test-scripts\Headless Mode &amp; Sideloading\WalkAndUnGZ.bat" "%USERPROFILE%\AppData\Local\Temp\OnboardLogs"\RTDC4019\2017-10-16 &amp; aws s3 cp s3://rtdc.mdm.uploadarchive.raw/RTDC4019/ "%USERPROFILE%\AppData\Local\Temp\OnboardLogs"\RTDC4019\2017-10-17 --exclude "*" --recursive --include "*20171017*" &amp; "%USERPROFILE%\Documents\GitHub\mrs-test-scripts\Headless Mode &amp; Sideloading\WalkAndUnGZ.bat" "%USERPROFILE%\AppData\Local\Temp\OnboardLogs"\RTDC4019\2017-10-17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/stypes="app*4019*20171016*"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32"/>
        <v>"%USERPROFILE%\Documents\GitHub\eaglep3\Utilities\RefineRTDCRunTimes.py" --tripid 306-16 --locoid 4019 --swversion DE.1.0.9.0 --startMP 300:23589 --initTime 2017-10-16T04:02:39 --startdatetime 2017-10-16T04:08:12 --delay 57 --endMP 204:154 --enddatetime 2017-10-16T04:18:35 --enforcementcount 0 &gt;&gt;%USERPROFILE%\Documents\GitHub\eaglep3-reporting\EC\2017-10-16-refined-times.txt</v>
      </c>
      <c r="AI216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{"issue":{"subject":"","project_id":79,"tracker_id":40,"status_id":1,"priority_id":2,"assigned_to_id":338,"start_date":"2017-10-16","description":"","custom_fields":[{"id":1,"name":"Subdivision","value":"Other"},{"id":4,"name":"Milepost","value":"0.0154"},{"id":17,"name":"Train ID","value":"306-16"},{"id":16,"name":"Locomotive ID","value":"4019"},{"id":130,"name":"Impact","value":""},{"id":150,"name":"Time of Event (Mountain Time)","value":"04:18:35"},{"id":151,"name":"Denver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34"/>
        <v>start /low /b %USERPROFILE%\Documents\GitHub\eaglep3\Utilities\DownloadLogsFromS3.py --loco 4019 --day 2017-10-16</v>
      </c>
      <c r="AN216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36"/>
        <v>https://d0f6bd738d7f1b3e5a7ca70fe4ff75f0.us-east-1.aws.found.io/app/kibana#/discover/Steve-Slow-Train-Analysis-(2080s-and-2083s)?_g=(refreshInterval:(display:Off,pause:!f,section:0,value:0),time:(from:'2017-10-16T03:02:39-0600',mode:absolute,to:'2017-10-16T05:18:35-0600'))&amp;_a=(columns:!('Message%20ID',Summary),filters:!(),index:'emp_*',interval:auto,query:(query_string:(analyze_wildcard:!t,query:'%22rtdc.l.rtdc.4019%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833</v>
      </c>
      <c r="B217" s="7">
        <v>4030</v>
      </c>
      <c r="C217" s="21" t="s">
        <v>194</v>
      </c>
      <c r="D217" s="21" t="s">
        <v>375</v>
      </c>
      <c r="E217" s="13">
        <v>43025.046712962961</v>
      </c>
      <c r="F217" s="13">
        <v>43025.049085648148</v>
      </c>
      <c r="G217" s="7">
        <v>69</v>
      </c>
      <c r="H217" s="21" t="s">
        <v>906</v>
      </c>
      <c r="I217" s="13">
        <v>43025.058287037034</v>
      </c>
      <c r="J217" s="7">
        <v>0</v>
      </c>
      <c r="K217" s="89" t="str">
        <f>IF(ISEVEN(B217),(B217-1)&amp;"/"&amp;B217,B217&amp;"/"&amp;(B217+1))</f>
        <v>4029/4030</v>
      </c>
      <c r="L217" s="185" t="str">
        <f>VLOOKUP(A217,'Trips&amp;Operators'!$C$1:$G$99911,5,FALSE)</f>
        <v>LOZA FIDEL</v>
      </c>
      <c r="M217" s="6">
        <f>I217-F217</f>
        <v>9.2013888861401938E-3</v>
      </c>
      <c r="N217" s="7">
        <f>24*60*SUM($M217:$M217)</f>
        <v>13.249999996041879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-17T00:07:16-0600',mode:absolute,to:'2017-10-17T02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4.6600000000000003E-2</v>
      </c>
      <c r="Z217" s="204">
        <f>RIGHT(H217,LEN(H217)-4)/10000</f>
        <v>2.3308</v>
      </c>
      <c r="AA217" s="204">
        <f>ABS(Z217-Y217)</f>
        <v>2.2841999999999998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307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s3://rtdc.mdm.uploadarchive.raw/RTDC4030/ "%USERPROFILE%\AppData\Local\Temp\OnboardLogs"\RTDC4030\2017-10-17 --exclude "*" --recursive --include "*20171017*" &amp; "%USERPROFILE%\Documents\GitHub\mrs-test-scripts\Headless Mode &amp; Sideloading\WalkAndUnGZ.bat" "%USERPROFILE%\AppData\Local\Temp\OnboardLogs"\RTDC4030\2017-10-17 &amp; aws s3 cp s3://rtdc.mdm.uploadarchive.raw/RTDC4030/ "%USERPROFILE%\AppData\Local\Temp\OnboardLogs"\RTDC4030\2017-10-18 --exclude "*" --recursive --include "*20171018*" &amp; "%USERPROFILE%\Documents\GitHub\mrs-test-scripts\Headless Mode &amp; Sideloading\WalkAndUnGZ.bat" "%USERPROFILE%\AppData\Local\Temp\OnboardLogs"\RTDC4030\2017-10-18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/stypes="app*4030*20171017*" /stext=" 07:.+((SYSTEM_STATE.+slice.+state.+changed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32"/>
        <v>"%USERPROFILE%\Documents\GitHub\eaglep3\Utilities\RefineRTDCRunTimes.py" --tripid 307-16 --locoid 4030 --swversion DE.1.0.9.0 --startMP 204:466 --initTime 2017-10-17T01:07:16 --startdatetime 2017-10-17T01:10:41 --delay 69 --endMP 300:23308 --enddatetime 2017-10-17T01:23:56 --enforcementcount 0 &gt;&gt;%USERPROFILE%\Documents\GitHub\eaglep3-reporting\EC\2017-10-16-refined-times.txt</v>
      </c>
      <c r="AI217" s="96" t="str">
        <f t="shared" si="33"/>
        <v>echo {"issue":{"subject":"","project_id":79,"tracker_id":40,"status_id":1,"priority_id":2,"assigned_to_id":338,"start_date":"2017-10-17","description":"","custom_fields":[{"id":1,"name":"Subdivision","value":"Other"},{"id":4,"name":"Milepost","value":"2.3308"},{"id":17,"name":"Train ID","value":"307-16"},{"id":16,"name":"Locomotive ID","value":"4030"},{"id":130,"name":"Impact","value":""},{"id":150,"name":"Time of Event (Mountain Time)","value":"01:23:56"},{"id":151,"name":"Denver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34"/>
        <v>start /low /b %USERPROFILE%\Documents\GitHub\eaglep3\Utilities\DownloadLogsFromS3.py --loco 4030 --day 2017-10-17</v>
      </c>
      <c r="AN217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07:23:56"},{"id":29,"name":"Sharepoint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36"/>
        <v>https://d0f6bd738d7f1b3e5a7ca70fe4ff75f0.us-east-1.aws.found.io/app/kibana#/discover/Steve-Slow-Train-Analysis-(2080s-and-2083s)?_g=(refreshInterval:(display:Off,pause:!f,section:0,value:0),time:(from:'2017-10-17T00:07:16-0600',mode:absolute,to:'2017-10-17T02:23:56-0600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625</v>
      </c>
      <c r="B218" s="7">
        <v>4059</v>
      </c>
      <c r="C218" s="21" t="s">
        <v>194</v>
      </c>
      <c r="D218" s="21" t="s">
        <v>907</v>
      </c>
      <c r="E218" s="13">
        <v>43024.181006944447</v>
      </c>
      <c r="F218" s="13">
        <v>43024.185127314813</v>
      </c>
      <c r="G218" s="7">
        <v>56</v>
      </c>
      <c r="H218" s="21" t="s">
        <v>336</v>
      </c>
      <c r="I218" s="13">
        <v>43024.19054398148</v>
      </c>
      <c r="J218" s="7">
        <v>0</v>
      </c>
      <c r="K218" s="89" t="str">
        <f>IF(ISEVEN(B218),(B218-1)&amp;"/"&amp;B218,B218&amp;"/"&amp;(B218+1))</f>
        <v>4059/4060</v>
      </c>
      <c r="L218" s="185" t="str">
        <f>VLOOKUP(A218,'Trips&amp;Operators'!$C$1:$G$99911,5,FALSE)</f>
        <v>MAELZER KURT</v>
      </c>
      <c r="M218" s="6">
        <f>I218-F218</f>
        <v>5.4166666668606922E-3</v>
      </c>
      <c r="N218" s="7">
        <f>24*60*SUM($M218:$M218)</f>
        <v>7.8000000002793968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-16T03:20:39-0600',mode:absolute,to:'2017-10-16T05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1.9850000000000001</v>
      </c>
      <c r="Z218" s="204">
        <f>RIGHT(H218,LEN(H218)-4)/10000</f>
        <v>1.49E-2</v>
      </c>
      <c r="AA218" s="204">
        <f>ABS(Z218-Y218)</f>
        <v>1.9701000000000002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308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s3://rtdc.mdm.uploadarchive.raw/RTDC4059/ "%USERPROFILE%\AppData\Local\Temp\OnboardLogs"\RTDC4059\2017-10-16 --exclude "*" --recursive --include "*20171016*" &amp; "%USERPROFILE%\Documents\GitHub\mrs-test-scripts\Headless Mode &amp; Sideloading\WalkAndUnGZ.bat" "%USERPROFILE%\AppData\Local\Temp\OnboardLogs"\RTDC4059\2017-10-16 &amp; 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/stypes="app*4059*20171016*" /stext=" 10:.+((SYSTEM_STATE.+slice.+state.+changed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32"/>
        <v>"%USERPROFILE%\Documents\GitHub\eaglep3\Utilities\RefineRTDCRunTimes.py" --tripid 308-16 --locoid 4059 --swversion DE.1.0.9.0 --startMP 300:19850 --initTime 2017-10-16T04:20:39 --startdatetime 2017-10-16T04:26:35 --delay 56 --endMP 204:149 --enddatetime 2017-10-16T04:34:23 --enforcementcount 0 &gt;&gt;%USERPROFILE%\Documents\GitHub\eaglep3-reporting\EC\2017-10-16-refined-times.txt</v>
      </c>
      <c r="AI218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{"issue":{"subject":"","project_id":79,"tracker_id":40,"status_id":1,"priority_id":2,"assigned_to_id":338,"start_date":"2017-10-16","description":"","custom_fields":[{"id":1,"name":"Subdivision","value":"Other"},{"id":4,"name":"Milepost","value":"0.0149"},{"id":17,"name":"Train ID","value":"308-16"},{"id":16,"name":"Locomotive ID","value":"4059"},{"id":130,"name":"Impact","value":""},{"id":150,"name":"Time of Event (Mountain Time)","value":"04:34:23"},{"id":151,"name":"Denver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34"/>
        <v>start /low /b %USERPROFILE%\Documents\GitHub\eaglep3\Utilities\DownloadLogsFromS3.py --loco 4059 --day 2017-10-16</v>
      </c>
      <c r="AN218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36"/>
        <v>https://d0f6bd738d7f1b3e5a7ca70fe4ff75f0.us-east-1.aws.found.io/app/kibana#/discover/Steve-Slow-Train-Analysis-(2080s-and-2083s)?_g=(refreshInterval:(display:Off,pause:!f,section:0,value:0),time:(from:'2017-10-16T03:20:39-0600',mode:absolute,to:'2017-10-16T05:34:23-0600'))&amp;_a=(columns:!('Message%20ID',Summary),filters:!(),index:'emp_*',interval:auto,query:(query_string:(analyze_wildcard:!t,query:'%22rtdc.l.rtdc.4059%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835</v>
      </c>
      <c r="B219" s="7">
        <v>4026</v>
      </c>
      <c r="C219" s="21" t="s">
        <v>194</v>
      </c>
      <c r="D219" s="21" t="s">
        <v>508</v>
      </c>
      <c r="E219" s="13">
        <v>43025.067858796298</v>
      </c>
      <c r="F219" s="13">
        <v>43025.069027777776</v>
      </c>
      <c r="G219" s="7">
        <v>54</v>
      </c>
      <c r="H219" s="21" t="s">
        <v>574</v>
      </c>
      <c r="I219" s="13">
        <v>43025.076435185183</v>
      </c>
      <c r="J219" s="7">
        <v>0</v>
      </c>
      <c r="K219" s="89" t="str">
        <f>IF(ISEVEN(B219),(B219-1)&amp;"/"&amp;B219,B219&amp;"/"&amp;(B219+1))</f>
        <v>4025/4026</v>
      </c>
      <c r="L219" s="185" t="str">
        <f>VLOOKUP(A219,'Trips&amp;Operators'!$C$1:$G$99911,5,FALSE)</f>
        <v>DUNCAN SHEILA</v>
      </c>
      <c r="M219" s="6">
        <f>I219-F219</f>
        <v>7.4074074072996154E-3</v>
      </c>
      <c r="N219" s="7">
        <f>24*60*SUM($M219:$M219)</f>
        <v>10.666666666511446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-17T00:37:43-0600',mode:absolute,to:'2017-10-17T02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4.82E-2</v>
      </c>
      <c r="Z219" s="204">
        <f>RIGHT(H219,LEN(H219)-4)/10000</f>
        <v>2.3306</v>
      </c>
      <c r="AA219" s="204">
        <f>ABS(Z219-Y219)</f>
        <v>2.2824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309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 &amp; aws s3 cp s3://rtdc.mdm.uploadarchive.raw/RTDC4026/ "%USERPROFILE%\AppData\Local\Temp\OnboardLogs"\RTDC4026\2017-10-18 --exclude "*" --recursive --include "*20171018*" &amp; "%USERPROFILE%\Documents\GitHub\mrs-test-scripts\Headless Mode &amp; Sideloading\WalkAndUnGZ.bat" "%USERPROFILE%\AppData\Local\Temp\OnboardLogs"\RTDC4026\2017-10-18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/stypes="app*4026*20171017*" /stext=" 07:.+((SYSTEM_STATE.+slice.+state.+changed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32"/>
        <v>"%USERPROFILE%\Documents\GitHub\eaglep3\Utilities\RefineRTDCRunTimes.py" --tripid 309-16 --locoid 4026 --swversion DE.1.0.9.0 --startMP 204:482 --initTime 2017-10-17T01:37:43 --startdatetime 2017-10-17T01:39:24 --delay 54 --endMP 300:23306 --enddatetime 2017-10-17T01:50:04 --enforcementcount 0 &gt;&gt;%USERPROFILE%\Documents\GitHub\eaglep3-reporting\EC\2017-10-16-refined-times.txt</v>
      </c>
      <c r="AI219" s="96" t="str">
        <f t="shared" si="33"/>
        <v>echo {"issue":{"subject":"","project_id":79,"tracker_id":40,"status_id":1,"priority_id":2,"assigned_to_id":338,"start_date":"2017-10-17","description":"","custom_fields":[{"id":1,"name":"Subdivision","value":"Other"},{"id":4,"name":"Milepost","value":"2.3306"},{"id":17,"name":"Train ID","value":"309-16"},{"id":16,"name":"Locomotive ID","value":"4026"},{"id":130,"name":"Impact","value":""},{"id":150,"name":"Time of Event (Mountain Time)","value":"01:50:04"},{"id":151,"name":"Denver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34"/>
        <v>start /low /b %USERPROFILE%\Documents\GitHub\eaglep3\Utilities\DownloadLogsFromS3.py --loco 4026 --day 2017-10-17</v>
      </c>
      <c r="AN219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07:50:04"},{"id":29,"name":"Sharepoint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36"/>
        <v>https://d0f6bd738d7f1b3e5a7ca70fe4ff75f0.us-east-1.aws.found.io/app/kibana#/discover/Steve-Slow-Train-Analysis-(2080s-and-2083s)?_g=(refreshInterval:(display:Off,pause:!f,section:0,value:0),time:(from:'2017-10-17T00:37:43-0600',mode:absolute,to:'2017-10-17T02:50:04-0600'))&amp;_a=(columns:!('Message%20ID',Summary),filters:!(),index:'emp_*',interval:auto,query:(query_string:(analyze_wildcard:!t,query:'%22rtdc.l.rtdc.4026%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629</v>
      </c>
      <c r="B220" s="7">
        <v>4009</v>
      </c>
      <c r="C220" s="21" t="s">
        <v>194</v>
      </c>
      <c r="D220" s="21" t="s">
        <v>908</v>
      </c>
      <c r="E220" s="13">
        <v>43024.197337962964</v>
      </c>
      <c r="F220" s="13">
        <v>43024.200381944444</v>
      </c>
      <c r="G220" s="7">
        <v>81</v>
      </c>
      <c r="H220" s="21" t="s">
        <v>356</v>
      </c>
      <c r="I220" s="13">
        <v>43024.206493055557</v>
      </c>
      <c r="J220" s="7">
        <v>0</v>
      </c>
      <c r="K220" s="89" t="str">
        <f>IF(ISEVEN(B220),(B220-1)&amp;"/"&amp;B220,B220&amp;"/"&amp;(B220+1))</f>
        <v>4009/4010</v>
      </c>
      <c r="L220" s="185" t="str">
        <f>VLOOKUP(A220,'Trips&amp;Operators'!$C$1:$G$99911,5,FALSE)</f>
        <v>YANG JAN</v>
      </c>
      <c r="M220" s="6">
        <f>I220-F220</f>
        <v>6.1111111135687679E-3</v>
      </c>
      <c r="N220" s="7">
        <f>24*60*SUM($M220:$M220)</f>
        <v>8.8000000035390258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-16T03:44:10-0600',mode:absolute,to:'2017-10-16T05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2.3483000000000001</v>
      </c>
      <c r="Z220" s="204">
        <f>RIGHT(H220,LEN(H220)-4)/10000</f>
        <v>1.4500000000000001E-2</v>
      </c>
      <c r="AA220" s="204">
        <f>ABS(Z220-Y220)</f>
        <v>2.3338000000000001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310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s3://rtdc.mdm.uploadarchive.raw/RTDC4009/ "%USERPROFILE%\AppData\Local\Temp\OnboardLogs"\RTDC4009\2017-10-16 --exclude "*" --recursive --include "*20171016*" &amp; "%USERPROFILE%\Documents\GitHub\mrs-test-scripts\Headless Mode &amp; Sideloading\WalkAndUnGZ.bat" "%USERPROFILE%\AppData\Local\Temp\OnboardLogs"\RTDC4009\2017-10-16 &amp; 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/stypes="app*4009*20171016*" /stext=" 10:.+((SYSTEM_STATE.+slice.+state.+changed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32"/>
        <v>"%USERPROFILE%\Documents\GitHub\eaglep3\Utilities\RefineRTDCRunTimes.py" --tripid 310-16 --locoid 4009 --swversion DE.1.0.9.0 --startMP 300:23483 --initTime 2017-10-16T04:44:10 --startdatetime 2017-10-16T04:48:33 --delay 81 --endMP 204:145 --enddatetime 2017-10-16T04:57:21 --enforcementcount 0 &gt;&gt;%USERPROFILE%\Documents\GitHub\eaglep3-reporting\EC\2017-10-16-refined-times.txt</v>
      </c>
      <c r="AI220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{"issue":{"subject":"","project_id":79,"tracker_id":40,"status_id":1,"priority_id":2,"assigned_to_id":338,"start_date":"2017-10-16","description":"","custom_fields":[{"id":1,"name":"Subdivision","value":"Other"},{"id":4,"name":"Milepost","value":"0.0145"},{"id":17,"name":"Train ID","value":"310-16"},{"id":16,"name":"Locomotive ID","value":"4009"},{"id":130,"name":"Impact","value":""},{"id":150,"name":"Time of Event (Mountain Time)","value":"04:57:21"},{"id":151,"name":"Denver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34"/>
        <v>start /low /b %USERPROFILE%\Documents\GitHub\eaglep3\Utilities\DownloadLogsFromS3.py --loco 4009 --day 2017-10-16</v>
      </c>
      <c r="AN220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10:57:21"},{"id":29,"name":"Sharepoint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36"/>
        <v>https://d0f6bd738d7f1b3e5a7ca70fe4ff75f0.us-east-1.aws.found.io/app/kibana#/discover/Steve-Slow-Train-Analysis-(2080s-and-2083s)?_g=(refreshInterval:(display:Off,pause:!f,section:0,value:0),time:(from:'2017-10-16T03:44:10-0600',mode:absolute,to:'2017-10-16T05:57:21-0600'))&amp;_a=(columns:!('Message%20ID',Summary),filters:!(),index:'emp_*',interval:auto,query:(query_string:(analyze_wildcard:!t,query:'%22rtdc.l.rtdc.4009%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836</v>
      </c>
      <c r="B221" s="7">
        <v>4020</v>
      </c>
      <c r="C221" s="21" t="s">
        <v>194</v>
      </c>
      <c r="D221" s="21" t="s">
        <v>375</v>
      </c>
      <c r="E221" s="13">
        <v>43025.089814814812</v>
      </c>
      <c r="F221" s="13">
        <v>43025.092662037037</v>
      </c>
      <c r="G221" s="7">
        <v>143</v>
      </c>
      <c r="H221" s="21" t="s">
        <v>575</v>
      </c>
      <c r="I221" s="13">
        <v>43025.103391203702</v>
      </c>
      <c r="J221" s="7">
        <v>0</v>
      </c>
      <c r="K221" s="89" t="str">
        <f>IF(ISEVEN(B221),(B221-1)&amp;"/"&amp;B221,B221&amp;"/"&amp;(B221+1))</f>
        <v>4019/4020</v>
      </c>
      <c r="L221" s="185" t="str">
        <f>VLOOKUP(A221,'Trips&amp;Operators'!$C$1:$G$99911,5,FALSE)</f>
        <v>WILLIAMS DONTE</v>
      </c>
      <c r="M221" s="6">
        <f>I221-F221</f>
        <v>1.0729166664532386E-2</v>
      </c>
      <c r="N221" s="7">
        <f>24*60*SUM($M221:$M221)</f>
        <v>15.449999996926636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-17T01:09:20-0600',mode:absolute,to:'2017-10-17T03:28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4.6600000000000003E-2</v>
      </c>
      <c r="Z221" s="204">
        <f>RIGHT(H221,LEN(H221)-4)/10000</f>
        <v>2.3300999999999998</v>
      </c>
      <c r="AA221" s="204">
        <f>ABS(Z221-Y221)</f>
        <v>2.2834999999999996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311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 &amp; aws s3 cp s3://rtdc.mdm.uploadarchive.raw/RTDC4020/ "%USERPROFILE%\AppData\Local\Temp\OnboardLogs"\RTDC4020\2017-10-18 --exclude "*" --recursive --include "*20171018*" &amp; "%USERPROFILE%\Documents\GitHub\mrs-test-scripts\Headless Mode &amp; Sideloading\WalkAndUnGZ.bat" "%USERPROFILE%\AppData\Local\Temp\OnboardLogs"\RTDC4020\2017-10-18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/stypes="app*4020*20171017*" /stext=" 08:.+((SYSTEM_STATE.+slice.+state.+changed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32"/>
        <v>"%USERPROFILE%\Documents\GitHub\eaglep3\Utilities\RefineRTDCRunTimes.py" --tripid 311-16 --locoid 4020 --swversion DE.1.0.9.0 --startMP 204:466 --initTime 2017-10-17T02:09:20 --startdatetime 2017-10-17T02:13:26 --delay 143 --endMP 300:23301 --enddatetime 2017-10-17T02:28:53 --enforcementcount 0 &gt;&gt;%USERPROFILE%\Documents\GitHub\eaglep3-reporting\EC\2017-10-16-refined-times.txt</v>
      </c>
      <c r="AI221" s="96" t="str">
        <f t="shared" si="33"/>
        <v>echo {"issue":{"subject":"","project_id":79,"tracker_id":40,"status_id":1,"priority_id":2,"assigned_to_id":338,"start_date":"2017-10-17","description":"","custom_fields":[{"id":1,"name":"Subdivision","value":"Other"},{"id":4,"name":"Milepost","value":"2.3301"},{"id":17,"name":"Train ID","value":"311-16"},{"id":16,"name":"Locomotive ID","value":"4020"},{"id":130,"name":"Impact","value":""},{"id":150,"name":"Time of Event (Mountain Time)","value":"02:28:53"},{"id":151,"name":"Denver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34"/>
        <v>start /low /b %USERPROFILE%\Documents\GitHub\eaglep3\Utilities\DownloadLogsFromS3.py --loco 4020 --day 2017-10-17</v>
      </c>
      <c r="AN221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08:28:53"},{"id":29,"name":"Sharepoint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36"/>
        <v>https://d0f6bd738d7f1b3e5a7ca70fe4ff75f0.us-east-1.aws.found.io/app/kibana#/discover/Steve-Slow-Train-Analysis-(2080s-and-2083s)?_g=(refreshInterval:(display:Off,pause:!f,section:0,value:0),time:(from:'2017-10-17T01:09:20-0600',mode:absolute,to:'2017-10-17T03:28:53-0600'))&amp;_a=(columns:!('Message%20ID',Summary),filters:!(),index:'emp_*',interval:auto,query:(query_string:(analyze_wildcard:!t,query:'%22rtdc.l.rtdc.4020%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639</v>
      </c>
      <c r="B222" s="7">
        <v>4023</v>
      </c>
      <c r="C222" s="21" t="s">
        <v>194</v>
      </c>
      <c r="D222" s="21" t="s">
        <v>909</v>
      </c>
      <c r="E222" s="13">
        <v>43024.221284722225</v>
      </c>
      <c r="F222" s="13">
        <v>43024.225740740738</v>
      </c>
      <c r="G222" s="7">
        <v>67</v>
      </c>
      <c r="H222" s="21" t="s">
        <v>417</v>
      </c>
      <c r="I222" s="13">
        <v>43024.232094907406</v>
      </c>
      <c r="J222" s="7">
        <v>0</v>
      </c>
      <c r="K222" s="89" t="str">
        <f>IF(ISEVEN(B222),(B222-1)&amp;"/"&amp;B222,B222&amp;"/"&amp;(B222+1))</f>
        <v>4023/4024</v>
      </c>
      <c r="L222" s="185" t="str">
        <f>VLOOKUP(A222,'Trips&amp;Operators'!$C$1:$G$99911,5,FALSE)</f>
        <v>LAMAR NEKESHA</v>
      </c>
      <c r="M222" s="6">
        <f>I222-F222</f>
        <v>6.3541666677338071E-3</v>
      </c>
      <c r="N222" s="7">
        <f>24*60*SUM($M222:$M222)</f>
        <v>9.1500000015366822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-16T04:18:39-0600',mode:absolute,to:'2017-10-16T06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2.3170999999999999</v>
      </c>
      <c r="Z222" s="204">
        <f>RIGHT(H222,LEN(H222)-4)/10000</f>
        <v>1.6299999999999999E-2</v>
      </c>
      <c r="AA222" s="204">
        <f>ABS(Z222-Y222)</f>
        <v>2.3007999999999997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312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s3://rtdc.mdm.uploadarchive.raw/RTDC4023/ "%USERPROFILE%\AppData\Local\Temp\OnboardLogs"\RTDC4023\2017-10-16 --exclude "*" --recursive --include "*20171016*" &amp; "%USERPROFILE%\Documents\GitHub\mrs-test-scripts\Headless Mode &amp; Sideloading\WalkAndUnGZ.bat" "%USERPROFILE%\AppData\Local\Temp\OnboardLogs"\RTDC4023\2017-10-16 &amp; 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/stypes="app*4023*20171016*"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32"/>
        <v>"%USERPROFILE%\Documents\GitHub\eaglep3\Utilities\RefineRTDCRunTimes.py" --tripid 312-16 --locoid 4023 --swversion DE.1.0.9.0 --startMP 300:23171 --initTime 2017-10-16T05:18:39 --startdatetime 2017-10-16T05:25:04 --delay 67 --endMP 204:163 --enddatetime 2017-10-16T05:34:13 --enforcementcount 0 &gt;&gt;%USERPROFILE%\Documents\GitHub\eaglep3-reporting\EC\2017-10-16-refined-times.txt</v>
      </c>
      <c r="AI222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{"issue":{"subject":"","project_id":79,"tracker_id":40,"status_id":1,"priority_id":2,"assigned_to_id":338,"start_date":"2017-10-16","description":"","custom_fields":[{"id":1,"name":"Subdivision","value":"Other"},{"id":4,"name":"Milepost","value":"0.0163"},{"id":17,"name":"Train ID","value":"312-16"},{"id":16,"name":"Locomotive ID","value":"4023"},{"id":130,"name":"Impact","value":""},{"id":150,"name":"Time of Event (Mountain Time)","value":"05:34:13"},{"id":151,"name":"Denver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34"/>
        <v>start /low /b %USERPROFILE%\Documents\GitHub\eaglep3\Utilities\DownloadLogsFromS3.py --loco 4023 --day 2017-10-16</v>
      </c>
      <c r="AN222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36"/>
        <v>https://d0f6bd738d7f1b3e5a7ca70fe4ff75f0.us-east-1.aws.found.io/app/kibana#/discover/Steve-Slow-Train-Analysis-(2080s-and-2083s)?_g=(refreshInterval:(display:Off,pause:!f,section:0,value:0),time:(from:'2017-10-16T04:18:39-0600',mode:absolute,to:'2017-10-16T06:34:13-0600'))&amp;_a=(columns:!('Message%20ID',Summary),filters:!(),index:'emp_*',interval:auto,query:(query_string:(analyze_wildcard:!t,query:'%22rtdc.l.rtdc.4023%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831</v>
      </c>
      <c r="B223" s="7">
        <v>4018</v>
      </c>
      <c r="C223" s="21" t="s">
        <v>194</v>
      </c>
      <c r="D223" s="21" t="s">
        <v>370</v>
      </c>
      <c r="E223" s="13">
        <v>43025.024317129632</v>
      </c>
      <c r="F223" s="13">
        <v>43025.02616898148</v>
      </c>
      <c r="G223" s="7">
        <v>73</v>
      </c>
      <c r="H223" s="21" t="s">
        <v>910</v>
      </c>
      <c r="I223" s="13">
        <v>43025.035578703704</v>
      </c>
      <c r="J223" s="7">
        <v>0</v>
      </c>
      <c r="K223" s="89" t="str">
        <f>IF(ISEVEN(B223),(B223-1)&amp;"/"&amp;B223,B223&amp;"/"&amp;(B223+1))</f>
        <v>4017/4018</v>
      </c>
      <c r="L223" s="185" t="str">
        <f>VLOOKUP(A223,'Trips&amp;Operators'!$C$1:$G$99911,5,FALSE)</f>
        <v>ELBAUM MIKE</v>
      </c>
      <c r="M223" s="6">
        <f>I223-F223</f>
        <v>9.4097222245181911E-3</v>
      </c>
      <c r="N223" s="7">
        <f>24*60*SUM($M223:$M223)</f>
        <v>13.550000003306195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-16T23:35:01-0600',mode:absolute,to:'2017-10-17T01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4.5100000000000001E-2</v>
      </c>
      <c r="Z223" s="204">
        <f>RIGHT(H223,LEN(H223)-4)/10000</f>
        <v>2.3294999999999999</v>
      </c>
      <c r="AA223" s="204">
        <f>ABS(Z223-Y223)</f>
        <v>2.2843999999999998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313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 &amp; aws s3 cp s3://rtdc.mdm.uploadarchive.raw/RTDC4018/ "%USERPROFILE%\AppData\Local\Temp\OnboardLogs"\RTDC4018\2017-10-18 --exclude "*" --recursive --include "*20171018*" &amp; "%USERPROFILE%\Documents\GitHub\mrs-test-scripts\Headless Mode &amp; Sideloading\WalkAndUnGZ.bat" "%USERPROFILE%\AppData\Local\Temp\OnboardLogs"\RTDC4018\2017-10-18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/stypes="app*4018*20171017*" /stext=" 06:.+((SYSTEM_STATE.+slice.+state.+changed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32"/>
        <v>"%USERPROFILE%\Documents\GitHub\eaglep3\Utilities\RefineRTDCRunTimes.py" --tripid 313-16 --locoid 4018 --swversion DE.1.0.9.0 --startMP 204:451 --initTime 2017-10-17T00:35:01 --startdatetime 2017-10-17T00:37:41 --delay 73 --endMP 300:23295 --enddatetime 2017-10-17T00:51:14 --enforcementcount 0 &gt;&gt;%USERPROFILE%\Documents\GitHub\eaglep3-reporting\EC\2017-10-16-refined-times.txt</v>
      </c>
      <c r="AI223" s="96" t="str">
        <f t="shared" si="33"/>
        <v>echo {"issue":{"subject":"","project_id":79,"tracker_id":40,"status_id":1,"priority_id":2,"assigned_to_id":338,"start_date":"2017-10-17","description":"","custom_fields":[{"id":1,"name":"Subdivision","value":"Other"},{"id":4,"name":"Milepost","value":"2.3295"},{"id":17,"name":"Train ID","value":"313-16"},{"id":16,"name":"Locomotive ID","value":"4018"},{"id":130,"name":"Impact","value":""},{"id":150,"name":"Time of Event (Mountain Time)","value":"00:51:14"},{"id":151,"name":"Denver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34"/>
        <v>start /low /b %USERPROFILE%\Documents\GitHub\eaglep3\Utilities\DownloadLogsFromS3.py --loco 4018 --day 2017-10-17</v>
      </c>
      <c r="AN223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36"/>
        <v>https://d0f6bd738d7f1b3e5a7ca70fe4ff75f0.us-east-1.aws.found.io/app/kibana#/discover/Steve-Slow-Train-Analysis-(2080s-and-2083s)?_g=(refreshInterval:(display:Off,pause:!f,section:0,value:0),time:(from:'2017-10-16T23:35:01-0600',mode:absolute,to:'2017-10-17T01:51:14-0600'))&amp;_a=(columns:!('Message%20ID',Summary),filters:!(),index:'emp_*',interval:auto,query:(query_string:(analyze_wildcard:!t,query:'%22rtdc.l.rtdc.4018%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579</v>
      </c>
      <c r="B224" s="7">
        <v>4046</v>
      </c>
      <c r="C224" s="21" t="s">
        <v>194</v>
      </c>
      <c r="D224" s="21" t="s">
        <v>1000</v>
      </c>
      <c r="E224" s="13">
        <v>43024.199641203704</v>
      </c>
      <c r="F224" s="13">
        <v>43024.20380787037</v>
      </c>
      <c r="G224" s="7">
        <v>140</v>
      </c>
      <c r="H224" s="21" t="s">
        <v>1001</v>
      </c>
      <c r="I224" s="13">
        <v>43024.208981481483</v>
      </c>
      <c r="J224" s="7">
        <v>0</v>
      </c>
      <c r="K224" s="89" t="str">
        <f>IF(ISEVEN(B224),(B224-1)&amp;"/"&amp;B224,B224&amp;"/"&amp;(B224+1))</f>
        <v>4045/4046</v>
      </c>
      <c r="L224" s="185" t="str">
        <f>VLOOKUP(A224,'Trips&amp;Operators'!$C$1:$G$99911,5,FALSE)</f>
        <v>MACDONALD THOMAS</v>
      </c>
      <c r="M224" s="6">
        <f>I224-F224</f>
        <v>5.173611112695653E-3</v>
      </c>
      <c r="N224" s="7">
        <f>24*60*SUM($M224:$M224)</f>
        <v>7.4500000022817403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-16T03:47:29-0600',mode:absolute,to:'2017-10-16T06:00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588</v>
      </c>
      <c r="Y224" s="204">
        <f>RIGHT(D224,LEN(D224)-4)/10000</f>
        <v>2.9702999999999999</v>
      </c>
      <c r="Z224" s="204">
        <f>RIGHT(H224,LEN(H224)-4)/10000</f>
        <v>5.8906999999999998</v>
      </c>
      <c r="AA224" s="204">
        <f>ABS(Z224-Y224)</f>
        <v>2.9203999999999999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901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/stypes="app*4046*20171016*" /stext=" 11:.+((SYSTEM_STATE.+slice.+state.+changed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32"/>
        <v>"%USERPROFILE%\Documents\GitHub\eaglep3\Utilities\RefineRTDCRunTimes.py" --tripid 901-16 --locoid 4046 --swversion DE.1.0.9.0 --startMP 300:29703 --initTime 2017-10-16T04:47:29 --startdatetime 2017-10-16T04:53:29 --delay 140 --endMP 300:58907 --enddatetime 2017-10-16T05:00:56 --enforcementcount 0 &gt;&gt;%USERPROFILE%\Documents\GitHub\eaglep3-reporting\EC\2017-10-16-refined-times.txt</v>
      </c>
      <c r="AI224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{"issue":{"subject":"","project_id":79,"tracker_id":40,"status_id":1,"priority_id":2,"assigned_to_id":338,"start_date":"2017-10-16","description":"","custom_fields":[{"id":1,"name":"Subdivision","value":"Other"},{"id":4,"name":"Milepost","value":"5.8907"},{"id":17,"name":"Train ID","value":"901-16"},{"id":16,"name":"Locomotive ID","value":"4046"},{"id":130,"name":"Impact","value":""},{"id":150,"name":"Time of Event (Mountain Time)","value":"05:00:56"},{"id":151,"name":"Denver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34"/>
        <v>start /low /b %USERPROFILE%\Documents\GitHub\eaglep3\Utilities\DownloadLogsFromS3.py --loco 4046 --day 2017-10-16</v>
      </c>
      <c r="AN224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11:00:56"},{"id":29,"name":"Sharepoint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36"/>
        <v>https://d0f6bd738d7f1b3e5a7ca70fe4ff75f0.us-east-1.aws.found.io/app/kibana#/discover/Steve-Slow-Train-Analysis-(2080s-and-2083s)?_g=(refreshInterval:(display:Off,pause:!f,section:0,value:0),time:(from:'2017-10-16T03:47:29-0600',mode:absolute,to:'2017-10-16T06:00:56-0600'))&amp;_a=(columns:!('Message%20ID',Summary),filters:!(),index:'emp_*',interval:auto,query:(query_string:(analyze_wildcard:!t,query:'%22rtdc.l.rtdc.4046%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645</v>
      </c>
      <c r="B225" s="7">
        <v>4049</v>
      </c>
      <c r="C225" s="21" t="s">
        <v>194</v>
      </c>
      <c r="D225" s="21" t="s">
        <v>1002</v>
      </c>
      <c r="E225" s="13">
        <v>43024.234456018516</v>
      </c>
      <c r="F225" s="13">
        <v>43024.241111111114</v>
      </c>
      <c r="G225" s="7">
        <v>58</v>
      </c>
      <c r="H225" s="21" t="s">
        <v>949</v>
      </c>
      <c r="I225" s="13">
        <v>43024.246539351851</v>
      </c>
      <c r="J225" s="7">
        <v>0</v>
      </c>
      <c r="K225" s="89" t="str">
        <f>IF(ISEVEN(B225),(B225-1)&amp;"/"&amp;B225,B225&amp;"/"&amp;(B225+1))</f>
        <v>4049/4050</v>
      </c>
      <c r="L225" s="185" t="str">
        <f>VLOOKUP(A225,'Trips&amp;Operators'!$C$1:$G$99911,5,FALSE)</f>
        <v>YANAI IAN</v>
      </c>
      <c r="M225" s="6">
        <f>I225-F225</f>
        <v>5.428240736364387E-3</v>
      </c>
      <c r="N225" s="7">
        <f>24*60*SUM($M225:$M225)</f>
        <v>7.8166666603647172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-16T04:37:37-0600',mode:absolute,to:'2017-10-16T06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2.3610000000000002</v>
      </c>
      <c r="Z225" s="204">
        <f>RIGHT(H225,LEN(H225)-4)/10000</f>
        <v>6.9800000000000001E-2</v>
      </c>
      <c r="AA225" s="204">
        <f>ABS(Z225-Y225)</f>
        <v>2.2912000000000003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902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/stypes="app*4049*20171016*" /stext=" 11:.+((SYSTEM_STATE.+slice.+state.+changed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32"/>
        <v>"%USERPROFILE%\Documents\GitHub\eaglep3\Utilities\RefineRTDCRunTimes.py" --tripid 902-16 --locoid 4049 --swversion DE.1.0.9.0 --startMP 300:23610 --initTime 2017-10-16T05:37:37 --startdatetime 2017-10-16T05:47:12 --delay 58 --endMP 204:698 --enddatetime 2017-10-16T05:55:01 --enforcementcount 0 &gt;&gt;%USERPROFILE%\Documents\GitHub\eaglep3-reporting\EC\2017-10-16-refined-times.txt</v>
      </c>
      <c r="AI225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{"issue":{"subject":"","project_id":79,"tracker_id":40,"status_id":1,"priority_id":2,"assigned_to_id":338,"start_date":"2017-10-16","description":"","custom_fields":[{"id":1,"name":"Subdivision","value":"Other"},{"id":4,"name":"Milepost","value":"0.0698"},{"id":17,"name":"Train ID","value":"902-16"},{"id":16,"name":"Locomotive ID","value":"4049"},{"id":130,"name":"Impact","value":""},{"id":150,"name":"Time of Event (Mountain Time)","value":"05:55:01"},{"id":151,"name":"Denver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34"/>
        <v>start /low /b %USERPROFILE%\Documents\GitHub\eaglep3\Utilities\DownloadLogsFromS3.py --loco 4049 --day 2017-10-16</v>
      </c>
      <c r="AN225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36"/>
        <v>https://d0f6bd738d7f1b3e5a7ca70fe4ff75f0.us-east-1.aws.found.io/app/kibana#/discover/Steve-Slow-Train-Analysis-(2080s-and-2083s)?_g=(refreshInterval:(display:Off,pause:!f,section:0,value:0),time:(from:'2017-10-16T04:37:37-0600',mode:absolute,to:'2017-10-16T06:55:01-0600'))&amp;_a=(columns:!('Message%20ID',Summary),filters:!(),index:'emp_*',interval:auto,query:(query_string:(analyze_wildcard:!t,query:'%22rtdc.l.rtdc.4049%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681</v>
      </c>
      <c r="B226" s="7">
        <v>4046</v>
      </c>
      <c r="C226" s="21" t="s">
        <v>194</v>
      </c>
      <c r="D226" s="21" t="s">
        <v>1003</v>
      </c>
      <c r="E226" s="13">
        <v>43024.352418981478</v>
      </c>
      <c r="F226" s="13">
        <v>43024.353692129633</v>
      </c>
      <c r="G226" s="7">
        <v>46</v>
      </c>
      <c r="H226" s="21" t="s">
        <v>577</v>
      </c>
      <c r="I226" s="13">
        <v>43024.358726851853</v>
      </c>
      <c r="J226" s="7">
        <v>0</v>
      </c>
      <c r="K226" s="89" t="str">
        <f>IF(ISEVEN(B226),(B226-1)&amp;"/"&amp;B226,B226&amp;"/"&amp;(B226+1))</f>
        <v>4045/4046</v>
      </c>
      <c r="L226" s="185" t="str">
        <f>VLOOKUP(A226,'Trips&amp;Operators'!$C$1:$G$99911,5,FALSE)</f>
        <v>MACDONALD THOMAS</v>
      </c>
      <c r="M226" s="6">
        <f>I226-F226</f>
        <v>5.0347222204436548E-3</v>
      </c>
      <c r="N226" s="7">
        <f>24*60*SUM($M226:$M226)</f>
        <v>7.2499999974388629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-16T07:27:29-0600',mode:absolute,to:'2017-10-16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0.1072</v>
      </c>
      <c r="Z226" s="204">
        <f>RIGHT(H226,LEN(H226)-4)/10000</f>
        <v>2.4224000000000001</v>
      </c>
      <c r="AA226" s="204">
        <f>ABS(Z226-Y226)</f>
        <v>2.3151999999999999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/stypes="app*4046*20171016*" /stext=" 14:.+((SYSTEM_STATE.+slice.+state.+changed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32"/>
        <v>"%USERPROFILE%\Documents\GitHub\eaglep3\Utilities\RefineRTDCRunTimes.py" --tripid 903-16 --locoid 4046 --swversion DE.1.0.9.0 --startMP 204:1072 --initTime 2017-10-16T08:27:29 --startdatetime 2017-10-16T08:29:19 --delay 46 --endMP 300:24224 --enddatetime 2017-10-16T08:36:34 --enforcementcount 0 &gt;&gt;%USERPROFILE%\Documents\GitHub\eaglep3-reporting\EC\2017-10-16-refined-times.txt</v>
      </c>
      <c r="AI226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{"issue":{"subject":"","project_id":79,"tracker_id":40,"status_id":1,"priority_id":2,"assigned_to_id":338,"start_date":"2017-10-16","description":"","custom_fields":[{"id":1,"name":"Subdivision","value":"Other"},{"id":4,"name":"Milepost","value":"2.4224"},{"id":17,"name":"Train ID","value":"903-16"},{"id":16,"name":"Locomotive ID","value":"4046"},{"id":130,"name":"Impact","value":""},{"id":150,"name":"Time of Event (Mountain Time)","value":"08:36:34"},{"id":151,"name":"Denver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34"/>
        <v>start /low /b %USERPROFILE%\Documents\GitHub\eaglep3\Utilities\DownloadLogsFromS3.py --loco 4046 --day 2017-10-16</v>
      </c>
      <c r="AN226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36"/>
        <v>https://d0f6bd738d7f1b3e5a7ca70fe4ff75f0.us-east-1.aws.found.io/app/kibana#/discover/Steve-Slow-Train-Analysis-(2080s-and-2083s)?_g=(refreshInterval:(display:Off,pause:!f,section:0,value:0),time:(from:'2017-10-16T07:27:29-0600',mode:absolute,to:'2017-10-16T09:36:34-0600'))&amp;_a=(columns:!('Message%20ID',Summary),filters:!(),index:'emp_*',interval:auto,query:(query_string:(analyze_wildcard:!t,query:'%22rtdc.l.rtdc.4046%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753</v>
      </c>
      <c r="B227" s="7">
        <v>4045</v>
      </c>
      <c r="C227" s="21" t="s">
        <v>194</v>
      </c>
      <c r="D227" s="21" t="s">
        <v>1004</v>
      </c>
      <c r="E227" s="13">
        <v>43024.632638888892</v>
      </c>
      <c r="F227" s="13">
        <v>43024.637731481482</v>
      </c>
      <c r="G227" s="7">
        <v>236</v>
      </c>
      <c r="H227" s="21" t="s">
        <v>988</v>
      </c>
      <c r="I227" s="13">
        <v>43024.64271990741</v>
      </c>
      <c r="J227" s="7">
        <v>0</v>
      </c>
      <c r="K227" s="89" t="str">
        <f>IF(ISEVEN(B227),(B227-1)&amp;"/"&amp;B227,B227&amp;"/"&amp;(B227+1))</f>
        <v>4045/4046</v>
      </c>
      <c r="L227" s="185" t="str">
        <f>VLOOKUP(A227,'Trips&amp;Operators'!$C$1:$G$99911,5,FALSE)</f>
        <v>STAMBAUGH JAMES</v>
      </c>
      <c r="M227" s="6">
        <f>I227-F227</f>
        <v>4.9884259278769605E-3</v>
      </c>
      <c r="N227" s="7">
        <f>24*60*SUM($M227:$M227)</f>
        <v>7.1833333361428231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-16T14:11:00-0600',mode:absolute,to:'2017-10-16T16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</v>
      </c>
      <c r="Y227" s="204">
        <f>RIGHT(D227,LEN(D227)-4)/10000</f>
        <v>2.3414999999999999</v>
      </c>
      <c r="Z227" s="204">
        <f>RIGHT(H227,LEN(H227)-4)/10000</f>
        <v>6.8000000000000005E-2</v>
      </c>
      <c r="AA227" s="204">
        <f>ABS(Z227-Y227)</f>
        <v>2.2734999999999999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904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/stypes="app*4045*20171016*" /stext=" 21:.+((SYSTEM_STATE.+slice.+state.+changed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32"/>
        <v>"%USERPROFILE%\Documents\GitHub\eaglep3\Utilities\RefineRTDCRunTimes.py" --tripid 904-16 --locoid 4045 --swversion DE.1.0.9.0 --startMP 300:23415 --initTime 2017-10-16T15:11:00 --startdatetime 2017-10-16T15:18:20 --delay 236 --endMP 204:680 --enddatetime 2017-10-16T15:25:31 --enforcementcount 0 &gt;&gt;%USERPROFILE%\Documents\GitHub\eaglep3-reporting\EC\2017-10-16-refined-times.txt</v>
      </c>
      <c r="AI227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{"issue":{"subject":"","project_id":79,"tracker_id":40,"status_id":1,"priority_id":2,"assigned_to_id":338,"start_date":"2017-10-16","description":"","custom_fields":[{"id":1,"name":"Subdivision","value":"Other"},{"id":4,"name":"Milepost","value":"0.068"},{"id":17,"name":"Train ID","value":"904-16"},{"id":16,"name":"Locomotive ID","value":"4045"},{"id":130,"name":"Impact","value":""},{"id":150,"name":"Time of Event (Mountain Time)","value":"15:25:31"},{"id":151,"name":"Denver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34"/>
        <v>start /low /b %USERPROFILE%\Documents\GitHub\eaglep3\Utilities\DownloadLogsFromS3.py --loco 4045 --day 2017-10-16</v>
      </c>
      <c r="AN227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36"/>
        <v>https://d0f6bd738d7f1b3e5a7ca70fe4ff75f0.us-east-1.aws.found.io/app/kibana#/discover/Steve-Slow-Train-Analysis-(2080s-and-2083s)?_g=(refreshInterval:(display:Off,pause:!f,section:0,value:0),time:(from:'2017-10-16T14:11:00-0600',mode:absolute,to:'2017-10-16T16:25:31-0600'))&amp;_a=(columns:!('Message%20ID',Summary),filters:!(),index:'emp_*',interval:auto,query:(query_string:(analyze_wildcard:!t,query:'%22rtdc.l.rtdc.4045%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795</v>
      </c>
      <c r="B228" s="7">
        <v>4045</v>
      </c>
      <c r="C228" s="21" t="s">
        <v>194</v>
      </c>
      <c r="D228" s="21" t="s">
        <v>1005</v>
      </c>
      <c r="E228" s="13">
        <v>43024.787766203706</v>
      </c>
      <c r="F228" s="13">
        <v>43024.7891087963</v>
      </c>
      <c r="G228" s="7">
        <v>58</v>
      </c>
      <c r="H228" s="21" t="s">
        <v>1006</v>
      </c>
      <c r="I228" s="13">
        <v>43024.83871527778</v>
      </c>
      <c r="J228" s="7">
        <v>0</v>
      </c>
      <c r="K228" s="89" t="str">
        <f>IF(ISEVEN(B228),(B228-1)&amp;"/"&amp;B228,B228&amp;"/"&amp;(B228+1))</f>
        <v>4045/4046</v>
      </c>
      <c r="L228" s="185" t="str">
        <f>VLOOKUP(A228,'Trips&amp;Operators'!$C$1:$G$99911,5,FALSE)</f>
        <v>STAMBAUGH JAMES</v>
      </c>
      <c r="M228" s="6">
        <f>I228-F228</f>
        <v>4.9606481479713693E-2</v>
      </c>
      <c r="N228" s="7">
        <f>24*60*SUM($M228:$M228)</f>
        <v>71.433333330787718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-16T17:54:23-0600',mode:absolute,to:'2017-10-16T21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2</v>
      </c>
      <c r="Y228" s="204">
        <f>RIGHT(D228,LEN(D228)-4)/10000</f>
        <v>5.8643000000000001</v>
      </c>
      <c r="Z228" s="204">
        <f>RIGHT(H228,LEN(H228)-4)/10000</f>
        <v>2.8782000000000001</v>
      </c>
      <c r="AA228" s="204">
        <f>ABS(Z228-Y228)</f>
        <v>2.9861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906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/stypes="app*4045*20171017*" /stext=" 02:.+((SYSTEM_STATE.+slice.+state.+changed )|(ment ac)|(multiple cpu faults)|(system.+state.+changed )|(\[timeout)|(PRM\|1\|D)|(kpr)|(kdp)|(train st.+moving)|(\|lc)|(penalty))"</v>
      </c>
      <c r="AG228" s="182" t="str">
        <f>DetSubdiv(A228)</f>
        <v>Other</v>
      </c>
      <c r="AH228" s="78" t="str">
        <f t="shared" si="32"/>
        <v>"%USERPROFILE%\Documents\GitHub\eaglep3\Utilities\RefineRTDCRunTimes.py" --tripid 906-16 --locoid 4045 --swversion DE.1.0.9.0 --startMP 300:58643 --initTime 2017-10-16T18:54:23 --startdatetime 2017-10-16T18:56:19 --delay 58 --endMP 300:28782 --enddatetime 2017-10-16T20:07:45 --enforcementcount 0 &gt;&gt;%USERPROFILE%\Documents\GitHub\eaglep3-reporting\EC\2017-10-16-refined-times.txt</v>
      </c>
      <c r="AI228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{"issue":{"subject":"","project_id":79,"tracker_id":40,"status_id":1,"priority_id":2,"assigned_to_id":338,"start_date":"2017-10-16","description":"","custom_fields":[{"id":1,"name":"Subdivision","value":"Other"},{"id":4,"name":"Milepost","value":"2.8782"},{"id":17,"name":"Train ID","value":"906-16"},{"id":16,"name":"Locomotive ID","value":"4045"},{"id":130,"name":"Impact","value":""},{"id":150,"name":"Time of Event (Mountain Time)","value":"20:07:45"},{"id":151,"name":"Denver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34"/>
        <v>start /low /b %USERPROFILE%\Documents\GitHub\eaglep3\Utilities\DownloadLogsFromS3.py --loco 4045 --day 2017-10-16</v>
      </c>
      <c r="AN228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36"/>
        <v>https://d0f6bd738d7f1b3e5a7ca70fe4ff75f0.us-east-1.aws.found.io/app/kibana#/discover/Steve-Slow-Train-Analysis-(2080s-and-2083s)?_g=(refreshInterval:(display:Off,pause:!f,section:0,value:0),time:(from:'2017-10-16T17:54:23-0600',mode:absolute,to:'2017-10-16T21:07:45-0600'))&amp;_a=(columns:!('Message%20ID',Summary),filters:!(),index:'emp_*',interval:auto,query:(query_string:(analyze_wildcard:!t,query:'%22rtdc.l.rtdc.4045%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826</v>
      </c>
      <c r="B229" s="7">
        <v>4049</v>
      </c>
      <c r="C229" s="21" t="s">
        <v>194</v>
      </c>
      <c r="D229" s="21" t="s">
        <v>1007</v>
      </c>
      <c r="E229" s="13">
        <v>43024.974699074075</v>
      </c>
      <c r="F229" s="13">
        <v>43024.976585648146</v>
      </c>
      <c r="G229" s="7">
        <v>74</v>
      </c>
      <c r="H229" s="21" t="s">
        <v>1008</v>
      </c>
      <c r="I229" s="13">
        <v>43024.983240740738</v>
      </c>
      <c r="J229" s="7">
        <v>0</v>
      </c>
      <c r="K229" s="89" t="str">
        <f>IF(ISEVEN(B229),(B229-1)&amp;"/"&amp;B229,B229&amp;"/"&amp;(B229+1))</f>
        <v>4049/4050</v>
      </c>
      <c r="L229" s="185" t="str">
        <f>VLOOKUP(A229,'Trips&amp;Operators'!$C$1:$G$99911,5,FALSE)</f>
        <v>STAMBAUGH JAMES</v>
      </c>
      <c r="M229" s="6">
        <f>I229-F229</f>
        <v>6.655092591245193E-3</v>
      </c>
      <c r="N229" s="7">
        <f>24*60*SUM($M229:$M229)</f>
        <v>9.583333331393078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-16T22:23:34-0600',mode:absolute,to:'2017-10-17T00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2</v>
      </c>
      <c r="Y229" s="204">
        <f>RIGHT(D229,LEN(D229)-4)/10000</f>
        <v>5.8593999999999999</v>
      </c>
      <c r="Z229" s="204">
        <f>RIGHT(H229,LEN(H229)-4)/10000</f>
        <v>2.8759000000000001</v>
      </c>
      <c r="AA229" s="204">
        <f>ABS(Z229-Y229)</f>
        <v>2.9834999999999998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908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/stypes="app*4049*20171017*" /stext=" 05:.+((SYSTEM_STATE.+slice.+state.+changed )|(ment ac)|(multiple cpu faults)|(system.+state.+changed )|(\[timeout)|(PRM\|1\|D)|(kpr)|(kdp)|(train st.+moving)|(\|lc)|(penalty))"</v>
      </c>
      <c r="AG229" s="182" t="str">
        <f>DetSubdiv(A229)</f>
        <v>Other</v>
      </c>
      <c r="AH229" s="78" t="str">
        <f t="shared" si="32"/>
        <v>"%USERPROFILE%\Documents\GitHub\eaglep3\Utilities\RefineRTDCRunTimes.py" --tripid 908-16 --locoid 4049 --swversion DE.1.0.9.0 --startMP 300:58594 --initTime 2017-10-16T23:23:34 --startdatetime 2017-10-16T23:26:17 --delay 74 --endMP 300:28759 --enddatetime 2017-10-16T23:35:52 --enforcementcount 0 &gt;&gt;%USERPROFILE%\Documents\GitHub\eaglep3-reporting\EC\2017-10-16-refined-times.txt</v>
      </c>
      <c r="AI229" s="96" t="str">
        <f t="shared" si="33"/>
        <v>echo {"issue":{"subject":"","project_id":79,"tracker_id":40,"status_id":1,"priority_id":2,"assigned_to_id":338,"start_date":"2017-10-16","description":"","custom_fields":[{"id":1,"name":"Subdivision","value":"Other"},{"id":4,"name":"Milepost","value":"2.8759"},{"id":17,"name":"Train ID","value":"908-16"},{"id":16,"name":"Locomotive ID","value":"4049"},{"id":130,"name":"Impact","value":""},{"id":150,"name":"Time of Event (Mountain Time)","value":"23:35:52"},{"id":151,"name":"Denver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34"/>
        <v>start /low /b %USERPROFILE%\Documents\GitHub\eaglep3\Utilities\DownloadLogsFromS3.py --loco 4049 --day 2017-10-16</v>
      </c>
      <c r="AN229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36"/>
        <v>https://d0f6bd738d7f1b3e5a7ca70fe4ff75f0.us-east-1.aws.found.io/app/kibana#/discover/Steve-Slow-Train-Analysis-(2080s-and-2083s)?_g=(refreshInterval:(display:Off,pause:!f,section:0,value:0),time:(from:'2017-10-16T22:23:34-0600',mode:absolute,to:'2017-10-17T00:35:52-0600'))&amp;_a=(columns:!('Message%20ID',Summary),filters:!(),index:'emp_*',interval:auto,query:(query_string:(analyze_wildcard:!t,query:'%22rtdc.l.rtdc.4049%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610</v>
      </c>
      <c r="B230" s="7">
        <v>4066</v>
      </c>
      <c r="C230" s="21" t="s">
        <v>194</v>
      </c>
      <c r="D230" s="21" t="s">
        <v>846</v>
      </c>
      <c r="E230" s="13">
        <v>43024.128877314812</v>
      </c>
      <c r="F230" s="13">
        <v>43024.137083333335</v>
      </c>
      <c r="G230" s="7">
        <v>101</v>
      </c>
      <c r="H230" s="21" t="s">
        <v>911</v>
      </c>
      <c r="I230" s="13">
        <v>43024.13826388889</v>
      </c>
      <c r="J230" s="7">
        <v>0</v>
      </c>
      <c r="K230" s="89" t="str">
        <f>IF(ISEVEN(B230),(B230-1)&amp;"/"&amp;B230,B230&amp;"/"&amp;(B230+1))</f>
        <v>4065/4066</v>
      </c>
      <c r="L230" s="185" t="str">
        <f>VLOOKUP(A230,'Trips&amp;Operators'!$C$1:$G$99911,5,FALSE)</f>
        <v>ACKERMAN JARED</v>
      </c>
      <c r="M230" s="6">
        <f>I230-F230</f>
        <v>1.1805555550381541E-3</v>
      </c>
      <c r="N230" s="7">
        <f>24*60*SUM($M230:$M230)</f>
        <v>1.6999999992549419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-16T02:05:35-0600',mode:absolute,to:'2017-10-16T04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-857</v>
      </c>
      <c r="Y230" s="204">
        <f>RIGHT(D230,LEN(D230)-4)/10000</f>
        <v>4.9799999999999997E-2</v>
      </c>
      <c r="Z230" s="204">
        <f>RIGHT(H230,LEN(H230)-4)/10000</f>
        <v>0.34689999999999999</v>
      </c>
      <c r="AA230" s="204">
        <f>ABS(Z230-Y230)</f>
        <v>0.29709999999999998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s3://rtdc.mdm.uploadarchive.raw/RTDC4066/ "%USERPROFILE%\AppData\Local\Temp\OnboardLogs"\RTDC4066\2017-10-16 --exclude "*" --recursive --include "*20171016*" &amp; "%USERPROFILE%\Documents\GitHub\mrs-test-scripts\Headless Mode &amp; Sideloading\WalkAndUnGZ.bat" "%USERPROFILE%\AppData\Local\Temp\OnboardLogs"\RTDC4066\2017-10-16 &amp; 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/stypes="app*4066*20171016*" /stext=" 09:.+((SYSTEM_STATE.+slice.+state.+changed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32"/>
        <v>"%USERPROFILE%\Documents\GitHub\eaglep3\Utilities\RefineRTDCRunTimes.py" --tripid 51-16 --locoid 4066 --swversion DE.1.0.9.0 --startMP 204:498 --initTime 2017-10-16T03:05:35 --startdatetime 2017-10-16T03:17:24 --delay 101 --endMP 204:3469 --enddatetime 2017-10-16T03:19:06 --enforcementcount 0 &gt;&gt;%USERPROFILE%\Documents\GitHub\eaglep3-reporting\EC\2017-10-16-refined-times.txt</v>
      </c>
      <c r="AI230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0.3469"},{"id":17,"name":"Train ID","value":"51-16"},{"id":16,"name":"Locomotive ID","value":"4066"},{"id":130,"name":"Impact","value":""},{"id":150,"name":"Time of Event (Mountain Time)","value":"03:19:06"},{"id":151,"name":"Denver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34"/>
        <v>start /low /b %USERPROFILE%\Documents\GitHub\eaglep3\Utilities\DownloadLogsFromS3.py --loco 4066 --day 2017-10-16</v>
      </c>
      <c r="AN230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09:19:06"},{"id":29,"name":"Sharepoint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36"/>
        <v>https://d0f6bd738d7f1b3e5a7ca70fe4ff75f0.us-east-1.aws.found.io/app/kibana#/discover/Steve-Slow-Train-Analysis-(2080s-and-2083s)?_g=(refreshInterval:(display:Off,pause:!f,section:0,value:0),time:(from:'2017-10-16T02:05:35-0600',mode:absolute,to:'2017-10-16T04:19:06-0600'))&amp;_a=(columns:!('Message%20ID',Summary),filters:!(),index:'emp_*',interval:auto,query:(query_string:(analyze_wildcard:!t,query:'%22rtdc.l.rtdc.4066%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617</v>
      </c>
      <c r="B231" s="7">
        <v>4065</v>
      </c>
      <c r="C231" s="21" t="s">
        <v>194</v>
      </c>
      <c r="D231" s="21" t="s">
        <v>912</v>
      </c>
      <c r="E231" s="13">
        <v>43024.139363425929</v>
      </c>
      <c r="F231" s="13">
        <v>43024.141122685185</v>
      </c>
      <c r="G231" s="7">
        <v>84</v>
      </c>
      <c r="H231" s="21" t="s">
        <v>571</v>
      </c>
      <c r="I231" s="13">
        <v>43024.142106481479</v>
      </c>
      <c r="J231" s="7">
        <v>0</v>
      </c>
      <c r="K231" s="89" t="str">
        <f>IF(ISEVEN(B231),(B231-1)&amp;"/"&amp;B231,B231&amp;"/"&amp;(B231+1))</f>
        <v>4065/4066</v>
      </c>
      <c r="L231" s="185" t="str">
        <f>VLOOKUP(A231,'Trips&amp;Operators'!$C$1:$G$99911,5,FALSE)</f>
        <v>ACKERMAN JARED</v>
      </c>
      <c r="M231" s="6">
        <f>I231-F231</f>
        <v>9.8379629343980923E-4</v>
      </c>
      <c r="N231" s="7">
        <f>24*60*SUM($M231:$M231)</f>
        <v>1.4166666625533253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-16T02:20:41-0600',mode:absolute,to:'2017-10-16T04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0.31430000000000002</v>
      </c>
      <c r="Z231" s="204">
        <f>RIGHT(H231,LEN(H231)-4)/10000</f>
        <v>0.11600000000000001</v>
      </c>
      <c r="AA231" s="204">
        <f>ABS(Z231-Y231)</f>
        <v>0.19830000000000003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s3://rtdc.mdm.uploadarchive.raw/RTDC4065/ "%USERPROFILE%\AppData\Local\Temp\OnboardLogs"\RTDC4065\2017-10-16 --exclude "*" --recursive --include "*20171016*" &amp; "%USERPROFILE%\Documents\GitHub\mrs-test-scripts\Headless Mode &amp; Sideloading\WalkAndUnGZ.bat" "%USERPROFILE%\AppData\Local\Temp\OnboardLogs"\RTDC4065\2017-10-16 &amp; 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/stypes="app*4065*20171016*" /stext=" 09:.+((SYSTEM_STATE.+slice.+state.+changed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32"/>
        <v>"%USERPROFILE%\Documents\GitHub\eaglep3\Utilities\RefineRTDCRunTimes.py" --tripid 52-16 --locoid 4065 --swversion DE.1.0.9.0 --startMP 204:3143 --initTime 2017-10-16T03:20:41 --startdatetime 2017-10-16T03:23:13 --delay 84 --endMP 204:1160 --enddatetime 2017-10-16T03:24:38 --enforcementcount 0 &gt;&gt;%USERPROFILE%\Documents\GitHub\eaglep3-reporting\EC\2017-10-16-refined-times.txt</v>
      </c>
      <c r="AI231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0.116"},{"id":17,"name":"Train ID","value":"52-16"},{"id":16,"name":"Locomotive ID","value":"4065"},{"id":130,"name":"Impact","value":""},{"id":150,"name":"Time of Event (Mountain Time)","value":"03:24:38"},{"id":151,"name":"Denver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34"/>
        <v>start /low /b %USERPROFILE%\Documents\GitHub\eaglep3\Utilities\DownloadLogsFromS3.py --loco 4065 --day 2017-10-16</v>
      </c>
      <c r="AN231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09:24:38"},{"id":29,"name":"Sharepoint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36"/>
        <v>https://d0f6bd738d7f1b3e5a7ca70fe4ff75f0.us-east-1.aws.found.io/app/kibana#/discover/Steve-Slow-Train-Analysis-(2080s-and-2083s)?_g=(refreshInterval:(display:Off,pause:!f,section:0,value:0),time:(from:'2017-10-16T02:20:41-0600',mode:absolute,to:'2017-10-16T04:24:38-0600'))&amp;_a=(columns:!('Message%20ID',Summary),filters:!(),index:'emp_*',interval:auto,query:(query_string:(analyze_wildcard:!t,query:'%22rtdc.l.rtdc.4065%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694</v>
      </c>
      <c r="B232" s="7">
        <v>4005</v>
      </c>
      <c r="C232" s="21" t="s">
        <v>194</v>
      </c>
      <c r="D232" s="21" t="s">
        <v>913</v>
      </c>
      <c r="E232" s="13">
        <v>43024.404224537036</v>
      </c>
      <c r="F232" s="13">
        <v>43024.406712962962</v>
      </c>
      <c r="G232" s="7">
        <v>102</v>
      </c>
      <c r="H232" s="21" t="s">
        <v>914</v>
      </c>
      <c r="I232" s="13">
        <v>43024.411678240744</v>
      </c>
      <c r="J232" s="7">
        <v>0</v>
      </c>
      <c r="K232" s="89" t="str">
        <f>IF(ISEVEN(B232),(B232-1)&amp;"/"&amp;B232,B232&amp;"/"&amp;(B232+1))</f>
        <v>4005/4006</v>
      </c>
      <c r="L232" s="185" t="str">
        <f>VLOOKUP(A232,'Trips&amp;Operators'!$C$1:$G$99911,5,FALSE)</f>
        <v>MACDONALD THOMAS</v>
      </c>
      <c r="M232" s="6">
        <f>I232-F232</f>
        <v>4.9652777815936133E-3</v>
      </c>
      <c r="N232" s="7">
        <f>24*60*SUM($M232:$M232)</f>
        <v>7.1500000054948032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-16T08:42:05-0600',mode:absolute,to:'2017-10-16T10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2</v>
      </c>
      <c r="Y232" s="204">
        <f>RIGHT(D232,LEN(D232)-4)/10000</f>
        <v>2.3717999999999999</v>
      </c>
      <c r="Z232" s="204">
        <f>RIGHT(H232,LEN(H232)-4)/10000</f>
        <v>0.1002</v>
      </c>
      <c r="AA232" s="204">
        <f>ABS(Z232-Y232)</f>
        <v>2.2715999999999998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54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s3://rtdc.mdm.uploadarchive.raw/RTDC4005/ "%USERPROFILE%\AppData\Local\Temp\OnboardLogs"\RTDC4005\2017-10-16 --exclude "*" --recursive --include "*20171016*" &amp; "%USERPROFILE%\Documents\GitHub\mrs-test-scripts\Headless Mode &amp; Sideloading\WalkAndUnGZ.bat" "%USERPROFILE%\AppData\Local\Temp\OnboardLogs"\RTDC4005\2017-10-16 &amp; aws s3 cp s3://rtdc.mdm.uploadarchive.raw/RTDC4005/ "%USERPROFILE%\AppData\Local\Temp\OnboardLogs"\RTDC4005\2017-10-17 --exclude "*" --recursive --include "*20171017*" &amp; "%USERPROFILE%\Documents\GitHub\mrs-test-scripts\Headless Mode &amp; Sideloading\WalkAndUnGZ.bat" "%USERPROFILE%\AppData\Local\Temp\OnboardLogs"\RTDC4005\2017-10-17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/stypes="app*4005*20171016*" /stext=" 15:.+((SYSTEM_STATE.+slice.+state.+changed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32"/>
        <v>"%USERPROFILE%\Documents\GitHub\eaglep3\Utilities\RefineRTDCRunTimes.py" --tripid 54-16 --locoid 4005 --swversion DE.1.0.9.0 --startMP 300:23718 --initTime 2017-10-16T09:42:05 --startdatetime 2017-10-16T09:45:40 --delay 102 --endMP 204:1002 --enddatetime 2017-10-16T09:52:49 --enforcementcount 0 &gt;&gt;%USERPROFILE%\Documents\GitHub\eaglep3-reporting\EC\2017-10-16-refined-times.txt</v>
      </c>
      <c r="AI232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0.1002"},{"id":17,"name":"Train ID","value":"54-16"},{"id":16,"name":"Locomotive ID","value":"4005"},{"id":130,"name":"Impact","value":""},{"id":150,"name":"Time of Event (Mountain Time)","value":"09:52:49"},{"id":151,"name":"Denver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34"/>
        <v>start /low /b %USERPROFILE%\Documents\GitHub\eaglep3\Utilities\DownloadLogsFromS3.py --loco 4005 --day 2017-10-16</v>
      </c>
      <c r="AN232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15:52:49"},{"id":29,"name":"Sharepoint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36"/>
        <v>https://d0f6bd738d7f1b3e5a7ca70fe4ff75f0.us-east-1.aws.found.io/app/kibana#/discover/Steve-Slow-Train-Analysis-(2080s-and-2083s)?_g=(refreshInterval:(display:Off,pause:!f,section:0,value:0),time:(from:'2017-10-16T08:42:05-0600',mode:absolute,to:'2017-10-16T10:52:49-0600'))&amp;_a=(columns:!('Message%20ID',Summary),filters:!(),index:'emp_*',interval:auto,query:(query_string:(analyze_wildcard:!t,query:'%22rtdc.l.rtdc.4005%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699</v>
      </c>
      <c r="B233" s="7">
        <v>4006</v>
      </c>
      <c r="C233" s="21" t="s">
        <v>194</v>
      </c>
      <c r="D233" s="21" t="s">
        <v>915</v>
      </c>
      <c r="E233" s="13">
        <v>43024.425219907411</v>
      </c>
      <c r="F233" s="13">
        <v>43024.426874999997</v>
      </c>
      <c r="G233" s="7">
        <v>71</v>
      </c>
      <c r="H233" s="21" t="s">
        <v>916</v>
      </c>
      <c r="I233" s="13">
        <v>43024.431979166664</v>
      </c>
      <c r="J233" s="7">
        <v>0</v>
      </c>
      <c r="K233" s="89" t="str">
        <f>IF(ISEVEN(B233),(B233-1)&amp;"/"&amp;B233,B233&amp;"/"&amp;(B233+1))</f>
        <v>4005/4006</v>
      </c>
      <c r="L233" s="185" t="str">
        <f>VLOOKUP(A233,'Trips&amp;Operators'!$C$1:$G$99911,5,FALSE)</f>
        <v>BEAM ROSS</v>
      </c>
      <c r="M233" s="6">
        <f>I233-F233</f>
        <v>5.1041666665696539E-3</v>
      </c>
      <c r="N233" s="7">
        <f>24*60*SUM($M233:$M233)</f>
        <v>7.3499999998603016</v>
      </c>
      <c r="O233" s="7"/>
      <c r="P233" s="7"/>
      <c r="Q233" s="22"/>
      <c r="R233" s="174"/>
      <c r="S233" s="221">
        <f>1/IF(AG233="EC",12,1)*SUM(U233:U233)</f>
        <v>1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-16T09:12:19-0600',mode:absolute,to:'2017-10-16T11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0.1313</v>
      </c>
      <c r="Z233" s="204">
        <f>RIGHT(H233,LEN(H233)-4)/10000</f>
        <v>2.4239000000000002</v>
      </c>
      <c r="AA233" s="204">
        <f>ABS(Z233-Y233)</f>
        <v>2.2926000000000002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s3://rtdc.mdm.uploadarchive.raw/RTDC4006/ "%USERPROFILE%\AppData\Local\Temp\OnboardLogs"\RTDC4006\2017-10-16 --exclude "*" --recursive --include "*20171016*" &amp; "%USERPROFILE%\Documents\GitHub\mrs-test-scripts\Headless Mode &amp; Sideloading\WalkAndUnGZ.bat" "%USERPROFILE%\AppData\Local\Temp\OnboardLogs"\RTDC4006\2017-10-16 &amp; aws s3 cp s3://rtdc.mdm.uploadarchive.raw/RTDC4006/ "%USERPROFILE%\AppData\Local\Temp\OnboardLogs"\RTDC4006\2017-10-17 --exclude "*" --recursive --include "*20171017*" &amp; "%USERPROFILE%\Documents\GitHub\mrs-test-scripts\Headless Mode &amp; Sideloading\WalkAndUnGZ.bat" "%USERPROFILE%\AppData\Local\Temp\OnboardLogs"\RTDC4006\2017-10-17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/stypes="app*4006*20171016*" /stext=" 16:.+((SYSTEM_STATE.+slice.+state.+changed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32"/>
        <v>"%USERPROFILE%\Documents\GitHub\eaglep3\Utilities\RefineRTDCRunTimes.py" --tripid 55-16 --locoid 4006 --swversion DE.1.0.9.0 --startMP 204:1313 --initTime 2017-10-16T10:12:19 --startdatetime 2017-10-16T10:14:42 --delay 71 --endMP 300:24239 --enddatetime 2017-10-16T10:22:03 --enforcementcount 0 &gt;&gt;%USERPROFILE%\Documents\GitHub\eaglep3-reporting\EC\2017-10-16-refined-times.txt</v>
      </c>
      <c r="AI233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2.4239"},{"id":17,"name":"Train ID","value":"55-16"},{"id":16,"name":"Locomotive ID","value":"4006"},{"id":130,"name":"Impact","value":""},{"id":150,"name":"Time of Event (Mountain Time)","value":"10:22:03"},{"id":151,"name":"Denver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34"/>
        <v>start /low /b %USERPROFILE%\Documents\GitHub\eaglep3\Utilities\DownloadLogsFromS3.py --loco 4006 --day 2017-10-16</v>
      </c>
      <c r="AN233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36"/>
        <v>https://d0f6bd738d7f1b3e5a7ca70fe4ff75f0.us-east-1.aws.found.io/app/kibana#/discover/Steve-Slow-Train-Analysis-(2080s-and-2083s)?_g=(refreshInterval:(display:Off,pause:!f,section:0,value:0),time:(from:'2017-10-16T09:12:19-0600',mode:absolute,to:'2017-10-16T11:22:03-0600'))&amp;_a=(columns:!('Message%20ID',Summary),filters:!(),index:'emp_*',interval:auto,query:(query_string:(analyze_wildcard:!t,query:'%22rtdc.l.rtdc.4006%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589</v>
      </c>
      <c r="B234" s="7">
        <v>4005</v>
      </c>
      <c r="C234" s="21" t="s">
        <v>194</v>
      </c>
      <c r="D234" s="21" t="s">
        <v>917</v>
      </c>
      <c r="E234" s="13">
        <v>43024.442685185182</v>
      </c>
      <c r="F234" s="13">
        <v>43024.446064814816</v>
      </c>
      <c r="G234" s="7">
        <v>152</v>
      </c>
      <c r="H234" s="21" t="s">
        <v>918</v>
      </c>
      <c r="I234" s="13">
        <v>43024.451388888891</v>
      </c>
      <c r="J234" s="7">
        <v>0</v>
      </c>
      <c r="K234" s="89" t="str">
        <f>IF(ISEVEN(B234),(B234-1)&amp;"/"&amp;B234,B234&amp;"/"&amp;(B234+1))</f>
        <v>4005/4006</v>
      </c>
      <c r="L234" s="185" t="str">
        <f>VLOOKUP(A234,'Trips&amp;Operators'!$C$1:$G$99911,5,FALSE)</f>
        <v>RESPASS AARON</v>
      </c>
      <c r="M234" s="6">
        <f>I234-F234</f>
        <v>5.324074074451346E-3</v>
      </c>
      <c r="N234" s="7">
        <f>24*60*SUM($M234:$M234)</f>
        <v>7.6666666672099382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-16T09:37:28-0600',mode:absolute,to:'2017-10-16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2.3349000000000002</v>
      </c>
      <c r="Z234" s="204">
        <f>RIGHT(H234,LEN(H234)-4)/10000</f>
        <v>9.5799999999999996E-2</v>
      </c>
      <c r="AA234" s="204">
        <f>ABS(Z234-Y234)</f>
        <v>2.2391000000000001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56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s3://rtdc.mdm.uploadarchive.raw/RTDC4005/ "%USERPROFILE%\AppData\Local\Temp\OnboardLogs"\RTDC4005\2017-10-16 --exclude "*" --recursive --include "*20171016*" &amp; "%USERPROFILE%\Documents\GitHub\mrs-test-scripts\Headless Mode &amp; Sideloading\WalkAndUnGZ.bat" "%USERPROFILE%\AppData\Local\Temp\OnboardLogs"\RTDC4005\2017-10-16 &amp; aws s3 cp s3://rtdc.mdm.uploadarchive.raw/RTDC4005/ "%USERPROFILE%\AppData\Local\Temp\OnboardLogs"\RTDC4005\2017-10-17 --exclude "*" --recursive --include "*20171017*" &amp; "%USERPROFILE%\Documents\GitHub\mrs-test-scripts\Headless Mode &amp; Sideloading\WalkAndUnGZ.bat" "%USERPROFILE%\AppData\Local\Temp\OnboardLogs"\RTDC4005\2017-10-17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/stypes="app*4005*20171016*" /stext=" 16:.+((SYSTEM_STATE.+slice.+state.+changed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32"/>
        <v>"%USERPROFILE%\Documents\GitHub\eaglep3\Utilities\RefineRTDCRunTimes.py" --tripid 56-16 --locoid 4005 --swversion DE.1.0.9.0 --startMP 300:23349 --initTime 2017-10-16T10:37:28 --startdatetime 2017-10-16T10:42:20 --delay 152 --endMP 204:958 --enddatetime 2017-10-16T10:50:00 --enforcementcount 0 &gt;&gt;%USERPROFILE%\Documents\GitHub\eaglep3-reporting\EC\2017-10-16-refined-times.txt</v>
      </c>
      <c r="AI234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0.0958"},{"id":17,"name":"Train ID","value":"56-16"},{"id":16,"name":"Locomotive ID","value":"4005"},{"id":130,"name":"Impact","value":""},{"id":150,"name":"Time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34"/>
        <v>start /low /b %USERPROFILE%\Documents\GitHub\eaglep3\Utilities\DownloadLogsFromS3.py --loco 4005 --day 2017-10-16</v>
      </c>
      <c r="AN234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36"/>
        <v>https://d0f6bd738d7f1b3e5a7ca70fe4ff75f0.us-east-1.aws.found.io/app/kibana#/discover/Steve-Slow-Train-Analysis-(2080s-and-2083s)?_g=(refreshInterval:(display:Off,pause:!f,section:0,value:0),time:(from:'2017-10-16T09:37:28-0600',mode:absolute,to:'2017-10-16T11:50:00-0600'))&amp;_a=(columns:!('Message%20ID',Summary),filters:!(),index:'emp_*',interval:auto,query:(query_string:(analyze_wildcard:!t,query:'%22rtdc.l.rtdc.4005%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712</v>
      </c>
      <c r="B235" s="7">
        <v>4006</v>
      </c>
      <c r="C235" s="21" t="s">
        <v>194</v>
      </c>
      <c r="D235" s="21" t="s">
        <v>919</v>
      </c>
      <c r="E235" s="13">
        <v>43024.472812499997</v>
      </c>
      <c r="F235" s="13">
        <v>43024.480324074073</v>
      </c>
      <c r="G235" s="7">
        <v>70</v>
      </c>
      <c r="H235" s="21" t="s">
        <v>920</v>
      </c>
      <c r="I235" s="13">
        <v>43024.485069444447</v>
      </c>
      <c r="J235" s="7">
        <v>0</v>
      </c>
      <c r="K235" s="89" t="str">
        <f>IF(ISEVEN(B235),(B235-1)&amp;"/"&amp;B235,B235&amp;"/"&amp;(B235+1))</f>
        <v>4005/4006</v>
      </c>
      <c r="L235" s="185" t="str">
        <f>VLOOKUP(A235,'Trips&amp;Operators'!$C$1:$G$99911,5,FALSE)</f>
        <v>BIRENBAUM THOMAS</v>
      </c>
      <c r="M235" s="6">
        <f>I235-F235</f>
        <v>4.7453703737119213E-3</v>
      </c>
      <c r="N235" s="7">
        <f>24*60*SUM($M235:$M235)</f>
        <v>6.8333333381451666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-16T10:20:51-0600',mode:absolute,to:'2017-10-16T12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0.12720000000000001</v>
      </c>
      <c r="Z235" s="204">
        <f>RIGHT(H235,LEN(H235)-4)/10000</f>
        <v>2.4262999999999999</v>
      </c>
      <c r="AA235" s="204">
        <f>ABS(Z235-Y235)</f>
        <v>2.2990999999999997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57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s3://rtdc.mdm.uploadarchive.raw/RTDC4006/ "%USERPROFILE%\AppData\Local\Temp\OnboardLogs"\RTDC4006\2017-10-16 --exclude "*" --recursive --include "*20171016*" &amp; "%USERPROFILE%\Documents\GitHub\mrs-test-scripts\Headless Mode &amp; Sideloading\WalkAndUnGZ.bat" "%USERPROFILE%\AppData\Local\Temp\OnboardLogs"\RTDC4006\2017-10-16 &amp; aws s3 cp s3://rtdc.mdm.uploadarchive.raw/RTDC4006/ "%USERPROFILE%\AppData\Local\Temp\OnboardLogs"\RTDC4006\2017-10-17 --exclude "*" --recursive --include "*20171017*" &amp; "%USERPROFILE%\Documents\GitHub\mrs-test-scripts\Headless Mode &amp; Sideloading\WalkAndUnGZ.bat" "%USERPROFILE%\AppData\Local\Temp\OnboardLogs"\RTDC4006\2017-10-17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/stypes="app*4006*20171016*" /stext=" 17:.+((SYSTEM_STATE.+slice.+state.+changed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32"/>
        <v>"%USERPROFILE%\Documents\GitHub\eaglep3\Utilities\RefineRTDCRunTimes.py" --tripid 57-16 --locoid 4006 --swversion DE.1.0.9.0 --startMP 204:1272 --initTime 2017-10-16T11:20:51 --startdatetime 2017-10-16T11:31:40 --delay 70 --endMP 300:24263 --enddatetime 2017-10-16T11:38:30 --enforcementcount 0 &gt;&gt;%USERPROFILE%\Documents\GitHub\eaglep3-reporting\EC\2017-10-16-refined-times.txt</v>
      </c>
      <c r="AI235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2.4263"},{"id":17,"name":"Train ID","value":"57-16"},{"id":16,"name":"Locomotive ID","value":"4006"},{"id":130,"name":"Impact","value":""},{"id":150,"name":"Time of Event (Mountain Time)","value":"11:38:30"},{"id":151,"name":"Denver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34"/>
        <v>start /low /b %USERPROFILE%\Documents\GitHub\eaglep3\Utilities\DownloadLogsFromS3.py --loco 4006 --day 2017-10-16</v>
      </c>
      <c r="AN235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36"/>
        <v>https://d0f6bd738d7f1b3e5a7ca70fe4ff75f0.us-east-1.aws.found.io/app/kibana#/discover/Steve-Slow-Train-Analysis-(2080s-and-2083s)?_g=(refreshInterval:(display:Off,pause:!f,section:0,value:0),time:(from:'2017-10-16T10:20:51-0600',mode:absolute,to:'2017-10-16T12:38:30-0600'))&amp;_a=(columns:!('Message%20ID',Summary),filters:!(),index:'emp_*',interval:auto,query:(query_string:(analyze_wildcard:!t,query:'%22rtdc.l.rtdc.4006%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590</v>
      </c>
      <c r="B236" s="7">
        <v>4057</v>
      </c>
      <c r="C236" s="21" t="s">
        <v>194</v>
      </c>
      <c r="D236" s="21" t="s">
        <v>921</v>
      </c>
      <c r="E236" s="13">
        <v>43024.474224537036</v>
      </c>
      <c r="F236" s="13">
        <v>43024.47724537037</v>
      </c>
      <c r="G236" s="7">
        <v>78</v>
      </c>
      <c r="H236" s="21" t="s">
        <v>922</v>
      </c>
      <c r="I236" s="13">
        <v>43024.481608796297</v>
      </c>
      <c r="J236" s="7">
        <v>0</v>
      </c>
      <c r="K236" s="89" t="str">
        <f>IF(ISEVEN(B236),(B236-1)&amp;"/"&amp;B236,B236&amp;"/"&amp;(B236+1))</f>
        <v>4057/4058</v>
      </c>
      <c r="L236" s="185" t="str">
        <f>VLOOKUP(A236,'Trips&amp;Operators'!$C$1:$G$99911,5,FALSE)</f>
        <v>GUZMAN DANNY</v>
      </c>
      <c r="M236" s="6">
        <f>I236-F236</f>
        <v>4.3634259272948839E-3</v>
      </c>
      <c r="N236" s="7">
        <f>24*60*SUM($M236:$M236)</f>
        <v>6.2833333353046328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-16T10:22:53-0600',mode:absolute,to:'2017-10-16T12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1</v>
      </c>
      <c r="Y236" s="204">
        <f>RIGHT(D236,LEN(D236)-4)/10000</f>
        <v>2.3540000000000001</v>
      </c>
      <c r="Z236" s="204">
        <f>RIGHT(H236,LEN(H236)-4)/10000</f>
        <v>0.46839999999999998</v>
      </c>
      <c r="AA236" s="204">
        <f>ABS(Z236-Y236)</f>
        <v>1.8856000000000002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58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 &amp; aws s3 cp s3://rtdc.mdm.uploadarchive.raw/RTDC4057/ "%USERPROFILE%\AppData\Local\Temp\OnboardLogs"\RTDC4057\2017-10-17 --exclude "*" --recursive --include "*20171017*" &amp; "%USERPROFILE%\Documents\GitHub\mrs-test-scripts\Headless Mode &amp; Sideloading\WalkAndUnGZ.bat" "%USERPROFILE%\AppData\Local\Temp\OnboardLogs"\RTDC4057\2017-10-17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/stypes="app*4057*20171016*" /stext=" 17:.+((SYSTEM_STATE.+slice.+state.+changed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32"/>
        <v>"%USERPROFILE%\Documents\GitHub\eaglep3\Utilities\RefineRTDCRunTimes.py" --tripid 58-16 --locoid 4057 --swversion DE.1.0.9.0 --startMP 300:23540 --initTime 2017-10-16T11:22:53 --startdatetime 2017-10-16T11:27:14 --delay 78 --endMP 204:4684 --enddatetime 2017-10-16T11:33:31 --enforcementcount 0 &gt;&gt;%USERPROFILE%\Documents\GitHub\eaglep3-reporting\EC\2017-10-16-refined-times.txt</v>
      </c>
      <c r="AI236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0.4684"},{"id":17,"name":"Train ID","value":"58-16"},{"id":16,"name":"Locomotive ID","value":"4057"},{"id":130,"name":"Impact","value":""},{"id":150,"name":"Time of Event (Mountain Time)","value":"11:33:31"},{"id":151,"name":"Denver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34"/>
        <v>start /low /b %USERPROFILE%\Documents\GitHub\eaglep3\Utilities\DownloadLogsFromS3.py --loco 4057 --day 2017-10-16</v>
      </c>
      <c r="AN236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17:33:31"},{"id":29,"name":"Sharepoint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36"/>
        <v>https://d0f6bd738d7f1b3e5a7ca70fe4ff75f0.us-east-1.aws.found.io/app/kibana#/discover/Steve-Slow-Train-Analysis-(2080s-and-2083s)?_g=(refreshInterval:(display:Off,pause:!f,section:0,value:0),time:(from:'2017-10-16T10:22:53-0600',mode:absolute,to:'2017-10-16T12:33:31-0600'))&amp;_a=(columns:!('Message%20ID',Summary),filters:!(),index:'emp_*',interval:auto,query:(query_string:(analyze_wildcard:!t,query:'%22rtdc.l.rtdc.4057%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722</v>
      </c>
      <c r="B237" s="7">
        <v>4058</v>
      </c>
      <c r="C237" s="21" t="s">
        <v>194</v>
      </c>
      <c r="D237" s="21" t="s">
        <v>923</v>
      </c>
      <c r="E237" s="13">
        <v>43024.496504629627</v>
      </c>
      <c r="F237" s="13">
        <v>43024.497939814813</v>
      </c>
      <c r="G237" s="7">
        <v>80</v>
      </c>
      <c r="H237" s="21" t="s">
        <v>924</v>
      </c>
      <c r="I237" s="13">
        <v>43024.512696759259</v>
      </c>
      <c r="J237" s="7">
        <v>0</v>
      </c>
      <c r="K237" s="89" t="str">
        <f>IF(ISEVEN(B237),(B237-1)&amp;"/"&amp;B237,B237&amp;"/"&amp;(B237+1))</f>
        <v>4057/4058</v>
      </c>
      <c r="L237" s="185" t="str">
        <f>VLOOKUP(A237,'Trips&amp;Operators'!$C$1:$G$99911,5,FALSE)</f>
        <v>MACDONALD THOMAS</v>
      </c>
      <c r="M237" s="6">
        <f>I237-F237</f>
        <v>1.4756944445252884E-2</v>
      </c>
      <c r="N237" s="7">
        <f>24*60*SUM($M237:$M237)</f>
        <v>21.250000001164153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-16T10:54:58-0600',mode:absolute,to:'2017-10-16T13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</v>
      </c>
      <c r="Y237" s="204">
        <f>RIGHT(D237,LEN(D237)-4)/10000</f>
        <v>0.1205</v>
      </c>
      <c r="Z237" s="204">
        <f>RIGHT(H237,LEN(H237)-4)/10000</f>
        <v>2.4226000000000001</v>
      </c>
      <c r="AA237" s="204">
        <f>ABS(Z237-Y237)</f>
        <v>2.3021000000000003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59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 &amp; aws s3 cp s3://rtdc.mdm.uploadarchive.raw/RTDC4058/ "%USERPROFILE%\AppData\Local\Temp\OnboardLogs"\RTDC4058\2017-10-17 --exclude "*" --recursive --include "*20171017*" &amp; "%USERPROFILE%\Documents\GitHub\mrs-test-scripts\Headless Mode &amp; Sideloading\WalkAndUnGZ.bat" "%USERPROFILE%\AppData\Local\Temp\OnboardLogs"\RTDC4058\2017-10-17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/stypes="app*4058*20171016*" /stext=" 18:.+((SYSTEM_STATE.+slice.+state.+changed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32"/>
        <v>"%USERPROFILE%\Documents\GitHub\eaglep3\Utilities\RefineRTDCRunTimes.py" --tripid 59-16 --locoid 4058 --swversion DE.1.0.9.0 --startMP 204:1205 --initTime 2017-10-16T11:54:58 --startdatetime 2017-10-16T11:57:02 --delay 80 --endMP 300:24226 --enddatetime 2017-10-16T12:18:17 --enforcementcount 0 &gt;&gt;%USERPROFILE%\Documents\GitHub\eaglep3-reporting\EC\2017-10-16-refined-times.txt</v>
      </c>
      <c r="AI237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2.4226"},{"id":17,"name":"Train ID","value":"59-16"},{"id":16,"name":"Locomotive ID","value":"4058"},{"id":130,"name":"Impact","value":""},{"id":150,"name":"Time of Event (Mountain Time)","value":"12:18:17"},{"id":151,"name":"Denver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34"/>
        <v>start /low /b %USERPROFILE%\Documents\GitHub\eaglep3\Utilities\DownloadLogsFromS3.py --loco 4058 --day 2017-10-16</v>
      </c>
      <c r="AN237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18:18:17"},{"id":29,"name":"Sharepoint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36"/>
        <v>https://d0f6bd738d7f1b3e5a7ca70fe4ff75f0.us-east-1.aws.found.io/app/kibana#/discover/Steve-Slow-Train-Analysis-(2080s-and-2083s)?_g=(refreshInterval:(display:Off,pause:!f,section:0,value:0),time:(from:'2017-10-16T10:54:58-0600',mode:absolute,to:'2017-10-16T13:18:17-0600'))&amp;_a=(columns:!('Message%20ID',Summary),filters:!(),index:'emp_*',interval:auto,query:(query_string:(analyze_wildcard:!t,query:'%22rtdc.l.rtdc.4058%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803</v>
      </c>
      <c r="B238" s="7">
        <v>4008</v>
      </c>
      <c r="C238" s="21" t="s">
        <v>194</v>
      </c>
      <c r="D238" s="21" t="s">
        <v>925</v>
      </c>
      <c r="E238" s="13">
        <v>43024.82298611111</v>
      </c>
      <c r="F238" s="13">
        <v>43024.82880787037</v>
      </c>
      <c r="G238" s="7">
        <v>108</v>
      </c>
      <c r="H238" s="21" t="s">
        <v>926</v>
      </c>
      <c r="I238" s="13">
        <v>43024.829965277779</v>
      </c>
      <c r="J238" s="7">
        <v>0</v>
      </c>
      <c r="K238" s="89" t="str">
        <f>IF(ISEVEN(B238),(B238-1)&amp;"/"&amp;B238,B238&amp;"/"&amp;(B238+1))</f>
        <v>4007/4008</v>
      </c>
      <c r="L238" s="185" t="str">
        <f>VLOOKUP(A238,'Trips&amp;Operators'!$C$1:$G$99911,5,FALSE)</f>
        <v>GUNTHIER ERIC</v>
      </c>
      <c r="M238" s="6">
        <f>I238-F238</f>
        <v>1.157407408754807E-3</v>
      </c>
      <c r="N238" s="7">
        <f>24*60*SUM($M238:$M238)</f>
        <v>1.666666668606922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-16T18:45:06-0600',mode:absolute,to:'2017-10-16T20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12</v>
      </c>
      <c r="Y238" s="204">
        <f>RIGHT(D238,LEN(D238)-4)/10000</f>
        <v>0.11409999999999999</v>
      </c>
      <c r="Z238" s="204">
        <f>RIGHT(H238,LEN(H238)-4)/10000</f>
        <v>0.34029999999999999</v>
      </c>
      <c r="AA238" s="204">
        <f>ABS(Z238-Y238)</f>
        <v>0.22620000000000001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71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s3://rtdc.mdm.uploadarchive.raw/RTDC4008/ "%USERPROFILE%\AppData\Local\Temp\OnboardLogs"\RTDC4008\2017-10-16 --exclude "*" --recursive --include "*20171016*" &amp; "%USERPROFILE%\Documents\GitHub\mrs-test-scripts\Headless Mode &amp; Sideloading\WalkAndUnGZ.bat" "%USERPROFILE%\AppData\Local\Temp\OnboardLogs"\RTDC4008\2017-10-16 &amp; aws s3 cp s3://rtdc.mdm.uploadarchive.raw/RTDC4008/ "%USERPROFILE%\AppData\Local\Temp\OnboardLogs"\RTDC4008\2017-10-17 --exclude "*" --recursive --include "*20171017*" &amp; "%USERPROFILE%\Documents\GitHub\mrs-test-scripts\Headless Mode &amp; Sideloading\WalkAndUnGZ.bat" "%USERPROFILE%\AppData\Local\Temp\OnboardLogs"\RTDC4008\2017-10-17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/stypes="app*4008*20171017*" /stext=" 01:.+((SYSTEM_STATE.+slice.+state.+changed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32"/>
        <v>"%USERPROFILE%\Documents\GitHub\eaglep3\Utilities\RefineRTDCRunTimes.py" --tripid 71-16 --locoid 4008 --swversion DE.1.0.9.0 --startMP 204:1141 --initTime 2017-10-16T19:45:06 --startdatetime 2017-10-16T19:53:29 --delay 108 --endMP 204:3403 --enddatetime 2017-10-16T19:55:09 --enforcementcount 0 &gt;&gt;%USERPROFILE%\Documents\GitHub\eaglep3-reporting\EC\2017-10-16-refined-times.txt</v>
      </c>
      <c r="AI238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0.3403"},{"id":17,"name":"Train ID","value":"71-16"},{"id":16,"name":"Locomotive ID","value":"4008"},{"id":130,"name":"Impact","value":""},{"id":150,"name":"Time of Event (Mountain Time)","value":"19:55:09"},{"id":151,"name":"Denver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34"/>
        <v>start /low /b %USERPROFILE%\Documents\GitHub\eaglep3\Utilities\DownloadLogsFromS3.py --loco 4008 --day 2017-10-16</v>
      </c>
      <c r="AN238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36"/>
        <v>https://d0f6bd738d7f1b3e5a7ca70fe4ff75f0.us-east-1.aws.found.io/app/kibana#/discover/Steve-Slow-Train-Analysis-(2080s-and-2083s)?_g=(refreshInterval:(display:Off,pause:!f,section:0,value:0),time:(from:'2017-10-16T18:45:06-0600',mode:absolute,to:'2017-10-16T20:55:09-0600'))&amp;_a=(columns:!('Message%20ID',Summary),filters:!(),index:'emp_*',interval:auto,query:(query_string:(analyze_wildcard:!t,query:'%22rtdc.l.rtdc.4008%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814</v>
      </c>
      <c r="B239" s="7">
        <v>4026</v>
      </c>
      <c r="C239" s="21" t="s">
        <v>194</v>
      </c>
      <c r="D239" s="21" t="s">
        <v>927</v>
      </c>
      <c r="E239" s="13">
        <v>43024.881793981483</v>
      </c>
      <c r="F239" s="13">
        <v>43024.886203703703</v>
      </c>
      <c r="G239" s="7">
        <v>56</v>
      </c>
      <c r="H239" s="21" t="s">
        <v>928</v>
      </c>
      <c r="I239" s="13">
        <v>43024.887384259258</v>
      </c>
      <c r="J239" s="7">
        <v>0</v>
      </c>
      <c r="K239" s="89" t="str">
        <f>IF(ISEVEN(B239),(B239-1)&amp;"/"&amp;B239,B239&amp;"/"&amp;(B239+1))</f>
        <v>4025/4026</v>
      </c>
      <c r="L239" s="185" t="str">
        <f>VLOOKUP(A239,'Trips&amp;Operators'!$C$1:$G$99911,5,FALSE)</f>
        <v>DUNCAN SHEILA</v>
      </c>
      <c r="M239" s="6">
        <f>I239-F239</f>
        <v>1.1805555550381541E-3</v>
      </c>
      <c r="N239" s="7">
        <f>24*60*SUM($M239:$M239)</f>
        <v>1.6999999992549419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-16T20:09:47-0600',mode:absolute,to:'2017-10-16T22:17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2</v>
      </c>
      <c r="Y239" s="204">
        <f>RIGHT(D239,LEN(D239)-4)/10000</f>
        <v>0.1148</v>
      </c>
      <c r="Z239" s="204">
        <f>RIGHT(H239,LEN(H239)-4)/10000</f>
        <v>0.34670000000000001</v>
      </c>
      <c r="AA239" s="204">
        <f>ABS(Z239-Y239)</f>
        <v>0.2319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73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/stypes="app*4026*20171017*" /stext=" 03:.+((SYSTEM_STATE.+slice.+state.+changed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32"/>
        <v>"%USERPROFILE%\Documents\GitHub\eaglep3\Utilities\RefineRTDCRunTimes.py" --tripid 73-16 --locoid 4026 --swversion DE.1.0.9.0 --startMP 204:1148 --initTime 2017-10-16T21:09:47 --startdatetime 2017-10-16T21:16:08 --delay 56 --endMP 204:3467 --enddatetime 2017-10-16T21:17:50 --enforcementcount 0 &gt;&gt;%USERPROFILE%\Documents\GitHub\eaglep3-reporting\EC\2017-10-16-refined-times.txt</v>
      </c>
      <c r="AI239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0.3467"},{"id":17,"name":"Train ID","value":"73-16"},{"id":16,"name":"Locomotive ID","value":"4026"},{"id":130,"name":"Impact","value":""},{"id":150,"name":"Time of Event (Mountain Time)","value":"21:17:50"},{"id":151,"name":"Denver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34"/>
        <v>start /low /b %USERPROFILE%\Documents\GitHub\eaglep3\Utilities\DownloadLogsFromS3.py --loco 4026 --day 2017-10-16</v>
      </c>
      <c r="AN239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03:17:50"},{"id":29,"name":"Sharepoint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36"/>
        <v>https://d0f6bd738d7f1b3e5a7ca70fe4ff75f0.us-east-1.aws.found.io/app/kibana#/discover/Steve-Slow-Train-Analysis-(2080s-and-2083s)?_g=(refreshInterval:(display:Off,pause:!f,section:0,value:0),time:(from:'2017-10-16T20:09:47-0600',mode:absolute,to:'2017-10-16T22:17:50-0600'))&amp;_a=(columns:!('Message%20ID',Summary),filters:!(),index:'emp_*',interval:auto,query:(query_string:(analyze_wildcard:!t,query:'%22rtdc.l.rtdc.4026%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814</v>
      </c>
      <c r="B240" s="7">
        <v>4025</v>
      </c>
      <c r="C240" s="21" t="s">
        <v>194</v>
      </c>
      <c r="D240" s="21" t="s">
        <v>929</v>
      </c>
      <c r="E240" s="13">
        <v>43024.884976851848</v>
      </c>
      <c r="F240" s="13">
        <v>43024.886203703703</v>
      </c>
      <c r="G240" s="7">
        <v>55</v>
      </c>
      <c r="H240" s="21" t="s">
        <v>517</v>
      </c>
      <c r="I240" s="13">
        <v>43024.887384259258</v>
      </c>
      <c r="J240" s="7">
        <v>0</v>
      </c>
      <c r="K240" s="89" t="str">
        <f>IF(ISEVEN(B240),(B240-1)&amp;"/"&amp;B240,B240&amp;"/"&amp;(B240+1))</f>
        <v>4025/4026</v>
      </c>
      <c r="L240" s="185" t="str">
        <f>VLOOKUP(A240,'Trips&amp;Operators'!$C$1:$G$99911,5,FALSE)</f>
        <v>DUNCAN SHEILA</v>
      </c>
      <c r="M240" s="6">
        <f>I240-F240</f>
        <v>1.1805555550381541E-3</v>
      </c>
      <c r="N240" s="7">
        <f>24*60*SUM($M240:$M240)</f>
        <v>1.6999999992549419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-16T20:14:22-0600',mode:absolute,to:'2017-10-16T22:17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0</v>
      </c>
      <c r="Y240" s="204">
        <f>RIGHT(D240,LEN(D240)-4)/10000</f>
        <v>0.314</v>
      </c>
      <c r="Z240" s="204">
        <f>RIGHT(H240,LEN(H240)-4)/10000</f>
        <v>1.41E-2</v>
      </c>
      <c r="AA240" s="204">
        <f>ABS(Z240-Y240)</f>
        <v>0.2999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73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/stypes="app*4025*20171017*" /stext=" 03:.+((SYSTEM_STATE.+slice.+state.+changed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32"/>
        <v>"%USERPROFILE%\Documents\GitHub\eaglep3\Utilities\RefineRTDCRunTimes.py" --tripid 73-16 --locoid 4025 --swversion DE.1.0.9.0 --startMP 204:3140 --initTime 2017-10-16T21:14:22 --startdatetime 2017-10-16T21:16:08 --delay 55 --endMP 204:141 --enddatetime 2017-10-16T21:17:50 --enforcementcount 0 &gt;&gt;%USERPROFILE%\Documents\GitHub\eaglep3-reporting\EC\2017-10-16-refined-times.txt</v>
      </c>
      <c r="AI240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0.0141"},{"id":17,"name":"Train ID","value":"73-16"},{"id":16,"name":"Locomotive ID","value":"4025"},{"id":130,"name":"Impact","value":""},{"id":150,"name":"Time of Event (Mountain Time)","value":"21:17:50"},{"id":151,"name":"Denver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34"/>
        <v>start /low /b %USERPROFILE%\Documents\GitHub\eaglep3\Utilities\DownloadLogsFromS3.py --loco 4025 --day 2017-10-16</v>
      </c>
      <c r="AN240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03:17:50"},{"id":29,"name":"Sharepoint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36"/>
        <v>https://d0f6bd738d7f1b3e5a7ca70fe4ff75f0.us-east-1.aws.found.io/app/kibana#/discover/Steve-Slow-Train-Analysis-(2080s-and-2083s)?_g=(refreshInterval:(display:Off,pause:!f,section:0,value:0),time:(from:'2017-10-16T20:14:22-0600',mode:absolute,to:'2017-10-16T22:17:50-0600'))&amp;_a=(columns:!('Message%20ID',Summary),filters:!(),index:'emp_*',interval:auto,query:(query_string:(analyze_wildcard:!t,query:'%22rtdc.l.rtdc.4025%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782</v>
      </c>
      <c r="B241" s="7">
        <v>4007</v>
      </c>
      <c r="C241" s="21" t="s">
        <v>194</v>
      </c>
      <c r="D241" s="21" t="s">
        <v>930</v>
      </c>
      <c r="E241" s="13">
        <v>43024.745266203703</v>
      </c>
      <c r="F241" s="13">
        <v>43024.749768518515</v>
      </c>
      <c r="G241" s="7">
        <v>98</v>
      </c>
      <c r="H241" s="21" t="s">
        <v>931</v>
      </c>
      <c r="I241" s="13">
        <v>43024.758090277777</v>
      </c>
      <c r="J241" s="7">
        <v>0</v>
      </c>
      <c r="K241" s="89" t="str">
        <f>IF(ISEVEN(B241),(B241-1)&amp;"/"&amp;B241,B241&amp;"/"&amp;(B241+1))</f>
        <v>4007/4008</v>
      </c>
      <c r="L241" s="185" t="str">
        <f>VLOOKUP(A241,'Trips&amp;Operators'!$C$1:$G$99911,5,FALSE)</f>
        <v>WEST BRYAN</v>
      </c>
      <c r="M241" s="6">
        <f>I241-F241</f>
        <v>8.3217592618893832E-3</v>
      </c>
      <c r="N241" s="7">
        <f>24*60*SUM($M241:$M241)</f>
        <v>11.983333337120712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-16T16:53:11-0600',mode:absolute,to:'2017-10-16T19:11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2.2305000000000001</v>
      </c>
      <c r="Z241" s="204">
        <f>RIGHT(H241,LEN(H241)-4)/10000</f>
        <v>0.186</v>
      </c>
      <c r="AA241" s="204">
        <f>ABS(Z241-Y241)</f>
        <v>2.0445000000000002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74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 &amp; aws s3 cp s3://rtdc.mdm.uploadarchive.raw/RTDC4007/ "%USERPROFILE%\AppData\Local\Temp\OnboardLogs"\RTDC4007\2017-10-17 --exclude "*" --recursive --include "*20171017*" &amp; "%USERPROFILE%\Documents\GitHub\mrs-test-scripts\Headless Mode &amp; Sideloading\WalkAndUnGZ.bat" "%USERPROFILE%\AppData\Local\Temp\OnboardLogs"\RTDC4007\2017-10-17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/stypes="app*4007*20171017*" /stext=" 00:.+((SYSTEM_STATE.+slice.+state.+changed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32"/>
        <v>"%USERPROFILE%\Documents\GitHub\eaglep3\Utilities\RefineRTDCRunTimes.py" --tripid 74-16 --locoid 4007 --swversion DE.1.0.9.0 --startMP 300:22305 --initTime 2017-10-16T17:53:11 --startdatetime 2017-10-16T17:59:40 --delay 98 --endMP 204:1860 --enddatetime 2017-10-16T18:11:39 --enforcementcount 0 &gt;&gt;%USERPROFILE%\Documents\GitHub\eaglep3-reporting\EC\2017-10-16-refined-times.txt</v>
      </c>
      <c r="AI241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0.186"},{"id":17,"name":"Train ID","value":"74-16"},{"id":16,"name":"Locomotive ID","value":"4007"},{"id":130,"name":"Impact","value":""},{"id":150,"name":"Time of Event (Mountain Time)","value":"18:11:39"},{"id":151,"name":"Denver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34"/>
        <v>start /low /b %USERPROFILE%\Documents\GitHub\eaglep3\Utilities\DownloadLogsFromS3.py --loco 4007 --day 2017-10-16</v>
      </c>
      <c r="AN241" s="151" t="str">
        <f t="shared" si="3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00:11:39"},{"id":29,"name":"Sharepoint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36"/>
        <v>https://d0f6bd738d7f1b3e5a7ca70fe4ff75f0.us-east-1.aws.found.io/app/kibana#/discover/Steve-Slow-Train-Analysis-(2080s-and-2083s)?_g=(refreshInterval:(display:Off,pause:!f,section:0,value:0),time:(from:'2017-10-16T16:53:11-0600',mode:absolute,to:'2017-10-16T19:11:39-0600'))&amp;_a=(columns:!('Message%20ID',Summary),filters:!(),index:'emp_*',interval:auto,query:(query_string:(analyze_wildcard:!t,query:'%22rtdc.l.rtdc.4007%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768</v>
      </c>
      <c r="B242" s="7">
        <v>4066</v>
      </c>
      <c r="C242" s="21" t="s">
        <v>194</v>
      </c>
      <c r="D242" s="21" t="s">
        <v>578</v>
      </c>
      <c r="E242" s="13">
        <v>43024.688993055555</v>
      </c>
      <c r="F242" s="13">
        <v>43024.696585648147</v>
      </c>
      <c r="G242" s="7">
        <v>65</v>
      </c>
      <c r="H242" s="21" t="s">
        <v>932</v>
      </c>
      <c r="I242" s="13">
        <v>43024.7028587963</v>
      </c>
      <c r="J242" s="7">
        <v>0</v>
      </c>
      <c r="K242" s="89" t="str">
        <f>IF(ISEVEN(B242),(B242-1)&amp;"/"&amp;B242,B242&amp;"/"&amp;(B242+1))</f>
        <v>4065/4066</v>
      </c>
      <c r="L242" s="185" t="str">
        <f>VLOOKUP(A242,'Trips&amp;Operators'!$C$1:$G$99911,5,FALSE)</f>
        <v>RESPASS AARON</v>
      </c>
      <c r="M242" s="6">
        <f>I242-F242</f>
        <v>6.2731481521041133E-3</v>
      </c>
      <c r="N242" s="7">
        <f>24*60*SUM($M242:$M242)</f>
        <v>9.0333333390299231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-16T15:32:09-0600',mode:absolute,to:'2017-10-16T17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0.1477</v>
      </c>
      <c r="Z242" s="204">
        <f>RIGHT(H242,LEN(H242)-4)/10000</f>
        <v>2.3296999999999999</v>
      </c>
      <c r="AA242" s="204">
        <f>ABS(Z242-Y242)</f>
        <v>2.1819999999999999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75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s3://rtdc.mdm.uploadarchive.raw/RTDC4066/ "%USERPROFILE%\AppData\Local\Temp\OnboardLogs"\RTDC4066\2017-10-16 --exclude "*" --recursive --include "*20171016*" &amp; "%USERPROFILE%\Documents\GitHub\mrs-test-scripts\Headless Mode &amp; Sideloading\WalkAndUnGZ.bat" "%USERPROFILE%\AppData\Local\Temp\OnboardLogs"\RTDC4066\2017-10-16 &amp; 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/stypes="app*4066*20171016*" /stext=" 22:.+((SYSTEM_STATE.+slice.+state.+changed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32"/>
        <v>"%USERPROFILE%\Documents\GitHub\eaglep3\Utilities\RefineRTDCRunTimes.py" --tripid 75-16 --locoid 4066 --swversion DE.1.0.9.0 --startMP 204:1477 --initTime 2017-10-16T16:32:09 --startdatetime 2017-10-16T16:43:05 --delay 65 --endMP 300:23297 --enddatetime 2017-10-16T16:52:07 --enforcementcount 0 &gt;&gt;%USERPROFILE%\Documents\GitHub\eaglep3-reporting\EC\2017-10-16-refined-times.txt</v>
      </c>
      <c r="AI242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2.3297"},{"id":17,"name":"Train ID","value":"75-16"},{"id":16,"name":"Locomotive ID","value":"4066"},{"id":130,"name":"Impact","value":""},{"id":150,"name":"Time of Event (Mountain Time)","value":"16:52:07"},{"id":151,"name":"Denver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34"/>
        <v>start /low /b %USERPROFILE%\Documents\GitHub\eaglep3\Utilities\DownloadLogsFromS3.py --loco 4066 --day 2017-10-16</v>
      </c>
      <c r="AN242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22:52:07"},{"id":29,"name":"Sharepoint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36"/>
        <v>https://d0f6bd738d7f1b3e5a7ca70fe4ff75f0.us-east-1.aws.found.io/app/kibana#/discover/Steve-Slow-Train-Analysis-(2080s-and-2083s)?_g=(refreshInterval:(display:Off,pause:!f,section:0,value:0),time:(from:'2017-10-16T15:32:09-0600',mode:absolute,to:'2017-10-16T17:52:07-0600'))&amp;_a=(columns:!('Message%20ID',Summary),filters:!(),index:'emp_*',interval:auto,query:(query_string:(analyze_wildcard:!t,query:'%22rtdc.l.rtdc.4066%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775</v>
      </c>
      <c r="B243" s="7">
        <v>4044</v>
      </c>
      <c r="C243" s="21" t="s">
        <v>194</v>
      </c>
      <c r="D243" s="21" t="s">
        <v>933</v>
      </c>
      <c r="E243" s="13">
        <v>43024.714988425927</v>
      </c>
      <c r="F243" s="13">
        <v>43024.723414351851</v>
      </c>
      <c r="G243" s="7">
        <v>62</v>
      </c>
      <c r="H243" s="21" t="s">
        <v>439</v>
      </c>
      <c r="I243" s="13">
        <v>43024.731412037036</v>
      </c>
      <c r="J243" s="7">
        <v>0</v>
      </c>
      <c r="K243" s="89" t="str">
        <f>IF(ISEVEN(B243),(B243-1)&amp;"/"&amp;B243,B243&amp;"/"&amp;(B243+1))</f>
        <v>4043/4044</v>
      </c>
      <c r="L243" s="185" t="str">
        <f>VLOOKUP(A243,'Trips&amp;Operators'!$C$1:$G$99911,5,FALSE)</f>
        <v>KILLION DAVID</v>
      </c>
      <c r="M243" s="6">
        <f>I243-F243</f>
        <v>7.9976851848186925E-3</v>
      </c>
      <c r="N243" s="7">
        <f>24*60*SUM($M243:$M243)</f>
        <v>11.516666666138917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-16T16:09:35-0600',mode:absolute,to:'2017-10-16T18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2</v>
      </c>
      <c r="Y243" s="204">
        <f>RIGHT(D243,LEN(D243)-4)/10000</f>
        <v>0.1154</v>
      </c>
      <c r="Z243" s="204">
        <f>RIGHT(H243,LEN(H243)-4)/10000</f>
        <v>2.3346</v>
      </c>
      <c r="AA243" s="204">
        <f>ABS(Z243-Y243)</f>
        <v>2.2191999999999998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77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s3://rtdc.mdm.uploadarchive.raw/RTDC4044/ "%USERPROFILE%\AppData\Local\Temp\OnboardLogs"\RTDC4044\2017-10-16 --exclude "*" --recursive --include "*20171016*" &amp; "%USERPROFILE%\Documents\GitHub\mrs-test-scripts\Headless Mode &amp; Sideloading\WalkAndUnGZ.bat" "%USERPROFILE%\AppData\Local\Temp\OnboardLogs"\RTDC4044\2017-10-16 &amp; aws s3 cp s3://rtdc.mdm.uploadarchive.raw/RTDC4044/ "%USERPROFILE%\AppData\Local\Temp\OnboardLogs"\RTDC4044\2017-10-17 --exclude "*" --recursive --include "*20171017*" &amp; "%USERPROFILE%\Documents\GitHub\mrs-test-scripts\Headless Mode &amp; Sideloading\WalkAndUnGZ.bat" "%USERPROFILE%\AppData\Local\Temp\OnboardLogs"\RTDC4044\2017-10-17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/stypes="app*4044*20171016*" /stext=" 23:.+((SYSTEM_STATE.+slice.+state.+changed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32"/>
        <v>"%USERPROFILE%\Documents\GitHub\eaglep3\Utilities\RefineRTDCRunTimes.py" --tripid 77-16 --locoid 4044 --swversion DE.1.0.9.0 --startMP 204:1154 --initTime 2017-10-16T17:09:35 --startdatetime 2017-10-16T17:21:43 --delay 62 --endMP 300:23346 --enddatetime 2017-10-16T17:33:14 --enforcementcount 0 &gt;&gt;%USERPROFILE%\Documents\GitHub\eaglep3-reporting\EC\2017-10-16-refined-times.txt</v>
      </c>
      <c r="AI243" s="96" t="str">
        <f t="shared" si="33"/>
        <v>echo {"issue":{"subject":"","project_id":79,"tracker_id":40,"status_id":1,"priority_id":2,"assigned_to_id":338,"start_date":"2017-10-16","description":"","custom_fields":[{"id":1,"name":"Subdivision","value":"Shuttle/Test"},{"id":4,"name":"Milepost","value":"2.3346"},{"id":17,"name":"Train ID","value":"77-16"},{"id":16,"name":"Locomotive ID","value":"4044"},{"id":130,"name":"Impact","value":""},{"id":150,"name":"Time of Event (Mountain Time)","value":"17:33:14"},{"id":151,"name":"Denver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34"/>
        <v>start /low /b %USERPROFILE%\Documents\GitHub\eaglep3\Utilities\DownloadLogsFromS3.py --loco 4044 --day 2017-10-16</v>
      </c>
      <c r="AN243" s="151" t="str">
        <f t="shared" si="35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23:33:14"},{"id":29,"name":"Sharepoint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36"/>
        <v>https://d0f6bd738d7f1b3e5a7ca70fe4ff75f0.us-east-1.aws.found.io/app/kibana#/discover/Steve-Slow-Train-Analysis-(2080s-and-2083s)?_g=(refreshInterval:(display:Off,pause:!f,section:0,value:0),time:(from:'2017-10-16T16:09:35-0600',mode:absolute,to:'2017-10-16T18:33:14-0600'))&amp;_a=(columns:!('Message%20ID',Summary),filters:!(),index:'emp_*',interval:auto,query:(query_string:(analyze_wildcard:!t,query:'%22rtdc.l.rtdc.4044%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4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4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4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4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4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4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4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4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</sheetData>
  <autoFilter ref="A12:AG375">
    <sortState ref="A13:AG375">
      <sortCondition ref="AG13:AG243"/>
      <sortCondition ref="AD13:AD243"/>
    </sortState>
  </autoFilter>
  <sortState ref="A13:AN280">
    <sortCondition ref="AG13:AG280"/>
    <sortCondition ref="AD13:AD280"/>
  </sortState>
  <mergeCells count="1">
    <mergeCell ref="A11:P11"/>
  </mergeCells>
  <conditionalFormatting sqref="W11:W12 W381:X1048576 W13:X243">
    <cfRule type="cellIs" dxfId="12" priority="457" operator="equal">
      <formula>"Y"</formula>
    </cfRule>
  </conditionalFormatting>
  <conditionalFormatting sqref="X381:X1048576 X13:X243">
    <cfRule type="cellIs" dxfId="11" priority="440" operator="greaterThan">
      <formula>1</formula>
    </cfRule>
  </conditionalFormatting>
  <conditionalFormatting sqref="X381:X1048576 X12:X243">
    <cfRule type="cellIs" dxfId="10" priority="437" operator="equal">
      <formula>0</formula>
    </cfRule>
  </conditionalFormatting>
  <conditionalFormatting sqref="A13:S243">
    <cfRule type="expression" dxfId="9" priority="431" stopIfTrue="1">
      <formula>$P13&gt;0</formula>
    </cfRule>
    <cfRule type="expression" dxfId="8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O34" sqref="O3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- 2017-10-16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43024.431805555556</v>
      </c>
      <c r="B7" s="30" t="s">
        <v>525</v>
      </c>
      <c r="C7" s="30" t="s">
        <v>587</v>
      </c>
      <c r="D7" s="30" t="s">
        <v>49</v>
      </c>
      <c r="E7" s="30" t="s">
        <v>185</v>
      </c>
      <c r="F7" s="42">
        <v>0</v>
      </c>
      <c r="G7" s="42">
        <v>183</v>
      </c>
      <c r="H7" s="42">
        <v>27023</v>
      </c>
      <c r="I7" s="42">
        <v>27251</v>
      </c>
      <c r="J7" s="30" t="s">
        <v>186</v>
      </c>
      <c r="K7" s="42">
        <v>27053</v>
      </c>
      <c r="L7" s="131" t="s">
        <v>50</v>
      </c>
      <c r="M7" s="132">
        <f>CONVERT((I7-K7)/10000,"mi","ft")*IF(L7="Increasing Mileposts (1)",-1,1)</f>
        <v>-104.544</v>
      </c>
      <c r="N7" s="133" t="str">
        <f>VLOOKUP(C7,'Trips&amp;Operators'!$C$1:$G$99911,5,FALSE)</f>
        <v>MACDONALD THOMAS</v>
      </c>
      <c r="O7" s="176" t="s">
        <v>178</v>
      </c>
      <c r="P7" s="134" t="s">
        <v>357</v>
      </c>
      <c r="Q7" s="30"/>
      <c r="R7" s="81" t="str">
        <f>VLOOKUP(C7,'Train Runs'!$A$13:$AE$10034,31,0)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S7" s="84" t="str">
        <f>VLOOKUP(C7,'Train Runs'!$A$13:$AE$10034,22,0)</f>
        <v>https://d0f6bd738d7f1b3e5a7ca70fe4ff75f0.us-east-1.aws.found.io/app/kibana#/discover/Steve-Slow-Train-Analysis-(2080s-and-2083s)?_g=(refreshInterval:(display:Off,pause:!f,section:0,value:0),time:(from:'2017-10-16T09:09:28-0600',mode:absolute,to:'2017-10-16T11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/stypes="*4018*201710161*" /stext=" 16:.+((SYSTEM_STATE.+slice.+state.+changed )|(ment ac)|(multiple cpu faults)|(system.+state.+changed )|(\[timeout)|(PRM\|1\|D)|(kpr)|(kdp)|(train st.+moving)|(\|lc)|(penalty))"</v>
      </c>
      <c r="U7" s="9" t="str">
        <f>MID(B7,13,4)</f>
        <v>4018</v>
      </c>
      <c r="V7" s="31">
        <f>A7-utc_offset/24</f>
        <v>43024.681805555556</v>
      </c>
      <c r="W7" s="45" t="str">
        <f>DetSubdiv(C7)</f>
        <v>EC</v>
      </c>
      <c r="X7" s="22">
        <f>VALUE(LEFT(C7,LEN(C7)-3))</f>
        <v>153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Arrival","project_id":79,"tracker_id":40,"status_id":1,"priority_id":2,"assigned_to_id":338,"start_date":"2017-10-16","description":"","custom_fields":[{"id":1,"name":"Subdivision","value":"EC"},{"id":4,"name":"Milepost","value":"2.7053"},{"id":17,"name":"Train ID","value":"153-16"},{"id":16,"name":"Locomotive ID","value":"4018"},{"id":130,"name":"Impact","value":""},{"id":150,"name":"Time of Event (Mountain Time)","value":"10:21:48"},{"id":151,"name":"Denver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/c/Users/stu/AppData/Local/Temp/OnboardLogs/RTDC4018 --include="*4018*201710161*"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"%USERPROFILE%\AppData\Local\Temp\OnboardLogs"\RTDC4018\*4018*201710161* &gt;&gt; 2017-10-16-SliceDisagreementCheck.txt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4018 --day 2017-10-16</v>
      </c>
    </row>
    <row r="8" spans="1:32" s="1" customFormat="1" x14ac:dyDescent="0.3">
      <c r="A8" s="31">
        <v>43024.411550925928</v>
      </c>
      <c r="B8" s="30" t="s">
        <v>585</v>
      </c>
      <c r="C8" s="30" t="s">
        <v>586</v>
      </c>
      <c r="D8" s="30" t="s">
        <v>95</v>
      </c>
      <c r="E8" s="30" t="s">
        <v>185</v>
      </c>
      <c r="F8" s="42">
        <v>400</v>
      </c>
      <c r="G8" s="42">
        <v>451</v>
      </c>
      <c r="H8" s="42">
        <v>53199</v>
      </c>
      <c r="I8" s="42">
        <v>51702</v>
      </c>
      <c r="J8" s="30" t="s">
        <v>186</v>
      </c>
      <c r="K8" s="42">
        <v>53277</v>
      </c>
      <c r="L8" s="131" t="s">
        <v>51</v>
      </c>
      <c r="M8" s="132">
        <f>CONVERT((I8-K8)/10000,"mi","ft")*IF(L8="Increasing Mileposts (1)",-1,1)</f>
        <v>-831.6</v>
      </c>
      <c r="N8" s="133" t="str">
        <f>VLOOKUP(C8,'Trips&amp;Operators'!$C$1:$G$99911,5,FALSE)</f>
        <v>THOMPSON LESTER</v>
      </c>
      <c r="O8" s="176" t="s">
        <v>178</v>
      </c>
      <c r="P8" s="134" t="s">
        <v>357</v>
      </c>
      <c r="Q8" s="30"/>
      <c r="R8" s="81" t="str">
        <f>VLOOKUP(C8,'Train Runs'!$A$13:$AE$10034,31,0)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S8" s="84" t="str">
        <f>VLOOKUP(C8,'Train Runs'!$A$13:$AE$10034,22,0)</f>
        <v>https://d0f6bd738d7f1b3e5a7ca70fe4ff75f0.us-east-1.aws.found.io/app/kibana#/discover/Steve-Slow-Train-Analysis-(2080s-and-2083s)?_g=(refreshInterval:(display:Off,pause:!f,section:0,value:0),time:(from:'2017-10-16T08:22:12-0600',mode:absolute,to:'2017-10-16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/stypes="*4017*201710161*" /stext=" 15:.+((SYSTEM_STATE.+slice.+state.+changed )|(ment ac)|(multiple cpu faults)|(system.+state.+changed )|(\[timeout)|(PRM\|1\|D)|(kpr)|(kdp)|(train st.+moving)|(\|lc)|(penalty))"</v>
      </c>
      <c r="U8" s="9" t="str">
        <f>MID(B8,13,4)</f>
        <v>4017</v>
      </c>
      <c r="V8" s="31">
        <f>A8-utc_offset/24</f>
        <v>43024.661550925928</v>
      </c>
      <c r="W8" s="45" t="str">
        <f>DetSubdiv(C8)</f>
        <v>EC</v>
      </c>
      <c r="X8" s="22">
        <f>VALUE(LEFT(C8,LEN(C8)-3))</f>
        <v>140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Arrival","project_id":79,"tracker_id":40,"status_id":1,"priority_id":2,"assigned_to_id":338,"start_date":"2017-10-16","description":"","custom_fields":[{"id":1,"name":"Subdivision","value":"EC"},{"id":4,"name":"Milepost","value":"5.3277"},{"id":17,"name":"Train ID","value":"140-16"},{"id":16,"name":"Locomotive ID","value":"4017"},{"id":130,"name":"Impact","value":""},{"id":150,"name":"Time of Event (Mountain Time)","value":"09:52:38"},{"id":151,"name":"Denver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/c/Users/stu/AppData/Local/Temp/OnboardLogs/RTDC4017 --include="*4017*201710161*"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"%USERPROFILE%\AppData\Local\Temp\OnboardLogs"\RTDC4017\*4017*201710161* &gt;&gt; 2017-10-16-SliceDisagreementCheck.txt</v>
      </c>
      <c r="AE8" s="145" t="str">
        <f t="shared" ref="AE8:AE33" si="1">"start /low /b "&amp;dls3logs&amp;" --loco "&amp;U8&amp;" --day "&amp;TEXT(V8,"YYYY-MM-DD")</f>
        <v>start /low /b %USERPROFILE%\Documents\GitHub\eaglep3\Utilities\DownloadLogsFromS3.py --loco 4017 --day 2017-10-16</v>
      </c>
    </row>
    <row r="9" spans="1:32" s="1" customFormat="1" x14ac:dyDescent="0.3">
      <c r="A9" s="31">
        <v>43024.931423611109</v>
      </c>
      <c r="B9" s="30" t="s">
        <v>585</v>
      </c>
      <c r="C9" s="30" t="s">
        <v>605</v>
      </c>
      <c r="D9" s="30" t="s">
        <v>49</v>
      </c>
      <c r="E9" s="30" t="s">
        <v>185</v>
      </c>
      <c r="F9" s="42">
        <v>0</v>
      </c>
      <c r="G9" s="42">
        <v>301</v>
      </c>
      <c r="H9" s="42">
        <v>58612</v>
      </c>
      <c r="I9" s="42">
        <v>57787</v>
      </c>
      <c r="J9" s="30" t="s">
        <v>186</v>
      </c>
      <c r="K9" s="42">
        <v>58301</v>
      </c>
      <c r="L9" s="131" t="s">
        <v>51</v>
      </c>
      <c r="M9" s="132">
        <f>CONVERT((I9-K9)/10000,"mi","ft")*IF(L9="Increasing Mileposts (1)",-1,1)</f>
        <v>-271.392</v>
      </c>
      <c r="N9" s="133" t="str">
        <f>VLOOKUP(C9,'Trips&amp;Operators'!$C$1:$G$99911,5,FALSE)</f>
        <v>ELBAUM MIKE</v>
      </c>
      <c r="O9" s="176" t="s">
        <v>178</v>
      </c>
      <c r="P9" s="134" t="s">
        <v>357</v>
      </c>
      <c r="Q9" s="30"/>
      <c r="R9" s="81" t="str">
        <f>VLOOKUP(C9,'Train Runs'!$A$13:$AE$10034,31,0)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S9" s="84" t="str">
        <f>VLOOKUP(C9,'Train Runs'!$A$13:$AE$10034,22,0)</f>
        <v>https://d0f6bd738d7f1b3e5a7ca70fe4ff75f0.us-east-1.aws.found.io/app/kibana#/discover/Steve-Slow-Train-Analysis-(2080s-and-2083s)?_g=(refreshInterval:(display:Off,pause:!f,section:0,value:0),time:(from:'2017-10-16T20:37:12-0600',mode:absolute,to:'2017-10-16T23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/stypes="*4017*201710170*" /stext=" 04:.+((SYSTEM_STATE.+slice.+state.+changed )|(ment ac)|(multiple cpu faults)|(system.+state.+changed )|(\[timeout)|(PRM\|1\|D)|(kpr)|(kdp)|(train st.+moving)|(\|lc)|(penalty))"</v>
      </c>
      <c r="U9" s="9" t="str">
        <f>MID(B9,13,4)</f>
        <v>4017</v>
      </c>
      <c r="V9" s="31">
        <f>A9-utc_offset/24</f>
        <v>43025.181423611109</v>
      </c>
      <c r="W9" s="45" t="str">
        <f>DetSubdiv(C9)</f>
        <v>EC</v>
      </c>
      <c r="X9" s="22">
        <f>VALUE(LEFT(C9,LEN(C9)-3))</f>
        <v>230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Arrival","project_id":79,"tracker_id":40,"status_id":1,"priority_id":2,"assigned_to_id":338,"start_date":"2017-10-16","description":"","custom_fields":[{"id":1,"name":"Subdivision","value":"EC"},{"id":4,"name":"Milepost","value":"5.8301"},{"id":17,"name":"Train ID","value":"230-16"},{"id":16,"name":"Locomotive ID","value":"4017"},{"id":130,"name":"Impact","value":""},{"id":150,"name":"Time of Event (Mountain Time)","value":"22:21:15"},{"id":151,"name":"Denver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/c/Users/stu/AppData/Local/Temp/OnboardLogs/RTDC4017 --include="*4017*201710170*"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"%USERPROFILE%\AppData\Local\Temp\OnboardLogs"\RTDC4017\*4017*201710170* &gt;&gt; 2017-10-16-SliceDisagreementCheck.txt</v>
      </c>
      <c r="AE9" s="145" t="str">
        <f t="shared" si="1"/>
        <v>start /low /b %USERPROFILE%\Documents\GitHub\eaglep3\Utilities\DownloadLogsFromS3.py --loco 4017 --day 2017-10-17</v>
      </c>
    </row>
    <row r="10" spans="1:32" s="1" customFormat="1" x14ac:dyDescent="0.3">
      <c r="A10" s="31">
        <v>43024.659502314818</v>
      </c>
      <c r="B10" s="30" t="s">
        <v>480</v>
      </c>
      <c r="C10" s="30" t="s">
        <v>598</v>
      </c>
      <c r="D10" s="30" t="s">
        <v>95</v>
      </c>
      <c r="E10" s="30" t="s">
        <v>192</v>
      </c>
      <c r="F10" s="42">
        <v>700</v>
      </c>
      <c r="G10" s="42">
        <v>750</v>
      </c>
      <c r="H10" s="42">
        <v>179946</v>
      </c>
      <c r="I10" s="42">
        <v>176486</v>
      </c>
      <c r="J10" s="30" t="s">
        <v>193</v>
      </c>
      <c r="K10" s="42">
        <v>183829</v>
      </c>
      <c r="L10" s="131" t="s">
        <v>51</v>
      </c>
      <c r="M10" s="132">
        <f>CONVERT((I10-K10)/10000,"mi","ft")*IF(L10="Increasing Mileposts (1)",-1,1)</f>
        <v>-3877.1039999999998</v>
      </c>
      <c r="N10" s="133" t="str">
        <f>VLOOKUP(C10,'Trips&amp;Operators'!$C$1:$G$99911,5,FALSE)</f>
        <v>DAVIS MICHAEL</v>
      </c>
      <c r="O10" s="176" t="s">
        <v>178</v>
      </c>
      <c r="P10" s="134"/>
      <c r="Q10" s="30"/>
      <c r="R10" s="81" t="str">
        <f>VLOOKUP(C10,'Train Runs'!$A$13:$AE$10034,31,0)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S10" s="84" t="str">
        <f>VLOOKUP(C10,'Train Runs'!$A$13:$AE$10034,22,0)</f>
        <v>https://d0f6bd738d7f1b3e5a7ca70fe4ff75f0.us-east-1.aws.found.io/app/kibana#/discover/Steve-Slow-Train-Analysis-(2080s-and-2083s)?_g=(refreshInterval:(display:Off,pause:!f,section:0,value:0),time:(from:'2017-10-16T14:39:44-0600',mode:absolute,to:'2017-10-16T17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/stypes="*4025*201710162*" /stext=" 21:.+((SYSTEM_STATE.+slice.+state.+changed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43024.909502314818</v>
      </c>
      <c r="W10" s="45" t="str">
        <f>DetSubdiv(C10)</f>
        <v>EC</v>
      </c>
      <c r="X10" s="22">
        <f>VALUE(LEFT(C10,LEN(C10)-3))</f>
        <v>190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{"issue":{"subject":"","project_id":79,"tracker_id":40,"status_id":1,"priority_id":2,"assigned_to_id":338,"start_date":"2017-10-16","description":"","custom_fields":[{"id":1,"name":"Subdivision","value":"EC"},{"id":4,"name":"Milepost","value":"18.3829"},{"id":17,"name":"Train ID","value":"190-16"},{"id":16,"name":"Locomotive ID","value":"4025"},{"id":130,"name":"Impact","value":""},{"id":150,"name":"Time of Event (Mountain Time)","value":"15:49:41"},{"id":151,"name":"Denver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/c/Users/stu/AppData/Local/Temp/OnboardLogs/RTDC4025 --include="*4025*201710162*"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"%USERPROFILE%\AppData\Local\Temp\OnboardLogs"\RTDC4025\*4025*201710162* &gt;&gt; 2017-10-16-SliceDisagreementCheck.txt</v>
      </c>
      <c r="AE10" s="145" t="str">
        <f t="shared" si="1"/>
        <v>start /low /b %USERPROFILE%\Documents\GitHub\eaglep3\Utilities\DownloadLogsFromS3.py --loco 4025 --day 2017-10-16</v>
      </c>
    </row>
    <row r="11" spans="1:32" s="1" customFormat="1" x14ac:dyDescent="0.3">
      <c r="A11" s="31">
        <v>43024.3675</v>
      </c>
      <c r="B11" s="30" t="s">
        <v>583</v>
      </c>
      <c r="C11" s="30" t="s">
        <v>584</v>
      </c>
      <c r="D11" s="30" t="s">
        <v>49</v>
      </c>
      <c r="E11" s="30" t="s">
        <v>192</v>
      </c>
      <c r="F11" s="42">
        <v>350</v>
      </c>
      <c r="G11" s="42">
        <v>556</v>
      </c>
      <c r="H11" s="42">
        <v>222525</v>
      </c>
      <c r="I11" s="42">
        <v>224431</v>
      </c>
      <c r="J11" s="30" t="s">
        <v>193</v>
      </c>
      <c r="K11" s="42">
        <v>224578</v>
      </c>
      <c r="L11" s="131" t="s">
        <v>50</v>
      </c>
      <c r="M11" s="132">
        <f>CONVERT((I11-K11)/10000,"mi","ft")*IF(L11="Increasing Mileposts (1)",-1,1)</f>
        <v>77.616</v>
      </c>
      <c r="N11" s="133" t="str">
        <f>VLOOKUP(C11,'Trips&amp;Operators'!$C$1:$G$99911,5,FALSE)</f>
        <v>MAELZER KURT</v>
      </c>
      <c r="O11" s="176" t="s">
        <v>178</v>
      </c>
      <c r="P11" s="134"/>
      <c r="Q11" s="30"/>
      <c r="R11" s="81" t="str">
        <f>VLOOKUP(C11,'Train Runs'!$A$13:$AE$10034,31,0)</f>
        <v>aws s3 cp s3://rtdc.mdm.uploadarchive.raw/RTDC4060/ "%USERPROFILE%\AppData\Local\Temp\OnboardLogs"\RTDC4060\2017-10-16 --exclude "*" --recursive --include "*20171016*" &amp; "%USERPROFILE%\Documents\GitHub\mrs-test-scripts\Headless Mode &amp; Sideloading\WalkAndUnGZ.bat" "%USERPROFILE%\AppData\Local\Temp\OnboardLogs"\RTDC4060\2017-10-16 &amp; 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</v>
      </c>
      <c r="S11" s="84" t="str">
        <f>VLOOKUP(C11,'Train Runs'!$A$13:$AE$10034,22,0)</f>
        <v>https://d0f6bd738d7f1b3e5a7ca70fe4ff75f0.us-east-1.aws.found.io/app/kibana#/discover/Steve-Slow-Train-Analysis-(2080s-and-2083s)?_g=(refreshInterval:(display:Off,pause:!f,section:0,value:0),time:(from:'2017-10-16T07:08:51-0600',mode:absolute,to:'2017-10-16T09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/stypes="*4060*201710161*" /stext=" 14:.+((SYSTEM_STATE.+slice.+state.+changed )|(ment ac)|(multiple cpu faults)|(system.+state.+changed )|(\[timeout)|(PRM\|1\|D)|(kpr)|(kdp)|(train st.+moving)|(\|lc)|(penalty))"</v>
      </c>
      <c r="U11" s="9" t="str">
        <f>MID(B11,13,4)</f>
        <v>4060</v>
      </c>
      <c r="V11" s="31">
        <f>A11-utc_offset/24</f>
        <v>43024.6175</v>
      </c>
      <c r="W11" s="45" t="str">
        <f>DetSubdiv(C11)</f>
        <v>EC</v>
      </c>
      <c r="X11" s="22">
        <f>VALUE(LEFT(C11,LEN(C11)-3))</f>
        <v>137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{"issue":{"subject":"","project_id":79,"tracker_id":40,"status_id":1,"priority_id":2,"assigned_to_id":338,"start_date":"2017-10-16","description":"","custom_fields":[{"id":1,"name":"Subdivision","value":"EC"},{"id":4,"name":"Milepost","value":"22.4578"},{"id":17,"name":"Train ID","value":"137-16"},{"id":16,"name":"Locomotive ID","value":"4060"},{"id":130,"name":"Impact","value":""},{"id":150,"name":"Time of Event (Mountain Time)","value":"08:49:12"},{"id":151,"name":"Denver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/c/Users/stu/AppData/Local/Temp/OnboardLogs/RTDC4060 --include="*4060*201710161*"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"%USERPROFILE%\AppData\Local\Temp\OnboardLogs"\RTDC4060\*4060*201710161* &gt;&gt; 2017-10-16-SliceDisagreementCheck.txt</v>
      </c>
      <c r="AE11" s="145" t="str">
        <f t="shared" si="1"/>
        <v>start /low /b %USERPROFILE%\Documents\GitHub\eaglep3\Utilities\DownloadLogsFromS3.py --loco 4060 --day 2017-10-16</v>
      </c>
    </row>
    <row r="12" spans="1:32" x14ac:dyDescent="0.3">
      <c r="A12" s="31">
        <v>43024.63517361111</v>
      </c>
      <c r="B12" s="30" t="s">
        <v>580</v>
      </c>
      <c r="C12" s="30" t="s">
        <v>596</v>
      </c>
      <c r="D12" s="30" t="s">
        <v>95</v>
      </c>
      <c r="E12" s="30" t="s">
        <v>192</v>
      </c>
      <c r="F12" s="42">
        <v>350</v>
      </c>
      <c r="G12" s="42">
        <v>403</v>
      </c>
      <c r="H12" s="42">
        <v>224544</v>
      </c>
      <c r="I12" s="42">
        <v>223156</v>
      </c>
      <c r="J12" s="30" t="s">
        <v>193</v>
      </c>
      <c r="K12" s="42">
        <v>232080</v>
      </c>
      <c r="L12" s="131" t="s">
        <v>51</v>
      </c>
      <c r="M12" s="132">
        <f>CONVERT((I12-K12)/10000,"mi","ft")*IF(L12="Increasing Mileposts (1)",-1,1)</f>
        <v>-4711.8720000000003</v>
      </c>
      <c r="N12" s="133" t="str">
        <f>VLOOKUP(C12,'Trips&amp;Operators'!$C$1:$G$99911,5,FALSE)</f>
        <v>BADERTSCHER DIANE</v>
      </c>
      <c r="O12" s="176" t="s">
        <v>178</v>
      </c>
      <c r="P12" s="134"/>
      <c r="Q12" s="30"/>
      <c r="R12" s="81" t="str">
        <f>VLOOKUP(C12,'Train Runs'!$A$13:$AE$10034,31,0)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S12" s="84" t="str">
        <f>VLOOKUP(C12,'Train Runs'!$A$13:$AE$10034,22,0)</f>
        <v>https://d0f6bd738d7f1b3e5a7ca70fe4ff75f0.us-east-1.aws.found.io/app/kibana#/discover/Steve-Slow-Train-Analysis-(2080s-and-2083s)?_g=(refreshInterval:(display:Off,pause:!f,section:0,value:0),time:(from:'2017-10-16T14:05:40-0600',mode:absolute,to:'2017-10-16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/stypes="*4029*201710162*" /stext=" 21:.+((SYSTEM_STATE.+slice.+state.+changed )|(ment ac)|(multiple cpu faults)|(system.+state.+changed )|(\[timeout)|(PRM\|1\|D)|(kpr)|(kdp)|(train st.+moving)|(\|lc)|(penalty))"</v>
      </c>
      <c r="U12" s="9" t="str">
        <f>MID(B12,13,4)</f>
        <v>4029</v>
      </c>
      <c r="V12" s="31">
        <f>A12-utc_offset/24</f>
        <v>43024.88517361111</v>
      </c>
      <c r="W12" s="45" t="str">
        <f>DetSubdiv(C12)</f>
        <v>EC</v>
      </c>
      <c r="X12" s="22">
        <f>VALUE(LEFT(C12,LEN(C12)-3))</f>
        <v>186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{"issue":{"subject":"","project_id":79,"tracker_id":40,"status_id":1,"priority_id":2,"assigned_to_id":338,"start_date":"2017-10-16","description":"","custom_fields":[{"id":1,"name":"Subdivision","value":"EC"},{"id":4,"name":"Milepost","value":"23.208"},{"id":17,"name":"Train ID","value":"186-16"},{"id":16,"name":"Locomotive ID","value":"4029"},{"id":130,"name":"Impact","value":""},{"id":150,"name":"Time of Event (Mountain Time)","value":"15:14:39"},{"id":151,"name":"Denver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/c/Users/stu/AppData/Local/Temp/OnboardLogs/RTDC4029 --include="*4029*201710162*"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"%USERPROFILE%\AppData\Local\Temp\OnboardLogs"\RTDC4029\*4029*201710162* &gt;&gt; 2017-10-16-SliceDisagreementCheck.txt</v>
      </c>
      <c r="AE12" s="145" t="str">
        <f t="shared" si="1"/>
        <v>start /low /b %USERPROFILE%\Documents\GitHub\eaglep3\Utilities\DownloadLogsFromS3.py --loco 4029 --day 2017-10-16</v>
      </c>
      <c r="AF12" s="1"/>
    </row>
    <row r="13" spans="1:32" x14ac:dyDescent="0.3">
      <c r="A13" s="31">
        <v>43024.842974537038</v>
      </c>
      <c r="B13" s="30" t="s">
        <v>585</v>
      </c>
      <c r="C13" s="30" t="s">
        <v>604</v>
      </c>
      <c r="D13" s="30" t="s">
        <v>49</v>
      </c>
      <c r="E13" s="30" t="s">
        <v>441</v>
      </c>
      <c r="F13" s="42">
        <v>0</v>
      </c>
      <c r="G13" s="42">
        <v>373</v>
      </c>
      <c r="H13" s="42">
        <v>113155</v>
      </c>
      <c r="I13" s="42">
        <v>112005</v>
      </c>
      <c r="J13" s="30" t="s">
        <v>442</v>
      </c>
      <c r="K13" s="42">
        <v>110714</v>
      </c>
      <c r="L13" s="131" t="s">
        <v>51</v>
      </c>
      <c r="M13" s="132">
        <f>CONVERT((I13-K13)/10000,"mi","ft")*IF(L13="Increasing Mileposts (1)",-1,1)</f>
        <v>681.64800000000002</v>
      </c>
      <c r="N13" s="133" t="str">
        <f>VLOOKUP(C13,'Trips&amp;Operators'!$C$1:$G$99911,5,FALSE)</f>
        <v>ELBAUM MIKE</v>
      </c>
      <c r="O13" s="176" t="s">
        <v>379</v>
      </c>
      <c r="P13" s="134" t="s">
        <v>520</v>
      </c>
      <c r="Q13" s="30"/>
      <c r="R13" s="81" t="str">
        <f>VLOOKUP(C13,'Train Runs'!$A$13:$AE$10034,31,0)</f>
        <v>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 &amp; aws s3 cp s3://rtdc.mdm.uploadarchive.raw/RTDC4017/ "%USERPROFILE%\AppData\Local\Temp\OnboardLogs"\RTDC4017\2017-10-17 --exclude "*" --recursive --include "*20171017*" &amp; "%USERPROFILE%\Documents\GitHub\mrs-test-scripts\Headless Mode &amp; Sideloading\WalkAndUnGZ.bat" "%USERPROFILE%\AppData\Local\Temp\OnboardLogs"\RTDC4017\2017-10-17</v>
      </c>
      <c r="S13" s="84" t="str">
        <f>VLOOKUP(C13,'Train Runs'!$A$13:$AE$10034,22,0)</f>
        <v>https://d0f6bd738d7f1b3e5a7ca70fe4ff75f0.us-east-1.aws.found.io/app/kibana#/discover/Steve-Slow-Train-Analysis-(2080s-and-2083s)?_g=(refreshInterval:(display:Off,pause:!f,section:0,value:0),time:(from:'2017-10-16T18:37:21-0600',mode:absolute,to:'2017-10-16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/stypes="*4017*201710170*" /stext=" 02:.+((SYSTEM_STATE.+slice.+state.+changed )|(ment ac)|(multiple cpu faults)|(system.+state.+changed )|(\[timeout)|(PRM\|1\|D)|(kpr)|(kdp)|(train st.+moving)|(\|lc)|(penalty))"</v>
      </c>
      <c r="U13" s="9" t="str">
        <f>MID(B13,13,4)</f>
        <v>4017</v>
      </c>
      <c r="V13" s="31">
        <f>A13-utc_offset/24</f>
        <v>43025.092974537038</v>
      </c>
      <c r="W13" s="45" t="str">
        <f>DetSubdiv(C13)</f>
        <v>EC</v>
      </c>
      <c r="X13" s="22">
        <f>VALUE(LEFT(C13,LEN(C13)-3))</f>
        <v>222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drop","project_id":79,"tracker_id":40,"status_id":1,"priority_id":2,"assigned_to_id":338,"start_date":"2017-10-16","description":"","custom_fields":[{"id":1,"name":"Subdivision","value":"EC"},{"id":4,"name":"Milepost","value":"11.0714"},{"id":17,"name":"Train ID","value":"222-16"},{"id":16,"name":"Locomotive ID","value":"4017"},{"id":130,"name":"Impact","value":""},{"id":150,"name":"Time of Event (Mountain Time)","value":"20:13:53"},{"id":151,"name":"Denver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/c/Users/stu/AppData/Local/Temp/OnboardLogs/RTDC4017 --include="*4017*201710170*"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"%USERPROFILE%\AppData\Local\Temp\OnboardLogs"\RTDC4017\*4017*201710170* &gt;&gt; 2017-10-16-SliceDisagreementCheck.txt</v>
      </c>
      <c r="AE13" s="145" t="str">
        <f t="shared" si="1"/>
        <v>start /low /b %USERPROFILE%\Documents\GitHub\eaglep3\Utilities\DownloadLogsFromS3.py --loco 4017 --day 2017-10-17</v>
      </c>
      <c r="AF13" s="1"/>
    </row>
    <row r="14" spans="1:32" x14ac:dyDescent="0.3">
      <c r="A14" s="31">
        <v>43024.9528587963</v>
      </c>
      <c r="B14" s="30" t="s">
        <v>606</v>
      </c>
      <c r="C14" s="30" t="s">
        <v>607</v>
      </c>
      <c r="D14" s="30" t="s">
        <v>49</v>
      </c>
      <c r="E14" s="30" t="s">
        <v>441</v>
      </c>
      <c r="F14" s="42">
        <v>0</v>
      </c>
      <c r="G14" s="42">
        <v>377</v>
      </c>
      <c r="H14" s="42">
        <v>117415</v>
      </c>
      <c r="I14" s="42">
        <v>118407</v>
      </c>
      <c r="J14" s="30" t="s">
        <v>442</v>
      </c>
      <c r="K14" s="42">
        <v>118739</v>
      </c>
      <c r="L14" s="131" t="s">
        <v>50</v>
      </c>
      <c r="M14" s="132">
        <f>CONVERT((I14-K14)/10000,"mi","ft")*IF(L14="Increasing Mileposts (1)",-1,1)</f>
        <v>175.29599999999999</v>
      </c>
      <c r="N14" s="133" t="str">
        <f>VLOOKUP(C14,'Trips&amp;Operators'!$C$1:$G$99911,5,FALSE)</f>
        <v>WILLIAMS DONTE</v>
      </c>
      <c r="O14" s="176" t="s">
        <v>379</v>
      </c>
      <c r="P14" s="134" t="s">
        <v>520</v>
      </c>
      <c r="Q14" s="30"/>
      <c r="R14" s="81" t="str">
        <f>VLOOKUP(C14,'Train Runs'!$A$13:$AE$10034,31,0)</f>
        <v>aws s3 cp s3://rtdc.mdm.uploadarchive.raw/RTDC4020/ "%USERPROFILE%\AppData\Local\Temp\OnboardLogs"\RTDC4020\2017-10-16 --exclude "*" --recursive --include "*20171016*" &amp; "%USERPROFILE%\Documents\GitHub\mrs-test-scripts\Headless Mode &amp; Sideloading\WalkAndUnGZ.bat" "%USERPROFILE%\AppData\Local\Temp\OnboardLogs"\RTDC4020\2017-10-16 &amp; aws s3 cp s3://rtdc.mdm.uploadarchive.raw/RTDC4020/ "%USERPROFILE%\AppData\Local\Temp\OnboardLogs"\RTDC4020\2017-10-17 --exclude "*" --recursive --include "*20171017*" &amp; "%USERPROFILE%\Documents\GitHub\mrs-test-scripts\Headless Mode &amp; Sideloading\WalkAndUnGZ.bat" "%USERPROFILE%\AppData\Local\Temp\OnboardLogs"\RTDC4020\2017-10-17</v>
      </c>
      <c r="S14" s="84" t="str">
        <f>VLOOKUP(C14,'Train Runs'!$A$13:$AE$10034,22,0)</f>
        <v>https://d0f6bd738d7f1b3e5a7ca70fe4ff75f0.us-east-1.aws.found.io/app/kibana#/discover/Steve-Slow-Train-Analysis-(2080s-and-2083s)?_g=(refreshInterval:(display:Off,pause:!f,section:0,value:0),time:(from:'2017-10-16T21:21:39-0600',mode:absolute,to:'2017-10-17T00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/stypes="*4020*201710170*" /stext=" 04:.+((SYSTEM_STATE.+slice.+state.+changed )|(ment ac)|(multiple cpu faults)|(system.+state.+changed )|(\[timeout)|(PRM\|1\|D)|(kpr)|(kdp)|(train st.+moving)|(\|lc)|(penalty))"</v>
      </c>
      <c r="U14" s="9" t="str">
        <f>MID(B14,13,4)</f>
        <v>4020</v>
      </c>
      <c r="V14" s="31">
        <f>A14-utc_offset/24</f>
        <v>43025.2028587963</v>
      </c>
      <c r="W14" s="45" t="str">
        <f>DetSubdiv(C14)</f>
        <v>EC</v>
      </c>
      <c r="X14" s="22">
        <f>VALUE(LEFT(C14,LEN(C14)-3))</f>
        <v>235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drop","project_id":79,"tracker_id":40,"status_id":1,"priority_id":2,"assigned_to_id":338,"start_date":"2017-10-16","description":"","custom_fields":[{"id":1,"name":"Subdivision","value":"EC"},{"id":4,"name":"Milepost","value":"11.8739"},{"id":17,"name":"Train ID","value":"235-16"},{"id":16,"name":"Locomotive ID","value":"4020"},{"id":130,"name":"Impact","value":""},{"id":150,"name":"Time of Event (Mountain Time)","value":"22:52:07"},{"id":151,"name":"Denver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/c/Users/stu/AppData/Local/Temp/OnboardLogs/RTDC4020 --include="*4020*201710170*"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"%USERPROFILE%\AppData\Local\Temp\OnboardLogs"\RTDC4020\*4020*201710170* &gt;&gt; 2017-10-16-SliceDisagreementCheck.txt</v>
      </c>
      <c r="AE14" s="145" t="str">
        <f t="shared" si="1"/>
        <v>start /low /b %USERPROFILE%\Documents\GitHub\eaglep3\Utilities\DownloadLogsFromS3.py --loco 4020 --day 2017-10-17</v>
      </c>
      <c r="AF14" s="1"/>
    </row>
    <row r="15" spans="1:32" x14ac:dyDescent="0.3">
      <c r="A15" s="31">
        <v>43024.222858796296</v>
      </c>
      <c r="B15" s="30" t="s">
        <v>580</v>
      </c>
      <c r="C15" s="30" t="s">
        <v>581</v>
      </c>
      <c r="D15" s="30" t="s">
        <v>49</v>
      </c>
      <c r="E15" s="30" t="s">
        <v>179</v>
      </c>
      <c r="F15" s="42">
        <v>0</v>
      </c>
      <c r="G15" s="42">
        <v>46</v>
      </c>
      <c r="H15" s="42">
        <v>156</v>
      </c>
      <c r="I15" s="42">
        <v>130</v>
      </c>
      <c r="J15" s="30" t="s">
        <v>180</v>
      </c>
      <c r="K15" s="42">
        <v>1</v>
      </c>
      <c r="L15" s="131" t="s">
        <v>51</v>
      </c>
      <c r="M15" s="132">
        <f>CONVERT((I15-K15)/10000,"mi","ft")*IF(L15="Increasing Mileposts (1)",-1,1)</f>
        <v>68.111999999999995</v>
      </c>
      <c r="N15" s="133" t="str">
        <f>VLOOKUP(C15,'Trips&amp;Operators'!$C$1:$G$99911,5,FALSE)</f>
        <v>LANGERAK WILLIAM</v>
      </c>
      <c r="O15" s="176" t="s">
        <v>178</v>
      </c>
      <c r="P15" s="134"/>
      <c r="Q15" s="30"/>
      <c r="R15" s="81" t="str">
        <f>VLOOKUP(C15,'Train Runs'!$A$13:$AE$10034,31,0)</f>
        <v>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 &amp; 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</v>
      </c>
      <c r="S15" s="84" t="str">
        <f>VLOOKUP(C15,'Train Runs'!$A$13:$AE$10034,22,0)</f>
        <v>https://d0f6bd738d7f1b3e5a7ca70fe4ff75f0.us-east-1.aws.found.io/app/kibana#/discover/Steve-Slow-Train-Analysis-(2080s-and-2083s)?_g=(refreshInterval:(display:Off,pause:!f,section:0,value:0),time:(from:'2017-10-16T03:24:21-0600',mode:absolute,to:'2017-10-16T06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/stypes="*4029*201710161*" /stext=" 11:.+((SYSTEM_STATE.+slice.+state.+changed )|(ment ac)|(multiple cpu faults)|(system.+state.+changed )|(\[timeout)|(PRM\|1\|D)|(kpr)|(kdp)|(train st.+moving)|(\|lc)|(penalty))"</v>
      </c>
      <c r="U15" s="9" t="str">
        <f>MID(B15,13,4)</f>
        <v>4029</v>
      </c>
      <c r="V15" s="31">
        <f>A15-utc_offset/24</f>
        <v>43024.472858796296</v>
      </c>
      <c r="W15" s="45" t="str">
        <f>DetSubdiv(C15)</f>
        <v>EC</v>
      </c>
      <c r="X15" s="22">
        <f>VALUE(LEFT(C15,LEN(C15)-3))</f>
        <v>104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{"issue":{"subject":"","project_id":79,"tracker_id":40,"status_id":1,"priority_id":2,"assigned_to_id":338,"start_date":"2017-10-16","description":"","custom_fields":[{"id":1,"name":"Subdivision","value":"EC"},{"id":4,"name":"Milepost","value":"0.0001"},{"id":17,"name":"Train ID","value":"104-16"},{"id":16,"name":"Locomotive ID","value":"4029"},{"id":130,"name":"Impact","value":""},{"id":150,"name":"Time of Event (Mountain Time)","value":"05:20:55"},{"id":151,"name":"Denver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/c/Users/stu/AppData/Local/Temp/OnboardLogs/RTDC4029 --include="*4029*201710161*"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"%USERPROFILE%\AppData\Local\Temp\OnboardLogs"\RTDC4029\*4029*201710161* &gt;&gt; 2017-10-16-SliceDisagreementCheck.txt</v>
      </c>
      <c r="AE15" s="145" t="str">
        <f t="shared" si="1"/>
        <v>start /low /b %USERPROFILE%\Documents\GitHub\eaglep3\Utilities\DownloadLogsFromS3.py --loco 4029 --day 2017-10-16</v>
      </c>
      <c r="AF15" s="1"/>
    </row>
    <row r="16" spans="1:32" x14ac:dyDescent="0.3">
      <c r="A16" s="31">
        <v>43024.757280092592</v>
      </c>
      <c r="B16" s="30" t="s">
        <v>480</v>
      </c>
      <c r="C16" s="30" t="s">
        <v>602</v>
      </c>
      <c r="D16" s="30" t="s">
        <v>49</v>
      </c>
      <c r="E16" s="30" t="s">
        <v>179</v>
      </c>
      <c r="F16" s="42">
        <v>0</v>
      </c>
      <c r="G16" s="42">
        <v>32</v>
      </c>
      <c r="H16" s="42">
        <v>134</v>
      </c>
      <c r="I16" s="42">
        <v>114</v>
      </c>
      <c r="J16" s="30" t="s">
        <v>180</v>
      </c>
      <c r="K16" s="42">
        <v>1</v>
      </c>
      <c r="L16" s="131" t="s">
        <v>51</v>
      </c>
      <c r="M16" s="132">
        <f>CONVERT((I16-K16)/10000,"mi","ft")*IF(L16="Increasing Mileposts (1)",-1,1)</f>
        <v>59.664000000000001</v>
      </c>
      <c r="N16" s="133" t="str">
        <f>VLOOKUP(C16,'Trips&amp;Operators'!$C$1:$G$99911,5,FALSE)</f>
        <v>DAVIS MICHAEL</v>
      </c>
      <c r="O16" s="176" t="s">
        <v>178</v>
      </c>
      <c r="P16" s="134"/>
      <c r="Q16" s="30"/>
      <c r="R16" s="81" t="str">
        <f>VLOOKUP(C16,'Train Runs'!$A$13:$AE$10034,31,0)</f>
        <v>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 &amp; aws s3 cp s3://rtdc.mdm.uploadarchive.raw/RTDC4025/ "%USERPROFILE%\AppData\Local\Temp\OnboardLogs"\RTDC4025\2017-10-17 --exclude "*" --recursive --include "*20171017*" &amp; "%USERPROFILE%\Documents\GitHub\mrs-test-scripts\Headless Mode &amp; Sideloading\WalkAndUnGZ.bat" "%USERPROFILE%\AppData\Local\Temp\OnboardLogs"\RTDC4025\2017-10-17</v>
      </c>
      <c r="S16" s="84" t="str">
        <f>VLOOKUP(C16,'Train Runs'!$A$13:$AE$10034,22,0)</f>
        <v>https://d0f6bd738d7f1b3e5a7ca70fe4ff75f0.us-east-1.aws.found.io/app/kibana#/discover/Steve-Slow-Train-Analysis-(2080s-and-2083s)?_g=(refreshInterval:(display:Off,pause:!f,section:0,value:0),time:(from:'2017-10-16T16:22:58-0600',mode:absolute,to:'2017-10-16T19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/stypes="*4025*201710170*" /stext=" 00:.+((SYSTEM_STATE.+slice.+state.+changed )|(ment ac)|(multiple cpu faults)|(system.+state.+changed )|(\[timeout)|(PRM\|1\|D)|(kpr)|(kdp)|(train st.+moving)|(\|lc)|(penalty))"</v>
      </c>
      <c r="U16" s="9" t="str">
        <f>MID(B16,13,4)</f>
        <v>4025</v>
      </c>
      <c r="V16" s="31">
        <f>A16-utc_offset/24</f>
        <v>43025.007280092592</v>
      </c>
      <c r="W16" s="45" t="str">
        <f>DetSubdiv(C16)</f>
        <v>EC</v>
      </c>
      <c r="X16" s="22">
        <f>VALUE(LEFT(C16,LEN(C16)-3))</f>
        <v>204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{"issue":{"subject":"","project_id":79,"tracker_id":40,"status_id":1,"priority_id":2,"assigned_to_id":338,"start_date":"2017-10-16","description":"","custom_fields":[{"id":1,"name":"Subdivision","value":"EC"},{"id":4,"name":"Milepost","value":"0.0001"},{"id":17,"name":"Train ID","value":"204-16"},{"id":16,"name":"Locomotive ID","value":"4025"},{"id":130,"name":"Impact","value":""},{"id":150,"name":"Time of Event (Mountain Time)","value":"18:10:29"},{"id":151,"name":"Denver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/c/Users/stu/AppData/Local/Temp/OnboardLogs/RTDC4025 --include="*4025*201710170*"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"%USERPROFILE%\AppData\Local\Temp\OnboardLogs"\RTDC4025\*4025*201710170* &gt;&gt; 2017-10-16-SliceDisagreementCheck.txt</v>
      </c>
      <c r="AE16" s="145" t="str">
        <f t="shared" si="1"/>
        <v>start /low /b %USERPROFILE%\Documents\GitHub\eaglep3\Utilities\DownloadLogsFromS3.py --loco 4025 --day 2017-10-17</v>
      </c>
      <c r="AF16" s="1"/>
    </row>
    <row r="17" spans="1:32" x14ac:dyDescent="0.3">
      <c r="A17" s="31">
        <v>43024.306539351855</v>
      </c>
      <c r="B17" s="30" t="s">
        <v>525</v>
      </c>
      <c r="C17" s="30" t="s">
        <v>582</v>
      </c>
      <c r="D17" s="30" t="s">
        <v>49</v>
      </c>
      <c r="E17" s="30" t="s">
        <v>179</v>
      </c>
      <c r="F17" s="42">
        <v>0</v>
      </c>
      <c r="G17" s="42">
        <v>82</v>
      </c>
      <c r="H17" s="42">
        <v>233197</v>
      </c>
      <c r="I17" s="42">
        <v>233276</v>
      </c>
      <c r="J17" s="30" t="s">
        <v>180</v>
      </c>
      <c r="K17" s="42">
        <v>233491</v>
      </c>
      <c r="L17" s="131" t="s">
        <v>50</v>
      </c>
      <c r="M17" s="132">
        <f>CONVERT((I17-K17)/10000,"mi","ft")*IF(L17="Increasing Mileposts (1)",-1,1)</f>
        <v>113.52</v>
      </c>
      <c r="N17" s="133" t="str">
        <f>VLOOKUP(C17,'Trips&amp;Operators'!$C$1:$G$99911,5,FALSE)</f>
        <v>THOMPSON LESTER</v>
      </c>
      <c r="O17" s="176" t="s">
        <v>178</v>
      </c>
      <c r="P17" s="134"/>
      <c r="Q17" s="30"/>
      <c r="R17" s="81" t="str">
        <f>VLOOKUP(C17,'Train Runs'!$A$13:$AE$10034,31,0)</f>
        <v>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 &amp; aws s3 cp s3://rtdc.mdm.uploadarchive.raw/RTDC4018/ "%USERPROFILE%\AppData\Local\Temp\OnboardLogs"\RTDC4018\2017-10-17 --exclude "*" --recursive --include "*20171017*" &amp; "%USERPROFILE%\Documents\GitHub\mrs-test-scripts\Headless Mode &amp; Sideloading\WalkAndUnGZ.bat" "%USERPROFILE%\AppData\Local\Temp\OnboardLogs"\RTDC4018\2017-10-17</v>
      </c>
      <c r="S17" s="84" t="str">
        <f>VLOOKUP(C17,'Train Runs'!$A$13:$AE$10034,22,0)</f>
        <v>https://d0f6bd738d7f1b3e5a7ca70fe4ff75f0.us-east-1.aws.found.io/app/kibana#/discover/Steve-Slow-Train-Analysis-(2080s-and-2083s)?_g=(refreshInterval:(display:Off,pause:!f,section:0,value:0),time:(from:'2017-10-16T05:41:10-0600',mode:absolute,to:'2017-10-16T08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/stypes="*4018*201710161*" /stext=" 13:.+((SYSTEM_STATE.+slice.+state.+changed )|(ment ac)|(multiple cpu faults)|(system.+state.+changed )|(\[timeout)|(PRM\|1\|D)|(kpr)|(kdp)|(train st.+moving)|(\|lc)|(penalty))"</v>
      </c>
      <c r="U17" s="9" t="str">
        <f>MID(B17,13,4)</f>
        <v>4018</v>
      </c>
      <c r="V17" s="31">
        <f>A17-utc_offset/24</f>
        <v>43024.556539351855</v>
      </c>
      <c r="W17" s="45" t="str">
        <f>DetSubdiv(C17)</f>
        <v>EC</v>
      </c>
      <c r="X17" s="22">
        <f>VALUE(LEFT(C17,LEN(C17)-3))</f>
        <v>125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{"issue":{"subject":"","project_id":79,"tracker_id":40,"status_id":1,"priority_id":2,"assigned_to_id":338,"start_date":"2017-10-16","description":"","custom_fields":[{"id":1,"name":"Subdivision","value":"EC"},{"id":4,"name":"Milepost","value":"23.3491"},{"id":17,"name":"Train ID","value":"125-16"},{"id":16,"name":"Locomotive ID","value":"4018"},{"id":130,"name":"Impact","value":""},{"id":150,"name":"Time of Event (Mountain Time)","value":"07:21:25"},{"id":151,"name":"Denver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/c/Users/stu/AppData/Local/Temp/OnboardLogs/RTDC4018 --include="*4018*201710161*"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"%USERPROFILE%\AppData\Local\Temp\OnboardLogs"\RTDC4018\*4018*201710161* &gt;&gt; 2017-10-16-SliceDisagreementCheck.txt</v>
      </c>
      <c r="AE17" s="145" t="str">
        <f t="shared" si="1"/>
        <v>start /low /b %USERPROFILE%\Documents\GitHub\eaglep3\Utilities\DownloadLogsFromS3.py --loco 4018 --day 2017-10-16</v>
      </c>
      <c r="AF17" s="1"/>
    </row>
    <row r="18" spans="1:32" x14ac:dyDescent="0.3">
      <c r="A18" s="31">
        <v>43024.568668981483</v>
      </c>
      <c r="B18" s="30" t="s">
        <v>484</v>
      </c>
      <c r="C18" s="30" t="s">
        <v>593</v>
      </c>
      <c r="D18" s="30" t="s">
        <v>49</v>
      </c>
      <c r="E18" s="30" t="s">
        <v>179</v>
      </c>
      <c r="F18" s="42">
        <v>0</v>
      </c>
      <c r="G18" s="42">
        <v>33</v>
      </c>
      <c r="H18" s="42">
        <v>233353</v>
      </c>
      <c r="I18" s="42">
        <v>233368</v>
      </c>
      <c r="J18" s="30" t="s">
        <v>180</v>
      </c>
      <c r="K18" s="42">
        <v>233491</v>
      </c>
      <c r="L18" s="131" t="s">
        <v>50</v>
      </c>
      <c r="M18" s="132">
        <f>CONVERT((I18-K18)/10000,"mi","ft")*IF(L18="Increasing Mileposts (1)",-1,1)</f>
        <v>64.944000000000003</v>
      </c>
      <c r="N18" s="133" t="str">
        <f>VLOOKUP(C18,'Trips&amp;Operators'!$C$1:$G$99911,5,FALSE)</f>
        <v>DAVIS MICHAEL</v>
      </c>
      <c r="O18" s="176" t="s">
        <v>178</v>
      </c>
      <c r="P18" s="134"/>
      <c r="Q18" s="30"/>
      <c r="R18" s="81" t="str">
        <f>VLOOKUP(C18,'Train Runs'!$A$13:$AE$10034,31,0)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S18" s="84" t="str">
        <f>VLOOKUP(C18,'Train Runs'!$A$13:$AE$10034,22,0)</f>
        <v>https://d0f6bd738d7f1b3e5a7ca70fe4ff75f0.us-east-1.aws.found.io/app/kibana#/discover/Steve-Slow-Train-Analysis-(2080s-and-2083s)?_g=(refreshInterval:(display:Off,pause:!f,section:0,value:0),time:(from:'2017-10-16T11:53:29-0600',mode:absolute,to:'2017-10-16T14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/stypes="*4026*201710161*" /stext=" 19:.+((SYSTEM_STATE.+slice.+state.+changed )|(ment ac)|(multiple cpu faults)|(system.+state.+changed )|(\[timeout)|(PRM\|1\|D)|(kpr)|(kdp)|(train st.+moving)|(\|lc)|(penalty))"</v>
      </c>
      <c r="U18" s="9" t="str">
        <f>MID(B18,13,4)</f>
        <v>4026</v>
      </c>
      <c r="V18" s="31">
        <f>A18-utc_offset/24</f>
        <v>43024.818668981483</v>
      </c>
      <c r="W18" s="45" t="str">
        <f>DetSubdiv(C18)</f>
        <v>EC</v>
      </c>
      <c r="X18" s="22">
        <f>VALUE(LEFT(C18,LEN(C18)-3))</f>
        <v>175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{"issue":{"subject":"","project_id":79,"tracker_id":40,"status_id":1,"priority_id":2,"assigned_to_id":338,"start_date":"2017-10-16","description":"","custom_fields":[{"id":1,"name":"Subdivision","value":"EC"},{"id":4,"name":"Milepost","value":"23.3491"},{"id":17,"name":"Train ID","value":"175-16"},{"id":16,"name":"Locomotive ID","value":"4026"},{"id":130,"name":"Impact","value":""},{"id":150,"name":"Time of Event (Mountain Time)","value":"13:38:53"},{"id":151,"name":"Denver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/c/Users/stu/AppData/Local/Temp/OnboardLogs/RTDC4026 --include="*4026*201710161*"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"%USERPROFILE%\AppData\Local\Temp\OnboardLogs"\RTDC4026\*4026*201710161* &gt;&gt; 2017-10-16-SliceDisagreementCheck.txt</v>
      </c>
      <c r="AE18" s="145" t="str">
        <f t="shared" si="1"/>
        <v>start /low /b %USERPROFILE%\Documents\GitHub\eaglep3\Utilities\DownloadLogsFromS3.py --loco 4026 --day 2017-10-16</v>
      </c>
      <c r="AF18" s="1"/>
    </row>
    <row r="19" spans="1:32" x14ac:dyDescent="0.3">
      <c r="A19" s="31">
        <v>43024.641076388885</v>
      </c>
      <c r="B19" s="30" t="s">
        <v>484</v>
      </c>
      <c r="C19" s="30" t="s">
        <v>597</v>
      </c>
      <c r="D19" s="30" t="s">
        <v>49</v>
      </c>
      <c r="E19" s="30" t="s">
        <v>179</v>
      </c>
      <c r="F19" s="42">
        <v>0</v>
      </c>
      <c r="G19" s="42">
        <v>105</v>
      </c>
      <c r="H19" s="42">
        <v>233038</v>
      </c>
      <c r="I19" s="42">
        <v>233138</v>
      </c>
      <c r="J19" s="30" t="s">
        <v>180</v>
      </c>
      <c r="K19" s="42">
        <v>233491</v>
      </c>
      <c r="L19" s="131" t="s">
        <v>50</v>
      </c>
      <c r="M19" s="132">
        <f>CONVERT((I19-K19)/10000,"mi","ft")*IF(L19="Increasing Mileposts (1)",-1,1)</f>
        <v>186.38399999999999</v>
      </c>
      <c r="N19" s="133" t="str">
        <f>VLOOKUP(C19,'Trips&amp;Operators'!$C$1:$G$99911,5,FALSE)</f>
        <v>DAVIS MICHAEL</v>
      </c>
      <c r="O19" s="176" t="s">
        <v>178</v>
      </c>
      <c r="P19" s="134"/>
      <c r="Q19" s="30"/>
      <c r="R19" s="81" t="str">
        <f>VLOOKUP(C19,'Train Runs'!$A$13:$AE$10034,31,0)</f>
        <v>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 &amp; aws s3 cp s3://rtdc.mdm.uploadarchive.raw/RTDC4026/ "%USERPROFILE%\AppData\Local\Temp\OnboardLogs"\RTDC4026\2017-10-17 --exclude "*" --recursive --include "*20171017*" &amp; "%USERPROFILE%\Documents\GitHub\mrs-test-scripts\Headless Mode &amp; Sideloading\WalkAndUnGZ.bat" "%USERPROFILE%\AppData\Local\Temp\OnboardLogs"\RTDC4026\2017-10-17</v>
      </c>
      <c r="S19" s="84" t="str">
        <f>VLOOKUP(C19,'Train Runs'!$A$13:$AE$10034,22,0)</f>
        <v>https://d0f6bd738d7f1b3e5a7ca70fe4ff75f0.us-east-1.aws.found.io/app/kibana#/discover/Steve-Slow-Train-Analysis-(2080s-and-2083s)?_g=(refreshInterval:(display:Off,pause:!f,section:0,value:0),time:(from:'2017-10-16T13:42:20-0600',mode:absolute,to:'2017-10-16T16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/stypes="*4026*201710162*" /stext=" 21:.+((SYSTEM_STATE.+slice.+state.+changed )|(ment ac)|(multiple cpu faults)|(system.+state.+changed )|(\[timeout)|(PRM\|1\|D)|(kpr)|(kdp)|(train st.+moving)|(\|lc)|(penalty))"</v>
      </c>
      <c r="U19" s="9" t="str">
        <f>MID(B19,13,4)</f>
        <v>4026</v>
      </c>
      <c r="V19" s="31">
        <f>A19-utc_offset/24</f>
        <v>43024.891076388885</v>
      </c>
      <c r="W19" s="45" t="str">
        <f>DetSubdiv(C19)</f>
        <v>EC</v>
      </c>
      <c r="X19" s="22">
        <f>VALUE(LEFT(C19,LEN(C19)-3))</f>
        <v>189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{"issue":{"subject":"","project_id":79,"tracker_id":40,"status_id":1,"priority_id":2,"assigned_to_id":338,"start_date":"2017-10-16","description":"","custom_fields":[{"id":1,"name":"Subdivision","value":"EC"},{"id":4,"name":"Milepost","value":"23.3491"},{"id":17,"name":"Train ID","value":"189-16"},{"id":16,"name":"Locomotive ID","value":"4026"},{"id":130,"name":"Impact","value":""},{"id":150,"name":"Time of Event (Mountain Time)","value":"15:23:09"},{"id":151,"name":"Denver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/c/Users/stu/AppData/Local/Temp/OnboardLogs/RTDC4026 --include="*4026*201710162*"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"%USERPROFILE%\AppData\Local\Temp\OnboardLogs"\RTDC4026\*4026*201710162* &gt;&gt; 2017-10-16-SliceDisagreementCheck.txt</v>
      </c>
      <c r="AE19" s="145" t="str">
        <f t="shared" si="1"/>
        <v>start /low /b %USERPROFILE%\Documents\GitHub\eaglep3\Utilities\DownloadLogsFromS3.py --loco 4026 --day 2017-10-16</v>
      </c>
      <c r="AF19" s="1"/>
    </row>
    <row r="20" spans="1:32" x14ac:dyDescent="0.3">
      <c r="A20" s="31">
        <v>43024.613553240742</v>
      </c>
      <c r="B20" s="30" t="s">
        <v>594</v>
      </c>
      <c r="C20" s="30" t="s">
        <v>595</v>
      </c>
      <c r="D20" s="30" t="s">
        <v>95</v>
      </c>
      <c r="E20" s="30" t="s">
        <v>192</v>
      </c>
      <c r="F20" s="42">
        <v>150</v>
      </c>
      <c r="G20" s="42">
        <v>201</v>
      </c>
      <c r="H20" s="42">
        <v>56840</v>
      </c>
      <c r="I20" s="42">
        <v>56469</v>
      </c>
      <c r="J20" s="30" t="s">
        <v>193</v>
      </c>
      <c r="K20" s="42">
        <v>59050</v>
      </c>
      <c r="L20" s="131" t="s">
        <v>51</v>
      </c>
      <c r="M20" s="132">
        <f>CONVERT((I20-K20)/10000,"mi","ft")*IF(L20="Increasing Mileposts (1)",-1,1)</f>
        <v>-1362.768</v>
      </c>
      <c r="N20" s="133" t="str">
        <f>VLOOKUP(C20,'Trips&amp;Operators'!$C$1:$G$99911,5,FALSE)</f>
        <v>LEVIN SCOTT</v>
      </c>
      <c r="O20" s="176" t="s">
        <v>178</v>
      </c>
      <c r="P20" s="134"/>
      <c r="Q20" s="30"/>
      <c r="R20" s="81" t="str">
        <f>VLOOKUP(C20,'Train Runs'!$A$13:$AE$10034,31,0)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S20" s="84" t="str">
        <f>VLOOKUP(C20,'Train Runs'!$A$13:$AE$10034,22,0)</f>
        <v>https://d0f6bd738d7f1b3e5a7ca70fe4ff75f0.us-east-1.aws.found.io/app/kibana#/discover/Steve-Slow-Train-Analysis-(2080s-and-2083s)?_g=(refreshInterval:(display:Off,pause:!f,section:0,value:0),time:(from:'2017-10-16T13:32:51-0600',mode:absolute,to:'2017-10-16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/stypes="*4049*201710162*" /stext=" 20:.+((SYSTEM_STATE.+slice.+state.+changed )|(ment ac)|(multiple cpu faults)|(system.+state.+changed )|(\[timeout)|(PRM\|1\|D)|(kpr)|(kdp)|(train st.+moving)|(\|lc)|(penalty))"</v>
      </c>
      <c r="U20" s="9" t="str">
        <f>MID(B20,13,4)</f>
        <v>4049</v>
      </c>
      <c r="V20" s="31">
        <f>A20-utc_offset/24</f>
        <v>43024.863553240742</v>
      </c>
      <c r="W20" s="45" t="str">
        <f>DetSubdiv(C20)</f>
        <v>NW</v>
      </c>
      <c r="X20" s="22">
        <f>VALUE(LEFT(C20,LEN(C20)-3))</f>
        <v>824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{"issue":{"subject":"","project_id":79,"tracker_id":40,"status_id":1,"priority_id":2,"assigned_to_id":338,"start_date":"2017-10-16","description":"","custom_fields":[{"id":1,"name":"Subdivision","value":"NW"},{"id":4,"name":"Milepost","value":"5.905"},{"id":17,"name":"Train ID","value":"824-16"},{"id":16,"name":"Locomotive ID","value":"4049"},{"id":130,"name":"Impact","value":""},{"id":150,"name":"Time of Event (Mountain Time)","value":"14:43:31"},{"id":151,"name":"Denver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/c/Users/stu/AppData/Local/Temp/OnboardLogs/RTDC4049 --include="*4049*201710162*"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"%USERPROFILE%\AppData\Local\Temp\OnboardLogs"\RTDC4049\*4049*201710162* &gt;&gt; 2017-10-16-SliceDisagreementCheck.txt</v>
      </c>
      <c r="AE20" s="145" t="str">
        <f t="shared" si="1"/>
        <v>start /low /b %USERPROFILE%\Documents\GitHub\eaglep3\Utilities\DownloadLogsFromS3.py --loco 4049 --day 2017-10-16</v>
      </c>
      <c r="AF20" s="1"/>
    </row>
    <row r="21" spans="1:32" x14ac:dyDescent="0.3">
      <c r="A21" s="31">
        <v>43024.620810185188</v>
      </c>
      <c r="B21" s="30" t="s">
        <v>594</v>
      </c>
      <c r="C21" s="30" t="s">
        <v>595</v>
      </c>
      <c r="D21" s="30" t="s">
        <v>49</v>
      </c>
      <c r="E21" s="30" t="s">
        <v>441</v>
      </c>
      <c r="F21" s="42">
        <v>0</v>
      </c>
      <c r="G21" s="42">
        <v>102</v>
      </c>
      <c r="H21" s="42">
        <v>4804</v>
      </c>
      <c r="I21" s="42">
        <v>4634</v>
      </c>
      <c r="J21" s="30" t="s">
        <v>442</v>
      </c>
      <c r="K21" s="42">
        <v>4798</v>
      </c>
      <c r="L21" s="131" t="s">
        <v>51</v>
      </c>
      <c r="M21" s="132">
        <f>CONVERT((I21-K21)/10000,"mi","ft")*IF(L21="Increasing Mileposts (1)",-1,1)</f>
        <v>-86.592000000000013</v>
      </c>
      <c r="N21" s="133" t="str">
        <f>VLOOKUP(C21,'Trips&amp;Operators'!$C$1:$G$99911,5,FALSE)</f>
        <v>LEVIN SCOTT</v>
      </c>
      <c r="O21" s="176" t="s">
        <v>379</v>
      </c>
      <c r="P21" s="134" t="s">
        <v>1027</v>
      </c>
      <c r="Q21" s="30"/>
      <c r="R21" s="81" t="str">
        <f>VLOOKUP(C21,'Train Runs'!$A$13:$AE$10034,31,0)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S21" s="84" t="str">
        <f>VLOOKUP(C21,'Train Runs'!$A$13:$AE$10034,22,0)</f>
        <v>https://d0f6bd738d7f1b3e5a7ca70fe4ff75f0.us-east-1.aws.found.io/app/kibana#/discover/Steve-Slow-Train-Analysis-(2080s-and-2083s)?_g=(refreshInterval:(display:Off,pause:!f,section:0,value:0),time:(from:'2017-10-16T13:32:51-0600',mode:absolute,to:'2017-10-16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/stypes="*4049*201710162*" /stext=" 20:.+((SYSTEM_STATE.+slice.+state.+changed )|(ment ac)|(multiple cpu faults)|(system.+state.+changed )|(\[timeout)|(PRM\|1\|D)|(kpr)|(kdp)|(train st.+moving)|(\|lc)|(penalty))"</v>
      </c>
      <c r="U21" s="9" t="str">
        <f>MID(B21,13,4)</f>
        <v>4049</v>
      </c>
      <c r="V21" s="31">
        <f>A21-utc_offset/24</f>
        <v>43024.870810185188</v>
      </c>
      <c r="W21" s="45" t="str">
        <f>DetSubdiv(C21)</f>
        <v>NW</v>
      </c>
      <c r="X21" s="22">
        <f>VALUE(LEFT(C21,LEN(C21)-3))</f>
        <v>824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{"issue":{"subject":"Poor GPS at Wewatta St overpass","project_id":79,"tracker_id":40,"status_id":1,"priority_id":2,"assigned_to_id":338,"start_date":"2017-10-16","description":"","custom_fields":[{"id":1,"name":"Subdivision","value":"NW"},{"id":4,"name":"Milepost","value":"0.4798"},{"id":17,"name":"Train ID","value":"824-16"},{"id":16,"name":"Locomotive ID","value":"4049"},{"id":130,"name":"Impact","value":""},{"id":150,"name":"Time of Event (Mountain Time)","value":"14:53:58"},{"id":151,"name":"Denver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/c/Users/stu/AppData/Local/Temp/OnboardLogs/RTDC4049 --include="*4049*201710162*"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"%USERPROFILE%\AppData\Local\Temp\OnboardLogs"\RTDC4049\*4049*201710162* &gt;&gt; 2017-10-16-SliceDisagreementCheck.txt</v>
      </c>
      <c r="AE21" s="145" t="str">
        <f t="shared" si="1"/>
        <v>start /low /b %USERPROFILE%\Documents\GitHub\eaglep3\Utilities\DownloadLogsFromS3.py --loco 4049 --day 2017-10-16</v>
      </c>
      <c r="AF21" s="1"/>
    </row>
    <row r="22" spans="1:32" x14ac:dyDescent="0.3">
      <c r="A22" s="31">
        <v>43024.613935185182</v>
      </c>
      <c r="B22" s="30" t="s">
        <v>594</v>
      </c>
      <c r="C22" s="30" t="s">
        <v>595</v>
      </c>
      <c r="D22" s="30" t="s">
        <v>49</v>
      </c>
      <c r="E22" s="30" t="s">
        <v>179</v>
      </c>
      <c r="F22" s="42">
        <v>0</v>
      </c>
      <c r="G22" s="42">
        <v>26</v>
      </c>
      <c r="H22" s="42">
        <v>56456</v>
      </c>
      <c r="I22" s="42">
        <v>56312</v>
      </c>
      <c r="J22" s="30" t="s">
        <v>180</v>
      </c>
      <c r="K22" s="42">
        <v>575</v>
      </c>
      <c r="L22" s="131" t="s">
        <v>51</v>
      </c>
      <c r="M22" s="132">
        <f>CONVERT((I22-K22)/10000,"mi","ft")*IF(L22="Increasing Mileposts (1)",-1,1)</f>
        <v>29429.135999999999</v>
      </c>
      <c r="N22" s="133" t="str">
        <f>VLOOKUP(C22,'Trips&amp;Operators'!$C$1:$G$99911,5,FALSE)</f>
        <v>LEVIN SCOTT</v>
      </c>
      <c r="O22" s="176" t="s">
        <v>178</v>
      </c>
      <c r="P22" s="134"/>
      <c r="Q22" s="30"/>
      <c r="R22" s="81" t="str">
        <f>VLOOKUP(C22,'Train Runs'!$A$13:$AE$10034,31,0)</f>
        <v>aws s3 cp s3://rtdc.mdm.uploadarchive.raw/RTDC4049/ "%USERPROFILE%\AppData\Local\Temp\OnboardLogs"\RTDC4049\2017-10-16 --exclude "*" --recursive --include "*20171016*" &amp; "%USERPROFILE%\Documents\GitHub\mrs-test-scripts\Headless Mode &amp; Sideloading\WalkAndUnGZ.bat" "%USERPROFILE%\AppData\Local\Temp\OnboardLogs"\RTDC4049\2017-10-16 &amp; 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</v>
      </c>
      <c r="S22" s="84" t="str">
        <f>VLOOKUP(C22,'Train Runs'!$A$13:$AE$10034,22,0)</f>
        <v>https://d0f6bd738d7f1b3e5a7ca70fe4ff75f0.us-east-1.aws.found.io/app/kibana#/discover/Steve-Slow-Train-Analysis-(2080s-and-2083s)?_g=(refreshInterval:(display:Off,pause:!f,section:0,value:0),time:(from:'2017-10-16T13:32:51-0600',mode:absolute,to:'2017-10-16T15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/stypes="*4049*201710162*" /stext=" 20:.+((SYSTEM_STATE.+slice.+state.+changed )|(ment ac)|(multiple cpu faults)|(system.+state.+changed )|(\[timeout)|(PRM\|1\|D)|(kpr)|(kdp)|(train st.+moving)|(\|lc)|(penalty))"</v>
      </c>
      <c r="U22" s="9" t="str">
        <f>MID(B22,13,4)</f>
        <v>4049</v>
      </c>
      <c r="V22" s="31">
        <f>A22-utc_offset/24</f>
        <v>43024.863935185182</v>
      </c>
      <c r="W22" s="45" t="str">
        <f>DetSubdiv(C22)</f>
        <v>NW</v>
      </c>
      <c r="X22" s="22">
        <f>VALUE(LEFT(C22,LEN(C22)-3))</f>
        <v>824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{"issue":{"subject":"","project_id":79,"tracker_id":40,"status_id":1,"priority_id":2,"assigned_to_id":338,"start_date":"2017-10-16","description":"","custom_fields":[{"id":1,"name":"Subdivision","value":"NW"},{"id":4,"name":"Milepost","value":"0.0575"},{"id":17,"name":"Train ID","value":"824-16"},{"id":16,"name":"Locomotive ID","value":"4049"},{"id":130,"name":"Impact","value":""},{"id":150,"name":"Time of Event (Mountain Time)","value":"14:44:04"},{"id":151,"name":"Denver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/c/Users/stu/AppData/Local/Temp/OnboardLogs/RTDC4049 --include="*4049*201710162*"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"%USERPROFILE%\AppData\Local\Temp\OnboardLogs"\RTDC4049\*4049*201710162* &gt;&gt; 2017-10-16-SliceDisagreementCheck.txt</v>
      </c>
      <c r="AE22" s="145" t="str">
        <f t="shared" si="1"/>
        <v>start /low /b %USERPROFILE%\Documents\GitHub\eaglep3\Utilities\DownloadLogsFromS3.py --loco 4049 --day 2017-10-16</v>
      </c>
      <c r="AF22" s="1"/>
    </row>
    <row r="23" spans="1:32" x14ac:dyDescent="0.3">
      <c r="A23" s="31">
        <v>43024.72556712963</v>
      </c>
      <c r="B23" s="30" t="s">
        <v>445</v>
      </c>
      <c r="C23" s="30" t="s">
        <v>600</v>
      </c>
      <c r="D23" s="30" t="s">
        <v>49</v>
      </c>
      <c r="E23" s="30" t="s">
        <v>179</v>
      </c>
      <c r="F23" s="42">
        <v>0</v>
      </c>
      <c r="G23" s="42">
        <v>47</v>
      </c>
      <c r="H23" s="42">
        <v>736</v>
      </c>
      <c r="I23" s="42">
        <v>710</v>
      </c>
      <c r="J23" s="30" t="s">
        <v>180</v>
      </c>
      <c r="K23" s="42">
        <v>575</v>
      </c>
      <c r="L23" s="131" t="s">
        <v>51</v>
      </c>
      <c r="M23" s="132">
        <f>CONVERT((I23-K23)/10000,"mi","ft")*IF(L23="Increasing Mileposts (1)",-1,1)</f>
        <v>71.28</v>
      </c>
      <c r="N23" s="133" t="str">
        <f>VLOOKUP(C23,'Trips&amp;Operators'!$C$1:$G$99911,5,FALSE)</f>
        <v>STAMBAUGH JAMES</v>
      </c>
      <c r="O23" s="176" t="s">
        <v>178</v>
      </c>
      <c r="P23" s="134"/>
      <c r="Q23" s="30"/>
      <c r="R23" s="81" t="str">
        <f>VLOOKUP(C23,'Train Runs'!$A$13:$AE$10034,31,0)</f>
        <v>aws s3 cp s3://rtdc.mdm.uploadarchive.raw/RTDC4045/ "%USERPROFILE%\AppData\Local\Temp\OnboardLogs"\RTDC4045\2017-10-16 --exclude "*" --recursive --include "*20171016*" &amp; "%USERPROFILE%\Documents\GitHub\mrs-test-scripts\Headless Mode &amp; Sideloading\WalkAndUnGZ.bat" "%USERPROFILE%\AppData\Local\Temp\OnboardLogs"\RTDC4045\2017-10-16 &amp; aws s3 cp s3://rtdc.mdm.uploadarchive.raw/RTDC4045/ "%USERPROFILE%\AppData\Local\Temp\OnboardLogs"\RTDC4045\2017-10-17 --exclude "*" --recursive --include "*20171017*" &amp; "%USERPROFILE%\Documents\GitHub\mrs-test-scripts\Headless Mode &amp; Sideloading\WalkAndUnGZ.bat" "%USERPROFILE%\AppData\Local\Temp\OnboardLogs"\RTDC4045\2017-10-17</v>
      </c>
      <c r="S23" s="84" t="str">
        <f>VLOOKUP(C23,'Train Runs'!$A$13:$AE$10034,22,0)</f>
        <v>https://d0f6bd738d7f1b3e5a7ca70fe4ff75f0.us-east-1.aws.found.io/app/kibana#/discover/Steve-Slow-Train-Analysis-(2080s-and-2083s)?_g=(refreshInterval:(display:Off,pause:!f,section:0,value:0),time:(from:'2017-10-16T15:58:33-0600',mode:absolute,to:'2017-10-16T18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/stypes="*4045*201710162*" /stext=" 23:.+((SYSTEM_STATE.+slice.+state.+changed )|(ment ac)|(multiple cpu faults)|(system.+state.+changed )|(\[timeout)|(PRM\|1\|D)|(kpr)|(kdp)|(train st.+moving)|(\|lc)|(penalty))"</v>
      </c>
      <c r="U23" s="9" t="str">
        <f>MID(B23,13,4)</f>
        <v>4045</v>
      </c>
      <c r="V23" s="31">
        <f>A23-utc_offset/24</f>
        <v>43024.97556712963</v>
      </c>
      <c r="W23" s="45" t="str">
        <f>DetSubdiv(C23)</f>
        <v>NW</v>
      </c>
      <c r="X23" s="22">
        <f>VALUE(LEFT(C23,LEN(C23)-3))</f>
        <v>832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{"issue":{"subject":"","project_id":79,"tracker_id":40,"status_id":1,"priority_id":2,"assigned_to_id":338,"start_date":"2017-10-16","description":"","custom_fields":[{"id":1,"name":"Subdivision","value":"NW"},{"id":4,"name":"Milepost","value":"0.0575"},{"id":17,"name":"Train ID","value":"832-16"},{"id":16,"name":"Locomotive ID","value":"4045"},{"id":130,"name":"Impact","value":""},{"id":150,"name":"Time of Event (Mountain Time)","value":"17:24:49"},{"id":151,"name":"Denver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/c/Users/stu/AppData/Local/Temp/OnboardLogs/RTDC4045 --include="*4045*201710162*"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"%USERPROFILE%\AppData\Local\Temp\OnboardLogs"\RTDC4045\*4045*201710162* &gt;&gt; 2017-10-16-SliceDisagreementCheck.txt</v>
      </c>
      <c r="AE23" s="145" t="str">
        <f t="shared" si="1"/>
        <v>start /low /b %USERPROFILE%\Documents\GitHub\eaglep3\Utilities\DownloadLogsFromS3.py --loco 4045 --day 2017-10-16</v>
      </c>
      <c r="AF23" s="1"/>
    </row>
    <row r="24" spans="1:32" x14ac:dyDescent="0.3">
      <c r="A24" s="31">
        <v>43024.557349537034</v>
      </c>
      <c r="B24" s="30" t="s">
        <v>591</v>
      </c>
      <c r="C24" s="30" t="s">
        <v>592</v>
      </c>
      <c r="D24" s="30" t="s">
        <v>49</v>
      </c>
      <c r="E24" s="30" t="s">
        <v>179</v>
      </c>
      <c r="F24" s="42">
        <v>0</v>
      </c>
      <c r="G24" s="42">
        <v>42</v>
      </c>
      <c r="H24" s="42">
        <v>58928</v>
      </c>
      <c r="I24" s="42">
        <v>58963</v>
      </c>
      <c r="J24" s="30" t="s">
        <v>180</v>
      </c>
      <c r="K24" s="42">
        <v>59048</v>
      </c>
      <c r="L24" s="131" t="s">
        <v>50</v>
      </c>
      <c r="M24" s="132">
        <f>CONVERT((I24-K24)/10000,"mi","ft")*IF(L24="Increasing Mileposts (1)",-1,1)</f>
        <v>44.88</v>
      </c>
      <c r="N24" s="133" t="str">
        <f>VLOOKUP(C24,'Trips&amp;Operators'!$C$1:$G$99911,5,FALSE)</f>
        <v>LEVIN SCOTT</v>
      </c>
      <c r="O24" s="176" t="s">
        <v>178</v>
      </c>
      <c r="P24" s="134"/>
      <c r="Q24" s="30"/>
      <c r="R24" s="81" t="str">
        <f>VLOOKUP(C24,'Train Runs'!$A$13:$AE$10034,31,0)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S24" s="84" t="str">
        <f>VLOOKUP(C24,'Train Runs'!$A$13:$AE$10034,22,0)</f>
        <v>https://d0f6bd738d7f1b3e5a7ca70fe4ff75f0.us-east-1.aws.found.io/app/kibana#/discover/Steve-Slow-Train-Analysis-(2080s-and-2083s)?_g=(refreshInterval:(display:Off,pause:!f,section:0,value:0),time:(from:'2017-10-16T11:59:05-0600',mode:absolute,to:'2017-10-16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/stypes="*4050*201710161*" /stext=" 19:.+((SYSTEM_STATE.+slice.+state.+changed )|(ment ac)|(multiple cpu faults)|(system.+state.+changed )|(\[timeout)|(PRM\|1\|D)|(kpr)|(kdp)|(train st.+moving)|(\|lc)|(penalty))"</v>
      </c>
      <c r="U24" s="9" t="str">
        <f>MID(B24,13,4)</f>
        <v>4050</v>
      </c>
      <c r="V24" s="31">
        <f>A24-utc_offset/24</f>
        <v>43024.807349537034</v>
      </c>
      <c r="W24" s="45" t="str">
        <f>DetSubdiv(C24)</f>
        <v>NW</v>
      </c>
      <c r="X24" s="22">
        <f>VALUE(LEFT(C24,LEN(C24)-3))</f>
        <v>821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ID","value":"821-16"},{"id":16,"name":"Locomotive ID","value":"4050"},{"id":130,"name":"Impact","value":""},{"id":150,"name":"Time of Event (Mountain Time)","value":"13:22:35"},{"id":151,"name":"Denver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/c/Users/stu/AppData/Local/Temp/OnboardLogs/RTDC4050 --include="*4050*201710161*"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"%USERPROFILE%\AppData\Local\Temp\OnboardLogs"\RTDC4050\*4050*201710161* &gt;&gt; 2017-10-16-SliceDisagreementCheck.txt</v>
      </c>
      <c r="AE24" s="145" t="str">
        <f t="shared" si="1"/>
        <v>start /low /b %USERPROFILE%\Documents\GitHub\eaglep3\Utilities\DownloadLogsFromS3.py --loco 4050 --day 2017-10-16</v>
      </c>
      <c r="AF24" s="1"/>
    </row>
    <row r="25" spans="1:32" x14ac:dyDescent="0.3">
      <c r="A25" s="31">
        <v>43024.661840277775</v>
      </c>
      <c r="B25" s="30" t="s">
        <v>423</v>
      </c>
      <c r="C25" s="30" t="s">
        <v>599</v>
      </c>
      <c r="D25" s="30" t="s">
        <v>49</v>
      </c>
      <c r="E25" s="30" t="s">
        <v>179</v>
      </c>
      <c r="F25" s="42">
        <v>0</v>
      </c>
      <c r="G25" s="42">
        <v>88</v>
      </c>
      <c r="H25" s="42">
        <v>58707</v>
      </c>
      <c r="I25" s="42">
        <v>58798</v>
      </c>
      <c r="J25" s="30" t="s">
        <v>180</v>
      </c>
      <c r="K25" s="42">
        <v>59048</v>
      </c>
      <c r="L25" s="131" t="s">
        <v>50</v>
      </c>
      <c r="M25" s="132">
        <f>CONVERT((I25-K25)/10000,"mi","ft")*IF(L25="Increasing Mileposts (1)",-1,1)</f>
        <v>132</v>
      </c>
      <c r="N25" s="133" t="str">
        <f>VLOOKUP(C25,'Trips&amp;Operators'!$C$1:$G$99911,5,FALSE)</f>
        <v>KILLION DAVID</v>
      </c>
      <c r="O25" s="176" t="s">
        <v>178</v>
      </c>
      <c r="P25" s="134"/>
      <c r="Q25" s="30"/>
      <c r="R25" s="81" t="str">
        <f>VLOOKUP(C25,'Train Runs'!$A$13:$AE$10034,31,0)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S25" s="84" t="str">
        <f>VLOOKUP(C25,'Train Runs'!$A$13:$AE$10034,22,0)</f>
        <v>https://d0f6bd738d7f1b3e5a7ca70fe4ff75f0.us-east-1.aws.found.io/app/kibana#/discover/Steve-Slow-Train-Analysis-(2080s-and-2083s)?_g=(refreshInterval:(display:Off,pause:!f,section:0,value:0),time:(from:'2017-10-16T14:32:56-0600',mode:absolute,to:'2017-10-16T16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/stypes="*4046*201710162*" /stext=" 21:.+((SYSTEM_STATE.+slice.+state.+changed )|(ment ac)|(multiple cpu faults)|(system.+state.+changed )|(\[timeout)|(PRM\|1\|D)|(kpr)|(kdp)|(train st.+moving)|(\|lc)|(penalty))"</v>
      </c>
      <c r="U25" s="9" t="str">
        <f>MID(B25,13,4)</f>
        <v>4046</v>
      </c>
      <c r="V25" s="31">
        <f>A25-utc_offset/24</f>
        <v>43024.911840277775</v>
      </c>
      <c r="W25" s="45" t="str">
        <f>DetSubdiv(C25)</f>
        <v>NW</v>
      </c>
      <c r="X25" s="22">
        <f>VALUE(LEFT(C25,LEN(C25)-3))</f>
        <v>827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ID","value":"827-16"},{"id":16,"name":"Locomotive ID","value":"4046"},{"id":130,"name":"Impact","value":""},{"id":150,"name":"Time of Event (Mountain Time)","value":"15:53:03"},{"id":151,"name":"Denver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/c/Users/stu/AppData/Local/Temp/OnboardLogs/RTDC4046 --include="*4046*201710162*"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"%USERPROFILE%\AppData\Local\Temp\OnboardLogs"\RTDC4046\*4046*201710162* &gt;&gt; 2017-10-16-SliceDisagreementCheck.txt</v>
      </c>
      <c r="AE25" s="145" t="str">
        <f t="shared" si="1"/>
        <v>start /low /b %USERPROFILE%\Documents\GitHub\eaglep3\Utilities\DownloadLogsFromS3.py --loco 4046 --day 2017-10-16</v>
      </c>
      <c r="AF25" s="1"/>
    </row>
    <row r="26" spans="1:32" x14ac:dyDescent="0.3">
      <c r="A26" s="31">
        <v>43024.662546296298</v>
      </c>
      <c r="B26" s="30" t="s">
        <v>423</v>
      </c>
      <c r="C26" s="30" t="s">
        <v>599</v>
      </c>
      <c r="D26" s="30" t="s">
        <v>49</v>
      </c>
      <c r="E26" s="30" t="s">
        <v>179</v>
      </c>
      <c r="F26" s="42">
        <v>0</v>
      </c>
      <c r="G26" s="42">
        <v>18</v>
      </c>
      <c r="H26" s="42">
        <v>59001</v>
      </c>
      <c r="I26" s="42">
        <v>59018</v>
      </c>
      <c r="J26" s="30" t="s">
        <v>180</v>
      </c>
      <c r="K26" s="42">
        <v>59048</v>
      </c>
      <c r="L26" s="131" t="s">
        <v>50</v>
      </c>
      <c r="M26" s="132">
        <f>CONVERT((I26-K26)/10000,"mi","ft")*IF(L26="Increasing Mileposts (1)",-1,1)</f>
        <v>15.84</v>
      </c>
      <c r="N26" s="133" t="str">
        <f>VLOOKUP(C26,'Trips&amp;Operators'!$C$1:$G$99911,5,FALSE)</f>
        <v>KILLION DAVID</v>
      </c>
      <c r="O26" s="176" t="s">
        <v>178</v>
      </c>
      <c r="P26" s="134"/>
      <c r="Q26" s="30"/>
      <c r="R26" s="81" t="str">
        <f>VLOOKUP(C26,'Train Runs'!$A$13:$AE$10034,31,0)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S26" s="84" t="str">
        <f>VLOOKUP(C26,'Train Runs'!$A$13:$AE$10034,22,0)</f>
        <v>https://d0f6bd738d7f1b3e5a7ca70fe4ff75f0.us-east-1.aws.found.io/app/kibana#/discover/Steve-Slow-Train-Analysis-(2080s-and-2083s)?_g=(refreshInterval:(display:Off,pause:!f,section:0,value:0),time:(from:'2017-10-16T14:32:56-0600',mode:absolute,to:'2017-10-16T16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/stypes="*4046*201710162*" /stext=" 21:.+((SYSTEM_STATE.+slice.+state.+changed )|(ment ac)|(multiple cpu faults)|(system.+state.+changed )|(\[timeout)|(PRM\|1\|D)|(kpr)|(kdp)|(train st.+moving)|(\|lc)|(penalty))"</v>
      </c>
      <c r="U26" s="9" t="str">
        <f>MID(B26,13,4)</f>
        <v>4046</v>
      </c>
      <c r="V26" s="31">
        <f>A26-utc_offset/24</f>
        <v>43024.912546296298</v>
      </c>
      <c r="W26" s="45" t="str">
        <f>DetSubdiv(C26)</f>
        <v>NW</v>
      </c>
      <c r="X26" s="22">
        <f>VALUE(LEFT(C26,LEN(C26)-3))</f>
        <v>827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ID","value":"827-16"},{"id":16,"name":"Locomotive ID","value":"4046"},{"id":130,"name":"Impact","value":""},{"id":150,"name":"Time of Event (Mountain Time)","value":"15:54:04"},{"id":151,"name":"Denver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/c/Users/stu/AppData/Local/Temp/OnboardLogs/RTDC4046 --include="*4046*201710162*"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"%USERPROFILE%\AppData\Local\Temp\OnboardLogs"\RTDC4046\*4046*201710162* &gt;&gt; 2017-10-16-SliceDisagreementCheck.txt</v>
      </c>
      <c r="AE26" s="145" t="str">
        <f t="shared" si="1"/>
        <v>start /low /b %USERPROFILE%\Documents\GitHub\eaglep3\Utilities\DownloadLogsFromS3.py --loco 4046 --day 2017-10-16</v>
      </c>
      <c r="AF26" s="1"/>
    </row>
    <row r="27" spans="1:32" x14ac:dyDescent="0.3">
      <c r="A27" s="31">
        <v>43024.74490740741</v>
      </c>
      <c r="B27" s="30" t="s">
        <v>423</v>
      </c>
      <c r="C27" s="30" t="s">
        <v>601</v>
      </c>
      <c r="D27" s="30" t="s">
        <v>49</v>
      </c>
      <c r="E27" s="30" t="s">
        <v>179</v>
      </c>
      <c r="F27" s="42">
        <v>0</v>
      </c>
      <c r="G27" s="42">
        <v>104</v>
      </c>
      <c r="H27" s="42">
        <v>58649</v>
      </c>
      <c r="I27" s="42">
        <v>58769</v>
      </c>
      <c r="J27" s="30" t="s">
        <v>180</v>
      </c>
      <c r="K27" s="42">
        <v>59048</v>
      </c>
      <c r="L27" s="131" t="s">
        <v>50</v>
      </c>
      <c r="M27" s="132">
        <f>CONVERT((I27-K27)/10000,"mi","ft")*IF(L27="Increasing Mileposts (1)",-1,1)</f>
        <v>147.31200000000001</v>
      </c>
      <c r="N27" s="133" t="str">
        <f>VLOOKUP(C27,'Trips&amp;Operators'!$C$1:$G$99911,5,FALSE)</f>
        <v>STAMBAUGH JAMES</v>
      </c>
      <c r="O27" s="176" t="s">
        <v>178</v>
      </c>
      <c r="P27" s="134"/>
      <c r="Q27" s="30"/>
      <c r="R27" s="81" t="str">
        <f>VLOOKUP(C27,'Train Runs'!$A$13:$AE$10034,31,0)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S27" s="84" t="str">
        <f>VLOOKUP(C27,'Train Runs'!$A$13:$AE$10034,22,0)</f>
        <v>https://d0f6bd738d7f1b3e5a7ca70fe4ff75f0.us-east-1.aws.found.io/app/kibana#/discover/Steve-Slow-Train-Analysis-(2080s-and-2083s)?_g=(refreshInterval:(display:Off,pause:!f,section:0,value:0),time:(from:'2017-10-16T16:35:12-0600',mode:absolute,to:'2017-10-16T18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/stypes="*4046*201710162*" /stext=" 23:.+((SYSTEM_STATE.+slice.+state.+changed )|(ment ac)|(multiple cpu faults)|(system.+state.+changed )|(\[timeout)|(PRM\|1\|D)|(kpr)|(kdp)|(train st.+moving)|(\|lc)|(penalty))"</v>
      </c>
      <c r="U27" s="9" t="str">
        <f>MID(B27,13,4)</f>
        <v>4046</v>
      </c>
      <c r="V27" s="31">
        <f>A27-utc_offset/24</f>
        <v>43024.99490740741</v>
      </c>
      <c r="W27" s="45" t="str">
        <f>DetSubdiv(C27)</f>
        <v>NW</v>
      </c>
      <c r="X27" s="22">
        <f>VALUE(LEFT(C27,LEN(C27)-3))</f>
        <v>835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ID","value":"835-16"},{"id":16,"name":"Locomotive ID","value":"4046"},{"id":130,"name":"Impact","value":""},{"id":150,"name":"Time of Event (Mountain Time)","value":"17:52:40"},{"id":151,"name":"Denver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/c/Users/stu/AppData/Local/Temp/OnboardLogs/RTDC4046 --include="*4046*201710162*"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"%USERPROFILE%\AppData\Local\Temp\OnboardLogs"\RTDC4046\*4046*201710162* &gt;&gt; 2017-10-16-SliceDisagreementCheck.txt</v>
      </c>
      <c r="AE27" s="145" t="str">
        <f t="shared" si="1"/>
        <v>start /low /b %USERPROFILE%\Documents\GitHub\eaglep3\Utilities\DownloadLogsFromS3.py --loco 4046 --day 2017-10-16</v>
      </c>
      <c r="AF27" s="1"/>
    </row>
    <row r="28" spans="1:32" x14ac:dyDescent="0.3">
      <c r="A28" s="31">
        <v>43024.745486111111</v>
      </c>
      <c r="B28" s="30" t="s">
        <v>423</v>
      </c>
      <c r="C28" s="30" t="s">
        <v>601</v>
      </c>
      <c r="D28" s="30" t="s">
        <v>49</v>
      </c>
      <c r="E28" s="30" t="s">
        <v>179</v>
      </c>
      <c r="F28" s="42">
        <v>0</v>
      </c>
      <c r="G28" s="42">
        <v>35</v>
      </c>
      <c r="H28" s="42">
        <v>58931</v>
      </c>
      <c r="I28" s="42">
        <v>58965</v>
      </c>
      <c r="J28" s="30" t="s">
        <v>180</v>
      </c>
      <c r="K28" s="42">
        <v>59048</v>
      </c>
      <c r="L28" s="131" t="s">
        <v>50</v>
      </c>
      <c r="M28" s="132">
        <f>CONVERT((I28-K28)/10000,"mi","ft")*IF(L28="Increasing Mileposts (1)",-1,1)</f>
        <v>43.823999999999998</v>
      </c>
      <c r="N28" s="133" t="str">
        <f>VLOOKUP(C28,'Trips&amp;Operators'!$C$1:$G$99911,5,FALSE)</f>
        <v>STAMBAUGH JAMES</v>
      </c>
      <c r="O28" s="176" t="s">
        <v>178</v>
      </c>
      <c r="P28" s="134"/>
      <c r="Q28" s="30"/>
      <c r="R28" s="81" t="str">
        <f>VLOOKUP(C28,'Train Runs'!$A$13:$AE$10034,31,0)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S28" s="84" t="str">
        <f>VLOOKUP(C28,'Train Runs'!$A$13:$AE$10034,22,0)</f>
        <v>https://d0f6bd738d7f1b3e5a7ca70fe4ff75f0.us-east-1.aws.found.io/app/kibana#/discover/Steve-Slow-Train-Analysis-(2080s-and-2083s)?_g=(refreshInterval:(display:Off,pause:!f,section:0,value:0),time:(from:'2017-10-16T16:35:12-0600',mode:absolute,to:'2017-10-16T18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/stypes="*4046*201710162*" /stext=" 23:.+((SYSTEM_STATE.+slice.+state.+changed )|(ment ac)|(multiple cpu faults)|(system.+state.+changed )|(\[timeout)|(PRM\|1\|D)|(kpr)|(kdp)|(train st.+moving)|(\|lc)|(penalty))"</v>
      </c>
      <c r="U28" s="9" t="str">
        <f>MID(B28,13,4)</f>
        <v>4046</v>
      </c>
      <c r="V28" s="31">
        <f>A28-utc_offset/24</f>
        <v>43024.995486111111</v>
      </c>
      <c r="W28" s="45" t="str">
        <f>DetSubdiv(C28)</f>
        <v>NW</v>
      </c>
      <c r="X28" s="22">
        <f>VALUE(LEFT(C28,LEN(C28)-3))</f>
        <v>835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ID","value":"835-16"},{"id":16,"name":"Locomotive ID","value":"4046"},{"id":130,"name":"Impact","value":""},{"id":150,"name":"Time of Event (Mountain Time)","value":"17:53:30"},{"id":151,"name":"Denver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/c/Users/stu/AppData/Local/Temp/OnboardLogs/RTDC4046 --include="*4046*201710162*"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"%USERPROFILE%\AppData\Local\Temp\OnboardLogs"\RTDC4046\*4046*201710162* &gt;&gt; 2017-10-16-SliceDisagreementCheck.txt</v>
      </c>
      <c r="AE28" s="145" t="str">
        <f t="shared" si="1"/>
        <v>start /low /b %USERPROFILE%\Documents\GitHub\eaglep3\Utilities\DownloadLogsFromS3.py --loco 4046 --day 2017-10-16</v>
      </c>
      <c r="AF28" s="1"/>
    </row>
    <row r="29" spans="1:32" x14ac:dyDescent="0.3">
      <c r="A29" s="31">
        <v>43024.766875000001</v>
      </c>
      <c r="B29" s="30" t="s">
        <v>591</v>
      </c>
      <c r="C29" s="30" t="s">
        <v>603</v>
      </c>
      <c r="D29" s="30" t="s">
        <v>49</v>
      </c>
      <c r="E29" s="30" t="s">
        <v>179</v>
      </c>
      <c r="F29" s="42">
        <v>0</v>
      </c>
      <c r="G29" s="42">
        <v>39</v>
      </c>
      <c r="H29" s="42">
        <v>58976</v>
      </c>
      <c r="I29" s="42">
        <v>59001</v>
      </c>
      <c r="J29" s="30" t="s">
        <v>180</v>
      </c>
      <c r="K29" s="42">
        <v>59048</v>
      </c>
      <c r="L29" s="131" t="s">
        <v>50</v>
      </c>
      <c r="M29" s="132">
        <f>CONVERT((I29-K29)/10000,"mi","ft")*IF(L29="Increasing Mileposts (1)",-1,1)</f>
        <v>24.815999999999999</v>
      </c>
      <c r="N29" s="133" t="str">
        <f>VLOOKUP(C29,'Trips&amp;Operators'!$C$1:$G$99911,5,FALSE)</f>
        <v>LEVIN SCOTT</v>
      </c>
      <c r="O29" s="176" t="s">
        <v>178</v>
      </c>
      <c r="P29" s="134"/>
      <c r="Q29" s="30"/>
      <c r="R29" s="81" t="str">
        <f>VLOOKUP(C29,'Train Runs'!$A$13:$AE$10034,31,0)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S29" s="84" t="str">
        <f>VLOOKUP(C29,'Train Runs'!$A$13:$AE$10034,22,0)</f>
        <v>https://d0f6bd738d7f1b3e5a7ca70fe4ff75f0.us-east-1.aws.found.io/app/kibana#/discover/Steve-Slow-Train-Analysis-(2080s-and-2083s)?_g=(refreshInterval:(display:Off,pause:!f,section:0,value:0),time:(from:'2017-10-16T16:59:13-0600',mode:absolute,to:'2017-10-16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/stypes="*4050*201710170*" /stext=" 00:.+((SYSTEM_STATE.+slice.+state.+changed )|(ment ac)|(multiple cpu faults)|(system.+state.+changed )|(\[timeout)|(PRM\|1\|D)|(kpr)|(kdp)|(train st.+moving)|(\|lc)|(penalty))"</v>
      </c>
      <c r="U29" s="9" t="str">
        <f>MID(B29,13,4)</f>
        <v>4050</v>
      </c>
      <c r="V29" s="31">
        <f>A29-utc_offset/24</f>
        <v>43025.016875000001</v>
      </c>
      <c r="W29" s="45" t="str">
        <f>DetSubdiv(C29)</f>
        <v>NW</v>
      </c>
      <c r="X29" s="22">
        <f>VALUE(LEFT(C29,LEN(C29)-3))</f>
        <v>837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ID","value":"837-16"},{"id":16,"name":"Locomotive ID","value":"4050"},{"id":130,"name":"Impact","value":""},{"id":150,"name":"Time of Event (Mountain Time)","value":"18:24:18"},{"id":151,"name":"Denver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/c/Users/stu/AppData/Local/Temp/OnboardLogs/RTDC4050 --include="*4050*201710170*"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"%USERPROFILE%\AppData\Local\Temp\OnboardLogs"\RTDC4050\*4050*201710170* &gt;&gt; 2017-10-16-SliceDisagreementCheck.txt</v>
      </c>
      <c r="AE29" s="145" t="str">
        <f t="shared" si="1"/>
        <v>start /low /b %USERPROFILE%\Documents\GitHub\eaglep3\Utilities\DownloadLogsFromS3.py --loco 4050 --day 2017-10-17</v>
      </c>
      <c r="AF29" s="1"/>
    </row>
    <row r="30" spans="1:32" x14ac:dyDescent="0.3">
      <c r="A30" s="31">
        <v>43024.97347222222</v>
      </c>
      <c r="B30" s="30" t="s">
        <v>591</v>
      </c>
      <c r="C30" s="30" t="s">
        <v>608</v>
      </c>
      <c r="D30" s="30" t="s">
        <v>49</v>
      </c>
      <c r="E30" s="30" t="s">
        <v>179</v>
      </c>
      <c r="F30" s="42">
        <v>0</v>
      </c>
      <c r="G30" s="42">
        <v>65</v>
      </c>
      <c r="H30" s="42">
        <v>58871</v>
      </c>
      <c r="I30" s="42">
        <v>58937</v>
      </c>
      <c r="J30" s="30" t="s">
        <v>180</v>
      </c>
      <c r="K30" s="42">
        <v>59048</v>
      </c>
      <c r="L30" s="131" t="s">
        <v>50</v>
      </c>
      <c r="M30" s="132">
        <f>CONVERT((I30-K30)/10000,"mi","ft")*IF(L30="Increasing Mileposts (1)",-1,1)</f>
        <v>58.607999999999997</v>
      </c>
      <c r="N30" s="133" t="str">
        <f>VLOOKUP(C30,'Trips&amp;Operators'!$C$1:$G$99911,5,FALSE)</f>
        <v>STAMBAUGH JAMES</v>
      </c>
      <c r="O30" s="176" t="s">
        <v>178</v>
      </c>
      <c r="P30" s="134"/>
      <c r="Q30" s="30"/>
      <c r="R30" s="81" t="str">
        <f>VLOOKUP(C30,'Train Runs'!$A$13:$AE$10034,31,0)</f>
        <v>aws s3 cp s3://rtdc.mdm.uploadarchive.raw/RTDC4050/ "%USERPROFILE%\AppData\Local\Temp\OnboardLogs"\RTDC4050\2017-10-16 --exclude "*" --recursive --include "*20171016*" &amp; "%USERPROFILE%\Documents\GitHub\mrs-test-scripts\Headless Mode &amp; Sideloading\WalkAndUnGZ.bat" "%USERPROFILE%\AppData\Local\Temp\OnboardLogs"\RTDC4050\2017-10-16 &amp; 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</v>
      </c>
      <c r="S30" s="84" t="str">
        <f>VLOOKUP(C30,'Train Runs'!$A$13:$AE$10034,22,0)</f>
        <v>https://d0f6bd738d7f1b3e5a7ca70fe4ff75f0.us-east-1.aws.found.io/app/kibana#/discover/Steve-Slow-Train-Analysis-(2080s-and-2083s)?_g=(refreshInterval:(display:Off,pause:!f,section:0,value:0),time:(from:'2017-10-16T21:10:23-0600',mode:absolute,to:'2017-10-17T00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/stypes="*4050*201710170*" /stext=" 05:.+((SYSTEM_STATE.+slice.+state.+changed )|(ment ac)|(multiple cpu faults)|(system.+state.+changed )|(\[timeout)|(PRM\|1\|D)|(kpr)|(kdp)|(train st.+moving)|(\|lc)|(penalty))"</v>
      </c>
      <c r="U30" s="9" t="str">
        <f>MID(B30,13,4)</f>
        <v>4050</v>
      </c>
      <c r="V30" s="31">
        <f>A30-utc_offset/24</f>
        <v>43025.22347222222</v>
      </c>
      <c r="W30" s="45" t="str">
        <f>DetSubdiv(C30)</f>
        <v>NW</v>
      </c>
      <c r="X30" s="22">
        <f>VALUE(LEFT(C30,LEN(C30)-3))</f>
        <v>849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{"issue":{"subject":"","project_id":79,"tracker_id":40,"status_id":1,"priority_id":2,"assigned_to_id":338,"start_date":"2017-10-16","description":"","custom_fields":[{"id":1,"name":"Subdivision","value":"NW"},{"id":4,"name":"Milepost","value":"5.9048"},{"id":17,"name":"Train ID","value":"849-16"},{"id":16,"name":"Locomotive ID","value":"4050"},{"id":130,"name":"Impact","value":""},{"id":150,"name":"Time of Event (Mountain Time)","value":"23:21:48"},{"id":151,"name":"Denver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/c/Users/stu/AppData/Local/Temp/OnboardLogs/RTDC4050 --include="*4050*201710170*"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"%USERPROFILE%\AppData\Local\Temp\OnboardLogs"\RTDC4050\*4050*201710170* &gt;&gt; 2017-10-16-SliceDisagreementCheck.txt</v>
      </c>
      <c r="AE30" s="145" t="str">
        <f t="shared" si="1"/>
        <v>start /low /b %USERPROFILE%\Documents\GitHub\eaglep3\Utilities\DownloadLogsFromS3.py --loco 4050 --day 2017-10-17</v>
      </c>
      <c r="AF30" s="1"/>
    </row>
    <row r="31" spans="1:32" x14ac:dyDescent="0.3">
      <c r="A31" s="31">
        <v>43024.208981481483</v>
      </c>
      <c r="B31" s="30" t="s">
        <v>423</v>
      </c>
      <c r="C31" s="30" t="s">
        <v>579</v>
      </c>
      <c r="D31" s="30" t="s">
        <v>49</v>
      </c>
      <c r="E31" s="30" t="s">
        <v>179</v>
      </c>
      <c r="F31" s="42">
        <v>0</v>
      </c>
      <c r="G31" s="42">
        <v>76</v>
      </c>
      <c r="H31" s="42">
        <v>58779</v>
      </c>
      <c r="I31" s="42">
        <v>58841</v>
      </c>
      <c r="J31" s="30" t="s">
        <v>180</v>
      </c>
      <c r="K31" s="42">
        <v>59048</v>
      </c>
      <c r="L31" s="131" t="s">
        <v>50</v>
      </c>
      <c r="M31" s="132">
        <f>CONVERT((I31-K31)/10000,"mi","ft")*IF(L31="Increasing Mileposts (1)",-1,1)</f>
        <v>109.29600000000001</v>
      </c>
      <c r="N31" s="133" t="str">
        <f>VLOOKUP(C31,'Trips&amp;Operators'!$C$1:$G$99911,5,FALSE)</f>
        <v>MACDONALD THOMAS</v>
      </c>
      <c r="O31" s="176" t="s">
        <v>178</v>
      </c>
      <c r="P31" s="134"/>
      <c r="Q31" s="30"/>
      <c r="R31" s="81" t="str">
        <f>VLOOKUP(C31,'Train Runs'!$A$13:$AE$10034,31,0)</f>
        <v>aws s3 cp s3://rtdc.mdm.uploadarchive.raw/RTDC4046/ "%USERPROFILE%\AppData\Local\Temp\OnboardLogs"\RTDC4046\2017-10-16 --exclude "*" --recursive --include "*20171016*" &amp; "%USERPROFILE%\Documents\GitHub\mrs-test-scripts\Headless Mode &amp; Sideloading\WalkAndUnGZ.bat" "%USERPROFILE%\AppData\Local\Temp\OnboardLogs"\RTDC4046\2017-10-16 &amp; aws s3 cp s3://rtdc.mdm.uploadarchive.raw/RTDC4046/ "%USERPROFILE%\AppData\Local\Temp\OnboardLogs"\RTDC4046\2017-10-17 --exclude "*" --recursive --include "*20171017*" &amp; "%USERPROFILE%\Documents\GitHub\mrs-test-scripts\Headless Mode &amp; Sideloading\WalkAndUnGZ.bat" "%USERPROFILE%\AppData\Local\Temp\OnboardLogs"\RTDC4046\2017-10-17</v>
      </c>
      <c r="S31" s="84" t="str">
        <f>VLOOKUP(C31,'Train Runs'!$A$13:$AE$10034,22,0)</f>
        <v>https://d0f6bd738d7f1b3e5a7ca70fe4ff75f0.us-east-1.aws.found.io/app/kibana#/discover/Steve-Slow-Train-Analysis-(2080s-and-2083s)?_g=(refreshInterval:(display:Off,pause:!f,section:0,value:0),time:(from:'2017-10-16T03:47:29-0600',mode:absolute,to:'2017-10-16T06:00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/stypes="*4046*201710161*" /stext=" 11:.+((SYSTEM_STATE.+slice.+state.+changed )|(ment ac)|(multiple cpu faults)|(system.+state.+changed )|(\[timeout)|(PRM\|1\|D)|(kpr)|(kdp)|(train st.+moving)|(\|lc)|(penalty))"</v>
      </c>
      <c r="U31" s="9" t="str">
        <f>MID(B31,13,4)</f>
        <v>4046</v>
      </c>
      <c r="V31" s="31">
        <f>A31-utc_offset/24</f>
        <v>43024.458981481483</v>
      </c>
      <c r="W31" s="45" t="str">
        <f>DetSubdiv(C31)</f>
        <v>Other</v>
      </c>
      <c r="X31" s="22">
        <f>VALUE(LEFT(C31,LEN(C31)-3))</f>
        <v>901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{"issue":{"subject":"","project_id":79,"tracker_id":40,"status_id":1,"priority_id":2,"assigned_to_id":338,"start_date":"2017-10-16","description":"","custom_fields":[{"id":1,"name":"Subdivision","value":"Other"},{"id":4,"name":"Milepost","value":"5.9048"},{"id":17,"name":"Train ID","value":"901-16"},{"id":16,"name":"Locomotive ID","value":"4046"},{"id":130,"name":"Impact","value":""},{"id":150,"name":"Time of Event (Mountain Time)","value":"05:00:56"},{"id":151,"name":"Denver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/c/Users/stu/AppData/Local/Temp/OnboardLogs/RTDC4046 --include="*4046*201710161*"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"%USERPROFILE%\AppData\Local\Temp\OnboardLogs"\RTDC4046\*4046*201710161* &gt;&gt; 2017-10-16-SliceDisagreementCheck.txt</v>
      </c>
      <c r="AE31" s="145" t="str">
        <f t="shared" si="1"/>
        <v>start /low /b %USERPROFILE%\Documents\GitHub\eaglep3\Utilities\DownloadLogsFromS3.py --loco 4046 --day 2017-10-16</v>
      </c>
      <c r="AF31" s="1"/>
    </row>
    <row r="32" spans="1:32" x14ac:dyDescent="0.3">
      <c r="A32" s="31">
        <v>43024.481608796297</v>
      </c>
      <c r="B32" s="30" t="s">
        <v>479</v>
      </c>
      <c r="C32" s="30" t="s">
        <v>590</v>
      </c>
      <c r="D32" s="30" t="s">
        <v>95</v>
      </c>
      <c r="E32" s="30" t="s">
        <v>441</v>
      </c>
      <c r="F32" s="42">
        <v>0</v>
      </c>
      <c r="G32" s="42">
        <v>96</v>
      </c>
      <c r="H32" s="42">
        <v>4787</v>
      </c>
      <c r="I32" s="42">
        <v>4645</v>
      </c>
      <c r="J32" s="30" t="s">
        <v>442</v>
      </c>
      <c r="K32" s="42">
        <v>4798</v>
      </c>
      <c r="L32" s="131" t="s">
        <v>51</v>
      </c>
      <c r="M32" s="132">
        <f>CONVERT((I32-K32)/10000,"mi","ft")*IF(L32="Increasing Mileposts (1)",-1,1)</f>
        <v>-80.784000000000006</v>
      </c>
      <c r="N32" s="133" t="str">
        <f>VLOOKUP(C32,'Trips&amp;Operators'!$C$1:$G$99911,5,FALSE)</f>
        <v>GUZMAN DANNY</v>
      </c>
      <c r="O32" s="176" t="s">
        <v>178</v>
      </c>
      <c r="P32" s="134"/>
      <c r="Q32" s="30"/>
      <c r="R32" s="81" t="str">
        <f>VLOOKUP(C32,'Train Runs'!$A$13:$AE$10034,31,0)</f>
        <v>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 &amp; aws s3 cp s3://rtdc.mdm.uploadarchive.raw/RTDC4057/ "%USERPROFILE%\AppData\Local\Temp\OnboardLogs"\RTDC4057\2017-10-17 --exclude "*" --recursive --include "*20171017*" &amp; "%USERPROFILE%\Documents\GitHub\mrs-test-scripts\Headless Mode &amp; Sideloading\WalkAndUnGZ.bat" "%USERPROFILE%\AppData\Local\Temp\OnboardLogs"\RTDC4057\2017-10-17</v>
      </c>
      <c r="S32" s="84" t="str">
        <f>VLOOKUP(C32,'Train Runs'!$A$13:$AE$10034,22,0)</f>
        <v>https://d0f6bd738d7f1b3e5a7ca70fe4ff75f0.us-east-1.aws.found.io/app/kibana#/discover/Steve-Slow-Train-Analysis-(2080s-and-2083s)?_g=(refreshInterval:(display:Off,pause:!f,section:0,value:0),time:(from:'2017-10-16T10:22:53-0600',mode:absolute,to:'2017-10-16T12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/stypes="*4057*201710161*" /stext=" 17:.+((SYSTEM_STATE.+slice.+state.+changed )|(ment ac)|(multiple cpu faults)|(system.+state.+changed )|(\[timeout)|(PRM\|1\|D)|(kpr)|(kdp)|(train st.+moving)|(\|lc)|(penalty))"</v>
      </c>
      <c r="U32" s="9" t="str">
        <f>MID(B32,13,4)</f>
        <v>4057</v>
      </c>
      <c r="V32" s="31">
        <f>A32-utc_offset/24</f>
        <v>43024.731608796297</v>
      </c>
      <c r="W32" s="45" t="str">
        <f>DetSubdiv(C32)</f>
        <v>Shuttle/Test</v>
      </c>
      <c r="X32" s="22">
        <f>VALUE(LEFT(C32,LEN(C32)-3))</f>
        <v>58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Shuttle/Test"},{"id":4,"name":"Milepost","value":"0.4798"},{"id":17,"name":"Train ID","value":"58-16"},{"id":16,"name":"Locomotive ID","value":"4057"},{"id":130,"name":"Impact","value":""},{"id":150,"name":"Time of Event (Mountain Time)","value":"11:33:31"},{"id":151,"name":"Denver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/c/Users/stu/AppData/Local/Temp/OnboardLogs/RTDC4057 --include="*4057*201710161*"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"%USERPROFILE%\AppData\Local\Temp\OnboardLogs"\RTDC4057\*4057*201710161* &gt;&gt; 2017-10-16-SliceDisagreementCheck.txt</v>
      </c>
      <c r="AE32" s="145" t="str">
        <f t="shared" si="1"/>
        <v>start /low /b %USERPROFILE%\Documents\GitHub\eaglep3\Utilities\DownloadLogsFromS3.py --loco 4057 --day 2017-10-16</v>
      </c>
      <c r="AF32" s="1"/>
    </row>
    <row r="33" spans="1:32" x14ac:dyDescent="0.3">
      <c r="A33" s="31">
        <v>43024.451388888891</v>
      </c>
      <c r="B33" s="30" t="s">
        <v>588</v>
      </c>
      <c r="C33" s="30" t="s">
        <v>589</v>
      </c>
      <c r="D33" s="30" t="s">
        <v>49</v>
      </c>
      <c r="E33" s="30" t="s">
        <v>179</v>
      </c>
      <c r="F33" s="42">
        <v>0</v>
      </c>
      <c r="G33" s="42">
        <v>47</v>
      </c>
      <c r="H33" s="42">
        <v>954</v>
      </c>
      <c r="I33" s="42">
        <v>923</v>
      </c>
      <c r="J33" s="30" t="s">
        <v>180</v>
      </c>
      <c r="K33" s="42">
        <v>826</v>
      </c>
      <c r="L33" s="131" t="s">
        <v>51</v>
      </c>
      <c r="M33" s="132">
        <f>CONVERT((I33-K33)/10000,"mi","ft")*IF(L33="Increasing Mileposts (1)",-1,1)</f>
        <v>51.216000000000001</v>
      </c>
      <c r="N33" s="133" t="str">
        <f>VLOOKUP(C33,'Trips&amp;Operators'!$C$1:$G$99911,5,FALSE)</f>
        <v>RESPASS AARON</v>
      </c>
      <c r="O33" s="176" t="s">
        <v>178</v>
      </c>
      <c r="P33" s="134"/>
      <c r="Q33" s="30"/>
      <c r="R33" s="81" t="str">
        <f>VLOOKUP(C33,'Train Runs'!$A$13:$AE$10034,31,0)</f>
        <v>aws s3 cp s3://rtdc.mdm.uploadarchive.raw/RTDC4005/ "%USERPROFILE%\AppData\Local\Temp\OnboardLogs"\RTDC4005\2017-10-16 --exclude "*" --recursive --include "*20171016*" &amp; "%USERPROFILE%\Documents\GitHub\mrs-test-scripts\Headless Mode &amp; Sideloading\WalkAndUnGZ.bat" "%USERPROFILE%\AppData\Local\Temp\OnboardLogs"\RTDC4005\2017-10-16 &amp; aws s3 cp s3://rtdc.mdm.uploadarchive.raw/RTDC4005/ "%USERPROFILE%\AppData\Local\Temp\OnboardLogs"\RTDC4005\2017-10-17 --exclude "*" --recursive --include "*20171017*" &amp; "%USERPROFILE%\Documents\GitHub\mrs-test-scripts\Headless Mode &amp; Sideloading\WalkAndUnGZ.bat" "%USERPROFILE%\AppData\Local\Temp\OnboardLogs"\RTDC4005\2017-10-17</v>
      </c>
      <c r="S33" s="84" t="str">
        <f>VLOOKUP(C33,'Train Runs'!$A$13:$AE$10034,22,0)</f>
        <v>https://d0f6bd738d7f1b3e5a7ca70fe4ff75f0.us-east-1.aws.found.io/app/kibana#/discover/Steve-Slow-Train-Analysis-(2080s-and-2083s)?_g=(refreshInterval:(display:Off,pause:!f,section:0,value:0),time:(from:'2017-10-16T09:37:28-0600',mode:absolute,to:'2017-10-16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/stypes="*4005*201710161*" /stext=" 16:.+((SYSTEM_STATE.+slice.+state.+changed )|(ment ac)|(multiple cpu faults)|(system.+state.+changed )|(\[timeout)|(PRM\|1\|D)|(kpr)|(kdp)|(train st.+moving)|(\|lc)|(penalty))"</v>
      </c>
      <c r="U33" s="9" t="str">
        <f>MID(B33,13,4)</f>
        <v>4005</v>
      </c>
      <c r="V33" s="31">
        <f>A33-utc_offset/24</f>
        <v>43024.701388888891</v>
      </c>
      <c r="W33" s="45" t="str">
        <f>DetSubdiv(C33)</f>
        <v>Shuttle/Test</v>
      </c>
      <c r="X33" s="22">
        <f>VALUE(LEFT(C33,LEN(C33)-3))</f>
        <v>56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Shuttle/Test"},{"id":4,"name":"Milepost","value":"0.0826"},{"id":17,"name":"Train ID","value":"56-16"},{"id":16,"name":"Locomotive ID","value":"4005"},{"id":130,"name":"Impact","value":""},{"id":150,"name":"Time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/c/Users/stu/AppData/Local/Temp/OnboardLogs/RTDC4005 --include="*4005*201710161*"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"%USERPROFILE%\AppData\Local\Temp\OnboardLogs"\RTDC4005\*4005*201710161* &gt;&gt; 2017-10-16-SliceDisagreementCheck.txt</v>
      </c>
      <c r="AE33" s="145" t="str">
        <f t="shared" si="1"/>
        <v>start /low /b %USERPROFILE%\Documents\GitHub\eaglep3\Utilities\DownloadLogsFromS3.py --loco 4005 --day 2017-10-16</v>
      </c>
      <c r="AF33" s="1"/>
    </row>
    <row r="34" spans="1:32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2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2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33"/>
      <sortCondition ref="E7:E33"/>
      <sortCondition ref="K7:K33"/>
      <sortCondition ref="F7:F33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">
    <cfRule type="cellIs" dxfId="5" priority="42" operator="equal">
      <formula>"Y"</formula>
    </cfRule>
  </conditionalFormatting>
  <conditionalFormatting sqref="O2:O3">
    <cfRule type="cellIs" dxfId="4" priority="33" operator="equal">
      <formula>"Y"</formula>
    </cfRule>
  </conditionalFormatting>
  <conditionalFormatting sqref="A7:N33">
    <cfRule type="expression" dxfId="3" priority="26">
      <formula>$O7="Y"</formula>
    </cfRule>
  </conditionalFormatting>
  <conditionalFormatting sqref="O7:O33">
    <cfRule type="cellIs" dxfId="2" priority="2" operator="equal">
      <formula>"Y"</formula>
    </cfRule>
  </conditionalFormatting>
  <conditionalFormatting sqref="O7:P33">
    <cfRule type="expression" dxfId="1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2017-10-16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244</v>
      </c>
      <c r="B3" s="42" t="str">
        <f>A3&amp;"-"&amp;IF(DAY(Variables!$A$2)&lt;10,0,"")&amp;DAY(Variables!$A$2)</f>
        <v>244-16</v>
      </c>
      <c r="C3" s="135"/>
      <c r="D3" s="153" t="str">
        <f>VLOOKUP(B3,'Trips&amp;Operators'!$C$1:$H$1072,6,FALSE)</f>
        <v>4019</v>
      </c>
      <c r="E3" s="30"/>
      <c r="F3" s="21" t="str">
        <f>VLOOKUP(B3,'Trips&amp;Operators'!$C$2:$E$9912,3,FALSE)</f>
        <v>WILLIAMS</v>
      </c>
      <c r="G3" s="21" t="str">
        <f>VLOOKUP(B3,'Trips&amp;Operators'!$C$1:$F$9912,4,FALSE)</f>
        <v>DONTE</v>
      </c>
      <c r="H3" s="29" t="str">
        <f>VLOOKUP(B3,'Trips&amp;Operators'!$C$1:$H$9912,5,FALSE)</f>
        <v>WILLIAMS DONTE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-16%22)),sort:!(Time.ISO8601,asc))</v>
      </c>
      <c r="J3" s="30" t="str">
        <f>VLOOKUP(B3,'Train Runs'!$A$13:$A$100031,1,FALSE)</f>
        <v>244-16</v>
      </c>
    </row>
    <row r="4" spans="1:10" x14ac:dyDescent="0.3">
      <c r="A4" s="198">
        <v>849</v>
      </c>
      <c r="B4" s="42" t="str">
        <f>A4&amp;"-"&amp;IF(DAY(Variables!$A$2)&lt;10,0,"")&amp;DAY(Variables!$A$2)</f>
        <v>849-16</v>
      </c>
      <c r="C4" s="135"/>
      <c r="D4" s="153" t="str">
        <f>VLOOKUP(B4,'Trips&amp;Operators'!$C$1:$H$1072,6,FALSE)</f>
        <v>4050</v>
      </c>
      <c r="E4" s="30"/>
      <c r="F4" s="21" t="str">
        <f>VLOOKUP(B4,'Trips&amp;Operators'!$C$2:$E$9912,3,FALSE)</f>
        <v>STAMBAUGH</v>
      </c>
      <c r="G4" s="21" t="str">
        <f>VLOOKUP(B4,'Trips&amp;Operators'!$C$1:$F$9912,4,FALSE)</f>
        <v>JAMES</v>
      </c>
      <c r="H4" s="29" t="str">
        <f>VLOOKUP(B4,'Trips&amp;Operators'!$C$1:$H$9912,5,FALSE)</f>
        <v>STAMBAUGH JAMES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22849-16%22)),sort:!(Time.ISO8601,asc))</v>
      </c>
      <c r="J4" s="30" t="str">
        <f>VLOOKUP(B4,'Train Runs'!$A$13:$A$100031,1,FALSE)</f>
        <v>849-16</v>
      </c>
    </row>
    <row r="5" spans="1:10" x14ac:dyDescent="0.3">
      <c r="A5" s="198"/>
      <c r="B5" s="42" t="str">
        <f>A5&amp;"-"&amp;IF(DAY(Variables!$A$2)&lt;10,0,"")&amp;DAY(Variables!$A$2)</f>
        <v>-16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Runs'!$A$13:$A$100031,1,FALSE)</f>
        <v>#N/A</v>
      </c>
    </row>
    <row r="6" spans="1:10" x14ac:dyDescent="0.3">
      <c r="A6" s="198"/>
      <c r="B6" s="42" t="str">
        <f>A6&amp;"-"&amp;IF(DAY(Variables!$A$2)&lt;10,0,"")&amp;DAY(Variables!$A$2)</f>
        <v>-16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Runs'!$A$13:$A$100031,1,FALSE)</f>
        <v>#N/A</v>
      </c>
    </row>
    <row r="7" spans="1:10" x14ac:dyDescent="0.3">
      <c r="A7" s="198"/>
      <c r="B7" s="42" t="str">
        <f>A7&amp;"-"&amp;IF(DAY(Variables!$A$2)&lt;10,0,"")&amp;DAY(Variables!$A$2)</f>
        <v>-16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Runs'!$A$13:$A$100031,1,FALSE)</f>
        <v>#N/A</v>
      </c>
    </row>
    <row r="8" spans="1:10" x14ac:dyDescent="0.3">
      <c r="A8" s="198"/>
      <c r="B8" s="42" t="str">
        <f>A8&amp;"-"&amp;IF(DAY(Variables!$A$2)&lt;10,0,"")&amp;DAY(Variables!$A$2)</f>
        <v>-16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Runs'!$A$13:$A$100031,1,FALSE)</f>
        <v>#N/A</v>
      </c>
    </row>
    <row r="9" spans="1:10" x14ac:dyDescent="0.3">
      <c r="A9" s="198"/>
      <c r="B9" s="42" t="str">
        <f>A9&amp;"-"&amp;IF(DAY(Variables!$A$2)&lt;10,0,"")&amp;DAY(Variables!$A$2)</f>
        <v>-16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Runs'!$A$13:$A$100031,1,FALSE)</f>
        <v>#N/A</v>
      </c>
    </row>
    <row r="10" spans="1:10" x14ac:dyDescent="0.3">
      <c r="A10" s="198"/>
      <c r="B10" s="42" t="str">
        <f>A10&amp;"-"&amp;IF(DAY(Variables!$A$2)&lt;10,0,"")&amp;DAY(Variables!$A$2)</f>
        <v>-16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Runs'!$A$13:$A$100031,1,FALSE)</f>
        <v>#N/A</v>
      </c>
    </row>
    <row r="11" spans="1:10" x14ac:dyDescent="0.3">
      <c r="A11" s="198"/>
      <c r="B11" s="42" t="str">
        <f>A11&amp;"-"&amp;IF(DAY(Variables!$A$2)&lt;10,0,"")&amp;DAY(Variables!$A$2)</f>
        <v>-16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Runs'!$A$13:$A$100031,1,FALSE)</f>
        <v>#N/A</v>
      </c>
    </row>
    <row r="12" spans="1:10" x14ac:dyDescent="0.3">
      <c r="A12" s="198"/>
      <c r="B12" s="42" t="str">
        <f>A12&amp;"-"&amp;IF(DAY(Variables!$A$2)&lt;10,0,"")&amp;DAY(Variables!$A$2)</f>
        <v>-16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Runs'!$A$13:$A$100031,1,FALSE)</f>
        <v>#N/A</v>
      </c>
    </row>
    <row r="13" spans="1:10" x14ac:dyDescent="0.3">
      <c r="A13" s="198"/>
      <c r="B13" s="42" t="str">
        <f>A13&amp;"-"&amp;IF(DAY(Variables!$A$2)&lt;10,0,"")&amp;DAY(Variables!$A$2)</f>
        <v>-16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Runs'!$A$13:$A$100031,1,FALSE)</f>
        <v>#N/A</v>
      </c>
    </row>
    <row r="14" spans="1:10" x14ac:dyDescent="0.3">
      <c r="A14" s="198"/>
      <c r="B14" s="42" t="str">
        <f>A14&amp;"-"&amp;IF(DAY(Variables!$A$2)&lt;10,0,"")&amp;DAY(Variables!$A$2)</f>
        <v>-16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Runs'!$A$13:$A$100031,1,FALSE)</f>
        <v>#N/A</v>
      </c>
    </row>
    <row r="15" spans="1:10" x14ac:dyDescent="0.3">
      <c r="A15" s="198"/>
      <c r="B15" s="42" t="str">
        <f>A15&amp;"-"&amp;IF(DAY(Variables!$A$2)&lt;10,0,"")&amp;DAY(Variables!$A$2)</f>
        <v>-16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Runs'!$A$13:$A$100031,1,FALSE)</f>
        <v>#N/A</v>
      </c>
    </row>
    <row r="16" spans="1:10" x14ac:dyDescent="0.3">
      <c r="A16" s="198"/>
      <c r="B16" s="42" t="str">
        <f>A16&amp;"-"&amp;IF(DAY(Variables!$A$2)&lt;10,0,"")&amp;DAY(Variables!$A$2)</f>
        <v>-16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Runs'!$A$13:$A$100031,1,FALSE)</f>
        <v>#N/A</v>
      </c>
    </row>
    <row r="17" spans="1:10" x14ac:dyDescent="0.3">
      <c r="A17" s="198"/>
      <c r="B17" s="42" t="str">
        <f>A17&amp;"-"&amp;IF(DAY(Variables!$A$2)&lt;10,0,"")&amp;DAY(Variables!$A$2)</f>
        <v>-16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Runs'!$A$13:$A$100031,1,FALSE)</f>
        <v>#N/A</v>
      </c>
    </row>
    <row r="18" spans="1:10" x14ac:dyDescent="0.3">
      <c r="A18" s="198"/>
      <c r="B18" s="42" t="str">
        <f>A18&amp;"-"&amp;IF(DAY(Variables!$A$2)&lt;10,0,"")&amp;DAY(Variables!$A$2)</f>
        <v>-16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Runs'!$A$13:$A$100031,1,FALSE)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topLeftCell="A5" workbookViewId="0">
      <selection sqref="A1:F24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43024.046053240738</v>
      </c>
      <c r="B2" s="20" t="s">
        <v>416</v>
      </c>
      <c r="C2" s="20" t="s">
        <v>545</v>
      </c>
      <c r="D2" s="138">
        <v>890000</v>
      </c>
      <c r="E2" s="20" t="s">
        <v>359</v>
      </c>
      <c r="F2" s="20" t="s">
        <v>360</v>
      </c>
      <c r="G2" s="8" t="str">
        <f>E2&amp;" "&amp;F2</f>
        <v>LOZA FIDEL</v>
      </c>
      <c r="H2" t="str">
        <f>MID(B2,13,4)</f>
        <v>4036</v>
      </c>
    </row>
    <row r="3" spans="1:8" x14ac:dyDescent="0.3">
      <c r="A3" s="8">
        <v>43024.048819444448</v>
      </c>
      <c r="B3" s="20" t="s">
        <v>481</v>
      </c>
      <c r="C3" s="20" t="s">
        <v>524</v>
      </c>
      <c r="D3" s="138">
        <v>2680000</v>
      </c>
      <c r="E3" s="20" t="s">
        <v>365</v>
      </c>
      <c r="F3" s="20" t="s">
        <v>366</v>
      </c>
      <c r="G3" s="8" t="str">
        <f t="shared" ref="G3:G66" si="0">E3&amp;" "&amp;F3</f>
        <v>DUNCAN SHEILA</v>
      </c>
      <c r="H3" s="20" t="str">
        <f t="shared" ref="H3:H66" si="1">MID(B3,13,4)</f>
        <v>4003</v>
      </c>
    </row>
    <row r="4" spans="1:8" x14ac:dyDescent="0.3">
      <c r="A4" s="8">
        <v>43024.066874999997</v>
      </c>
      <c r="B4" s="20" t="s">
        <v>478</v>
      </c>
      <c r="C4" s="20" t="s">
        <v>523</v>
      </c>
      <c r="D4" s="138">
        <v>3340000</v>
      </c>
      <c r="E4" s="20" t="s">
        <v>497</v>
      </c>
      <c r="F4" s="20" t="s">
        <v>498</v>
      </c>
      <c r="G4" s="8" t="str">
        <f t="shared" si="0"/>
        <v>ELBAUM MIKE</v>
      </c>
      <c r="H4" s="20" t="str">
        <f t="shared" si="1"/>
        <v>4042</v>
      </c>
    </row>
    <row r="5" spans="1:8" x14ac:dyDescent="0.3">
      <c r="A5" s="8">
        <v>43024.090520833335</v>
      </c>
      <c r="B5" s="20" t="s">
        <v>521</v>
      </c>
      <c r="C5" s="20" t="s">
        <v>546</v>
      </c>
      <c r="D5" s="138">
        <v>2680000</v>
      </c>
      <c r="E5" s="20" t="s">
        <v>365</v>
      </c>
      <c r="F5" s="20" t="s">
        <v>366</v>
      </c>
      <c r="G5" s="8" t="str">
        <f t="shared" si="0"/>
        <v>DUNCAN SHEILA</v>
      </c>
      <c r="H5" s="20" t="str">
        <f t="shared" si="1"/>
        <v>4016</v>
      </c>
    </row>
    <row r="6" spans="1:8" x14ac:dyDescent="0.3">
      <c r="A6" s="8">
        <v>43024.117627314816</v>
      </c>
      <c r="B6" s="20" t="s">
        <v>403</v>
      </c>
      <c r="C6" s="20" t="s">
        <v>609</v>
      </c>
      <c r="D6" s="138">
        <v>3120000</v>
      </c>
      <c r="E6" s="20" t="s">
        <v>528</v>
      </c>
      <c r="F6" s="20" t="s">
        <v>529</v>
      </c>
      <c r="G6" s="8" t="str">
        <f t="shared" si="0"/>
        <v>THOMPSON LESTER</v>
      </c>
      <c r="H6" s="20" t="str">
        <f t="shared" si="1"/>
        <v>4065</v>
      </c>
    </row>
    <row r="7" spans="1:8" x14ac:dyDescent="0.3">
      <c r="A7" s="8">
        <v>43024.129780092589</v>
      </c>
      <c r="B7" s="20" t="s">
        <v>402</v>
      </c>
      <c r="C7" s="20" t="s">
        <v>610</v>
      </c>
      <c r="D7" s="138">
        <v>1260000</v>
      </c>
      <c r="E7" s="20" t="s">
        <v>611</v>
      </c>
      <c r="F7" s="20" t="s">
        <v>612</v>
      </c>
      <c r="G7" s="8" t="str">
        <f t="shared" si="0"/>
        <v>ACKERMAN JARED</v>
      </c>
      <c r="H7" s="20" t="str">
        <f t="shared" si="1"/>
        <v>4066</v>
      </c>
    </row>
    <row r="8" spans="1:8" x14ac:dyDescent="0.3">
      <c r="A8" s="8">
        <v>43024.132025462961</v>
      </c>
      <c r="B8" s="20" t="s">
        <v>525</v>
      </c>
      <c r="C8" s="20" t="s">
        <v>613</v>
      </c>
      <c r="D8" s="138">
        <v>3120000</v>
      </c>
      <c r="E8" s="20" t="s">
        <v>528</v>
      </c>
      <c r="F8" s="20" t="s">
        <v>529</v>
      </c>
      <c r="G8" s="8" t="str">
        <f t="shared" si="0"/>
        <v>THOMPSON LESTER</v>
      </c>
      <c r="H8" s="20" t="str">
        <f t="shared" si="1"/>
        <v>4018</v>
      </c>
    </row>
    <row r="9" spans="1:8" ht="15" thickBot="1" x14ac:dyDescent="0.35">
      <c r="A9" s="24">
        <v>43024.138611111113</v>
      </c>
      <c r="B9" s="20" t="s">
        <v>580</v>
      </c>
      <c r="C9" s="20" t="s">
        <v>614</v>
      </c>
      <c r="D9" s="138">
        <v>3300000</v>
      </c>
      <c r="E9" s="20" t="s">
        <v>615</v>
      </c>
      <c r="F9" s="20" t="s">
        <v>616</v>
      </c>
      <c r="G9" s="8" t="str">
        <f t="shared" si="0"/>
        <v>LANGERAK WILLIAM</v>
      </c>
      <c r="H9" s="20" t="str">
        <f t="shared" si="1"/>
        <v>4029</v>
      </c>
    </row>
    <row r="10" spans="1:8" x14ac:dyDescent="0.3">
      <c r="A10" s="8">
        <v>43024.140081018515</v>
      </c>
      <c r="B10" s="20" t="s">
        <v>403</v>
      </c>
      <c r="C10" s="20" t="s">
        <v>617</v>
      </c>
      <c r="D10" s="138">
        <v>1260000</v>
      </c>
      <c r="E10" s="20" t="s">
        <v>611</v>
      </c>
      <c r="F10" s="20" t="s">
        <v>612</v>
      </c>
      <c r="G10" s="8" t="str">
        <f t="shared" si="0"/>
        <v>ACKERMAN JARED</v>
      </c>
      <c r="H10" s="20" t="str">
        <f t="shared" si="1"/>
        <v>4065</v>
      </c>
    </row>
    <row r="11" spans="1:8" x14ac:dyDescent="0.3">
      <c r="A11" s="8">
        <v>43024.151863425926</v>
      </c>
      <c r="B11" s="20" t="s">
        <v>477</v>
      </c>
      <c r="C11" s="20" t="s">
        <v>618</v>
      </c>
      <c r="D11" s="138">
        <v>3300000</v>
      </c>
      <c r="E11" s="20" t="s">
        <v>615</v>
      </c>
      <c r="F11" s="20" t="s">
        <v>616</v>
      </c>
      <c r="G11" s="8" t="str">
        <f t="shared" si="0"/>
        <v>LANGERAK WILLIAM</v>
      </c>
      <c r="H11" s="20" t="str">
        <f t="shared" si="1"/>
        <v>4030</v>
      </c>
    </row>
    <row r="12" spans="1:8" x14ac:dyDescent="0.3">
      <c r="A12" s="8">
        <v>43024.161898148152</v>
      </c>
      <c r="B12" s="20" t="s">
        <v>480</v>
      </c>
      <c r="C12" s="20" t="s">
        <v>619</v>
      </c>
      <c r="D12" s="138">
        <v>1830000</v>
      </c>
      <c r="E12" s="20" t="s">
        <v>377</v>
      </c>
      <c r="F12" s="20" t="s">
        <v>378</v>
      </c>
      <c r="G12" s="8" t="str">
        <f t="shared" si="0"/>
        <v>YORK EDGAR</v>
      </c>
      <c r="H12" s="20" t="str">
        <f t="shared" si="1"/>
        <v>4025</v>
      </c>
    </row>
    <row r="13" spans="1:8" x14ac:dyDescent="0.3">
      <c r="A13" s="8">
        <v>43024.168946759259</v>
      </c>
      <c r="B13" s="20" t="s">
        <v>620</v>
      </c>
      <c r="C13" s="20" t="s">
        <v>621</v>
      </c>
      <c r="D13" s="138">
        <v>2530000</v>
      </c>
      <c r="E13" s="20" t="s">
        <v>530</v>
      </c>
      <c r="F13" s="20" t="s">
        <v>531</v>
      </c>
      <c r="G13" s="8" t="str">
        <f t="shared" si="0"/>
        <v>LALONDE GREGORY</v>
      </c>
      <c r="H13" s="20" t="str">
        <f t="shared" si="1"/>
        <v>4019</v>
      </c>
    </row>
    <row r="14" spans="1:8" x14ac:dyDescent="0.3">
      <c r="A14" s="8">
        <v>43024.169861111113</v>
      </c>
      <c r="B14" s="20" t="s">
        <v>484</v>
      </c>
      <c r="C14" s="20" t="s">
        <v>622</v>
      </c>
      <c r="D14" s="138">
        <v>1830000</v>
      </c>
      <c r="E14" s="20" t="s">
        <v>377</v>
      </c>
      <c r="F14" s="20" t="s">
        <v>378</v>
      </c>
      <c r="G14" s="8" t="str">
        <f t="shared" si="0"/>
        <v>YORK EDGAR</v>
      </c>
      <c r="H14" s="20" t="str">
        <f t="shared" si="1"/>
        <v>4026</v>
      </c>
    </row>
    <row r="15" spans="1:8" x14ac:dyDescent="0.3">
      <c r="A15" s="8">
        <v>43024.17392361111</v>
      </c>
      <c r="B15" s="20" t="s">
        <v>585</v>
      </c>
      <c r="C15" s="20" t="s">
        <v>623</v>
      </c>
      <c r="D15" s="138">
        <v>3120000</v>
      </c>
      <c r="E15" s="20" t="s">
        <v>528</v>
      </c>
      <c r="F15" s="20" t="s">
        <v>529</v>
      </c>
      <c r="G15" s="8" t="str">
        <f t="shared" si="0"/>
        <v>THOMPSON LESTER</v>
      </c>
      <c r="H15" s="20" t="str">
        <f t="shared" si="1"/>
        <v>4017</v>
      </c>
    </row>
    <row r="16" spans="1:8" x14ac:dyDescent="0.3">
      <c r="A16" s="8">
        <v>43024.181446759256</v>
      </c>
      <c r="B16" s="20" t="s">
        <v>624</v>
      </c>
      <c r="C16" s="20" t="s">
        <v>625</v>
      </c>
      <c r="D16" s="138">
        <v>2010000</v>
      </c>
      <c r="E16" s="20" t="s">
        <v>482</v>
      </c>
      <c r="F16" s="20" t="s">
        <v>483</v>
      </c>
      <c r="G16" s="8" t="str">
        <f t="shared" si="0"/>
        <v>MAELZER KURT</v>
      </c>
      <c r="H16" s="20" t="str">
        <f t="shared" si="1"/>
        <v>4059</v>
      </c>
    </row>
    <row r="17" spans="1:8" x14ac:dyDescent="0.3">
      <c r="A17" s="8">
        <v>43024.181562500002</v>
      </c>
      <c r="B17" s="20" t="s">
        <v>606</v>
      </c>
      <c r="C17" s="20" t="s">
        <v>626</v>
      </c>
      <c r="D17" s="138">
        <v>2530000</v>
      </c>
      <c r="E17" s="20" t="s">
        <v>530</v>
      </c>
      <c r="F17" s="20" t="s">
        <v>531</v>
      </c>
      <c r="G17" s="8" t="str">
        <f t="shared" si="0"/>
        <v>LALONDE GREGORY</v>
      </c>
      <c r="H17" s="20" t="str">
        <f t="shared" si="1"/>
        <v>4020</v>
      </c>
    </row>
    <row r="18" spans="1:8" x14ac:dyDescent="0.3">
      <c r="A18" s="8">
        <v>43024.183969907404</v>
      </c>
      <c r="B18" s="20" t="s">
        <v>580</v>
      </c>
      <c r="C18" s="20" t="s">
        <v>581</v>
      </c>
      <c r="D18" s="138">
        <v>3300000</v>
      </c>
      <c r="E18" s="20" t="s">
        <v>615</v>
      </c>
      <c r="F18" s="20" t="s">
        <v>616</v>
      </c>
      <c r="G18" s="8" t="str">
        <f t="shared" si="0"/>
        <v>LANGERAK WILLIAM</v>
      </c>
      <c r="H18" s="20" t="str">
        <f t="shared" si="1"/>
        <v>4029</v>
      </c>
    </row>
    <row r="19" spans="1:8" x14ac:dyDescent="0.3">
      <c r="A19" s="8">
        <v>43024.192962962959</v>
      </c>
      <c r="B19" s="20" t="s">
        <v>583</v>
      </c>
      <c r="C19" s="20" t="s">
        <v>627</v>
      </c>
      <c r="D19" s="138">
        <v>2010000</v>
      </c>
      <c r="E19" s="20" t="s">
        <v>482</v>
      </c>
      <c r="F19" s="20" t="s">
        <v>483</v>
      </c>
      <c r="G19" s="8" t="str">
        <f t="shared" si="0"/>
        <v>MAELZER KURT</v>
      </c>
      <c r="H19" s="20" t="str">
        <f t="shared" si="1"/>
        <v>4060</v>
      </c>
    </row>
    <row r="20" spans="1:8" x14ac:dyDescent="0.3">
      <c r="A20" s="8">
        <v>43024.197974537034</v>
      </c>
      <c r="B20" s="20" t="s">
        <v>628</v>
      </c>
      <c r="C20" s="20" t="s">
        <v>629</v>
      </c>
      <c r="D20" s="138">
        <v>2730000</v>
      </c>
      <c r="E20" s="20" t="s">
        <v>630</v>
      </c>
      <c r="F20" s="20" t="s">
        <v>631</v>
      </c>
      <c r="G20" s="8" t="str">
        <f t="shared" si="0"/>
        <v>YANG JAN</v>
      </c>
      <c r="H20" s="20" t="str">
        <f t="shared" si="1"/>
        <v>4009</v>
      </c>
    </row>
    <row r="21" spans="1:8" x14ac:dyDescent="0.3">
      <c r="A21" s="8">
        <v>43024.200914351852</v>
      </c>
      <c r="B21" s="20" t="s">
        <v>423</v>
      </c>
      <c r="C21" s="20" t="s">
        <v>579</v>
      </c>
      <c r="D21" s="138">
        <v>2560000</v>
      </c>
      <c r="E21" s="20" t="s">
        <v>532</v>
      </c>
      <c r="F21" s="20" t="s">
        <v>494</v>
      </c>
      <c r="G21" s="8" t="str">
        <f t="shared" si="0"/>
        <v>MACDONALD THOMAS</v>
      </c>
      <c r="H21" s="20" t="str">
        <f t="shared" si="1"/>
        <v>4046</v>
      </c>
    </row>
    <row r="22" spans="1:8" x14ac:dyDescent="0.3">
      <c r="A22" s="26">
        <v>43024.202326388891</v>
      </c>
      <c r="B22" s="20" t="s">
        <v>480</v>
      </c>
      <c r="C22" s="20" t="s">
        <v>632</v>
      </c>
      <c r="D22" s="138">
        <v>1830000</v>
      </c>
      <c r="E22" s="20" t="s">
        <v>377</v>
      </c>
      <c r="F22" s="20" t="s">
        <v>378</v>
      </c>
      <c r="G22" s="8" t="str">
        <f t="shared" si="0"/>
        <v>YORK EDGAR</v>
      </c>
      <c r="H22" s="20" t="str">
        <f t="shared" si="1"/>
        <v>4025</v>
      </c>
    </row>
    <row r="23" spans="1:8" x14ac:dyDescent="0.3">
      <c r="A23" s="8">
        <v>43024.206597222219</v>
      </c>
      <c r="B23" s="20" t="s">
        <v>525</v>
      </c>
      <c r="C23" s="20" t="s">
        <v>633</v>
      </c>
      <c r="D23" s="138">
        <v>3120000</v>
      </c>
      <c r="E23" s="20" t="s">
        <v>528</v>
      </c>
      <c r="F23" s="20" t="s">
        <v>529</v>
      </c>
      <c r="G23" s="8" t="str">
        <f t="shared" si="0"/>
        <v>THOMPSON LESTER</v>
      </c>
      <c r="H23" s="20" t="str">
        <f t="shared" si="1"/>
        <v>4018</v>
      </c>
    </row>
    <row r="24" spans="1:8" x14ac:dyDescent="0.3">
      <c r="A24" s="8">
        <v>43024.212685185186</v>
      </c>
      <c r="B24" s="20" t="s">
        <v>445</v>
      </c>
      <c r="C24" s="20" t="s">
        <v>634</v>
      </c>
      <c r="D24" s="138">
        <v>2560000</v>
      </c>
      <c r="E24" s="20" t="s">
        <v>532</v>
      </c>
      <c r="F24" s="20" t="s">
        <v>494</v>
      </c>
      <c r="G24" s="8" t="str">
        <f t="shared" si="0"/>
        <v>MACDONALD THOMAS</v>
      </c>
      <c r="H24" s="20" t="str">
        <f t="shared" si="1"/>
        <v>4045</v>
      </c>
    </row>
    <row r="25" spans="1:8" x14ac:dyDescent="0.3">
      <c r="A25" s="8">
        <v>43024.213148148148</v>
      </c>
      <c r="B25" s="20" t="s">
        <v>635</v>
      </c>
      <c r="C25" s="20" t="s">
        <v>636</v>
      </c>
      <c r="D25" s="138">
        <v>2730000</v>
      </c>
      <c r="E25" s="20" t="s">
        <v>630</v>
      </c>
      <c r="F25" s="20" t="s">
        <v>631</v>
      </c>
      <c r="G25" s="8" t="str">
        <f t="shared" si="0"/>
        <v>YANG JAN</v>
      </c>
      <c r="H25" s="20" t="str">
        <f t="shared" si="1"/>
        <v>4010</v>
      </c>
    </row>
    <row r="26" spans="1:8" x14ac:dyDescent="0.3">
      <c r="A26" s="8">
        <v>43024.213541666664</v>
      </c>
      <c r="B26" s="20" t="s">
        <v>620</v>
      </c>
      <c r="C26" s="20" t="s">
        <v>637</v>
      </c>
      <c r="D26" s="138">
        <v>2530000</v>
      </c>
      <c r="E26" s="20" t="s">
        <v>530</v>
      </c>
      <c r="F26" s="20" t="s">
        <v>531</v>
      </c>
      <c r="G26" s="8" t="str">
        <f t="shared" si="0"/>
        <v>LALONDE GREGORY</v>
      </c>
      <c r="H26" s="20" t="str">
        <f t="shared" si="1"/>
        <v>4019</v>
      </c>
    </row>
    <row r="27" spans="1:8" x14ac:dyDescent="0.3">
      <c r="A27" s="8">
        <v>43024.221828703703</v>
      </c>
      <c r="B27" s="20" t="s">
        <v>638</v>
      </c>
      <c r="C27" s="20" t="s">
        <v>639</v>
      </c>
      <c r="D27" s="138">
        <v>3090000</v>
      </c>
      <c r="E27" s="20" t="s">
        <v>533</v>
      </c>
      <c r="F27" s="20" t="s">
        <v>534</v>
      </c>
      <c r="G27" s="8" t="str">
        <f t="shared" si="0"/>
        <v>LAMAR NEKESHA</v>
      </c>
      <c r="H27" s="20" t="str">
        <f t="shared" si="1"/>
        <v>4023</v>
      </c>
    </row>
    <row r="28" spans="1:8" x14ac:dyDescent="0.3">
      <c r="A28" s="8">
        <v>43024.224814814814</v>
      </c>
      <c r="B28" s="20" t="s">
        <v>477</v>
      </c>
      <c r="C28" s="20" t="s">
        <v>640</v>
      </c>
      <c r="D28" s="138">
        <v>3300000</v>
      </c>
      <c r="E28" s="20" t="s">
        <v>615</v>
      </c>
      <c r="F28" s="20" t="s">
        <v>616</v>
      </c>
      <c r="G28" s="8" t="str">
        <f t="shared" si="0"/>
        <v>LANGERAK WILLIAM</v>
      </c>
      <c r="H28" s="20" t="str">
        <f t="shared" si="1"/>
        <v>4030</v>
      </c>
    </row>
    <row r="29" spans="1:8" x14ac:dyDescent="0.3">
      <c r="A29" s="8">
        <v>43024.228125000001</v>
      </c>
      <c r="B29" s="20" t="s">
        <v>624</v>
      </c>
      <c r="C29" s="20" t="s">
        <v>641</v>
      </c>
      <c r="D29" s="138">
        <v>2010000</v>
      </c>
      <c r="E29" s="20" t="s">
        <v>482</v>
      </c>
      <c r="F29" s="20" t="s">
        <v>483</v>
      </c>
      <c r="G29" s="8" t="str">
        <f t="shared" si="0"/>
        <v>MAELZER KURT</v>
      </c>
      <c r="H29" s="20" t="str">
        <f t="shared" si="1"/>
        <v>4059</v>
      </c>
    </row>
    <row r="30" spans="1:8" x14ac:dyDescent="0.3">
      <c r="A30" s="8">
        <v>43024.23337962963</v>
      </c>
      <c r="B30" s="20" t="s">
        <v>423</v>
      </c>
      <c r="C30" s="20" t="s">
        <v>642</v>
      </c>
      <c r="D30" s="138">
        <v>2560000</v>
      </c>
      <c r="E30" s="20" t="s">
        <v>532</v>
      </c>
      <c r="F30" s="20" t="s">
        <v>494</v>
      </c>
      <c r="G30" s="8" t="str">
        <f t="shared" si="0"/>
        <v>MACDONALD THOMAS</v>
      </c>
      <c r="H30" s="20" t="str">
        <f t="shared" si="1"/>
        <v>4046</v>
      </c>
    </row>
    <row r="31" spans="1:8" x14ac:dyDescent="0.3">
      <c r="A31" s="8">
        <v>43024.234768518516</v>
      </c>
      <c r="B31" s="20" t="s">
        <v>643</v>
      </c>
      <c r="C31" s="20" t="s">
        <v>644</v>
      </c>
      <c r="D31" s="138">
        <v>3090000</v>
      </c>
      <c r="E31" s="20" t="s">
        <v>533</v>
      </c>
      <c r="F31" s="20" t="s">
        <v>534</v>
      </c>
      <c r="G31" s="8" t="str">
        <f t="shared" si="0"/>
        <v>LAMAR NEKESHA</v>
      </c>
      <c r="H31" s="20" t="str">
        <f t="shared" si="1"/>
        <v>4024</v>
      </c>
    </row>
    <row r="32" spans="1:8" x14ac:dyDescent="0.3">
      <c r="A32" s="8">
        <v>43024.234907407408</v>
      </c>
      <c r="B32" s="20" t="s">
        <v>594</v>
      </c>
      <c r="C32" s="20" t="s">
        <v>645</v>
      </c>
      <c r="D32" s="138">
        <v>1230000</v>
      </c>
      <c r="E32" s="20" t="s">
        <v>646</v>
      </c>
      <c r="F32" s="20" t="s">
        <v>647</v>
      </c>
      <c r="G32" s="8" t="str">
        <f t="shared" si="0"/>
        <v>YANAI IAN</v>
      </c>
      <c r="H32" s="20" t="str">
        <f t="shared" si="1"/>
        <v>4049</v>
      </c>
    </row>
    <row r="33" spans="1:8" x14ac:dyDescent="0.3">
      <c r="A33" s="8">
        <v>43024.243969907409</v>
      </c>
      <c r="B33" s="20" t="s">
        <v>484</v>
      </c>
      <c r="C33" s="20" t="s">
        <v>648</v>
      </c>
      <c r="D33" s="138">
        <v>1830000</v>
      </c>
      <c r="E33" s="20" t="s">
        <v>377</v>
      </c>
      <c r="F33" s="20" t="s">
        <v>378</v>
      </c>
      <c r="G33" s="8" t="str">
        <f t="shared" si="0"/>
        <v>YORK EDGAR</v>
      </c>
      <c r="H33" s="20" t="str">
        <f t="shared" si="1"/>
        <v>4026</v>
      </c>
    </row>
    <row r="34" spans="1:8" x14ac:dyDescent="0.3">
      <c r="A34" s="8">
        <v>43024.246296296296</v>
      </c>
      <c r="B34" s="20" t="s">
        <v>445</v>
      </c>
      <c r="C34" s="20" t="s">
        <v>649</v>
      </c>
      <c r="D34" s="138">
        <v>2560000</v>
      </c>
      <c r="E34" s="20" t="s">
        <v>532</v>
      </c>
      <c r="F34" s="20" t="s">
        <v>494</v>
      </c>
      <c r="G34" s="8" t="str">
        <f t="shared" si="0"/>
        <v>MACDONALD THOMAS</v>
      </c>
      <c r="H34" s="20" t="str">
        <f t="shared" si="1"/>
        <v>4045</v>
      </c>
    </row>
    <row r="35" spans="1:8" x14ac:dyDescent="0.3">
      <c r="A35" s="8">
        <v>43024.247048611112</v>
      </c>
      <c r="B35" s="20" t="s">
        <v>585</v>
      </c>
      <c r="C35" s="20" t="s">
        <v>650</v>
      </c>
      <c r="D35" s="138">
        <v>3120000</v>
      </c>
      <c r="E35" s="20" t="s">
        <v>528</v>
      </c>
      <c r="F35" s="20" t="s">
        <v>529</v>
      </c>
      <c r="G35" s="8" t="str">
        <f t="shared" si="0"/>
        <v>THOMPSON LESTER</v>
      </c>
      <c r="H35" s="20" t="str">
        <f t="shared" si="1"/>
        <v>4017</v>
      </c>
    </row>
    <row r="36" spans="1:8" x14ac:dyDescent="0.3">
      <c r="A36" s="8">
        <v>43024.248333333337</v>
      </c>
      <c r="B36" s="20" t="s">
        <v>591</v>
      </c>
      <c r="C36" s="20" t="s">
        <v>651</v>
      </c>
      <c r="D36" s="138">
        <v>1230000</v>
      </c>
      <c r="E36" s="20" t="s">
        <v>646</v>
      </c>
      <c r="F36" s="20" t="s">
        <v>647</v>
      </c>
      <c r="G36" s="8" t="str">
        <f t="shared" si="0"/>
        <v>YANAI IAN</v>
      </c>
      <c r="H36" s="20" t="str">
        <f t="shared" si="1"/>
        <v>4050</v>
      </c>
    </row>
    <row r="37" spans="1:8" x14ac:dyDescent="0.3">
      <c r="A37" s="8">
        <v>43024.255104166667</v>
      </c>
      <c r="B37" s="20" t="s">
        <v>628</v>
      </c>
      <c r="C37" s="20" t="s">
        <v>652</v>
      </c>
      <c r="D37" s="138">
        <v>2730000</v>
      </c>
      <c r="E37" s="20" t="s">
        <v>630</v>
      </c>
      <c r="F37" s="20" t="s">
        <v>631</v>
      </c>
      <c r="G37" s="8" t="str">
        <f t="shared" si="0"/>
        <v>YANG JAN</v>
      </c>
      <c r="H37" s="20" t="str">
        <f t="shared" si="1"/>
        <v>4009</v>
      </c>
    </row>
    <row r="38" spans="1:8" x14ac:dyDescent="0.3">
      <c r="A38" s="8">
        <v>43024.255150462966</v>
      </c>
      <c r="B38" s="20" t="s">
        <v>606</v>
      </c>
      <c r="C38" s="20" t="s">
        <v>653</v>
      </c>
      <c r="D38" s="138">
        <v>2530000</v>
      </c>
      <c r="E38" s="20" t="s">
        <v>530</v>
      </c>
      <c r="F38" s="20" t="s">
        <v>531</v>
      </c>
      <c r="G38" s="8" t="str">
        <f t="shared" si="0"/>
        <v>LALONDE GREGORY</v>
      </c>
      <c r="H38" s="20" t="str">
        <f t="shared" si="1"/>
        <v>4020</v>
      </c>
    </row>
    <row r="39" spans="1:8" x14ac:dyDescent="0.3">
      <c r="A39" s="8">
        <v>43024.256979166668</v>
      </c>
      <c r="B39" s="20" t="s">
        <v>580</v>
      </c>
      <c r="C39" s="20" t="s">
        <v>654</v>
      </c>
      <c r="D39" s="138">
        <v>3300000</v>
      </c>
      <c r="E39" s="20" t="s">
        <v>615</v>
      </c>
      <c r="F39" s="20" t="s">
        <v>616</v>
      </c>
      <c r="G39" s="8" t="str">
        <f t="shared" si="0"/>
        <v>LANGERAK WILLIAM</v>
      </c>
      <c r="H39" s="20" t="str">
        <f t="shared" si="1"/>
        <v>4029</v>
      </c>
    </row>
    <row r="40" spans="1:8" x14ac:dyDescent="0.3">
      <c r="A40" s="8">
        <v>43024.266944444447</v>
      </c>
      <c r="B40" s="25" t="s">
        <v>583</v>
      </c>
      <c r="C40" s="20" t="s">
        <v>655</v>
      </c>
      <c r="D40" s="138">
        <v>2010000</v>
      </c>
      <c r="E40" s="20" t="s">
        <v>482</v>
      </c>
      <c r="F40" s="20" t="s">
        <v>483</v>
      </c>
      <c r="G40" s="8" t="str">
        <f t="shared" si="0"/>
        <v>MAELZER KURT</v>
      </c>
      <c r="H40" s="20" t="str">
        <f t="shared" si="1"/>
        <v>4060</v>
      </c>
    </row>
    <row r="41" spans="1:8" x14ac:dyDescent="0.3">
      <c r="A41" s="8">
        <v>43024.267361111109</v>
      </c>
      <c r="B41" s="20" t="s">
        <v>594</v>
      </c>
      <c r="C41" s="20" t="s">
        <v>656</v>
      </c>
      <c r="D41" s="138">
        <v>1230000</v>
      </c>
      <c r="E41" s="20" t="s">
        <v>646</v>
      </c>
      <c r="F41" s="20" t="s">
        <v>647</v>
      </c>
      <c r="G41" s="8" t="str">
        <f t="shared" si="0"/>
        <v>YANAI IAN</v>
      </c>
      <c r="H41" s="20" t="str">
        <f t="shared" si="1"/>
        <v>4049</v>
      </c>
    </row>
    <row r="42" spans="1:8" x14ac:dyDescent="0.3">
      <c r="A42" s="8">
        <v>43024.270810185182</v>
      </c>
      <c r="B42" s="20" t="s">
        <v>638</v>
      </c>
      <c r="C42" s="20" t="s">
        <v>657</v>
      </c>
      <c r="D42" s="138">
        <v>3090000</v>
      </c>
      <c r="E42" s="20" t="s">
        <v>533</v>
      </c>
      <c r="F42" s="20" t="s">
        <v>534</v>
      </c>
      <c r="G42" s="8" t="str">
        <f t="shared" si="0"/>
        <v>LAMAR NEKESHA</v>
      </c>
      <c r="H42" s="20" t="str">
        <f t="shared" si="1"/>
        <v>4023</v>
      </c>
    </row>
    <row r="43" spans="1:8" x14ac:dyDescent="0.3">
      <c r="A43" s="8">
        <v>43024.27621527778</v>
      </c>
      <c r="B43" s="20" t="s">
        <v>423</v>
      </c>
      <c r="C43" s="20" t="s">
        <v>658</v>
      </c>
      <c r="D43" s="138">
        <v>2560000</v>
      </c>
      <c r="E43" s="20" t="s">
        <v>532</v>
      </c>
      <c r="F43" s="20" t="s">
        <v>494</v>
      </c>
      <c r="G43" s="8" t="str">
        <f t="shared" si="0"/>
        <v>MACDONALD THOMAS</v>
      </c>
      <c r="H43" s="20" t="str">
        <f t="shared" si="1"/>
        <v>4046</v>
      </c>
    </row>
    <row r="44" spans="1:8" x14ac:dyDescent="0.3">
      <c r="A44" s="8">
        <v>43024.27684027778</v>
      </c>
      <c r="B44" s="20" t="s">
        <v>480</v>
      </c>
      <c r="C44" s="20" t="s">
        <v>659</v>
      </c>
      <c r="D44" s="138">
        <v>1830000</v>
      </c>
      <c r="E44" s="20" t="s">
        <v>377</v>
      </c>
      <c r="F44" s="20" t="s">
        <v>378</v>
      </c>
      <c r="G44" s="8" t="str">
        <f t="shared" si="0"/>
        <v>YORK EDGAR</v>
      </c>
      <c r="H44" s="20" t="str">
        <f t="shared" si="1"/>
        <v>4025</v>
      </c>
    </row>
    <row r="45" spans="1:8" x14ac:dyDescent="0.3">
      <c r="A45" s="8">
        <v>43024.278981481482</v>
      </c>
      <c r="B45" s="20" t="s">
        <v>525</v>
      </c>
      <c r="C45" s="20" t="s">
        <v>582</v>
      </c>
      <c r="D45" s="138">
        <v>3120000</v>
      </c>
      <c r="E45" s="20" t="s">
        <v>528</v>
      </c>
      <c r="F45" s="20" t="s">
        <v>529</v>
      </c>
      <c r="G45" s="8" t="str">
        <f t="shared" si="0"/>
        <v>THOMPSON LESTER</v>
      </c>
      <c r="H45" s="20" t="str">
        <f t="shared" si="1"/>
        <v>4018</v>
      </c>
    </row>
    <row r="46" spans="1:8" x14ac:dyDescent="0.3">
      <c r="A46" s="8">
        <v>43024.286261574074</v>
      </c>
      <c r="B46" s="20" t="s">
        <v>620</v>
      </c>
      <c r="C46" s="20" t="s">
        <v>660</v>
      </c>
      <c r="D46" s="138">
        <v>2530000</v>
      </c>
      <c r="E46" s="20" t="s">
        <v>530</v>
      </c>
      <c r="F46" s="20" t="s">
        <v>531</v>
      </c>
      <c r="G46" s="8" t="str">
        <f t="shared" si="0"/>
        <v>LALONDE GREGORY</v>
      </c>
      <c r="H46" s="20" t="str">
        <f t="shared" si="1"/>
        <v>4019</v>
      </c>
    </row>
    <row r="47" spans="1:8" x14ac:dyDescent="0.3">
      <c r="A47" s="8">
        <v>43024.288530092592</v>
      </c>
      <c r="B47" s="20" t="s">
        <v>635</v>
      </c>
      <c r="C47" s="20" t="s">
        <v>661</v>
      </c>
      <c r="D47" s="138">
        <v>2730000</v>
      </c>
      <c r="E47" s="20" t="s">
        <v>630</v>
      </c>
      <c r="F47" s="20" t="s">
        <v>631</v>
      </c>
      <c r="G47" s="8" t="str">
        <f t="shared" si="0"/>
        <v>YANG JAN</v>
      </c>
      <c r="H47" s="20" t="str">
        <f t="shared" si="1"/>
        <v>4010</v>
      </c>
    </row>
    <row r="48" spans="1:8" x14ac:dyDescent="0.3">
      <c r="A48" s="8">
        <v>43024.288969907408</v>
      </c>
      <c r="B48" s="20" t="s">
        <v>445</v>
      </c>
      <c r="C48" s="20" t="s">
        <v>662</v>
      </c>
      <c r="D48" s="138">
        <v>2560000</v>
      </c>
      <c r="E48" s="20" t="s">
        <v>532</v>
      </c>
      <c r="F48" s="20" t="s">
        <v>494</v>
      </c>
      <c r="G48" s="8" t="str">
        <f t="shared" si="0"/>
        <v>MACDONALD THOMAS</v>
      </c>
      <c r="H48" s="20" t="str">
        <f t="shared" si="1"/>
        <v>4045</v>
      </c>
    </row>
    <row r="49" spans="1:8" x14ac:dyDescent="0.3">
      <c r="A49" s="8">
        <v>43024.289490740739</v>
      </c>
      <c r="B49" s="20" t="s">
        <v>591</v>
      </c>
      <c r="C49" s="20" t="s">
        <v>663</v>
      </c>
      <c r="D49" s="138">
        <v>1230000</v>
      </c>
      <c r="E49" s="20" t="s">
        <v>646</v>
      </c>
      <c r="F49" s="20" t="s">
        <v>647</v>
      </c>
      <c r="G49" s="8" t="str">
        <f t="shared" si="0"/>
        <v>YANAI IAN</v>
      </c>
      <c r="H49" s="20" t="str">
        <f t="shared" si="1"/>
        <v>4050</v>
      </c>
    </row>
    <row r="50" spans="1:8" x14ac:dyDescent="0.3">
      <c r="A50" s="8">
        <v>43024.299571759257</v>
      </c>
      <c r="B50" s="20" t="s">
        <v>477</v>
      </c>
      <c r="C50" s="20" t="s">
        <v>664</v>
      </c>
      <c r="D50" s="138">
        <v>1110000</v>
      </c>
      <c r="E50" s="20" t="s">
        <v>665</v>
      </c>
      <c r="F50" s="20" t="s">
        <v>666</v>
      </c>
      <c r="G50" s="8" t="str">
        <f t="shared" si="0"/>
        <v>STARKS ANGELINA</v>
      </c>
      <c r="H50" s="20" t="str">
        <f t="shared" si="1"/>
        <v>4030</v>
      </c>
    </row>
    <row r="51" spans="1:8" x14ac:dyDescent="0.3">
      <c r="A51" s="8">
        <v>43024.305486111109</v>
      </c>
      <c r="B51" s="20" t="s">
        <v>624</v>
      </c>
      <c r="C51" s="20" t="s">
        <v>667</v>
      </c>
      <c r="D51" s="138">
        <v>2010000</v>
      </c>
      <c r="E51" s="20" t="s">
        <v>482</v>
      </c>
      <c r="F51" s="20" t="s">
        <v>483</v>
      </c>
      <c r="G51" s="8" t="str">
        <f t="shared" si="0"/>
        <v>MAELZER KURT</v>
      </c>
      <c r="H51" s="20" t="str">
        <f t="shared" si="1"/>
        <v>4059</v>
      </c>
    </row>
    <row r="52" spans="1:8" x14ac:dyDescent="0.3">
      <c r="A52" s="8">
        <v>43024.308819444443</v>
      </c>
      <c r="B52" s="20" t="s">
        <v>594</v>
      </c>
      <c r="C52" s="20" t="s">
        <v>668</v>
      </c>
      <c r="D52" s="138">
        <v>1230000</v>
      </c>
      <c r="E52" s="20" t="s">
        <v>646</v>
      </c>
      <c r="F52" s="20" t="s">
        <v>647</v>
      </c>
      <c r="G52" s="8" t="str">
        <f t="shared" si="0"/>
        <v>YANAI IAN</v>
      </c>
      <c r="H52" s="20" t="str">
        <f t="shared" si="1"/>
        <v>4049</v>
      </c>
    </row>
    <row r="53" spans="1:8" x14ac:dyDescent="0.3">
      <c r="A53" s="8">
        <v>43024.310578703706</v>
      </c>
      <c r="B53" s="20" t="s">
        <v>643</v>
      </c>
      <c r="C53" s="20" t="s">
        <v>669</v>
      </c>
      <c r="D53" s="138">
        <v>3090000</v>
      </c>
      <c r="E53" s="20" t="s">
        <v>533</v>
      </c>
      <c r="F53" s="20" t="s">
        <v>534</v>
      </c>
      <c r="G53" s="8" t="str">
        <f t="shared" si="0"/>
        <v>LAMAR NEKESHA</v>
      </c>
      <c r="H53" s="20" t="str">
        <f t="shared" si="1"/>
        <v>4024</v>
      </c>
    </row>
    <row r="54" spans="1:8" x14ac:dyDescent="0.3">
      <c r="A54" s="8">
        <v>43024.317708333336</v>
      </c>
      <c r="B54" s="20" t="s">
        <v>484</v>
      </c>
      <c r="C54" s="20" t="s">
        <v>670</v>
      </c>
      <c r="D54" s="138">
        <v>1830000</v>
      </c>
      <c r="E54" s="20" t="s">
        <v>377</v>
      </c>
      <c r="F54" s="20" t="s">
        <v>378</v>
      </c>
      <c r="G54" s="8" t="str">
        <f t="shared" si="0"/>
        <v>YORK EDGAR</v>
      </c>
      <c r="H54" s="20" t="str">
        <f t="shared" si="1"/>
        <v>4026</v>
      </c>
    </row>
    <row r="55" spans="1:8" x14ac:dyDescent="0.3">
      <c r="A55" s="8">
        <v>43024.317893518521</v>
      </c>
      <c r="B55" s="20" t="s">
        <v>423</v>
      </c>
      <c r="C55" s="20" t="s">
        <v>671</v>
      </c>
      <c r="D55" s="138">
        <v>2560000</v>
      </c>
      <c r="E55" s="20" t="s">
        <v>532</v>
      </c>
      <c r="F55" s="20" t="s">
        <v>494</v>
      </c>
      <c r="G55" s="8" t="str">
        <f t="shared" si="0"/>
        <v>MACDONALD THOMAS</v>
      </c>
      <c r="H55" s="20" t="str">
        <f t="shared" si="1"/>
        <v>4046</v>
      </c>
    </row>
    <row r="56" spans="1:8" x14ac:dyDescent="0.3">
      <c r="A56" s="8">
        <v>43024.318113425928</v>
      </c>
      <c r="B56" s="20" t="s">
        <v>585</v>
      </c>
      <c r="C56" s="20" t="s">
        <v>672</v>
      </c>
      <c r="D56" s="138">
        <v>3120000</v>
      </c>
      <c r="E56" s="20" t="s">
        <v>528</v>
      </c>
      <c r="F56" s="20" t="s">
        <v>529</v>
      </c>
      <c r="G56" s="8" t="str">
        <f t="shared" si="0"/>
        <v>THOMPSON LESTER</v>
      </c>
      <c r="H56" s="20" t="str">
        <f t="shared" si="1"/>
        <v>4017</v>
      </c>
    </row>
    <row r="57" spans="1:8" x14ac:dyDescent="0.3">
      <c r="A57" s="8">
        <v>43024.324849537035</v>
      </c>
      <c r="B57" s="20" t="s">
        <v>628</v>
      </c>
      <c r="C57" s="20" t="s">
        <v>673</v>
      </c>
      <c r="D57" s="138">
        <v>2730000</v>
      </c>
      <c r="E57" s="20" t="s">
        <v>630</v>
      </c>
      <c r="F57" s="20" t="s">
        <v>631</v>
      </c>
      <c r="G57" s="8" t="str">
        <f t="shared" si="0"/>
        <v>YANG JAN</v>
      </c>
      <c r="H57" s="20" t="str">
        <f t="shared" si="1"/>
        <v>4009</v>
      </c>
    </row>
    <row r="58" spans="1:8" x14ac:dyDescent="0.3">
      <c r="A58" s="8">
        <v>43024.329722222225</v>
      </c>
      <c r="B58" s="20" t="s">
        <v>445</v>
      </c>
      <c r="C58" s="20" t="s">
        <v>674</v>
      </c>
      <c r="D58" s="138">
        <v>2560000</v>
      </c>
      <c r="E58" s="20" t="s">
        <v>532</v>
      </c>
      <c r="F58" s="20" t="s">
        <v>494</v>
      </c>
      <c r="G58" s="8" t="str">
        <f t="shared" si="0"/>
        <v>MACDONALD THOMAS</v>
      </c>
      <c r="H58" s="20" t="str">
        <f t="shared" si="1"/>
        <v>4045</v>
      </c>
    </row>
    <row r="59" spans="1:8" x14ac:dyDescent="0.3">
      <c r="A59" s="8">
        <v>43024.330462962964</v>
      </c>
      <c r="B59" s="20" t="s">
        <v>606</v>
      </c>
      <c r="C59" s="20" t="s">
        <v>675</v>
      </c>
      <c r="D59" s="138">
        <v>2530000</v>
      </c>
      <c r="E59" s="20" t="s">
        <v>530</v>
      </c>
      <c r="F59" s="20" t="s">
        <v>531</v>
      </c>
      <c r="G59" s="8" t="str">
        <f t="shared" si="0"/>
        <v>LALONDE GREGORY</v>
      </c>
      <c r="H59" s="20" t="str">
        <f t="shared" si="1"/>
        <v>4020</v>
      </c>
    </row>
    <row r="60" spans="1:8" x14ac:dyDescent="0.3">
      <c r="A60" s="8">
        <v>43024.330949074072</v>
      </c>
      <c r="B60" s="20" t="s">
        <v>580</v>
      </c>
      <c r="C60" s="20" t="s">
        <v>676</v>
      </c>
      <c r="D60" s="138">
        <v>1110000</v>
      </c>
      <c r="E60" s="20" t="s">
        <v>665</v>
      </c>
      <c r="F60" s="20" t="s">
        <v>666</v>
      </c>
      <c r="G60" s="8" t="str">
        <f t="shared" si="0"/>
        <v>STARKS ANGELINA</v>
      </c>
      <c r="H60" s="20" t="str">
        <f t="shared" si="1"/>
        <v>4029</v>
      </c>
    </row>
    <row r="61" spans="1:8" x14ac:dyDescent="0.3">
      <c r="A61" s="8">
        <v>43024.333495370367</v>
      </c>
      <c r="B61" s="20" t="s">
        <v>591</v>
      </c>
      <c r="C61" s="20" t="s">
        <v>677</v>
      </c>
      <c r="D61" s="138">
        <v>1230000</v>
      </c>
      <c r="E61" s="20" t="s">
        <v>646</v>
      </c>
      <c r="F61" s="20" t="s">
        <v>647</v>
      </c>
      <c r="G61" s="8" t="str">
        <f t="shared" si="0"/>
        <v>YANAI IAN</v>
      </c>
      <c r="H61" s="20" t="str">
        <f t="shared" si="1"/>
        <v>4050</v>
      </c>
    </row>
    <row r="62" spans="1:8" x14ac:dyDescent="0.3">
      <c r="A62" s="8">
        <v>43024.339826388888</v>
      </c>
      <c r="B62" s="20" t="s">
        <v>583</v>
      </c>
      <c r="C62" s="20" t="s">
        <v>584</v>
      </c>
      <c r="D62" s="138">
        <v>2010000</v>
      </c>
      <c r="E62" s="20" t="s">
        <v>482</v>
      </c>
      <c r="F62" s="20" t="s">
        <v>483</v>
      </c>
      <c r="G62" s="8" t="str">
        <f t="shared" si="0"/>
        <v>MAELZER KURT</v>
      </c>
      <c r="H62" s="20" t="str">
        <f t="shared" si="1"/>
        <v>4060</v>
      </c>
    </row>
    <row r="63" spans="1:8" x14ac:dyDescent="0.3">
      <c r="A63" s="8">
        <v>43024.350023148145</v>
      </c>
      <c r="B63" s="20" t="s">
        <v>638</v>
      </c>
      <c r="C63" s="20" t="s">
        <v>678</v>
      </c>
      <c r="D63" s="138">
        <v>3090000</v>
      </c>
      <c r="E63" s="20" t="s">
        <v>533</v>
      </c>
      <c r="F63" s="20" t="s">
        <v>534</v>
      </c>
      <c r="G63" s="8" t="str">
        <f t="shared" si="0"/>
        <v>LAMAR NEKESHA</v>
      </c>
      <c r="H63" s="20" t="str">
        <f t="shared" si="1"/>
        <v>4023</v>
      </c>
    </row>
    <row r="64" spans="1:8" x14ac:dyDescent="0.3">
      <c r="A64" s="26">
        <v>43024.350219907406</v>
      </c>
      <c r="B64" s="20" t="s">
        <v>594</v>
      </c>
      <c r="C64" s="20" t="s">
        <v>679</v>
      </c>
      <c r="D64" s="138">
        <v>1230000</v>
      </c>
      <c r="E64" s="20" t="s">
        <v>646</v>
      </c>
      <c r="F64" s="20" t="s">
        <v>647</v>
      </c>
      <c r="G64" s="8" t="str">
        <f t="shared" si="0"/>
        <v>YANAI IAN</v>
      </c>
      <c r="H64" s="20" t="str">
        <f t="shared" si="1"/>
        <v>4049</v>
      </c>
    </row>
    <row r="65" spans="1:8" x14ac:dyDescent="0.3">
      <c r="A65" s="8">
        <v>43024.351736111108</v>
      </c>
      <c r="B65" s="20" t="s">
        <v>525</v>
      </c>
      <c r="C65" s="20" t="s">
        <v>680</v>
      </c>
      <c r="D65" s="138">
        <v>3120000</v>
      </c>
      <c r="E65" s="20" t="s">
        <v>528</v>
      </c>
      <c r="F65" s="20" t="s">
        <v>529</v>
      </c>
      <c r="G65" s="8" t="str">
        <f t="shared" si="0"/>
        <v>THOMPSON LESTER</v>
      </c>
      <c r="H65" s="20" t="str">
        <f t="shared" si="1"/>
        <v>4018</v>
      </c>
    </row>
    <row r="66" spans="1:8" x14ac:dyDescent="0.3">
      <c r="A66" s="8">
        <v>43024.352743055555</v>
      </c>
      <c r="B66" s="20" t="s">
        <v>423</v>
      </c>
      <c r="C66" s="20" t="s">
        <v>681</v>
      </c>
      <c r="D66" s="138">
        <v>2560000</v>
      </c>
      <c r="E66" s="20" t="s">
        <v>532</v>
      </c>
      <c r="F66" s="20" t="s">
        <v>494</v>
      </c>
      <c r="G66" s="8" t="str">
        <f t="shared" si="0"/>
        <v>MACDONALD THOMAS</v>
      </c>
      <c r="H66" s="20" t="str">
        <f t="shared" si="1"/>
        <v>4046</v>
      </c>
    </row>
    <row r="67" spans="1:8" x14ac:dyDescent="0.3">
      <c r="A67" s="8">
        <v>43024.353981481479</v>
      </c>
      <c r="B67" s="20" t="s">
        <v>480</v>
      </c>
      <c r="C67" s="20" t="s">
        <v>682</v>
      </c>
      <c r="D67" s="138">
        <v>1830000</v>
      </c>
      <c r="E67" s="20" t="s">
        <v>377</v>
      </c>
      <c r="F67" s="20" t="s">
        <v>378</v>
      </c>
      <c r="G67" s="8" t="str">
        <f t="shared" ref="G67:G130" si="2">E67&amp;" "&amp;F67</f>
        <v>YORK EDGAR</v>
      </c>
      <c r="H67" s="20" t="str">
        <f t="shared" ref="H67:H130" si="3">MID(B67,13,4)</f>
        <v>4025</v>
      </c>
    </row>
    <row r="68" spans="1:8" x14ac:dyDescent="0.3">
      <c r="A68" s="8">
        <v>43024.362916666665</v>
      </c>
      <c r="B68" s="20" t="s">
        <v>480</v>
      </c>
      <c r="C68" s="20" t="s">
        <v>682</v>
      </c>
      <c r="D68" s="138">
        <v>1830000</v>
      </c>
      <c r="E68" s="20" t="s">
        <v>377</v>
      </c>
      <c r="F68" s="20" t="s">
        <v>378</v>
      </c>
      <c r="G68" s="8" t="str">
        <f t="shared" si="2"/>
        <v>YORK EDGAR</v>
      </c>
      <c r="H68" s="20" t="str">
        <f t="shared" si="3"/>
        <v>4025</v>
      </c>
    </row>
    <row r="69" spans="1:8" x14ac:dyDescent="0.3">
      <c r="A69" s="8">
        <v>43024.36341435185</v>
      </c>
      <c r="B69" s="20" t="s">
        <v>620</v>
      </c>
      <c r="C69" s="20" t="s">
        <v>683</v>
      </c>
      <c r="D69" s="138">
        <v>2530000</v>
      </c>
      <c r="E69" s="20" t="s">
        <v>530</v>
      </c>
      <c r="F69" s="20" t="s">
        <v>531</v>
      </c>
      <c r="G69" s="8" t="str">
        <f t="shared" si="2"/>
        <v>LALONDE GREGORY</v>
      </c>
      <c r="H69" s="20" t="str">
        <f t="shared" si="3"/>
        <v>4019</v>
      </c>
    </row>
    <row r="70" spans="1:8" x14ac:dyDescent="0.3">
      <c r="A70" s="8">
        <v>43024.364386574074</v>
      </c>
      <c r="B70" s="20" t="s">
        <v>635</v>
      </c>
      <c r="C70" s="20" t="s">
        <v>684</v>
      </c>
      <c r="D70" s="138">
        <v>2730000</v>
      </c>
      <c r="E70" s="20" t="s">
        <v>630</v>
      </c>
      <c r="F70" s="20" t="s">
        <v>631</v>
      </c>
      <c r="G70" s="8" t="str">
        <f t="shared" si="2"/>
        <v>YANG JAN</v>
      </c>
      <c r="H70" s="20" t="str">
        <f t="shared" si="3"/>
        <v>4010</v>
      </c>
    </row>
    <row r="71" spans="1:8" x14ac:dyDescent="0.3">
      <c r="A71" s="8">
        <v>43024.372986111113</v>
      </c>
      <c r="B71" s="20" t="s">
        <v>591</v>
      </c>
      <c r="C71" s="20" t="s">
        <v>685</v>
      </c>
      <c r="D71" s="138">
        <v>1230000</v>
      </c>
      <c r="E71" s="20" t="s">
        <v>646</v>
      </c>
      <c r="F71" s="20" t="s">
        <v>647</v>
      </c>
      <c r="G71" s="8" t="str">
        <f t="shared" si="2"/>
        <v>YANAI IAN</v>
      </c>
      <c r="H71" s="20" t="str">
        <f t="shared" si="3"/>
        <v>4050</v>
      </c>
    </row>
    <row r="72" spans="1:8" x14ac:dyDescent="0.3">
      <c r="A72" s="8">
        <v>43024.37358796296</v>
      </c>
      <c r="B72" s="20" t="s">
        <v>477</v>
      </c>
      <c r="C72" s="20" t="s">
        <v>686</v>
      </c>
      <c r="D72" s="138">
        <v>3300000</v>
      </c>
      <c r="E72" s="20" t="s">
        <v>615</v>
      </c>
      <c r="F72" s="20" t="s">
        <v>616</v>
      </c>
      <c r="G72" s="8" t="str">
        <f t="shared" si="2"/>
        <v>LANGERAK WILLIAM</v>
      </c>
      <c r="H72" s="20" t="str">
        <f t="shared" si="3"/>
        <v>4030</v>
      </c>
    </row>
    <row r="73" spans="1:8" x14ac:dyDescent="0.3">
      <c r="A73" s="8">
        <v>43024.378437500003</v>
      </c>
      <c r="B73" s="20" t="s">
        <v>624</v>
      </c>
      <c r="C73" s="20" t="s">
        <v>687</v>
      </c>
      <c r="D73" s="138">
        <v>2010000</v>
      </c>
      <c r="E73" s="20" t="s">
        <v>482</v>
      </c>
      <c r="F73" s="20" t="s">
        <v>483</v>
      </c>
      <c r="G73" s="8" t="str">
        <f t="shared" si="2"/>
        <v>MAELZER KURT</v>
      </c>
      <c r="H73" s="20" t="str">
        <f t="shared" si="3"/>
        <v>4059</v>
      </c>
    </row>
    <row r="74" spans="1:8" x14ac:dyDescent="0.3">
      <c r="A74" s="8">
        <v>43024.380509259259</v>
      </c>
      <c r="B74" s="20" t="s">
        <v>643</v>
      </c>
      <c r="C74" s="20" t="s">
        <v>688</v>
      </c>
      <c r="D74" s="138">
        <v>3090000</v>
      </c>
      <c r="E74" s="20" t="s">
        <v>533</v>
      </c>
      <c r="F74" s="20" t="s">
        <v>534</v>
      </c>
      <c r="G74" s="8" t="str">
        <f t="shared" si="2"/>
        <v>LAMAR NEKESHA</v>
      </c>
      <c r="H74" s="20" t="str">
        <f t="shared" si="3"/>
        <v>4024</v>
      </c>
    </row>
    <row r="75" spans="1:8" x14ac:dyDescent="0.3">
      <c r="A75" s="8">
        <v>43024.390821759262</v>
      </c>
      <c r="B75" s="20" t="s">
        <v>484</v>
      </c>
      <c r="C75" s="20" t="s">
        <v>689</v>
      </c>
      <c r="D75" s="138">
        <v>1830000</v>
      </c>
      <c r="E75" s="20" t="s">
        <v>377</v>
      </c>
      <c r="F75" s="20" t="s">
        <v>378</v>
      </c>
      <c r="G75" s="8" t="str">
        <f t="shared" si="2"/>
        <v>YORK EDGAR</v>
      </c>
      <c r="H75" s="20" t="str">
        <f t="shared" si="3"/>
        <v>4026</v>
      </c>
    </row>
    <row r="76" spans="1:8" x14ac:dyDescent="0.3">
      <c r="A76" s="8">
        <v>43024.390844907408</v>
      </c>
      <c r="B76" s="20" t="s">
        <v>585</v>
      </c>
      <c r="C76" s="20" t="s">
        <v>586</v>
      </c>
      <c r="D76" s="138">
        <v>3120000</v>
      </c>
      <c r="E76" s="20" t="s">
        <v>528</v>
      </c>
      <c r="F76" s="20" t="s">
        <v>529</v>
      </c>
      <c r="G76" s="8" t="str">
        <f t="shared" si="2"/>
        <v>THOMPSON LESTER</v>
      </c>
      <c r="H76" s="20" t="str">
        <f t="shared" si="3"/>
        <v>4017</v>
      </c>
    </row>
    <row r="77" spans="1:8" x14ac:dyDescent="0.3">
      <c r="A77" s="8">
        <v>43024.391562500001</v>
      </c>
      <c r="B77" s="20" t="s">
        <v>594</v>
      </c>
      <c r="C77" s="20" t="s">
        <v>690</v>
      </c>
      <c r="D77" s="138">
        <v>1230000</v>
      </c>
      <c r="E77" s="20" t="s">
        <v>646</v>
      </c>
      <c r="F77" s="20" t="s">
        <v>647</v>
      </c>
      <c r="G77" s="8" t="str">
        <f t="shared" si="2"/>
        <v>YANAI IAN</v>
      </c>
      <c r="H77" s="20" t="str">
        <f t="shared" si="3"/>
        <v>4049</v>
      </c>
    </row>
    <row r="78" spans="1:8" x14ac:dyDescent="0.3">
      <c r="A78" s="8">
        <v>43024.393518518518</v>
      </c>
      <c r="B78" s="20" t="s">
        <v>594</v>
      </c>
      <c r="C78" s="20" t="s">
        <v>690</v>
      </c>
      <c r="D78" s="138">
        <v>1230000</v>
      </c>
      <c r="E78" s="20" t="s">
        <v>646</v>
      </c>
      <c r="F78" s="20" t="s">
        <v>647</v>
      </c>
      <c r="G78" s="8" t="str">
        <f t="shared" si="2"/>
        <v>YANAI IAN</v>
      </c>
      <c r="H78" s="20" t="str">
        <f t="shared" si="3"/>
        <v>4049</v>
      </c>
    </row>
    <row r="79" spans="1:8" x14ac:dyDescent="0.3">
      <c r="A79" s="8">
        <v>43024.398657407408</v>
      </c>
      <c r="B79" s="20" t="s">
        <v>628</v>
      </c>
      <c r="C79" s="20" t="s">
        <v>691</v>
      </c>
      <c r="D79" s="138">
        <v>2730000</v>
      </c>
      <c r="E79" s="20" t="s">
        <v>630</v>
      </c>
      <c r="F79" s="20" t="s">
        <v>631</v>
      </c>
      <c r="G79" s="8" t="str">
        <f t="shared" si="2"/>
        <v>YANG JAN</v>
      </c>
      <c r="H79" s="20" t="str">
        <f t="shared" si="3"/>
        <v>4009</v>
      </c>
    </row>
    <row r="80" spans="1:8" x14ac:dyDescent="0.3">
      <c r="A80" s="8">
        <v>43024.40215277778</v>
      </c>
      <c r="B80" s="20" t="s">
        <v>580</v>
      </c>
      <c r="C80" s="20" t="s">
        <v>692</v>
      </c>
      <c r="D80" s="138">
        <v>3300000</v>
      </c>
      <c r="E80" s="20" t="s">
        <v>615</v>
      </c>
      <c r="F80" s="20" t="s">
        <v>616</v>
      </c>
      <c r="G80" s="8" t="str">
        <f t="shared" si="2"/>
        <v>LANGERAK WILLIAM</v>
      </c>
      <c r="H80" s="20" t="str">
        <f t="shared" si="3"/>
        <v>4029</v>
      </c>
    </row>
    <row r="81" spans="1:8" x14ac:dyDescent="0.3">
      <c r="A81" s="8">
        <v>43024.402511574073</v>
      </c>
      <c r="B81" s="20" t="s">
        <v>606</v>
      </c>
      <c r="C81" s="20" t="s">
        <v>693</v>
      </c>
      <c r="D81" s="138">
        <v>2530000</v>
      </c>
      <c r="E81" s="20" t="s">
        <v>530</v>
      </c>
      <c r="F81" s="20" t="s">
        <v>531</v>
      </c>
      <c r="G81" s="8" t="str">
        <f t="shared" si="2"/>
        <v>LALONDE GREGORY</v>
      </c>
      <c r="H81" s="20" t="str">
        <f t="shared" si="3"/>
        <v>4020</v>
      </c>
    </row>
    <row r="82" spans="1:8" x14ac:dyDescent="0.3">
      <c r="A82" s="8">
        <v>43024.40284722222</v>
      </c>
      <c r="B82" s="20" t="s">
        <v>588</v>
      </c>
      <c r="C82" s="20" t="s">
        <v>587</v>
      </c>
      <c r="D82" s="138">
        <v>2560000</v>
      </c>
      <c r="E82" s="20" t="s">
        <v>532</v>
      </c>
      <c r="F82" s="20" t="s">
        <v>494</v>
      </c>
      <c r="G82" s="8" t="str">
        <f t="shared" si="2"/>
        <v>MACDONALD THOMAS</v>
      </c>
      <c r="H82" s="20" t="str">
        <f t="shared" si="3"/>
        <v>4005</v>
      </c>
    </row>
    <row r="83" spans="1:8" x14ac:dyDescent="0.3">
      <c r="A83" s="8">
        <v>43024.404143518521</v>
      </c>
      <c r="B83" s="20" t="s">
        <v>588</v>
      </c>
      <c r="C83" s="20" t="s">
        <v>587</v>
      </c>
      <c r="D83" s="138">
        <v>2560000</v>
      </c>
      <c r="E83" s="20" t="s">
        <v>532</v>
      </c>
      <c r="F83" s="20" t="s">
        <v>494</v>
      </c>
      <c r="G83" s="8" t="str">
        <f t="shared" si="2"/>
        <v>MACDONALD THOMAS</v>
      </c>
      <c r="H83" s="20" t="str">
        <f t="shared" si="3"/>
        <v>4005</v>
      </c>
    </row>
    <row r="84" spans="1:8" x14ac:dyDescent="0.3">
      <c r="A84" s="8">
        <v>43024.40519675926</v>
      </c>
      <c r="B84" s="20" t="s">
        <v>588</v>
      </c>
      <c r="C84" s="20" t="s">
        <v>694</v>
      </c>
      <c r="D84" s="138">
        <v>2560000</v>
      </c>
      <c r="E84" s="20" t="s">
        <v>532</v>
      </c>
      <c r="F84" s="20" t="s">
        <v>494</v>
      </c>
      <c r="G84" s="8" t="str">
        <f t="shared" si="2"/>
        <v>MACDONALD THOMAS</v>
      </c>
      <c r="H84" s="20" t="str">
        <f t="shared" si="3"/>
        <v>4005</v>
      </c>
    </row>
    <row r="85" spans="1:8" x14ac:dyDescent="0.3">
      <c r="A85" s="8">
        <v>43024.413032407407</v>
      </c>
      <c r="B85" s="20" t="s">
        <v>583</v>
      </c>
      <c r="C85" s="20" t="s">
        <v>695</v>
      </c>
      <c r="D85" s="138">
        <v>2010000</v>
      </c>
      <c r="E85" s="20" t="s">
        <v>482</v>
      </c>
      <c r="F85" s="20" t="s">
        <v>483</v>
      </c>
      <c r="G85" s="8" t="str">
        <f t="shared" si="2"/>
        <v>MAELZER KURT</v>
      </c>
      <c r="H85" s="20" t="str">
        <f t="shared" si="3"/>
        <v>4060</v>
      </c>
    </row>
    <row r="86" spans="1:8" x14ac:dyDescent="0.3">
      <c r="A86" s="8">
        <v>43024.415509259263</v>
      </c>
      <c r="B86" s="20" t="s">
        <v>591</v>
      </c>
      <c r="C86" s="20" t="s">
        <v>696</v>
      </c>
      <c r="D86" s="138">
        <v>1230000</v>
      </c>
      <c r="E86" s="20" t="s">
        <v>646</v>
      </c>
      <c r="F86" s="20" t="s">
        <v>647</v>
      </c>
      <c r="G86" s="8" t="str">
        <f t="shared" si="2"/>
        <v>YANAI IAN</v>
      </c>
      <c r="H86" s="20" t="str">
        <f t="shared" si="3"/>
        <v>4050</v>
      </c>
    </row>
    <row r="87" spans="1:8" x14ac:dyDescent="0.3">
      <c r="A87" s="8">
        <v>43024.421319444446</v>
      </c>
      <c r="B87" s="20" t="s">
        <v>638</v>
      </c>
      <c r="C87" s="20" t="s">
        <v>697</v>
      </c>
      <c r="D87" s="138">
        <v>3090000</v>
      </c>
      <c r="E87" s="20" t="s">
        <v>533</v>
      </c>
      <c r="F87" s="20" t="s">
        <v>534</v>
      </c>
      <c r="G87" s="8" t="str">
        <f t="shared" si="2"/>
        <v>LAMAR NEKESHA</v>
      </c>
      <c r="H87" s="20" t="str">
        <f t="shared" si="3"/>
        <v>4023</v>
      </c>
    </row>
    <row r="88" spans="1:8" x14ac:dyDescent="0.3">
      <c r="A88" s="8">
        <v>43024.421516203707</v>
      </c>
      <c r="B88" s="20" t="s">
        <v>480</v>
      </c>
      <c r="C88" s="20" t="s">
        <v>698</v>
      </c>
      <c r="D88" s="138">
        <v>1830000</v>
      </c>
      <c r="E88" s="20" t="s">
        <v>377</v>
      </c>
      <c r="F88" s="20" t="s">
        <v>378</v>
      </c>
      <c r="G88" s="8" t="str">
        <f t="shared" si="2"/>
        <v>YORK EDGAR</v>
      </c>
      <c r="H88" s="20" t="str">
        <f t="shared" si="3"/>
        <v>4025</v>
      </c>
    </row>
    <row r="89" spans="1:8" x14ac:dyDescent="0.3">
      <c r="A89" s="8">
        <v>43024.423750000002</v>
      </c>
      <c r="B89" s="20" t="s">
        <v>525</v>
      </c>
      <c r="C89" s="20" t="s">
        <v>587</v>
      </c>
      <c r="D89" s="138">
        <v>2560000</v>
      </c>
      <c r="E89" s="20" t="s">
        <v>532</v>
      </c>
      <c r="F89" s="20" t="s">
        <v>494</v>
      </c>
      <c r="G89" s="8" t="str">
        <f t="shared" si="2"/>
        <v>MACDONALD THOMAS</v>
      </c>
      <c r="H89" s="20" t="str">
        <f t="shared" si="3"/>
        <v>4018</v>
      </c>
    </row>
    <row r="90" spans="1:8" x14ac:dyDescent="0.3">
      <c r="A90" s="8">
        <v>43024.425833333335</v>
      </c>
      <c r="B90" s="20" t="s">
        <v>544</v>
      </c>
      <c r="C90" s="20" t="s">
        <v>699</v>
      </c>
      <c r="D90" s="138">
        <v>1340000</v>
      </c>
      <c r="E90" s="20" t="s">
        <v>700</v>
      </c>
      <c r="F90" s="20" t="s">
        <v>701</v>
      </c>
      <c r="G90" s="8" t="str">
        <f t="shared" si="2"/>
        <v>BEAM ROSS</v>
      </c>
      <c r="H90" s="20" t="str">
        <f t="shared" si="3"/>
        <v>4006</v>
      </c>
    </row>
    <row r="91" spans="1:8" x14ac:dyDescent="0.3">
      <c r="A91" s="8">
        <v>43024.433761574073</v>
      </c>
      <c r="B91" s="20" t="s">
        <v>635</v>
      </c>
      <c r="C91" s="20" t="s">
        <v>702</v>
      </c>
      <c r="D91" s="138">
        <v>2730000</v>
      </c>
      <c r="E91" s="20" t="s">
        <v>630</v>
      </c>
      <c r="F91" s="20" t="s">
        <v>631</v>
      </c>
      <c r="G91" s="8" t="str">
        <f t="shared" si="2"/>
        <v>YANG JAN</v>
      </c>
      <c r="H91" s="20" t="str">
        <f t="shared" si="3"/>
        <v>4010</v>
      </c>
    </row>
    <row r="92" spans="1:8" x14ac:dyDescent="0.3">
      <c r="A92" s="8">
        <v>43024.433900462966</v>
      </c>
      <c r="B92" s="20" t="s">
        <v>594</v>
      </c>
      <c r="C92" s="20" t="s">
        <v>703</v>
      </c>
      <c r="D92" s="138">
        <v>1230000</v>
      </c>
      <c r="E92" s="20" t="s">
        <v>646</v>
      </c>
      <c r="F92" s="20" t="s">
        <v>647</v>
      </c>
      <c r="G92" s="8" t="str">
        <f t="shared" si="2"/>
        <v>YANAI IAN</v>
      </c>
      <c r="H92" s="20" t="str">
        <f t="shared" si="3"/>
        <v>4049</v>
      </c>
    </row>
    <row r="93" spans="1:8" x14ac:dyDescent="0.3">
      <c r="A93" s="8">
        <v>43024.435127314813</v>
      </c>
      <c r="B93" s="20" t="s">
        <v>620</v>
      </c>
      <c r="C93" s="20" t="s">
        <v>704</v>
      </c>
      <c r="D93" s="138">
        <v>2530000</v>
      </c>
      <c r="E93" s="20" t="s">
        <v>530</v>
      </c>
      <c r="F93" s="20" t="s">
        <v>531</v>
      </c>
      <c r="G93" s="8" t="str">
        <f t="shared" si="2"/>
        <v>LALONDE GREGORY</v>
      </c>
      <c r="H93" s="20" t="str">
        <f t="shared" si="3"/>
        <v>4019</v>
      </c>
    </row>
    <row r="94" spans="1:8" x14ac:dyDescent="0.3">
      <c r="A94" s="8">
        <v>43024.443495370368</v>
      </c>
      <c r="B94" s="20" t="s">
        <v>477</v>
      </c>
      <c r="C94" s="20" t="s">
        <v>705</v>
      </c>
      <c r="D94" s="138">
        <v>2550000</v>
      </c>
      <c r="E94" s="20" t="s">
        <v>492</v>
      </c>
      <c r="F94" s="20" t="s">
        <v>493</v>
      </c>
      <c r="G94" s="8" t="str">
        <f t="shared" si="2"/>
        <v>BADERTSCHER DIANE</v>
      </c>
      <c r="H94" s="20" t="str">
        <f t="shared" si="3"/>
        <v>4030</v>
      </c>
    </row>
    <row r="95" spans="1:8" x14ac:dyDescent="0.3">
      <c r="A95" s="8">
        <v>43024.444039351853</v>
      </c>
      <c r="B95" s="20" t="s">
        <v>588</v>
      </c>
      <c r="C95" s="20" t="s">
        <v>589</v>
      </c>
      <c r="D95" s="138">
        <v>3220000</v>
      </c>
      <c r="E95" s="20" t="s">
        <v>535</v>
      </c>
      <c r="F95" s="20" t="s">
        <v>536</v>
      </c>
      <c r="G95" s="8" t="str">
        <f t="shared" si="2"/>
        <v>RESPASS AARON</v>
      </c>
      <c r="H95" s="20" t="str">
        <f t="shared" si="3"/>
        <v>4005</v>
      </c>
    </row>
    <row r="96" spans="1:8" x14ac:dyDescent="0.3">
      <c r="A96" s="8">
        <v>43024.454780092594</v>
      </c>
      <c r="B96" s="20" t="s">
        <v>624</v>
      </c>
      <c r="C96" s="20" t="s">
        <v>706</v>
      </c>
      <c r="D96" s="138">
        <v>2010000</v>
      </c>
      <c r="E96" s="20" t="s">
        <v>482</v>
      </c>
      <c r="F96" s="20" t="s">
        <v>483</v>
      </c>
      <c r="G96" s="8" t="str">
        <f t="shared" si="2"/>
        <v>MAELZER KURT</v>
      </c>
      <c r="H96" s="20" t="str">
        <f t="shared" si="3"/>
        <v>4059</v>
      </c>
    </row>
    <row r="97" spans="1:8" x14ac:dyDescent="0.3">
      <c r="A97" s="8">
        <v>43024.454814814817</v>
      </c>
      <c r="B97" s="20" t="s">
        <v>643</v>
      </c>
      <c r="C97" s="20" t="s">
        <v>707</v>
      </c>
      <c r="D97" s="138">
        <v>3090000</v>
      </c>
      <c r="E97" s="20" t="s">
        <v>533</v>
      </c>
      <c r="F97" s="20" t="s">
        <v>534</v>
      </c>
      <c r="G97" s="8" t="str">
        <f t="shared" si="2"/>
        <v>LAMAR NEKESHA</v>
      </c>
      <c r="H97" s="20" t="str">
        <f t="shared" si="3"/>
        <v>4024</v>
      </c>
    </row>
    <row r="98" spans="1:8" x14ac:dyDescent="0.3">
      <c r="A98" s="8">
        <v>43024.456006944441</v>
      </c>
      <c r="B98" s="20" t="s">
        <v>591</v>
      </c>
      <c r="C98" s="20" t="s">
        <v>708</v>
      </c>
      <c r="D98" s="138">
        <v>1230000</v>
      </c>
      <c r="E98" s="20" t="s">
        <v>646</v>
      </c>
      <c r="F98" s="20" t="s">
        <v>647</v>
      </c>
      <c r="G98" s="8" t="str">
        <f t="shared" si="2"/>
        <v>YANAI IAN</v>
      </c>
      <c r="H98" s="20" t="str">
        <f t="shared" si="3"/>
        <v>4050</v>
      </c>
    </row>
    <row r="99" spans="1:8" x14ac:dyDescent="0.3">
      <c r="A99" s="8">
        <v>43024.46365740741</v>
      </c>
      <c r="B99" s="20" t="s">
        <v>484</v>
      </c>
      <c r="C99" s="20" t="s">
        <v>709</v>
      </c>
      <c r="D99" s="138">
        <v>3330000</v>
      </c>
      <c r="E99" s="20" t="s">
        <v>489</v>
      </c>
      <c r="F99" s="20" t="s">
        <v>490</v>
      </c>
      <c r="G99" s="8" t="str">
        <f t="shared" si="2"/>
        <v>GONZALEZ ARMANDO</v>
      </c>
      <c r="H99" s="20" t="str">
        <f t="shared" si="3"/>
        <v>4026</v>
      </c>
    </row>
    <row r="100" spans="1:8" x14ac:dyDescent="0.3">
      <c r="A100" s="8">
        <v>43024.465231481481</v>
      </c>
      <c r="B100" s="20" t="s">
        <v>585</v>
      </c>
      <c r="C100" s="20" t="s">
        <v>710</v>
      </c>
      <c r="D100" s="138">
        <v>2560000</v>
      </c>
      <c r="E100" s="20" t="s">
        <v>532</v>
      </c>
      <c r="F100" s="20" t="s">
        <v>494</v>
      </c>
      <c r="G100" s="8" t="str">
        <f t="shared" si="2"/>
        <v>MACDONALD THOMAS</v>
      </c>
      <c r="H100" s="20" t="str">
        <f t="shared" si="3"/>
        <v>4017</v>
      </c>
    </row>
    <row r="101" spans="1:8" x14ac:dyDescent="0.3">
      <c r="A101" s="8">
        <v>43024.471296296295</v>
      </c>
      <c r="B101" s="20" t="s">
        <v>628</v>
      </c>
      <c r="C101" s="20" t="s">
        <v>711</v>
      </c>
      <c r="D101" s="138">
        <v>2730000</v>
      </c>
      <c r="E101" s="20" t="s">
        <v>630</v>
      </c>
      <c r="F101" s="20" t="s">
        <v>631</v>
      </c>
      <c r="G101" s="8" t="str">
        <f t="shared" si="2"/>
        <v>YANG JAN</v>
      </c>
      <c r="H101" s="20" t="str">
        <f t="shared" si="3"/>
        <v>4009</v>
      </c>
    </row>
    <row r="102" spans="1:8" x14ac:dyDescent="0.3">
      <c r="A102" s="8">
        <v>43024.473298611112</v>
      </c>
      <c r="B102" s="20" t="s">
        <v>544</v>
      </c>
      <c r="C102" s="20" t="s">
        <v>712</v>
      </c>
      <c r="D102" s="138">
        <v>3030000</v>
      </c>
      <c r="E102" s="20" t="s">
        <v>713</v>
      </c>
      <c r="F102" s="20" t="s">
        <v>494</v>
      </c>
      <c r="G102" s="8" t="str">
        <f t="shared" si="2"/>
        <v>BIRENBAUM THOMAS</v>
      </c>
      <c r="H102" s="20" t="str">
        <f t="shared" si="3"/>
        <v>4006</v>
      </c>
    </row>
    <row r="103" spans="1:8" x14ac:dyDescent="0.3">
      <c r="A103" s="8">
        <v>43024.474710648145</v>
      </c>
      <c r="B103" s="20" t="s">
        <v>479</v>
      </c>
      <c r="C103" s="20" t="s">
        <v>590</v>
      </c>
      <c r="D103" s="138">
        <v>2970000</v>
      </c>
      <c r="E103" s="20" t="s">
        <v>539</v>
      </c>
      <c r="F103" s="20" t="s">
        <v>540</v>
      </c>
      <c r="G103" s="8" t="str">
        <f t="shared" si="2"/>
        <v>GUZMAN DANNY</v>
      </c>
      <c r="H103" s="20" t="str">
        <f t="shared" si="3"/>
        <v>4057</v>
      </c>
    </row>
    <row r="104" spans="1:8" x14ac:dyDescent="0.3">
      <c r="A104" s="8">
        <v>43024.47488425926</v>
      </c>
      <c r="B104" s="20" t="s">
        <v>594</v>
      </c>
      <c r="C104" s="20" t="s">
        <v>714</v>
      </c>
      <c r="D104" s="138">
        <v>1230000</v>
      </c>
      <c r="E104" s="20" t="s">
        <v>646</v>
      </c>
      <c r="F104" s="20" t="s">
        <v>647</v>
      </c>
      <c r="G104" s="8" t="str">
        <f t="shared" si="2"/>
        <v>YANAI IAN</v>
      </c>
      <c r="H104" s="20" t="str">
        <f t="shared" si="3"/>
        <v>4049</v>
      </c>
    </row>
    <row r="105" spans="1:8" x14ac:dyDescent="0.3">
      <c r="A105" s="8">
        <v>43024.475636574076</v>
      </c>
      <c r="B105" s="20" t="s">
        <v>606</v>
      </c>
      <c r="C105" s="20" t="s">
        <v>715</v>
      </c>
      <c r="D105" s="138">
        <v>880000</v>
      </c>
      <c r="E105" s="20" t="s">
        <v>424</v>
      </c>
      <c r="F105" s="20" t="s">
        <v>395</v>
      </c>
      <c r="G105" s="8" t="str">
        <f t="shared" si="2"/>
        <v>STEWART MICHAEL</v>
      </c>
      <c r="H105" s="20" t="str">
        <f t="shared" si="3"/>
        <v>4020</v>
      </c>
    </row>
    <row r="106" spans="1:8" x14ac:dyDescent="0.3">
      <c r="A106" s="8">
        <v>43024.481793981482</v>
      </c>
      <c r="B106" s="20" t="s">
        <v>580</v>
      </c>
      <c r="C106" s="20" t="s">
        <v>716</v>
      </c>
      <c r="D106" s="138">
        <v>2550000</v>
      </c>
      <c r="E106" s="20" t="s">
        <v>492</v>
      </c>
      <c r="F106" s="20" t="s">
        <v>493</v>
      </c>
      <c r="G106" s="8" t="str">
        <f t="shared" si="2"/>
        <v>BADERTSCHER DIANE</v>
      </c>
      <c r="H106" s="20" t="str">
        <f t="shared" si="3"/>
        <v>4029</v>
      </c>
    </row>
    <row r="107" spans="1:8" x14ac:dyDescent="0.3">
      <c r="A107" s="8">
        <v>43024.487164351849</v>
      </c>
      <c r="B107" s="20" t="s">
        <v>583</v>
      </c>
      <c r="C107" s="20" t="s">
        <v>717</v>
      </c>
      <c r="D107" s="138">
        <v>1180000</v>
      </c>
      <c r="E107" s="20" t="s">
        <v>718</v>
      </c>
      <c r="F107" s="20" t="s">
        <v>719</v>
      </c>
      <c r="G107" s="8" t="str">
        <f t="shared" si="2"/>
        <v>LEVERE CRAIG</v>
      </c>
      <c r="H107" s="20" t="str">
        <f t="shared" si="3"/>
        <v>4060</v>
      </c>
    </row>
    <row r="108" spans="1:8" x14ac:dyDescent="0.3">
      <c r="A108" s="8">
        <v>43024.491608796299</v>
      </c>
      <c r="B108" s="20" t="s">
        <v>638</v>
      </c>
      <c r="C108" s="20" t="s">
        <v>720</v>
      </c>
      <c r="D108" s="138">
        <v>3090000</v>
      </c>
      <c r="E108" s="20" t="s">
        <v>533</v>
      </c>
      <c r="F108" s="20" t="s">
        <v>534</v>
      </c>
      <c r="G108" s="8" t="str">
        <f t="shared" si="2"/>
        <v>LAMAR NEKESHA</v>
      </c>
      <c r="H108" s="20" t="str">
        <f t="shared" si="3"/>
        <v>4023</v>
      </c>
    </row>
    <row r="109" spans="1:8" x14ac:dyDescent="0.3">
      <c r="A109" s="8">
        <v>43024.495347222219</v>
      </c>
      <c r="B109" s="20" t="s">
        <v>525</v>
      </c>
      <c r="C109" s="20" t="s">
        <v>721</v>
      </c>
      <c r="D109" s="138">
        <v>2970000</v>
      </c>
      <c r="E109" s="20" t="s">
        <v>539</v>
      </c>
      <c r="F109" s="20" t="s">
        <v>540</v>
      </c>
      <c r="G109" s="8" t="str">
        <f t="shared" si="2"/>
        <v>GUZMAN DANNY</v>
      </c>
      <c r="H109" s="20" t="str">
        <f t="shared" si="3"/>
        <v>4018</v>
      </c>
    </row>
    <row r="110" spans="1:8" x14ac:dyDescent="0.3">
      <c r="A110" s="8">
        <v>43024.497199074074</v>
      </c>
      <c r="B110" s="20" t="s">
        <v>491</v>
      </c>
      <c r="C110" s="20" t="s">
        <v>722</v>
      </c>
      <c r="D110" s="138">
        <v>2560000</v>
      </c>
      <c r="E110" s="20" t="s">
        <v>532</v>
      </c>
      <c r="F110" s="20" t="s">
        <v>494</v>
      </c>
      <c r="G110" s="8" t="str">
        <f t="shared" si="2"/>
        <v>MACDONALD THOMAS</v>
      </c>
      <c r="H110" s="20" t="str">
        <f t="shared" si="3"/>
        <v>4058</v>
      </c>
    </row>
    <row r="111" spans="1:8" x14ac:dyDescent="0.3">
      <c r="A111" s="8">
        <v>43024.497881944444</v>
      </c>
      <c r="B111" s="20" t="s">
        <v>591</v>
      </c>
      <c r="C111" s="20" t="s">
        <v>723</v>
      </c>
      <c r="D111" s="138">
        <v>1230000</v>
      </c>
      <c r="E111" s="20" t="s">
        <v>646</v>
      </c>
      <c r="F111" s="20" t="s">
        <v>647</v>
      </c>
      <c r="G111" s="8" t="str">
        <f t="shared" si="2"/>
        <v>YANAI IAN</v>
      </c>
      <c r="H111" s="20" t="str">
        <f t="shared" si="3"/>
        <v>4050</v>
      </c>
    </row>
    <row r="112" spans="1:8" x14ac:dyDescent="0.3">
      <c r="A112" s="8">
        <v>43024.504120370373</v>
      </c>
      <c r="B112" s="20" t="s">
        <v>480</v>
      </c>
      <c r="C112" s="20" t="s">
        <v>724</v>
      </c>
      <c r="D112" s="138">
        <v>3330000</v>
      </c>
      <c r="E112" s="20" t="s">
        <v>489</v>
      </c>
      <c r="F112" s="20" t="s">
        <v>490</v>
      </c>
      <c r="G112" s="8" t="str">
        <f t="shared" si="2"/>
        <v>GONZALEZ ARMANDO</v>
      </c>
      <c r="H112" s="20" t="str">
        <f t="shared" si="3"/>
        <v>4025</v>
      </c>
    </row>
    <row r="113" spans="1:8" x14ac:dyDescent="0.3">
      <c r="A113" s="8">
        <v>43024.507847222223</v>
      </c>
      <c r="B113" s="20" t="s">
        <v>635</v>
      </c>
      <c r="C113" s="20" t="s">
        <v>725</v>
      </c>
      <c r="D113" s="138">
        <v>2630000</v>
      </c>
      <c r="E113" s="20" t="s">
        <v>537</v>
      </c>
      <c r="F113" s="20" t="s">
        <v>538</v>
      </c>
      <c r="G113" s="8" t="str">
        <f t="shared" si="2"/>
        <v>SAFIEF AEIMEN</v>
      </c>
      <c r="H113" s="20" t="str">
        <f t="shared" si="3"/>
        <v>4010</v>
      </c>
    </row>
    <row r="114" spans="1:8" x14ac:dyDescent="0.3">
      <c r="A114" s="8">
        <v>43024.514490740738</v>
      </c>
      <c r="B114" s="20" t="s">
        <v>620</v>
      </c>
      <c r="C114" s="20" t="s">
        <v>726</v>
      </c>
      <c r="D114" s="138">
        <v>880000</v>
      </c>
      <c r="E114" s="20" t="s">
        <v>424</v>
      </c>
      <c r="F114" s="20" t="s">
        <v>395</v>
      </c>
      <c r="G114" s="8" t="str">
        <f t="shared" si="2"/>
        <v>STEWART MICHAEL</v>
      </c>
      <c r="H114" s="20" t="str">
        <f t="shared" si="3"/>
        <v>4019</v>
      </c>
    </row>
    <row r="115" spans="1:8" x14ac:dyDescent="0.3">
      <c r="A115" s="8">
        <v>43024.516747685186</v>
      </c>
      <c r="B115" s="20" t="s">
        <v>594</v>
      </c>
      <c r="C115" s="20" t="s">
        <v>727</v>
      </c>
      <c r="D115" s="138">
        <v>1230000</v>
      </c>
      <c r="E115" s="20" t="s">
        <v>646</v>
      </c>
      <c r="F115" s="20" t="s">
        <v>647</v>
      </c>
      <c r="G115" s="8" t="str">
        <f t="shared" si="2"/>
        <v>YANAI IAN</v>
      </c>
      <c r="H115" s="20" t="str">
        <f t="shared" si="3"/>
        <v>4049</v>
      </c>
    </row>
    <row r="116" spans="1:8" x14ac:dyDescent="0.3">
      <c r="A116" s="8">
        <v>43024.517129629632</v>
      </c>
      <c r="B116" s="20" t="s">
        <v>477</v>
      </c>
      <c r="C116" s="20" t="s">
        <v>728</v>
      </c>
      <c r="D116" s="138">
        <v>2550000</v>
      </c>
      <c r="E116" s="20" t="s">
        <v>492</v>
      </c>
      <c r="F116" s="20" t="s">
        <v>493</v>
      </c>
      <c r="G116" s="8" t="str">
        <f t="shared" si="2"/>
        <v>BADERTSCHER DIANE</v>
      </c>
      <c r="H116" s="20" t="str">
        <f t="shared" si="3"/>
        <v>4030</v>
      </c>
    </row>
    <row r="117" spans="1:8" x14ac:dyDescent="0.3">
      <c r="A117" s="8">
        <v>43024.52207175926</v>
      </c>
      <c r="B117" s="20" t="s">
        <v>624</v>
      </c>
      <c r="C117" s="20" t="s">
        <v>729</v>
      </c>
      <c r="D117" s="138">
        <v>1180000</v>
      </c>
      <c r="E117" s="20" t="s">
        <v>718</v>
      </c>
      <c r="F117" s="20" t="s">
        <v>719</v>
      </c>
      <c r="G117" s="8" t="str">
        <f t="shared" si="2"/>
        <v>LEVERE CRAIG</v>
      </c>
      <c r="H117" s="20" t="str">
        <f t="shared" si="3"/>
        <v>4059</v>
      </c>
    </row>
    <row r="118" spans="1:8" x14ac:dyDescent="0.3">
      <c r="A118" s="8">
        <v>43024.52783564815</v>
      </c>
      <c r="B118" s="20" t="s">
        <v>643</v>
      </c>
      <c r="C118" s="20" t="s">
        <v>730</v>
      </c>
      <c r="D118" s="138">
        <v>2230000</v>
      </c>
      <c r="E118" s="20" t="s">
        <v>542</v>
      </c>
      <c r="F118" s="20" t="s">
        <v>395</v>
      </c>
      <c r="G118" s="8" t="str">
        <f t="shared" si="2"/>
        <v>SMITH MICHAEL</v>
      </c>
      <c r="H118" s="20" t="str">
        <f t="shared" si="3"/>
        <v>4024</v>
      </c>
    </row>
    <row r="119" spans="1:8" x14ac:dyDescent="0.3">
      <c r="A119" s="8">
        <v>43024.53020833333</v>
      </c>
      <c r="B119" s="20" t="s">
        <v>585</v>
      </c>
      <c r="C119" s="20" t="s">
        <v>731</v>
      </c>
      <c r="D119" s="138">
        <v>2970000</v>
      </c>
      <c r="E119" s="20" t="s">
        <v>539</v>
      </c>
      <c r="F119" s="20" t="s">
        <v>540</v>
      </c>
      <c r="G119" s="8" t="str">
        <f t="shared" si="2"/>
        <v>GUZMAN DANNY</v>
      </c>
      <c r="H119" s="20" t="str">
        <f t="shared" si="3"/>
        <v>4017</v>
      </c>
    </row>
    <row r="120" spans="1:8" x14ac:dyDescent="0.3">
      <c r="A120" s="8">
        <v>43024.537881944445</v>
      </c>
      <c r="B120" s="20" t="s">
        <v>484</v>
      </c>
      <c r="C120" s="20" t="s">
        <v>593</v>
      </c>
      <c r="D120" s="138">
        <v>920000</v>
      </c>
      <c r="E120" s="20" t="s">
        <v>341</v>
      </c>
      <c r="F120" s="20" t="s">
        <v>395</v>
      </c>
      <c r="G120" s="8" t="str">
        <f t="shared" si="2"/>
        <v>DAVIS MICHAEL</v>
      </c>
      <c r="H120" s="20" t="str">
        <f t="shared" si="3"/>
        <v>4026</v>
      </c>
    </row>
    <row r="121" spans="1:8" x14ac:dyDescent="0.3">
      <c r="A121" s="8">
        <v>43024.538090277776</v>
      </c>
      <c r="B121" s="20" t="s">
        <v>628</v>
      </c>
      <c r="C121" s="20" t="s">
        <v>732</v>
      </c>
      <c r="D121" s="138">
        <v>2630000</v>
      </c>
      <c r="E121" s="20" t="s">
        <v>537</v>
      </c>
      <c r="F121" s="20" t="s">
        <v>538</v>
      </c>
      <c r="G121" s="8" t="str">
        <f t="shared" si="2"/>
        <v>SAFIEF AEIMEN</v>
      </c>
      <c r="H121" s="20" t="str">
        <f t="shared" si="3"/>
        <v>4009</v>
      </c>
    </row>
    <row r="122" spans="1:8" x14ac:dyDescent="0.3">
      <c r="A122" s="8">
        <v>43024.542071759257</v>
      </c>
      <c r="B122" s="25" t="s">
        <v>591</v>
      </c>
      <c r="C122" s="20" t="s">
        <v>592</v>
      </c>
      <c r="D122" s="138">
        <v>1300000</v>
      </c>
      <c r="E122" s="20" t="s">
        <v>733</v>
      </c>
      <c r="F122" s="20" t="s">
        <v>734</v>
      </c>
      <c r="G122" s="8" t="str">
        <f t="shared" si="2"/>
        <v>LEVIN SCOTT</v>
      </c>
      <c r="H122" s="20" t="str">
        <f t="shared" si="3"/>
        <v>4050</v>
      </c>
    </row>
    <row r="123" spans="1:8" x14ac:dyDescent="0.3">
      <c r="A123" s="8">
        <v>43024.548750000002</v>
      </c>
      <c r="B123" s="20" t="s">
        <v>606</v>
      </c>
      <c r="C123" s="20" t="s">
        <v>735</v>
      </c>
      <c r="D123" s="138">
        <v>880000</v>
      </c>
      <c r="E123" s="20" t="s">
        <v>424</v>
      </c>
      <c r="F123" s="20" t="s">
        <v>395</v>
      </c>
      <c r="G123" s="8" t="str">
        <f t="shared" si="2"/>
        <v>STEWART MICHAEL</v>
      </c>
      <c r="H123" s="20" t="str">
        <f t="shared" si="3"/>
        <v>4020</v>
      </c>
    </row>
    <row r="124" spans="1:8" x14ac:dyDescent="0.3">
      <c r="A124" s="8">
        <v>43024.556354166663</v>
      </c>
      <c r="B124" s="20" t="s">
        <v>580</v>
      </c>
      <c r="C124" s="20" t="s">
        <v>736</v>
      </c>
      <c r="D124" s="138">
        <v>2550000</v>
      </c>
      <c r="E124" s="20" t="s">
        <v>492</v>
      </c>
      <c r="F124" s="20" t="s">
        <v>493</v>
      </c>
      <c r="G124" s="8" t="str">
        <f t="shared" si="2"/>
        <v>BADERTSCHER DIANE</v>
      </c>
      <c r="H124" s="20" t="str">
        <f t="shared" si="3"/>
        <v>4029</v>
      </c>
    </row>
    <row r="125" spans="1:8" x14ac:dyDescent="0.3">
      <c r="A125" s="8">
        <v>43024.55841435185</v>
      </c>
      <c r="B125" s="20" t="s">
        <v>583</v>
      </c>
      <c r="C125" s="20" t="s">
        <v>737</v>
      </c>
      <c r="D125" s="138">
        <v>3220000</v>
      </c>
      <c r="E125" s="20" t="s">
        <v>535</v>
      </c>
      <c r="F125" s="20" t="s">
        <v>536</v>
      </c>
      <c r="G125" s="8" t="str">
        <f t="shared" si="2"/>
        <v>RESPASS AARON</v>
      </c>
      <c r="H125" s="20" t="str">
        <f t="shared" si="3"/>
        <v>4060</v>
      </c>
    </row>
    <row r="126" spans="1:8" x14ac:dyDescent="0.3">
      <c r="A126" s="8">
        <v>43024.558865740742</v>
      </c>
      <c r="B126" s="20" t="s">
        <v>594</v>
      </c>
      <c r="C126" s="20" t="s">
        <v>738</v>
      </c>
      <c r="D126" s="138">
        <v>1300000</v>
      </c>
      <c r="E126" s="20" t="s">
        <v>733</v>
      </c>
      <c r="F126" s="20" t="s">
        <v>734</v>
      </c>
      <c r="G126" s="8" t="str">
        <f t="shared" si="2"/>
        <v>LEVIN SCOTT</v>
      </c>
      <c r="H126" s="20" t="str">
        <f t="shared" si="3"/>
        <v>4049</v>
      </c>
    </row>
    <row r="127" spans="1:8" x14ac:dyDescent="0.3">
      <c r="A127" s="8">
        <v>43024.561782407407</v>
      </c>
      <c r="B127" s="20" t="s">
        <v>638</v>
      </c>
      <c r="C127" s="20" t="s">
        <v>739</v>
      </c>
      <c r="D127" s="138">
        <v>2230000</v>
      </c>
      <c r="E127" s="20" t="s">
        <v>542</v>
      </c>
      <c r="F127" s="20" t="s">
        <v>395</v>
      </c>
      <c r="G127" s="8" t="str">
        <f t="shared" si="2"/>
        <v>SMITH MICHAEL</v>
      </c>
      <c r="H127" s="20" t="str">
        <f t="shared" si="3"/>
        <v>4023</v>
      </c>
    </row>
    <row r="128" spans="1:8" x14ac:dyDescent="0.3">
      <c r="A128" s="8">
        <v>43024.568807870368</v>
      </c>
      <c r="B128" s="20" t="s">
        <v>525</v>
      </c>
      <c r="C128" s="20" t="s">
        <v>740</v>
      </c>
      <c r="D128" s="138">
        <v>2030000</v>
      </c>
      <c r="E128" s="20" t="s">
        <v>450</v>
      </c>
      <c r="F128" s="20" t="s">
        <v>451</v>
      </c>
      <c r="G128" s="8" t="str">
        <f t="shared" si="2"/>
        <v>KILLION DAVID</v>
      </c>
      <c r="H128" s="20" t="str">
        <f t="shared" si="3"/>
        <v>4018</v>
      </c>
    </row>
    <row r="129" spans="1:8" x14ac:dyDescent="0.3">
      <c r="A129" s="8">
        <v>43024.579224537039</v>
      </c>
      <c r="B129" s="20" t="s">
        <v>480</v>
      </c>
      <c r="C129" s="20" t="s">
        <v>741</v>
      </c>
      <c r="D129" s="138">
        <v>920000</v>
      </c>
      <c r="E129" s="20" t="s">
        <v>341</v>
      </c>
      <c r="F129" s="20" t="s">
        <v>395</v>
      </c>
      <c r="G129" s="8" t="str">
        <f t="shared" si="2"/>
        <v>DAVIS MICHAEL</v>
      </c>
      <c r="H129" s="20" t="str">
        <f t="shared" si="3"/>
        <v>4025</v>
      </c>
    </row>
    <row r="130" spans="1:8" x14ac:dyDescent="0.3">
      <c r="A130" s="8">
        <v>43024.581261574072</v>
      </c>
      <c r="B130" s="20" t="s">
        <v>635</v>
      </c>
      <c r="C130" s="20" t="s">
        <v>742</v>
      </c>
      <c r="D130" s="138">
        <v>2630000</v>
      </c>
      <c r="E130" s="20" t="s">
        <v>537</v>
      </c>
      <c r="F130" s="20" t="s">
        <v>538</v>
      </c>
      <c r="G130" s="8" t="str">
        <f t="shared" si="2"/>
        <v>SAFIEF AEIMEN</v>
      </c>
      <c r="H130" s="20" t="str">
        <f t="shared" si="3"/>
        <v>4010</v>
      </c>
    </row>
    <row r="131" spans="1:8" x14ac:dyDescent="0.3">
      <c r="A131" s="8">
        <v>43024.585879629631</v>
      </c>
      <c r="B131" s="20" t="s">
        <v>620</v>
      </c>
      <c r="C131" s="20" t="s">
        <v>743</v>
      </c>
      <c r="D131" s="138">
        <v>880000</v>
      </c>
      <c r="E131" s="20" t="s">
        <v>424</v>
      </c>
      <c r="F131" s="20" t="s">
        <v>395</v>
      </c>
      <c r="G131" s="8" t="str">
        <f t="shared" ref="G131:G194" si="4">E131&amp;" "&amp;F131</f>
        <v>STEWART MICHAEL</v>
      </c>
      <c r="H131" s="20" t="str">
        <f t="shared" ref="H131:H194" si="5">MID(B131,13,4)</f>
        <v>4019</v>
      </c>
    </row>
    <row r="132" spans="1:8" x14ac:dyDescent="0.3">
      <c r="A132" s="8">
        <v>43024.587997685187</v>
      </c>
      <c r="B132" s="20" t="s">
        <v>591</v>
      </c>
      <c r="C132" s="20" t="s">
        <v>744</v>
      </c>
      <c r="D132" s="138">
        <v>1300000</v>
      </c>
      <c r="E132" s="20" t="s">
        <v>733</v>
      </c>
      <c r="F132" s="20" t="s">
        <v>734</v>
      </c>
      <c r="G132" s="8" t="str">
        <f t="shared" si="4"/>
        <v>LEVIN SCOTT</v>
      </c>
      <c r="H132" s="20" t="str">
        <f t="shared" si="5"/>
        <v>4050</v>
      </c>
    </row>
    <row r="133" spans="1:8" x14ac:dyDescent="0.3">
      <c r="A133" s="8">
        <v>43024.59103009259</v>
      </c>
      <c r="B133" s="20" t="s">
        <v>477</v>
      </c>
      <c r="C133" s="20" t="s">
        <v>745</v>
      </c>
      <c r="D133" s="138">
        <v>2550000</v>
      </c>
      <c r="E133" s="20" t="s">
        <v>492</v>
      </c>
      <c r="F133" s="20" t="s">
        <v>493</v>
      </c>
      <c r="G133" s="8" t="str">
        <f t="shared" si="4"/>
        <v>BADERTSCHER DIANE</v>
      </c>
      <c r="H133" s="20" t="str">
        <f t="shared" si="5"/>
        <v>4030</v>
      </c>
    </row>
    <row r="134" spans="1:8" x14ac:dyDescent="0.3">
      <c r="A134" s="8">
        <v>43024.596967592595</v>
      </c>
      <c r="B134" s="20" t="s">
        <v>624</v>
      </c>
      <c r="C134" s="20" t="s">
        <v>746</v>
      </c>
      <c r="D134" s="138">
        <v>3220000</v>
      </c>
      <c r="E134" s="20" t="s">
        <v>535</v>
      </c>
      <c r="F134" s="20" t="s">
        <v>536</v>
      </c>
      <c r="G134" s="8" t="str">
        <f t="shared" si="4"/>
        <v>RESPASS AARON</v>
      </c>
      <c r="H134" s="20" t="str">
        <f t="shared" si="5"/>
        <v>4059</v>
      </c>
    </row>
    <row r="135" spans="1:8" x14ac:dyDescent="0.3">
      <c r="A135" s="8">
        <v>43024.600243055553</v>
      </c>
      <c r="B135" s="20" t="s">
        <v>643</v>
      </c>
      <c r="C135" s="20" t="s">
        <v>747</v>
      </c>
      <c r="D135" s="138">
        <v>2230000</v>
      </c>
      <c r="E135" s="20" t="s">
        <v>542</v>
      </c>
      <c r="F135" s="20" t="s">
        <v>395</v>
      </c>
      <c r="G135" s="8" t="str">
        <f t="shared" si="4"/>
        <v>SMITH MICHAEL</v>
      </c>
      <c r="H135" s="20" t="str">
        <f t="shared" si="5"/>
        <v>4024</v>
      </c>
    </row>
    <row r="136" spans="1:8" x14ac:dyDescent="0.3">
      <c r="A136" s="8">
        <v>43024.604259259257</v>
      </c>
      <c r="B136" s="20" t="s">
        <v>585</v>
      </c>
      <c r="C136" s="20" t="s">
        <v>748</v>
      </c>
      <c r="D136" s="138">
        <v>2030000</v>
      </c>
      <c r="E136" s="20" t="s">
        <v>450</v>
      </c>
      <c r="F136" s="20" t="s">
        <v>451</v>
      </c>
      <c r="G136" s="8" t="str">
        <f t="shared" si="4"/>
        <v>KILLION DAVID</v>
      </c>
      <c r="H136" s="20" t="str">
        <f t="shared" si="5"/>
        <v>4017</v>
      </c>
    </row>
    <row r="137" spans="1:8" x14ac:dyDescent="0.3">
      <c r="A137" s="8">
        <v>43024.60664351852</v>
      </c>
      <c r="B137" s="20" t="s">
        <v>594</v>
      </c>
      <c r="C137" s="20" t="s">
        <v>595</v>
      </c>
      <c r="D137" s="138">
        <v>1300000</v>
      </c>
      <c r="E137" s="20" t="s">
        <v>733</v>
      </c>
      <c r="F137" s="20" t="s">
        <v>734</v>
      </c>
      <c r="G137" s="8" t="str">
        <f t="shared" si="4"/>
        <v>LEVIN SCOTT</v>
      </c>
      <c r="H137" s="20" t="str">
        <f t="shared" si="5"/>
        <v>4049</v>
      </c>
    </row>
    <row r="138" spans="1:8" x14ac:dyDescent="0.3">
      <c r="A138" s="8">
        <v>43024.613298611112</v>
      </c>
      <c r="B138" s="20" t="s">
        <v>484</v>
      </c>
      <c r="C138" s="20" t="s">
        <v>597</v>
      </c>
      <c r="D138" s="138">
        <v>920000</v>
      </c>
      <c r="E138" s="20" t="s">
        <v>341</v>
      </c>
      <c r="F138" s="20" t="s">
        <v>395</v>
      </c>
      <c r="G138" s="8" t="str">
        <f t="shared" si="4"/>
        <v>DAVIS MICHAEL</v>
      </c>
      <c r="H138" s="20" t="str">
        <f t="shared" si="5"/>
        <v>4026</v>
      </c>
    </row>
    <row r="139" spans="1:8" x14ac:dyDescent="0.3">
      <c r="A139" s="8">
        <v>43024.613738425927</v>
      </c>
      <c r="B139" s="20" t="s">
        <v>628</v>
      </c>
      <c r="C139" s="20" t="s">
        <v>749</v>
      </c>
      <c r="D139" s="138">
        <v>2630000</v>
      </c>
      <c r="E139" s="20" t="s">
        <v>537</v>
      </c>
      <c r="F139" s="20" t="s">
        <v>538</v>
      </c>
      <c r="G139" s="8" t="str">
        <f t="shared" si="4"/>
        <v>SAFIEF AEIMEN</v>
      </c>
      <c r="H139" s="20" t="str">
        <f t="shared" si="5"/>
        <v>4009</v>
      </c>
    </row>
    <row r="140" spans="1:8" x14ac:dyDescent="0.3">
      <c r="A140" s="8">
        <v>43024.621874999997</v>
      </c>
      <c r="B140" s="20" t="s">
        <v>606</v>
      </c>
      <c r="C140" s="20" t="s">
        <v>750</v>
      </c>
      <c r="D140" s="138">
        <v>880000</v>
      </c>
      <c r="E140" s="20" t="s">
        <v>424</v>
      </c>
      <c r="F140" s="20" t="s">
        <v>395</v>
      </c>
      <c r="G140" s="8" t="str">
        <f t="shared" si="4"/>
        <v>STEWART MICHAEL</v>
      </c>
      <c r="H140" s="20" t="str">
        <f t="shared" si="5"/>
        <v>4020</v>
      </c>
    </row>
    <row r="141" spans="1:8" x14ac:dyDescent="0.3">
      <c r="A141" s="8">
        <v>43024.62939814815</v>
      </c>
      <c r="B141" s="20" t="s">
        <v>580</v>
      </c>
      <c r="C141" s="20" t="s">
        <v>596</v>
      </c>
      <c r="D141" s="138">
        <v>2550000</v>
      </c>
      <c r="E141" s="20" t="s">
        <v>492</v>
      </c>
      <c r="F141" s="20" t="s">
        <v>493</v>
      </c>
      <c r="G141" s="8" t="str">
        <f t="shared" si="4"/>
        <v>BADERTSCHER DIANE</v>
      </c>
      <c r="H141" s="20" t="str">
        <f t="shared" si="5"/>
        <v>4029</v>
      </c>
    </row>
    <row r="142" spans="1:8" x14ac:dyDescent="0.3">
      <c r="A142" s="8">
        <v>43024.630208333336</v>
      </c>
      <c r="B142" s="20" t="s">
        <v>591</v>
      </c>
      <c r="C142" s="20" t="s">
        <v>751</v>
      </c>
      <c r="D142" s="138">
        <v>1300000</v>
      </c>
      <c r="E142" s="20" t="s">
        <v>733</v>
      </c>
      <c r="F142" s="20" t="s">
        <v>734</v>
      </c>
      <c r="G142" s="8" t="str">
        <f t="shared" si="4"/>
        <v>LEVIN SCOTT</v>
      </c>
      <c r="H142" s="20" t="str">
        <f t="shared" si="5"/>
        <v>4050</v>
      </c>
    </row>
    <row r="143" spans="1:8" x14ac:dyDescent="0.3">
      <c r="A143" s="8">
        <v>43024.630648148152</v>
      </c>
      <c r="B143" s="20" t="s">
        <v>583</v>
      </c>
      <c r="C143" s="20" t="s">
        <v>752</v>
      </c>
      <c r="D143" s="138">
        <v>1180000</v>
      </c>
      <c r="E143" s="20" t="s">
        <v>718</v>
      </c>
      <c r="F143" s="20" t="s">
        <v>719</v>
      </c>
      <c r="G143" s="8" t="str">
        <f t="shared" si="4"/>
        <v>LEVERE CRAIG</v>
      </c>
      <c r="H143" s="20" t="str">
        <f t="shared" si="5"/>
        <v>4060</v>
      </c>
    </row>
    <row r="144" spans="1:8" x14ac:dyDescent="0.3">
      <c r="A144" s="8">
        <v>43024.634988425925</v>
      </c>
      <c r="B144" s="20" t="s">
        <v>445</v>
      </c>
      <c r="C144" s="20" t="s">
        <v>753</v>
      </c>
      <c r="D144" s="138">
        <v>2000000</v>
      </c>
      <c r="E144" s="20" t="s">
        <v>373</v>
      </c>
      <c r="F144" s="20" t="s">
        <v>362</v>
      </c>
      <c r="G144" s="8" t="str">
        <f t="shared" si="4"/>
        <v>STAMBAUGH JAMES</v>
      </c>
      <c r="H144" s="20" t="str">
        <f t="shared" si="5"/>
        <v>4045</v>
      </c>
    </row>
    <row r="145" spans="1:8" x14ac:dyDescent="0.3">
      <c r="A145" s="8">
        <v>43024.637592592589</v>
      </c>
      <c r="B145" s="20" t="s">
        <v>638</v>
      </c>
      <c r="C145" s="20" t="s">
        <v>754</v>
      </c>
      <c r="D145" s="138">
        <v>2230000</v>
      </c>
      <c r="E145" s="20" t="s">
        <v>542</v>
      </c>
      <c r="F145" s="20" t="s">
        <v>395</v>
      </c>
      <c r="G145" s="8" t="str">
        <f t="shared" si="4"/>
        <v>SMITH MICHAEL</v>
      </c>
      <c r="H145" s="20" t="str">
        <f t="shared" si="5"/>
        <v>4023</v>
      </c>
    </row>
    <row r="146" spans="1:8" x14ac:dyDescent="0.3">
      <c r="A146" s="8">
        <v>43024.641342592593</v>
      </c>
      <c r="B146" s="20" t="s">
        <v>525</v>
      </c>
      <c r="C146" s="20" t="s">
        <v>755</v>
      </c>
      <c r="D146" s="138">
        <v>2970000</v>
      </c>
      <c r="E146" s="20" t="s">
        <v>539</v>
      </c>
      <c r="F146" s="20" t="s">
        <v>540</v>
      </c>
      <c r="G146" s="8" t="str">
        <f t="shared" si="4"/>
        <v>GUZMAN DANNY</v>
      </c>
      <c r="H146" s="20" t="str">
        <f t="shared" si="5"/>
        <v>4018</v>
      </c>
    </row>
    <row r="147" spans="1:8" x14ac:dyDescent="0.3">
      <c r="A147" s="8">
        <v>43024.6483912037</v>
      </c>
      <c r="B147" s="20" t="s">
        <v>423</v>
      </c>
      <c r="C147" s="20" t="s">
        <v>599</v>
      </c>
      <c r="D147" s="138">
        <v>2030000</v>
      </c>
      <c r="E147" s="20" t="s">
        <v>450</v>
      </c>
      <c r="F147" s="20" t="s">
        <v>451</v>
      </c>
      <c r="G147" s="8" t="str">
        <f t="shared" si="4"/>
        <v>KILLION DAVID</v>
      </c>
      <c r="H147" s="20" t="str">
        <f t="shared" si="5"/>
        <v>4046</v>
      </c>
    </row>
    <row r="148" spans="1:8" x14ac:dyDescent="0.3">
      <c r="A148" s="8">
        <v>43024.648842592593</v>
      </c>
      <c r="B148" s="20" t="s">
        <v>594</v>
      </c>
      <c r="C148" s="20" t="s">
        <v>756</v>
      </c>
      <c r="D148" s="138">
        <v>1300000</v>
      </c>
      <c r="E148" s="20" t="s">
        <v>733</v>
      </c>
      <c r="F148" s="20" t="s">
        <v>734</v>
      </c>
      <c r="G148" s="8" t="str">
        <f t="shared" si="4"/>
        <v>LEVIN SCOTT</v>
      </c>
      <c r="H148" s="20" t="str">
        <f t="shared" si="5"/>
        <v>4049</v>
      </c>
    </row>
    <row r="149" spans="1:8" x14ac:dyDescent="0.3">
      <c r="A149" s="8">
        <v>43024.653043981481</v>
      </c>
      <c r="B149" s="20" t="s">
        <v>480</v>
      </c>
      <c r="C149" s="20" t="s">
        <v>598</v>
      </c>
      <c r="D149" s="138">
        <v>920000</v>
      </c>
      <c r="E149" s="20" t="s">
        <v>341</v>
      </c>
      <c r="F149" s="20" t="s">
        <v>395</v>
      </c>
      <c r="G149" s="8" t="str">
        <f t="shared" si="4"/>
        <v>DAVIS MICHAEL</v>
      </c>
      <c r="H149" s="20" t="str">
        <f t="shared" si="5"/>
        <v>4025</v>
      </c>
    </row>
    <row r="150" spans="1:8" x14ac:dyDescent="0.3">
      <c r="A150" s="8">
        <v>43024.654618055552</v>
      </c>
      <c r="B150" s="20" t="s">
        <v>635</v>
      </c>
      <c r="C150" s="20" t="s">
        <v>757</v>
      </c>
      <c r="D150" s="138">
        <v>2630000</v>
      </c>
      <c r="E150" s="20" t="s">
        <v>537</v>
      </c>
      <c r="F150" s="20" t="s">
        <v>538</v>
      </c>
      <c r="G150" s="8" t="str">
        <f t="shared" si="4"/>
        <v>SAFIEF AEIMEN</v>
      </c>
      <c r="H150" s="20" t="str">
        <f t="shared" si="5"/>
        <v>4010</v>
      </c>
    </row>
    <row r="151" spans="1:8" x14ac:dyDescent="0.3">
      <c r="A151" s="8">
        <v>43024.660555555558</v>
      </c>
      <c r="B151" s="20" t="s">
        <v>620</v>
      </c>
      <c r="C151" s="20" t="s">
        <v>758</v>
      </c>
      <c r="D151" s="138">
        <v>880000</v>
      </c>
      <c r="E151" s="20" t="s">
        <v>424</v>
      </c>
      <c r="F151" s="20" t="s">
        <v>395</v>
      </c>
      <c r="G151" s="8" t="str">
        <f t="shared" si="4"/>
        <v>STEWART MICHAEL</v>
      </c>
      <c r="H151" s="20" t="str">
        <f t="shared" si="5"/>
        <v>4019</v>
      </c>
    </row>
    <row r="152" spans="1:8" x14ac:dyDescent="0.3">
      <c r="A152" s="8">
        <v>43024.664074074077</v>
      </c>
      <c r="B152" s="20" t="s">
        <v>477</v>
      </c>
      <c r="C152" s="20" t="s">
        <v>759</v>
      </c>
      <c r="D152" s="138">
        <v>2550000</v>
      </c>
      <c r="E152" s="20" t="s">
        <v>492</v>
      </c>
      <c r="F152" s="20" t="s">
        <v>493</v>
      </c>
      <c r="G152" s="8" t="str">
        <f t="shared" si="4"/>
        <v>BADERTSCHER DIANE</v>
      </c>
      <c r="H152" s="20" t="str">
        <f t="shared" si="5"/>
        <v>4030</v>
      </c>
    </row>
    <row r="153" spans="1:8" x14ac:dyDescent="0.3">
      <c r="A153" s="8">
        <v>43024.665081018517</v>
      </c>
      <c r="B153" s="20" t="s">
        <v>445</v>
      </c>
      <c r="C153" s="20" t="s">
        <v>760</v>
      </c>
      <c r="D153" s="138">
        <v>2030000</v>
      </c>
      <c r="E153" s="20" t="s">
        <v>450</v>
      </c>
      <c r="F153" s="20" t="s">
        <v>451</v>
      </c>
      <c r="G153" s="8" t="str">
        <f t="shared" si="4"/>
        <v>KILLION DAVID</v>
      </c>
      <c r="H153" s="20" t="str">
        <f t="shared" si="5"/>
        <v>4045</v>
      </c>
    </row>
    <row r="154" spans="1:8" x14ac:dyDescent="0.3">
      <c r="A154" s="8">
        <v>43024.665555555555</v>
      </c>
      <c r="B154" s="20" t="s">
        <v>591</v>
      </c>
      <c r="C154" s="20" t="s">
        <v>761</v>
      </c>
      <c r="D154" s="138">
        <v>1300000</v>
      </c>
      <c r="E154" s="20" t="s">
        <v>733</v>
      </c>
      <c r="F154" s="20" t="s">
        <v>734</v>
      </c>
      <c r="G154" s="8" t="str">
        <f t="shared" si="4"/>
        <v>LEVIN SCOTT</v>
      </c>
      <c r="H154" s="20" t="str">
        <f t="shared" si="5"/>
        <v>4050</v>
      </c>
    </row>
    <row r="155" spans="1:8" x14ac:dyDescent="0.3">
      <c r="A155" s="8">
        <v>43024.668888888889</v>
      </c>
      <c r="B155" s="20" t="s">
        <v>624</v>
      </c>
      <c r="C155" s="20" t="s">
        <v>762</v>
      </c>
      <c r="D155" s="138">
        <v>1180000</v>
      </c>
      <c r="E155" s="20" t="s">
        <v>718</v>
      </c>
      <c r="F155" s="20" t="s">
        <v>719</v>
      </c>
      <c r="G155" s="8" t="str">
        <f t="shared" si="4"/>
        <v>LEVERE CRAIG</v>
      </c>
      <c r="H155" s="20" t="str">
        <f t="shared" si="5"/>
        <v>4059</v>
      </c>
    </row>
    <row r="156" spans="1:8" x14ac:dyDescent="0.3">
      <c r="A156" s="8">
        <v>43024.672442129631</v>
      </c>
      <c r="B156" s="20" t="s">
        <v>643</v>
      </c>
      <c r="C156" s="20" t="s">
        <v>763</v>
      </c>
      <c r="D156" s="138">
        <v>2230000</v>
      </c>
      <c r="E156" s="20" t="s">
        <v>542</v>
      </c>
      <c r="F156" s="20" t="s">
        <v>395</v>
      </c>
      <c r="G156" s="8" t="str">
        <f t="shared" si="4"/>
        <v>SMITH MICHAEL</v>
      </c>
      <c r="H156" s="20" t="str">
        <f t="shared" si="5"/>
        <v>4024</v>
      </c>
    </row>
    <row r="157" spans="1:8" x14ac:dyDescent="0.3">
      <c r="A157" s="8">
        <v>43024.679212962961</v>
      </c>
      <c r="B157" s="20" t="s">
        <v>585</v>
      </c>
      <c r="C157" s="20" t="s">
        <v>764</v>
      </c>
      <c r="D157" s="138">
        <v>2970000</v>
      </c>
      <c r="E157" s="20" t="s">
        <v>539</v>
      </c>
      <c r="F157" s="20" t="s">
        <v>540</v>
      </c>
      <c r="G157" s="8" t="str">
        <f t="shared" si="4"/>
        <v>GUZMAN DANNY</v>
      </c>
      <c r="H157" s="20" t="str">
        <f t="shared" si="5"/>
        <v>4017</v>
      </c>
    </row>
    <row r="158" spans="1:8" x14ac:dyDescent="0.3">
      <c r="A158" s="8">
        <v>43024.684675925928</v>
      </c>
      <c r="B158" s="20" t="s">
        <v>594</v>
      </c>
      <c r="C158" s="20" t="s">
        <v>765</v>
      </c>
      <c r="D158" s="138">
        <v>1300000</v>
      </c>
      <c r="E158" s="20" t="s">
        <v>733</v>
      </c>
      <c r="F158" s="20" t="s">
        <v>734</v>
      </c>
      <c r="G158" s="8" t="str">
        <f t="shared" si="4"/>
        <v>LEVIN SCOTT</v>
      </c>
      <c r="H158" s="20" t="str">
        <f t="shared" si="5"/>
        <v>4049</v>
      </c>
    </row>
    <row r="159" spans="1:8" x14ac:dyDescent="0.3">
      <c r="A159" s="8">
        <v>43024.68608796296</v>
      </c>
      <c r="B159" s="20" t="s">
        <v>628</v>
      </c>
      <c r="C159" s="20" t="s">
        <v>766</v>
      </c>
      <c r="D159" s="138">
        <v>2630000</v>
      </c>
      <c r="E159" s="20" t="s">
        <v>537</v>
      </c>
      <c r="F159" s="20" t="s">
        <v>538</v>
      </c>
      <c r="G159" s="8" t="str">
        <f t="shared" si="4"/>
        <v>SAFIEF AEIMEN</v>
      </c>
      <c r="H159" s="20" t="str">
        <f t="shared" si="5"/>
        <v>4009</v>
      </c>
    </row>
    <row r="160" spans="1:8" x14ac:dyDescent="0.3">
      <c r="A160" s="8">
        <v>43024.686736111114</v>
      </c>
      <c r="B160" s="20" t="s">
        <v>484</v>
      </c>
      <c r="C160" s="20" t="s">
        <v>767</v>
      </c>
      <c r="D160" s="138">
        <v>920000</v>
      </c>
      <c r="E160" s="20" t="s">
        <v>341</v>
      </c>
      <c r="F160" s="20" t="s">
        <v>395</v>
      </c>
      <c r="G160" s="8" t="str">
        <f t="shared" si="4"/>
        <v>DAVIS MICHAEL</v>
      </c>
      <c r="H160" s="20" t="str">
        <f t="shared" si="5"/>
        <v>4026</v>
      </c>
    </row>
    <row r="161" spans="1:8" x14ac:dyDescent="0.3">
      <c r="A161" s="8">
        <v>43024.689409722225</v>
      </c>
      <c r="B161" s="20" t="s">
        <v>402</v>
      </c>
      <c r="C161" s="20" t="s">
        <v>768</v>
      </c>
      <c r="D161" s="138">
        <v>3220000</v>
      </c>
      <c r="E161" s="20" t="s">
        <v>535</v>
      </c>
      <c r="F161" s="20" t="s">
        <v>536</v>
      </c>
      <c r="G161" s="8" t="str">
        <f t="shared" si="4"/>
        <v>RESPASS AARON</v>
      </c>
      <c r="H161" s="20" t="str">
        <f t="shared" si="5"/>
        <v>4066</v>
      </c>
    </row>
    <row r="162" spans="1:8" x14ac:dyDescent="0.3">
      <c r="A162" s="8">
        <v>43024.692499999997</v>
      </c>
      <c r="B162" s="20" t="s">
        <v>423</v>
      </c>
      <c r="C162" s="20" t="s">
        <v>769</v>
      </c>
      <c r="D162" s="138">
        <v>2000000</v>
      </c>
      <c r="E162" s="20" t="s">
        <v>373</v>
      </c>
      <c r="F162" s="20" t="s">
        <v>362</v>
      </c>
      <c r="G162" s="8" t="str">
        <f t="shared" si="4"/>
        <v>STAMBAUGH JAMES</v>
      </c>
      <c r="H162" s="20" t="str">
        <f t="shared" si="5"/>
        <v>4046</v>
      </c>
    </row>
    <row r="163" spans="1:8" x14ac:dyDescent="0.3">
      <c r="A163" s="8">
        <v>43024.694768518515</v>
      </c>
      <c r="B163" s="20" t="s">
        <v>606</v>
      </c>
      <c r="C163" s="20" t="s">
        <v>770</v>
      </c>
      <c r="D163" s="138">
        <v>880000</v>
      </c>
      <c r="E163" s="20" t="s">
        <v>424</v>
      </c>
      <c r="F163" s="20" t="s">
        <v>395</v>
      </c>
      <c r="G163" s="8" t="str">
        <f t="shared" si="4"/>
        <v>STEWART MICHAEL</v>
      </c>
      <c r="H163" s="20" t="str">
        <f t="shared" si="5"/>
        <v>4020</v>
      </c>
    </row>
    <row r="164" spans="1:8" x14ac:dyDescent="0.3">
      <c r="A164" s="8">
        <v>43024.698113425926</v>
      </c>
      <c r="B164" s="20" t="s">
        <v>580</v>
      </c>
      <c r="C164" s="20" t="s">
        <v>771</v>
      </c>
      <c r="D164" s="138">
        <v>2550000</v>
      </c>
      <c r="E164" s="20" t="s">
        <v>492</v>
      </c>
      <c r="F164" s="20" t="s">
        <v>493</v>
      </c>
      <c r="G164" s="8" t="str">
        <f t="shared" si="4"/>
        <v>BADERTSCHER DIANE</v>
      </c>
      <c r="H164" s="20" t="str">
        <f t="shared" si="5"/>
        <v>4029</v>
      </c>
    </row>
    <row r="165" spans="1:8" x14ac:dyDescent="0.3">
      <c r="A165" s="8">
        <v>43024.705312500002</v>
      </c>
      <c r="B165" s="20" t="s">
        <v>583</v>
      </c>
      <c r="C165" s="20" t="s">
        <v>772</v>
      </c>
      <c r="D165" s="138">
        <v>1180000</v>
      </c>
      <c r="E165" s="20" t="s">
        <v>718</v>
      </c>
      <c r="F165" s="20" t="s">
        <v>719</v>
      </c>
      <c r="G165" s="8" t="str">
        <f t="shared" si="4"/>
        <v>LEVERE CRAIG</v>
      </c>
      <c r="H165" s="20" t="str">
        <f t="shared" si="5"/>
        <v>4060</v>
      </c>
    </row>
    <row r="166" spans="1:8" x14ac:dyDescent="0.3">
      <c r="A166" s="8">
        <v>43024.707303240742</v>
      </c>
      <c r="B166" s="20" t="s">
        <v>638</v>
      </c>
      <c r="C166" s="20" t="s">
        <v>773</v>
      </c>
      <c r="D166" s="138">
        <v>2230000</v>
      </c>
      <c r="E166" s="20" t="s">
        <v>542</v>
      </c>
      <c r="F166" s="20" t="s">
        <v>395</v>
      </c>
      <c r="G166" s="8" t="str">
        <f t="shared" si="4"/>
        <v>SMITH MICHAEL</v>
      </c>
      <c r="H166" s="20" t="str">
        <f t="shared" si="5"/>
        <v>4023</v>
      </c>
    </row>
    <row r="167" spans="1:8" x14ac:dyDescent="0.3">
      <c r="A167" s="8">
        <v>43024.707905092589</v>
      </c>
      <c r="B167" s="20" t="s">
        <v>445</v>
      </c>
      <c r="C167" s="20" t="s">
        <v>600</v>
      </c>
      <c r="D167" s="138">
        <v>2000000</v>
      </c>
      <c r="E167" s="20" t="s">
        <v>373</v>
      </c>
      <c r="F167" s="20" t="s">
        <v>362</v>
      </c>
      <c r="G167" s="8" t="str">
        <f t="shared" si="4"/>
        <v>STAMBAUGH JAMES</v>
      </c>
      <c r="H167" s="20" t="str">
        <f t="shared" si="5"/>
        <v>4045</v>
      </c>
    </row>
    <row r="168" spans="1:8" x14ac:dyDescent="0.3">
      <c r="A168" s="8">
        <v>43024.708506944444</v>
      </c>
      <c r="B168" s="20" t="s">
        <v>591</v>
      </c>
      <c r="C168" s="20" t="s">
        <v>774</v>
      </c>
      <c r="D168" s="138">
        <v>1300000</v>
      </c>
      <c r="E168" s="20" t="s">
        <v>733</v>
      </c>
      <c r="F168" s="20" t="s">
        <v>734</v>
      </c>
      <c r="G168" s="8" t="str">
        <f t="shared" si="4"/>
        <v>LEVIN SCOTT</v>
      </c>
      <c r="H168" s="20" t="str">
        <f t="shared" si="5"/>
        <v>4050</v>
      </c>
    </row>
    <row r="169" spans="1:8" x14ac:dyDescent="0.3">
      <c r="A169" s="8">
        <v>43024.715474537035</v>
      </c>
      <c r="B169" s="20" t="s">
        <v>541</v>
      </c>
      <c r="C169" s="20" t="s">
        <v>775</v>
      </c>
      <c r="D169" s="138">
        <v>2030000</v>
      </c>
      <c r="E169" s="20" t="s">
        <v>450</v>
      </c>
      <c r="F169" s="20" t="s">
        <v>451</v>
      </c>
      <c r="G169" s="8" t="str">
        <f t="shared" si="4"/>
        <v>KILLION DAVID</v>
      </c>
      <c r="H169" s="20" t="str">
        <f t="shared" si="5"/>
        <v>4044</v>
      </c>
    </row>
    <row r="170" spans="1:8" x14ac:dyDescent="0.3">
      <c r="A170" s="8">
        <v>43024.716203703705</v>
      </c>
      <c r="B170" s="20" t="s">
        <v>525</v>
      </c>
      <c r="C170" s="20" t="s">
        <v>776</v>
      </c>
      <c r="D170" s="138">
        <v>2970000</v>
      </c>
      <c r="E170" s="20" t="s">
        <v>539</v>
      </c>
      <c r="F170" s="20" t="s">
        <v>540</v>
      </c>
      <c r="G170" s="8" t="str">
        <f t="shared" si="4"/>
        <v>GUZMAN DANNY</v>
      </c>
      <c r="H170" s="20" t="str">
        <f t="shared" si="5"/>
        <v>4018</v>
      </c>
    </row>
    <row r="171" spans="1:8" x14ac:dyDescent="0.3">
      <c r="A171" s="8">
        <v>43024.724861111114</v>
      </c>
      <c r="B171" s="20" t="s">
        <v>480</v>
      </c>
      <c r="C171" s="20" t="s">
        <v>602</v>
      </c>
      <c r="D171" s="138">
        <v>920000</v>
      </c>
      <c r="E171" s="20" t="s">
        <v>341</v>
      </c>
      <c r="F171" s="20" t="s">
        <v>395</v>
      </c>
      <c r="G171" s="8" t="str">
        <f t="shared" si="4"/>
        <v>DAVIS MICHAEL</v>
      </c>
      <c r="H171" s="20" t="str">
        <f t="shared" si="5"/>
        <v>4025</v>
      </c>
    </row>
    <row r="172" spans="1:8" x14ac:dyDescent="0.3">
      <c r="A172" s="8">
        <v>43024.726400462961</v>
      </c>
      <c r="B172" s="20" t="s">
        <v>594</v>
      </c>
      <c r="C172" s="20" t="s">
        <v>777</v>
      </c>
      <c r="D172" s="138">
        <v>1300000</v>
      </c>
      <c r="E172" s="20" t="s">
        <v>733</v>
      </c>
      <c r="F172" s="20" t="s">
        <v>734</v>
      </c>
      <c r="G172" s="8" t="str">
        <f t="shared" si="4"/>
        <v>LEVIN SCOTT</v>
      </c>
      <c r="H172" s="20" t="str">
        <f t="shared" si="5"/>
        <v>4049</v>
      </c>
    </row>
    <row r="173" spans="1:8" x14ac:dyDescent="0.3">
      <c r="A173" s="8">
        <v>43024.726817129631</v>
      </c>
      <c r="B173" s="20" t="s">
        <v>635</v>
      </c>
      <c r="C173" s="20" t="s">
        <v>778</v>
      </c>
      <c r="D173" s="138">
        <v>2630000</v>
      </c>
      <c r="E173" s="20" t="s">
        <v>537</v>
      </c>
      <c r="F173" s="20" t="s">
        <v>538</v>
      </c>
      <c r="G173" s="8" t="str">
        <f t="shared" si="4"/>
        <v>SAFIEF AEIMEN</v>
      </c>
      <c r="H173" s="20" t="str">
        <f t="shared" si="5"/>
        <v>4010</v>
      </c>
    </row>
    <row r="174" spans="1:8" x14ac:dyDescent="0.3">
      <c r="A174" s="8">
        <v>43024.733263888891</v>
      </c>
      <c r="B174" s="20" t="s">
        <v>423</v>
      </c>
      <c r="C174" s="20" t="s">
        <v>601</v>
      </c>
      <c r="D174" s="138">
        <v>2000000</v>
      </c>
      <c r="E174" s="20" t="s">
        <v>373</v>
      </c>
      <c r="F174" s="20" t="s">
        <v>362</v>
      </c>
      <c r="G174" s="8" t="str">
        <f t="shared" si="4"/>
        <v>STAMBAUGH JAMES</v>
      </c>
      <c r="H174" s="20" t="str">
        <f t="shared" si="5"/>
        <v>4046</v>
      </c>
    </row>
    <row r="175" spans="1:8" x14ac:dyDescent="0.3">
      <c r="A175" s="8">
        <v>43024.734803240739</v>
      </c>
      <c r="B175" s="20" t="s">
        <v>620</v>
      </c>
      <c r="C175" s="20" t="s">
        <v>779</v>
      </c>
      <c r="D175" s="138">
        <v>880000</v>
      </c>
      <c r="E175" s="20" t="s">
        <v>424</v>
      </c>
      <c r="F175" s="20" t="s">
        <v>395</v>
      </c>
      <c r="G175" s="8" t="str">
        <f t="shared" si="4"/>
        <v>STEWART MICHAEL</v>
      </c>
      <c r="H175" s="20" t="str">
        <f t="shared" si="5"/>
        <v>4019</v>
      </c>
    </row>
    <row r="176" spans="1:8" x14ac:dyDescent="0.3">
      <c r="A176" s="8">
        <v>43024.739166666666</v>
      </c>
      <c r="B176" s="20" t="s">
        <v>477</v>
      </c>
      <c r="C176" s="20" t="s">
        <v>780</v>
      </c>
      <c r="D176" s="138">
        <v>890000</v>
      </c>
      <c r="E176" s="20" t="s">
        <v>359</v>
      </c>
      <c r="F176" s="20" t="s">
        <v>360</v>
      </c>
      <c r="G176" s="8" t="str">
        <f t="shared" si="4"/>
        <v>LOZA FIDEL</v>
      </c>
      <c r="H176" s="20" t="str">
        <f t="shared" si="5"/>
        <v>4030</v>
      </c>
    </row>
    <row r="177" spans="1:8" x14ac:dyDescent="0.3">
      <c r="A177" s="8">
        <v>43024.743055555555</v>
      </c>
      <c r="B177" s="20" t="s">
        <v>624</v>
      </c>
      <c r="C177" s="20" t="s">
        <v>781</v>
      </c>
      <c r="D177" s="138">
        <v>1180000</v>
      </c>
      <c r="E177" s="20" t="s">
        <v>718</v>
      </c>
      <c r="F177" s="20" t="s">
        <v>719</v>
      </c>
      <c r="G177" s="8" t="str">
        <f t="shared" si="4"/>
        <v>LEVERE CRAIG</v>
      </c>
      <c r="H177" s="20" t="str">
        <f t="shared" si="5"/>
        <v>4059</v>
      </c>
    </row>
    <row r="178" spans="1:8" x14ac:dyDescent="0.3">
      <c r="A178" s="8">
        <v>43024.745810185188</v>
      </c>
      <c r="B178" s="20" t="s">
        <v>522</v>
      </c>
      <c r="C178" s="20" t="s">
        <v>782</v>
      </c>
      <c r="D178" s="138">
        <v>3490000</v>
      </c>
      <c r="E178" s="20" t="s">
        <v>495</v>
      </c>
      <c r="F178" s="20" t="s">
        <v>496</v>
      </c>
      <c r="G178" s="8" t="str">
        <f t="shared" si="4"/>
        <v>WEST BRYAN</v>
      </c>
      <c r="H178" s="20" t="str">
        <f t="shared" si="5"/>
        <v>4007</v>
      </c>
    </row>
    <row r="179" spans="1:8" x14ac:dyDescent="0.3">
      <c r="A179" s="8">
        <v>43024.747013888889</v>
      </c>
      <c r="B179" s="20" t="s">
        <v>643</v>
      </c>
      <c r="C179" s="20" t="s">
        <v>783</v>
      </c>
      <c r="D179" s="138">
        <v>2230000</v>
      </c>
      <c r="E179" s="20" t="s">
        <v>542</v>
      </c>
      <c r="F179" s="20" t="s">
        <v>395</v>
      </c>
      <c r="G179" s="8" t="str">
        <f t="shared" si="4"/>
        <v>SMITH MICHAEL</v>
      </c>
      <c r="H179" s="20" t="str">
        <f t="shared" si="5"/>
        <v>4024</v>
      </c>
    </row>
    <row r="180" spans="1:8" x14ac:dyDescent="0.3">
      <c r="A180" s="8">
        <v>43024.748020833336</v>
      </c>
      <c r="B180" s="20" t="s">
        <v>445</v>
      </c>
      <c r="C180" s="20" t="s">
        <v>784</v>
      </c>
      <c r="D180" s="138">
        <v>2000000</v>
      </c>
      <c r="E180" s="20" t="s">
        <v>373</v>
      </c>
      <c r="F180" s="20" t="s">
        <v>362</v>
      </c>
      <c r="G180" s="8" t="str">
        <f t="shared" si="4"/>
        <v>STAMBAUGH JAMES</v>
      </c>
      <c r="H180" s="20" t="str">
        <f t="shared" si="5"/>
        <v>4045</v>
      </c>
    </row>
    <row r="181" spans="1:8" x14ac:dyDescent="0.3">
      <c r="A181" s="8">
        <v>43024.748726851853</v>
      </c>
      <c r="B181" s="20" t="s">
        <v>585</v>
      </c>
      <c r="C181" s="20" t="s">
        <v>785</v>
      </c>
      <c r="D181" s="138">
        <v>2970000</v>
      </c>
      <c r="E181" s="20" t="s">
        <v>539</v>
      </c>
      <c r="F181" s="20" t="s">
        <v>540</v>
      </c>
      <c r="G181" s="8" t="str">
        <f t="shared" si="4"/>
        <v>GUZMAN DANNY</v>
      </c>
      <c r="H181" s="20" t="str">
        <f t="shared" si="5"/>
        <v>4017</v>
      </c>
    </row>
    <row r="182" spans="1:8" x14ac:dyDescent="0.3">
      <c r="A182" s="8">
        <v>43024.749780092592</v>
      </c>
      <c r="B182" s="20" t="s">
        <v>591</v>
      </c>
      <c r="C182" s="20" t="s">
        <v>603</v>
      </c>
      <c r="D182" s="138">
        <v>1300000</v>
      </c>
      <c r="E182" s="20" t="s">
        <v>733</v>
      </c>
      <c r="F182" s="20" t="s">
        <v>734</v>
      </c>
      <c r="G182" s="8" t="str">
        <f t="shared" si="4"/>
        <v>LEVIN SCOTT</v>
      </c>
      <c r="H182" s="20" t="str">
        <f t="shared" si="5"/>
        <v>4050</v>
      </c>
    </row>
    <row r="183" spans="1:8" x14ac:dyDescent="0.3">
      <c r="A183" s="8">
        <v>43024.759085648147</v>
      </c>
      <c r="B183" s="20" t="s">
        <v>484</v>
      </c>
      <c r="C183" s="20" t="s">
        <v>786</v>
      </c>
      <c r="D183" s="138">
        <v>2680000</v>
      </c>
      <c r="E183" s="20" t="s">
        <v>365</v>
      </c>
      <c r="F183" s="20" t="s">
        <v>366</v>
      </c>
      <c r="G183" s="8" t="str">
        <f t="shared" si="4"/>
        <v>DUNCAN SHEILA</v>
      </c>
      <c r="H183" s="20" t="str">
        <f t="shared" si="5"/>
        <v>4026</v>
      </c>
    </row>
    <row r="184" spans="1:8" x14ac:dyDescent="0.3">
      <c r="A184" s="8">
        <v>43024.759432870371</v>
      </c>
      <c r="B184" s="20" t="s">
        <v>628</v>
      </c>
      <c r="C184" s="20" t="s">
        <v>787</v>
      </c>
      <c r="D184" s="138">
        <v>2630000</v>
      </c>
      <c r="E184" s="20" t="s">
        <v>537</v>
      </c>
      <c r="F184" s="20" t="s">
        <v>538</v>
      </c>
      <c r="G184" s="8" t="str">
        <f t="shared" si="4"/>
        <v>SAFIEF AEIMEN</v>
      </c>
      <c r="H184" s="20" t="str">
        <f t="shared" si="5"/>
        <v>4009</v>
      </c>
    </row>
    <row r="185" spans="1:8" x14ac:dyDescent="0.3">
      <c r="A185" s="8">
        <v>43024.768287037034</v>
      </c>
      <c r="B185" s="20" t="s">
        <v>606</v>
      </c>
      <c r="C185" s="20" t="s">
        <v>788</v>
      </c>
      <c r="D185" s="138">
        <v>3040000</v>
      </c>
      <c r="E185" s="20" t="s">
        <v>485</v>
      </c>
      <c r="F185" s="20" t="s">
        <v>486</v>
      </c>
      <c r="G185" s="8" t="str">
        <f t="shared" si="4"/>
        <v>WILLIAMS DONTE</v>
      </c>
      <c r="H185" s="20" t="str">
        <f t="shared" si="5"/>
        <v>4020</v>
      </c>
    </row>
    <row r="186" spans="1:8" x14ac:dyDescent="0.3">
      <c r="A186" s="8">
        <v>43024.769097222219</v>
      </c>
      <c r="B186" s="20" t="s">
        <v>423</v>
      </c>
      <c r="C186" s="20" t="s">
        <v>789</v>
      </c>
      <c r="D186" s="138">
        <v>2000000</v>
      </c>
      <c r="E186" s="20" t="s">
        <v>373</v>
      </c>
      <c r="F186" s="20" t="s">
        <v>362</v>
      </c>
      <c r="G186" s="8" t="str">
        <f t="shared" si="4"/>
        <v>STAMBAUGH JAMES</v>
      </c>
      <c r="H186" s="20" t="str">
        <f t="shared" si="5"/>
        <v>4046</v>
      </c>
    </row>
    <row r="187" spans="1:8" x14ac:dyDescent="0.3">
      <c r="A187" s="8">
        <v>43024.770300925928</v>
      </c>
      <c r="B187" s="20" t="s">
        <v>594</v>
      </c>
      <c r="C187" s="20" t="s">
        <v>790</v>
      </c>
      <c r="D187" s="138">
        <v>1300000</v>
      </c>
      <c r="E187" s="20" t="s">
        <v>733</v>
      </c>
      <c r="F187" s="20" t="s">
        <v>734</v>
      </c>
      <c r="G187" s="8" t="str">
        <f t="shared" si="4"/>
        <v>LEVIN SCOTT</v>
      </c>
      <c r="H187" s="20" t="str">
        <f t="shared" si="5"/>
        <v>4049</v>
      </c>
    </row>
    <row r="188" spans="1:8" x14ac:dyDescent="0.3">
      <c r="A188" s="8">
        <v>43024.776631944442</v>
      </c>
      <c r="B188" s="20" t="s">
        <v>580</v>
      </c>
      <c r="C188" s="20" t="s">
        <v>791</v>
      </c>
      <c r="D188" s="138">
        <v>890000</v>
      </c>
      <c r="E188" s="20" t="s">
        <v>359</v>
      </c>
      <c r="F188" s="20" t="s">
        <v>360</v>
      </c>
      <c r="G188" s="8" t="str">
        <f t="shared" si="4"/>
        <v>LOZA FIDEL</v>
      </c>
      <c r="H188" s="20" t="str">
        <f t="shared" si="5"/>
        <v>4029</v>
      </c>
    </row>
    <row r="189" spans="1:8" x14ac:dyDescent="0.3">
      <c r="A189" s="8">
        <v>43024.778078703705</v>
      </c>
      <c r="B189" s="20" t="s">
        <v>583</v>
      </c>
      <c r="C189" s="20" t="s">
        <v>792</v>
      </c>
      <c r="D189" s="138">
        <v>1180000</v>
      </c>
      <c r="E189" s="20" t="s">
        <v>718</v>
      </c>
      <c r="F189" s="20" t="s">
        <v>719</v>
      </c>
      <c r="G189" s="8" t="str">
        <f t="shared" si="4"/>
        <v>LEVERE CRAIG</v>
      </c>
      <c r="H189" s="20" t="str">
        <f t="shared" si="5"/>
        <v>4060</v>
      </c>
    </row>
    <row r="190" spans="1:8" x14ac:dyDescent="0.3">
      <c r="A190" s="8">
        <v>43024.783067129632</v>
      </c>
      <c r="B190" s="20" t="s">
        <v>638</v>
      </c>
      <c r="C190" s="20" t="s">
        <v>793</v>
      </c>
      <c r="D190" s="138">
        <v>2230000</v>
      </c>
      <c r="E190" s="20" t="s">
        <v>542</v>
      </c>
      <c r="F190" s="20" t="s">
        <v>395</v>
      </c>
      <c r="G190" s="8" t="str">
        <f t="shared" si="4"/>
        <v>SMITH MICHAEL</v>
      </c>
      <c r="H190" s="20" t="str">
        <f t="shared" si="5"/>
        <v>4023</v>
      </c>
    </row>
    <row r="191" spans="1:8" x14ac:dyDescent="0.3">
      <c r="A191" s="8">
        <v>43024.787118055552</v>
      </c>
      <c r="B191" s="20" t="s">
        <v>525</v>
      </c>
      <c r="C191" s="20" t="s">
        <v>794</v>
      </c>
      <c r="D191" s="138">
        <v>3340000</v>
      </c>
      <c r="E191" s="20" t="s">
        <v>497</v>
      </c>
      <c r="F191" s="20" t="s">
        <v>498</v>
      </c>
      <c r="G191" s="8" t="str">
        <f t="shared" si="4"/>
        <v>ELBAUM MIKE</v>
      </c>
      <c r="H191" s="20" t="str">
        <f t="shared" si="5"/>
        <v>4018</v>
      </c>
    </row>
    <row r="192" spans="1:8" x14ac:dyDescent="0.3">
      <c r="A192" s="8">
        <v>43024.788148148145</v>
      </c>
      <c r="B192" s="20" t="s">
        <v>445</v>
      </c>
      <c r="C192" s="20" t="s">
        <v>795</v>
      </c>
      <c r="D192" s="138">
        <v>2000000</v>
      </c>
      <c r="E192" s="20" t="s">
        <v>373</v>
      </c>
      <c r="F192" s="20" t="s">
        <v>362</v>
      </c>
      <c r="G192" s="8" t="str">
        <f t="shared" si="4"/>
        <v>STAMBAUGH JAMES</v>
      </c>
      <c r="H192" s="20" t="str">
        <f t="shared" si="5"/>
        <v>4045</v>
      </c>
    </row>
    <row r="193" spans="1:8" x14ac:dyDescent="0.3">
      <c r="A193" s="8">
        <v>43024.791643518518</v>
      </c>
      <c r="B193" s="20" t="s">
        <v>591</v>
      </c>
      <c r="C193" s="20" t="s">
        <v>796</v>
      </c>
      <c r="D193" s="138">
        <v>1300000</v>
      </c>
      <c r="E193" s="20" t="s">
        <v>733</v>
      </c>
      <c r="F193" s="20" t="s">
        <v>734</v>
      </c>
      <c r="G193" s="8" t="str">
        <f t="shared" si="4"/>
        <v>LEVIN SCOTT</v>
      </c>
      <c r="H193" s="20" t="str">
        <f t="shared" si="5"/>
        <v>4050</v>
      </c>
    </row>
    <row r="194" spans="1:8" x14ac:dyDescent="0.3">
      <c r="A194" s="8">
        <v>43024.797708333332</v>
      </c>
      <c r="B194" s="20" t="s">
        <v>635</v>
      </c>
      <c r="C194" s="20" t="s">
        <v>797</v>
      </c>
      <c r="D194" s="138">
        <v>2630000</v>
      </c>
      <c r="E194" s="20" t="s">
        <v>537</v>
      </c>
      <c r="F194" s="20" t="s">
        <v>538</v>
      </c>
      <c r="G194" s="8" t="str">
        <f t="shared" si="4"/>
        <v>SAFIEF AEIMEN</v>
      </c>
      <c r="H194" s="20" t="str">
        <f t="shared" si="5"/>
        <v>4010</v>
      </c>
    </row>
    <row r="195" spans="1:8" x14ac:dyDescent="0.3">
      <c r="A195" s="8">
        <v>43024.798113425924</v>
      </c>
      <c r="B195" s="20" t="s">
        <v>480</v>
      </c>
      <c r="C195" s="20" t="s">
        <v>798</v>
      </c>
      <c r="D195" s="138">
        <v>2680000</v>
      </c>
      <c r="E195" s="20" t="s">
        <v>365</v>
      </c>
      <c r="F195" s="20" t="s">
        <v>366</v>
      </c>
      <c r="G195" s="8" t="str">
        <f t="shared" ref="G195:G258" si="6">E195&amp;" "&amp;F195</f>
        <v>DUNCAN SHEILA</v>
      </c>
      <c r="H195" s="20" t="str">
        <f t="shared" ref="H195:H258" si="7">MID(B195,13,4)</f>
        <v>4025</v>
      </c>
    </row>
    <row r="196" spans="1:8" x14ac:dyDescent="0.3">
      <c r="A196" s="8">
        <v>43024.806631944448</v>
      </c>
      <c r="B196" s="20" t="s">
        <v>620</v>
      </c>
      <c r="C196" s="20" t="s">
        <v>799</v>
      </c>
      <c r="D196" s="138">
        <v>3040000</v>
      </c>
      <c r="E196" s="20" t="s">
        <v>485</v>
      </c>
      <c r="F196" s="20" t="s">
        <v>486</v>
      </c>
      <c r="G196" s="8" t="str">
        <f t="shared" si="6"/>
        <v>WILLIAMS DONTE</v>
      </c>
      <c r="H196" s="20" t="str">
        <f t="shared" si="7"/>
        <v>4019</v>
      </c>
    </row>
    <row r="197" spans="1:8" x14ac:dyDescent="0.3">
      <c r="A197" s="8">
        <v>43024.809374999997</v>
      </c>
      <c r="B197" s="20" t="s">
        <v>594</v>
      </c>
      <c r="C197" s="20" t="s">
        <v>800</v>
      </c>
      <c r="D197" s="138">
        <v>1300000</v>
      </c>
      <c r="E197" s="20" t="s">
        <v>733</v>
      </c>
      <c r="F197" s="20" t="s">
        <v>734</v>
      </c>
      <c r="G197" s="8" t="str">
        <f t="shared" si="6"/>
        <v>LEVIN SCOTT</v>
      </c>
      <c r="H197" s="20" t="str">
        <f t="shared" si="7"/>
        <v>4049</v>
      </c>
    </row>
    <row r="198" spans="1:8" x14ac:dyDescent="0.3">
      <c r="A198" s="8">
        <v>43024.809606481482</v>
      </c>
      <c r="B198" s="20" t="s">
        <v>477</v>
      </c>
      <c r="C198" s="20" t="s">
        <v>801</v>
      </c>
      <c r="D198" s="138">
        <v>3490000</v>
      </c>
      <c r="E198" s="20" t="s">
        <v>495</v>
      </c>
      <c r="F198" s="20" t="s">
        <v>496</v>
      </c>
      <c r="G198" s="8" t="str">
        <f t="shared" si="6"/>
        <v>WEST BRYAN</v>
      </c>
      <c r="H198" s="20" t="str">
        <f t="shared" si="7"/>
        <v>4030</v>
      </c>
    </row>
    <row r="199" spans="1:8" x14ac:dyDescent="0.3">
      <c r="A199" s="8">
        <v>43024.81832175926</v>
      </c>
      <c r="B199" s="20" t="s">
        <v>585</v>
      </c>
      <c r="C199" s="20" t="s">
        <v>604</v>
      </c>
      <c r="D199" s="138">
        <v>3340000</v>
      </c>
      <c r="E199" s="20" t="s">
        <v>497</v>
      </c>
      <c r="F199" s="20" t="s">
        <v>498</v>
      </c>
      <c r="G199" s="8" t="str">
        <f t="shared" si="6"/>
        <v>ELBAUM MIKE</v>
      </c>
      <c r="H199" s="20" t="str">
        <f t="shared" si="7"/>
        <v>4017</v>
      </c>
    </row>
    <row r="200" spans="1:8" x14ac:dyDescent="0.3">
      <c r="A200" s="8">
        <v>43024.818981481483</v>
      </c>
      <c r="B200" s="20" t="s">
        <v>480</v>
      </c>
      <c r="C200" s="20" t="s">
        <v>798</v>
      </c>
      <c r="D200" s="138">
        <v>2680000</v>
      </c>
      <c r="E200" s="20" t="s">
        <v>365</v>
      </c>
      <c r="F200" s="20" t="s">
        <v>366</v>
      </c>
      <c r="G200" s="8" t="str">
        <f t="shared" si="6"/>
        <v>DUNCAN SHEILA</v>
      </c>
      <c r="H200" s="20" t="str">
        <f t="shared" si="7"/>
        <v>4025</v>
      </c>
    </row>
    <row r="201" spans="1:8" x14ac:dyDescent="0.3">
      <c r="A201" s="8">
        <v>43024.820324074077</v>
      </c>
      <c r="B201" s="20" t="s">
        <v>643</v>
      </c>
      <c r="C201" s="20" t="s">
        <v>802</v>
      </c>
      <c r="D201" s="138">
        <v>2230000</v>
      </c>
      <c r="E201" s="20" t="s">
        <v>542</v>
      </c>
      <c r="F201" s="20" t="s">
        <v>395</v>
      </c>
      <c r="G201" s="8" t="str">
        <f t="shared" si="6"/>
        <v>SMITH MICHAEL</v>
      </c>
      <c r="H201" s="20" t="str">
        <f t="shared" si="7"/>
        <v>4024</v>
      </c>
    </row>
    <row r="202" spans="1:8" x14ac:dyDescent="0.3">
      <c r="A202" s="26">
        <v>43024.823831018519</v>
      </c>
      <c r="B202" s="20" t="s">
        <v>543</v>
      </c>
      <c r="C202" s="20" t="s">
        <v>803</v>
      </c>
      <c r="D202" s="138">
        <v>3500000</v>
      </c>
      <c r="E202" s="20" t="s">
        <v>804</v>
      </c>
      <c r="F202" s="20" t="s">
        <v>805</v>
      </c>
      <c r="G202" s="8" t="str">
        <f t="shared" si="6"/>
        <v>GUNTHIER ERIC</v>
      </c>
      <c r="H202" s="20" t="str">
        <f t="shared" si="7"/>
        <v>4008</v>
      </c>
    </row>
    <row r="203" spans="1:8" x14ac:dyDescent="0.3">
      <c r="A203" s="8">
        <v>43024.827881944446</v>
      </c>
      <c r="B203" s="20" t="s">
        <v>522</v>
      </c>
      <c r="C203" s="20" t="s">
        <v>803</v>
      </c>
      <c r="D203" s="138">
        <v>3500000</v>
      </c>
      <c r="E203" s="20" t="s">
        <v>804</v>
      </c>
      <c r="F203" s="20" t="s">
        <v>805</v>
      </c>
      <c r="G203" s="8" t="str">
        <f t="shared" si="6"/>
        <v>GUNTHIER ERIC</v>
      </c>
      <c r="H203" s="20" t="str">
        <f t="shared" si="7"/>
        <v>4007</v>
      </c>
    </row>
    <row r="204" spans="1:8" x14ac:dyDescent="0.3">
      <c r="A204" s="8">
        <v>43024.832002314812</v>
      </c>
      <c r="B204" s="20" t="s">
        <v>543</v>
      </c>
      <c r="C204" s="20" t="s">
        <v>806</v>
      </c>
      <c r="D204" s="138">
        <v>3500000</v>
      </c>
      <c r="E204" s="20" t="s">
        <v>804</v>
      </c>
      <c r="F204" s="20" t="s">
        <v>805</v>
      </c>
      <c r="G204" s="8" t="str">
        <f t="shared" si="6"/>
        <v>GUNTHIER ERIC</v>
      </c>
      <c r="H204" s="20" t="str">
        <f t="shared" si="7"/>
        <v>4008</v>
      </c>
    </row>
    <row r="205" spans="1:8" x14ac:dyDescent="0.3">
      <c r="A205" s="8">
        <v>43024.832777777781</v>
      </c>
      <c r="B205" s="20" t="s">
        <v>591</v>
      </c>
      <c r="C205" s="20" t="s">
        <v>807</v>
      </c>
      <c r="D205" s="138">
        <v>1300000</v>
      </c>
      <c r="E205" s="20" t="s">
        <v>733</v>
      </c>
      <c r="F205" s="20" t="s">
        <v>734</v>
      </c>
      <c r="G205" s="8" t="str">
        <f t="shared" si="6"/>
        <v>LEVIN SCOTT</v>
      </c>
      <c r="H205" s="20" t="str">
        <f t="shared" si="7"/>
        <v>4050</v>
      </c>
    </row>
    <row r="206" spans="1:8" x14ac:dyDescent="0.3">
      <c r="A206" s="8">
        <v>43024.834988425922</v>
      </c>
      <c r="B206" s="20" t="s">
        <v>543</v>
      </c>
      <c r="C206" s="20" t="s">
        <v>808</v>
      </c>
      <c r="D206" s="138">
        <v>3500000</v>
      </c>
      <c r="E206" s="20" t="s">
        <v>804</v>
      </c>
      <c r="F206" s="20" t="s">
        <v>805</v>
      </c>
      <c r="G206" s="8" t="str">
        <f t="shared" si="6"/>
        <v>GUNTHIER ERIC</v>
      </c>
      <c r="H206" s="20" t="str">
        <f t="shared" si="7"/>
        <v>4008</v>
      </c>
    </row>
    <row r="207" spans="1:8" x14ac:dyDescent="0.3">
      <c r="A207" s="8">
        <v>43024.841909722221</v>
      </c>
      <c r="B207" s="20" t="s">
        <v>580</v>
      </c>
      <c r="C207" s="20" t="s">
        <v>809</v>
      </c>
      <c r="D207" s="138">
        <v>3490000</v>
      </c>
      <c r="E207" s="20" t="s">
        <v>495</v>
      </c>
      <c r="F207" s="20" t="s">
        <v>496</v>
      </c>
      <c r="G207" s="8" t="str">
        <f t="shared" si="6"/>
        <v>WEST BRYAN</v>
      </c>
      <c r="H207" s="20" t="str">
        <f t="shared" si="7"/>
        <v>4029</v>
      </c>
    </row>
    <row r="208" spans="1:8" x14ac:dyDescent="0.3">
      <c r="A208" s="8">
        <v>43024.850057870368</v>
      </c>
      <c r="B208" s="20" t="s">
        <v>606</v>
      </c>
      <c r="C208" s="20" t="s">
        <v>810</v>
      </c>
      <c r="D208" s="138">
        <v>3040000</v>
      </c>
      <c r="E208" s="20" t="s">
        <v>485</v>
      </c>
      <c r="F208" s="20" t="s">
        <v>486</v>
      </c>
      <c r="G208" s="8" t="str">
        <f t="shared" si="6"/>
        <v>WILLIAMS DONTE</v>
      </c>
      <c r="H208" s="20" t="str">
        <f t="shared" si="7"/>
        <v>4020</v>
      </c>
    </row>
    <row r="209" spans="1:8" x14ac:dyDescent="0.3">
      <c r="A209" s="8">
        <v>43024.85087962963</v>
      </c>
      <c r="B209" s="20" t="s">
        <v>594</v>
      </c>
      <c r="C209" s="20" t="s">
        <v>811</v>
      </c>
      <c r="D209" s="138">
        <v>1300000</v>
      </c>
      <c r="E209" s="20" t="s">
        <v>733</v>
      </c>
      <c r="F209" s="20" t="s">
        <v>734</v>
      </c>
      <c r="G209" s="8" t="str">
        <f t="shared" si="6"/>
        <v>LEVIN SCOTT</v>
      </c>
      <c r="H209" s="20" t="str">
        <f t="shared" si="7"/>
        <v>4049</v>
      </c>
    </row>
    <row r="210" spans="1:8" x14ac:dyDescent="0.3">
      <c r="A210" s="8">
        <v>43024.863437499997</v>
      </c>
      <c r="B210" s="20" t="s">
        <v>525</v>
      </c>
      <c r="C210" s="20" t="s">
        <v>806</v>
      </c>
      <c r="D210" s="138">
        <v>3340000</v>
      </c>
      <c r="E210" s="20" t="s">
        <v>497</v>
      </c>
      <c r="F210" s="20" t="s">
        <v>498</v>
      </c>
      <c r="G210" s="8" t="str">
        <f t="shared" si="6"/>
        <v>ELBAUM MIKE</v>
      </c>
      <c r="H210" s="20" t="str">
        <f t="shared" si="7"/>
        <v>4018</v>
      </c>
    </row>
    <row r="211" spans="1:8" x14ac:dyDescent="0.3">
      <c r="A211" s="8">
        <v>43024.865590277775</v>
      </c>
      <c r="B211" s="20" t="s">
        <v>522</v>
      </c>
      <c r="C211" s="20" t="s">
        <v>812</v>
      </c>
      <c r="D211" s="138">
        <v>3500000</v>
      </c>
      <c r="E211" s="20" t="s">
        <v>804</v>
      </c>
      <c r="F211" s="20" t="s">
        <v>805</v>
      </c>
      <c r="G211" s="8" t="str">
        <f t="shared" si="6"/>
        <v>GUNTHIER ERIC</v>
      </c>
      <c r="H211" s="20" t="str">
        <f t="shared" si="7"/>
        <v>4007</v>
      </c>
    </row>
    <row r="212" spans="1:8" x14ac:dyDescent="0.3">
      <c r="A212" s="8">
        <v>43024.866412037038</v>
      </c>
      <c r="B212" s="20" t="s">
        <v>522</v>
      </c>
      <c r="C212" s="20" t="s">
        <v>812</v>
      </c>
      <c r="D212" s="138">
        <v>3500000</v>
      </c>
      <c r="E212" s="20" t="s">
        <v>804</v>
      </c>
      <c r="F212" s="20" t="s">
        <v>805</v>
      </c>
      <c r="G212" s="8" t="str">
        <f t="shared" si="6"/>
        <v>GUNTHIER ERIC</v>
      </c>
      <c r="H212" s="20" t="str">
        <f t="shared" si="7"/>
        <v>4007</v>
      </c>
    </row>
    <row r="213" spans="1:8" x14ac:dyDescent="0.3">
      <c r="A213" s="8">
        <v>43024.867928240739</v>
      </c>
      <c r="B213" s="20" t="s">
        <v>522</v>
      </c>
      <c r="C213" s="20" t="s">
        <v>812</v>
      </c>
      <c r="D213" s="138">
        <v>3500000</v>
      </c>
      <c r="E213" s="20" t="s">
        <v>804</v>
      </c>
      <c r="F213" s="20" t="s">
        <v>805</v>
      </c>
      <c r="G213" s="8" t="str">
        <f t="shared" si="6"/>
        <v>GUNTHIER ERIC</v>
      </c>
      <c r="H213" s="20" t="str">
        <f t="shared" si="7"/>
        <v>4007</v>
      </c>
    </row>
    <row r="214" spans="1:8" x14ac:dyDescent="0.3">
      <c r="A214" s="8">
        <v>43024.879953703705</v>
      </c>
      <c r="B214" s="20" t="s">
        <v>591</v>
      </c>
      <c r="C214" s="20" t="s">
        <v>813</v>
      </c>
      <c r="D214" s="138">
        <v>3290000</v>
      </c>
      <c r="E214" s="20" t="s">
        <v>487</v>
      </c>
      <c r="F214" s="20" t="s">
        <v>488</v>
      </c>
      <c r="G214" s="8" t="str">
        <f t="shared" si="6"/>
        <v>CASSIDY BRANDON</v>
      </c>
      <c r="H214" s="20" t="str">
        <f t="shared" si="7"/>
        <v>4050</v>
      </c>
    </row>
    <row r="215" spans="1:8" x14ac:dyDescent="0.3">
      <c r="A215" s="8">
        <v>43024.882210648146</v>
      </c>
      <c r="B215" s="20" t="s">
        <v>484</v>
      </c>
      <c r="C215" s="20" t="s">
        <v>814</v>
      </c>
      <c r="D215" s="138">
        <v>2680000</v>
      </c>
      <c r="E215" s="20" t="s">
        <v>365</v>
      </c>
      <c r="F215" s="20" t="s">
        <v>366</v>
      </c>
      <c r="G215" s="8" t="str">
        <f t="shared" si="6"/>
        <v>DUNCAN SHEILA</v>
      </c>
      <c r="H215" s="20" t="str">
        <f t="shared" si="7"/>
        <v>4026</v>
      </c>
    </row>
    <row r="216" spans="1:8" x14ac:dyDescent="0.3">
      <c r="A216" s="8">
        <v>43024.884351851855</v>
      </c>
      <c r="B216" s="20" t="s">
        <v>477</v>
      </c>
      <c r="C216" s="20" t="s">
        <v>815</v>
      </c>
      <c r="D216" s="138">
        <v>890000</v>
      </c>
      <c r="E216" s="20" t="s">
        <v>359</v>
      </c>
      <c r="F216" s="20" t="s">
        <v>360</v>
      </c>
      <c r="G216" s="8" t="str">
        <f t="shared" si="6"/>
        <v>LOZA FIDEL</v>
      </c>
      <c r="H216" s="20" t="str">
        <f t="shared" si="7"/>
        <v>4030</v>
      </c>
    </row>
    <row r="217" spans="1:8" x14ac:dyDescent="0.3">
      <c r="A217" s="8">
        <v>43024.884837962964</v>
      </c>
      <c r="B217" s="20" t="s">
        <v>480</v>
      </c>
      <c r="C217" s="20" t="s">
        <v>814</v>
      </c>
      <c r="D217" s="138">
        <v>2680000</v>
      </c>
      <c r="E217" s="20" t="s">
        <v>365</v>
      </c>
      <c r="F217" s="20" t="s">
        <v>366</v>
      </c>
      <c r="G217" s="8" t="str">
        <f t="shared" si="6"/>
        <v>DUNCAN SHEILA</v>
      </c>
      <c r="H217" s="20" t="str">
        <f t="shared" si="7"/>
        <v>4025</v>
      </c>
    </row>
    <row r="218" spans="1:8" x14ac:dyDescent="0.3">
      <c r="A218" s="8">
        <v>43024.885405092595</v>
      </c>
      <c r="B218" s="20" t="s">
        <v>480</v>
      </c>
      <c r="C218" s="20" t="s">
        <v>814</v>
      </c>
      <c r="D218" s="138">
        <v>2680000</v>
      </c>
      <c r="E218" s="20" t="s">
        <v>365</v>
      </c>
      <c r="F218" s="20" t="s">
        <v>366</v>
      </c>
      <c r="G218" s="8" t="str">
        <f t="shared" si="6"/>
        <v>DUNCAN SHEILA</v>
      </c>
      <c r="H218" s="20" t="str">
        <f t="shared" si="7"/>
        <v>4025</v>
      </c>
    </row>
    <row r="219" spans="1:8" x14ac:dyDescent="0.3">
      <c r="A219" s="8">
        <v>43024.890104166669</v>
      </c>
      <c r="B219" s="20" t="s">
        <v>620</v>
      </c>
      <c r="C219" s="20" t="s">
        <v>816</v>
      </c>
      <c r="D219" s="138">
        <v>3040000</v>
      </c>
      <c r="E219" s="20" t="s">
        <v>485</v>
      </c>
      <c r="F219" s="20" t="s">
        <v>486</v>
      </c>
      <c r="G219" s="8" t="str">
        <f t="shared" si="6"/>
        <v>WILLIAMS DONTE</v>
      </c>
      <c r="H219" s="20" t="str">
        <f t="shared" si="7"/>
        <v>4019</v>
      </c>
    </row>
    <row r="220" spans="1:8" x14ac:dyDescent="0.3">
      <c r="A220" s="8">
        <v>43024.89298611111</v>
      </c>
      <c r="B220" s="20" t="s">
        <v>594</v>
      </c>
      <c r="C220" s="20" t="s">
        <v>817</v>
      </c>
      <c r="D220" s="138">
        <v>3290000</v>
      </c>
      <c r="E220" s="20" t="s">
        <v>487</v>
      </c>
      <c r="F220" s="20" t="s">
        <v>488</v>
      </c>
      <c r="G220" s="8" t="str">
        <f t="shared" si="6"/>
        <v>CASSIDY BRANDON</v>
      </c>
      <c r="H220" s="20" t="str">
        <f t="shared" si="7"/>
        <v>4049</v>
      </c>
    </row>
    <row r="221" spans="1:8" x14ac:dyDescent="0.3">
      <c r="A221" s="8">
        <v>43024.896944444445</v>
      </c>
      <c r="B221" s="20" t="s">
        <v>484</v>
      </c>
      <c r="C221" s="20" t="s">
        <v>818</v>
      </c>
      <c r="D221" s="138">
        <v>2680000</v>
      </c>
      <c r="E221" s="20" t="s">
        <v>365</v>
      </c>
      <c r="F221" s="20" t="s">
        <v>366</v>
      </c>
      <c r="G221" s="8" t="str">
        <f t="shared" si="6"/>
        <v>DUNCAN SHEILA</v>
      </c>
      <c r="H221" s="20" t="str">
        <f t="shared" si="7"/>
        <v>4026</v>
      </c>
    </row>
    <row r="222" spans="1:8" x14ac:dyDescent="0.3">
      <c r="A222" s="8">
        <v>43024.901192129626</v>
      </c>
      <c r="B222" s="20" t="s">
        <v>585</v>
      </c>
      <c r="C222" s="20" t="s">
        <v>605</v>
      </c>
      <c r="D222" s="138">
        <v>3340000</v>
      </c>
      <c r="E222" s="20" t="s">
        <v>497</v>
      </c>
      <c r="F222" s="20" t="s">
        <v>498</v>
      </c>
      <c r="G222" s="8" t="str">
        <f t="shared" si="6"/>
        <v>ELBAUM MIKE</v>
      </c>
      <c r="H222" s="20" t="str">
        <f t="shared" si="7"/>
        <v>4017</v>
      </c>
    </row>
    <row r="223" spans="1:8" x14ac:dyDescent="0.3">
      <c r="A223" s="8">
        <v>43024.922291666669</v>
      </c>
      <c r="B223" s="20" t="s">
        <v>591</v>
      </c>
      <c r="C223" s="20" t="s">
        <v>819</v>
      </c>
      <c r="D223" s="138">
        <v>3510000</v>
      </c>
      <c r="E223" s="20" t="s">
        <v>526</v>
      </c>
      <c r="F223" s="20" t="s">
        <v>527</v>
      </c>
      <c r="G223" s="8" t="str">
        <f t="shared" si="6"/>
        <v>BARRON PERLA</v>
      </c>
      <c r="H223" s="20" t="str">
        <f t="shared" si="7"/>
        <v>4050</v>
      </c>
    </row>
    <row r="224" spans="1:8" x14ac:dyDescent="0.3">
      <c r="A224" s="8">
        <v>43024.924247685187</v>
      </c>
      <c r="B224" t="s">
        <v>591</v>
      </c>
      <c r="C224" t="s">
        <v>819</v>
      </c>
      <c r="D224" s="138">
        <v>3510000</v>
      </c>
      <c r="E224" t="s">
        <v>526</v>
      </c>
      <c r="F224" s="20" t="s">
        <v>527</v>
      </c>
      <c r="G224" s="8" t="str">
        <f t="shared" si="6"/>
        <v>BARRON PERLA</v>
      </c>
      <c r="H224" s="20" t="str">
        <f t="shared" si="7"/>
        <v>4050</v>
      </c>
    </row>
    <row r="225" spans="1:8" x14ac:dyDescent="0.3">
      <c r="A225" s="8">
        <v>43024.925613425927</v>
      </c>
      <c r="B225" t="s">
        <v>591</v>
      </c>
      <c r="C225" t="s">
        <v>819</v>
      </c>
      <c r="D225" s="138">
        <v>3510000</v>
      </c>
      <c r="E225" t="s">
        <v>526</v>
      </c>
      <c r="F225" s="20" t="s">
        <v>527</v>
      </c>
      <c r="G225" s="8" t="str">
        <f t="shared" si="6"/>
        <v>BARRON PERLA</v>
      </c>
      <c r="H225" s="20" t="str">
        <f t="shared" si="7"/>
        <v>4050</v>
      </c>
    </row>
    <row r="226" spans="1:8" x14ac:dyDescent="0.3">
      <c r="A226" s="8">
        <v>43024.93241898148</v>
      </c>
      <c r="B226" t="s">
        <v>606</v>
      </c>
      <c r="C226" t="s">
        <v>607</v>
      </c>
      <c r="D226" s="138">
        <v>3040000</v>
      </c>
      <c r="E226" t="s">
        <v>485</v>
      </c>
      <c r="F226" s="20" t="s">
        <v>486</v>
      </c>
      <c r="G226" s="8" t="str">
        <f t="shared" si="6"/>
        <v>WILLIAMS DONTE</v>
      </c>
      <c r="H226" s="20" t="str">
        <f t="shared" si="7"/>
        <v>4020</v>
      </c>
    </row>
    <row r="227" spans="1:8" x14ac:dyDescent="0.3">
      <c r="A227" s="8">
        <v>43024.934872685182</v>
      </c>
      <c r="B227" t="s">
        <v>580</v>
      </c>
      <c r="C227" t="s">
        <v>820</v>
      </c>
      <c r="D227" s="138">
        <v>890000</v>
      </c>
      <c r="E227" t="s">
        <v>359</v>
      </c>
      <c r="F227" s="20" t="s">
        <v>360</v>
      </c>
      <c r="G227" s="8" t="str">
        <f t="shared" si="6"/>
        <v>LOZA FIDEL</v>
      </c>
      <c r="H227" s="20" t="str">
        <f t="shared" si="7"/>
        <v>4029</v>
      </c>
    </row>
    <row r="228" spans="1:8" x14ac:dyDescent="0.3">
      <c r="A228" s="8">
        <v>43024.938761574071</v>
      </c>
      <c r="B228" t="s">
        <v>594</v>
      </c>
      <c r="C228" t="s">
        <v>821</v>
      </c>
      <c r="D228" s="138">
        <v>3510000</v>
      </c>
      <c r="E228" t="s">
        <v>526</v>
      </c>
      <c r="F228" s="20" t="s">
        <v>527</v>
      </c>
      <c r="G228" s="8" t="str">
        <f t="shared" si="6"/>
        <v>BARRON PERLA</v>
      </c>
      <c r="H228" s="20" t="str">
        <f t="shared" si="7"/>
        <v>4049</v>
      </c>
    </row>
    <row r="229" spans="1:8" x14ac:dyDescent="0.3">
      <c r="A229" s="8">
        <v>43024.942569444444</v>
      </c>
      <c r="B229" t="s">
        <v>525</v>
      </c>
      <c r="C229" t="s">
        <v>822</v>
      </c>
      <c r="D229" s="138">
        <v>3340000</v>
      </c>
      <c r="E229" t="s">
        <v>497</v>
      </c>
      <c r="F229" s="20" t="s">
        <v>498</v>
      </c>
      <c r="G229" s="8" t="str">
        <f t="shared" si="6"/>
        <v>ELBAUM MIKE</v>
      </c>
      <c r="H229" s="20" t="str">
        <f t="shared" si="7"/>
        <v>4018</v>
      </c>
    </row>
    <row r="230" spans="1:8" x14ac:dyDescent="0.3">
      <c r="A230" s="8">
        <v>43024.943229166667</v>
      </c>
      <c r="B230" t="s">
        <v>480</v>
      </c>
      <c r="C230" t="s">
        <v>823</v>
      </c>
      <c r="D230" s="138">
        <v>2680000</v>
      </c>
      <c r="E230" t="s">
        <v>365</v>
      </c>
      <c r="F230" s="20" t="s">
        <v>366</v>
      </c>
      <c r="G230" s="8" t="str">
        <f t="shared" si="6"/>
        <v>DUNCAN SHEILA</v>
      </c>
      <c r="H230" s="20" t="str">
        <f t="shared" si="7"/>
        <v>4025</v>
      </c>
    </row>
    <row r="231" spans="1:8" x14ac:dyDescent="0.3">
      <c r="A231" s="8">
        <v>43024.962962962964</v>
      </c>
      <c r="B231" t="s">
        <v>591</v>
      </c>
      <c r="C231" t="s">
        <v>608</v>
      </c>
      <c r="D231" s="138">
        <v>2000000</v>
      </c>
      <c r="E231" t="s">
        <v>373</v>
      </c>
      <c r="F231" s="20" t="s">
        <v>362</v>
      </c>
      <c r="G231" s="8" t="str">
        <f t="shared" si="6"/>
        <v>STAMBAUGH JAMES</v>
      </c>
      <c r="H231" s="20" t="str">
        <f t="shared" si="7"/>
        <v>4050</v>
      </c>
    </row>
    <row r="232" spans="1:8" x14ac:dyDescent="0.3">
      <c r="A232" s="8">
        <v>43024.967581018522</v>
      </c>
      <c r="B232" t="s">
        <v>477</v>
      </c>
      <c r="C232" t="s">
        <v>824</v>
      </c>
      <c r="D232" s="138">
        <v>890000</v>
      </c>
      <c r="E232" t="s">
        <v>359</v>
      </c>
      <c r="F232" s="20" t="s">
        <v>360</v>
      </c>
      <c r="G232" s="8" t="str">
        <f t="shared" si="6"/>
        <v>LOZA FIDEL</v>
      </c>
      <c r="H232" s="20" t="str">
        <f t="shared" si="7"/>
        <v>4030</v>
      </c>
    </row>
    <row r="233" spans="1:8" x14ac:dyDescent="0.3">
      <c r="A233" s="8">
        <v>43024.971678240741</v>
      </c>
      <c r="B233" t="s">
        <v>620</v>
      </c>
      <c r="C233" t="s">
        <v>825</v>
      </c>
      <c r="D233" s="138">
        <v>3040000</v>
      </c>
      <c r="E233" t="s">
        <v>485</v>
      </c>
      <c r="F233" s="20" t="s">
        <v>486</v>
      </c>
      <c r="G233" s="8" t="str">
        <f t="shared" si="6"/>
        <v>WILLIAMS DONTE</v>
      </c>
      <c r="H233" s="20" t="str">
        <f t="shared" si="7"/>
        <v>4019</v>
      </c>
    </row>
    <row r="234" spans="1:8" x14ac:dyDescent="0.3">
      <c r="A234" s="8">
        <v>43024.975277777776</v>
      </c>
      <c r="B234" t="s">
        <v>594</v>
      </c>
      <c r="C234" t="s">
        <v>826</v>
      </c>
      <c r="D234" s="138">
        <v>2000000</v>
      </c>
      <c r="E234" t="s">
        <v>373</v>
      </c>
      <c r="F234" s="20" t="s">
        <v>362</v>
      </c>
      <c r="G234" s="8" t="str">
        <f t="shared" si="6"/>
        <v>STAMBAUGH JAMES</v>
      </c>
      <c r="H234" s="20" t="str">
        <f t="shared" si="7"/>
        <v>4049</v>
      </c>
    </row>
    <row r="235" spans="1:8" x14ac:dyDescent="0.3">
      <c r="A235" s="8">
        <v>43024.987812500003</v>
      </c>
      <c r="B235" t="s">
        <v>484</v>
      </c>
      <c r="C235" t="s">
        <v>827</v>
      </c>
      <c r="D235" s="138">
        <v>2680000</v>
      </c>
      <c r="E235" t="s">
        <v>365</v>
      </c>
      <c r="F235" s="20" t="s">
        <v>366</v>
      </c>
      <c r="G235" s="8" t="str">
        <f t="shared" si="6"/>
        <v>DUNCAN SHEILA</v>
      </c>
      <c r="H235" s="20" t="str">
        <f t="shared" si="7"/>
        <v>4026</v>
      </c>
    </row>
    <row r="236" spans="1:8" x14ac:dyDescent="0.3">
      <c r="A236" s="8">
        <v>43024.995208333334</v>
      </c>
      <c r="B236" t="s">
        <v>585</v>
      </c>
      <c r="C236" t="s">
        <v>828</v>
      </c>
      <c r="D236" s="138">
        <v>3340000</v>
      </c>
      <c r="E236" t="s">
        <v>497</v>
      </c>
      <c r="F236" s="20" t="s">
        <v>498</v>
      </c>
      <c r="G236" s="8" t="str">
        <f t="shared" si="6"/>
        <v>ELBAUM MIKE</v>
      </c>
      <c r="H236" s="20" t="str">
        <f t="shared" si="7"/>
        <v>4017</v>
      </c>
    </row>
    <row r="237" spans="1:8" x14ac:dyDescent="0.3">
      <c r="A237" s="8">
        <v>43025.012673611112</v>
      </c>
      <c r="B237" t="s">
        <v>606</v>
      </c>
      <c r="C237" t="s">
        <v>829</v>
      </c>
      <c r="D237" s="138">
        <v>3040000</v>
      </c>
      <c r="E237" t="s">
        <v>485</v>
      </c>
      <c r="F237" s="20" t="s">
        <v>486</v>
      </c>
      <c r="G237" s="8" t="str">
        <f t="shared" si="6"/>
        <v>WILLIAMS DONTE</v>
      </c>
      <c r="H237" s="20" t="str">
        <f t="shared" si="7"/>
        <v>4020</v>
      </c>
    </row>
    <row r="238" spans="1:8" x14ac:dyDescent="0.3">
      <c r="A238" s="8">
        <v>43025.016296296293</v>
      </c>
      <c r="B238" t="s">
        <v>580</v>
      </c>
      <c r="C238" t="s">
        <v>830</v>
      </c>
      <c r="D238" s="138">
        <v>890000</v>
      </c>
      <c r="E238" t="s">
        <v>359</v>
      </c>
      <c r="F238" s="20" t="s">
        <v>360</v>
      </c>
      <c r="G238" s="8" t="str">
        <f t="shared" si="6"/>
        <v>LOZA FIDEL</v>
      </c>
      <c r="H238" s="20" t="str">
        <f t="shared" si="7"/>
        <v>4029</v>
      </c>
    </row>
    <row r="239" spans="1:8" x14ac:dyDescent="0.3">
      <c r="A239" s="8">
        <v>43025.024837962963</v>
      </c>
      <c r="B239" t="s">
        <v>525</v>
      </c>
      <c r="C239" t="s">
        <v>831</v>
      </c>
      <c r="D239" s="138">
        <v>3340000</v>
      </c>
      <c r="E239" t="s">
        <v>497</v>
      </c>
      <c r="F239" s="20" t="s">
        <v>498</v>
      </c>
      <c r="G239" s="8" t="str">
        <f t="shared" si="6"/>
        <v>ELBAUM MIKE</v>
      </c>
      <c r="H239" s="20" t="str">
        <f t="shared" si="7"/>
        <v>4018</v>
      </c>
    </row>
    <row r="240" spans="1:8" x14ac:dyDescent="0.3">
      <c r="A240" s="8">
        <v>43025.029363425929</v>
      </c>
      <c r="B240" t="s">
        <v>480</v>
      </c>
      <c r="C240" t="s">
        <v>832</v>
      </c>
      <c r="D240" s="138">
        <v>2680000</v>
      </c>
      <c r="E240" t="s">
        <v>365</v>
      </c>
      <c r="F240" s="20" t="s">
        <v>366</v>
      </c>
      <c r="G240" s="8" t="str">
        <f t="shared" si="6"/>
        <v>DUNCAN SHEILA</v>
      </c>
      <c r="H240" s="20" t="str">
        <f t="shared" si="7"/>
        <v>4025</v>
      </c>
    </row>
    <row r="241" spans="1:8" x14ac:dyDescent="0.3">
      <c r="A241" s="8">
        <v>43025.047280092593</v>
      </c>
      <c r="B241" t="s">
        <v>477</v>
      </c>
      <c r="C241" t="s">
        <v>833</v>
      </c>
      <c r="D241" s="138">
        <v>890000</v>
      </c>
      <c r="E241" t="s">
        <v>359</v>
      </c>
      <c r="F241" s="20" t="s">
        <v>360</v>
      </c>
      <c r="G241" s="8" t="str">
        <f t="shared" si="6"/>
        <v>LOZA FIDEL</v>
      </c>
      <c r="H241" s="20" t="str">
        <f t="shared" si="7"/>
        <v>4030</v>
      </c>
    </row>
    <row r="242" spans="1:8" x14ac:dyDescent="0.3">
      <c r="A242" s="8">
        <v>43025.056122685186</v>
      </c>
      <c r="B242" t="s">
        <v>620</v>
      </c>
      <c r="C242" t="s">
        <v>834</v>
      </c>
      <c r="D242" s="138">
        <v>3040000</v>
      </c>
      <c r="E242" t="s">
        <v>485</v>
      </c>
      <c r="F242" s="20" t="s">
        <v>486</v>
      </c>
      <c r="G242" s="8" t="str">
        <f t="shared" si="6"/>
        <v>WILLIAMS DONTE</v>
      </c>
      <c r="H242" s="20" t="str">
        <f t="shared" si="7"/>
        <v>4019</v>
      </c>
    </row>
    <row r="243" spans="1:8" x14ac:dyDescent="0.3">
      <c r="A243" s="8">
        <v>43025.068252314813</v>
      </c>
      <c r="B243" t="s">
        <v>484</v>
      </c>
      <c r="C243" t="s">
        <v>835</v>
      </c>
      <c r="D243" s="138">
        <v>2680000</v>
      </c>
      <c r="E243" t="s">
        <v>365</v>
      </c>
      <c r="F243" s="20" t="s">
        <v>366</v>
      </c>
      <c r="G243" s="8" t="str">
        <f t="shared" si="6"/>
        <v>DUNCAN SHEILA</v>
      </c>
      <c r="H243" s="20" t="str">
        <f t="shared" si="7"/>
        <v>4026</v>
      </c>
    </row>
    <row r="244" spans="1:8" x14ac:dyDescent="0.3">
      <c r="A244" s="8">
        <v>43025.090671296297</v>
      </c>
      <c r="B244" t="s">
        <v>606</v>
      </c>
      <c r="C244" t="s">
        <v>836</v>
      </c>
      <c r="D244" s="138">
        <v>3040000</v>
      </c>
      <c r="E244" t="s">
        <v>485</v>
      </c>
      <c r="F244" s="20" t="s">
        <v>486</v>
      </c>
      <c r="G244" s="8" t="str">
        <f t="shared" si="6"/>
        <v>WILLIAMS DONTE</v>
      </c>
      <c r="H244" s="20" t="str">
        <f t="shared" si="7"/>
        <v>4020</v>
      </c>
    </row>
    <row r="245" spans="1:8" x14ac:dyDescent="0.3">
      <c r="A245" s="8">
        <v>43025.111828703702</v>
      </c>
      <c r="B245" t="s">
        <v>422</v>
      </c>
      <c r="C245" t="s">
        <v>837</v>
      </c>
      <c r="D245" s="138">
        <v>1830000</v>
      </c>
      <c r="E245" t="s">
        <v>377</v>
      </c>
      <c r="F245" s="20" t="s">
        <v>378</v>
      </c>
      <c r="G245" s="8" t="str">
        <f t="shared" si="6"/>
        <v>YORK EDGAR</v>
      </c>
      <c r="H245" s="20" t="str">
        <f t="shared" si="7"/>
        <v>4051</v>
      </c>
    </row>
    <row r="246" spans="1:8" x14ac:dyDescent="0.3">
      <c r="A246" s="8">
        <v>43021.04828703704</v>
      </c>
      <c r="B246" t="s">
        <v>385</v>
      </c>
      <c r="C246" t="s">
        <v>499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3">
      <c r="A247" s="8">
        <v>43021.056157407409</v>
      </c>
      <c r="B247" t="s">
        <v>422</v>
      </c>
      <c r="C247" t="s">
        <v>500</v>
      </c>
      <c r="D247" s="138">
        <v>2540000</v>
      </c>
      <c r="E247" t="s">
        <v>405</v>
      </c>
      <c r="F247" s="20" t="s">
        <v>406</v>
      </c>
      <c r="G247" s="8" t="str">
        <f t="shared" si="6"/>
        <v>MCREYNOLDS KYLE</v>
      </c>
      <c r="H247" s="20" t="str">
        <f t="shared" si="7"/>
        <v>4051</v>
      </c>
    </row>
    <row r="248" spans="1:8" x14ac:dyDescent="0.3">
      <c r="A248" s="8">
        <v>43021.066805555558</v>
      </c>
      <c r="B248" t="s">
        <v>449</v>
      </c>
      <c r="C248" t="s">
        <v>501</v>
      </c>
      <c r="D248" s="138">
        <v>3340000</v>
      </c>
      <c r="E248" t="s">
        <v>497</v>
      </c>
      <c r="F248" s="20" t="s">
        <v>498</v>
      </c>
      <c r="G248" s="8" t="str">
        <f t="shared" si="6"/>
        <v>ELBAUM MIKE</v>
      </c>
      <c r="H248" s="20" t="str">
        <f t="shared" si="7"/>
        <v>4002</v>
      </c>
    </row>
    <row r="249" spans="1:8" x14ac:dyDescent="0.3">
      <c r="A249" s="8">
        <v>43021.08934027778</v>
      </c>
      <c r="B249" t="s">
        <v>421</v>
      </c>
      <c r="C249" t="s">
        <v>502</v>
      </c>
      <c r="D249" s="138">
        <v>2540000</v>
      </c>
      <c r="E249" t="s">
        <v>405</v>
      </c>
      <c r="F249" s="20" t="s">
        <v>406</v>
      </c>
      <c r="G249" s="8" t="str">
        <f t="shared" si="6"/>
        <v>MCREYNOLDS KYLE</v>
      </c>
      <c r="H249" s="20" t="str">
        <f t="shared" si="7"/>
        <v>4052</v>
      </c>
    </row>
    <row r="250" spans="1:8" x14ac:dyDescent="0.3">
      <c r="A250" s="8">
        <v>43019.975057870368</v>
      </c>
      <c r="B250" t="s">
        <v>384</v>
      </c>
      <c r="C250" t="s">
        <v>454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43019.985497685186</v>
      </c>
      <c r="B251" t="s">
        <v>445</v>
      </c>
      <c r="C251" t="s">
        <v>455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3">
      <c r="A252" s="8">
        <v>43019.98809027778</v>
      </c>
      <c r="B252" t="s">
        <v>447</v>
      </c>
      <c r="C252" t="s">
        <v>456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3">
      <c r="A253" s="8">
        <v>43020.005173611113</v>
      </c>
      <c r="B253" t="s">
        <v>444</v>
      </c>
      <c r="C253" t="s">
        <v>457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3">
      <c r="A254" s="8">
        <v>43020.006828703707</v>
      </c>
      <c r="B254" t="s">
        <v>416</v>
      </c>
      <c r="C254" t="s">
        <v>458</v>
      </c>
      <c r="D254" s="138">
        <v>2440000</v>
      </c>
      <c r="E254" t="s">
        <v>452</v>
      </c>
      <c r="F254" s="20" t="s">
        <v>453</v>
      </c>
      <c r="G254" s="8" t="str">
        <f t="shared" si="6"/>
        <v>LOPES KIMBERLY</v>
      </c>
      <c r="H254" s="20" t="str">
        <f t="shared" si="7"/>
        <v>4036</v>
      </c>
    </row>
    <row r="255" spans="1:8" x14ac:dyDescent="0.3">
      <c r="A255" s="8">
        <v>43020.027303240742</v>
      </c>
      <c r="B255" t="s">
        <v>423</v>
      </c>
      <c r="C255" t="s">
        <v>459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3">
      <c r="A256" s="8">
        <v>43020.028726851851</v>
      </c>
      <c r="B256" t="s">
        <v>423</v>
      </c>
      <c r="C256" t="s">
        <v>459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3">
      <c r="A257" s="8">
        <v>43020.030185185184</v>
      </c>
      <c r="B257" t="s">
        <v>449</v>
      </c>
      <c r="C257" t="s">
        <v>460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3">
      <c r="A258" s="8">
        <v>43020.032430555555</v>
      </c>
      <c r="B258" t="s">
        <v>449</v>
      </c>
      <c r="C258" t="s">
        <v>460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3">
      <c r="A259" s="8">
        <v>43020.03837962963</v>
      </c>
      <c r="B259" t="s">
        <v>443</v>
      </c>
      <c r="C259" t="s">
        <v>461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3">
      <c r="A260" s="8">
        <v>43020.039004629631</v>
      </c>
      <c r="B260" t="s">
        <v>448</v>
      </c>
      <c r="C260" t="s">
        <v>462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3">
      <c r="A261" s="8">
        <v>43020.040671296294</v>
      </c>
      <c r="B261" t="s">
        <v>443</v>
      </c>
      <c r="C261" t="s">
        <v>461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3">
      <c r="A262" s="8">
        <v>43020.046909722223</v>
      </c>
      <c r="B262" t="s">
        <v>446</v>
      </c>
      <c r="C262" t="s">
        <v>463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3">
      <c r="A263" s="8">
        <v>43020.050694444442</v>
      </c>
      <c r="B263" t="s">
        <v>429</v>
      </c>
      <c r="C263" t="s">
        <v>464</v>
      </c>
      <c r="D263" s="138">
        <v>2440000</v>
      </c>
      <c r="E263" t="s">
        <v>452</v>
      </c>
      <c r="F263" s="20" t="s">
        <v>453</v>
      </c>
      <c r="G263" s="8" t="str">
        <f t="shared" si="8"/>
        <v>LOPES KIMBERLY</v>
      </c>
      <c r="H263" s="20" t="str">
        <f t="shared" si="9"/>
        <v>4035</v>
      </c>
    </row>
    <row r="264" spans="1:8" x14ac:dyDescent="0.3">
      <c r="A264" s="8">
        <v>43020.067916666667</v>
      </c>
      <c r="B264" t="s">
        <v>447</v>
      </c>
      <c r="C264" t="s">
        <v>465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3">
      <c r="A265" s="8">
        <v>43020.088923611111</v>
      </c>
      <c r="B265" t="s">
        <v>416</v>
      </c>
      <c r="C265" t="s">
        <v>466</v>
      </c>
      <c r="D265" s="138">
        <v>2440000</v>
      </c>
      <c r="E265" t="s">
        <v>452</v>
      </c>
      <c r="F265" s="20" t="s">
        <v>453</v>
      </c>
      <c r="G265" s="8" t="str">
        <f t="shared" si="8"/>
        <v>LOPES KIMBERLY</v>
      </c>
      <c r="H265" s="20" t="str">
        <f t="shared" si="9"/>
        <v>4036</v>
      </c>
    </row>
    <row r="266" spans="1:8" x14ac:dyDescent="0.3">
      <c r="A266" s="8">
        <v>43020.112002314818</v>
      </c>
      <c r="B266" t="s">
        <v>393</v>
      </c>
      <c r="C266" t="s">
        <v>467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3">
      <c r="A267" s="8">
        <v>43013.038958333331</v>
      </c>
      <c r="B267" t="s">
        <v>403</v>
      </c>
      <c r="C267" t="s">
        <v>407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3">
      <c r="A268" s="8">
        <v>43013.047430555554</v>
      </c>
      <c r="B268" t="s">
        <v>383</v>
      </c>
      <c r="C268" t="s">
        <v>408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3">
      <c r="A269" s="8">
        <v>43013.056331018517</v>
      </c>
      <c r="B269" t="s">
        <v>384</v>
      </c>
      <c r="C269" t="s">
        <v>409</v>
      </c>
      <c r="D269" s="138">
        <v>2540000</v>
      </c>
      <c r="E269" t="s">
        <v>405</v>
      </c>
      <c r="F269" s="20" t="s">
        <v>406</v>
      </c>
      <c r="G269" s="8" t="str">
        <f t="shared" si="8"/>
        <v>MCREYNOLDS KYLE</v>
      </c>
      <c r="H269" s="20" t="str">
        <f t="shared" si="9"/>
        <v>4063</v>
      </c>
    </row>
    <row r="270" spans="1:8" x14ac:dyDescent="0.3">
      <c r="A270" s="8">
        <v>43013.06894675926</v>
      </c>
      <c r="B270" t="s">
        <v>402</v>
      </c>
      <c r="C270" t="s">
        <v>404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3">
      <c r="A271" s="8">
        <v>43013.090011574073</v>
      </c>
      <c r="B271" t="s">
        <v>385</v>
      </c>
      <c r="C271" t="s">
        <v>410</v>
      </c>
      <c r="D271" s="138">
        <v>2540000</v>
      </c>
      <c r="E271" t="s">
        <v>405</v>
      </c>
      <c r="F271" s="20" t="s">
        <v>406</v>
      </c>
      <c r="G271" s="8" t="str">
        <f t="shared" si="8"/>
        <v>MCREYNOLDS KYLE</v>
      </c>
      <c r="H271" s="20" t="str">
        <f t="shared" si="9"/>
        <v>4064</v>
      </c>
    </row>
    <row r="272" spans="1:8" x14ac:dyDescent="0.3">
      <c r="A272" s="8">
        <v>43013.10837962963</v>
      </c>
      <c r="B272" t="s">
        <v>394</v>
      </c>
      <c r="C272" t="s">
        <v>411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3">
      <c r="A273" s="8">
        <v>43013.109976851854</v>
      </c>
      <c r="B273" t="s">
        <v>394</v>
      </c>
      <c r="C273" t="s">
        <v>411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3">
      <c r="A274" s="8">
        <v>43013.111643518518</v>
      </c>
      <c r="B274" t="s">
        <v>393</v>
      </c>
      <c r="C274" t="s">
        <v>412</v>
      </c>
      <c r="D274" s="138">
        <v>1830000</v>
      </c>
      <c r="E274" t="s">
        <v>377</v>
      </c>
      <c r="F274" s="20" t="s">
        <v>378</v>
      </c>
    </row>
    <row r="275" spans="1:8" x14ac:dyDescent="0.3">
      <c r="A275" s="8">
        <v>43013.112997685188</v>
      </c>
      <c r="B275" t="s">
        <v>393</v>
      </c>
      <c r="C275" t="s">
        <v>412</v>
      </c>
      <c r="D275" s="138">
        <v>1830000</v>
      </c>
      <c r="E275" t="s">
        <v>377</v>
      </c>
      <c r="F275" s="20" t="s">
        <v>378</v>
      </c>
    </row>
    <row r="276" spans="1:8" x14ac:dyDescent="0.3">
      <c r="A276" s="8">
        <v>43013.113483796296</v>
      </c>
      <c r="B276" t="s">
        <v>393</v>
      </c>
      <c r="C276" t="s">
        <v>412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3">
      <c r="A2" s="196">
        <v>40.17</v>
      </c>
      <c r="B2" s="196">
        <v>0</v>
      </c>
      <c r="C2" s="196">
        <v>28.65</v>
      </c>
      <c r="D2" s="8">
        <v>43024</v>
      </c>
      <c r="E2" s="196">
        <v>0.63</v>
      </c>
      <c r="F2" s="196" t="s">
        <v>400</v>
      </c>
      <c r="G2" s="196">
        <v>309.20999999999998</v>
      </c>
      <c r="H2" s="196">
        <v>0</v>
      </c>
      <c r="I2" s="196">
        <v>0</v>
      </c>
      <c r="J2" s="196">
        <v>1026.97</v>
      </c>
      <c r="K2" s="196" t="s">
        <v>401</v>
      </c>
      <c r="L2" s="196">
        <v>40.17</v>
      </c>
      <c r="M2" s="196">
        <v>1508133600</v>
      </c>
      <c r="N2" s="196">
        <v>0</v>
      </c>
      <c r="O2" s="196">
        <v>2.81</v>
      </c>
      <c r="P2" s="196">
        <v>190</v>
      </c>
      <c r="Q2" s="196">
        <v>2.2000000000000002</v>
      </c>
      <c r="R2" s="196">
        <v>0.84</v>
      </c>
      <c r="S2"/>
      <c r="T2"/>
    </row>
    <row r="3" spans="1:20" x14ac:dyDescent="0.3">
      <c r="A3" s="196">
        <v>39.08</v>
      </c>
      <c r="B3" s="196">
        <v>0</v>
      </c>
      <c r="C3" s="196">
        <v>28.02</v>
      </c>
      <c r="D3" s="8">
        <v>43024.041666666664</v>
      </c>
      <c r="E3" s="196">
        <v>0.64</v>
      </c>
      <c r="F3" s="196" t="s">
        <v>400</v>
      </c>
      <c r="G3" s="196">
        <v>307.93</v>
      </c>
      <c r="H3" s="196">
        <v>0</v>
      </c>
      <c r="I3" s="196">
        <v>0</v>
      </c>
      <c r="J3" s="196">
        <v>1026.67</v>
      </c>
      <c r="K3" s="196" t="s">
        <v>401</v>
      </c>
      <c r="L3" s="196">
        <v>39.08</v>
      </c>
      <c r="M3" s="196">
        <v>1508137200</v>
      </c>
      <c r="N3" s="196">
        <v>0</v>
      </c>
      <c r="O3" s="196">
        <v>2.4700000000000002</v>
      </c>
      <c r="P3" s="196">
        <v>173</v>
      </c>
      <c r="Q3" s="196">
        <v>2.5299999999999998</v>
      </c>
      <c r="R3" s="196">
        <v>1.04</v>
      </c>
      <c r="S3"/>
      <c r="T3"/>
    </row>
    <row r="4" spans="1:20" x14ac:dyDescent="0.3">
      <c r="A4" s="196">
        <v>38.5</v>
      </c>
      <c r="B4" s="196">
        <v>0</v>
      </c>
      <c r="C4" s="196">
        <v>27.18</v>
      </c>
      <c r="D4" s="8">
        <v>43024.083333333336</v>
      </c>
      <c r="E4" s="196">
        <v>0.63</v>
      </c>
      <c r="F4" s="196" t="s">
        <v>400</v>
      </c>
      <c r="G4" s="196">
        <v>306.10000000000002</v>
      </c>
      <c r="H4" s="196">
        <v>0</v>
      </c>
      <c r="I4" s="196">
        <v>0</v>
      </c>
      <c r="J4" s="196">
        <v>1026.0899999999999</v>
      </c>
      <c r="K4" s="196" t="s">
        <v>401</v>
      </c>
      <c r="L4" s="196">
        <v>38.5</v>
      </c>
      <c r="M4" s="196">
        <v>1508140800</v>
      </c>
      <c r="N4" s="196">
        <v>0</v>
      </c>
      <c r="O4" s="196">
        <v>3.66</v>
      </c>
      <c r="P4" s="196">
        <v>174</v>
      </c>
      <c r="Q4" s="196">
        <v>3.05</v>
      </c>
      <c r="R4" s="196">
        <v>1.26</v>
      </c>
      <c r="S4"/>
      <c r="T4"/>
    </row>
    <row r="5" spans="1:20" x14ac:dyDescent="0.3">
      <c r="A5" s="196">
        <v>38.68</v>
      </c>
      <c r="B5" s="196">
        <v>0.04</v>
      </c>
      <c r="C5" s="196">
        <v>26.23</v>
      </c>
      <c r="D5" s="8">
        <v>43024.125</v>
      </c>
      <c r="E5" s="196">
        <v>0.61</v>
      </c>
      <c r="F5" s="196" t="s">
        <v>400</v>
      </c>
      <c r="G5" s="196">
        <v>304.27</v>
      </c>
      <c r="H5" s="196">
        <v>0</v>
      </c>
      <c r="I5" s="196">
        <v>0</v>
      </c>
      <c r="J5" s="196">
        <v>1025.3</v>
      </c>
      <c r="K5" s="196" t="s">
        <v>401</v>
      </c>
      <c r="L5" s="196">
        <v>38.68</v>
      </c>
      <c r="M5" s="196">
        <v>1508144400</v>
      </c>
      <c r="N5" s="196">
        <v>0</v>
      </c>
      <c r="O5" s="196">
        <v>3.37</v>
      </c>
      <c r="P5" s="196">
        <v>179</v>
      </c>
      <c r="Q5" s="196">
        <v>3.73</v>
      </c>
      <c r="R5" s="196">
        <v>1.39</v>
      </c>
      <c r="S5"/>
      <c r="T5"/>
    </row>
    <row r="6" spans="1:20" x14ac:dyDescent="0.3">
      <c r="A6" s="196">
        <v>39.08</v>
      </c>
      <c r="B6" s="196">
        <v>0.06</v>
      </c>
      <c r="C6" s="196">
        <v>25.24</v>
      </c>
      <c r="D6" s="8">
        <v>43024.166666666664</v>
      </c>
      <c r="E6" s="196">
        <v>0.56999999999999995</v>
      </c>
      <c r="F6" s="196" t="s">
        <v>400</v>
      </c>
      <c r="G6" s="196">
        <v>302.52999999999997</v>
      </c>
      <c r="H6" s="196">
        <v>0</v>
      </c>
      <c r="I6" s="196">
        <v>0</v>
      </c>
      <c r="J6" s="196">
        <v>1024.78</v>
      </c>
      <c r="K6" s="196" t="s">
        <v>401</v>
      </c>
      <c r="L6" s="196">
        <v>39.08</v>
      </c>
      <c r="M6" s="196">
        <v>1508148000</v>
      </c>
      <c r="N6" s="196">
        <v>0</v>
      </c>
      <c r="O6" s="196">
        <v>3.29</v>
      </c>
      <c r="P6" s="196">
        <v>186</v>
      </c>
      <c r="Q6" s="196">
        <v>4.04</v>
      </c>
      <c r="R6" s="196">
        <v>1.81</v>
      </c>
      <c r="S6"/>
      <c r="T6"/>
    </row>
    <row r="7" spans="1:20" x14ac:dyDescent="0.3">
      <c r="A7" s="196">
        <v>39.39</v>
      </c>
      <c r="B7" s="196">
        <v>0.03</v>
      </c>
      <c r="C7" s="196">
        <v>24.64</v>
      </c>
      <c r="D7" s="8">
        <v>43024.208333333336</v>
      </c>
      <c r="E7" s="196">
        <v>0.55000000000000004</v>
      </c>
      <c r="F7" s="196" t="s">
        <v>400</v>
      </c>
      <c r="G7" s="196">
        <v>300.68</v>
      </c>
      <c r="H7" s="196">
        <v>0</v>
      </c>
      <c r="I7" s="196">
        <v>0</v>
      </c>
      <c r="J7" s="196">
        <v>1025.96</v>
      </c>
      <c r="K7" s="196" t="s">
        <v>401</v>
      </c>
      <c r="L7" s="196">
        <v>39.39</v>
      </c>
      <c r="M7" s="196">
        <v>1508151600</v>
      </c>
      <c r="N7" s="196">
        <v>0</v>
      </c>
      <c r="O7" s="196">
        <v>3.24</v>
      </c>
      <c r="P7" s="196">
        <v>188</v>
      </c>
      <c r="Q7" s="196">
        <v>4.13</v>
      </c>
      <c r="R7" s="196">
        <v>1.69</v>
      </c>
      <c r="S7"/>
      <c r="T7"/>
    </row>
    <row r="8" spans="1:20" x14ac:dyDescent="0.3">
      <c r="A8" s="196">
        <v>40.869999999999997</v>
      </c>
      <c r="B8" s="196">
        <v>0.1</v>
      </c>
      <c r="C8" s="196">
        <v>23.68</v>
      </c>
      <c r="D8" s="8">
        <v>43024.25</v>
      </c>
      <c r="E8" s="196">
        <v>0.5</v>
      </c>
      <c r="F8" s="196" t="s">
        <v>400</v>
      </c>
      <c r="G8" s="196">
        <v>297.82</v>
      </c>
      <c r="H8" s="196">
        <v>0</v>
      </c>
      <c r="I8" s="196">
        <v>0</v>
      </c>
      <c r="J8" s="196">
        <v>1023.71</v>
      </c>
      <c r="K8" s="196" t="s">
        <v>401</v>
      </c>
      <c r="L8" s="196">
        <v>40.869999999999997</v>
      </c>
      <c r="M8" s="196">
        <v>1508155200</v>
      </c>
      <c r="N8" s="196">
        <v>0</v>
      </c>
      <c r="O8" s="196">
        <v>3.05</v>
      </c>
      <c r="P8" s="196">
        <v>203</v>
      </c>
      <c r="Q8" s="196">
        <v>4.9400000000000004</v>
      </c>
      <c r="R8" s="196">
        <v>2.02</v>
      </c>
      <c r="S8"/>
      <c r="T8"/>
    </row>
    <row r="9" spans="1:20" x14ac:dyDescent="0.3">
      <c r="A9" s="196">
        <v>42.08</v>
      </c>
      <c r="B9" s="196">
        <v>0.12</v>
      </c>
      <c r="C9" s="196">
        <v>23.26</v>
      </c>
      <c r="D9" s="8">
        <v>43024.291666666664</v>
      </c>
      <c r="E9" s="196">
        <v>0.47</v>
      </c>
      <c r="F9" s="196" t="s">
        <v>400</v>
      </c>
      <c r="G9" s="196">
        <v>296.60000000000002</v>
      </c>
      <c r="H9" s="196">
        <v>0</v>
      </c>
      <c r="I9" s="196">
        <v>0</v>
      </c>
      <c r="J9" s="196">
        <v>1024</v>
      </c>
      <c r="K9" s="196" t="s">
        <v>401</v>
      </c>
      <c r="L9" s="196">
        <v>42.08</v>
      </c>
      <c r="M9" s="196">
        <v>1508158800</v>
      </c>
      <c r="N9" s="196">
        <v>0</v>
      </c>
      <c r="O9" s="196">
        <v>3.18</v>
      </c>
      <c r="P9" s="196">
        <v>193</v>
      </c>
      <c r="Q9" s="196">
        <v>5.07</v>
      </c>
      <c r="R9" s="196">
        <v>2.09</v>
      </c>
      <c r="S9"/>
      <c r="T9"/>
    </row>
    <row r="10" spans="1:20" x14ac:dyDescent="0.3">
      <c r="A10" s="196">
        <v>45.21</v>
      </c>
      <c r="B10" s="196">
        <v>0.14000000000000001</v>
      </c>
      <c r="C10" s="196">
        <v>22.78</v>
      </c>
      <c r="D10" s="8">
        <v>43024.333333333336</v>
      </c>
      <c r="E10" s="196">
        <v>0.41</v>
      </c>
      <c r="F10" s="196" t="s">
        <v>430</v>
      </c>
      <c r="G10" s="196">
        <v>295.82</v>
      </c>
      <c r="H10" s="196">
        <v>0</v>
      </c>
      <c r="I10" s="196">
        <v>0</v>
      </c>
      <c r="J10" s="196">
        <v>1025</v>
      </c>
      <c r="K10" s="196" t="s">
        <v>401</v>
      </c>
      <c r="L10" s="196">
        <v>45.21</v>
      </c>
      <c r="M10" s="196">
        <v>1508162400</v>
      </c>
      <c r="N10" s="196">
        <v>0</v>
      </c>
      <c r="O10" s="196">
        <v>3.28</v>
      </c>
      <c r="P10" s="196">
        <v>183</v>
      </c>
      <c r="Q10" s="196">
        <v>4.6399999999999997</v>
      </c>
      <c r="R10" s="196">
        <v>1.66</v>
      </c>
      <c r="S10"/>
      <c r="T10"/>
    </row>
    <row r="11" spans="1:20" x14ac:dyDescent="0.3">
      <c r="A11" s="196">
        <v>53.42</v>
      </c>
      <c r="B11" s="196">
        <v>0.19</v>
      </c>
      <c r="C11" s="196">
        <v>24.19</v>
      </c>
      <c r="D11" s="8">
        <v>43024.375</v>
      </c>
      <c r="E11" s="196">
        <v>0.32</v>
      </c>
      <c r="F11" s="196" t="s">
        <v>430</v>
      </c>
      <c r="G11" s="196">
        <v>295.14999999999998</v>
      </c>
      <c r="H11" s="196">
        <v>0</v>
      </c>
      <c r="I11" s="196">
        <v>0</v>
      </c>
      <c r="J11" s="196">
        <v>1023.97</v>
      </c>
      <c r="K11" s="196" t="s">
        <v>401</v>
      </c>
      <c r="L11" s="196">
        <v>53.42</v>
      </c>
      <c r="M11" s="196">
        <v>1508166000</v>
      </c>
      <c r="N11" s="196">
        <v>1</v>
      </c>
      <c r="O11" s="196">
        <v>3.31</v>
      </c>
      <c r="P11" s="196">
        <v>192</v>
      </c>
      <c r="Q11" s="196">
        <v>5.68</v>
      </c>
      <c r="R11" s="196">
        <v>2.0099999999999998</v>
      </c>
      <c r="S11"/>
      <c r="T11"/>
    </row>
    <row r="12" spans="1:20" x14ac:dyDescent="0.3">
      <c r="A12" s="196">
        <v>58.69</v>
      </c>
      <c r="B12" s="196">
        <v>0.17</v>
      </c>
      <c r="C12" s="196">
        <v>24.41</v>
      </c>
      <c r="D12" s="8">
        <v>43024.416666666664</v>
      </c>
      <c r="E12" s="196">
        <v>0.27</v>
      </c>
      <c r="F12" s="196" t="s">
        <v>430</v>
      </c>
      <c r="G12" s="196">
        <v>294.37</v>
      </c>
      <c r="H12" s="196">
        <v>0</v>
      </c>
      <c r="I12" s="196">
        <v>0</v>
      </c>
      <c r="J12" s="196">
        <v>1023.11</v>
      </c>
      <c r="K12" s="196" t="s">
        <v>401</v>
      </c>
      <c r="L12" s="196">
        <v>58.69</v>
      </c>
      <c r="M12" s="196">
        <v>1508169600</v>
      </c>
      <c r="N12" s="196">
        <v>2</v>
      </c>
      <c r="O12" s="196">
        <v>3.31</v>
      </c>
      <c r="P12" s="196">
        <v>204</v>
      </c>
      <c r="Q12" s="196">
        <v>6.51</v>
      </c>
      <c r="R12" s="196">
        <v>2.2799999999999998</v>
      </c>
      <c r="S12"/>
      <c r="T12"/>
    </row>
    <row r="13" spans="1:20" x14ac:dyDescent="0.3">
      <c r="A13" s="196">
        <v>65.55</v>
      </c>
      <c r="B13" s="196">
        <v>0.27</v>
      </c>
      <c r="C13" s="196">
        <v>23.05</v>
      </c>
      <c r="D13" s="8">
        <v>43024.458333333336</v>
      </c>
      <c r="E13" s="196">
        <v>0.2</v>
      </c>
      <c r="F13" s="196" t="s">
        <v>838</v>
      </c>
      <c r="G13" s="196">
        <v>293.58</v>
      </c>
      <c r="H13" s="196">
        <v>0</v>
      </c>
      <c r="I13" s="196">
        <v>0</v>
      </c>
      <c r="J13" s="196">
        <v>1022.14</v>
      </c>
      <c r="K13" s="196" t="s">
        <v>839</v>
      </c>
      <c r="L13" s="196">
        <v>65.55</v>
      </c>
      <c r="M13" s="196">
        <v>1508173200</v>
      </c>
      <c r="N13" s="196">
        <v>3</v>
      </c>
      <c r="O13" s="196">
        <v>4.24</v>
      </c>
      <c r="P13" s="196">
        <v>206</v>
      </c>
      <c r="Q13" s="196">
        <v>7.66</v>
      </c>
      <c r="R13" s="196">
        <v>3.11</v>
      </c>
      <c r="S13"/>
      <c r="T13"/>
    </row>
    <row r="14" spans="1:20" x14ac:dyDescent="0.3">
      <c r="A14" s="196">
        <v>70.75</v>
      </c>
      <c r="B14" s="196">
        <v>0.18</v>
      </c>
      <c r="C14" s="196">
        <v>18.05</v>
      </c>
      <c r="D14" s="8">
        <v>43024.5</v>
      </c>
      <c r="E14" s="196">
        <v>0.13</v>
      </c>
      <c r="F14" s="196" t="s">
        <v>430</v>
      </c>
      <c r="G14" s="196">
        <v>296.58999999999997</v>
      </c>
      <c r="H14" s="196">
        <v>0</v>
      </c>
      <c r="I14" s="196">
        <v>0</v>
      </c>
      <c r="J14" s="196">
        <v>1020.42</v>
      </c>
      <c r="K14" s="196" t="s">
        <v>401</v>
      </c>
      <c r="L14" s="196">
        <v>70.75</v>
      </c>
      <c r="M14" s="196">
        <v>1508176800</v>
      </c>
      <c r="N14" s="196">
        <v>4</v>
      </c>
      <c r="O14" s="196">
        <v>4.79</v>
      </c>
      <c r="P14" s="196">
        <v>214</v>
      </c>
      <c r="Q14" s="196">
        <v>8.6999999999999993</v>
      </c>
      <c r="R14" s="196">
        <v>2.8</v>
      </c>
      <c r="S14"/>
      <c r="T14"/>
    </row>
    <row r="15" spans="1:20" x14ac:dyDescent="0.3">
      <c r="A15" s="196">
        <v>73.099999999999994</v>
      </c>
      <c r="B15" s="196">
        <v>0.12</v>
      </c>
      <c r="C15" s="196">
        <v>15.73</v>
      </c>
      <c r="D15" s="8">
        <v>43024.541666666664</v>
      </c>
      <c r="E15" s="196">
        <v>0.11</v>
      </c>
      <c r="F15" s="196" t="s">
        <v>430</v>
      </c>
      <c r="G15" s="196">
        <v>296.48</v>
      </c>
      <c r="H15" s="196">
        <v>0</v>
      </c>
      <c r="I15" s="196">
        <v>0</v>
      </c>
      <c r="J15" s="196">
        <v>1019.58</v>
      </c>
      <c r="K15" s="196" t="s">
        <v>401</v>
      </c>
      <c r="L15" s="196">
        <v>73.099999999999994</v>
      </c>
      <c r="M15" s="196">
        <v>1508180400</v>
      </c>
      <c r="N15" s="196">
        <v>4</v>
      </c>
      <c r="O15" s="196">
        <v>4.79</v>
      </c>
      <c r="P15" s="196">
        <v>232</v>
      </c>
      <c r="Q15" s="196">
        <v>8.67</v>
      </c>
      <c r="R15" s="196">
        <v>2.64</v>
      </c>
      <c r="S15"/>
      <c r="T15"/>
    </row>
    <row r="16" spans="1:20" x14ac:dyDescent="0.3">
      <c r="A16" s="196">
        <v>74.19</v>
      </c>
      <c r="B16" s="196">
        <v>0.12</v>
      </c>
      <c r="C16" s="196">
        <v>15.61</v>
      </c>
      <c r="D16" s="8">
        <v>43024.583333333336</v>
      </c>
      <c r="E16" s="196">
        <v>0.11</v>
      </c>
      <c r="F16" s="196" t="s">
        <v>430</v>
      </c>
      <c r="G16" s="196">
        <v>296.04000000000002</v>
      </c>
      <c r="H16" s="196">
        <v>0</v>
      </c>
      <c r="I16" s="196">
        <v>0</v>
      </c>
      <c r="J16" s="196">
        <v>1018.86</v>
      </c>
      <c r="K16" s="196" t="s">
        <v>401</v>
      </c>
      <c r="L16" s="196">
        <v>74.19</v>
      </c>
      <c r="M16" s="196">
        <v>1508184000</v>
      </c>
      <c r="N16" s="196">
        <v>4</v>
      </c>
      <c r="O16" s="196">
        <v>4.79</v>
      </c>
      <c r="P16" s="196">
        <v>238</v>
      </c>
      <c r="Q16" s="196">
        <v>7.61</v>
      </c>
      <c r="R16" s="196">
        <v>2.5299999999999998</v>
      </c>
      <c r="S16"/>
      <c r="T16"/>
    </row>
    <row r="17" spans="1:20" x14ac:dyDescent="0.3">
      <c r="A17" s="196">
        <v>73.64</v>
      </c>
      <c r="B17" s="196">
        <v>0.14000000000000001</v>
      </c>
      <c r="C17" s="196">
        <v>17.059999999999999</v>
      </c>
      <c r="D17" s="8">
        <v>43024.625</v>
      </c>
      <c r="E17" s="196">
        <v>0.12</v>
      </c>
      <c r="F17" s="196" t="s">
        <v>430</v>
      </c>
      <c r="G17" s="196">
        <v>295.48</v>
      </c>
      <c r="H17" s="196">
        <v>0</v>
      </c>
      <c r="I17" s="196">
        <v>0</v>
      </c>
      <c r="J17" s="196">
        <v>1018.32</v>
      </c>
      <c r="K17" s="196" t="s">
        <v>401</v>
      </c>
      <c r="L17" s="196">
        <v>73.64</v>
      </c>
      <c r="M17" s="196">
        <v>1508187600</v>
      </c>
      <c r="N17" s="196">
        <v>2</v>
      </c>
      <c r="O17" s="196">
        <v>4.79</v>
      </c>
      <c r="P17" s="196">
        <v>234</v>
      </c>
      <c r="Q17" s="196">
        <v>6.34</v>
      </c>
      <c r="R17" s="196">
        <v>1.95</v>
      </c>
      <c r="S17"/>
      <c r="T17"/>
    </row>
    <row r="18" spans="1:20" x14ac:dyDescent="0.3">
      <c r="A18" s="196">
        <v>73.010000000000005</v>
      </c>
      <c r="B18" s="196">
        <v>0.14000000000000001</v>
      </c>
      <c r="C18" s="196">
        <v>17.89</v>
      </c>
      <c r="D18" s="8">
        <v>43024.666666666664</v>
      </c>
      <c r="E18" s="196">
        <v>0.12</v>
      </c>
      <c r="F18" s="196" t="s">
        <v>430</v>
      </c>
      <c r="G18" s="196">
        <v>294.81</v>
      </c>
      <c r="H18" s="196">
        <v>0</v>
      </c>
      <c r="I18" s="196">
        <v>0</v>
      </c>
      <c r="J18" s="196">
        <v>1018.36</v>
      </c>
      <c r="K18" s="196" t="s">
        <v>401</v>
      </c>
      <c r="L18" s="196">
        <v>73.010000000000005</v>
      </c>
      <c r="M18" s="196">
        <v>1508191200</v>
      </c>
      <c r="N18" s="196">
        <v>1</v>
      </c>
      <c r="O18" s="196">
        <v>4.8600000000000003</v>
      </c>
      <c r="P18" s="196">
        <v>217</v>
      </c>
      <c r="Q18" s="196">
        <v>5.7</v>
      </c>
      <c r="R18" s="196">
        <v>1.59</v>
      </c>
      <c r="S18"/>
      <c r="T18"/>
    </row>
    <row r="19" spans="1:20" x14ac:dyDescent="0.3">
      <c r="A19" s="196">
        <v>72.19</v>
      </c>
      <c r="B19" s="196">
        <v>0.15</v>
      </c>
      <c r="C19" s="196">
        <v>17.34</v>
      </c>
      <c r="D19" s="8">
        <v>43024.708333333336</v>
      </c>
      <c r="E19" s="196">
        <v>0.12</v>
      </c>
      <c r="F19" s="196" t="s">
        <v>430</v>
      </c>
      <c r="G19" s="196">
        <v>294.02999999999997</v>
      </c>
      <c r="H19" s="196">
        <v>0</v>
      </c>
      <c r="I19" s="196">
        <v>0</v>
      </c>
      <c r="J19" s="196">
        <v>1018.44</v>
      </c>
      <c r="K19" s="196" t="s">
        <v>401</v>
      </c>
      <c r="L19" s="196">
        <v>72.19</v>
      </c>
      <c r="M19" s="196">
        <v>1508194800</v>
      </c>
      <c r="N19" s="196">
        <v>1</v>
      </c>
      <c r="O19" s="196">
        <v>4.79</v>
      </c>
      <c r="P19" s="196">
        <v>189</v>
      </c>
      <c r="Q19" s="196">
        <v>4.43</v>
      </c>
      <c r="R19" s="196">
        <v>1.19</v>
      </c>
      <c r="S19"/>
      <c r="T19"/>
    </row>
    <row r="20" spans="1:20" x14ac:dyDescent="0.3">
      <c r="A20" s="196">
        <v>70.260000000000005</v>
      </c>
      <c r="B20" s="196">
        <v>0.12</v>
      </c>
      <c r="C20" s="196">
        <v>19.96</v>
      </c>
      <c r="D20" s="8">
        <v>43024.75</v>
      </c>
      <c r="E20" s="196">
        <v>0.15</v>
      </c>
      <c r="F20" s="196" t="s">
        <v>430</v>
      </c>
      <c r="G20" s="196">
        <v>291.33</v>
      </c>
      <c r="H20" s="196">
        <v>0</v>
      </c>
      <c r="I20" s="196">
        <v>0</v>
      </c>
      <c r="J20" s="196">
        <v>1018.46</v>
      </c>
      <c r="K20" s="196" t="s">
        <v>401</v>
      </c>
      <c r="L20" s="196">
        <v>70.260000000000005</v>
      </c>
      <c r="M20" s="196">
        <v>1508198400</v>
      </c>
      <c r="N20" s="196">
        <v>0</v>
      </c>
      <c r="O20" s="196">
        <v>4.79</v>
      </c>
      <c r="P20" s="196">
        <v>202</v>
      </c>
      <c r="Q20" s="196">
        <v>2.4900000000000002</v>
      </c>
      <c r="R20" s="196">
        <v>0.7</v>
      </c>
      <c r="S20"/>
      <c r="T20"/>
    </row>
    <row r="21" spans="1:20" x14ac:dyDescent="0.3">
      <c r="A21" s="196">
        <v>61.45</v>
      </c>
      <c r="B21" s="196">
        <v>0.14000000000000001</v>
      </c>
      <c r="C21" s="196">
        <v>22.81</v>
      </c>
      <c r="D21" s="8">
        <v>43024.791666666664</v>
      </c>
      <c r="E21" s="196">
        <v>0.23</v>
      </c>
      <c r="F21" s="196" t="s">
        <v>400</v>
      </c>
      <c r="G21" s="196">
        <v>290.88</v>
      </c>
      <c r="H21" s="196">
        <v>0</v>
      </c>
      <c r="I21" s="196">
        <v>0</v>
      </c>
      <c r="J21" s="196">
        <v>1019.6</v>
      </c>
      <c r="K21" s="196" t="s">
        <v>401</v>
      </c>
      <c r="L21" s="196">
        <v>61.45</v>
      </c>
      <c r="M21" s="196">
        <v>1508202000</v>
      </c>
      <c r="N21" s="196">
        <v>0</v>
      </c>
      <c r="O21" s="196">
        <v>3.41</v>
      </c>
      <c r="P21" s="196">
        <v>252</v>
      </c>
      <c r="Q21" s="196">
        <v>3.35</v>
      </c>
      <c r="R21" s="196">
        <v>1.05</v>
      </c>
      <c r="S21"/>
      <c r="T21"/>
    </row>
    <row r="22" spans="1:20" x14ac:dyDescent="0.3">
      <c r="A22" s="196">
        <v>56.25</v>
      </c>
      <c r="B22" s="196">
        <v>0.02</v>
      </c>
      <c r="C22" s="196">
        <v>23.26</v>
      </c>
      <c r="D22" s="8">
        <v>43024.833333333336</v>
      </c>
      <c r="E22" s="196">
        <v>0.28000000000000003</v>
      </c>
      <c r="F22" s="196" t="s">
        <v>400</v>
      </c>
      <c r="G22" s="196">
        <v>290.88</v>
      </c>
      <c r="H22" s="196">
        <v>0</v>
      </c>
      <c r="I22" s="196">
        <v>0</v>
      </c>
      <c r="J22" s="196">
        <v>1020.49</v>
      </c>
      <c r="K22" s="196" t="s">
        <v>401</v>
      </c>
      <c r="L22" s="196">
        <v>56.25</v>
      </c>
      <c r="M22" s="196">
        <v>1508205600</v>
      </c>
      <c r="N22" s="196">
        <v>0</v>
      </c>
      <c r="O22" s="196">
        <v>3.09</v>
      </c>
      <c r="P22" s="196">
        <v>227</v>
      </c>
      <c r="Q22" s="196">
        <v>3.11</v>
      </c>
      <c r="R22" s="196">
        <v>0.99</v>
      </c>
      <c r="S22"/>
      <c r="T22"/>
    </row>
    <row r="23" spans="1:20" x14ac:dyDescent="0.3">
      <c r="A23" s="196">
        <v>53.27</v>
      </c>
      <c r="B23" s="196">
        <v>0.05</v>
      </c>
      <c r="C23" s="196">
        <v>23.24</v>
      </c>
      <c r="D23" s="8">
        <v>43024.875</v>
      </c>
      <c r="E23" s="196">
        <v>0.31</v>
      </c>
      <c r="F23" s="196" t="s">
        <v>400</v>
      </c>
      <c r="G23" s="196">
        <v>290.88</v>
      </c>
      <c r="H23" s="196">
        <v>0</v>
      </c>
      <c r="I23" s="196">
        <v>0</v>
      </c>
      <c r="J23" s="196">
        <v>1021.19</v>
      </c>
      <c r="K23" s="196" t="s">
        <v>401</v>
      </c>
      <c r="L23" s="196">
        <v>53.27</v>
      </c>
      <c r="M23" s="196">
        <v>1508209200</v>
      </c>
      <c r="N23" s="196">
        <v>0</v>
      </c>
      <c r="O23" s="196">
        <v>3.6</v>
      </c>
      <c r="P23" s="196">
        <v>202</v>
      </c>
      <c r="Q23" s="196">
        <v>3.57</v>
      </c>
      <c r="R23" s="196">
        <v>0.7</v>
      </c>
      <c r="S23"/>
      <c r="T23"/>
    </row>
    <row r="24" spans="1:20" x14ac:dyDescent="0.3">
      <c r="A24" s="196">
        <v>52.69</v>
      </c>
      <c r="B24" s="196">
        <v>0.02</v>
      </c>
      <c r="C24" s="196">
        <v>21.48</v>
      </c>
      <c r="D24" s="8">
        <v>43024.916666666664</v>
      </c>
      <c r="E24" s="196">
        <v>0.28999999999999998</v>
      </c>
      <c r="F24" s="196" t="s">
        <v>400</v>
      </c>
      <c r="G24" s="196">
        <v>290.64999999999998</v>
      </c>
      <c r="H24" s="196">
        <v>0</v>
      </c>
      <c r="I24" s="196">
        <v>0</v>
      </c>
      <c r="J24" s="196">
        <v>1020.99</v>
      </c>
      <c r="K24" s="196" t="s">
        <v>401</v>
      </c>
      <c r="L24" s="196">
        <v>52.69</v>
      </c>
      <c r="M24" s="196">
        <v>1508212800</v>
      </c>
      <c r="N24" s="196">
        <v>0</v>
      </c>
      <c r="O24" s="196">
        <v>3.35</v>
      </c>
      <c r="P24" s="196">
        <v>190</v>
      </c>
      <c r="Q24" s="196">
        <v>4.88</v>
      </c>
      <c r="R24" s="196">
        <v>1.19</v>
      </c>
      <c r="S24"/>
      <c r="T24"/>
    </row>
    <row r="25" spans="1:20" x14ac:dyDescent="0.3">
      <c r="A25" s="196">
        <v>49.66</v>
      </c>
      <c r="B25" s="196">
        <v>0.03</v>
      </c>
      <c r="C25" s="196">
        <v>21.86</v>
      </c>
      <c r="D25" s="8">
        <v>43024.958333333336</v>
      </c>
      <c r="E25" s="196">
        <v>0.33</v>
      </c>
      <c r="F25" s="196" t="s">
        <v>400</v>
      </c>
      <c r="G25" s="196">
        <v>290.19</v>
      </c>
      <c r="H25" s="196">
        <v>0</v>
      </c>
      <c r="I25" s="196">
        <v>0</v>
      </c>
      <c r="J25" s="196">
        <v>1021.11</v>
      </c>
      <c r="K25" s="196" t="s">
        <v>401</v>
      </c>
      <c r="L25" s="196">
        <v>49.66</v>
      </c>
      <c r="M25" s="196">
        <v>1508216400</v>
      </c>
      <c r="N25" s="196">
        <v>0</v>
      </c>
      <c r="O25" s="196">
        <v>2.84</v>
      </c>
      <c r="P25" s="196">
        <v>160</v>
      </c>
      <c r="Q25" s="196">
        <v>3.67</v>
      </c>
      <c r="R25" s="196">
        <v>0.69</v>
      </c>
      <c r="S25"/>
      <c r="T25"/>
    </row>
    <row r="26" spans="1:20" x14ac:dyDescent="0.3">
      <c r="A26" s="196">
        <v>47.37</v>
      </c>
      <c r="B26" s="196">
        <v>0.02</v>
      </c>
      <c r="C26" s="196">
        <v>21.6</v>
      </c>
      <c r="D26" s="8">
        <v>43025</v>
      </c>
      <c r="E26" s="196">
        <v>0.36</v>
      </c>
      <c r="F26" s="196" t="s">
        <v>400</v>
      </c>
      <c r="G26" s="196">
        <v>289.95</v>
      </c>
      <c r="H26" s="196">
        <v>0</v>
      </c>
      <c r="I26" s="196">
        <v>0</v>
      </c>
      <c r="J26" s="196">
        <v>1021.81</v>
      </c>
      <c r="K26" s="196" t="s">
        <v>401</v>
      </c>
      <c r="L26" s="196">
        <v>47.37</v>
      </c>
      <c r="M26" s="196">
        <v>1508220000</v>
      </c>
      <c r="N26" s="196">
        <v>0</v>
      </c>
      <c r="O26" s="196">
        <v>2.78</v>
      </c>
      <c r="P26" s="196">
        <v>167</v>
      </c>
      <c r="Q26" s="196">
        <v>3.79</v>
      </c>
      <c r="R26" s="196">
        <v>0.96</v>
      </c>
      <c r="S26"/>
      <c r="T26"/>
    </row>
    <row r="27" spans="1:20" x14ac:dyDescent="0.3">
      <c r="A27" s="196">
        <v>44.32</v>
      </c>
      <c r="B27" s="196">
        <v>0.03</v>
      </c>
      <c r="C27" s="196">
        <v>22.49</v>
      </c>
      <c r="D27" s="8">
        <v>43025.041666666664</v>
      </c>
      <c r="E27" s="196">
        <v>0.42</v>
      </c>
      <c r="F27" s="196" t="s">
        <v>400</v>
      </c>
      <c r="G27" s="196">
        <v>289.95</v>
      </c>
      <c r="H27" s="196">
        <v>0</v>
      </c>
      <c r="I27" s="196">
        <v>0</v>
      </c>
      <c r="J27" s="196">
        <v>1020.77</v>
      </c>
      <c r="K27" s="196" t="s">
        <v>401</v>
      </c>
      <c r="L27" s="196">
        <v>44.32</v>
      </c>
      <c r="M27" s="196">
        <v>1508223600</v>
      </c>
      <c r="N27" s="196">
        <v>0</v>
      </c>
      <c r="O27" s="196">
        <v>2.57</v>
      </c>
      <c r="P27" s="196">
        <v>174</v>
      </c>
      <c r="Q27" s="196">
        <v>3.22</v>
      </c>
      <c r="R27" s="196">
        <v>1.36</v>
      </c>
      <c r="S27"/>
      <c r="T27"/>
    </row>
    <row r="28" spans="1:20" x14ac:dyDescent="0.3">
      <c r="A28" s="196">
        <v>42.97</v>
      </c>
      <c r="B28" s="196">
        <v>0.02</v>
      </c>
      <c r="C28" s="196">
        <v>21.43</v>
      </c>
      <c r="D28" s="8">
        <v>43025.083333333336</v>
      </c>
      <c r="E28" s="196">
        <v>0.42</v>
      </c>
      <c r="F28" s="196" t="s">
        <v>400</v>
      </c>
      <c r="G28" s="196">
        <v>290.06</v>
      </c>
      <c r="H28" s="196">
        <v>0</v>
      </c>
      <c r="I28" s="196">
        <v>0</v>
      </c>
      <c r="J28" s="196">
        <v>1020.84</v>
      </c>
      <c r="K28" s="196" t="s">
        <v>401</v>
      </c>
      <c r="L28" s="196">
        <v>42.97</v>
      </c>
      <c r="M28" s="196">
        <v>1508227200</v>
      </c>
      <c r="N28" s="196">
        <v>0</v>
      </c>
      <c r="O28" s="196">
        <v>4.08</v>
      </c>
      <c r="P28" s="196">
        <v>188</v>
      </c>
      <c r="Q28" s="196">
        <v>3.36</v>
      </c>
      <c r="R28" s="196">
        <v>1.57</v>
      </c>
      <c r="S28"/>
      <c r="T28"/>
    </row>
    <row r="29" spans="1:20" x14ac:dyDescent="0.3">
      <c r="A29" s="196">
        <v>42.27</v>
      </c>
      <c r="B29" s="196">
        <v>0.02</v>
      </c>
      <c r="C29" s="196">
        <v>20.11</v>
      </c>
      <c r="D29" s="8">
        <v>43025.125</v>
      </c>
      <c r="E29" s="196">
        <v>0.41</v>
      </c>
      <c r="F29" s="196" t="s">
        <v>400</v>
      </c>
      <c r="G29" s="196">
        <v>290.05</v>
      </c>
      <c r="H29" s="196">
        <v>0</v>
      </c>
      <c r="I29" s="196">
        <v>0</v>
      </c>
      <c r="J29" s="196">
        <v>1020.56</v>
      </c>
      <c r="K29" s="196" t="s">
        <v>401</v>
      </c>
      <c r="L29" s="196">
        <v>42.27</v>
      </c>
      <c r="M29" s="196">
        <v>1508230800</v>
      </c>
      <c r="N29" s="196">
        <v>0</v>
      </c>
      <c r="O29" s="196">
        <v>3.33</v>
      </c>
      <c r="P29" s="196">
        <v>194</v>
      </c>
      <c r="Q29" s="196">
        <v>3.51</v>
      </c>
      <c r="R29" s="196">
        <v>1.58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topLeftCell="A9" workbookViewId="0">
      <selection activeCell="C32" sqref="C3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43024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1009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1010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1011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1012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1013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1014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1015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1016</v>
      </c>
      <c r="J25" s="140" t="s">
        <v>144</v>
      </c>
      <c r="M25" s="154" t="b">
        <v>1</v>
      </c>
    </row>
    <row r="26" spans="3:24" x14ac:dyDescent="0.3">
      <c r="C26" t="s">
        <v>1017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%USERPROFILE%\Documents\GitHub\eaglep3-reporting\EC\2017-10-16-refined-times.txt</v>
      </c>
    </row>
    <row r="27" spans="3:24" x14ac:dyDescent="0.3">
      <c r="C27" t="s">
        <v>1018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%USERPROFILE%\Documents\GitHub\eaglep3-reporting\EC\2017-10-16-Enforcements.txt</v>
      </c>
    </row>
    <row r="28" spans="3:24" x14ac:dyDescent="0.3">
      <c r="C28" t="s">
        <v>1019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%USERPROFILE%\Documents\GitHub\eaglep3-reporting\EC\2017-10-16-Runs-refined.txt</v>
      </c>
    </row>
    <row r="29" spans="3:24" x14ac:dyDescent="0.3">
      <c r="C29" t="s">
        <v>1020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%USERPROFILE%\Documents\GitHub\eaglep3-reporting\EC\2017-10-16-Trips.txt</v>
      </c>
    </row>
    <row r="30" spans="3:24" x14ac:dyDescent="0.3">
      <c r="C30" t="s">
        <v>1021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%USERPROFILE%\Documents\GitHub\eaglep3-reporting\EC\2017-10-16-Weather.txt</v>
      </c>
    </row>
    <row r="31" spans="3:24" x14ac:dyDescent="0.3">
      <c r="C31" t="s">
        <v>1022</v>
      </c>
      <c r="J31" s="140" t="s">
        <v>190</v>
      </c>
      <c r="M31" s="154" t="s">
        <v>191</v>
      </c>
    </row>
    <row r="32" spans="3:24" x14ac:dyDescent="0.3">
      <c r="C32" s="20" t="s">
        <v>1028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415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2017-10-17T15:16:30Z</dcterms:modified>
</cp:coreProperties>
</file>