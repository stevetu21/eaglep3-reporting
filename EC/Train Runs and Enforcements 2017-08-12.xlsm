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Enforcements!$A$6:$AC$59</definedName>
    <definedName name="_xlnm._FilterDatabase" localSheetId="2" hidden="1">'Missing Trips'!$A$2:$J$33</definedName>
    <definedName name="_xlnm._FilterDatabase" localSheetId="0" hidden="1">'Train Runs'!$A$12:$AG$256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52" i="1" l="1"/>
  <c r="N52" i="1"/>
  <c r="X176" i="1"/>
  <c r="K175" i="1"/>
  <c r="L175" i="1"/>
  <c r="M175" i="1"/>
  <c r="N175" i="1" s="1"/>
  <c r="V175" i="1"/>
  <c r="AA175" i="1"/>
  <c r="AB175" i="1"/>
  <c r="AC175" i="1"/>
  <c r="AD175" i="1"/>
  <c r="T175" i="1" s="1"/>
  <c r="AE175" i="1"/>
  <c r="AF175" i="1"/>
  <c r="AH175" i="1"/>
  <c r="AM175" i="1"/>
  <c r="AN175" i="1"/>
  <c r="P125" i="1"/>
  <c r="P124" i="1"/>
  <c r="X125" i="1"/>
  <c r="X126" i="1"/>
  <c r="X127" i="1"/>
  <c r="X128" i="1"/>
  <c r="X129" i="1"/>
  <c r="K124" i="1"/>
  <c r="L124" i="1"/>
  <c r="M124" i="1"/>
  <c r="V124" i="1"/>
  <c r="AA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V125" i="1"/>
  <c r="AA125" i="1"/>
  <c r="AB125" i="1"/>
  <c r="AC125" i="1"/>
  <c r="AD125" i="1"/>
  <c r="T125" i="1" s="1"/>
  <c r="AE125" i="1"/>
  <c r="AF125" i="1"/>
  <c r="AH125" i="1"/>
  <c r="AM125" i="1"/>
  <c r="AN125" i="1"/>
  <c r="X85" i="1"/>
  <c r="X86" i="1"/>
  <c r="X87" i="1"/>
  <c r="K38" i="1"/>
  <c r="L38" i="1"/>
  <c r="M38" i="1"/>
  <c r="N38" i="1" s="1"/>
  <c r="V38" i="1"/>
  <c r="AA38" i="1"/>
  <c r="AB38" i="1"/>
  <c r="AC38" i="1"/>
  <c r="AD38" i="1"/>
  <c r="T38" i="1" s="1"/>
  <c r="AE38" i="1"/>
  <c r="AF38" i="1"/>
  <c r="AH38" i="1"/>
  <c r="AM38" i="1"/>
  <c r="AN38" i="1"/>
  <c r="X162" i="1"/>
  <c r="K14" i="1"/>
  <c r="L14" i="1"/>
  <c r="M14" i="1"/>
  <c r="N14" i="1" s="1"/>
  <c r="V14" i="1"/>
  <c r="Y14" i="1"/>
  <c r="Z14" i="1"/>
  <c r="AA14" i="1" s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T15" i="1"/>
  <c r="V15" i="1"/>
  <c r="Y15" i="1"/>
  <c r="AA15" i="1" s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X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A17" i="1" s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T23" i="1"/>
  <c r="V23" i="1"/>
  <c r="Y23" i="1"/>
  <c r="AA23" i="1" s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T31" i="1"/>
  <c r="V31" i="1"/>
  <c r="Y31" i="1"/>
  <c r="Z31" i="1"/>
  <c r="AA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T32" i="1"/>
  <c r="V32" i="1"/>
  <c r="X32" i="1"/>
  <c r="Y32" i="1"/>
  <c r="Z32" i="1"/>
  <c r="AA32" i="1" s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A33" i="1" s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AA35" i="1" s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T40" i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T43" i="1"/>
  <c r="V43" i="1"/>
  <c r="Y43" i="1"/>
  <c r="Z43" i="1"/>
  <c r="AA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X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/>
  <c r="V47" i="1"/>
  <c r="Y47" i="1"/>
  <c r="Z47" i="1"/>
  <c r="AB47" i="1"/>
  <c r="AC47" i="1"/>
  <c r="AD47" i="1"/>
  <c r="X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V52" i="1"/>
  <c r="S9" i="3" s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X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AA69" i="1" s="1"/>
  <c r="Z69" i="1"/>
  <c r="AB69" i="1"/>
  <c r="AC69" i="1"/>
  <c r="AD69" i="1"/>
  <c r="X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T71" i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AM72" i="1"/>
  <c r="AN72" i="1"/>
  <c r="K73" i="1"/>
  <c r="L73" i="1"/>
  <c r="M73" i="1"/>
  <c r="N73" i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AA74" i="1" s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/>
  <c r="V78" i="1"/>
  <c r="Y78" i="1"/>
  <c r="AA78" i="1" s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S20" i="3" s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AE88" i="1"/>
  <c r="AF88" i="1"/>
  <c r="AH88" i="1"/>
  <c r="AM88" i="1"/>
  <c r="AN88" i="1"/>
  <c r="K89" i="1"/>
  <c r="L89" i="1"/>
  <c r="M89" i="1"/>
  <c r="N89" i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AA90" i="1" s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4" i="1"/>
  <c r="AM94" i="1"/>
  <c r="AN94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95" i="1"/>
  <c r="AM95" i="1"/>
  <c r="AN95" i="1"/>
  <c r="K162" i="1"/>
  <c r="L162" i="1"/>
  <c r="M162" i="1"/>
  <c r="N162" i="1" s="1"/>
  <c r="T162" i="1"/>
  <c r="V162" i="1"/>
  <c r="Y162" i="1"/>
  <c r="Z162" i="1"/>
  <c r="AB162" i="1"/>
  <c r="AC162" i="1"/>
  <c r="AD162" i="1"/>
  <c r="AE162" i="1"/>
  <c r="AF162" i="1"/>
  <c r="AH96" i="1"/>
  <c r="AM96" i="1"/>
  <c r="AN96" i="1"/>
  <c r="K163" i="1"/>
  <c r="L163" i="1"/>
  <c r="M163" i="1"/>
  <c r="N163" i="1" s="1"/>
  <c r="T163" i="1"/>
  <c r="V163" i="1"/>
  <c r="Y163" i="1"/>
  <c r="Z163" i="1"/>
  <c r="AB163" i="1"/>
  <c r="AC163" i="1"/>
  <c r="AD163" i="1"/>
  <c r="X163" i="1" s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AN99" i="1"/>
  <c r="K166" i="1"/>
  <c r="L166" i="1"/>
  <c r="M166" i="1"/>
  <c r="N166" i="1" s="1"/>
  <c r="V166" i="1"/>
  <c r="Y166" i="1"/>
  <c r="AA166" i="1" s="1"/>
  <c r="Z166" i="1"/>
  <c r="AB166" i="1"/>
  <c r="AC166" i="1"/>
  <c r="AD166" i="1"/>
  <c r="T166" i="1" s="1"/>
  <c r="AE166" i="1"/>
  <c r="AF166" i="1"/>
  <c r="AH100" i="1"/>
  <c r="AM100" i="1"/>
  <c r="AN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1" i="1"/>
  <c r="AM101" i="1"/>
  <c r="AN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AM102" i="1"/>
  <c r="AN102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03" i="1"/>
  <c r="AM103" i="1"/>
  <c r="AN103" i="1"/>
  <c r="K94" i="1"/>
  <c r="L94" i="1"/>
  <c r="M94" i="1"/>
  <c r="N94" i="1" s="1"/>
  <c r="V94" i="1"/>
  <c r="Y94" i="1"/>
  <c r="AA94" i="1" s="1"/>
  <c r="Z94" i="1"/>
  <c r="AB94" i="1"/>
  <c r="AC94" i="1"/>
  <c r="AD94" i="1"/>
  <c r="T94" i="1" s="1"/>
  <c r="AE94" i="1"/>
  <c r="AF94" i="1"/>
  <c r="AH104" i="1"/>
  <c r="AM104" i="1"/>
  <c r="AN10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5" i="1"/>
  <c r="AM105" i="1"/>
  <c r="AN105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AH109" i="1"/>
  <c r="AM109" i="1"/>
  <c r="AN109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0" i="1"/>
  <c r="AM110" i="1"/>
  <c r="AN11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1" i="1"/>
  <c r="AM111" i="1"/>
  <c r="AN11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2" i="1"/>
  <c r="AM112" i="1"/>
  <c r="AN112" i="1"/>
  <c r="K179" i="1"/>
  <c r="L179" i="1"/>
  <c r="M179" i="1"/>
  <c r="N179" i="1" s="1"/>
  <c r="V179" i="1"/>
  <c r="Y179" i="1"/>
  <c r="Z179" i="1"/>
  <c r="AB179" i="1"/>
  <c r="AC179" i="1"/>
  <c r="AD179" i="1"/>
  <c r="X179" i="1" s="1"/>
  <c r="AE179" i="1"/>
  <c r="AF179" i="1"/>
  <c r="AH113" i="1"/>
  <c r="AM113" i="1"/>
  <c r="AN113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14" i="1"/>
  <c r="AM114" i="1"/>
  <c r="AN114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5" i="1"/>
  <c r="AM115" i="1"/>
  <c r="AN115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6" i="1"/>
  <c r="AM116" i="1"/>
  <c r="AN116" i="1"/>
  <c r="K182" i="1"/>
  <c r="L182" i="1"/>
  <c r="M182" i="1"/>
  <c r="N182" i="1" s="1"/>
  <c r="T182" i="1"/>
  <c r="V182" i="1"/>
  <c r="Y182" i="1"/>
  <c r="Z182" i="1"/>
  <c r="AA182" i="1" s="1"/>
  <c r="AB182" i="1"/>
  <c r="AC182" i="1"/>
  <c r="AD182" i="1"/>
  <c r="X182" i="1" s="1"/>
  <c r="AE182" i="1"/>
  <c r="AF182" i="1"/>
  <c r="AH117" i="1"/>
  <c r="AM117" i="1"/>
  <c r="AN117" i="1"/>
  <c r="K183" i="1"/>
  <c r="L183" i="1"/>
  <c r="M183" i="1"/>
  <c r="N183" i="1"/>
  <c r="V183" i="1"/>
  <c r="Y183" i="1"/>
  <c r="Z183" i="1"/>
  <c r="AB183" i="1"/>
  <c r="AC183" i="1"/>
  <c r="AD183" i="1"/>
  <c r="AE183" i="1"/>
  <c r="AF183" i="1"/>
  <c r="AH118" i="1"/>
  <c r="AM118" i="1"/>
  <c r="AN118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19" i="1"/>
  <c r="AM119" i="1"/>
  <c r="AN119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0" i="1"/>
  <c r="AM120" i="1"/>
  <c r="AN120" i="1"/>
  <c r="K186" i="1"/>
  <c r="L186" i="1"/>
  <c r="M186" i="1"/>
  <c r="N186" i="1" s="1"/>
  <c r="V186" i="1"/>
  <c r="Y186" i="1"/>
  <c r="Z186" i="1"/>
  <c r="AB186" i="1"/>
  <c r="AC186" i="1"/>
  <c r="AD186" i="1"/>
  <c r="X186" i="1" s="1"/>
  <c r="AE186" i="1"/>
  <c r="AF186" i="1"/>
  <c r="AH121" i="1"/>
  <c r="AM121" i="1"/>
  <c r="AN121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2" i="1"/>
  <c r="AM122" i="1"/>
  <c r="AN122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3" i="1"/>
  <c r="AM123" i="1"/>
  <c r="AN123" i="1"/>
  <c r="K189" i="1"/>
  <c r="L189" i="1"/>
  <c r="M189" i="1"/>
  <c r="N189" i="1" s="1"/>
  <c r="V189" i="1"/>
  <c r="Y189" i="1"/>
  <c r="Z189" i="1"/>
  <c r="AA189" i="1" s="1"/>
  <c r="AB189" i="1"/>
  <c r="AC189" i="1"/>
  <c r="AD189" i="1"/>
  <c r="T189" i="1" s="1"/>
  <c r="AE189" i="1"/>
  <c r="AF189" i="1"/>
  <c r="AH126" i="1"/>
  <c r="AM126" i="1"/>
  <c r="AN126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27" i="1"/>
  <c r="AM127" i="1"/>
  <c r="AN127" i="1"/>
  <c r="K190" i="1"/>
  <c r="L190" i="1"/>
  <c r="M190" i="1"/>
  <c r="N190" i="1" s="1"/>
  <c r="V190" i="1"/>
  <c r="Y190" i="1"/>
  <c r="Z190" i="1"/>
  <c r="AA190" i="1" s="1"/>
  <c r="AB190" i="1"/>
  <c r="AC190" i="1"/>
  <c r="AD190" i="1"/>
  <c r="AE190" i="1"/>
  <c r="AF190" i="1"/>
  <c r="AH128" i="1"/>
  <c r="AM128" i="1"/>
  <c r="AN128" i="1"/>
  <c r="K191" i="1"/>
  <c r="L191" i="1"/>
  <c r="M191" i="1"/>
  <c r="N191" i="1"/>
  <c r="V191" i="1"/>
  <c r="Y191" i="1"/>
  <c r="Z191" i="1"/>
  <c r="AB191" i="1"/>
  <c r="AC191" i="1"/>
  <c r="AD191" i="1"/>
  <c r="AE191" i="1"/>
  <c r="AF191" i="1"/>
  <c r="AH129" i="1"/>
  <c r="AM129" i="1"/>
  <c r="AN129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30" i="1"/>
  <c r="AM130" i="1"/>
  <c r="AN130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1" i="1"/>
  <c r="AM131" i="1"/>
  <c r="AN131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R16" i="3" s="1"/>
  <c r="AF97" i="1"/>
  <c r="AH132" i="1"/>
  <c r="AM132" i="1"/>
  <c r="AN132" i="1"/>
  <c r="K98" i="1"/>
  <c r="L98" i="1"/>
  <c r="M98" i="1"/>
  <c r="N98" i="1"/>
  <c r="V98" i="1"/>
  <c r="Y98" i="1"/>
  <c r="Z98" i="1"/>
  <c r="AA98" i="1"/>
  <c r="AB98" i="1"/>
  <c r="AC98" i="1"/>
  <c r="AD98" i="1"/>
  <c r="T98" i="1" s="1"/>
  <c r="AE98" i="1"/>
  <c r="AF98" i="1"/>
  <c r="AH133" i="1"/>
  <c r="AM133" i="1"/>
  <c r="AN133" i="1"/>
  <c r="K99" i="1"/>
  <c r="L99" i="1"/>
  <c r="M99" i="1"/>
  <c r="N99" i="1" s="1"/>
  <c r="T99" i="1"/>
  <c r="V99" i="1"/>
  <c r="Y99" i="1"/>
  <c r="Z99" i="1"/>
  <c r="AB99" i="1"/>
  <c r="AC99" i="1"/>
  <c r="AD99" i="1"/>
  <c r="AE99" i="1"/>
  <c r="AF99" i="1"/>
  <c r="AH134" i="1"/>
  <c r="AM134" i="1"/>
  <c r="AN134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5" i="1"/>
  <c r="AM135" i="1"/>
  <c r="AN135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6" i="1"/>
  <c r="AM136" i="1"/>
  <c r="AN136" i="1"/>
  <c r="K102" i="1"/>
  <c r="L102" i="1"/>
  <c r="M102" i="1"/>
  <c r="N102" i="1"/>
  <c r="T102" i="1"/>
  <c r="V102" i="1"/>
  <c r="Y102" i="1"/>
  <c r="Z102" i="1"/>
  <c r="AA102" i="1" s="1"/>
  <c r="AB102" i="1"/>
  <c r="AC102" i="1"/>
  <c r="AD102" i="1"/>
  <c r="X102" i="1" s="1"/>
  <c r="AE102" i="1"/>
  <c r="AF102" i="1"/>
  <c r="AH137" i="1"/>
  <c r="AM137" i="1"/>
  <c r="AN137" i="1"/>
  <c r="K103" i="1"/>
  <c r="L103" i="1"/>
  <c r="M103" i="1"/>
  <c r="N103" i="1" s="1"/>
  <c r="V103" i="1"/>
  <c r="Y103" i="1"/>
  <c r="Z103" i="1"/>
  <c r="AB103" i="1"/>
  <c r="AC103" i="1"/>
  <c r="AD103" i="1"/>
  <c r="X103" i="1" s="1"/>
  <c r="AE103" i="1"/>
  <c r="AF103" i="1"/>
  <c r="AH138" i="1"/>
  <c r="AM138" i="1"/>
  <c r="AN138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0" i="1"/>
  <c r="AM140" i="1"/>
  <c r="AN140" i="1"/>
  <c r="K105" i="1"/>
  <c r="L105" i="1"/>
  <c r="M105" i="1"/>
  <c r="N105" i="1" s="1"/>
  <c r="V105" i="1"/>
  <c r="S10" i="3" s="1"/>
  <c r="Y105" i="1"/>
  <c r="Z105" i="1"/>
  <c r="AA105" i="1" s="1"/>
  <c r="AB105" i="1"/>
  <c r="AC105" i="1"/>
  <c r="AD105" i="1"/>
  <c r="AE105" i="1"/>
  <c r="R10" i="3" s="1"/>
  <c r="AF105" i="1"/>
  <c r="AH141" i="1"/>
  <c r="AM141" i="1"/>
  <c r="AN141" i="1"/>
  <c r="K106" i="1"/>
  <c r="L106" i="1"/>
  <c r="M106" i="1"/>
  <c r="N106" i="1" s="1"/>
  <c r="V106" i="1"/>
  <c r="Y106" i="1"/>
  <c r="AA106" i="1" s="1"/>
  <c r="Z106" i="1"/>
  <c r="AB106" i="1"/>
  <c r="AC106" i="1"/>
  <c r="AD106" i="1"/>
  <c r="T106" i="1" s="1"/>
  <c r="AE106" i="1"/>
  <c r="AF10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5" i="1"/>
  <c r="AM145" i="1"/>
  <c r="AN145" i="1"/>
  <c r="K110" i="1"/>
  <c r="L110" i="1"/>
  <c r="M110" i="1"/>
  <c r="N110" i="1" s="1"/>
  <c r="V110" i="1"/>
  <c r="Y110" i="1"/>
  <c r="AA110" i="1" s="1"/>
  <c r="Z110" i="1"/>
  <c r="AB110" i="1"/>
  <c r="AC110" i="1"/>
  <c r="AD110" i="1"/>
  <c r="T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8" i="1"/>
  <c r="AM148" i="1"/>
  <c r="AN148" i="1"/>
  <c r="K113" i="1"/>
  <c r="L113" i="1"/>
  <c r="M113" i="1"/>
  <c r="N113" i="1" s="1"/>
  <c r="V113" i="1"/>
  <c r="Y113" i="1"/>
  <c r="AA113" i="1" s="1"/>
  <c r="Z113" i="1"/>
  <c r="AB113" i="1"/>
  <c r="AC113" i="1"/>
  <c r="AD113" i="1"/>
  <c r="T113" i="1" s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X117" i="1" s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8" i="1"/>
  <c r="AM158" i="1"/>
  <c r="AN158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59" i="1"/>
  <c r="AM159" i="1"/>
  <c r="AN159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0" i="1"/>
  <c r="AM160" i="1"/>
  <c r="AN160" i="1"/>
  <c r="K128" i="1"/>
  <c r="L128" i="1"/>
  <c r="M128" i="1"/>
  <c r="N128" i="1" s="1"/>
  <c r="V128" i="1"/>
  <c r="Y128" i="1"/>
  <c r="Z128" i="1"/>
  <c r="AA128" i="1" s="1"/>
  <c r="AB128" i="1"/>
  <c r="AC128" i="1"/>
  <c r="AD128" i="1"/>
  <c r="T128" i="1" s="1"/>
  <c r="AE128" i="1"/>
  <c r="R31" i="3" s="1"/>
  <c r="AF128" i="1"/>
  <c r="AH161" i="1"/>
  <c r="AM161" i="1"/>
  <c r="AN161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2" i="1"/>
  <c r="AM162" i="1"/>
  <c r="AN162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3" i="1"/>
  <c r="AM163" i="1"/>
  <c r="AN163" i="1"/>
  <c r="K131" i="1"/>
  <c r="L131" i="1"/>
  <c r="M131" i="1"/>
  <c r="N131" i="1"/>
  <c r="V131" i="1"/>
  <c r="Y131" i="1"/>
  <c r="Z131" i="1"/>
  <c r="AB131" i="1"/>
  <c r="AC131" i="1"/>
  <c r="AD131" i="1"/>
  <c r="AE131" i="1"/>
  <c r="AF131" i="1"/>
  <c r="AH164" i="1"/>
  <c r="AM164" i="1"/>
  <c r="AN164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5" i="1"/>
  <c r="AM165" i="1"/>
  <c r="AN165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66" i="1"/>
  <c r="AM166" i="1"/>
  <c r="AN166" i="1"/>
  <c r="K134" i="1"/>
  <c r="L134" i="1"/>
  <c r="M134" i="1"/>
  <c r="N134" i="1" s="1"/>
  <c r="V134" i="1"/>
  <c r="Y134" i="1"/>
  <c r="Z134" i="1"/>
  <c r="AB134" i="1"/>
  <c r="AC134" i="1"/>
  <c r="AD134" i="1"/>
  <c r="X134" i="1" s="1"/>
  <c r="AE134" i="1"/>
  <c r="AF134" i="1"/>
  <c r="AH167" i="1"/>
  <c r="AM167" i="1"/>
  <c r="AN167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68" i="1"/>
  <c r="AM168" i="1"/>
  <c r="AN168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69" i="1"/>
  <c r="AM169" i="1"/>
  <c r="AN169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70" i="1"/>
  <c r="AM170" i="1"/>
  <c r="AN170" i="1"/>
  <c r="K138" i="1"/>
  <c r="L138" i="1"/>
  <c r="M138" i="1"/>
  <c r="N138" i="1" s="1"/>
  <c r="T138" i="1"/>
  <c r="V138" i="1"/>
  <c r="Y138" i="1"/>
  <c r="Z138" i="1"/>
  <c r="AA138" i="1" s="1"/>
  <c r="AB138" i="1"/>
  <c r="AC138" i="1"/>
  <c r="AD138" i="1"/>
  <c r="AE138" i="1"/>
  <c r="AF138" i="1"/>
  <c r="AH171" i="1"/>
  <c r="AM171" i="1"/>
  <c r="AN171" i="1"/>
  <c r="K139" i="1"/>
  <c r="L139" i="1"/>
  <c r="M139" i="1"/>
  <c r="N139" i="1"/>
  <c r="V139" i="1"/>
  <c r="Y139" i="1"/>
  <c r="Z139" i="1"/>
  <c r="AB139" i="1"/>
  <c r="AC139" i="1"/>
  <c r="AD139" i="1"/>
  <c r="AE139" i="1"/>
  <c r="AF139" i="1"/>
  <c r="AH172" i="1"/>
  <c r="AM172" i="1"/>
  <c r="AN172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3" i="1"/>
  <c r="AM173" i="1"/>
  <c r="AN173" i="1"/>
  <c r="K141" i="1"/>
  <c r="L141" i="1"/>
  <c r="M141" i="1"/>
  <c r="N141" i="1" s="1"/>
  <c r="V141" i="1"/>
  <c r="Y141" i="1"/>
  <c r="AA141" i="1" s="1"/>
  <c r="Z141" i="1"/>
  <c r="AB141" i="1"/>
  <c r="AC141" i="1"/>
  <c r="AD141" i="1"/>
  <c r="T141" i="1" s="1"/>
  <c r="AE141" i="1"/>
  <c r="AF141" i="1"/>
  <c r="AH174" i="1"/>
  <c r="AM174" i="1"/>
  <c r="AN174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6" i="1"/>
  <c r="AM176" i="1"/>
  <c r="AN176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77" i="1"/>
  <c r="AM177" i="1"/>
  <c r="AN177" i="1"/>
  <c r="K144" i="1"/>
  <c r="L144" i="1"/>
  <c r="M144" i="1"/>
  <c r="N144" i="1" s="1"/>
  <c r="V144" i="1"/>
  <c r="Y144" i="1"/>
  <c r="AA144" i="1" s="1"/>
  <c r="Z144" i="1"/>
  <c r="AB144" i="1"/>
  <c r="AC144" i="1"/>
  <c r="AD144" i="1"/>
  <c r="T144" i="1" s="1"/>
  <c r="AE144" i="1"/>
  <c r="AF144" i="1"/>
  <c r="AH178" i="1"/>
  <c r="AM178" i="1"/>
  <c r="AN178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79" i="1"/>
  <c r="AM179" i="1"/>
  <c r="AN179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80" i="1"/>
  <c r="AM180" i="1"/>
  <c r="AN180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82" i="1"/>
  <c r="AM182" i="1"/>
  <c r="AN182" i="1"/>
  <c r="K149" i="1"/>
  <c r="L149" i="1"/>
  <c r="M149" i="1"/>
  <c r="N149" i="1" s="1"/>
  <c r="V149" i="1"/>
  <c r="Y149" i="1"/>
  <c r="Z149" i="1"/>
  <c r="AB149" i="1"/>
  <c r="AC149" i="1"/>
  <c r="AD149" i="1"/>
  <c r="X149" i="1" s="1"/>
  <c r="AE149" i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4" i="1"/>
  <c r="AM184" i="1"/>
  <c r="AN184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5" i="1"/>
  <c r="AM185" i="1"/>
  <c r="AN185" i="1"/>
  <c r="K152" i="1"/>
  <c r="L152" i="1"/>
  <c r="M152" i="1"/>
  <c r="N152" i="1" s="1"/>
  <c r="V152" i="1"/>
  <c r="Y152" i="1"/>
  <c r="Z152" i="1"/>
  <c r="AA152" i="1" s="1"/>
  <c r="AB152" i="1"/>
  <c r="AC152" i="1"/>
  <c r="AD152" i="1"/>
  <c r="T152" i="1" s="1"/>
  <c r="AE152" i="1"/>
  <c r="AF152" i="1"/>
  <c r="AH186" i="1"/>
  <c r="AM186" i="1"/>
  <c r="AN186" i="1"/>
  <c r="K153" i="1"/>
  <c r="L153" i="1"/>
  <c r="M153" i="1"/>
  <c r="N153" i="1" s="1"/>
  <c r="V153" i="1"/>
  <c r="Y153" i="1"/>
  <c r="AA153" i="1" s="1"/>
  <c r="Z153" i="1"/>
  <c r="AB153" i="1"/>
  <c r="AC153" i="1"/>
  <c r="AD153" i="1"/>
  <c r="T153" i="1" s="1"/>
  <c r="AE153" i="1"/>
  <c r="AF153" i="1"/>
  <c r="AH187" i="1"/>
  <c r="AM187" i="1"/>
  <c r="AN187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88" i="1"/>
  <c r="AM188" i="1"/>
  <c r="AN188" i="1"/>
  <c r="K155" i="1"/>
  <c r="L155" i="1"/>
  <c r="M155" i="1"/>
  <c r="N155" i="1"/>
  <c r="V155" i="1"/>
  <c r="Y155" i="1"/>
  <c r="Z155" i="1"/>
  <c r="AB155" i="1"/>
  <c r="AC155" i="1"/>
  <c r="AD155" i="1"/>
  <c r="AE155" i="1"/>
  <c r="AF155" i="1"/>
  <c r="AH189" i="1"/>
  <c r="AM189" i="1"/>
  <c r="AN189" i="1"/>
  <c r="K156" i="1"/>
  <c r="L156" i="1"/>
  <c r="M156" i="1"/>
  <c r="N156" i="1" s="1"/>
  <c r="V156" i="1"/>
  <c r="Y156" i="1"/>
  <c r="AA156" i="1" s="1"/>
  <c r="Z156" i="1"/>
  <c r="AB156" i="1"/>
  <c r="AC156" i="1"/>
  <c r="AD156" i="1"/>
  <c r="T156" i="1" s="1"/>
  <c r="AE156" i="1"/>
  <c r="R34" i="3" s="1"/>
  <c r="AF156" i="1"/>
  <c r="AH190" i="1"/>
  <c r="AM190" i="1"/>
  <c r="AN190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91" i="1"/>
  <c r="AM191" i="1"/>
  <c r="AN191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2" i="1"/>
  <c r="AM192" i="1"/>
  <c r="AN192" i="1"/>
  <c r="AH193" i="1"/>
  <c r="AM193" i="1"/>
  <c r="AN193" i="1"/>
  <c r="K159" i="1"/>
  <c r="L159" i="1"/>
  <c r="M159" i="1"/>
  <c r="N159" i="1" s="1"/>
  <c r="V159" i="1"/>
  <c r="S18" i="3" s="1"/>
  <c r="Y159" i="1"/>
  <c r="Z159" i="1"/>
  <c r="AA159" i="1" s="1"/>
  <c r="AB159" i="1"/>
  <c r="AC159" i="1"/>
  <c r="AD159" i="1"/>
  <c r="T159" i="1" s="1"/>
  <c r="AE159" i="1"/>
  <c r="R18" i="3" s="1"/>
  <c r="AF159" i="1"/>
  <c r="AH194" i="1"/>
  <c r="AM194" i="1"/>
  <c r="AN194" i="1"/>
  <c r="K194" i="1"/>
  <c r="L194" i="1"/>
  <c r="M194" i="1"/>
  <c r="N194" i="1" s="1"/>
  <c r="V194" i="1"/>
  <c r="Y194" i="1"/>
  <c r="AA194" i="1" s="1"/>
  <c r="Z194" i="1"/>
  <c r="AB194" i="1"/>
  <c r="AC194" i="1"/>
  <c r="AD194" i="1"/>
  <c r="T194" i="1" s="1"/>
  <c r="AE194" i="1"/>
  <c r="AF194" i="1"/>
  <c r="AH195" i="1"/>
  <c r="AM195" i="1"/>
  <c r="AN19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6" i="1"/>
  <c r="AM196" i="1"/>
  <c r="AN196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7" i="1"/>
  <c r="AM197" i="1"/>
  <c r="AN197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198" i="1"/>
  <c r="AM198" i="1"/>
  <c r="AN198" i="1"/>
  <c r="K198" i="1"/>
  <c r="L198" i="1"/>
  <c r="M198" i="1"/>
  <c r="N198" i="1" s="1"/>
  <c r="V198" i="1"/>
  <c r="X198" i="1"/>
  <c r="Y198" i="1"/>
  <c r="Z198" i="1"/>
  <c r="AB198" i="1"/>
  <c r="AC198" i="1"/>
  <c r="AD198" i="1"/>
  <c r="T198" i="1" s="1"/>
  <c r="AE198" i="1"/>
  <c r="AF198" i="1"/>
  <c r="AH199" i="1"/>
  <c r="AM199" i="1"/>
  <c r="AN19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0" i="1"/>
  <c r="AM200" i="1"/>
  <c r="AN200" i="1"/>
  <c r="K200" i="1"/>
  <c r="L200" i="1"/>
  <c r="M200" i="1"/>
  <c r="N200" i="1"/>
  <c r="V200" i="1"/>
  <c r="Y200" i="1"/>
  <c r="Z200" i="1"/>
  <c r="AB200" i="1"/>
  <c r="AC200" i="1"/>
  <c r="AD200" i="1"/>
  <c r="AE200" i="1"/>
  <c r="AF200" i="1"/>
  <c r="AH201" i="1"/>
  <c r="AM201" i="1"/>
  <c r="AN20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2" i="1"/>
  <c r="AM202" i="1"/>
  <c r="AN20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3" i="1"/>
  <c r="AM203" i="1"/>
  <c r="AN203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4" i="1"/>
  <c r="AM204" i="1"/>
  <c r="AN204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5" i="1"/>
  <c r="AM205" i="1"/>
  <c r="AN205" i="1"/>
  <c r="K205" i="1"/>
  <c r="L205" i="1"/>
  <c r="M205" i="1"/>
  <c r="N205" i="1" s="1"/>
  <c r="T205" i="1"/>
  <c r="V205" i="1"/>
  <c r="Y205" i="1"/>
  <c r="AA205" i="1" s="1"/>
  <c r="Z205" i="1"/>
  <c r="AB205" i="1"/>
  <c r="AC205" i="1"/>
  <c r="AD205" i="1"/>
  <c r="AE205" i="1"/>
  <c r="AF205" i="1"/>
  <c r="AH206" i="1"/>
  <c r="AM206" i="1"/>
  <c r="AN206" i="1"/>
  <c r="K206" i="1"/>
  <c r="L206" i="1"/>
  <c r="M206" i="1"/>
  <c r="N206" i="1" s="1"/>
  <c r="T206" i="1"/>
  <c r="V206" i="1"/>
  <c r="X206" i="1"/>
  <c r="Y206" i="1"/>
  <c r="Z206" i="1"/>
  <c r="AB206" i="1"/>
  <c r="AC206" i="1"/>
  <c r="AD206" i="1"/>
  <c r="AE206" i="1"/>
  <c r="AF206" i="1"/>
  <c r="AH207" i="1"/>
  <c r="AM207" i="1"/>
  <c r="AN207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8" i="1"/>
  <c r="AM208" i="1"/>
  <c r="AN20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09" i="1"/>
  <c r="AM209" i="1"/>
  <c r="AN20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M19" i="3"/>
  <c r="R19" i="3"/>
  <c r="S19" i="3"/>
  <c r="U19" i="3"/>
  <c r="T19" i="3" s="1"/>
  <c r="V19" i="3"/>
  <c r="X19" i="3"/>
  <c r="M35" i="3"/>
  <c r="R35" i="3"/>
  <c r="S35" i="3"/>
  <c r="U35" i="3"/>
  <c r="AC35" i="3" s="1"/>
  <c r="V35" i="3"/>
  <c r="X35" i="3"/>
  <c r="M17" i="3"/>
  <c r="R17" i="3"/>
  <c r="S17" i="3"/>
  <c r="U17" i="3"/>
  <c r="AC17" i="3" s="1"/>
  <c r="V17" i="3"/>
  <c r="X17" i="3"/>
  <c r="M37" i="3"/>
  <c r="R37" i="3"/>
  <c r="S37" i="3"/>
  <c r="T37" i="3"/>
  <c r="U37" i="3"/>
  <c r="AC37" i="3" s="1"/>
  <c r="V37" i="3"/>
  <c r="X37" i="3"/>
  <c r="M15" i="3"/>
  <c r="R15" i="3"/>
  <c r="S15" i="3"/>
  <c r="U15" i="3"/>
  <c r="T15" i="3" s="1"/>
  <c r="V15" i="3"/>
  <c r="X15" i="3"/>
  <c r="M9" i="3"/>
  <c r="R9" i="3"/>
  <c r="U9" i="3"/>
  <c r="V9" i="3"/>
  <c r="X9" i="3"/>
  <c r="AC9" i="3"/>
  <c r="M8" i="3"/>
  <c r="R8" i="3"/>
  <c r="S8" i="3"/>
  <c r="U8" i="3"/>
  <c r="AC8" i="3" s="1"/>
  <c r="V8" i="3"/>
  <c r="X8" i="3"/>
  <c r="M26" i="3"/>
  <c r="R26" i="3"/>
  <c r="S26" i="3"/>
  <c r="U26" i="3"/>
  <c r="AC26" i="3" s="1"/>
  <c r="V26" i="3"/>
  <c r="AE15" i="3" s="1"/>
  <c r="X26" i="3"/>
  <c r="M27" i="3"/>
  <c r="R27" i="3"/>
  <c r="S27" i="3"/>
  <c r="U27" i="3"/>
  <c r="T27" i="3" s="1"/>
  <c r="V27" i="3"/>
  <c r="X27" i="3"/>
  <c r="M20" i="3"/>
  <c r="R20" i="3"/>
  <c r="U20" i="3"/>
  <c r="AD17" i="3" s="1"/>
  <c r="V20" i="3"/>
  <c r="X20" i="3"/>
  <c r="M13" i="3"/>
  <c r="R13" i="3"/>
  <c r="S13" i="3"/>
  <c r="U13" i="3"/>
  <c r="AC13" i="3" s="1"/>
  <c r="V13" i="3"/>
  <c r="X13" i="3"/>
  <c r="M28" i="3"/>
  <c r="R28" i="3"/>
  <c r="S28" i="3"/>
  <c r="U28" i="3"/>
  <c r="AC28" i="3" s="1"/>
  <c r="V28" i="3"/>
  <c r="X28" i="3"/>
  <c r="AD19" i="3"/>
  <c r="M29" i="3"/>
  <c r="R29" i="3"/>
  <c r="S29" i="3"/>
  <c r="U29" i="3"/>
  <c r="T29" i="3" s="1"/>
  <c r="V29" i="3"/>
  <c r="X29" i="3"/>
  <c r="M12" i="3"/>
  <c r="R12" i="3"/>
  <c r="S12" i="3"/>
  <c r="U12" i="3"/>
  <c r="V12" i="3"/>
  <c r="X12" i="3"/>
  <c r="M16" i="3"/>
  <c r="S16" i="3"/>
  <c r="U16" i="3"/>
  <c r="AC16" i="3" s="1"/>
  <c r="V16" i="3"/>
  <c r="X16" i="3"/>
  <c r="M21" i="3"/>
  <c r="R21" i="3"/>
  <c r="S21" i="3"/>
  <c r="U21" i="3"/>
  <c r="AC21" i="3" s="1"/>
  <c r="V21" i="3"/>
  <c r="X21" i="3"/>
  <c r="M10" i="3"/>
  <c r="U10" i="3"/>
  <c r="T10" i="3" s="1"/>
  <c r="V10" i="3"/>
  <c r="X10" i="3"/>
  <c r="AD24" i="3"/>
  <c r="M7" i="3"/>
  <c r="R7" i="3"/>
  <c r="S7" i="3"/>
  <c r="U7" i="3"/>
  <c r="V7" i="3"/>
  <c r="X7" i="3"/>
  <c r="M22" i="3"/>
  <c r="U22" i="3"/>
  <c r="AC22" i="3" s="1"/>
  <c r="V22" i="3"/>
  <c r="X22" i="3"/>
  <c r="M30" i="3"/>
  <c r="R30" i="3"/>
  <c r="S30" i="3"/>
  <c r="U30" i="3"/>
  <c r="AC30" i="3" s="1"/>
  <c r="V30" i="3"/>
  <c r="AE27" i="3" s="1"/>
  <c r="X30" i="3"/>
  <c r="AD27" i="3"/>
  <c r="M14" i="3"/>
  <c r="R14" i="3"/>
  <c r="S14" i="3"/>
  <c r="U14" i="3"/>
  <c r="T14" i="3" s="1"/>
  <c r="V14" i="3"/>
  <c r="X14" i="3"/>
  <c r="AD28" i="3"/>
  <c r="M23" i="3"/>
  <c r="R23" i="3"/>
  <c r="S23" i="3"/>
  <c r="U23" i="3"/>
  <c r="AD29" i="3" s="1"/>
  <c r="V23" i="3"/>
  <c r="X23" i="3"/>
  <c r="M11" i="3"/>
  <c r="R11" i="3"/>
  <c r="S11" i="3"/>
  <c r="U11" i="3"/>
  <c r="AC11" i="3" s="1"/>
  <c r="V11" i="3"/>
  <c r="X11" i="3"/>
  <c r="M31" i="3"/>
  <c r="S31" i="3"/>
  <c r="U31" i="3"/>
  <c r="AC31" i="3" s="1"/>
  <c r="V31" i="3"/>
  <c r="X31" i="3"/>
  <c r="M24" i="3"/>
  <c r="R24" i="3"/>
  <c r="S24" i="3"/>
  <c r="T24" i="3"/>
  <c r="U24" i="3"/>
  <c r="V24" i="3"/>
  <c r="X24" i="3"/>
  <c r="AC24" i="3"/>
  <c r="M25" i="3"/>
  <c r="R25" i="3"/>
  <c r="S25" i="3"/>
  <c r="U25" i="3"/>
  <c r="V25" i="3"/>
  <c r="X25" i="3"/>
  <c r="M32" i="3"/>
  <c r="R32" i="3"/>
  <c r="S32" i="3"/>
  <c r="U32" i="3"/>
  <c r="AC32" i="3" s="1"/>
  <c r="V32" i="3"/>
  <c r="X32" i="3"/>
  <c r="M33" i="3"/>
  <c r="R33" i="3"/>
  <c r="S33" i="3"/>
  <c r="U33" i="3"/>
  <c r="AC33" i="3" s="1"/>
  <c r="V33" i="3"/>
  <c r="X33" i="3"/>
  <c r="AE35" i="3"/>
  <c r="M34" i="3"/>
  <c r="S34" i="3"/>
  <c r="U34" i="3"/>
  <c r="T34" i="3" s="1"/>
  <c r="V34" i="3"/>
  <c r="X34" i="3"/>
  <c r="M18" i="3"/>
  <c r="U18" i="3"/>
  <c r="AD37" i="3" s="1"/>
  <c r="V18" i="3"/>
  <c r="X18" i="3"/>
  <c r="AG175" i="1"/>
  <c r="AG125" i="1"/>
  <c r="AG124" i="1"/>
  <c r="AG38" i="1"/>
  <c r="AG16" i="1"/>
  <c r="AG27" i="1"/>
  <c r="AG34" i="1"/>
  <c r="AG65" i="1"/>
  <c r="AG45" i="1"/>
  <c r="AG75" i="1"/>
  <c r="AG63" i="1"/>
  <c r="AG189" i="1"/>
  <c r="AG188" i="1"/>
  <c r="AG161" i="1"/>
  <c r="AG210" i="1"/>
  <c r="AG153" i="1"/>
  <c r="AG101" i="1"/>
  <c r="AG159" i="1"/>
  <c r="AG204" i="1"/>
  <c r="AG112" i="1"/>
  <c r="AG213" i="1"/>
  <c r="AG146" i="1"/>
  <c r="AG142" i="1"/>
  <c r="AG20" i="1"/>
  <c r="AG15" i="1"/>
  <c r="AG31" i="1"/>
  <c r="AG22" i="1"/>
  <c r="AG39" i="1"/>
  <c r="AG21" i="1"/>
  <c r="AG42" i="1"/>
  <c r="AG69" i="1"/>
  <c r="AG25" i="1"/>
  <c r="AG50" i="1"/>
  <c r="AG46" i="1"/>
  <c r="AG37" i="1"/>
  <c r="AG79" i="1"/>
  <c r="AG76" i="1"/>
  <c r="AG89" i="1"/>
  <c r="AG71" i="1"/>
  <c r="AG80" i="1"/>
  <c r="AG162" i="1"/>
  <c r="AG178" i="1"/>
  <c r="AG66" i="1"/>
  <c r="AG85" i="1"/>
  <c r="AG177" i="1"/>
  <c r="AG191" i="1"/>
  <c r="AG109" i="1"/>
  <c r="AG52" i="1"/>
  <c r="AG164" i="1"/>
  <c r="AG95" i="1"/>
  <c r="AG163" i="1"/>
  <c r="AG104" i="1"/>
  <c r="AG123" i="1"/>
  <c r="AG141" i="1"/>
  <c r="AG157" i="1"/>
  <c r="AG206" i="1"/>
  <c r="AG186" i="1"/>
  <c r="AG114" i="1"/>
  <c r="AG132" i="1"/>
  <c r="AG148" i="1"/>
  <c r="AG197" i="1"/>
  <c r="AG214" i="1"/>
  <c r="AG217" i="1"/>
  <c r="AG170" i="1"/>
  <c r="AG97" i="1"/>
  <c r="AG127" i="1"/>
  <c r="AG143" i="1"/>
  <c r="AG106" i="1"/>
  <c r="AG96" i="1"/>
  <c r="AG195" i="1"/>
  <c r="AG158" i="1"/>
  <c r="AG203" i="1"/>
  <c r="AG150" i="1"/>
  <c r="AG72" i="1"/>
  <c r="AG113" i="1"/>
  <c r="AG183" i="1"/>
  <c r="AG129" i="1"/>
  <c r="AG194" i="1"/>
  <c r="AG99" i="1"/>
  <c r="AG136" i="1"/>
  <c r="AG201" i="1"/>
  <c r="AG107" i="1"/>
  <c r="AG110" i="1"/>
  <c r="AG196" i="1"/>
  <c r="AG190" i="1"/>
  <c r="AG207" i="1"/>
  <c r="AG199" i="1"/>
  <c r="AG28" i="1"/>
  <c r="AG23" i="1"/>
  <c r="AG14" i="1"/>
  <c r="AG30" i="1"/>
  <c r="AG47" i="1"/>
  <c r="AG40" i="1"/>
  <c r="AG61" i="1"/>
  <c r="AG77" i="1"/>
  <c r="AG48" i="1"/>
  <c r="AG44" i="1"/>
  <c r="AG58" i="1"/>
  <c r="AG56" i="1"/>
  <c r="AG74" i="1"/>
  <c r="AG82" i="1"/>
  <c r="AG60" i="1"/>
  <c r="AG36" i="1"/>
  <c r="AG87" i="1"/>
  <c r="AG94" i="1"/>
  <c r="AG185" i="1"/>
  <c r="AG83" i="1"/>
  <c r="AG169" i="1"/>
  <c r="AG184" i="1"/>
  <c r="AG102" i="1"/>
  <c r="AG117" i="1"/>
  <c r="AG160" i="1"/>
  <c r="AG171" i="1"/>
  <c r="AG68" i="1"/>
  <c r="AG103" i="1"/>
  <c r="AG119" i="1"/>
  <c r="AG133" i="1"/>
  <c r="AG149" i="1"/>
  <c r="AG198" i="1"/>
  <c r="AG167" i="1"/>
  <c r="AG100" i="1"/>
  <c r="AG116" i="1"/>
  <c r="AG140" i="1"/>
  <c r="AG156" i="1"/>
  <c r="AG205" i="1"/>
  <c r="AG200" i="1"/>
  <c r="AG108" i="1"/>
  <c r="AG192" i="1"/>
  <c r="AG111" i="1"/>
  <c r="AG135" i="1"/>
  <c r="AG151" i="1"/>
  <c r="AG208" i="1"/>
  <c r="AG90" i="1"/>
  <c r="AG122" i="1"/>
  <c r="AG219" i="1"/>
  <c r="AG138" i="1"/>
  <c r="AG216" i="1"/>
  <c r="AG211" i="1"/>
  <c r="AG32" i="1"/>
  <c r="AG18" i="1"/>
  <c r="AG51" i="1"/>
  <c r="AG41" i="1"/>
  <c r="AG17" i="1"/>
  <c r="AG49" i="1"/>
  <c r="AG62" i="1"/>
  <c r="AG64" i="1"/>
  <c r="AG70" i="1"/>
  <c r="AG88" i="1"/>
  <c r="AG173" i="1"/>
  <c r="AG84" i="1"/>
  <c r="AG172" i="1"/>
  <c r="AG105" i="1"/>
  <c r="AG121" i="1"/>
  <c r="AG176" i="1"/>
  <c r="AG91" i="1"/>
  <c r="AG120" i="1"/>
  <c r="AG137" i="1"/>
  <c r="AG202" i="1"/>
  <c r="AG182" i="1"/>
  <c r="AG128" i="1"/>
  <c r="AG144" i="1"/>
  <c r="AG209" i="1"/>
  <c r="AG126" i="1"/>
  <c r="AG193" i="1"/>
  <c r="AG139" i="1"/>
  <c r="AG155" i="1"/>
  <c r="AG174" i="1"/>
  <c r="AG134" i="1"/>
  <c r="AG154" i="1"/>
  <c r="AG24" i="1"/>
  <c r="AG19" i="1"/>
  <c r="AG35" i="1"/>
  <c r="AG26" i="1"/>
  <c r="AG43" i="1"/>
  <c r="AG29" i="1"/>
  <c r="AG57" i="1"/>
  <c r="AG73" i="1"/>
  <c r="AG33" i="1"/>
  <c r="AG55" i="1"/>
  <c r="AG54" i="1"/>
  <c r="AG53" i="1"/>
  <c r="AG59" i="1"/>
  <c r="AG78" i="1"/>
  <c r="AG93" i="1"/>
  <c r="AG86" i="1"/>
  <c r="AG166" i="1"/>
  <c r="AG181" i="1"/>
  <c r="AG81" i="1"/>
  <c r="AG165" i="1"/>
  <c r="AG180" i="1"/>
  <c r="AG98" i="1"/>
  <c r="AG67" i="1"/>
  <c r="AG168" i="1"/>
  <c r="AG179" i="1"/>
  <c r="AG118" i="1"/>
  <c r="AG145" i="1"/>
  <c r="AG92" i="1"/>
  <c r="AG115" i="1"/>
  <c r="AG152" i="1"/>
  <c r="AG218" i="1"/>
  <c r="AG187" i="1"/>
  <c r="AG131" i="1"/>
  <c r="AG147" i="1"/>
  <c r="AG130" i="1"/>
  <c r="AG212" i="1"/>
  <c r="AG215" i="1"/>
  <c r="W9" i="3"/>
  <c r="W23" i="3"/>
  <c r="W29" i="3"/>
  <c r="W13" i="3"/>
  <c r="W32" i="3"/>
  <c r="W21" i="3"/>
  <c r="W24" i="3"/>
  <c r="W10" i="3"/>
  <c r="W35" i="3"/>
  <c r="W7" i="3"/>
  <c r="W31" i="3"/>
  <c r="W8" i="3"/>
  <c r="W11" i="3"/>
  <c r="W28" i="3"/>
  <c r="W14" i="3"/>
  <c r="W27" i="3"/>
  <c r="W20" i="3"/>
  <c r="W25" i="3"/>
  <c r="W34" i="3"/>
  <c r="W16" i="3"/>
  <c r="W37" i="3"/>
  <c r="W30" i="3"/>
  <c r="W19" i="3"/>
  <c r="W12" i="3"/>
  <c r="W18" i="3"/>
  <c r="W17" i="3"/>
  <c r="W22" i="3"/>
  <c r="W26" i="3"/>
  <c r="W33" i="3"/>
  <c r="W15" i="3"/>
  <c r="AI175" i="1" l="1"/>
  <c r="U175" i="1"/>
  <c r="S175" i="1" s="1"/>
  <c r="W175" i="1"/>
  <c r="X175" i="1"/>
  <c r="U124" i="1"/>
  <c r="S124" i="1" s="1"/>
  <c r="AI124" i="1"/>
  <c r="U125" i="1"/>
  <c r="AI125" i="1"/>
  <c r="W124" i="1"/>
  <c r="W125" i="1"/>
  <c r="X124" i="1"/>
  <c r="AA207" i="1"/>
  <c r="T157" i="1"/>
  <c r="AA134" i="1"/>
  <c r="T134" i="1"/>
  <c r="AA132" i="1"/>
  <c r="AA121" i="1"/>
  <c r="T174" i="1"/>
  <c r="AA81" i="1"/>
  <c r="X53" i="1"/>
  <c r="X159" i="1"/>
  <c r="X158" i="1"/>
  <c r="R22" i="3"/>
  <c r="AD25" i="3"/>
  <c r="AD20" i="3"/>
  <c r="AC19" i="3"/>
  <c r="X209" i="1"/>
  <c r="X142" i="1"/>
  <c r="AA140" i="1"/>
  <c r="T103" i="1"/>
  <c r="AA192" i="1"/>
  <c r="AA178" i="1"/>
  <c r="AA86" i="1"/>
  <c r="AA82" i="1"/>
  <c r="AA40" i="1"/>
  <c r="AC20" i="3"/>
  <c r="AA219" i="1"/>
  <c r="AE19" i="3"/>
  <c r="AD15" i="3"/>
  <c r="T26" i="3"/>
  <c r="AA218" i="1"/>
  <c r="AA209" i="1"/>
  <c r="X145" i="1"/>
  <c r="X133" i="1"/>
  <c r="AA122" i="1"/>
  <c r="X118" i="1"/>
  <c r="AA116" i="1"/>
  <c r="X114" i="1"/>
  <c r="AA112" i="1"/>
  <c r="AA104" i="1"/>
  <c r="AA101" i="1"/>
  <c r="X99" i="1"/>
  <c r="AA180" i="1"/>
  <c r="AA163" i="1"/>
  <c r="X93" i="1"/>
  <c r="AA83" i="1"/>
  <c r="X75" i="1"/>
  <c r="X74" i="1"/>
  <c r="AA70" i="1"/>
  <c r="AA68" i="1"/>
  <c r="X63" i="1"/>
  <c r="X48" i="1"/>
  <c r="X20" i="1"/>
  <c r="AA16" i="1"/>
  <c r="X160" i="1"/>
  <c r="X39" i="1"/>
  <c r="AI38" i="1"/>
  <c r="U38" i="1"/>
  <c r="S38" i="1" s="1"/>
  <c r="W38" i="1"/>
  <c r="X38" i="1"/>
  <c r="AA214" i="1"/>
  <c r="AA211" i="1"/>
  <c r="AA203" i="1"/>
  <c r="X202" i="1"/>
  <c r="AA195" i="1"/>
  <c r="X194" i="1"/>
  <c r="T149" i="1"/>
  <c r="AA146" i="1"/>
  <c r="W146" i="1" s="1"/>
  <c r="T142" i="1"/>
  <c r="X137" i="1"/>
  <c r="AA123" i="1"/>
  <c r="T117" i="1"/>
  <c r="U117" i="1" s="1"/>
  <c r="S117" i="1" s="1"/>
  <c r="T114" i="1"/>
  <c r="X191" i="1"/>
  <c r="AA191" i="1"/>
  <c r="X185" i="1"/>
  <c r="AA79" i="1"/>
  <c r="X77" i="1"/>
  <c r="AA75" i="1"/>
  <c r="AA73" i="1"/>
  <c r="W73" i="1" s="1"/>
  <c r="AA63" i="1"/>
  <c r="T63" i="1"/>
  <c r="AA62" i="1"/>
  <c r="AA58" i="1"/>
  <c r="W58" i="1" s="1"/>
  <c r="AA54" i="1"/>
  <c r="AA50" i="1"/>
  <c r="T48" i="1"/>
  <c r="AA47" i="1"/>
  <c r="W47" i="1" s="1"/>
  <c r="AA46" i="1"/>
  <c r="X41" i="1"/>
  <c r="X36" i="1"/>
  <c r="AA25" i="1"/>
  <c r="W25" i="1" s="1"/>
  <c r="X24" i="1"/>
  <c r="AA147" i="1"/>
  <c r="AA142" i="1"/>
  <c r="AA136" i="1"/>
  <c r="W136" i="1" s="1"/>
  <c r="X130" i="1"/>
  <c r="T118" i="1"/>
  <c r="AA117" i="1"/>
  <c r="W117" i="1" s="1"/>
  <c r="AA114" i="1"/>
  <c r="AA108" i="1"/>
  <c r="AA188" i="1"/>
  <c r="AA184" i="1"/>
  <c r="W184" i="1" s="1"/>
  <c r="AA179" i="1"/>
  <c r="T179" i="1"/>
  <c r="U179" i="1" s="1"/>
  <c r="S179" i="1" s="1"/>
  <c r="AA173" i="1"/>
  <c r="X170" i="1"/>
  <c r="X94" i="1"/>
  <c r="X167" i="1"/>
  <c r="AA165" i="1"/>
  <c r="AA160" i="1"/>
  <c r="W160" i="1" s="1"/>
  <c r="AA89" i="1"/>
  <c r="X219" i="1"/>
  <c r="AA215" i="1"/>
  <c r="X214" i="1"/>
  <c r="AA201" i="1"/>
  <c r="X153" i="1"/>
  <c r="AA99" i="1"/>
  <c r="AA77" i="1"/>
  <c r="W77" i="1" s="1"/>
  <c r="AA76" i="1"/>
  <c r="X71" i="1"/>
  <c r="AA61" i="1"/>
  <c r="AA57" i="1"/>
  <c r="W57" i="1" s="1"/>
  <c r="X54" i="1"/>
  <c r="AA39" i="1"/>
  <c r="AA24" i="1"/>
  <c r="X215" i="1"/>
  <c r="T146" i="1"/>
  <c r="X141" i="1"/>
  <c r="X138" i="1"/>
  <c r="AA130" i="1"/>
  <c r="W130" i="1" s="1"/>
  <c r="AA129" i="1"/>
  <c r="T123" i="1"/>
  <c r="U123" i="1" s="1"/>
  <c r="S123" i="1" s="1"/>
  <c r="X109" i="1"/>
  <c r="AA109" i="1"/>
  <c r="AA185" i="1"/>
  <c r="AA181" i="1"/>
  <c r="AA177" i="1"/>
  <c r="AA167" i="1"/>
  <c r="W167" i="1" s="1"/>
  <c r="AA162" i="1"/>
  <c r="AA92" i="1"/>
  <c r="AA85" i="1"/>
  <c r="X83" i="1"/>
  <c r="X80" i="1"/>
  <c r="X59" i="1"/>
  <c r="X35" i="1"/>
  <c r="AA19" i="1"/>
  <c r="W19" i="1" s="1"/>
  <c r="AA217" i="1"/>
  <c r="X211" i="1"/>
  <c r="AA208" i="1"/>
  <c r="W208" i="1" s="1"/>
  <c r="AA202" i="1"/>
  <c r="W202" i="1" s="1"/>
  <c r="AA200" i="1"/>
  <c r="AA151" i="1"/>
  <c r="T119" i="1"/>
  <c r="X119" i="1"/>
  <c r="T210" i="1"/>
  <c r="X210" i="1"/>
  <c r="AA206" i="1"/>
  <c r="AA204" i="1"/>
  <c r="W204" i="1" s="1"/>
  <c r="AA198" i="1"/>
  <c r="AA196" i="1"/>
  <c r="W196" i="1" s="1"/>
  <c r="AA157" i="1"/>
  <c r="AA155" i="1"/>
  <c r="W155" i="1" s="1"/>
  <c r="AA149" i="1"/>
  <c r="AA143" i="1"/>
  <c r="W143" i="1" s="1"/>
  <c r="AA139" i="1"/>
  <c r="AA135" i="1"/>
  <c r="AA131" i="1"/>
  <c r="AA127" i="1"/>
  <c r="W127" i="1" s="1"/>
  <c r="AA216" i="1"/>
  <c r="W216" i="1" s="1"/>
  <c r="AA158" i="1"/>
  <c r="AA150" i="1"/>
  <c r="W150" i="1" s="1"/>
  <c r="AA126" i="1"/>
  <c r="AA119" i="1"/>
  <c r="AA118" i="1"/>
  <c r="X113" i="1"/>
  <c r="X107" i="1"/>
  <c r="AA210" i="1"/>
  <c r="W210" i="1" s="1"/>
  <c r="AA103" i="1"/>
  <c r="X98" i="1"/>
  <c r="X96" i="1"/>
  <c r="AA186" i="1"/>
  <c r="W186" i="1" s="1"/>
  <c r="T186" i="1"/>
  <c r="AA183" i="1"/>
  <c r="W183" i="1" s="1"/>
  <c r="AA95" i="1"/>
  <c r="AA176" i="1"/>
  <c r="W176" i="1" s="1"/>
  <c r="AA171" i="1"/>
  <c r="AA168" i="1"/>
  <c r="W168" i="1" s="1"/>
  <c r="AA164" i="1"/>
  <c r="AA80" i="1"/>
  <c r="T80" i="1"/>
  <c r="U80" i="1" s="1"/>
  <c r="S80" i="1" s="1"/>
  <c r="T73" i="1"/>
  <c r="AA65" i="1"/>
  <c r="AA59" i="1"/>
  <c r="T59" i="1"/>
  <c r="U59" i="1" s="1"/>
  <c r="S59" i="1" s="1"/>
  <c r="AA56" i="1"/>
  <c r="X55" i="1"/>
  <c r="AA52" i="1"/>
  <c r="AA49" i="1"/>
  <c r="W49" i="1" s="1"/>
  <c r="AA48" i="1"/>
  <c r="AA37" i="1"/>
  <c r="T35" i="1"/>
  <c r="AA34" i="1"/>
  <c r="W34" i="1" s="1"/>
  <c r="X28" i="1"/>
  <c r="AA20" i="1"/>
  <c r="T20" i="1"/>
  <c r="AA18" i="1"/>
  <c r="W18" i="1" s="1"/>
  <c r="T185" i="1"/>
  <c r="T83" i="1"/>
  <c r="U83" i="1" s="1"/>
  <c r="S83" i="1" s="1"/>
  <c r="T79" i="1"/>
  <c r="T58" i="1"/>
  <c r="T44" i="1"/>
  <c r="X121" i="1"/>
  <c r="AA115" i="1"/>
  <c r="X105" i="1"/>
  <c r="AA100" i="1"/>
  <c r="X193" i="1"/>
  <c r="X181" i="1"/>
  <c r="X178" i="1"/>
  <c r="X173" i="1"/>
  <c r="X166" i="1"/>
  <c r="X91" i="1"/>
  <c r="AA87" i="1"/>
  <c r="W87" i="1" s="1"/>
  <c r="AA84" i="1"/>
  <c r="W84" i="1" s="1"/>
  <c r="X73" i="1"/>
  <c r="AA66" i="1"/>
  <c r="W66" i="1" s="1"/>
  <c r="AA55" i="1"/>
  <c r="AA51" i="1"/>
  <c r="W51" i="1" s="1"/>
  <c r="X49" i="1"/>
  <c r="T47" i="1"/>
  <c r="AA45" i="1"/>
  <c r="AA42" i="1"/>
  <c r="W42" i="1" s="1"/>
  <c r="AA28" i="1"/>
  <c r="W28" i="1" s="1"/>
  <c r="AA26" i="1"/>
  <c r="X115" i="1"/>
  <c r="X100" i="1"/>
  <c r="X84" i="1"/>
  <c r="X67" i="1"/>
  <c r="AA64" i="1"/>
  <c r="W64" i="1" s="1"/>
  <c r="AA22" i="1"/>
  <c r="AI211" i="1"/>
  <c r="U211" i="1"/>
  <c r="S211" i="1" s="1"/>
  <c r="AI200" i="1"/>
  <c r="U199" i="1"/>
  <c r="S199" i="1" s="1"/>
  <c r="AI184" i="1"/>
  <c r="U150" i="1"/>
  <c r="S150" i="1" s="1"/>
  <c r="AI176" i="1"/>
  <c r="U142" i="1"/>
  <c r="S142" i="1" s="1"/>
  <c r="AI216" i="1"/>
  <c r="AI215" i="1"/>
  <c r="U215" i="1"/>
  <c r="S215" i="1" s="1"/>
  <c r="AI204" i="1"/>
  <c r="U203" i="1"/>
  <c r="S203" i="1" s="1"/>
  <c r="AI188" i="1"/>
  <c r="U154" i="1"/>
  <c r="S154" i="1" s="1"/>
  <c r="AI171" i="1"/>
  <c r="U138" i="1"/>
  <c r="S138" i="1" s="1"/>
  <c r="AI208" i="1"/>
  <c r="U207" i="1"/>
  <c r="S207" i="1" s="1"/>
  <c r="AI192" i="1"/>
  <c r="U158" i="1"/>
  <c r="S158" i="1" s="1"/>
  <c r="AI167" i="1"/>
  <c r="U134" i="1"/>
  <c r="S134" i="1" s="1"/>
  <c r="AI219" i="1"/>
  <c r="U219" i="1"/>
  <c r="S219" i="1" s="1"/>
  <c r="AI212" i="1"/>
  <c r="AI196" i="1"/>
  <c r="U195" i="1"/>
  <c r="S195" i="1" s="1"/>
  <c r="AI180" i="1"/>
  <c r="U146" i="1"/>
  <c r="S146" i="1" s="1"/>
  <c r="AI158" i="1"/>
  <c r="U122" i="1"/>
  <c r="S122" i="1" s="1"/>
  <c r="AI128" i="1"/>
  <c r="AI127" i="1"/>
  <c r="U96" i="1"/>
  <c r="S96" i="1" s="1"/>
  <c r="AI109" i="1"/>
  <c r="U174" i="1"/>
  <c r="S174" i="1" s="1"/>
  <c r="AI90" i="1"/>
  <c r="U90" i="1"/>
  <c r="S90" i="1" s="1"/>
  <c r="AI163" i="1"/>
  <c r="U130" i="1"/>
  <c r="S130" i="1" s="1"/>
  <c r="AI142" i="1"/>
  <c r="U106" i="1"/>
  <c r="S106" i="1" s="1"/>
  <c r="AI213" i="1"/>
  <c r="AI209" i="1"/>
  <c r="AI197" i="1"/>
  <c r="AI193" i="1"/>
  <c r="AI189" i="1"/>
  <c r="AI185" i="1"/>
  <c r="AI181" i="1"/>
  <c r="AI177" i="1"/>
  <c r="AI172" i="1"/>
  <c r="AI168" i="1"/>
  <c r="AI164" i="1"/>
  <c r="AI160" i="1"/>
  <c r="U127" i="1"/>
  <c r="S127" i="1" s="1"/>
  <c r="AI148" i="1"/>
  <c r="AI147" i="1"/>
  <c r="U111" i="1"/>
  <c r="S111" i="1" s="1"/>
  <c r="AI146" i="1"/>
  <c r="U110" i="1"/>
  <c r="S110" i="1" s="1"/>
  <c r="AI132" i="1"/>
  <c r="AI131" i="1"/>
  <c r="AI130" i="1"/>
  <c r="U192" i="1"/>
  <c r="S192" i="1" s="1"/>
  <c r="AI122" i="1"/>
  <c r="AI105" i="1"/>
  <c r="U170" i="1"/>
  <c r="S170" i="1" s="1"/>
  <c r="AI159" i="1"/>
  <c r="U126" i="1"/>
  <c r="S126" i="1" s="1"/>
  <c r="AI144" i="1"/>
  <c r="AI143" i="1"/>
  <c r="U107" i="1"/>
  <c r="S107" i="1" s="1"/>
  <c r="AI217" i="1"/>
  <c r="AI205" i="1"/>
  <c r="AI201" i="1"/>
  <c r="U218" i="1"/>
  <c r="S218" i="1" s="1"/>
  <c r="AI218" i="1"/>
  <c r="U214" i="1"/>
  <c r="S214" i="1" s="1"/>
  <c r="AI214" i="1"/>
  <c r="U209" i="1"/>
  <c r="S209" i="1" s="1"/>
  <c r="AI210" i="1"/>
  <c r="U205" i="1"/>
  <c r="S205" i="1" s="1"/>
  <c r="W205" i="1"/>
  <c r="AI206" i="1"/>
  <c r="U201" i="1"/>
  <c r="S201" i="1" s="1"/>
  <c r="AI202" i="1"/>
  <c r="U197" i="1"/>
  <c r="S197" i="1" s="1"/>
  <c r="AI198" i="1"/>
  <c r="W197" i="1"/>
  <c r="U159" i="1"/>
  <c r="S159" i="1" s="1"/>
  <c r="AI194" i="1"/>
  <c r="W159" i="1"/>
  <c r="U156" i="1"/>
  <c r="S156" i="1" s="1"/>
  <c r="W156" i="1"/>
  <c r="AI190" i="1"/>
  <c r="U152" i="1"/>
  <c r="S152" i="1" s="1"/>
  <c r="W152" i="1"/>
  <c r="AI186" i="1"/>
  <c r="U148" i="1"/>
  <c r="S148" i="1" s="1"/>
  <c r="AI182" i="1"/>
  <c r="W148" i="1"/>
  <c r="U144" i="1"/>
  <c r="S144" i="1" s="1"/>
  <c r="W144" i="1"/>
  <c r="AI178" i="1"/>
  <c r="U140" i="1"/>
  <c r="S140" i="1" s="1"/>
  <c r="AI173" i="1"/>
  <c r="U136" i="1"/>
  <c r="S136" i="1" s="1"/>
  <c r="AI169" i="1"/>
  <c r="U132" i="1"/>
  <c r="S132" i="1" s="1"/>
  <c r="AI165" i="1"/>
  <c r="U128" i="1"/>
  <c r="S128" i="1" s="1"/>
  <c r="AI161" i="1"/>
  <c r="AI152" i="1"/>
  <c r="AI151" i="1"/>
  <c r="U114" i="1"/>
  <c r="S114" i="1" s="1"/>
  <c r="AI150" i="1"/>
  <c r="AI136" i="1"/>
  <c r="AI135" i="1"/>
  <c r="U99" i="1"/>
  <c r="S99" i="1" s="1"/>
  <c r="AI134" i="1"/>
  <c r="AI121" i="1"/>
  <c r="U186" i="1"/>
  <c r="S186" i="1" s="1"/>
  <c r="AI117" i="1"/>
  <c r="U182" i="1"/>
  <c r="S182" i="1" s="1"/>
  <c r="AI101" i="1"/>
  <c r="U167" i="1"/>
  <c r="S167" i="1" s="1"/>
  <c r="AI92" i="1"/>
  <c r="U206" i="1"/>
  <c r="S206" i="1" s="1"/>
  <c r="AI207" i="1"/>
  <c r="U202" i="1"/>
  <c r="S202" i="1" s="1"/>
  <c r="AI203" i="1"/>
  <c r="U198" i="1"/>
  <c r="S198" i="1" s="1"/>
  <c r="AI199" i="1"/>
  <c r="U194" i="1"/>
  <c r="S194" i="1" s="1"/>
  <c r="AI195" i="1"/>
  <c r="U157" i="1"/>
  <c r="S157" i="1" s="1"/>
  <c r="AI191" i="1"/>
  <c r="U153" i="1"/>
  <c r="S153" i="1" s="1"/>
  <c r="AI187" i="1"/>
  <c r="U149" i="1"/>
  <c r="S149" i="1" s="1"/>
  <c r="AI183" i="1"/>
  <c r="U145" i="1"/>
  <c r="S145" i="1" s="1"/>
  <c r="AI179" i="1"/>
  <c r="U141" i="1"/>
  <c r="S141" i="1" s="1"/>
  <c r="AI174" i="1"/>
  <c r="U137" i="1"/>
  <c r="S137" i="1" s="1"/>
  <c r="AI170" i="1"/>
  <c r="U133" i="1"/>
  <c r="S133" i="1" s="1"/>
  <c r="AI166" i="1"/>
  <c r="U129" i="1"/>
  <c r="S129" i="1" s="1"/>
  <c r="AI162" i="1"/>
  <c r="AI156" i="1"/>
  <c r="W120" i="1"/>
  <c r="AI155" i="1"/>
  <c r="U119" i="1"/>
  <c r="S119" i="1" s="1"/>
  <c r="U118" i="1"/>
  <c r="S118" i="1" s="1"/>
  <c r="AI154" i="1"/>
  <c r="AI140" i="1"/>
  <c r="W104" i="1"/>
  <c r="AI139" i="1"/>
  <c r="U210" i="1"/>
  <c r="S210" i="1" s="1"/>
  <c r="U103" i="1"/>
  <c r="S103" i="1" s="1"/>
  <c r="AI138" i="1"/>
  <c r="AI113" i="1"/>
  <c r="AI97" i="1"/>
  <c r="U163" i="1"/>
  <c r="S163" i="1" s="1"/>
  <c r="AI91" i="1"/>
  <c r="U91" i="1"/>
  <c r="S91" i="1" s="1"/>
  <c r="AI68" i="1"/>
  <c r="AI118" i="1"/>
  <c r="AI114" i="1"/>
  <c r="AI110" i="1"/>
  <c r="AI106" i="1"/>
  <c r="AI102" i="1"/>
  <c r="AI98" i="1"/>
  <c r="AI95" i="1"/>
  <c r="AI94" i="1"/>
  <c r="U160" i="1"/>
  <c r="S160" i="1" s="1"/>
  <c r="AI67" i="1"/>
  <c r="U67" i="1"/>
  <c r="S67" i="1" s="1"/>
  <c r="AI52" i="1"/>
  <c r="U52" i="1"/>
  <c r="AI157" i="1"/>
  <c r="AI153" i="1"/>
  <c r="U113" i="1"/>
  <c r="S113" i="1" s="1"/>
  <c r="AI149" i="1"/>
  <c r="AI145" i="1"/>
  <c r="AI141" i="1"/>
  <c r="U102" i="1"/>
  <c r="S102" i="1" s="1"/>
  <c r="AI137" i="1"/>
  <c r="U98" i="1"/>
  <c r="S98" i="1" s="1"/>
  <c r="AI133" i="1"/>
  <c r="AI129" i="1"/>
  <c r="W191" i="1"/>
  <c r="AI123" i="1"/>
  <c r="AI119" i="1"/>
  <c r="U180" i="1"/>
  <c r="S180" i="1" s="1"/>
  <c r="AI115" i="1"/>
  <c r="U177" i="1"/>
  <c r="S177" i="1" s="1"/>
  <c r="AI111" i="1"/>
  <c r="U172" i="1"/>
  <c r="S172" i="1" s="1"/>
  <c r="AI107" i="1"/>
  <c r="W172" i="1"/>
  <c r="U169" i="1"/>
  <c r="S169" i="1" s="1"/>
  <c r="AI103" i="1"/>
  <c r="W169" i="1"/>
  <c r="U165" i="1"/>
  <c r="S165" i="1" s="1"/>
  <c r="AI99" i="1"/>
  <c r="AI85" i="1"/>
  <c r="AI84" i="1"/>
  <c r="AI83" i="1"/>
  <c r="AI81" i="1"/>
  <c r="AI66" i="1"/>
  <c r="U66" i="1"/>
  <c r="S66" i="1" s="1"/>
  <c r="U189" i="1"/>
  <c r="S189" i="1" s="1"/>
  <c r="AI126" i="1"/>
  <c r="U185" i="1"/>
  <c r="S185" i="1" s="1"/>
  <c r="AI120" i="1"/>
  <c r="U181" i="1"/>
  <c r="S181" i="1" s="1"/>
  <c r="AI116" i="1"/>
  <c r="U178" i="1"/>
  <c r="S178" i="1" s="1"/>
  <c r="AI112" i="1"/>
  <c r="U173" i="1"/>
  <c r="S173" i="1" s="1"/>
  <c r="AI108" i="1"/>
  <c r="U94" i="1"/>
  <c r="S94" i="1" s="1"/>
  <c r="AI104" i="1"/>
  <c r="U166" i="1"/>
  <c r="S166" i="1" s="1"/>
  <c r="AI100" i="1"/>
  <c r="U162" i="1"/>
  <c r="S162" i="1" s="1"/>
  <c r="AI96" i="1"/>
  <c r="AI88" i="1"/>
  <c r="W88" i="1"/>
  <c r="AI87" i="1"/>
  <c r="U87" i="1"/>
  <c r="S87" i="1" s="1"/>
  <c r="U86" i="1"/>
  <c r="S86" i="1" s="1"/>
  <c r="AI86" i="1"/>
  <c r="AI80" i="1"/>
  <c r="AI63" i="1"/>
  <c r="U63" i="1"/>
  <c r="S63" i="1" s="1"/>
  <c r="AI36" i="1"/>
  <c r="U36" i="1"/>
  <c r="S36" i="1" s="1"/>
  <c r="AI72" i="1"/>
  <c r="AI71" i="1"/>
  <c r="U71" i="1"/>
  <c r="S71" i="1" s="1"/>
  <c r="AI70" i="1"/>
  <c r="U70" i="1"/>
  <c r="S70" i="1" s="1"/>
  <c r="AI60" i="1"/>
  <c r="AI93" i="1"/>
  <c r="W93" i="1"/>
  <c r="AI89" i="1"/>
  <c r="AI82" i="1"/>
  <c r="W82" i="1"/>
  <c r="U78" i="1"/>
  <c r="S78" i="1" s="1"/>
  <c r="AI78" i="1"/>
  <c r="W78" i="1"/>
  <c r="AI76" i="1"/>
  <c r="AI75" i="1"/>
  <c r="U74" i="1"/>
  <c r="S74" i="1" s="1"/>
  <c r="AI74" i="1"/>
  <c r="AI59" i="1"/>
  <c r="U79" i="1"/>
  <c r="S79" i="1" s="1"/>
  <c r="AI79" i="1"/>
  <c r="AI64" i="1"/>
  <c r="AI56" i="1"/>
  <c r="U56" i="1"/>
  <c r="S56" i="1" s="1"/>
  <c r="AI53" i="1"/>
  <c r="U53" i="1"/>
  <c r="AI37" i="1"/>
  <c r="U62" i="1"/>
  <c r="S62" i="1" s="1"/>
  <c r="AI62" i="1"/>
  <c r="W62" i="1"/>
  <c r="U58" i="1"/>
  <c r="S58" i="1" s="1"/>
  <c r="AI58" i="1"/>
  <c r="U54" i="1"/>
  <c r="S54" i="1" s="1"/>
  <c r="AI54" i="1"/>
  <c r="AI46" i="1"/>
  <c r="AI45" i="1"/>
  <c r="U45" i="1"/>
  <c r="S45" i="1" s="1"/>
  <c r="U44" i="1"/>
  <c r="S44" i="1" s="1"/>
  <c r="AI44" i="1"/>
  <c r="AI55" i="1"/>
  <c r="U55" i="1"/>
  <c r="S55" i="1" s="1"/>
  <c r="AI50" i="1"/>
  <c r="W50" i="1"/>
  <c r="AI49" i="1"/>
  <c r="U49" i="1"/>
  <c r="S49" i="1" s="1"/>
  <c r="AI48" i="1"/>
  <c r="U48" i="1"/>
  <c r="S48" i="1" s="1"/>
  <c r="AI33" i="1"/>
  <c r="U33" i="1"/>
  <c r="S33" i="1" s="1"/>
  <c r="AI25" i="1"/>
  <c r="U25" i="1"/>
  <c r="S25" i="1" s="1"/>
  <c r="AI17" i="1"/>
  <c r="U17" i="1"/>
  <c r="S17" i="1" s="1"/>
  <c r="U77" i="1"/>
  <c r="S77" i="1" s="1"/>
  <c r="AI77" i="1"/>
  <c r="U73" i="1"/>
  <c r="S73" i="1" s="1"/>
  <c r="AI73" i="1"/>
  <c r="AI69" i="1"/>
  <c r="AI65" i="1"/>
  <c r="AI61" i="1"/>
  <c r="AI57" i="1"/>
  <c r="AI42" i="1"/>
  <c r="AI41" i="1"/>
  <c r="U40" i="1"/>
  <c r="S40" i="1" s="1"/>
  <c r="AI40" i="1"/>
  <c r="AI29" i="1"/>
  <c r="U29" i="1"/>
  <c r="S29" i="1" s="1"/>
  <c r="AI21" i="1"/>
  <c r="U21" i="1"/>
  <c r="S21" i="1" s="1"/>
  <c r="AI51" i="1"/>
  <c r="U47" i="1"/>
  <c r="S47" i="1" s="1"/>
  <c r="AI47" i="1"/>
  <c r="U43" i="1"/>
  <c r="S43" i="1" s="1"/>
  <c r="AI43" i="1"/>
  <c r="U39" i="1"/>
  <c r="S39" i="1" s="1"/>
  <c r="AI39" i="1"/>
  <c r="AI34" i="1"/>
  <c r="AI30" i="1"/>
  <c r="AI26" i="1"/>
  <c r="AI22" i="1"/>
  <c r="AI18" i="1"/>
  <c r="AI14" i="1"/>
  <c r="U35" i="1"/>
  <c r="S35" i="1" s="1"/>
  <c r="AI35" i="1"/>
  <c r="U31" i="1"/>
  <c r="S31" i="1" s="1"/>
  <c r="AI31" i="1"/>
  <c r="W31" i="1"/>
  <c r="U27" i="1"/>
  <c r="S27" i="1" s="1"/>
  <c r="AI27" i="1"/>
  <c r="U23" i="1"/>
  <c r="S23" i="1" s="1"/>
  <c r="AI23" i="1"/>
  <c r="W23" i="1"/>
  <c r="U19" i="1"/>
  <c r="S19" i="1" s="1"/>
  <c r="AI19" i="1"/>
  <c r="U15" i="1"/>
  <c r="S15" i="1" s="1"/>
  <c r="AI15" i="1"/>
  <c r="W15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18" i="1"/>
  <c r="W214" i="1"/>
  <c r="W209" i="1"/>
  <c r="W140" i="1"/>
  <c r="W132" i="1"/>
  <c r="W201" i="1"/>
  <c r="W217" i="1"/>
  <c r="W213" i="1"/>
  <c r="W215" i="1"/>
  <c r="W207" i="1"/>
  <c r="W206" i="1"/>
  <c r="X205" i="1"/>
  <c r="T204" i="1"/>
  <c r="U204" i="1" s="1"/>
  <c r="S204" i="1" s="1"/>
  <c r="X204" i="1"/>
  <c r="W158" i="1"/>
  <c r="W157" i="1"/>
  <c r="X156" i="1"/>
  <c r="T155" i="1"/>
  <c r="U155" i="1" s="1"/>
  <c r="S155" i="1" s="1"/>
  <c r="X155" i="1"/>
  <c r="T139" i="1"/>
  <c r="U139" i="1" s="1"/>
  <c r="S139" i="1" s="1"/>
  <c r="X139" i="1"/>
  <c r="W137" i="1"/>
  <c r="W135" i="1"/>
  <c r="W134" i="1"/>
  <c r="W129" i="1"/>
  <c r="W126" i="1"/>
  <c r="W118" i="1"/>
  <c r="W114" i="1"/>
  <c r="W103" i="1"/>
  <c r="W99" i="1"/>
  <c r="W185" i="1"/>
  <c r="W180" i="1"/>
  <c r="W177" i="1"/>
  <c r="W165" i="1"/>
  <c r="W83" i="1"/>
  <c r="T217" i="1"/>
  <c r="U217" i="1" s="1"/>
  <c r="S217" i="1" s="1"/>
  <c r="X217" i="1"/>
  <c r="W219" i="1"/>
  <c r="X218" i="1"/>
  <c r="AA212" i="1"/>
  <c r="W212" i="1" s="1"/>
  <c r="T208" i="1"/>
  <c r="U208" i="1" s="1"/>
  <c r="S208" i="1" s="1"/>
  <c r="X208" i="1"/>
  <c r="W195" i="1"/>
  <c r="W194" i="1"/>
  <c r="W147" i="1"/>
  <c r="T135" i="1"/>
  <c r="U135" i="1" s="1"/>
  <c r="S135" i="1" s="1"/>
  <c r="X135" i="1"/>
  <c r="W133" i="1"/>
  <c r="W131" i="1"/>
  <c r="W128" i="1"/>
  <c r="W121" i="1"/>
  <c r="W113" i="1"/>
  <c r="W110" i="1"/>
  <c r="W105" i="1"/>
  <c r="W98" i="1"/>
  <c r="W192" i="1"/>
  <c r="T212" i="1"/>
  <c r="U212" i="1" s="1"/>
  <c r="S212" i="1" s="1"/>
  <c r="X212" i="1"/>
  <c r="W200" i="1"/>
  <c r="AA199" i="1"/>
  <c r="W199" i="1" s="1"/>
  <c r="W198" i="1"/>
  <c r="X197" i="1"/>
  <c r="T196" i="1"/>
  <c r="U196" i="1" s="1"/>
  <c r="S196" i="1" s="1"/>
  <c r="X196" i="1"/>
  <c r="W151" i="1"/>
  <c r="W149" i="1"/>
  <c r="X148" i="1"/>
  <c r="T147" i="1"/>
  <c r="U147" i="1" s="1"/>
  <c r="S147" i="1" s="1"/>
  <c r="X147" i="1"/>
  <c r="W145" i="1"/>
  <c r="W142" i="1"/>
  <c r="T131" i="1"/>
  <c r="U131" i="1" s="1"/>
  <c r="S131" i="1" s="1"/>
  <c r="X131" i="1"/>
  <c r="W189" i="1"/>
  <c r="W188" i="1"/>
  <c r="T216" i="1"/>
  <c r="U216" i="1" s="1"/>
  <c r="S216" i="1" s="1"/>
  <c r="X216" i="1"/>
  <c r="T213" i="1"/>
  <c r="U213" i="1" s="1"/>
  <c r="S213" i="1" s="1"/>
  <c r="X213" i="1"/>
  <c r="W211" i="1"/>
  <c r="W203" i="1"/>
  <c r="X201" i="1"/>
  <c r="T200" i="1"/>
  <c r="U200" i="1" s="1"/>
  <c r="S200" i="1" s="1"/>
  <c r="X200" i="1"/>
  <c r="W154" i="1"/>
  <c r="W153" i="1"/>
  <c r="X152" i="1"/>
  <c r="T151" i="1"/>
  <c r="U151" i="1" s="1"/>
  <c r="S151" i="1" s="1"/>
  <c r="X151" i="1"/>
  <c r="T143" i="1"/>
  <c r="U143" i="1" s="1"/>
  <c r="S143" i="1" s="1"/>
  <c r="X143" i="1"/>
  <c r="W141" i="1"/>
  <c r="W139" i="1"/>
  <c r="W138" i="1"/>
  <c r="W122" i="1"/>
  <c r="W116" i="1"/>
  <c r="W112" i="1"/>
  <c r="W109" i="1"/>
  <c r="W108" i="1"/>
  <c r="W106" i="1"/>
  <c r="W102" i="1"/>
  <c r="W101" i="1"/>
  <c r="W97" i="1"/>
  <c r="W190" i="1"/>
  <c r="W74" i="1"/>
  <c r="T112" i="1"/>
  <c r="U112" i="1" s="1"/>
  <c r="S112" i="1" s="1"/>
  <c r="X112" i="1"/>
  <c r="T193" i="1"/>
  <c r="U193" i="1" s="1"/>
  <c r="S193" i="1" s="1"/>
  <c r="T187" i="1"/>
  <c r="U187" i="1" s="1"/>
  <c r="S187" i="1" s="1"/>
  <c r="X187" i="1"/>
  <c r="W182" i="1"/>
  <c r="T171" i="1"/>
  <c r="U171" i="1" s="1"/>
  <c r="S171" i="1" s="1"/>
  <c r="X171" i="1"/>
  <c r="W94" i="1"/>
  <c r="W92" i="1"/>
  <c r="X89" i="1"/>
  <c r="T89" i="1"/>
  <c r="U89" i="1" s="1"/>
  <c r="S89" i="1" s="1"/>
  <c r="X90" i="1"/>
  <c r="W81" i="1"/>
  <c r="W69" i="1"/>
  <c r="W59" i="1"/>
  <c r="W55" i="1"/>
  <c r="W54" i="1"/>
  <c r="W115" i="1"/>
  <c r="W100" i="1"/>
  <c r="T97" i="1"/>
  <c r="U97" i="1" s="1"/>
  <c r="S97" i="1" s="1"/>
  <c r="X97" i="1"/>
  <c r="X207" i="1"/>
  <c r="X199" i="1"/>
  <c r="X195" i="1"/>
  <c r="W123" i="1"/>
  <c r="X122" i="1"/>
  <c r="T121" i="1"/>
  <c r="U121" i="1" s="1"/>
  <c r="S121" i="1" s="1"/>
  <c r="W119" i="1"/>
  <c r="T116" i="1"/>
  <c r="U116" i="1" s="1"/>
  <c r="S116" i="1" s="1"/>
  <c r="X116" i="1"/>
  <c r="T115" i="1"/>
  <c r="U115" i="1" s="1"/>
  <c r="S115" i="1" s="1"/>
  <c r="X111" i="1"/>
  <c r="X106" i="1"/>
  <c r="T105" i="1"/>
  <c r="U105" i="1" s="1"/>
  <c r="S105" i="1" s="1"/>
  <c r="T101" i="1"/>
  <c r="U101" i="1" s="1"/>
  <c r="S101" i="1" s="1"/>
  <c r="X101" i="1"/>
  <c r="T100" i="1"/>
  <c r="U100" i="1" s="1"/>
  <c r="S100" i="1" s="1"/>
  <c r="T188" i="1"/>
  <c r="U188" i="1" s="1"/>
  <c r="S188" i="1" s="1"/>
  <c r="X188" i="1"/>
  <c r="T183" i="1"/>
  <c r="U183" i="1" s="1"/>
  <c r="S183" i="1" s="1"/>
  <c r="X183" i="1"/>
  <c r="W181" i="1"/>
  <c r="W95" i="1"/>
  <c r="W179" i="1"/>
  <c r="T168" i="1"/>
  <c r="U168" i="1" s="1"/>
  <c r="S168" i="1" s="1"/>
  <c r="X168" i="1"/>
  <c r="W166" i="1"/>
  <c r="W164" i="1"/>
  <c r="W163" i="1"/>
  <c r="W85" i="1"/>
  <c r="S22" i="3"/>
  <c r="X203" i="1"/>
  <c r="X154" i="1"/>
  <c r="X150" i="1"/>
  <c r="T120" i="1"/>
  <c r="U120" i="1" s="1"/>
  <c r="S120" i="1" s="1"/>
  <c r="X120" i="1"/>
  <c r="X110" i="1"/>
  <c r="T109" i="1"/>
  <c r="U109" i="1" s="1"/>
  <c r="S109" i="1" s="1"/>
  <c r="AA107" i="1"/>
  <c r="W107" i="1" s="1"/>
  <c r="T104" i="1"/>
  <c r="U104" i="1" s="1"/>
  <c r="S104" i="1" s="1"/>
  <c r="X104" i="1"/>
  <c r="X192" i="1"/>
  <c r="T191" i="1"/>
  <c r="U191" i="1" s="1"/>
  <c r="S191" i="1" s="1"/>
  <c r="AA96" i="1"/>
  <c r="W96" i="1" s="1"/>
  <c r="T95" i="1"/>
  <c r="U95" i="1" s="1"/>
  <c r="S95" i="1" s="1"/>
  <c r="X95" i="1"/>
  <c r="W178" i="1"/>
  <c r="AA174" i="1"/>
  <c r="W174" i="1" s="1"/>
  <c r="T164" i="1"/>
  <c r="U164" i="1" s="1"/>
  <c r="S164" i="1" s="1"/>
  <c r="X164" i="1"/>
  <c r="W162" i="1"/>
  <c r="T161" i="1"/>
  <c r="U161" i="1" s="1"/>
  <c r="S161" i="1" s="1"/>
  <c r="W86" i="1"/>
  <c r="W75" i="1"/>
  <c r="T51" i="1"/>
  <c r="U51" i="1" s="1"/>
  <c r="S51" i="1" s="1"/>
  <c r="X52" i="1"/>
  <c r="X51" i="1"/>
  <c r="X144" i="1"/>
  <c r="X140" i="1"/>
  <c r="X136" i="1"/>
  <c r="X132" i="1"/>
  <c r="AA111" i="1"/>
  <c r="W111" i="1" s="1"/>
  <c r="T108" i="1"/>
  <c r="U108" i="1" s="1"/>
  <c r="S108" i="1" s="1"/>
  <c r="X108" i="1"/>
  <c r="AA193" i="1"/>
  <c r="W193" i="1" s="1"/>
  <c r="T190" i="1"/>
  <c r="U190" i="1" s="1"/>
  <c r="S190" i="1" s="1"/>
  <c r="X190" i="1"/>
  <c r="X189" i="1"/>
  <c r="AA187" i="1"/>
  <c r="W187" i="1" s="1"/>
  <c r="T184" i="1"/>
  <c r="U184" i="1" s="1"/>
  <c r="S184" i="1" s="1"/>
  <c r="X184" i="1"/>
  <c r="T176" i="1"/>
  <c r="U176" i="1" s="1"/>
  <c r="S176" i="1" s="1"/>
  <c r="W173" i="1"/>
  <c r="W171" i="1"/>
  <c r="AA170" i="1"/>
  <c r="W170" i="1" s="1"/>
  <c r="W90" i="1"/>
  <c r="W89" i="1"/>
  <c r="T85" i="1"/>
  <c r="U85" i="1" s="1"/>
  <c r="S85" i="1" s="1"/>
  <c r="T84" i="1"/>
  <c r="U84" i="1" s="1"/>
  <c r="S84" i="1" s="1"/>
  <c r="T81" i="1"/>
  <c r="U81" i="1" s="1"/>
  <c r="S81" i="1" s="1"/>
  <c r="X81" i="1"/>
  <c r="W80" i="1"/>
  <c r="W76" i="1"/>
  <c r="W65" i="1"/>
  <c r="W43" i="1"/>
  <c r="X31" i="1"/>
  <c r="T30" i="1"/>
  <c r="U30" i="1" s="1"/>
  <c r="S30" i="1" s="1"/>
  <c r="X30" i="1"/>
  <c r="W16" i="1"/>
  <c r="T93" i="1"/>
  <c r="U93" i="1" s="1"/>
  <c r="S93" i="1" s="1"/>
  <c r="AA91" i="1"/>
  <c r="W91" i="1" s="1"/>
  <c r="T88" i="1"/>
  <c r="U88" i="1" s="1"/>
  <c r="S88" i="1" s="1"/>
  <c r="X88" i="1"/>
  <c r="T82" i="1"/>
  <c r="U82" i="1" s="1"/>
  <c r="S82" i="1" s="1"/>
  <c r="X82" i="1"/>
  <c r="W72" i="1"/>
  <c r="W70" i="1"/>
  <c r="W68" i="1"/>
  <c r="X65" i="1"/>
  <c r="T65" i="1"/>
  <c r="U65" i="1" s="1"/>
  <c r="S65" i="1" s="1"/>
  <c r="X66" i="1"/>
  <c r="W61" i="1"/>
  <c r="X180" i="1"/>
  <c r="X177" i="1"/>
  <c r="X172" i="1"/>
  <c r="X169" i="1"/>
  <c r="X165" i="1"/>
  <c r="AA161" i="1"/>
  <c r="W161" i="1" s="1"/>
  <c r="T92" i="1"/>
  <c r="U92" i="1" s="1"/>
  <c r="S92" i="1" s="1"/>
  <c r="X92" i="1"/>
  <c r="W79" i="1"/>
  <c r="T72" i="1"/>
  <c r="U72" i="1" s="1"/>
  <c r="S72" i="1" s="1"/>
  <c r="X72" i="1"/>
  <c r="T60" i="1"/>
  <c r="U60" i="1" s="1"/>
  <c r="S60" i="1" s="1"/>
  <c r="X60" i="1"/>
  <c r="W44" i="1"/>
  <c r="T42" i="1"/>
  <c r="U42" i="1" s="1"/>
  <c r="S42" i="1" s="1"/>
  <c r="X42" i="1"/>
  <c r="X43" i="1"/>
  <c r="W39" i="1"/>
  <c r="T76" i="1"/>
  <c r="U76" i="1" s="1"/>
  <c r="S76" i="1" s="1"/>
  <c r="X76" i="1"/>
  <c r="T75" i="1"/>
  <c r="U75" i="1" s="1"/>
  <c r="S75" i="1" s="1"/>
  <c r="T61" i="1"/>
  <c r="U61" i="1" s="1"/>
  <c r="S61" i="1" s="1"/>
  <c r="X61" i="1"/>
  <c r="W56" i="1"/>
  <c r="W45" i="1"/>
  <c r="T41" i="1"/>
  <c r="U41" i="1" s="1"/>
  <c r="S41" i="1" s="1"/>
  <c r="W37" i="1"/>
  <c r="W27" i="1"/>
  <c r="X23" i="1"/>
  <c r="T22" i="1"/>
  <c r="U22" i="1" s="1"/>
  <c r="S22" i="1" s="1"/>
  <c r="X22" i="1"/>
  <c r="X70" i="1"/>
  <c r="T69" i="1"/>
  <c r="U69" i="1" s="1"/>
  <c r="S69" i="1" s="1"/>
  <c r="AA67" i="1"/>
  <c r="W67" i="1" s="1"/>
  <c r="T64" i="1"/>
  <c r="U64" i="1" s="1"/>
  <c r="S64" i="1" s="1"/>
  <c r="X64" i="1"/>
  <c r="W63" i="1"/>
  <c r="W48" i="1"/>
  <c r="W46" i="1"/>
  <c r="W40" i="1"/>
  <c r="W35" i="1"/>
  <c r="W32" i="1"/>
  <c r="X15" i="1"/>
  <c r="T14" i="1"/>
  <c r="U14" i="1" s="1"/>
  <c r="S14" i="1" s="1"/>
  <c r="X78" i="1"/>
  <c r="AA71" i="1"/>
  <c r="W71" i="1" s="1"/>
  <c r="T68" i="1"/>
  <c r="U68" i="1" s="1"/>
  <c r="S68" i="1" s="1"/>
  <c r="X68" i="1"/>
  <c r="X62" i="1"/>
  <c r="AA60" i="1"/>
  <c r="W60" i="1" s="1"/>
  <c r="T57" i="1"/>
  <c r="U57" i="1" s="1"/>
  <c r="S57" i="1" s="1"/>
  <c r="X57" i="1"/>
  <c r="W52" i="1"/>
  <c r="W24" i="1"/>
  <c r="AA53" i="1"/>
  <c r="W53" i="1" s="1"/>
  <c r="T50" i="1"/>
  <c r="U50" i="1" s="1"/>
  <c r="S50" i="1" s="1"/>
  <c r="X50" i="1"/>
  <c r="X45" i="1"/>
  <c r="X40" i="1"/>
  <c r="AA36" i="1"/>
  <c r="W36" i="1" s="1"/>
  <c r="T34" i="1"/>
  <c r="U34" i="1" s="1"/>
  <c r="S34" i="1" s="1"/>
  <c r="X34" i="1"/>
  <c r="X27" i="1"/>
  <c r="T26" i="1"/>
  <c r="U26" i="1" s="1"/>
  <c r="S26" i="1" s="1"/>
  <c r="X26" i="1"/>
  <c r="W20" i="1"/>
  <c r="X19" i="1"/>
  <c r="T18" i="1"/>
  <c r="U18" i="1" s="1"/>
  <c r="S18" i="1" s="1"/>
  <c r="X18" i="1"/>
  <c r="AA41" i="1"/>
  <c r="W41" i="1" s="1"/>
  <c r="T37" i="1"/>
  <c r="U37" i="1" s="1"/>
  <c r="S37" i="1" s="1"/>
  <c r="X37" i="1"/>
  <c r="W30" i="1"/>
  <c r="AA29" i="1"/>
  <c r="W29" i="1" s="1"/>
  <c r="W22" i="1"/>
  <c r="AA21" i="1"/>
  <c r="W21" i="1" s="1"/>
  <c r="W14" i="1"/>
  <c r="X56" i="1"/>
  <c r="T46" i="1"/>
  <c r="U46" i="1" s="1"/>
  <c r="S46" i="1" s="1"/>
  <c r="X46" i="1"/>
  <c r="W33" i="1"/>
  <c r="W26" i="1"/>
  <c r="W17" i="1"/>
  <c r="X33" i="1"/>
  <c r="X29" i="1"/>
  <c r="X25" i="1"/>
  <c r="X21" i="1"/>
  <c r="X17" i="1"/>
  <c r="AC18" i="3"/>
  <c r="AC23" i="3"/>
  <c r="T30" i="3"/>
  <c r="AC7" i="3"/>
  <c r="AD33" i="3"/>
  <c r="AE32" i="3"/>
  <c r="AD31" i="3"/>
  <c r="T31" i="3"/>
  <c r="AD32" i="3"/>
  <c r="AE31" i="3"/>
  <c r="AE23" i="3"/>
  <c r="AE11" i="3"/>
  <c r="AD21" i="3"/>
  <c r="AD13" i="3"/>
  <c r="AD9" i="3"/>
  <c r="AD23" i="3"/>
  <c r="T21" i="3"/>
  <c r="AC12" i="3"/>
  <c r="T28" i="3"/>
  <c r="AD16" i="3"/>
  <c r="AD12" i="3"/>
  <c r="AD11" i="3"/>
  <c r="AD8" i="3"/>
  <c r="AC34" i="3"/>
  <c r="AE28" i="3"/>
  <c r="AC10" i="3"/>
  <c r="AC27" i="3"/>
  <c r="AD35" i="3"/>
  <c r="T33" i="3"/>
  <c r="AC25" i="3"/>
  <c r="AC14" i="3"/>
  <c r="AC29" i="3"/>
  <c r="AC15" i="3"/>
  <c r="Y10" i="3"/>
  <c r="Y27" i="3"/>
  <c r="Y15" i="3"/>
  <c r="Y19" i="3"/>
  <c r="Y24" i="3"/>
  <c r="Y14" i="3"/>
  <c r="Y33" i="3"/>
  <c r="Y30" i="3"/>
  <c r="Y21" i="3"/>
  <c r="Y28" i="3"/>
  <c r="Y26" i="3"/>
  <c r="Y37" i="3"/>
  <c r="Y32" i="3"/>
  <c r="Y11" i="3"/>
  <c r="Y22" i="3"/>
  <c r="Y16" i="3"/>
  <c r="Y13" i="3"/>
  <c r="Y8" i="3"/>
  <c r="Y17" i="3"/>
  <c r="Y34" i="3"/>
  <c r="Y29" i="3"/>
  <c r="Y31" i="3"/>
  <c r="Y18" i="3"/>
  <c r="Y25" i="3"/>
  <c r="Y23" i="3"/>
  <c r="Y7" i="3"/>
  <c r="Y12" i="3"/>
  <c r="Y20" i="3"/>
  <c r="Y9" i="3"/>
  <c r="Y35" i="3"/>
  <c r="AE18" i="3"/>
  <c r="T13" i="3"/>
  <c r="AE14" i="3"/>
  <c r="T8" i="3"/>
  <c r="AE10" i="3"/>
  <c r="T17" i="3"/>
  <c r="AE34" i="3"/>
  <c r="T32" i="3"/>
  <c r="AE30" i="3"/>
  <c r="AE26" i="3"/>
  <c r="T22" i="3"/>
  <c r="AE22" i="3"/>
  <c r="T16" i="3"/>
  <c r="AE37" i="3"/>
  <c r="T18" i="3"/>
  <c r="AD34" i="3"/>
  <c r="AE33" i="3"/>
  <c r="T25" i="3"/>
  <c r="AD30" i="3"/>
  <c r="AE29" i="3"/>
  <c r="T23" i="3"/>
  <c r="AD26" i="3"/>
  <c r="AE25" i="3"/>
  <c r="T7" i="3"/>
  <c r="AD22" i="3"/>
  <c r="AE21" i="3"/>
  <c r="T12" i="3"/>
  <c r="AD18" i="3"/>
  <c r="AE17" i="3"/>
  <c r="T20" i="3"/>
  <c r="AD14" i="3"/>
  <c r="AE13" i="3"/>
  <c r="T9" i="3"/>
  <c r="AD10" i="3"/>
  <c r="AE9" i="3"/>
  <c r="T35" i="3"/>
  <c r="T11" i="3"/>
  <c r="AE24" i="3"/>
  <c r="AE20" i="3"/>
  <c r="AE16" i="3"/>
  <c r="AE12" i="3"/>
  <c r="AE8" i="3"/>
  <c r="M36" i="3"/>
  <c r="R36" i="3"/>
  <c r="S36" i="3"/>
  <c r="U36" i="3"/>
  <c r="AD36" i="3" s="1"/>
  <c r="V36" i="3"/>
  <c r="X36" i="3"/>
  <c r="W36" i="3"/>
  <c r="AC36" i="3" l="1"/>
  <c r="AE36" i="3"/>
  <c r="Y36" i="3"/>
  <c r="T36" i="3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L13" i="1" s="1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19" i="3" s="1"/>
  <c r="G48" i="4"/>
  <c r="G49" i="4"/>
  <c r="G50" i="4"/>
  <c r="G51" i="4"/>
  <c r="G52" i="4"/>
  <c r="G53" i="4"/>
  <c r="G54" i="4"/>
  <c r="G55" i="4"/>
  <c r="G56" i="4"/>
  <c r="G57" i="4"/>
  <c r="G58" i="4"/>
  <c r="G59" i="4"/>
  <c r="N35" i="3" s="1"/>
  <c r="G60" i="4"/>
  <c r="G61" i="4"/>
  <c r="G62" i="4"/>
  <c r="G63" i="4"/>
  <c r="G64" i="4"/>
  <c r="G65" i="4"/>
  <c r="G66" i="4"/>
  <c r="G67" i="4"/>
  <c r="G68" i="4"/>
  <c r="N17" i="3" s="1"/>
  <c r="G69" i="4"/>
  <c r="G70" i="4"/>
  <c r="G71" i="4"/>
  <c r="G72" i="4"/>
  <c r="G73" i="4"/>
  <c r="G74" i="4"/>
  <c r="G75" i="4"/>
  <c r="G76" i="4"/>
  <c r="N9" i="3" s="1"/>
  <c r="G77" i="4"/>
  <c r="G78" i="4"/>
  <c r="N15" i="3" s="1"/>
  <c r="G79" i="4"/>
  <c r="N37" i="3" s="1"/>
  <c r="G80" i="4"/>
  <c r="G81" i="4"/>
  <c r="G82" i="4"/>
  <c r="G83" i="4"/>
  <c r="G84" i="4"/>
  <c r="G85" i="4"/>
  <c r="G86" i="4"/>
  <c r="G87" i="4"/>
  <c r="G88" i="4"/>
  <c r="G89" i="4"/>
  <c r="N8" i="3" s="1"/>
  <c r="G90" i="4"/>
  <c r="G91" i="4"/>
  <c r="G92" i="4"/>
  <c r="G93" i="4"/>
  <c r="G94" i="4"/>
  <c r="G95" i="4"/>
  <c r="G96" i="4"/>
  <c r="G97" i="4"/>
  <c r="G98" i="4"/>
  <c r="G99" i="4"/>
  <c r="G100" i="4"/>
  <c r="G101" i="4"/>
  <c r="N26" i="3" s="1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N27" i="3" s="1"/>
  <c r="G116" i="4"/>
  <c r="G117" i="4"/>
  <c r="G118" i="4"/>
  <c r="G119" i="4"/>
  <c r="G120" i="4"/>
  <c r="G121" i="4"/>
  <c r="G122" i="4"/>
  <c r="G123" i="4"/>
  <c r="G124" i="4"/>
  <c r="N20" i="3" s="1"/>
  <c r="G125" i="4"/>
  <c r="G126" i="4"/>
  <c r="G127" i="4"/>
  <c r="G128" i="4"/>
  <c r="G129" i="4"/>
  <c r="G130" i="4"/>
  <c r="N12" i="3" s="1"/>
  <c r="G131" i="4"/>
  <c r="G132" i="4"/>
  <c r="N21" i="3" s="1"/>
  <c r="G133" i="4"/>
  <c r="N13" i="3" s="1"/>
  <c r="G134" i="4"/>
  <c r="G135" i="4"/>
  <c r="G136" i="4"/>
  <c r="G137" i="4"/>
  <c r="N16" i="3" s="1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N14" i="3" s="1"/>
  <c r="G157" i="4"/>
  <c r="G158" i="4"/>
  <c r="G159" i="4"/>
  <c r="G160" i="4"/>
  <c r="G161" i="4"/>
  <c r="N23" i="3" s="1"/>
  <c r="G162" i="4"/>
  <c r="G163" i="4"/>
  <c r="G164" i="4"/>
  <c r="G165" i="4"/>
  <c r="G166" i="4"/>
  <c r="G167" i="4"/>
  <c r="N11" i="3" s="1"/>
  <c r="G168" i="4"/>
  <c r="G169" i="4"/>
  <c r="G170" i="4"/>
  <c r="G171" i="4"/>
  <c r="N31" i="3" s="1"/>
  <c r="G172" i="4"/>
  <c r="G173" i="4"/>
  <c r="G174" i="4"/>
  <c r="G175" i="4"/>
  <c r="G176" i="4"/>
  <c r="G177" i="4"/>
  <c r="G178" i="4"/>
  <c r="G179" i="4"/>
  <c r="G180" i="4"/>
  <c r="G181" i="4"/>
  <c r="N24" i="3" s="1"/>
  <c r="G182" i="4"/>
  <c r="G183" i="4"/>
  <c r="G184" i="4"/>
  <c r="G185" i="4"/>
  <c r="N25" i="3" s="1"/>
  <c r="G186" i="4"/>
  <c r="G187" i="4"/>
  <c r="G188" i="4"/>
  <c r="G189" i="4"/>
  <c r="G190" i="4"/>
  <c r="N32" i="3" s="1"/>
  <c r="G191" i="4"/>
  <c r="G192" i="4"/>
  <c r="G193" i="4"/>
  <c r="G194" i="4"/>
  <c r="G195" i="4"/>
  <c r="G196" i="4"/>
  <c r="G197" i="4"/>
  <c r="G198" i="4"/>
  <c r="G199" i="4"/>
  <c r="G200" i="4"/>
  <c r="G201" i="4"/>
  <c r="N33" i="3" s="1"/>
  <c r="G202" i="4"/>
  <c r="G203" i="4"/>
  <c r="G204" i="4"/>
  <c r="G205" i="4"/>
  <c r="G206" i="4"/>
  <c r="G207" i="4"/>
  <c r="G208" i="4"/>
  <c r="G209" i="4"/>
  <c r="G210" i="4"/>
  <c r="G211" i="4"/>
  <c r="G212" i="4"/>
  <c r="G213" i="4"/>
  <c r="N34" i="3" s="1"/>
  <c r="G214" i="4"/>
  <c r="G215" i="4"/>
  <c r="G216" i="4"/>
  <c r="G217" i="4"/>
  <c r="G218" i="4"/>
  <c r="G219" i="4"/>
  <c r="G220" i="4"/>
  <c r="N18" i="3" s="1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0" i="3" l="1"/>
  <c r="N22" i="3"/>
  <c r="N28" i="3"/>
  <c r="N29" i="3"/>
  <c r="N30" i="3"/>
  <c r="N7" i="3"/>
  <c r="N36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B3" i="6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" i="6" l="1"/>
  <c r="F4" i="6" s="1"/>
  <c r="F3" i="6"/>
  <c r="G3" i="6"/>
  <c r="I3" i="6"/>
  <c r="H3" i="6"/>
  <c r="J3" i="6"/>
  <c r="J8" i="1"/>
  <c r="J4" i="1"/>
  <c r="S8" i="1"/>
  <c r="S4" i="1"/>
  <c r="J4" i="6" l="1"/>
  <c r="I4" i="6"/>
  <c r="G4" i="6"/>
  <c r="H4" i="6"/>
  <c r="B5" i="6"/>
  <c r="S9" i="1"/>
  <c r="J9" i="1"/>
  <c r="B6" i="6" l="1"/>
  <c r="H5" i="6"/>
  <c r="J5" i="6"/>
  <c r="F5" i="6"/>
  <c r="G5" i="6"/>
  <c r="I5" i="6"/>
  <c r="S11" i="1"/>
  <c r="A11" i="1"/>
  <c r="B7" i="6" l="1"/>
  <c r="F6" i="6"/>
  <c r="I6" i="6"/>
  <c r="J6" i="6"/>
  <c r="G6" i="6"/>
  <c r="H6" i="6"/>
  <c r="B1" i="6"/>
  <c r="A5" i="3"/>
  <c r="B8" i="6" l="1"/>
  <c r="G7" i="6"/>
  <c r="H7" i="6"/>
  <c r="F7" i="6"/>
  <c r="I7" i="6"/>
  <c r="J7" i="6"/>
  <c r="G8" i="6" l="1"/>
  <c r="H8" i="6"/>
  <c r="I8" i="6"/>
  <c r="J8" i="6"/>
  <c r="F8" i="6"/>
  <c r="B9" i="6"/>
  <c r="H9" i="6" l="1"/>
  <c r="F9" i="6"/>
  <c r="G9" i="6"/>
  <c r="I9" i="6"/>
  <c r="J9" i="6"/>
  <c r="B10" i="6"/>
  <c r="B11" i="6" l="1"/>
  <c r="G10" i="6"/>
  <c r="H10" i="6"/>
  <c r="I10" i="6"/>
  <c r="J10" i="6"/>
  <c r="F10" i="6"/>
  <c r="B12" i="6" l="1"/>
  <c r="I11" i="6"/>
  <c r="G11" i="6"/>
  <c r="F11" i="6"/>
  <c r="H11" i="6"/>
  <c r="J11" i="6"/>
  <c r="G12" i="6" l="1"/>
  <c r="F12" i="6"/>
  <c r="H12" i="6"/>
  <c r="I12" i="6"/>
  <c r="J12" i="6"/>
  <c r="B13" i="6"/>
  <c r="H13" i="6" l="1"/>
  <c r="J13" i="6"/>
  <c r="F13" i="6"/>
  <c r="G13" i="6"/>
  <c r="I13" i="6"/>
  <c r="B14" i="6"/>
  <c r="B15" i="6" l="1"/>
  <c r="F14" i="6"/>
  <c r="G14" i="6"/>
  <c r="I14" i="6"/>
  <c r="H14" i="6"/>
  <c r="J14" i="6"/>
  <c r="F15" i="6" l="1"/>
  <c r="G15" i="6"/>
  <c r="J15" i="6"/>
  <c r="H15" i="6"/>
  <c r="I15" i="6"/>
  <c r="B16" i="6"/>
  <c r="G16" i="6" l="1"/>
  <c r="J16" i="6"/>
  <c r="F16" i="6"/>
  <c r="H16" i="6"/>
  <c r="I16" i="6"/>
  <c r="B17" i="6"/>
  <c r="B18" i="6" l="1"/>
  <c r="F17" i="6"/>
  <c r="G17" i="6"/>
  <c r="H17" i="6"/>
  <c r="I17" i="6"/>
  <c r="J17" i="6"/>
  <c r="B19" i="6" l="1"/>
  <c r="J18" i="6"/>
  <c r="F18" i="6"/>
  <c r="I18" i="6"/>
  <c r="G18" i="6"/>
  <c r="H18" i="6"/>
  <c r="B20" i="6" l="1"/>
  <c r="G19" i="6"/>
  <c r="H19" i="6"/>
  <c r="F19" i="6"/>
  <c r="I19" i="6"/>
  <c r="J19" i="6"/>
  <c r="G20" i="6" l="1"/>
  <c r="I20" i="6"/>
  <c r="J20" i="6"/>
  <c r="F20" i="6"/>
  <c r="H20" i="6"/>
  <c r="B21" i="6"/>
  <c r="B22" i="6" l="1"/>
  <c r="J21" i="6"/>
  <c r="F21" i="6"/>
  <c r="H21" i="6"/>
  <c r="G21" i="6"/>
  <c r="I21" i="6"/>
  <c r="B23" i="6" l="1"/>
  <c r="H22" i="6"/>
  <c r="F22" i="6"/>
  <c r="I22" i="6"/>
  <c r="J22" i="6"/>
  <c r="G22" i="6"/>
  <c r="B25" i="6" l="1"/>
  <c r="B24" i="6"/>
  <c r="G23" i="6"/>
  <c r="H23" i="6"/>
  <c r="F23" i="6"/>
  <c r="I23" i="6"/>
  <c r="J23" i="6"/>
  <c r="G24" i="6" l="1"/>
  <c r="H24" i="6"/>
  <c r="I24" i="6"/>
  <c r="J24" i="6"/>
  <c r="F24" i="6"/>
  <c r="H25" i="6"/>
  <c r="J25" i="6"/>
  <c r="G25" i="6"/>
  <c r="I25" i="6"/>
  <c r="F2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<sst xmlns="http://schemas.openxmlformats.org/spreadsheetml/2006/main" count="2750" uniqueCount="1032">
  <si>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</si>
  <si>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</si>
  <si>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</si>
  <si>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</si>
  <si>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</si>
  <si>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</si>
  <si>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</si>
  <si>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</si>
  <si>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</si>
  <si>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</si>
  <si>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</si>
  <si>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</si>
  <si>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</si>
  <si>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</si>
  <si>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</si>
  <si>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</si>
  <si>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</si>
  <si>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</si>
  <si>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</si>
  <si>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</si>
  <si>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</si>
  <si>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</si>
  <si>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</si>
  <si>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</si>
  <si>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</si>
  <si>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</si>
  <si>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</si>
  <si>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</si>
  <si>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</si>
  <si>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</si>
  <si>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</si>
  <si>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</si>
  <si>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</si>
  <si>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</si>
  <si>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</si>
  <si>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</si>
  <si>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</si>
  <si>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</si>
  <si>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</si>
  <si>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</si>
  <si>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</si>
  <si>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</si>
  <si>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</si>
  <si>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</si>
  <si>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</si>
  <si>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</si>
  <si>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</si>
  <si>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</si>
  <si>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</si>
  <si>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</si>
  <si>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</si>
  <si>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</si>
  <si>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</si>
  <si>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</si>
  <si>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</si>
  <si>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</si>
  <si>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</si>
  <si>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</si>
  <si>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</si>
  <si>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</si>
  <si>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</si>
  <si>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</si>
  <si>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</si>
  <si>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</si>
  <si>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</si>
  <si>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</si>
  <si>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</si>
  <si>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</si>
  <si>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</si>
  <si>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</si>
  <si>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</si>
  <si>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</si>
  <si>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</si>
  <si>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</si>
  <si>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</si>
  <si>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</si>
  <si>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</si>
  <si>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</si>
  <si>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</si>
  <si>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</si>
  <si>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</si>
  <si>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</si>
  <si>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</si>
  <si>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</si>
  <si>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</si>
  <si>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</si>
  <si>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</si>
  <si>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</si>
  <si>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</si>
  <si>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</si>
  <si>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</si>
  <si>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</si>
  <si>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</si>
  <si>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</si>
  <si>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</si>
  <si>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</si>
  <si>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</si>
  <si>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</si>
  <si>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</si>
  <si>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</si>
  <si>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</si>
  <si>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</si>
  <si>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</si>
  <si>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</si>
  <si>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</si>
  <si>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</si>
  <si>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</si>
  <si>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</si>
  <si>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</si>
  <si>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</si>
  <si>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</si>
  <si>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</si>
  <si>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</si>
  <si>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</si>
  <si>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</si>
  <si>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</si>
  <si>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</si>
  <si>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</si>
  <si>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</si>
  <si>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</si>
  <si>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</si>
  <si>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</si>
  <si>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</si>
  <si>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</si>
  <si>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</si>
  <si>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</si>
  <si>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</si>
  <si>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</si>
  <si>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</si>
  <si>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</si>
  <si>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</si>
  <si>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</si>
  <si>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</si>
  <si>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</si>
  <si>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</si>
  <si>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</si>
  <si>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</si>
  <si>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</si>
  <si>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</si>
  <si>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</si>
  <si>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</si>
  <si>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</si>
  <si>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</si>
  <si>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</si>
  <si>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</si>
  <si>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</si>
  <si>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</si>
  <si>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</si>
  <si>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</si>
  <si>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</si>
  <si>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</si>
  <si>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</si>
  <si>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</si>
  <si>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</si>
  <si>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</si>
  <si>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</si>
  <si>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</si>
  <si>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</si>
  <si>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</si>
  <si>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</si>
  <si>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</si>
  <si>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</si>
  <si>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</si>
  <si>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</si>
  <si>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</si>
  <si>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</si>
  <si>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</si>
  <si>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</si>
  <si>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</si>
  <si>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</si>
  <si>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</si>
  <si>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</si>
  <si>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</si>
  <si>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</si>
  <si>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</si>
  <si>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</si>
  <si>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</si>
  <si>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</si>
  <si>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</si>
  <si>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</si>
  <si>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</si>
  <si>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</si>
  <si>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</si>
  <si>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</si>
  <si>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</si>
  <si>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</si>
  <si>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</si>
  <si>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</si>
  <si>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</si>
  <si>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</si>
  <si>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</si>
  <si>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</si>
  <si>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</si>
  <si>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</si>
  <si>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</si>
  <si>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</si>
  <si>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</si>
  <si>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</si>
  <si>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</si>
  <si>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</si>
  <si>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</si>
  <si>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</si>
  <si>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</si>
  <si>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</si>
  <si>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</si>
  <si>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</si>
  <si>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</si>
  <si>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</si>
  <si>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</si>
  <si>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</si>
  <si>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</si>
  <si>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</si>
  <si>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</si>
  <si>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</si>
  <si>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</si>
  <si>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</si>
  <si>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</si>
  <si>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</si>
  <si>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</si>
  <si>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</si>
  <si>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</si>
  <si>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</si>
  <si>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</si>
  <si>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</si>
  <si>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</si>
  <si>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</si>
  <si>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</si>
  <si>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</si>
  <si>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</si>
  <si>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</si>
  <si>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</si>
  <si>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</si>
  <si>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</si>
  <si>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</si>
  <si>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</si>
  <si>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</si>
  <si>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</si>
  <si>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</si>
  <si>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</si>
  <si>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</si>
  <si>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</si>
  <si>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</si>
  <si>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</si>
  <si>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</si>
  <si>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</si>
  <si>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</si>
  <si>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</si>
  <si>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</si>
  <si>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</si>
  <si>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</si>
  <si>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</si>
  <si>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</si>
  <si>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</si>
  <si>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</si>
  <si>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</si>
  <si>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</si>
  <si>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</si>
  <si>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</si>
  <si>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</si>
  <si>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</si>
  <si>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</si>
  <si>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</si>
  <si>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</si>
  <si>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</si>
  <si>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</si>
  <si>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</si>
  <si>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</si>
  <si>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</si>
  <si>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</si>
  <si>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</si>
  <si>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</si>
  <si>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</si>
  <si>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</si>
  <si>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</si>
  <si>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</si>
  <si>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</si>
  <si>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</si>
  <si>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</si>
  <si>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</si>
  <si>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</si>
  <si>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</si>
  <si>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</si>
  <si>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</si>
  <si>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</si>
  <si>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</si>
  <si>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</si>
  <si>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</si>
  <si>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</si>
  <si>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</si>
  <si>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</si>
  <si>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</si>
  <si>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</si>
  <si>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</si>
  <si>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</si>
  <si>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</si>
  <si>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</si>
  <si>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</si>
  <si>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</si>
  <si>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</si>
  <si>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</si>
  <si>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</si>
  <si>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</si>
  <si>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</si>
  <si>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</si>
  <si>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</si>
  <si>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</si>
  <si>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</si>
  <si>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</si>
  <si>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</si>
  <si>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</si>
  <si>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</si>
  <si>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</si>
  <si>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</si>
  <si>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</si>
  <si>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</si>
  <si>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</si>
  <si>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</si>
  <si>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</si>
  <si>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</si>
  <si>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</si>
  <si>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</si>
  <si>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</si>
  <si>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</si>
  <si>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</si>
  <si>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</si>
  <si>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</si>
  <si>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</si>
  <si>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</si>
  <si>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</si>
  <si>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</si>
  <si>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</si>
  <si>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</si>
  <si>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</si>
  <si>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</si>
  <si>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</si>
  <si>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</si>
  <si>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</si>
  <si>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</si>
  <si>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</si>
  <si>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</si>
  <si>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</si>
  <si>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</si>
  <si>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</si>
  <si>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</si>
  <si>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</si>
  <si>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</si>
  <si>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</si>
  <si>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</si>
  <si>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</si>
  <si>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</si>
  <si>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</si>
  <si>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</si>
  <si>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</si>
  <si>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</si>
  <si>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</si>
  <si>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</si>
  <si>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</si>
  <si>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</si>
  <si>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</si>
  <si>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</si>
  <si>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</si>
  <si>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</si>
  <si>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</si>
  <si>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</si>
  <si>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</si>
  <si>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</si>
  <si>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</si>
  <si>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</si>
  <si>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</si>
  <si>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</si>
  <si>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</si>
  <si>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</si>
  <si>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</si>
  <si>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</si>
  <si>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</si>
  <si>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</si>
  <si>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</si>
  <si>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</si>
  <si>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</si>
  <si>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</si>
  <si>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</si>
  <si>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</si>
  <si>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</si>
  <si>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</si>
  <si>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</si>
  <si>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</si>
  <si>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</si>
  <si>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</si>
  <si>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</si>
  <si>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</si>
  <si>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</si>
  <si>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</si>
  <si>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</si>
  <si>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</si>
  <si>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</si>
  <si>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</si>
  <si>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</si>
  <si>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</si>
  <si>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</si>
  <si>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</si>
  <si>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</si>
  <si>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</si>
  <si>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</si>
  <si>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</si>
  <si>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</si>
  <si>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</si>
  <si>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</si>
  <si>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</si>
  <si>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</si>
  <si>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</si>
  <si>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</si>
  <si>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</si>
  <si>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</si>
  <si>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</si>
  <si>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</si>
  <si>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</si>
  <si>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</si>
  <si>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</si>
  <si>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</si>
  <si>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</si>
  <si>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</si>
  <si>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</si>
  <si>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</si>
  <si>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</si>
  <si>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</si>
  <si>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</si>
  <si>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</si>
  <si>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</si>
  <si>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</si>
  <si>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</si>
  <si>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</si>
  <si>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</si>
  <si>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</si>
  <si>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</si>
  <si>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</si>
  <si>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</si>
  <si>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</si>
  <si>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</si>
  <si>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</si>
  <si>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</si>
  <si>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</si>
  <si>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204:152</t>
  </si>
  <si>
    <t>204:460</t>
  </si>
  <si>
    <t>204:449</t>
  </si>
  <si>
    <t>rtdc.l.rtdc.4024:itc</t>
  </si>
  <si>
    <t>204:232998</t>
  </si>
  <si>
    <t>rtdc.l.rtdc.4023:itc</t>
  </si>
  <si>
    <t>204:457</t>
  </si>
  <si>
    <t>PAGE</t>
  </si>
  <si>
    <t>MARCUS</t>
  </si>
  <si>
    <t>204:467</t>
  </si>
  <si>
    <t>204:469</t>
  </si>
  <si>
    <t>204:473</t>
  </si>
  <si>
    <t>rtdc.l.rtdc.4003:itc</t>
  </si>
  <si>
    <t>SIGNAL</t>
  </si>
  <si>
    <t>Signal based authority (5)</t>
  </si>
  <si>
    <t>rtdc.l.rtdc.4004:itc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</si>
  <si>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</si>
  <si>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</si>
  <si>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</si>
  <si>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</si>
  <si>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</si>
  <si>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</si>
  <si>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</si>
  <si>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</si>
  <si>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</si>
  <si>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204:464</t>
  </si>
  <si>
    <t>rtdc.l.rtdc.4030:itc</t>
  </si>
  <si>
    <t>204:156</t>
  </si>
  <si>
    <t>Y</t>
  </si>
  <si>
    <t>LANGERAK</t>
  </si>
  <si>
    <t>WILLIAM</t>
  </si>
  <si>
    <t>204:145</t>
  </si>
  <si>
    <t>204:161</t>
  </si>
  <si>
    <t>204:132</t>
  </si>
  <si>
    <t>300:23302</t>
  </si>
  <si>
    <t>rtdc.l.rtdc.4005:itc</t>
  </si>
  <si>
    <t>rtdc.l.rtdc.4006:itc</t>
  </si>
  <si>
    <t>204:160</t>
  </si>
  <si>
    <t>204:163</t>
  </si>
  <si>
    <t>300:58933</t>
  </si>
  <si>
    <t>rtdc.l.rtdc.4064:itc</t>
  </si>
  <si>
    <t>242-02</t>
  </si>
  <si>
    <t>309-02</t>
  </si>
  <si>
    <t>244-02</t>
  </si>
  <si>
    <t>311-02</t>
  </si>
  <si>
    <t>313-02</t>
  </si>
  <si>
    <t>300-03</t>
  </si>
  <si>
    <t>ROCHA</t>
  </si>
  <si>
    <t>YAOTL</t>
  </si>
  <si>
    <t>partly-cloudy-night</t>
  </si>
  <si>
    <t>Partly Cloudy</t>
  </si>
  <si>
    <t>Mostly Cloudy</t>
  </si>
  <si>
    <t>204:233307</t>
  </si>
  <si>
    <t>204:170</t>
  </si>
  <si>
    <t>rtdc.l.rtdc.4063:itc</t>
  </si>
  <si>
    <t>rtdc.l.rtdc.4044:itc</t>
  </si>
  <si>
    <t>rtdc.l.rtdc.4043:itc</t>
  </si>
  <si>
    <t>partly-cloudy-day</t>
  </si>
  <si>
    <t>204:232978</t>
  </si>
  <si>
    <t>204:233316</t>
  </si>
  <si>
    <t>204:232988</t>
  </si>
  <si>
    <t>204:138</t>
  </si>
  <si>
    <t>204:440</t>
  </si>
  <si>
    <t>204:233291</t>
  </si>
  <si>
    <t>rtdc.l.rtdc.4049:itc</t>
  </si>
  <si>
    <t>rtdc.l.rtdc.4050:itc</t>
  </si>
  <si>
    <t>HELVIE</t>
  </si>
  <si>
    <t>ADAM</t>
  </si>
  <si>
    <t>311-07</t>
  </si>
  <si>
    <t>313-07</t>
  </si>
  <si>
    <t>204:233306</t>
  </si>
  <si>
    <t>204:233036</t>
  </si>
  <si>
    <t>204:442</t>
  </si>
  <si>
    <t>204:134</t>
  </si>
  <si>
    <t>204:233357</t>
  </si>
  <si>
    <t>204:233374</t>
  </si>
  <si>
    <t>SAFIEF</t>
  </si>
  <si>
    <t>AEIMEN</t>
  </si>
  <si>
    <t>clear-day</t>
  </si>
  <si>
    <t>Clear</t>
  </si>
  <si>
    <t>clear-night</t>
  </si>
  <si>
    <t>204:232977</t>
  </si>
  <si>
    <t>204:233005</t>
  </si>
  <si>
    <t>204:233299</t>
  </si>
  <si>
    <t>204:233349</t>
  </si>
  <si>
    <t>204:233295</t>
  </si>
  <si>
    <t>204:233346</t>
  </si>
  <si>
    <t>204:172</t>
  </si>
  <si>
    <t>300:58638</t>
  </si>
  <si>
    <t>rtdc.l.rtdc.4056:itc</t>
  </si>
  <si>
    <t>rtdc.l.rtdc.4012:itc</t>
  </si>
  <si>
    <t>rtdc.l.rtdc.4019:itc</t>
  </si>
  <si>
    <t>rtdc.l.rtdc.4015:itc</t>
  </si>
  <si>
    <t>rtdc.l.rtdc.4011:itc</t>
  </si>
  <si>
    <t>rtdc.l.rtdc.4029:itc</t>
  </si>
  <si>
    <t>rtdc.l.rtdc.4055:itc</t>
  </si>
  <si>
    <t>rtdc.l.rtdc.4020:itc</t>
  </si>
  <si>
    <t>236-09</t>
  </si>
  <si>
    <t>240-09</t>
  </si>
  <si>
    <t>DELGADO</t>
  </si>
  <si>
    <t>DIANAH</t>
  </si>
  <si>
    <t>HOLCOMB</t>
  </si>
  <si>
    <t>KAMDEN</t>
  </si>
  <si>
    <t>234-09</t>
  </si>
  <si>
    <t>239-09</t>
  </si>
  <si>
    <t>238-09</t>
  </si>
  <si>
    <t>241-09</t>
  </si>
  <si>
    <t>243-09</t>
  </si>
  <si>
    <t>307-09</t>
  </si>
  <si>
    <t>242-09</t>
  </si>
  <si>
    <t>309-09</t>
  </si>
  <si>
    <t>244-09</t>
  </si>
  <si>
    <t>311-09</t>
  </si>
  <si>
    <t>313-09</t>
  </si>
  <si>
    <t>300-10</t>
  </si>
  <si>
    <t>204:444</t>
  </si>
  <si>
    <t>204:471</t>
  </si>
  <si>
    <t>204:466</t>
  </si>
  <si>
    <t>204:232991</t>
  </si>
  <si>
    <t>204:233048</t>
  </si>
  <si>
    <t>204:480</t>
  </si>
  <si>
    <t>204:136</t>
  </si>
  <si>
    <t>204:233297</t>
  </si>
  <si>
    <t>204:233332</t>
  </si>
  <si>
    <t>204:233310</t>
  </si>
  <si>
    <t>204:232987</t>
  </si>
  <si>
    <t>204:233003</t>
  </si>
  <si>
    <t>204:233355</t>
  </si>
  <si>
    <t>204:478</t>
  </si>
  <si>
    <t>300:58924</t>
  </si>
  <si>
    <t>204:986</t>
  </si>
  <si>
    <t>300:58969</t>
  </si>
  <si>
    <t>204:978</t>
  </si>
  <si>
    <t>300:58944</t>
  </si>
  <si>
    <t>300:58624</t>
  </si>
  <si>
    <t>300:58606</t>
  </si>
  <si>
    <t>204:684</t>
  </si>
  <si>
    <t>300:58929</t>
  </si>
  <si>
    <t>300:58611</t>
  </si>
  <si>
    <t>300:58604</t>
  </si>
  <si>
    <t>Wi-MAX data drop</t>
  </si>
  <si>
    <t>rtdc.l.rtdc.4053:itc</t>
  </si>
  <si>
    <t>rtdc.l.rtdc.4054:itc</t>
  </si>
  <si>
    <t>rtdc.l.rtdc.4058:itc</t>
  </si>
  <si>
    <t>Early Arrival</t>
  </si>
  <si>
    <t>WENDY</t>
  </si>
  <si>
    <t>SULLIVAN</t>
  </si>
  <si>
    <t>BRANDON</t>
  </si>
  <si>
    <t>PERKINS</t>
  </si>
  <si>
    <t>DARREN</t>
  </si>
  <si>
    <t>307-10</t>
  </si>
  <si>
    <t>242-10</t>
  </si>
  <si>
    <t>309-10</t>
  </si>
  <si>
    <t>244-10</t>
  </si>
  <si>
    <t>311-10</t>
  </si>
  <si>
    <t>313-10</t>
  </si>
  <si>
    <t>precipType</t>
  </si>
  <si>
    <t>rain</t>
  </si>
  <si>
    <t>204:233328</t>
  </si>
  <si>
    <t>204:475</t>
  </si>
  <si>
    <t>204:232984</t>
  </si>
  <si>
    <t>204:233287</t>
  </si>
  <si>
    <t>204:233278</t>
  </si>
  <si>
    <t>204:233397</t>
  </si>
  <si>
    <t>204:233072</t>
  </si>
  <si>
    <t>204:121</t>
  </si>
  <si>
    <t>204:233314</t>
  </si>
  <si>
    <t>204:233286</t>
  </si>
  <si>
    <t>204:233360</t>
  </si>
  <si>
    <t>204:233283</t>
  </si>
  <si>
    <t>204:127</t>
  </si>
  <si>
    <t>204:233030</t>
  </si>
  <si>
    <t>204:433</t>
  </si>
  <si>
    <t>204:233311</t>
  </si>
  <si>
    <t>204:233320</t>
  </si>
  <si>
    <t>204:427</t>
  </si>
  <si>
    <t>204:233023</t>
  </si>
  <si>
    <t>204:167</t>
  </si>
  <si>
    <t>204:232967</t>
  </si>
  <si>
    <t>204:233042</t>
  </si>
  <si>
    <t>204:232982</t>
  </si>
  <si>
    <t>300:23310</t>
  </si>
  <si>
    <t>204:1154</t>
  </si>
  <si>
    <t>300:58626</t>
  </si>
  <si>
    <t>300:58926</t>
  </si>
  <si>
    <t>300:58609</t>
  </si>
  <si>
    <t>204:706</t>
  </si>
  <si>
    <t>204:673</t>
  </si>
  <si>
    <t>300:58636</t>
  </si>
  <si>
    <t>204:964</t>
  </si>
  <si>
    <t>300:58916</t>
  </si>
  <si>
    <t>1801-12</t>
  </si>
  <si>
    <t>123-12</t>
  </si>
  <si>
    <t>1804-12</t>
  </si>
  <si>
    <t>134-12</t>
  </si>
  <si>
    <t>1808-12</t>
  </si>
  <si>
    <t>147-12</t>
  </si>
  <si>
    <t>140-12</t>
  </si>
  <si>
    <t>153-12</t>
  </si>
  <si>
    <t>rtdc.l.rtdc.4016:itc</t>
  </si>
  <si>
    <t>163-12</t>
  </si>
  <si>
    <t>173-12</t>
  </si>
  <si>
    <t>174-12</t>
  </si>
  <si>
    <t>187-12</t>
  </si>
  <si>
    <t>183-12</t>
  </si>
  <si>
    <t>178-12</t>
  </si>
  <si>
    <t>184-12</t>
  </si>
  <si>
    <t>180-12</t>
  </si>
  <si>
    <t>192-12</t>
  </si>
  <si>
    <t>201-12</t>
  </si>
  <si>
    <t>205-12</t>
  </si>
  <si>
    <t>202-12</t>
  </si>
  <si>
    <t>206-12</t>
  </si>
  <si>
    <t>215-12</t>
  </si>
  <si>
    <t>216-12</t>
  </si>
  <si>
    <t>220-12</t>
  </si>
  <si>
    <t>225-12</t>
  </si>
  <si>
    <t>233-12</t>
  </si>
  <si>
    <t>243-12</t>
  </si>
  <si>
    <t>246-12</t>
  </si>
  <si>
    <t>245-11</t>
  </si>
  <si>
    <t>307-11</t>
  </si>
  <si>
    <t>244-11</t>
  </si>
  <si>
    <t>309-11</t>
  </si>
  <si>
    <t>246-11</t>
  </si>
  <si>
    <t>311-11</t>
  </si>
  <si>
    <t>313-11</t>
  </si>
  <si>
    <t>300-12</t>
  </si>
  <si>
    <t>MAELZER</t>
  </si>
  <si>
    <t>KURT</t>
  </si>
  <si>
    <t>101-12</t>
  </si>
  <si>
    <t>51-12</t>
  </si>
  <si>
    <t>BEAM</t>
  </si>
  <si>
    <t>ROSS</t>
  </si>
  <si>
    <t>302-12</t>
  </si>
  <si>
    <t>52-12</t>
  </si>
  <si>
    <t>304-12</t>
  </si>
  <si>
    <t>rtdc.l.rtdc.4032:itc</t>
  </si>
  <si>
    <t>103-12</t>
  </si>
  <si>
    <t>105-12</t>
  </si>
  <si>
    <t>102-12</t>
  </si>
  <si>
    <t>306-12</t>
  </si>
  <si>
    <t>GEBRETEKLE</t>
  </si>
  <si>
    <t>DAGNEW</t>
  </si>
  <si>
    <t>107-12</t>
  </si>
  <si>
    <t>53-12</t>
  </si>
  <si>
    <t>104-12</t>
  </si>
  <si>
    <t>109-12</t>
  </si>
  <si>
    <t>310-12</t>
  </si>
  <si>
    <t>DAVIDSON</t>
  </si>
  <si>
    <t>DAVID</t>
  </si>
  <si>
    <t>308-12</t>
  </si>
  <si>
    <t>LALONDE</t>
  </si>
  <si>
    <t>GREGORY</t>
  </si>
  <si>
    <t>111-12</t>
  </si>
  <si>
    <t>113-12</t>
  </si>
  <si>
    <t>106-12</t>
  </si>
  <si>
    <t>108-12</t>
  </si>
  <si>
    <t>312-12</t>
  </si>
  <si>
    <t>1901-12</t>
  </si>
  <si>
    <t>MACDONALD</t>
  </si>
  <si>
    <t>115-12</t>
  </si>
  <si>
    <t>110-12</t>
  </si>
  <si>
    <t>117-12</t>
  </si>
  <si>
    <t>NEWELL</t>
  </si>
  <si>
    <t>1800-12</t>
  </si>
  <si>
    <t>112-12</t>
  </si>
  <si>
    <t>119-12</t>
  </si>
  <si>
    <t>114-12</t>
  </si>
  <si>
    <t>121-12</t>
  </si>
  <si>
    <t>118-12</t>
  </si>
  <si>
    <t>116-12</t>
  </si>
  <si>
    <t>1802-12</t>
  </si>
  <si>
    <t>125-12</t>
  </si>
  <si>
    <t>122-12</t>
  </si>
  <si>
    <t>127-12</t>
  </si>
  <si>
    <t>120-12</t>
  </si>
  <si>
    <t>1803-12</t>
  </si>
  <si>
    <t>129-12</t>
  </si>
  <si>
    <t>124-12</t>
  </si>
  <si>
    <t>131-12</t>
  </si>
  <si>
    <t>126-12</t>
  </si>
  <si>
    <t>133-12</t>
  </si>
  <si>
    <t>128-12</t>
  </si>
  <si>
    <t>135-12</t>
  </si>
  <si>
    <t>1805-12</t>
  </si>
  <si>
    <t>130-12</t>
  </si>
  <si>
    <t>137-12</t>
  </si>
  <si>
    <t>132-12</t>
  </si>
  <si>
    <t>139-12</t>
  </si>
  <si>
    <t>1806-12</t>
  </si>
  <si>
    <t>136-12</t>
  </si>
  <si>
    <t>141-12</t>
  </si>
  <si>
    <t>143-12</t>
  </si>
  <si>
    <t>1807-12</t>
  </si>
  <si>
    <t>138-12</t>
  </si>
  <si>
    <t>145-12</t>
  </si>
  <si>
    <t>142-12</t>
  </si>
  <si>
    <t>149-12</t>
  </si>
  <si>
    <t>144-12</t>
  </si>
  <si>
    <t>146-12</t>
  </si>
  <si>
    <t>151-12</t>
  </si>
  <si>
    <t>1809-12</t>
  </si>
  <si>
    <t>55-12</t>
  </si>
  <si>
    <t>150-12</t>
  </si>
  <si>
    <t>148-12</t>
  </si>
  <si>
    <t>155-12</t>
  </si>
  <si>
    <t>1810-12</t>
  </si>
  <si>
    <t>157-12</t>
  </si>
  <si>
    <t>LOPES</t>
  </si>
  <si>
    <t>KIMBERLY</t>
  </si>
  <si>
    <t>152-12</t>
  </si>
  <si>
    <t>159-12</t>
  </si>
  <si>
    <t>1811-12</t>
  </si>
  <si>
    <t>154-12</t>
  </si>
  <si>
    <t>156-12</t>
  </si>
  <si>
    <t>161-12</t>
  </si>
  <si>
    <t>THOMPSON</t>
  </si>
  <si>
    <t>LESTER</t>
  </si>
  <si>
    <t>158-12</t>
  </si>
  <si>
    <t>1812-12</t>
  </si>
  <si>
    <t>160-12</t>
  </si>
  <si>
    <t>165-12</t>
  </si>
  <si>
    <t>BRUDER</t>
  </si>
  <si>
    <t>RICHARD</t>
  </si>
  <si>
    <t>167-12</t>
  </si>
  <si>
    <t>1813-12</t>
  </si>
  <si>
    <t>169-12</t>
  </si>
  <si>
    <t>162-12</t>
  </si>
  <si>
    <t>171-12</t>
  </si>
  <si>
    <t>164-12</t>
  </si>
  <si>
    <t>166-12</t>
  </si>
  <si>
    <t>1814-12</t>
  </si>
  <si>
    <t>168-12</t>
  </si>
  <si>
    <t>175-12</t>
  </si>
  <si>
    <t>1815-12</t>
  </si>
  <si>
    <t>170-12</t>
  </si>
  <si>
    <t>177-12</t>
  </si>
  <si>
    <t>172-12</t>
  </si>
  <si>
    <t>179-12</t>
  </si>
  <si>
    <t>1816-12</t>
  </si>
  <si>
    <t>181-12</t>
  </si>
  <si>
    <t>176-12</t>
  </si>
  <si>
    <t>1817-12</t>
  </si>
  <si>
    <t>MCREYNOLDS</t>
  </si>
  <si>
    <t>KYLE</t>
  </si>
  <si>
    <t>185-12</t>
  </si>
  <si>
    <t>182-12</t>
  </si>
  <si>
    <t>1818-12</t>
  </si>
  <si>
    <t>189-12</t>
  </si>
  <si>
    <t>191-12</t>
  </si>
  <si>
    <t>1819-12</t>
  </si>
  <si>
    <t>186-12</t>
  </si>
  <si>
    <t>193-12</t>
  </si>
  <si>
    <t>188-12</t>
  </si>
  <si>
    <t>195-12</t>
  </si>
  <si>
    <t>197-12</t>
  </si>
  <si>
    <t>190-12</t>
  </si>
  <si>
    <t>1820-12</t>
  </si>
  <si>
    <t>199-12</t>
  </si>
  <si>
    <t>194-12</t>
  </si>
  <si>
    <t>1821-12</t>
  </si>
  <si>
    <t>196-12</t>
  </si>
  <si>
    <t>198-12</t>
  </si>
  <si>
    <t>203-12</t>
  </si>
  <si>
    <t>1822-12</t>
  </si>
  <si>
    <t>75-12</t>
  </si>
  <si>
    <t>NELSON</t>
  </si>
  <si>
    <t>ARIANE</t>
  </si>
  <si>
    <t>200-12</t>
  </si>
  <si>
    <t>207-12</t>
  </si>
  <si>
    <t>1823-12</t>
  </si>
  <si>
    <t>209-12</t>
  </si>
  <si>
    <t>204-12</t>
  </si>
  <si>
    <t>211-12</t>
  </si>
  <si>
    <t>77-12</t>
  </si>
  <si>
    <t>1824-12</t>
  </si>
  <si>
    <t>213-12</t>
  </si>
  <si>
    <t>76-12</t>
  </si>
  <si>
    <t>HUFFSMITH</t>
  </si>
  <si>
    <t>MONTY</t>
  </si>
  <si>
    <t>208-12</t>
  </si>
  <si>
    <t>210-12</t>
  </si>
  <si>
    <t>217-12</t>
  </si>
  <si>
    <t>1825-12</t>
  </si>
  <si>
    <t>212-12</t>
  </si>
  <si>
    <t>219-12</t>
  </si>
  <si>
    <t>214-12</t>
  </si>
  <si>
    <t>1826-12</t>
  </si>
  <si>
    <t>301-12</t>
  </si>
  <si>
    <t>221-12</t>
  </si>
  <si>
    <t>1827-12</t>
  </si>
  <si>
    <t>218-12</t>
  </si>
  <si>
    <t>223-12</t>
  </si>
  <si>
    <t>1828-12</t>
  </si>
  <si>
    <t>305-12</t>
  </si>
  <si>
    <t>222-12</t>
  </si>
  <si>
    <t>1829-12</t>
  </si>
  <si>
    <t>227-12</t>
  </si>
  <si>
    <t>224-12</t>
  </si>
  <si>
    <t>1830-12</t>
  </si>
  <si>
    <t>226-12</t>
  </si>
  <si>
    <t>229-12</t>
  </si>
  <si>
    <t>MILLER</t>
  </si>
  <si>
    <t>KEVIN</t>
  </si>
  <si>
    <t>231-12</t>
  </si>
  <si>
    <t>228-12</t>
  </si>
  <si>
    <t>1831-12</t>
  </si>
  <si>
    <t>1832-12</t>
  </si>
  <si>
    <t>230-12</t>
  </si>
  <si>
    <t>1833-12</t>
  </si>
  <si>
    <t>235-12</t>
  </si>
  <si>
    <t>232-12</t>
  </si>
  <si>
    <t>1902-12</t>
  </si>
  <si>
    <t>234-12</t>
  </si>
  <si>
    <t>237-12</t>
  </si>
  <si>
    <t>236-12</t>
  </si>
  <si>
    <t>239-12</t>
  </si>
  <si>
    <t>241-12</t>
  </si>
  <si>
    <t>238-12</t>
  </si>
  <si>
    <t>240-12</t>
  </si>
  <si>
    <t>242-12</t>
  </si>
  <si>
    <t>245-12</t>
  </si>
  <si>
    <t>307-12</t>
  </si>
  <si>
    <t>244-12</t>
  </si>
  <si>
    <t>309-12</t>
  </si>
  <si>
    <t>311-12</t>
  </si>
  <si>
    <t>313-12</t>
  </si>
  <si>
    <t>300-13</t>
  </si>
  <si>
    <t>204:730</t>
  </si>
  <si>
    <t>204:233011</t>
  </si>
  <si>
    <t>204:233341</t>
  </si>
  <si>
    <t>204:233007</t>
  </si>
  <si>
    <t>204:233347</t>
  </si>
  <si>
    <t>204:233021</t>
  </si>
  <si>
    <t>204:232980</t>
  </si>
  <si>
    <t>204:233308</t>
  </si>
  <si>
    <t>204:233326</t>
  </si>
  <si>
    <t>204:232986</t>
  </si>
  <si>
    <t>204:233266</t>
  </si>
  <si>
    <t>204:387</t>
  </si>
  <si>
    <t>204:233312</t>
  </si>
  <si>
    <t>204:232985</t>
  </si>
  <si>
    <t>204:233000</t>
  </si>
  <si>
    <t>204:233215</t>
  </si>
  <si>
    <t>204:232989</t>
  </si>
  <si>
    <t>204:233274</t>
  </si>
  <si>
    <t>204:232992</t>
  </si>
  <si>
    <t>204:169</t>
  </si>
  <si>
    <t>204:233336</t>
  </si>
  <si>
    <t>204:233339</t>
  </si>
  <si>
    <t>204:422</t>
  </si>
  <si>
    <t>204:233338</t>
  </si>
  <si>
    <t>204:233027</t>
  </si>
  <si>
    <t>204:438</t>
  </si>
  <si>
    <t>204:86125</t>
  </si>
  <si>
    <t>204:86360</t>
  </si>
  <si>
    <t>204:1575</t>
  </si>
  <si>
    <t>204:233302</t>
  </si>
  <si>
    <t>204:233344</t>
  </si>
  <si>
    <t>204:233028</t>
  </si>
  <si>
    <t>204:233359</t>
  </si>
  <si>
    <t>204:233025</t>
  </si>
  <si>
    <t>204:232964</t>
  </si>
  <si>
    <t>204:165</t>
  </si>
  <si>
    <t>204:233315</t>
  </si>
  <si>
    <t>204:233364</t>
  </si>
  <si>
    <t>204:125</t>
  </si>
  <si>
    <t>204:233399</t>
  </si>
  <si>
    <t>204:233109</t>
  </si>
  <si>
    <t>204:233345</t>
  </si>
  <si>
    <t>204:233051</t>
  </si>
  <si>
    <t>204:233321</t>
  </si>
  <si>
    <t>204:764</t>
  </si>
  <si>
    <t>204:1055</t>
  </si>
  <si>
    <t>204:734</t>
  </si>
  <si>
    <t>204:1016</t>
  </si>
  <si>
    <t>204:701</t>
  </si>
  <si>
    <t>204:999</t>
  </si>
  <si>
    <t>300:58619</t>
  </si>
  <si>
    <t>204:762</t>
  </si>
  <si>
    <t>204:1044</t>
  </si>
  <si>
    <t>300:58912</t>
  </si>
  <si>
    <t>300:58592</t>
  </si>
  <si>
    <t>204:699</t>
  </si>
  <si>
    <t>204:995</t>
  </si>
  <si>
    <t>204:233353</t>
  </si>
  <si>
    <t>204:1049</t>
  </si>
  <si>
    <t>300:58922</t>
  </si>
  <si>
    <t>204:955</t>
  </si>
  <si>
    <t>300:58608</t>
  </si>
  <si>
    <t>204:731</t>
  </si>
  <si>
    <t>204:720</t>
  </si>
  <si>
    <t>204:1035</t>
  </si>
  <si>
    <t>300:58954</t>
  </si>
  <si>
    <t>204:992</t>
  </si>
  <si>
    <t>300:58939</t>
  </si>
  <si>
    <t>204:129</t>
  </si>
  <si>
    <t>300:58623</t>
  </si>
  <si>
    <t>204:1000</t>
  </si>
  <si>
    <t>300:58946</t>
  </si>
  <si>
    <t>204:668</t>
  </si>
  <si>
    <t>300:58961</t>
  </si>
  <si>
    <t>300:58640</t>
  </si>
  <si>
    <t>204:713</t>
  </si>
  <si>
    <t>204:1014</t>
  </si>
  <si>
    <t>300:58943</t>
  </si>
  <si>
    <t>204:724</t>
  </si>
  <si>
    <t>204:233038</t>
  </si>
  <si>
    <t>204:233034</t>
  </si>
  <si>
    <t>204:1349</t>
  </si>
  <si>
    <t>204:233402</t>
  </si>
  <si>
    <t>204:233117</t>
  </si>
  <si>
    <t>300:30059</t>
  </si>
  <si>
    <t>204:489</t>
  </si>
  <si>
    <t>204:233385</t>
  </si>
  <si>
    <t>204:233361</t>
  </si>
  <si>
    <t>204:233403</t>
  </si>
  <si>
    <t>204:233069</t>
  </si>
  <si>
    <t>204:233083</t>
  </si>
  <si>
    <t>204:233103</t>
  </si>
  <si>
    <t>204:435</t>
  </si>
  <si>
    <t>204:233044</t>
  </si>
  <si>
    <t>204:233106</t>
  </si>
  <si>
    <t>204:233065</t>
  </si>
  <si>
    <t>204:110</t>
  </si>
  <si>
    <t>204:233415</t>
  </si>
  <si>
    <t>204:233110</t>
  </si>
  <si>
    <t>204:482</t>
  </si>
  <si>
    <t>204:233330</t>
  </si>
  <si>
    <t>204:426</t>
  </si>
  <si>
    <t>204:233401</t>
  </si>
  <si>
    <t>204:233074</t>
  </si>
  <si>
    <t>204:109</t>
  </si>
  <si>
    <t>204:232961</t>
  </si>
  <si>
    <t>204:233046</t>
  </si>
  <si>
    <t>204:123</t>
  </si>
  <si>
    <t>204:233327</t>
  </si>
  <si>
    <t>204:233017</t>
  </si>
  <si>
    <t>204:233289</t>
  </si>
  <si>
    <t>300:22053</t>
  </si>
  <si>
    <t>300:19554</t>
  </si>
  <si>
    <t>300:23576</t>
  </si>
  <si>
    <t>300:23510</t>
  </si>
  <si>
    <t>300:23295</t>
  </si>
  <si>
    <t>300:23574</t>
  </si>
  <si>
    <t>300:26586</t>
  </si>
  <si>
    <t>204:407</t>
  </si>
  <si>
    <t>300:23306</t>
  </si>
  <si>
    <t>300:22092</t>
  </si>
  <si>
    <t>204:420</t>
  </si>
  <si>
    <t>300:23614</t>
  </si>
  <si>
    <t>204:78</t>
  </si>
  <si>
    <t>300:23312</t>
  </si>
  <si>
    <t>204:3395</t>
  </si>
  <si>
    <t>204:3034</t>
  </si>
  <si>
    <t>204:1156</t>
  </si>
  <si>
    <t>204:3012</t>
  </si>
  <si>
    <t>204:1471</t>
  </si>
  <si>
    <t>204:3332</t>
  </si>
  <si>
    <t>204:4946</t>
  </si>
  <si>
    <t>204:1475</t>
  </si>
  <si>
    <t>204:5259</t>
  </si>
  <si>
    <t>204:1479</t>
  </si>
  <si>
    <t>204:1662</t>
  </si>
  <si>
    <t>300:22944</t>
  </si>
  <si>
    <t>204:1891</t>
  </si>
  <si>
    <t>204:1158</t>
  </si>
  <si>
    <t>start /low /b %USERPROFILE%\Documents\GitHub\eaglep3\Utilities\DownloadLogsFromS3.py --loco 4017 --day 2017-08-12</t>
  </si>
  <si>
    <t>start /low /b %USERPROFILE%\Documents\GitHub\eaglep3\Utilities\DownloadLogsFromS3.py --loco 4064 --day 2017-08-12</t>
  </si>
  <si>
    <t>start /low /b %USERPROFILE%\Documents\GitHub\eaglep3\Utilities\DownloadLogsFromS3.py --loco 4002 --day 2017-08-12</t>
  </si>
  <si>
    <t>start /low /b %USERPROFILE%\Documents\GitHub\eaglep3\Utilities\DownloadLogsFromS3.py --loco 4015 --day 2017-08-12</t>
  </si>
  <si>
    <t>start /low /b %USERPROFILE%\Documents\GitHub\eaglep3\Utilities\DownloadLogsFromS3.py --loco 4016 --day 2017-08-12</t>
  </si>
  <si>
    <t>start /low /b %USERPROFILE%\Documents\GitHub\eaglep3\Utilities\DownloadLogsFromS3.py --loco 4050 --day 2017-08-12</t>
  </si>
  <si>
    <t>start /low /b %USERPROFILE%\Documents\GitHub\eaglep3\Utilities\DownloadLogsFromS3.py --loco 4013 --day 2017-08-12</t>
  </si>
  <si>
    <t>start /low /b %USERPROFILE%\Documents\GitHub\eaglep3\Utilities\DownloadLogsFromS3.py --loco 4049 --day 2017-08-12</t>
  </si>
  <si>
    <t>start /low /b %USERPROFILE%\Documents\GitHub\eaglep3\Utilities\DownloadLogsFromS3.py --loco 4001 --day 2017-08-13</t>
  </si>
  <si>
    <t>start /low /b %USERPROFILE%\Documents\GitHub\eaglep3\Utilities\DownloadLogsFromS3.py --loco 4042 --day 2017-08-12</t>
  </si>
  <si>
    <t>start /low /b %USERPROFILE%\Documents\GitHub\eaglep3\Utilities\DownloadLogsFromS3.py --loco 4063 --day 2017-08-12</t>
  </si>
  <si>
    <t>start /low /b %USERPROFILE%\Documents\GitHub\eaglep3\Utilities\DownloadLogsFromS3.py --loco 4041 --day 2017-08-12</t>
  </si>
  <si>
    <t>start /low /b %USERPROFILE%\Documents\GitHub\eaglep3\Utilities\DownloadLogsFromS3.py --loco 4063 --day 2017-08-13</t>
  </si>
  <si>
    <t>start /low /b %USERPROFILE%\Documents\GitHub\eaglep3\Utilities\DownloadLogsFromS3.py --loco 4015 --day 2017-08-13</t>
  </si>
  <si>
    <t>start /low /b %USERPROFILE%\Documents\GitHub\eaglep3\Utilities\DownloadLogsFromS3.py --loco 4014 --day 2017-08-12</t>
  </si>
  <si>
    <t>start /low /b %USERPROFILE%\Documents\GitHub\eaglep3\Utilities\DownloadLogsFromS3.py --loco 4064 --day 2017-08-13</t>
  </si>
  <si>
    <t>start /low /b %USERPROFILE%\Documents\GitHub\eaglep3\Utilities\DownloadLogsFromS3.py --loco 4050 --day 2017-08-13</t>
  </si>
  <si>
    <t>start /low /b %USERPROFILE%\Documents\GitHub\eaglep3\Utilities\DownloadLogsFromS3.py --loco 4016 --day 2017-08-13</t>
  </si>
  <si>
    <t>start /low /b %USERPROFILE%\Documents\GitHub\eaglep3\Utilities\DownloadLogsFromS3.py --loco 4055 --day 2017-08-12</t>
  </si>
  <si>
    <t>start /low /b %USERPROFILE%\Documents\GitHub\eaglep3\Utilities\DownloadLogsFromS3.py --loco 4056 --day 2017-08-12</t>
  </si>
  <si>
    <t>Onboard in-route failure</t>
  </si>
  <si>
    <t>Did not perform departure test (after cycle from 211-12 incident)</t>
  </si>
  <si>
    <t>Re-init at Peoria due to Clayton Xing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</si>
</sst>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1"/>
  <sheetViews>
    <sheetView tabSelected="1" workbookViewId="0">
      <selection activeCell="R125" sqref="R125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42959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42959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COUNTIFS($N$13:$N$9304,"&gt;0",$AG$13:$AG$9304,I1)</f>
        <v>144</v>
      </c>
      <c r="K5" s="39"/>
      <c r="L5" s="39"/>
      <c r="M5" s="40">
        <f>AVERAGEIFS($N$13:$N$9304,$AG$13:$AG$9304,I1)</f>
        <v>37.550347222422715</v>
      </c>
      <c r="N5" s="38">
        <f t="array" ref="N5">MIN(IF($AG$13:$AG$9304=I1,IF(ISNUMBER($N$13:$N$9304),IF($N$13:$N$9304&gt;0,$N$13:$N$9304))))</f>
        <v>34.283333332277834</v>
      </c>
      <c r="O5" s="3">
        <f t="array" ref="O5">MAX(IF($AG$13:$AG$9304=I1,IF(ISNUMBER($N$13:$N$9304),IF($N$13:$N$9304&gt;0,$N$13:$N$9304))))</f>
        <v>50.033333336468786</v>
      </c>
      <c r="P5" s="2"/>
      <c r="R5" s="166" t="s">
        <v>17</v>
      </c>
      <c r="S5" s="186">
        <f>COUNTIFS($N$13:$N$9304,"&gt;0",$AG$13:$AG$9304,R1)</f>
        <v>34</v>
      </c>
      <c r="T5" s="187"/>
      <c r="U5" s="187"/>
      <c r="V5" s="183">
        <f>AVERAGEIFS($N$13:$N$9304,$AG$13:$AG$9304,R1)</f>
        <v>14.780882352771346</v>
      </c>
      <c r="W5" s="184">
        <f t="array" ref="W5">MIN(IF($AG$13:$AG$9304=R1,IF(ISNUMBER($N$13:$N$9304),IF($N$13:$N$9304&gt;0,$N$13:$N$9304))))</f>
        <v>13.000000000465661</v>
      </c>
      <c r="X5" s="185">
        <f t="array" ref="X5">MAX(IF($AG$13:$AG$9304=R1,IF(ISNUMBER($N$13:$N$9304),IF($N$13:$N$9304&gt;0,$N$13:$N$9304))))</f>
        <v>18.866666676476598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COUNT($O$13:$O$123)</f>
        <v>0</v>
      </c>
      <c r="K6" s="39"/>
      <c r="L6" s="39"/>
      <c r="M6" s="40">
        <f>IFERROR(AVERAGE($O$13:$O$123),0)</f>
        <v>0</v>
      </c>
      <c r="N6" s="38">
        <f>MIN($O$13:$O$123)</f>
        <v>0</v>
      </c>
      <c r="O6" s="3">
        <f>MAX($O$13:$O$123)</f>
        <v>0</v>
      </c>
      <c r="P6" s="2"/>
      <c r="R6" s="167" t="s">
        <v>43</v>
      </c>
      <c r="S6" s="186">
        <f>COUNT($O$13:$O$123)</f>
        <v>0</v>
      </c>
      <c r="T6" s="187"/>
      <c r="U6" s="187"/>
      <c r="V6" s="183">
        <f>IFERROR(AVERAGE($O$13:$O$123),0)</f>
        <v>0</v>
      </c>
      <c r="W6" s="184">
        <f>MIN($O$13:$O$123)</f>
        <v>0</v>
      </c>
      <c r="X6" s="185">
        <f>MAX($O$13:$O$123)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COUNTIFS($P$13:$P$9304,"&gt;0",$AG$13:$AG$9304,I1)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COUNTIFS($P$13:$P$9304,"&gt;0",$AG$13:$AG$9304,R1)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39"/>
      <c r="M8" s="40">
        <f>M5</f>
        <v>37.550347222422715</v>
      </c>
      <c r="N8" s="38">
        <f>N5</f>
        <v>34.283333332277834</v>
      </c>
      <c r="O8" s="3">
        <f>O5</f>
        <v>50.033333336468786</v>
      </c>
      <c r="P8" s="2"/>
      <c r="R8" s="166" t="s">
        <v>16</v>
      </c>
      <c r="S8" s="186">
        <f>S5</f>
        <v>34</v>
      </c>
      <c r="T8" s="187"/>
      <c r="U8" s="187"/>
      <c r="V8" s="183">
        <f>V5</f>
        <v>14.780882352771346</v>
      </c>
      <c r="W8" s="184">
        <f>W5</f>
        <v>13.000000000465661</v>
      </c>
      <c r="X8" s="185">
        <f>X5</f>
        <v>18.866666676476598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0.98630136986301364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- 2017-08-12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AVERAGE(S13:S99)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671</v>
      </c>
      <c r="B13" s="7">
        <v>4018</v>
      </c>
      <c r="C13" s="21" t="s">
        <v>198</v>
      </c>
      <c r="D13" s="21" t="s">
        <v>870</v>
      </c>
      <c r="E13" s="13">
        <v>42959.131249999999</v>
      </c>
      <c r="F13" s="13">
        <v>42959.135949074072</v>
      </c>
      <c r="G13" s="7">
        <v>1</v>
      </c>
      <c r="H13" s="21" t="s">
        <v>564</v>
      </c>
      <c r="I13" s="13">
        <v>42959.161307870374</v>
      </c>
      <c r="J13" s="7">
        <v>0</v>
      </c>
      <c r="K13" s="89" t="str">
        <f t="shared" ref="K13:K44" si="0">IF(ISEVEN(B13),(B13-1)&amp;"/"&amp;B13,B13&amp;"/"&amp;(B13+1))</f>
        <v>4017/4018</v>
      </c>
      <c r="L13" s="21" t="str">
        <f>VLOOKUP(A13,'Trips&amp;Operators'!$C$1:$G$99999,5,FALSE)</f>
        <v>MAELZER KURT</v>
      </c>
      <c r="M13" s="6">
        <f t="shared" ref="M13:M44" si="1">I13-F13</f>
        <v>2.5358796301588882E-2</v>
      </c>
      <c r="N13" s="7">
        <f t="shared" ref="N13:N51" si="2">24*60*SUM($M13:$M13)</f>
        <v>36.51666667428799</v>
      </c>
      <c r="O13" s="7"/>
      <c r="P13" s="7"/>
      <c r="Q13" s="22"/>
      <c r="R13" s="170"/>
      <c r="S13" s="213">
        <f t="shared" ref="S13:S51" si="3">1/IF(AG13="EC",12,1)*SUM(U13:U13)</f>
        <v>1</v>
      </c>
      <c r="T13" s="195" t="str">
        <f t="shared" ref="T13:T44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-12T02:09:00-0600',mode:absolute,to:'2017-08-12T04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37" si="7">RIGHT(D13,LEN(D13)-4)/10000</f>
        <v>7.2999999999999995E-2</v>
      </c>
      <c r="Z13" s="197">
        <f t="shared" ref="Z13:Z37" si="8">RIGHT(H13,LEN(H13)-4)/10000</f>
        <v>23.333200000000001</v>
      </c>
      <c r="AA13" s="197">
        <f t="shared" ref="AA13:AA44" si="9">ABS(Z13-Y13)</f>
        <v>23.260200000000001</v>
      </c>
      <c r="AB13" s="54" t="e">
        <f>VLOOKUP(A13,Enforcements!$C$7:$K$12,8,0)</f>
        <v>#N/A</v>
      </c>
      <c r="AC13" s="51" t="e">
        <f>VLOOKUP(A13,Enforcements!$C$7:$E$12,3,0)</f>
        <v>#N/A</v>
      </c>
      <c r="AD13" s="206">
        <f t="shared" ref="AD13:AD44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"%USERPROFILE%\AppData\Local\Temp\OnboardLogs"\RTDC4018\2017-08-12 --exclude "*" --recursive --include "*20170812*" &amp; "%USERPROFILE%\Documents\GitHub\mrs-test-scripts\Headless Mode &amp; Sideloading\WalkAndUnGZ.bat" "%USERPROFILE%\AppData\Local\Temp\OnboardLogs"\RTDC4018\2017-08-12 &amp; aws s3 cp s3://rtdc.mdm.uploadarchive.raw/RTDC4018/ "%USERPROFILE%\AppData\Local\Temp\OnboardLogs"\RTDC4018\2017-08-13 --exclude "*" --recursive --include "*20170813*" &amp; "%USERPROFILE%\Documents\GitHub\mrs-test-scripts\Headless Mode &amp; Sideloading\WalkAndUnGZ.bat" "%USERPROFILE%\AppData\Local\Temp\OnboardLogs"\RTDC4018\2017-08-13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/stypes="app*4018*20170812*" /stext=" 09:.+((SYSTEM_STATE.+slice.+state.+changed )|(ment ac)|(multiple cpu faults)|(system.+state.+changed )|(\[timeout)|(PRM\|1\|D)|(kpr)|(kdp)|(train st.+moving)|(\|lc)|(penalty))"</v>
      </c>
      <c r="AG13" s="209" t="str">
        <f t="shared" ref="AG13:AG44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4018 --swversion DE.1.0.9.0 --startMP 204:730 --initTime 2017-08-12T03:09:00 --startdatetime 2017-08-12T03:15:46 --delay 1 --endMP 204:233332 --enddatetime 2017-08-12T03:52:17 --enforcementcount 0 &gt;&gt;C:\Users\stu\Documents\GitHub\eaglep3-reporting\EC\2017-08-12-refined-times.txt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{"issue":{"subject":"","project_id":79,"tracker_id":40,"status_id":1,"priority_id":2,"assigned_to_id":23,"start_date":"2017-08-12","description":"","custom_fields":[{"id":1,"name":"Subdivision","value":"EC"},{"id":4,"name":"Milepost","value":"23.3332"},{"id":17,"name":"Train ID","value":"101-12"},{"id":16,"name":"Locomotive ID","value":"4018"},{"id":130,"name":"Impact","value":""},{"id":150,"name":"Time of Event (Mountain Time)","value":"03:52:17"},{"id":151,"name":"Denver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4018 --day 2017-08-12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09:52:17"},{"id":29,"name":"Sharepoint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681</v>
      </c>
      <c r="B14" s="7">
        <v>4017</v>
      </c>
      <c r="C14" s="21" t="s">
        <v>198</v>
      </c>
      <c r="D14" s="21" t="s">
        <v>871</v>
      </c>
      <c r="E14" s="13">
        <v>42959.166284722225</v>
      </c>
      <c r="F14" s="13">
        <v>42959.175196759257</v>
      </c>
      <c r="G14" s="7">
        <v>1</v>
      </c>
      <c r="H14" s="21" t="s">
        <v>348</v>
      </c>
      <c r="I14" s="13">
        <v>42959.201388888891</v>
      </c>
      <c r="J14" s="7">
        <v>0</v>
      </c>
      <c r="K14" s="89" t="str">
        <f t="shared" si="0"/>
        <v>4017/4018</v>
      </c>
      <c r="L14" s="21" t="str">
        <f>VLOOKUP(A14,'Trips&amp;Operators'!$C$1:$G$99999,5,FALSE)</f>
        <v>MAELZER KURT</v>
      </c>
      <c r="M14" s="6">
        <f t="shared" si="1"/>
        <v>2.6192129633272998E-2</v>
      </c>
      <c r="N14" s="7">
        <f t="shared" si="2"/>
        <v>37.716666671913117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-08-12T02:59:27-0600',mode:absolute,to:'2017-08-12T05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23.301100000000002</v>
      </c>
      <c r="Z14" s="197">
        <f t="shared" si="8"/>
        <v>1.3899999999999999E-2</v>
      </c>
      <c r="AA14" s="197">
        <f t="shared" si="9"/>
        <v>23.287200000000002</v>
      </c>
      <c r="AB14" s="54" t="e">
        <f>VLOOKUP(A14,Enforcements!$C$7:$K$12,8,0)</f>
        <v>#N/A</v>
      </c>
      <c r="AC14" s="51" t="e">
        <f>VLOOKUP(A14,Enforcements!$C$7:$E$12,3,0)</f>
        <v>#N/A</v>
      </c>
      <c r="AD14" s="206">
        <f t="shared" si="10"/>
        <v>102</v>
      </c>
      <c r="AE14" s="77" t="str">
        <f t="shared" si="11"/>
        <v>aws s3 cp s3://rtdc.mdm.uploadarchive.raw/RTDC4017/ "%USERPROFILE%\AppData\Local\Temp\OnboardLogs"\RTDC4017\2017-08-12 --exclude "*" --recursive --include "*20170812*" &amp; "%USERPROFILE%\Documents\GitHub\mrs-test-scripts\Headless Mode &amp; Sideloading\WalkAndUnGZ.bat" "%USERPROFILE%\AppData\Local\Temp\OnboardLogs"\RTDC4017\2017-08-12 &amp; aws s3 cp s3://rtdc.mdm.uploadarchive.raw/RTDC4017/ "%USERPROFILE%\AppData\Local\Temp\OnboardLogs"\RTDC4017\2017-08-13 --exclude "*" --recursive --include "*20170813*" &amp; "%USERPROFILE%\Documents\GitHub\mrs-test-scripts\Headless Mode &amp; Sideloading\WalkAndUnGZ.bat" "%USERPROFILE%\AppData\Local\Temp\OnboardLogs"\RTDC4017\2017-08-13</v>
      </c>
      <c r="AF14" s="74" t="str">
        <f t="shared" si="12"/>
        <v>"C:\Program Files (x86)\AstroGrep\AstroGrep.exe" /e /r /s /spath="%USERPROFILE%\AppData\Local\Temp\OnboardLogs" /stypes="app*4017*20170812*"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8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4017 --swversion DE.1.0.9.0 --startMP 204:233011 --initTime 2017-08-12T03:59:27 --startdatetime 2017-08-12T04:12:17 --delay 1 --endMP 204:139 --enddatetime 2017-08-12T04:50:00 --enforcementcount 0 &gt;&gt;C:\Users\stu\Documents\GitHub\eaglep3-reporting\EC\2017-08-12-refined-times.txt</v>
      </c>
      <c r="AI14" s="96" t="str">
        <f t="shared" ref="AI14:AI78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{"issue":{"subject":"","project_id":79,"tracker_id":40,"status_id":1,"priority_id":2,"assigned_to_id":23,"start_date":"2017-08-12","description":"","custom_fields":[{"id":1,"name":"Subdivision","value":"EC"},{"id":4,"name":"Milepost","value":"0.0139"},{"id":17,"name":"Train ID","value":"102-12"},{"id":16,"name":"Locomotive ID","value":"4017"},{"id":130,"name":"Impact","value":""},{"id":150,"name":"Time of Event (Mountain Time)","value":"04:50:00"},{"id":151,"name":"Denver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8" si="20">"start /low /b "&amp;dls3logs&amp;" --loco "&amp;B14&amp;" --day "&amp;TEXT(F14,"YYYY-MM-DD")</f>
        <v>start /low /b %USERPROFILE%\Documents\GitHub\eaglep3\Utilities\DownloadLogsFromS3.py --loco 4017 --day 2017-08-12</v>
      </c>
      <c r="AN14" s="151" t="str">
        <f t="shared" ref="AN14:AN78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10:50:00"},{"id":29,"name":"Sharepoint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679</v>
      </c>
      <c r="B15" s="7">
        <v>4032</v>
      </c>
      <c r="C15" s="21" t="s">
        <v>198</v>
      </c>
      <c r="D15" s="21" t="s">
        <v>404</v>
      </c>
      <c r="E15" s="13">
        <v>42959.15221064815</v>
      </c>
      <c r="F15" s="13">
        <v>42959.156828703701</v>
      </c>
      <c r="G15" s="7">
        <v>1</v>
      </c>
      <c r="H15" s="21" t="s">
        <v>614</v>
      </c>
      <c r="I15" s="13">
        <v>42959.182083333333</v>
      </c>
      <c r="J15" s="7">
        <v>0</v>
      </c>
      <c r="K15" s="89" t="str">
        <f t="shared" si="0"/>
        <v>4031/4032</v>
      </c>
      <c r="L15" s="21" t="str">
        <f>VLOOKUP(A15,'Trips&amp;Operators'!$C$1:$G$99999,5,FALSE)</f>
        <v>WILLIAMS DONTE</v>
      </c>
      <c r="M15" s="6">
        <f t="shared" si="1"/>
        <v>2.5254629632399883E-2</v>
      </c>
      <c r="N15" s="7">
        <f t="shared" si="2"/>
        <v>36.366666670655832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-12T02:39:11-0600',mode:absolute,to:'2017-08-12T05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4.58E-2</v>
      </c>
      <c r="Z15" s="197">
        <f t="shared" si="8"/>
        <v>23.331099999999999</v>
      </c>
      <c r="AA15" s="197">
        <f t="shared" si="9"/>
        <v>23.285299999999999</v>
      </c>
      <c r="AB15" s="54" t="e">
        <f>VLOOKUP(A15,Enforcements!$C$7:$K$12,8,0)</f>
        <v>#N/A</v>
      </c>
      <c r="AC15" s="51" t="e">
        <f>VLOOKUP(A15,Enforcements!$C$7:$E$12,3,0)</f>
        <v>#N/A</v>
      </c>
      <c r="AD15" s="206">
        <f t="shared" si="10"/>
        <v>103</v>
      </c>
      <c r="AE15" s="77" t="str">
        <f t="shared" si="11"/>
        <v>aws s3 cp s3://rtdc.mdm.uploadarchive.raw/RTDC4032/ "%USERPROFILE%\AppData\Local\Temp\OnboardLogs"\RTDC4032\2017-08-12 --exclude "*" --recursive --include "*20170812*" &amp; "%USERPROFILE%\Documents\GitHub\mrs-test-scripts\Headless Mode &amp; Sideloading\WalkAndUnGZ.bat" "%USERPROFILE%\AppData\Local\Temp\OnboardLogs"\RTDC4032\2017-08-12 &amp; aws s3 cp s3://rtdc.mdm.uploadarchive.raw/RTDC4032/ "%USERPROFILE%\AppData\Local\Temp\OnboardLogs"\RTDC4032\2017-08-13 --exclude "*" --recursive --include "*20170813*" &amp; "%USERPROFILE%\Documents\GitHub\mrs-test-scripts\Headless Mode &amp; Sideloading\WalkAndUnGZ.bat" "%USERPROFILE%\AppData\Local\Temp\OnboardLogs"\RTDC4032\2017-08-13</v>
      </c>
      <c r="AF15" s="74" t="str">
        <f t="shared" si="12"/>
        <v>"C:\Program Files (x86)\AstroGrep\AstroGrep.exe" /e /r /s /spath="%USERPROFILE%\AppData\Local\Temp\OnboardLogs" /stypes="app*4032*20170812*"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103-12 --locoid 4032 --swversion DE.1.0.9.0 --startMP 204:458 --initTime 2017-08-12T03:39:11 --startdatetime 2017-08-12T03:45:50 --delay 1 --endMP 204:233311 --enddatetime 2017-08-12T04:22:12 --enforcementcount 0 &gt;&gt;C:\Users\stu\Documents\GitHub\eaglep3-reporting\EC\2017-08-12-refined-times.txt</v>
      </c>
      <c r="AI15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{"issue":{"subject":"","project_id":79,"tracker_id":40,"status_id":1,"priority_id":2,"assigned_to_id":23,"start_date":"2017-08-12","description":"","custom_fields":[{"id":1,"name":"Subdivision","value":"EC"},{"id":4,"name":"Milepost","value":"23.3311"},{"id":17,"name":"Train ID","value":"103-12"},{"id":16,"name":"Locomotive ID","value":"4032"},{"id":130,"name":"Impact","value":""},{"id":150,"name":"Time of Event (Mountain Time)","value":"04:22:12"},{"id":151,"name":"Denver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4032 --day 2017-08-12</v>
      </c>
      <c r="AN15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10:22:12"},{"id":29,"name":"Sharepoint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687</v>
      </c>
      <c r="B16" s="7">
        <v>4031</v>
      </c>
      <c r="C16" s="21" t="s">
        <v>198</v>
      </c>
      <c r="D16" s="21" t="s">
        <v>621</v>
      </c>
      <c r="E16" s="13">
        <v>42959.191921296297</v>
      </c>
      <c r="F16" s="13">
        <v>42959.196006944447</v>
      </c>
      <c r="G16" s="7">
        <v>1</v>
      </c>
      <c r="H16" s="21" t="s">
        <v>441</v>
      </c>
      <c r="I16" s="13">
        <v>42959.223807870374</v>
      </c>
      <c r="J16" s="7">
        <v>0</v>
      </c>
      <c r="K16" s="89" t="str">
        <f t="shared" si="0"/>
        <v>4031/4032</v>
      </c>
      <c r="L16" s="21" t="str">
        <f>VLOOKUP(A16,'Trips&amp;Operators'!$C$1:$G$99999,5,FALSE)</f>
        <v>WILLIAMS DONTE</v>
      </c>
      <c r="M16" s="6">
        <f t="shared" si="1"/>
        <v>2.7800925927294884E-2</v>
      </c>
      <c r="N16" s="7">
        <f t="shared" si="2"/>
        <v>40.033333335304633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-12T03:36:22-0600',mode:absolute,to:'2017-08-12T06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23.298200000000001</v>
      </c>
      <c r="Z16" s="197">
        <f t="shared" si="8"/>
        <v>1.52E-2</v>
      </c>
      <c r="AA16" s="197">
        <f t="shared" si="9"/>
        <v>23.283000000000001</v>
      </c>
      <c r="AB16" s="54" t="e">
        <f>VLOOKUP(A16,Enforcements!$C$7:$K$12,8,0)</f>
        <v>#N/A</v>
      </c>
      <c r="AC16" s="51" t="e">
        <f>VLOOKUP(A16,Enforcements!$C$7:$E$12,3,0)</f>
        <v>#N/A</v>
      </c>
      <c r="AD16" s="206">
        <f t="shared" si="10"/>
        <v>104</v>
      </c>
      <c r="AE16" s="77" t="str">
        <f t="shared" si="11"/>
        <v>aws s3 cp s3://rtdc.mdm.uploadarchive.raw/RTDC4031/ "%USERPROFILE%\AppData\Local\Temp\OnboardLogs"\RTDC4031\2017-08-12 --exclude "*" --recursive --include "*20170812*" &amp; "%USERPROFILE%\Documents\GitHub\mrs-test-scripts\Headless Mode &amp; Sideloading\WalkAndUnGZ.bat" "%USERPROFILE%\AppData\Local\Temp\OnboardLogs"\RTDC4031\2017-08-12 &amp; aws s3 cp s3://rtdc.mdm.uploadarchive.raw/RTDC4031/ "%USERPROFILE%\AppData\Local\Temp\OnboardLogs"\RTDC4031\2017-08-13 --exclude "*" --recursive --include "*20170813*" &amp; "%USERPROFILE%\Documents\GitHub\mrs-test-scripts\Headless Mode &amp; Sideloading\WalkAndUnGZ.bat" "%USERPROFILE%\AppData\Local\Temp\OnboardLogs"\RTDC4031\2017-08-13</v>
      </c>
      <c r="AF16" s="74" t="str">
        <f t="shared" si="12"/>
        <v>"C:\Program Files (x86)\AstroGrep\AstroGrep.exe" /e /r /s /spath="%USERPROFILE%\AppData\Local\Temp\OnboardLogs" /stypes="app*4031*20170812*"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104-12 --locoid 4031 --swversion DE.1.0.9.0 --startMP 204:232982 --initTime 2017-08-12T04:36:22 --startdatetime 2017-08-12T04:42:15 --delay 1 --endMP 204:152 --enddatetime 2017-08-12T05:22:17 --enforcementcount 0 &gt;&gt;C:\Users\stu\Documents\GitHub\eaglep3-reporting\EC\2017-08-12-refined-times.txt</v>
      </c>
      <c r="AI16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{"issue":{"subject":"","project_id":79,"tracker_id":40,"status_id":1,"priority_id":2,"assigned_to_id":23,"start_date":"2017-08-12","description":"","custom_fields":[{"id":1,"name":"Subdivision","value":"EC"},{"id":4,"name":"Milepost","value":"0.0152"},{"id":17,"name":"Train ID","value":"104-12"},{"id":16,"name":"Locomotive ID","value":"4031"},{"id":130,"name":"Impact","value":""},{"id":150,"name":"Time of Event (Mountain Time)","value":"05:22:17"},{"id":151,"name":"Denver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4031 --day 2017-08-12</v>
      </c>
      <c r="AN16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11:22:17"},{"id":29,"name":"Sharepoint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680</v>
      </c>
      <c r="B17" s="7">
        <v>4050</v>
      </c>
      <c r="C17" s="21" t="s">
        <v>198</v>
      </c>
      <c r="D17" s="21" t="s">
        <v>394</v>
      </c>
      <c r="E17" s="13">
        <v>42959.164606481485</v>
      </c>
      <c r="F17" s="13">
        <v>42959.177627314813</v>
      </c>
      <c r="G17" s="7">
        <v>2</v>
      </c>
      <c r="H17" s="21" t="s">
        <v>872</v>
      </c>
      <c r="I17" s="13">
        <v>42959.203541666669</v>
      </c>
      <c r="J17" s="7">
        <v>0</v>
      </c>
      <c r="K17" s="89" t="str">
        <f t="shared" si="0"/>
        <v>4049/4050</v>
      </c>
      <c r="L17" s="21" t="str">
        <f>VLOOKUP(A17,'Trips&amp;Operators'!$C$1:$G$99999,5,FALSE)</f>
        <v>DAVIS WENDY</v>
      </c>
      <c r="M17" s="6">
        <f t="shared" si="1"/>
        <v>2.5914351856044959E-2</v>
      </c>
      <c r="N17" s="7">
        <f t="shared" si="2"/>
        <v>37.316666672704741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-12T02:57:02-0600',mode:absolute,to:'2017-08-12T05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4.5499999999999999E-2</v>
      </c>
      <c r="Z17" s="197">
        <f t="shared" si="8"/>
        <v>23.334099999999999</v>
      </c>
      <c r="AA17" s="197">
        <f t="shared" si="9"/>
        <v>23.288599999999999</v>
      </c>
      <c r="AB17" s="54" t="e">
        <f>VLOOKUP(A17,Enforcements!$C$7:$K$12,8,0)</f>
        <v>#N/A</v>
      </c>
      <c r="AC17" s="51" t="e">
        <f>VLOOKUP(A17,Enforcements!$C$7:$E$12,3,0)</f>
        <v>#N/A</v>
      </c>
      <c r="AD17" s="206">
        <f t="shared" si="10"/>
        <v>105</v>
      </c>
      <c r="AE17" s="77" t="str">
        <f t="shared" si="11"/>
        <v>aws s3 cp s3://rtdc.mdm.uploadarchive.raw/RTDC4050/ "%USERPROFILE%\AppData\Local\Temp\OnboardLogs"\RTDC4050\2017-08-12 --exclude "*" --recursive --include "*20170812*" &amp; "%USERPROFILE%\Documents\GitHub\mrs-test-scripts\Headless Mode &amp; Sideloading\WalkAndUnGZ.bat" "%USERPROFILE%\AppData\Local\Temp\OnboardLogs"\RTDC4050\2017-08-12 &amp; aws s3 cp s3://rtdc.mdm.uploadarchive.raw/RTDC4050/ "%USERPROFILE%\AppData\Local\Temp\OnboardLogs"\RTDC4050\2017-08-13 --exclude "*" --recursive --include "*20170813*" &amp; "%USERPROFILE%\Documents\GitHub\mrs-test-scripts\Headless Mode &amp; Sideloading\WalkAndUnGZ.bat" "%USERPROFILE%\AppData\Local\Temp\OnboardLogs"\RTDC4050\2017-08-13</v>
      </c>
      <c r="AF17" s="74" t="str">
        <f t="shared" si="12"/>
        <v>"C:\Program Files (x86)\AstroGrep\AstroGrep.exe" /e /r /s /spath="%USERPROFILE%\AppData\Local\Temp\OnboardLogs" /stypes="app*4050*20170812*"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105-12 --locoid 4050 --swversion DE.1.0.9.0 --startMP 204:455 --initTime 2017-08-12T03:57:02 --startdatetime 2017-08-12T04:15:47 --delay 2 --endMP 204:233341 --enddatetime 2017-08-12T04:53:06 --enforcementcount 0 &gt;&gt;C:\Users\stu\Documents\GitHub\eaglep3-reporting\EC\2017-08-12-refined-times.txt</v>
      </c>
      <c r="AI17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{"issue":{"subject":"","project_id":79,"tracker_id":40,"status_id":1,"priority_id":2,"assigned_to_id":23,"start_date":"2017-08-12","description":"","custom_fields":[{"id":1,"name":"Subdivision","value":"EC"},{"id":4,"name":"Milepost","value":"23.3341"},{"id":17,"name":"Train ID","value":"105-12"},{"id":16,"name":"Locomotive ID","value":"4050"},{"id":130,"name":"Impact","value":""},{"id":150,"name":"Time of Event (Mountain Time)","value":"04:53:06"},{"id":151,"name":"Denver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4050 --day 2017-08-12</v>
      </c>
      <c r="AN17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10:53:06"},{"id":29,"name":"Sharepoint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697</v>
      </c>
      <c r="B18" s="7">
        <v>4049</v>
      </c>
      <c r="C18" s="21" t="s">
        <v>198</v>
      </c>
      <c r="D18" s="21" t="s">
        <v>873</v>
      </c>
      <c r="E18" s="13">
        <v>42959.213402777779</v>
      </c>
      <c r="F18" s="13">
        <v>42959.216817129629</v>
      </c>
      <c r="G18" s="7">
        <v>1</v>
      </c>
      <c r="H18" s="21" t="s">
        <v>343</v>
      </c>
      <c r="I18" s="13">
        <v>42959.244675925926</v>
      </c>
      <c r="J18" s="7">
        <v>0</v>
      </c>
      <c r="K18" s="89" t="str">
        <f t="shared" si="0"/>
        <v>4049/4050</v>
      </c>
      <c r="L18" s="21" t="str">
        <f>VLOOKUP(A18,'Trips&amp;Operators'!$C$1:$G$99999,5,FALSE)</f>
        <v>DAVIS WENDY</v>
      </c>
      <c r="M18" s="6">
        <f t="shared" si="1"/>
        <v>2.7858796296641231E-2</v>
      </c>
      <c r="N18" s="7">
        <f t="shared" si="2"/>
        <v>40.116666667163372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-12T04:07:18-0600',mode:absolute,to:'2017-08-12T06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23.300699999999999</v>
      </c>
      <c r="Z18" s="197">
        <f t="shared" si="8"/>
        <v>1.43E-2</v>
      </c>
      <c r="AA18" s="197">
        <f t="shared" si="9"/>
        <v>23.2864</v>
      </c>
      <c r="AB18" s="54" t="e">
        <f>VLOOKUP(A18,Enforcements!$C$7:$K$12,8,0)</f>
        <v>#N/A</v>
      </c>
      <c r="AC18" s="51" t="e">
        <f>VLOOKUP(A18,Enforcements!$C$7:$E$12,3,0)</f>
        <v>#N/A</v>
      </c>
      <c r="AD18" s="206">
        <f t="shared" si="10"/>
        <v>106</v>
      </c>
      <c r="AE18" s="77" t="str">
        <f t="shared" si="11"/>
        <v>aws s3 cp s3://rtdc.mdm.uploadarchive.raw/RTDC4049/ "%USERPROFILE%\AppData\Local\Temp\OnboardLogs"\RTDC4049\2017-08-12 --exclude "*" --recursive --include "*20170812*" &amp; "%USERPROFILE%\Documents\GitHub\mrs-test-scripts\Headless Mode &amp; Sideloading\WalkAndUnGZ.bat" "%USERPROFILE%\AppData\Local\Temp\OnboardLogs"\RTDC4049\2017-08-12 &amp; aws s3 cp s3://rtdc.mdm.uploadarchive.raw/RTDC4049/ "%USERPROFILE%\AppData\Local\Temp\OnboardLogs"\RTDC4049\2017-08-13 --exclude "*" --recursive --include "*20170813*" &amp; "%USERPROFILE%\Documents\GitHub\mrs-test-scripts\Headless Mode &amp; Sideloading\WalkAndUnGZ.bat" "%USERPROFILE%\AppData\Local\Temp\OnboardLogs"\RTDC4049\2017-08-13</v>
      </c>
      <c r="AF18" s="74" t="str">
        <f t="shared" si="12"/>
        <v>"C:\Program Files (x86)\AstroGrep\AstroGrep.exe" /e /r /s /spath="%USERPROFILE%\AppData\Local\Temp\OnboardLogs" /stypes="app*4049*20170812*"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106-12 --locoid 4049 --swversion DE.1.0.9.0 --startMP 204:233007 --initTime 2017-08-12T05:07:18 --startdatetime 2017-08-12T05:12:13 --delay 1 --endMP 204:143 --enddatetime 2017-08-12T05:52:20 --enforcementcount 0 &gt;&gt;C:\Users\stu\Documents\GitHub\eaglep3-reporting\EC\2017-08-12-refined-times.txt</v>
      </c>
      <c r="AI18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{"issue":{"subject":"","project_id":79,"tracker_id":40,"status_id":1,"priority_id":2,"assigned_to_id":23,"start_date":"2017-08-12","description":"","custom_fields":[{"id":1,"name":"Subdivision","value":"EC"},{"id":4,"name":"Milepost","value":"0.0143"},{"id":17,"name":"Train ID","value":"106-12"},{"id":16,"name":"Locomotive ID","value":"4049"},{"id":130,"name":"Impact","value":""},{"id":150,"name":"Time of Event (Mountain Time)","value":"05:52:20"},{"id":151,"name":"Denver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4049 --day 2017-08-12</v>
      </c>
      <c r="AN18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11:52:20"},{"id":29,"name":"Sharepoint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685</v>
      </c>
      <c r="B19" s="7">
        <v>4016</v>
      </c>
      <c r="C19" s="21" t="s">
        <v>198</v>
      </c>
      <c r="D19" s="21" t="s">
        <v>450</v>
      </c>
      <c r="E19" s="13">
        <v>42959.184548611112</v>
      </c>
      <c r="F19" s="13">
        <v>42959.188032407408</v>
      </c>
      <c r="G19" s="7">
        <v>2</v>
      </c>
      <c r="H19" s="21" t="s">
        <v>874</v>
      </c>
      <c r="I19" s="13">
        <v>42959.212476851855</v>
      </c>
      <c r="J19" s="7">
        <v>0</v>
      </c>
      <c r="K19" s="89" t="str">
        <f t="shared" si="0"/>
        <v>4015/4016</v>
      </c>
      <c r="L19" s="21" t="str">
        <f>VLOOKUP(A19,'Trips&amp;Operators'!$C$1:$G$99999,5,FALSE)</f>
        <v>GEBRETEKLE DAGNEW</v>
      </c>
      <c r="M19" s="6">
        <f t="shared" si="1"/>
        <v>2.4444444446999114E-2</v>
      </c>
      <c r="N19" s="7">
        <f t="shared" si="2"/>
        <v>35.200000003678724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-12T03:25:45-0600',mode:absolute,to:'2017-08-12T06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4.6699999999999998E-2</v>
      </c>
      <c r="Z19" s="197">
        <f t="shared" si="8"/>
        <v>23.334700000000002</v>
      </c>
      <c r="AA19" s="197">
        <f t="shared" si="9"/>
        <v>23.288</v>
      </c>
      <c r="AB19" s="54" t="e">
        <f>VLOOKUP(A19,Enforcements!$C$7:$K$12,8,0)</f>
        <v>#N/A</v>
      </c>
      <c r="AC19" s="51" t="e">
        <f>VLOOKUP(A19,Enforcements!$C$7:$E$12,3,0)</f>
        <v>#N/A</v>
      </c>
      <c r="AD19" s="206">
        <f t="shared" si="10"/>
        <v>107</v>
      </c>
      <c r="AE19" s="77" t="str">
        <f t="shared" si="11"/>
        <v>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 &amp; 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</v>
      </c>
      <c r="AF19" s="74" t="str">
        <f t="shared" si="12"/>
        <v>"C:\Program Files (x86)\AstroGrep\AstroGrep.exe" /e /r /s /spath="%USERPROFILE%\AppData\Local\Temp\OnboardLogs" /stypes="app*4016*20170812*"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107-12 --locoid 4016 --swversion DE.1.0.9.0 --startMP 204:467 --initTime 2017-08-12T04:25:45 --startdatetime 2017-08-12T04:30:46 --delay 2 --endMP 204:233347 --enddatetime 2017-08-12T05:05:58 --enforcementcount 0 &gt;&gt;C:\Users\stu\Documents\GitHub\eaglep3-reporting\EC\2017-08-12-refined-times.txt</v>
      </c>
      <c r="AI19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{"issue":{"subject":"","project_id":79,"tracker_id":40,"status_id":1,"priority_id":2,"assigned_to_id":23,"start_date":"2017-08-12","description":"","custom_fields":[{"id":1,"name":"Subdivision","value":"EC"},{"id":4,"name":"Milepost","value":"23.3347"},{"id":17,"name":"Train ID","value":"107-12"},{"id":16,"name":"Locomotive ID","value":"4016"},{"id":130,"name":"Impact","value":""},{"id":150,"name":"Time of Event (Mountain Time)","value":"05:05:58"},{"id":151,"name":"Denver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4016 --day 2017-08-12</v>
      </c>
      <c r="AN19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11:05:58"},{"id":29,"name":"Sharepoint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698</v>
      </c>
      <c r="B20" s="7">
        <v>4015</v>
      </c>
      <c r="C20" s="21" t="s">
        <v>198</v>
      </c>
      <c r="D20" s="21" t="s">
        <v>875</v>
      </c>
      <c r="E20" s="13">
        <v>42959.213738425926</v>
      </c>
      <c r="F20" s="13">
        <v>42959.227372685185</v>
      </c>
      <c r="G20" s="7">
        <v>0</v>
      </c>
      <c r="H20" s="21" t="s">
        <v>478</v>
      </c>
      <c r="I20" s="13">
        <v>42959.253611111111</v>
      </c>
      <c r="J20" s="7">
        <v>0</v>
      </c>
      <c r="K20" s="89" t="str">
        <f t="shared" si="0"/>
        <v>4015/4016</v>
      </c>
      <c r="L20" s="21" t="str">
        <f>VLOOKUP(A20,'Trips&amp;Operators'!$C$1:$G$99999,5,FALSE)</f>
        <v>GEBRETEKLE DAGNEW</v>
      </c>
      <c r="M20" s="6">
        <f t="shared" si="1"/>
        <v>2.6238425925839692E-2</v>
      </c>
      <c r="N20" s="7">
        <f t="shared" si="2"/>
        <v>37.783333333209157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-12T04:07:47-0600',mode:absolute,to:'2017-08-12T07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23.302099999999999</v>
      </c>
      <c r="Z20" s="197">
        <f t="shared" si="8"/>
        <v>1.6E-2</v>
      </c>
      <c r="AA20" s="197">
        <f t="shared" si="9"/>
        <v>23.286100000000001</v>
      </c>
      <c r="AB20" s="54" t="e">
        <f>VLOOKUP(A20,Enforcements!$C$7:$K$12,8,0)</f>
        <v>#N/A</v>
      </c>
      <c r="AC20" s="51" t="e">
        <f>VLOOKUP(A20,Enforcements!$C$7:$E$12,3,0)</f>
        <v>#N/A</v>
      </c>
      <c r="AD20" s="206">
        <f t="shared" si="10"/>
        <v>108</v>
      </c>
      <c r="AE20" s="77" t="str">
        <f t="shared" si="11"/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AF20" s="74" t="str">
        <f t="shared" si="12"/>
        <v>"C:\Program Files (x86)\AstroGrep\AstroGrep.exe" /e /r /s /spath="%USERPROFILE%\AppData\Local\Temp\OnboardLogs" /stypes="app*4015*20170812*"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108-12 --locoid 4015 --swversion DE.1.0.9.0 --startMP 204:233021 --initTime 2017-08-12T05:07:47 --startdatetime 2017-08-12T05:27:25 --delay 0 --endMP 204:160 --enddatetime 2017-08-12T06:05:12 --enforcementcount 0 &gt;&gt;C:\Users\stu\Documents\GitHub\eaglep3-reporting\EC\2017-08-12-refined-times.txt</v>
      </c>
      <c r="AI20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{"issue":{"subject":"","project_id":79,"tracker_id":40,"status_id":1,"priority_id":2,"assigned_to_id":23,"start_date":"2017-08-12","description":"","custom_fields":[{"id":1,"name":"Subdivision","value":"EC"},{"id":4,"name":"Milepost","value":"0.016"},{"id":17,"name":"Train ID","value":"108-12"},{"id":16,"name":"Locomotive ID","value":"4015"},{"id":130,"name":"Impact","value":""},{"id":150,"name":"Time of Event (Mountain Time)","value":"06:05:12"},{"id":151,"name":"Denver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4015 --day 2017-08-12</v>
      </c>
      <c r="AN20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12:05:12"},{"id":29,"name":"Sharepoint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688</v>
      </c>
      <c r="B21" s="7">
        <v>4042</v>
      </c>
      <c r="C21" s="21" t="s">
        <v>198</v>
      </c>
      <c r="D21" s="21" t="s">
        <v>344</v>
      </c>
      <c r="E21" s="13">
        <v>42959.196064814816</v>
      </c>
      <c r="F21" s="13">
        <v>42959.198472222219</v>
      </c>
      <c r="G21" s="7">
        <v>1</v>
      </c>
      <c r="H21" s="21" t="s">
        <v>524</v>
      </c>
      <c r="I21" s="13">
        <v>42959.22252314815</v>
      </c>
      <c r="J21" s="7">
        <v>0</v>
      </c>
      <c r="K21" s="89" t="str">
        <f t="shared" si="0"/>
        <v>4041/4042</v>
      </c>
      <c r="L21" s="21" t="str">
        <f>VLOOKUP(A21,'Trips&amp;Operators'!$C$1:$G$99999,5,FALSE)</f>
        <v>BEAM ROSS</v>
      </c>
      <c r="M21" s="6">
        <f t="shared" si="1"/>
        <v>2.4050925931078382E-2</v>
      </c>
      <c r="N21" s="7">
        <f t="shared" si="2"/>
        <v>34.63333334075287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-12T03:42:20-0600',mode:absolute,to:'2017-08-12T06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4.5100000000000001E-2</v>
      </c>
      <c r="Z21" s="197">
        <f t="shared" si="8"/>
        <v>23.329899999999999</v>
      </c>
      <c r="AA21" s="197">
        <f t="shared" si="9"/>
        <v>23.284799999999997</v>
      </c>
      <c r="AB21" s="54" t="e">
        <f>VLOOKUP(A21,Enforcements!$C$7:$K$12,8,0)</f>
        <v>#N/A</v>
      </c>
      <c r="AC21" s="51" t="e">
        <f>VLOOKUP(A21,Enforcements!$C$7:$E$12,3,0)</f>
        <v>#N/A</v>
      </c>
      <c r="AD21" s="206">
        <f t="shared" si="10"/>
        <v>109</v>
      </c>
      <c r="AE21" s="77" t="str">
        <f t="shared" si="11"/>
        <v>aws s3 cp s3://rtdc.mdm.uploadarchive.raw/RTDC4042/ "%USERPROFILE%\AppData\Local\Temp\OnboardLogs"\RTDC4042\2017-08-12 --exclude "*" --recursive --include "*20170812*" &amp; "%USERPROFILE%\Documents\GitHub\mrs-test-scripts\Headless Mode &amp; Sideloading\WalkAndUnGZ.bat" "%USERPROFILE%\AppData\Local\Temp\OnboardLogs"\RTDC4042\2017-08-12 &amp; 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</v>
      </c>
      <c r="AF21" s="74" t="str">
        <f t="shared" si="12"/>
        <v>"C:\Program Files (x86)\AstroGrep\AstroGrep.exe" /e /r /s /spath="%USERPROFILE%\AppData\Local\Temp\OnboardLogs" /stypes="app*4042*20170812*"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109-12 --locoid 4042 --swversion DE.1.0.9.0 --startMP 204:451 --initTime 2017-08-12T04:42:20 --startdatetime 2017-08-12T04:45:48 --delay 1 --endMP 204:233299 --enddatetime 2017-08-12T05:20:26 --enforcementcount 0 &gt;&gt;C:\Users\stu\Documents\GitHub\eaglep3-reporting\EC\2017-08-12-refined-times.txt</v>
      </c>
      <c r="AI21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{"issue":{"subject":"","project_id":79,"tracker_id":40,"status_id":1,"priority_id":2,"assigned_to_id":23,"start_date":"2017-08-12","description":"","custom_fields":[{"id":1,"name":"Subdivision","value":"EC"},{"id":4,"name":"Milepost","value":"23.3299"},{"id":17,"name":"Train ID","value":"109-12"},{"id":16,"name":"Locomotive ID","value":"4042"},{"id":130,"name":"Impact","value":""},{"id":150,"name":"Time of Event (Mountain Time)","value":"05:20:26"},{"id":151,"name":"Denver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4042 --day 2017-08-12</v>
      </c>
      <c r="AN21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11:20:26"},{"id":29,"name":"Sharepoint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703</v>
      </c>
      <c r="B22" s="7">
        <v>4041</v>
      </c>
      <c r="C22" s="21" t="s">
        <v>198</v>
      </c>
      <c r="D22" s="21" t="s">
        <v>876</v>
      </c>
      <c r="E22" s="13">
        <v>42959.228622685187</v>
      </c>
      <c r="F22" s="13">
        <v>42959.237673611111</v>
      </c>
      <c r="G22" s="7">
        <v>0</v>
      </c>
      <c r="H22" s="21" t="s">
        <v>474</v>
      </c>
      <c r="I22" s="13">
        <v>42959.263379629629</v>
      </c>
      <c r="J22" s="7">
        <v>0</v>
      </c>
      <c r="K22" s="89" t="str">
        <f t="shared" si="0"/>
        <v>4041/4042</v>
      </c>
      <c r="L22" s="21" t="str">
        <f>VLOOKUP(A22,'Trips&amp;Operators'!$C$1:$G$99999,5,FALSE)</f>
        <v>BEAM ROSS</v>
      </c>
      <c r="M22" s="6">
        <f t="shared" si="1"/>
        <v>2.5706018517666962E-2</v>
      </c>
      <c r="N22" s="7">
        <f t="shared" si="2"/>
        <v>37.016666665440425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-12T04:29:13-0600',mode:absolute,to:'2017-08-12T07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23.297999999999998</v>
      </c>
      <c r="Z22" s="197">
        <f t="shared" si="8"/>
        <v>1.32E-2</v>
      </c>
      <c r="AA22" s="197">
        <f t="shared" si="9"/>
        <v>23.284799999999997</v>
      </c>
      <c r="AB22" s="54" t="e">
        <f>VLOOKUP(A22,Enforcements!$C$7:$K$12,8,0)</f>
        <v>#N/A</v>
      </c>
      <c r="AC22" s="51" t="e">
        <f>VLOOKUP(A22,Enforcements!$C$7:$E$12,3,0)</f>
        <v>#N/A</v>
      </c>
      <c r="AD22" s="206">
        <f t="shared" si="10"/>
        <v>110</v>
      </c>
      <c r="AE22" s="77" t="str">
        <f t="shared" si="11"/>
        <v>aws s3 cp s3://rtdc.mdm.uploadarchive.raw/RTDC4041/ "%USERPROFILE%\AppData\Local\Temp\OnboardLogs"\RTDC4041\2017-08-12 --exclude "*" --recursive --include "*20170812*" &amp; "%USERPROFILE%\Documents\GitHub\mrs-test-scripts\Headless Mode &amp; Sideloading\WalkAndUnGZ.bat" "%USERPROFILE%\AppData\Local\Temp\OnboardLogs"\RTDC4041\2017-08-12 &amp; 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</v>
      </c>
      <c r="AF22" s="74" t="str">
        <f t="shared" si="12"/>
        <v>"C:\Program Files (x86)\AstroGrep\AstroGrep.exe" /e /r /s /spath="%USERPROFILE%\AppData\Local\Temp\OnboardLogs" /stypes="app*4041*20170812*"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110-12 --locoid 4041 --swversion DE.1.0.9.0 --startMP 204:232980 --initTime 2017-08-12T05:29:13 --startdatetime 2017-08-12T05:42:15 --delay 0 --endMP 204:132 --enddatetime 2017-08-12T06:19:16 --enforcementcount 0 &gt;&gt;C:\Users\stu\Documents\GitHub\eaglep3-reporting\EC\2017-08-12-refined-times.txt</v>
      </c>
      <c r="AI22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{"issue":{"subject":"","project_id":79,"tracker_id":40,"status_id":1,"priority_id":2,"assigned_to_id":23,"start_date":"2017-08-12","description":"","custom_fields":[{"id":1,"name":"Subdivision","value":"EC"},{"id":4,"name":"Milepost","value":"0.0132"},{"id":17,"name":"Train ID","value":"110-12"},{"id":16,"name":"Locomotive ID","value":"4041"},{"id":130,"name":"Impact","value":""},{"id":150,"name":"Time of Event (Mountain Time)","value":"06:19:16"},{"id":151,"name":"Denver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4041 --day 2017-08-12</v>
      </c>
      <c r="AN22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12:19:16"},{"id":29,"name":"Sharepoint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695</v>
      </c>
      <c r="B23" s="7">
        <v>4018</v>
      </c>
      <c r="C23" s="21" t="s">
        <v>198</v>
      </c>
      <c r="D23" s="21" t="s">
        <v>346</v>
      </c>
      <c r="E23" s="13">
        <v>42959.203263888892</v>
      </c>
      <c r="F23" s="13">
        <v>42959.208912037036</v>
      </c>
      <c r="G23" s="7">
        <v>1</v>
      </c>
      <c r="H23" s="21" t="s">
        <v>877</v>
      </c>
      <c r="I23" s="13">
        <v>42959.235000000001</v>
      </c>
      <c r="J23" s="7">
        <v>0</v>
      </c>
      <c r="K23" s="89" t="str">
        <f t="shared" si="0"/>
        <v>4017/4018</v>
      </c>
      <c r="L23" s="21" t="str">
        <f>VLOOKUP(A23,'Trips&amp;Operators'!$C$1:$G$99999,5,FALSE)</f>
        <v>MAELZER KURT</v>
      </c>
      <c r="M23" s="6">
        <f t="shared" si="1"/>
        <v>2.6087962964083999E-2</v>
      </c>
      <c r="N23" s="7">
        <f t="shared" si="2"/>
        <v>37.566666668280959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-12T03:52:42-0600',mode:absolute,to:'2017-08-12T06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4.53E-2</v>
      </c>
      <c r="Z23" s="197">
        <f t="shared" si="8"/>
        <v>23.3308</v>
      </c>
      <c r="AA23" s="197">
        <f t="shared" si="9"/>
        <v>23.285499999999999</v>
      </c>
      <c r="AB23" s="54" t="e">
        <f>VLOOKUP(A23,Enforcements!$C$7:$K$12,8,0)</f>
        <v>#N/A</v>
      </c>
      <c r="AC23" s="51" t="e">
        <f>VLOOKUP(A23,Enforcements!$C$7:$E$12,3,0)</f>
        <v>#N/A</v>
      </c>
      <c r="AD23" s="206">
        <f t="shared" si="10"/>
        <v>111</v>
      </c>
      <c r="AE23" s="77" t="str">
        <f t="shared" si="11"/>
        <v>aws s3 cp s3://rtdc.mdm.uploadarchive.raw/RTDC4018/ "%USERPROFILE%\AppData\Local\Temp\OnboardLogs"\RTDC4018\2017-08-12 --exclude "*" --recursive --include "*20170812*" &amp; "%USERPROFILE%\Documents\GitHub\mrs-test-scripts\Headless Mode &amp; Sideloading\WalkAndUnGZ.bat" "%USERPROFILE%\AppData\Local\Temp\OnboardLogs"\RTDC4018\2017-08-12 &amp; aws s3 cp s3://rtdc.mdm.uploadarchive.raw/RTDC4018/ "%USERPROFILE%\AppData\Local\Temp\OnboardLogs"\RTDC4018\2017-08-13 --exclude "*" --recursive --include "*20170813*" &amp; "%USERPROFILE%\Documents\GitHub\mrs-test-scripts\Headless Mode &amp; Sideloading\WalkAndUnGZ.bat" "%USERPROFILE%\AppData\Local\Temp\OnboardLogs"\RTDC4018\2017-08-13</v>
      </c>
      <c r="AF23" s="74" t="str">
        <f t="shared" si="12"/>
        <v>"C:\Program Files (x86)\AstroGrep\AstroGrep.exe" /e /r /s /spath="%USERPROFILE%\AppData\Local\Temp\OnboardLogs" /stypes="app*4018*20170812*"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111-12 --locoid 4018 --swversion DE.1.0.9.0 --startMP 204:453 --initTime 2017-08-12T04:52:42 --startdatetime 2017-08-12T05:00:50 --delay 1 --endMP 204:233308 --enddatetime 2017-08-12T05:38:24 --enforcementcount 0 &gt;&gt;C:\Users\stu\Documents\GitHub\eaglep3-reporting\EC\2017-08-12-refined-times.txt</v>
      </c>
      <c r="AI23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{"issue":{"subject":"","project_id":79,"tracker_id":40,"status_id":1,"priority_id":2,"assigned_to_id":23,"start_date":"2017-08-12","description":"","custom_fields":[{"id":1,"name":"Subdivision","value":"EC"},{"id":4,"name":"Milepost","value":"23.3308"},{"id":17,"name":"Train ID","value":"111-12"},{"id":16,"name":"Locomotive ID","value":"4018"},{"id":130,"name":"Impact","value":""},{"id":150,"name":"Time of Event (Mountain Time)","value":"05:38:24"},{"id":151,"name":"Denver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4018 --day 2017-08-12</v>
      </c>
      <c r="AN23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11:38:24"},{"id":29,"name":"Sharepoint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707</v>
      </c>
      <c r="B24" s="7">
        <v>4017</v>
      </c>
      <c r="C24" s="21" t="s">
        <v>198</v>
      </c>
      <c r="D24" s="21" t="s">
        <v>522</v>
      </c>
      <c r="E24" s="13">
        <v>42959.243819444448</v>
      </c>
      <c r="F24" s="13">
        <v>42959.248159722221</v>
      </c>
      <c r="G24" s="7">
        <v>0</v>
      </c>
      <c r="H24" s="21" t="s">
        <v>502</v>
      </c>
      <c r="I24" s="13">
        <v>42959.274386574078</v>
      </c>
      <c r="J24" s="7">
        <v>0</v>
      </c>
      <c r="K24" s="89" t="str">
        <f t="shared" si="0"/>
        <v>4017/4018</v>
      </c>
      <c r="L24" s="21" t="str">
        <f>VLOOKUP(A24,'Trips&amp;Operators'!$C$1:$G$99999,5,FALSE)</f>
        <v>MAELZER KURT</v>
      </c>
      <c r="M24" s="6">
        <f t="shared" si="1"/>
        <v>2.6226851856335998E-2</v>
      </c>
      <c r="N24" s="7">
        <f t="shared" si="2"/>
        <v>37.766666673123837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-12T04:51:06-0600',mode:absolute,to:'2017-08-12T07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23.297699999999999</v>
      </c>
      <c r="Z24" s="197">
        <f t="shared" si="8"/>
        <v>1.38E-2</v>
      </c>
      <c r="AA24" s="197">
        <f t="shared" si="9"/>
        <v>23.283899999999999</v>
      </c>
      <c r="AB24" s="54" t="e">
        <f>VLOOKUP(A24,Enforcements!$C$7:$K$12,8,0)</f>
        <v>#N/A</v>
      </c>
      <c r="AC24" s="51" t="e">
        <f>VLOOKUP(A24,Enforcements!$C$7:$E$12,3,0)</f>
        <v>#N/A</v>
      </c>
      <c r="AD24" s="206">
        <f t="shared" si="10"/>
        <v>112</v>
      </c>
      <c r="AE24" s="77" t="str">
        <f t="shared" si="11"/>
        <v>aws s3 cp s3://rtdc.mdm.uploadarchive.raw/RTDC4017/ "%USERPROFILE%\AppData\Local\Temp\OnboardLogs"\RTDC4017\2017-08-12 --exclude "*" --recursive --include "*20170812*" &amp; "%USERPROFILE%\Documents\GitHub\mrs-test-scripts\Headless Mode &amp; Sideloading\WalkAndUnGZ.bat" "%USERPROFILE%\AppData\Local\Temp\OnboardLogs"\RTDC4017\2017-08-12 &amp; aws s3 cp s3://rtdc.mdm.uploadarchive.raw/RTDC4017/ "%USERPROFILE%\AppData\Local\Temp\OnboardLogs"\RTDC4017\2017-08-13 --exclude "*" --recursive --include "*20170813*" &amp; "%USERPROFILE%\Documents\GitHub\mrs-test-scripts\Headless Mode &amp; Sideloading\WalkAndUnGZ.bat" "%USERPROFILE%\AppData\Local\Temp\OnboardLogs"\RTDC4017\2017-08-13</v>
      </c>
      <c r="AF24" s="74" t="str">
        <f t="shared" si="12"/>
        <v>"C:\Program Files (x86)\AstroGrep\AstroGrep.exe" /e /r /s /spath="%USERPROFILE%\AppData\Local\Temp\OnboardLogs" /stypes="app*4017*20170812*"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112-12 --locoid 4017 --swversion DE.1.0.9.0 --startMP 204:232977 --initTime 2017-08-12T05:51:06 --startdatetime 2017-08-12T05:57:21 --delay 0 --endMP 204:138 --enddatetime 2017-08-12T06:35:07 --enforcementcount 0 &gt;&gt;C:\Users\stu\Documents\GitHub\eaglep3-reporting\EC\2017-08-12-refined-times.txt</v>
      </c>
      <c r="AI24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{"issue":{"subject":"","project_id":79,"tracker_id":40,"status_id":1,"priority_id":2,"assigned_to_id":23,"start_date":"2017-08-12","description":"","custom_fields":[{"id":1,"name":"Subdivision","value":"EC"},{"id":4,"name":"Milepost","value":"0.0138"},{"id":17,"name":"Train ID","value":"112-12"},{"id":16,"name":"Locomotive ID","value":"4017"},{"id":130,"name":"Impact","value":""},{"id":150,"name":"Time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4017 --day 2017-08-12</v>
      </c>
      <c r="AN24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12:35:07"},{"id":29,"name":"Sharepoint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696</v>
      </c>
      <c r="B25" s="7">
        <v>4014</v>
      </c>
      <c r="C25" s="21" t="s">
        <v>198</v>
      </c>
      <c r="D25" s="21" t="s">
        <v>442</v>
      </c>
      <c r="E25" s="13">
        <v>42959.209421296298</v>
      </c>
      <c r="F25" s="13">
        <v>42959.219317129631</v>
      </c>
      <c r="G25" s="7">
        <v>1</v>
      </c>
      <c r="H25" s="21" t="s">
        <v>878</v>
      </c>
      <c r="I25" s="13">
        <v>42959.244895833333</v>
      </c>
      <c r="J25" s="7">
        <v>0</v>
      </c>
      <c r="K25" s="89" t="str">
        <f t="shared" si="0"/>
        <v>4013/4014</v>
      </c>
      <c r="L25" s="21" t="str">
        <f>VLOOKUP(A25,'Trips&amp;Operators'!$C$1:$G$99999,5,FALSE)</f>
        <v>DAVIDSON DAVID</v>
      </c>
      <c r="M25" s="6">
        <f t="shared" si="1"/>
        <v>2.5578703702194616E-2</v>
      </c>
      <c r="N25" s="7">
        <f t="shared" si="2"/>
        <v>36.833333331160247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-12T04:01:34-0600',mode:absolute,to:'2017-08-12T06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4.5999999999999999E-2</v>
      </c>
      <c r="Z25" s="197">
        <f t="shared" si="8"/>
        <v>23.332599999999999</v>
      </c>
      <c r="AA25" s="197">
        <f t="shared" si="9"/>
        <v>23.2866</v>
      </c>
      <c r="AB25" s="54" t="e">
        <f>VLOOKUP(A25,Enforcements!$C$7:$K$12,8,0)</f>
        <v>#N/A</v>
      </c>
      <c r="AC25" s="51" t="e">
        <f>VLOOKUP(A25,Enforcements!$C$7:$E$12,3,0)</f>
        <v>#N/A</v>
      </c>
      <c r="AD25" s="206">
        <f t="shared" si="10"/>
        <v>113</v>
      </c>
      <c r="AE25" s="77" t="str">
        <f t="shared" si="11"/>
        <v>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 &amp; aws s3 cp s3://rtdc.mdm.uploadarchive.raw/RTDC4014/ "%USERPROFILE%\AppData\Local\Temp\OnboardLogs"\RTDC4014\2017-08-13 --exclude "*" --recursive --include "*20170813*" &amp; "%USERPROFILE%\Documents\GitHub\mrs-test-scripts\Headless Mode &amp; Sideloading\WalkAndUnGZ.bat" "%USERPROFILE%\AppData\Local\Temp\OnboardLogs"\RTDC4014\2017-08-13</v>
      </c>
      <c r="AF25" s="74" t="str">
        <f t="shared" si="12"/>
        <v>"C:\Program Files (x86)\AstroGrep\AstroGrep.exe" /e /r /s /spath="%USERPROFILE%\AppData\Local\Temp\OnboardLogs" /stypes="app*4014*20170812*"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113-12 --locoid 4014 --swversion DE.1.0.9.0 --startMP 204:460 --initTime 2017-08-12T05:01:34 --startdatetime 2017-08-12T05:15:49 --delay 1 --endMP 204:233326 --enddatetime 2017-08-12T05:52:39 --enforcementcount 0 &gt;&gt;C:\Users\stu\Documents\GitHub\eaglep3-reporting\EC\2017-08-12-refined-times.txt</v>
      </c>
      <c r="AI25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{"issue":{"subject":"","project_id":79,"tracker_id":40,"status_id":1,"priority_id":2,"assigned_to_id":23,"start_date":"2017-08-12","description":"","custom_fields":[{"id":1,"name":"Subdivision","value":"EC"},{"id":4,"name":"Milepost","value":"23.3326"},{"id":17,"name":"Train ID","value":"113-12"},{"id":16,"name":"Locomotive ID","value":"4014"},{"id":130,"name":"Impact","value":""},{"id":150,"name":"Time of Event (Mountain Time)","value":"05:52:39"},{"id":151,"name":"Denver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4014 --day 2017-08-12</v>
      </c>
      <c r="AN25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11:52:39"},{"id":29,"name":"Sharepoint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709</v>
      </c>
      <c r="B26" s="7">
        <v>4013</v>
      </c>
      <c r="C26" s="21" t="s">
        <v>198</v>
      </c>
      <c r="D26" s="21" t="s">
        <v>879</v>
      </c>
      <c r="E26" s="13">
        <v>42959.256099537037</v>
      </c>
      <c r="F26" s="13">
        <v>42959.258518518516</v>
      </c>
      <c r="G26" s="7">
        <v>1</v>
      </c>
      <c r="H26" s="21" t="s">
        <v>343</v>
      </c>
      <c r="I26" s="13">
        <v>42959.285752314812</v>
      </c>
      <c r="J26" s="7">
        <v>0</v>
      </c>
      <c r="K26" s="89" t="str">
        <f t="shared" si="0"/>
        <v>4013/4014</v>
      </c>
      <c r="L26" s="21" t="str">
        <f>VLOOKUP(A26,'Trips&amp;Operators'!$C$1:$G$99999,5,FALSE)</f>
        <v>DAVIDSON DAVID</v>
      </c>
      <c r="M26" s="6">
        <f t="shared" si="1"/>
        <v>2.7233796296059154E-2</v>
      </c>
      <c r="N26" s="7">
        <f t="shared" si="2"/>
        <v>39.216666666325182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-12T05:08:47-0600',mode:absolute,to:'2017-08-12T07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23.2986</v>
      </c>
      <c r="Z26" s="197">
        <f t="shared" si="8"/>
        <v>1.43E-2</v>
      </c>
      <c r="AA26" s="197">
        <f t="shared" si="9"/>
        <v>23.284300000000002</v>
      </c>
      <c r="AB26" s="54" t="e">
        <f>VLOOKUP(A26,Enforcements!$C$7:$K$12,8,0)</f>
        <v>#N/A</v>
      </c>
      <c r="AC26" s="51" t="e">
        <f>VLOOKUP(A26,Enforcements!$C$7:$E$12,3,0)</f>
        <v>#N/A</v>
      </c>
      <c r="AD26" s="206">
        <f t="shared" si="10"/>
        <v>114</v>
      </c>
      <c r="AE26" s="77" t="str">
        <f t="shared" si="11"/>
        <v>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 &amp; aws s3 cp s3://rtdc.mdm.uploadarchive.raw/RTDC4013/ "%USERPROFILE%\AppData\Local\Temp\OnboardLogs"\RTDC4013\2017-08-13 --exclude "*" --recursive --include "*20170813*" &amp; "%USERPROFILE%\Documents\GitHub\mrs-test-scripts\Headless Mode &amp; Sideloading\WalkAndUnGZ.bat" "%USERPROFILE%\AppData\Local\Temp\OnboardLogs"\RTDC4013\2017-08-13</v>
      </c>
      <c r="AF26" s="74" t="str">
        <f t="shared" si="12"/>
        <v>"C:\Program Files (x86)\AstroGrep\AstroGrep.exe" /e /r /s /spath="%USERPROFILE%\AppData\Local\Temp\OnboardLogs" /stypes="app*4013*20170812*"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114-12 --locoid 4013 --swversion DE.1.0.9.0 --startMP 204:232986 --initTime 2017-08-12T06:08:47 --startdatetime 2017-08-12T06:12:16 --delay 1 --endMP 204:143 --enddatetime 2017-08-12T06:51:29 --enforcementcount 0 &gt;&gt;C:\Users\stu\Documents\GitHub\eaglep3-reporting\EC\2017-08-12-refined-times.txt</v>
      </c>
      <c r="AI26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{"issue":{"subject":"","project_id":79,"tracker_id":40,"status_id":1,"priority_id":2,"assigned_to_id":23,"start_date":"2017-08-12","description":"","custom_fields":[{"id":1,"name":"Subdivision","value":"EC"},{"id":4,"name":"Milepost","value":"0.0143"},{"id":17,"name":"Train ID","value":"114-12"},{"id":16,"name":"Locomotive ID","value":"4013"},{"id":130,"name":"Impact","value":""},{"id":150,"name":"Time of Event (Mountain Time)","value":"06:51:29"},{"id":151,"name":"Denver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4013 --day 2017-08-12</v>
      </c>
      <c r="AN26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12:51:29"},{"id":29,"name":"Sharepoint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702</v>
      </c>
      <c r="B27" s="7">
        <v>4032</v>
      </c>
      <c r="C27" s="21" t="s">
        <v>198</v>
      </c>
      <c r="D27" s="21" t="s">
        <v>558</v>
      </c>
      <c r="E27" s="13">
        <v>42959.226006944446</v>
      </c>
      <c r="F27" s="13">
        <v>42959.229687500003</v>
      </c>
      <c r="G27" s="7">
        <v>1</v>
      </c>
      <c r="H27" s="21" t="s">
        <v>880</v>
      </c>
      <c r="I27" s="13">
        <v>42959.255231481482</v>
      </c>
      <c r="J27" s="7">
        <v>0</v>
      </c>
      <c r="K27" s="89" t="str">
        <f t="shared" si="0"/>
        <v>4031/4032</v>
      </c>
      <c r="L27" s="21" t="str">
        <f>VLOOKUP(A27,'Trips&amp;Operators'!$C$1:$G$99999,5,FALSE)</f>
        <v>WILLIAMS DONTE</v>
      </c>
      <c r="M27" s="6">
        <f t="shared" si="1"/>
        <v>2.5543981479131617E-2</v>
      </c>
      <c r="N27" s="7">
        <f t="shared" si="2"/>
        <v>36.783333329949528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-12T04:25:27-0600',mode:absolute,to:'2017-08-12T07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4.6600000000000003E-2</v>
      </c>
      <c r="Z27" s="197">
        <f t="shared" si="8"/>
        <v>23.326599999999999</v>
      </c>
      <c r="AA27" s="197">
        <f t="shared" si="9"/>
        <v>23.279999999999998</v>
      </c>
      <c r="AB27" s="54" t="e">
        <f>VLOOKUP(A27,Enforcements!$C$7:$K$12,8,0)</f>
        <v>#N/A</v>
      </c>
      <c r="AC27" s="51" t="e">
        <f>VLOOKUP(A27,Enforcements!$C$7:$E$12,3,0)</f>
        <v>#N/A</v>
      </c>
      <c r="AD27" s="206">
        <f t="shared" si="10"/>
        <v>115</v>
      </c>
      <c r="AE27" s="77" t="str">
        <f t="shared" si="11"/>
        <v>aws s3 cp s3://rtdc.mdm.uploadarchive.raw/RTDC4032/ "%USERPROFILE%\AppData\Local\Temp\OnboardLogs"\RTDC4032\2017-08-12 --exclude "*" --recursive --include "*20170812*" &amp; "%USERPROFILE%\Documents\GitHub\mrs-test-scripts\Headless Mode &amp; Sideloading\WalkAndUnGZ.bat" "%USERPROFILE%\AppData\Local\Temp\OnboardLogs"\RTDC4032\2017-08-12 &amp; aws s3 cp s3://rtdc.mdm.uploadarchive.raw/RTDC4032/ "%USERPROFILE%\AppData\Local\Temp\OnboardLogs"\RTDC4032\2017-08-13 --exclude "*" --recursive --include "*20170813*" &amp; "%USERPROFILE%\Documents\GitHub\mrs-test-scripts\Headless Mode &amp; Sideloading\WalkAndUnGZ.bat" "%USERPROFILE%\AppData\Local\Temp\OnboardLogs"\RTDC4032\2017-08-13</v>
      </c>
      <c r="AF27" s="74" t="str">
        <f t="shared" si="12"/>
        <v>"C:\Program Files (x86)\AstroGrep\AstroGrep.exe" /e /r /s /spath="%USERPROFILE%\AppData\Local\Temp\OnboardLogs" /stypes="app*4032*20170812*"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115-12 --locoid 4032 --swversion DE.1.0.9.0 --startMP 204:466 --initTime 2017-08-12T05:25:27 --startdatetime 2017-08-12T05:30:45 --delay 1 --endMP 204:233266 --enddatetime 2017-08-12T06:07:32 --enforcementcount 0 &gt;&gt;C:\Users\stu\Documents\GitHub\eaglep3-reporting\EC\2017-08-12-refined-times.txt</v>
      </c>
      <c r="AI27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{"issue":{"subject":"","project_id":79,"tracker_id":40,"status_id":1,"priority_id":2,"assigned_to_id":23,"start_date":"2017-08-12","description":"","custom_fields":[{"id":1,"name":"Subdivision","value":"EC"},{"id":4,"name":"Milepost","value":"23.3266"},{"id":17,"name":"Train ID","value":"115-12"},{"id":16,"name":"Locomotive ID","value":"4032"},{"id":130,"name":"Impact","value":""},{"id":150,"name":"Time of Event (Mountain Time)","value":"06:07:32"},{"id":151,"name":"Denver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4032 --day 2017-08-12</v>
      </c>
      <c r="AN27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12:07:32"},{"id":29,"name":"Sharepoint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712</v>
      </c>
      <c r="B28" s="7">
        <v>4031</v>
      </c>
      <c r="C28" s="21" t="s">
        <v>198</v>
      </c>
      <c r="D28" s="21" t="s">
        <v>389</v>
      </c>
      <c r="E28" s="13">
        <v>42959.266805555555</v>
      </c>
      <c r="F28" s="13">
        <v>42959.268958333334</v>
      </c>
      <c r="G28" s="7">
        <v>1</v>
      </c>
      <c r="H28" s="21" t="s">
        <v>618</v>
      </c>
      <c r="I28" s="13">
        <v>42959.295335648145</v>
      </c>
      <c r="J28" s="7">
        <v>0</v>
      </c>
      <c r="K28" s="89" t="str">
        <f t="shared" si="0"/>
        <v>4031/4032</v>
      </c>
      <c r="L28" s="21" t="str">
        <f>VLOOKUP(A28,'Trips&amp;Operators'!$C$1:$G$99999,5,FALSE)</f>
        <v>WILLIAMS DONTE</v>
      </c>
      <c r="M28" s="6">
        <f t="shared" si="1"/>
        <v>2.6377314810815733E-2</v>
      </c>
      <c r="N28" s="7">
        <f t="shared" si="2"/>
        <v>37.983333327574655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-12T05:24:12-0600',mode:absolute,to:'2017-08-12T08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23.299600000000002</v>
      </c>
      <c r="Z28" s="197">
        <f t="shared" si="8"/>
        <v>1.67E-2</v>
      </c>
      <c r="AA28" s="197">
        <f t="shared" si="9"/>
        <v>23.282900000000001</v>
      </c>
      <c r="AB28" s="54" t="e">
        <f>VLOOKUP(A28,Enforcements!$C$7:$K$12,8,0)</f>
        <v>#N/A</v>
      </c>
      <c r="AC28" s="51" t="e">
        <f>VLOOKUP(A28,Enforcements!$C$7:$E$12,3,0)</f>
        <v>#N/A</v>
      </c>
      <c r="AD28" s="206">
        <f t="shared" si="10"/>
        <v>116</v>
      </c>
      <c r="AE28" s="77" t="str">
        <f t="shared" si="11"/>
        <v>aws s3 cp s3://rtdc.mdm.uploadarchive.raw/RTDC4031/ "%USERPROFILE%\AppData\Local\Temp\OnboardLogs"\RTDC4031\2017-08-12 --exclude "*" --recursive --include "*20170812*" &amp; "%USERPROFILE%\Documents\GitHub\mrs-test-scripts\Headless Mode &amp; Sideloading\WalkAndUnGZ.bat" "%USERPROFILE%\AppData\Local\Temp\OnboardLogs"\RTDC4031\2017-08-12 &amp; aws s3 cp s3://rtdc.mdm.uploadarchive.raw/RTDC4031/ "%USERPROFILE%\AppData\Local\Temp\OnboardLogs"\RTDC4031\2017-08-13 --exclude "*" --recursive --include "*20170813*" &amp; "%USERPROFILE%\Documents\GitHub\mrs-test-scripts\Headless Mode &amp; Sideloading\WalkAndUnGZ.bat" "%USERPROFILE%\AppData\Local\Temp\OnboardLogs"\RTDC4031\2017-08-13</v>
      </c>
      <c r="AF28" s="74" t="str">
        <f t="shared" si="12"/>
        <v>"C:\Program Files (x86)\AstroGrep\AstroGrep.exe" /e /r /s /spath="%USERPROFILE%\AppData\Local\Temp\OnboardLogs" /stypes="app*4031*20170812*"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116-12 --locoid 4031 --swversion DE.1.0.9.0 --startMP 204:232996 --initTime 2017-08-12T06:24:12 --startdatetime 2017-08-12T06:27:18 --delay 1 --endMP 204:167 --enddatetime 2017-08-12T07:05:17 --enforcementcount 0 &gt;&gt;C:\Users\stu\Documents\GitHub\eaglep3-reporting\EC\2017-08-12-refined-times.txt</v>
      </c>
      <c r="AI28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{"issue":{"subject":"","project_id":79,"tracker_id":40,"status_id":1,"priority_id":2,"assigned_to_id":23,"start_date":"2017-08-12","description":"","custom_fields":[{"id":1,"name":"Subdivision","value":"EC"},{"id":4,"name":"Milepost","value":"0.0167"},{"id":17,"name":"Train ID","value":"116-12"},{"id":16,"name":"Locomotive ID","value":"4031"},{"id":130,"name":"Impact","value":""},{"id":150,"name":"Time of Event (Mountain Time)","value":"07:05:17"},{"id":151,"name":"Denver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4031 --day 2017-08-12</v>
      </c>
      <c r="AN28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13:05:17"},{"id":29,"name":"Sharepoint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704</v>
      </c>
      <c r="B29" s="7">
        <v>4064</v>
      </c>
      <c r="C29" s="21" t="s">
        <v>198</v>
      </c>
      <c r="D29" s="21" t="s">
        <v>881</v>
      </c>
      <c r="E29" s="13">
        <v>42959.232164351852</v>
      </c>
      <c r="F29" s="13">
        <v>42959.240069444444</v>
      </c>
      <c r="G29" s="7">
        <v>1</v>
      </c>
      <c r="H29" s="21" t="s">
        <v>493</v>
      </c>
      <c r="I29" s="13">
        <v>42959.26425925926</v>
      </c>
      <c r="J29" s="7">
        <v>0</v>
      </c>
      <c r="K29" s="89" t="str">
        <f t="shared" si="0"/>
        <v>4063/4064</v>
      </c>
      <c r="L29" s="21" t="str">
        <f>VLOOKUP(A29,'Trips&amp;Operators'!$C$1:$G$99999,5,FALSE)</f>
        <v>NEWELL JAMES</v>
      </c>
      <c r="M29" s="6">
        <f t="shared" si="1"/>
        <v>2.4189814816054422E-2</v>
      </c>
      <c r="N29" s="7">
        <f t="shared" si="2"/>
        <v>34.833333335118368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-12T04:34:19-0600',mode:absolute,to:'2017-08-12T07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3.8699999999999998E-2</v>
      </c>
      <c r="Z29" s="197">
        <f t="shared" si="8"/>
        <v>23.3307</v>
      </c>
      <c r="AA29" s="197">
        <f t="shared" si="9"/>
        <v>23.292000000000002</v>
      </c>
      <c r="AB29" s="54" t="e">
        <f>VLOOKUP(A29,Enforcements!$C$7:$K$12,8,0)</f>
        <v>#N/A</v>
      </c>
      <c r="AC29" s="51" t="e">
        <f>VLOOKUP(A29,Enforcements!$C$7:$E$12,3,0)</f>
        <v>#N/A</v>
      </c>
      <c r="AD29" s="206">
        <f t="shared" si="10"/>
        <v>117</v>
      </c>
      <c r="AE29" s="77" t="str">
        <f t="shared" si="11"/>
        <v>aws s3 cp s3://rtdc.mdm.uploadarchive.raw/RTDC4064/ "%USERPROFILE%\AppData\Local\Temp\OnboardLogs"\RTDC4064\2017-08-12 --exclude "*" --recursive --include "*20170812*" &amp; "%USERPROFILE%\Documents\GitHub\mrs-test-scripts\Headless Mode &amp; Sideloading\WalkAndUnGZ.bat" "%USERPROFILE%\AppData\Local\Temp\OnboardLogs"\RTDC4064\2017-08-12 &amp; aws s3 cp s3://rtdc.mdm.uploadarchive.raw/RTDC4064/ "%USERPROFILE%\AppData\Local\Temp\OnboardLogs"\RTDC4064\2017-08-13 --exclude "*" --recursive --include "*20170813*" &amp; "%USERPROFILE%\Documents\GitHub\mrs-test-scripts\Headless Mode &amp; Sideloading\WalkAndUnGZ.bat" "%USERPROFILE%\AppData\Local\Temp\OnboardLogs"\RTDC4064\2017-08-13</v>
      </c>
      <c r="AF29" s="74" t="str">
        <f t="shared" si="12"/>
        <v>"C:\Program Files (x86)\AstroGrep\AstroGrep.exe" /e /r /s /spath="%USERPROFILE%\AppData\Local\Temp\OnboardLogs" /stypes="app*4064*20170812*"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117-12 --locoid 4064 --swversion DE.1.0.9.0 --startMP 204:387 --initTime 2017-08-12T05:34:19 --startdatetime 2017-08-12T05:45:42 --delay 1 --endMP 204:233307 --enddatetime 2017-08-12T06:20:32 --enforcementcount 0 &gt;&gt;C:\Users\stu\Documents\GitHub\eaglep3-reporting\EC\2017-08-12-refined-times.txt</v>
      </c>
      <c r="AI29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{"issue":{"subject":"","project_id":79,"tracker_id":40,"status_id":1,"priority_id":2,"assigned_to_id":23,"start_date":"2017-08-12","description":"","custom_fields":[{"id":1,"name":"Subdivision","value":"EC"},{"id":4,"name":"Milepost","value":"23.3307"},{"id":17,"name":"Train ID","value":"117-12"},{"id":16,"name":"Locomotive ID","value":"4064"},{"id":130,"name":"Impact","value":""},{"id":150,"name":"Time of Event (Mountain Time)","value":"06:20:32"},{"id":151,"name":"Denver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4064 --day 2017-08-12</v>
      </c>
      <c r="AN29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12:20:32"},{"id":29,"name":"Sharepoint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711</v>
      </c>
      <c r="B30" s="7">
        <v>4063</v>
      </c>
      <c r="C30" s="21" t="s">
        <v>198</v>
      </c>
      <c r="D30" s="21" t="s">
        <v>876</v>
      </c>
      <c r="E30" s="13">
        <v>42959.265949074077</v>
      </c>
      <c r="F30" s="13">
        <v>42959.279305555552</v>
      </c>
      <c r="G30" s="7">
        <v>1</v>
      </c>
      <c r="H30" s="21" t="s">
        <v>350</v>
      </c>
      <c r="I30" s="13">
        <v>42959.305266203701</v>
      </c>
      <c r="J30" s="7">
        <v>0</v>
      </c>
      <c r="K30" s="89" t="str">
        <f t="shared" si="0"/>
        <v>4063/4064</v>
      </c>
      <c r="L30" s="21" t="str">
        <f>VLOOKUP(A30,'Trips&amp;Operators'!$C$1:$G$99999,5,FALSE)</f>
        <v>NEWELL JAMES</v>
      </c>
      <c r="M30" s="6">
        <f t="shared" si="1"/>
        <v>2.5960648148611654E-2</v>
      </c>
      <c r="N30" s="7">
        <f t="shared" si="2"/>
        <v>37.383333334000781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-12T05:22:58-0600',mode:absolute,to:'2017-08-12T08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23.297999999999998</v>
      </c>
      <c r="Z30" s="197">
        <f t="shared" si="8"/>
        <v>1.41E-2</v>
      </c>
      <c r="AA30" s="197">
        <f t="shared" si="9"/>
        <v>23.283899999999999</v>
      </c>
      <c r="AB30" s="54" t="e">
        <f>VLOOKUP(A30,Enforcements!$C$7:$K$12,8,0)</f>
        <v>#N/A</v>
      </c>
      <c r="AC30" s="51" t="e">
        <f>VLOOKUP(A30,Enforcements!$C$7:$E$12,3,0)</f>
        <v>#N/A</v>
      </c>
      <c r="AD30" s="206">
        <f t="shared" si="10"/>
        <v>118</v>
      </c>
      <c r="AE30" s="77" t="str">
        <f t="shared" si="11"/>
        <v>aws s3 cp s3://rtdc.mdm.uploadarchive.raw/RTDC4063/ "%USERPROFILE%\AppData\Local\Temp\OnboardLogs"\RTDC4063\2017-08-12 --exclude "*" --recursive --include "*20170812*" &amp; "%USERPROFILE%\Documents\GitHub\mrs-test-scripts\Headless Mode &amp; Sideloading\WalkAndUnGZ.bat" "%USERPROFILE%\AppData\Local\Temp\OnboardLogs"\RTDC4063\2017-08-12 &amp; aws s3 cp s3://rtdc.mdm.uploadarchive.raw/RTDC4063/ "%USERPROFILE%\AppData\Local\Temp\OnboardLogs"\RTDC4063\2017-08-13 --exclude "*" --recursive --include "*20170813*" &amp; "%USERPROFILE%\Documents\GitHub\mrs-test-scripts\Headless Mode &amp; Sideloading\WalkAndUnGZ.bat" "%USERPROFILE%\AppData\Local\Temp\OnboardLogs"\RTDC4063\2017-08-13</v>
      </c>
      <c r="AF30" s="74" t="str">
        <f t="shared" si="12"/>
        <v>"C:\Program Files (x86)\AstroGrep\AstroGrep.exe" /e /r /s /spath="%USERPROFILE%\AppData\Local\Temp\OnboardLogs" /stypes="app*4063*20170812*"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118-12 --locoid 4063 --swversion DE.1.0.9.0 --startMP 204:232980 --initTime 2017-08-12T06:22:58 --startdatetime 2017-08-12T06:42:12 --delay 1 --endMP 204:141 --enddatetime 2017-08-12T07:19:35 --enforcementcount 0 &gt;&gt;C:\Users\stu\Documents\GitHub\eaglep3-reporting\EC\2017-08-12-refined-times.txt</v>
      </c>
      <c r="AI30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{"issue":{"subject":"","project_id":79,"tracker_id":40,"status_id":1,"priority_id":2,"assigned_to_id":23,"start_date":"2017-08-12","description":"","custom_fields":[{"id":1,"name":"Subdivision","value":"EC"},{"id":4,"name":"Milepost","value":"0.0141"},{"id":17,"name":"Train ID","value":"118-12"},{"id":16,"name":"Locomotive ID","value":"4063"},{"id":130,"name":"Impact","value":""},{"id":150,"name":"Time of Event (Mountain Time)","value":"07:19:35"},{"id":151,"name":"Denver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4063 --day 2017-08-12</v>
      </c>
      <c r="AN30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13:19:35"},{"id":29,"name":"Sharepoint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708</v>
      </c>
      <c r="B31" s="7">
        <v>4050</v>
      </c>
      <c r="C31" s="21" t="s">
        <v>198</v>
      </c>
      <c r="D31" s="21" t="s">
        <v>600</v>
      </c>
      <c r="E31" s="13">
        <v>42959.246863425928</v>
      </c>
      <c r="F31" s="13">
        <v>42959.250509259262</v>
      </c>
      <c r="G31" s="7">
        <v>1</v>
      </c>
      <c r="H31" s="21" t="s">
        <v>882</v>
      </c>
      <c r="I31" s="13">
        <v>42959.276423611111</v>
      </c>
      <c r="J31" s="7">
        <v>0</v>
      </c>
      <c r="K31" s="89" t="str">
        <f t="shared" si="0"/>
        <v>4049/4050</v>
      </c>
      <c r="L31" s="21" t="str">
        <f>VLOOKUP(A31,'Trips&amp;Operators'!$C$1:$G$99999,5,FALSE)</f>
        <v>DAVIS WENDY</v>
      </c>
      <c r="M31" s="6">
        <f t="shared" si="1"/>
        <v>2.5914351848769002E-2</v>
      </c>
      <c r="N31" s="7">
        <f t="shared" si="2"/>
        <v>37.316666662227362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-12T04:55:29-0600',mode:absolute,to:'2017-08-12T07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4.7500000000000001E-2</v>
      </c>
      <c r="Z31" s="197">
        <f t="shared" si="8"/>
        <v>23.331199999999999</v>
      </c>
      <c r="AA31" s="197">
        <f t="shared" si="9"/>
        <v>23.2837</v>
      </c>
      <c r="AB31" s="54" t="e">
        <f>VLOOKUP(A31,Enforcements!$C$7:$K$12,8,0)</f>
        <v>#N/A</v>
      </c>
      <c r="AC31" s="51" t="e">
        <f>VLOOKUP(A31,Enforcements!$C$7:$E$12,3,0)</f>
        <v>#N/A</v>
      </c>
      <c r="AD31" s="206">
        <f t="shared" si="10"/>
        <v>119</v>
      </c>
      <c r="AE31" s="77" t="str">
        <f t="shared" si="11"/>
        <v>aws s3 cp s3://rtdc.mdm.uploadarchive.raw/RTDC4050/ "%USERPROFILE%\AppData\Local\Temp\OnboardLogs"\RTDC4050\2017-08-12 --exclude "*" --recursive --include "*20170812*" &amp; "%USERPROFILE%\Documents\GitHub\mrs-test-scripts\Headless Mode &amp; Sideloading\WalkAndUnGZ.bat" "%USERPROFILE%\AppData\Local\Temp\OnboardLogs"\RTDC4050\2017-08-12 &amp; aws s3 cp s3://rtdc.mdm.uploadarchive.raw/RTDC4050/ "%USERPROFILE%\AppData\Local\Temp\OnboardLogs"\RTDC4050\2017-08-13 --exclude "*" --recursive --include "*20170813*" &amp; "%USERPROFILE%\Documents\GitHub\mrs-test-scripts\Headless Mode &amp; Sideloading\WalkAndUnGZ.bat" "%USERPROFILE%\AppData\Local\Temp\OnboardLogs"\RTDC4050\2017-08-13</v>
      </c>
      <c r="AF31" s="74" t="str">
        <f t="shared" si="12"/>
        <v>"C:\Program Files (x86)\AstroGrep\AstroGrep.exe" /e /r /s /spath="%USERPROFILE%\AppData\Local\Temp\OnboardLogs" /stypes="app*4050*20170812*"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119-12 --locoid 4050 --swversion DE.1.0.9.0 --startMP 204:475 --initTime 2017-08-12T05:55:29 --startdatetime 2017-08-12T06:00:44 --delay 1 --endMP 204:233312 --enddatetime 2017-08-12T06:38:03 --enforcementcount 0 &gt;&gt;C:\Users\stu\Documents\GitHub\eaglep3-reporting\EC\2017-08-12-refined-times.txt</v>
      </c>
      <c r="AI31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{"issue":{"subject":"","project_id":79,"tracker_id":40,"status_id":1,"priority_id":2,"assigned_to_id":23,"start_date":"2017-08-12","description":"","custom_fields":[{"id":1,"name":"Subdivision","value":"EC"},{"id":4,"name":"Milepost","value":"23.3312"},{"id":17,"name":"Train ID","value":"119-12"},{"id":16,"name":"Locomotive ID","value":"4050"},{"id":130,"name":"Impact","value":""},{"id":150,"name":"Time of Event (Mountain Time)","value":"06:38:03"},{"id":151,"name":"Denver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4050 --day 2017-08-12</v>
      </c>
      <c r="AN31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12:38:03"},{"id":29,"name":"Sharepoint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717</v>
      </c>
      <c r="B32" s="7">
        <v>4049</v>
      </c>
      <c r="C32" s="21" t="s">
        <v>198</v>
      </c>
      <c r="D32" s="21" t="s">
        <v>883</v>
      </c>
      <c r="E32" s="13">
        <v>42959.287881944445</v>
      </c>
      <c r="F32" s="13">
        <v>42959.28974537037</v>
      </c>
      <c r="G32" s="7">
        <v>1</v>
      </c>
      <c r="H32" s="21" t="s">
        <v>350</v>
      </c>
      <c r="I32" s="13">
        <v>42959.316134259258</v>
      </c>
      <c r="J32" s="7">
        <v>0</v>
      </c>
      <c r="K32" s="89" t="str">
        <f t="shared" si="0"/>
        <v>4049/4050</v>
      </c>
      <c r="L32" s="21" t="str">
        <f>VLOOKUP(A32,'Trips&amp;Operators'!$C$1:$G$99999,5,FALSE)</f>
        <v>DAVIS WENDY</v>
      </c>
      <c r="M32" s="6">
        <f t="shared" si="1"/>
        <v>2.6388888887595385E-2</v>
      </c>
      <c r="N32" s="7">
        <f t="shared" si="2"/>
        <v>37.999999998137355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-12T05:54:33-0600',mode:absolute,to:'2017-08-12T08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23.298500000000001</v>
      </c>
      <c r="Z32" s="197">
        <f t="shared" si="8"/>
        <v>1.41E-2</v>
      </c>
      <c r="AA32" s="197">
        <f t="shared" si="9"/>
        <v>23.284400000000002</v>
      </c>
      <c r="AB32" s="54" t="e">
        <f>VLOOKUP(A32,Enforcements!$C$7:$K$12,8,0)</f>
        <v>#N/A</v>
      </c>
      <c r="AC32" s="51" t="e">
        <f>VLOOKUP(A32,Enforcements!$C$7:$E$12,3,0)</f>
        <v>#N/A</v>
      </c>
      <c r="AD32" s="206">
        <f t="shared" si="10"/>
        <v>120</v>
      </c>
      <c r="AE32" s="77" t="str">
        <f t="shared" si="11"/>
        <v>aws s3 cp s3://rtdc.mdm.uploadarchive.raw/RTDC4049/ "%USERPROFILE%\AppData\Local\Temp\OnboardLogs"\RTDC4049\2017-08-12 --exclude "*" --recursive --include "*20170812*" &amp; "%USERPROFILE%\Documents\GitHub\mrs-test-scripts\Headless Mode &amp; Sideloading\WalkAndUnGZ.bat" "%USERPROFILE%\AppData\Local\Temp\OnboardLogs"\RTDC4049\2017-08-12 &amp; aws s3 cp s3://rtdc.mdm.uploadarchive.raw/RTDC4049/ "%USERPROFILE%\AppData\Local\Temp\OnboardLogs"\RTDC4049\2017-08-13 --exclude "*" --recursive --include "*20170813*" &amp; "%USERPROFILE%\Documents\GitHub\mrs-test-scripts\Headless Mode &amp; Sideloading\WalkAndUnGZ.bat" "%USERPROFILE%\AppData\Local\Temp\OnboardLogs"\RTDC4049\2017-08-13</v>
      </c>
      <c r="AF32" s="74" t="str">
        <f t="shared" si="12"/>
        <v>"C:\Program Files (x86)\AstroGrep\AstroGrep.exe" /e /r /s /spath="%USERPROFILE%\AppData\Local\Temp\OnboardLogs" /stypes="app*4049*20170812*"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120-12 --locoid 4049 --swversion DE.1.0.9.0 --startMP 204:232985 --initTime 2017-08-12T06:54:33 --startdatetime 2017-08-12T06:57:14 --delay 1 --endMP 204:141 --enddatetime 2017-08-12T07:35:14 --enforcementcount 0 &gt;&gt;C:\Users\stu\Documents\GitHub\eaglep3-reporting\EC\2017-08-12-refined-times.txt</v>
      </c>
      <c r="AI32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{"issue":{"subject":"","project_id":79,"tracker_id":40,"status_id":1,"priority_id":2,"assigned_to_id":23,"start_date":"2017-08-12","description":"","custom_fields":[{"id":1,"name":"Subdivision","value":"EC"},{"id":4,"name":"Milepost","value":"0.0141"},{"id":17,"name":"Train ID","value":"120-12"},{"id":16,"name":"Locomotive ID","value":"4049"},{"id":130,"name":"Impact","value":""},{"id":150,"name":"Time of Event (Mountain Time)","value":"07:35:14"},{"id":151,"name":"Denver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4049 --day 2017-08-12</v>
      </c>
      <c r="AN32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13:35:14"},{"id":29,"name":"Sharepoint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710</v>
      </c>
      <c r="B33" s="7">
        <v>4016</v>
      </c>
      <c r="C33" s="21" t="s">
        <v>198</v>
      </c>
      <c r="D33" s="21" t="s">
        <v>466</v>
      </c>
      <c r="E33" s="13">
        <v>42959.257175925923</v>
      </c>
      <c r="F33" s="13">
        <v>42959.260925925926</v>
      </c>
      <c r="G33" s="7">
        <v>3</v>
      </c>
      <c r="H33" s="21" t="s">
        <v>615</v>
      </c>
      <c r="I33" s="13">
        <v>42959.284918981481</v>
      </c>
      <c r="J33" s="7">
        <v>0</v>
      </c>
      <c r="K33" s="89" t="str">
        <f t="shared" si="0"/>
        <v>4015/4016</v>
      </c>
      <c r="L33" s="21" t="str">
        <f>VLOOKUP(A33,'Trips&amp;Operators'!$C$1:$G$99999,5,FALSE)</f>
        <v>GEBRETEKLE DAGNEW</v>
      </c>
      <c r="M33" s="6">
        <f t="shared" si="1"/>
        <v>2.3993055554456078E-2</v>
      </c>
      <c r="N33" s="7">
        <f t="shared" si="2"/>
        <v>34.549999998416752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-12T05:10:20-0600',mode:absolute,to:'2017-08-12T07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4.6399999999999997E-2</v>
      </c>
      <c r="Z33" s="197">
        <f t="shared" si="8"/>
        <v>23.332000000000001</v>
      </c>
      <c r="AA33" s="197">
        <f t="shared" si="9"/>
        <v>23.285600000000002</v>
      </c>
      <c r="AB33" s="54" t="e">
        <f>VLOOKUP(A33,Enforcements!$C$7:$K$12,8,0)</f>
        <v>#N/A</v>
      </c>
      <c r="AC33" s="51" t="e">
        <f>VLOOKUP(A33,Enforcements!$C$7:$E$12,3,0)</f>
        <v>#N/A</v>
      </c>
      <c r="AD33" s="206">
        <f t="shared" si="10"/>
        <v>121</v>
      </c>
      <c r="AE33" s="77" t="str">
        <f t="shared" si="11"/>
        <v>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 &amp; 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</v>
      </c>
      <c r="AF33" s="74" t="str">
        <f t="shared" si="12"/>
        <v>"C:\Program Files (x86)\AstroGrep\AstroGrep.exe" /e /r /s /spath="%USERPROFILE%\AppData\Local\Temp\OnboardLogs" /stypes="app*4016*20170812*"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121-12 --locoid 4016 --swversion DE.1.0.9.0 --startMP 204:464 --initTime 2017-08-12T06:10:20 --startdatetime 2017-08-12T06:15:44 --delay 3 --endMP 204:233320 --enddatetime 2017-08-12T06:50:17 --enforcementcount 0 &gt;&gt;C:\Users\stu\Documents\GitHub\eaglep3-reporting\EC\2017-08-12-refined-times.txt</v>
      </c>
      <c r="AI33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{"issue":{"subject":"","project_id":79,"tracker_id":40,"status_id":1,"priority_id":2,"assigned_to_id":23,"start_date":"2017-08-12","description":"","custom_fields":[{"id":1,"name":"Subdivision","value":"EC"},{"id":4,"name":"Milepost","value":"23.332"},{"id":17,"name":"Train ID","value":"121-12"},{"id":16,"name":"Locomotive ID","value":"4016"},{"id":130,"name":"Impact","value":""},{"id":150,"name":"Time of Event (Mountain Time)","value":"06:50:17"},{"id":151,"name":"Denver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4016 --day 2017-08-12</v>
      </c>
      <c r="AN33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12:50:17"},{"id":29,"name":"Sharepoint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715</v>
      </c>
      <c r="B34" s="7">
        <v>4015</v>
      </c>
      <c r="C34" s="21" t="s">
        <v>198</v>
      </c>
      <c r="D34" s="21" t="s">
        <v>884</v>
      </c>
      <c r="E34" s="13">
        <v>42959.285995370374</v>
      </c>
      <c r="F34" s="13">
        <v>42959.300219907411</v>
      </c>
      <c r="G34" s="7">
        <v>1</v>
      </c>
      <c r="H34" s="21" t="s">
        <v>341</v>
      </c>
      <c r="I34" s="13">
        <v>42959.32608796296</v>
      </c>
      <c r="J34" s="7">
        <v>0</v>
      </c>
      <c r="K34" s="89" t="str">
        <f t="shared" si="0"/>
        <v>4015/4016</v>
      </c>
      <c r="L34" s="21" t="str">
        <f>VLOOKUP(A34,'Trips&amp;Operators'!$C$1:$G$99999,5,FALSE)</f>
        <v>GEBRETEKLE DAGNEW</v>
      </c>
      <c r="M34" s="6">
        <f t="shared" si="1"/>
        <v>2.586805554892635E-2</v>
      </c>
      <c r="N34" s="7">
        <f t="shared" si="2"/>
        <v>37.249999990453944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-12T05:51:50-0600',mode:absolute,to:'2017-08-12T08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</v>
      </c>
      <c r="Z34" s="197">
        <f t="shared" si="8"/>
        <v>1.4999999999999999E-2</v>
      </c>
      <c r="AA34" s="197">
        <f t="shared" si="9"/>
        <v>23.285</v>
      </c>
      <c r="AB34" s="54" t="e">
        <f>VLOOKUP(A34,Enforcements!$C$7:$K$12,8,0)</f>
        <v>#N/A</v>
      </c>
      <c r="AC34" s="51" t="e">
        <f>VLOOKUP(A34,Enforcements!$C$7:$E$12,3,0)</f>
        <v>#N/A</v>
      </c>
      <c r="AD34" s="206">
        <f t="shared" si="10"/>
        <v>122</v>
      </c>
      <c r="AE34" s="77" t="str">
        <f t="shared" si="11"/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AF34" s="74" t="str">
        <f t="shared" si="12"/>
        <v>"C:\Program Files (x86)\AstroGrep\AstroGrep.exe" /e /r /s /spath="%USERPROFILE%\AppData\Local\Temp\OnboardLogs" /stypes="app*4015*20170812*"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122-12 --locoid 4015 --swversion DE.1.0.9.0 --startMP 204:233000 --initTime 2017-08-12T06:51:50 --startdatetime 2017-08-12T07:12:19 --delay 1 --endMP 204:150 --enddatetime 2017-08-12T07:49:34 --enforcementcount 0 &gt;&gt;C:\Users\stu\Documents\GitHub\eaglep3-reporting\EC\2017-08-12-refined-times.txt</v>
      </c>
      <c r="AI34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{"issue":{"subject":"","project_id":79,"tracker_id":40,"status_id":1,"priority_id":2,"assigned_to_id":23,"start_date":"2017-08-12","description":"","custom_fields":[{"id":1,"name":"Subdivision","value":"EC"},{"id":4,"name":"Milepost","value":"0.015"},{"id":17,"name":"Train ID","value":"122-12"},{"id":16,"name":"Locomotive ID","value":"4015"},{"id":130,"name":"Impact","value":""},{"id":150,"name":"Time of Event (Mountain Time)","value":"07:49:34"},{"id":151,"name":"Denver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4015 --day 2017-08-12</v>
      </c>
      <c r="AN34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13:49:34"},{"id":29,"name":"Sharepoint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633</v>
      </c>
      <c r="B35" s="7">
        <v>4042</v>
      </c>
      <c r="C35" s="21" t="s">
        <v>198</v>
      </c>
      <c r="D35" s="21" t="s">
        <v>442</v>
      </c>
      <c r="E35" s="13">
        <v>42959.265949074077</v>
      </c>
      <c r="F35" s="13">
        <v>42959.27140046296</v>
      </c>
      <c r="G35" s="7">
        <v>1</v>
      </c>
      <c r="H35" s="21" t="s">
        <v>885</v>
      </c>
      <c r="I35" s="13">
        <v>42959.296851851854</v>
      </c>
      <c r="J35" s="7">
        <v>0</v>
      </c>
      <c r="K35" s="89" t="str">
        <f t="shared" si="0"/>
        <v>4041/4042</v>
      </c>
      <c r="L35" s="21" t="str">
        <f>VLOOKUP(A35,'Trips&amp;Operators'!$C$1:$G$99999,5,FALSE)</f>
        <v>LALONDE GREGORY</v>
      </c>
      <c r="M35" s="6">
        <f t="shared" si="1"/>
        <v>2.5451388893998228E-2</v>
      </c>
      <c r="N35" s="7">
        <f t="shared" si="2"/>
        <v>36.650000007357448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-08-12T05:22:58-0600',mode:absolute,to:'2017-08-12T08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4.5999999999999999E-2</v>
      </c>
      <c r="Z35" s="197">
        <f t="shared" si="8"/>
        <v>23.3215</v>
      </c>
      <c r="AA35" s="197">
        <f t="shared" si="9"/>
        <v>23.275500000000001</v>
      </c>
      <c r="AB35" s="54" t="e">
        <f>VLOOKUP(A35,Enforcements!$C$7:$K$12,8,0)</f>
        <v>#N/A</v>
      </c>
      <c r="AC35" s="51" t="e">
        <f>VLOOKUP(A35,Enforcements!$C$7:$E$12,3,0)</f>
        <v>#N/A</v>
      </c>
      <c r="AD35" s="206">
        <f t="shared" si="10"/>
        <v>123</v>
      </c>
      <c r="AE35" s="77" t="str">
        <f t="shared" si="11"/>
        <v>aws s3 cp s3://rtdc.mdm.uploadarchive.raw/RTDC4042/ "%USERPROFILE%\AppData\Local\Temp\OnboardLogs"\RTDC4042\2017-08-12 --exclude "*" --recursive --include "*20170812*" &amp; "%USERPROFILE%\Documents\GitHub\mrs-test-scripts\Headless Mode &amp; Sideloading\WalkAndUnGZ.bat" "%USERPROFILE%\AppData\Local\Temp\OnboardLogs"\RTDC4042\2017-08-12 &amp; 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</v>
      </c>
      <c r="AF35" s="74" t="str">
        <f t="shared" si="12"/>
        <v>"C:\Program Files (x86)\AstroGrep\AstroGrep.exe" /e /r /s /spath="%USERPROFILE%\AppData\Local\Temp\OnboardLogs" /stypes="app*4042*20170812*"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123-12 --locoid 4042 --swversion DE.1.0.9.0 --startMP 204:460 --initTime 2017-08-12T06:22:58 --startdatetime 2017-08-12T06:30:49 --delay 1 --endMP 204:233215 --enddatetime 2017-08-12T07:07:28 --enforcementcount 0 &gt;&gt;C:\Users\stu\Documents\GitHub\eaglep3-reporting\EC\2017-08-12-refined-times.txt</v>
      </c>
      <c r="AI35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{"issue":{"subject":"","project_id":79,"tracker_id":40,"status_id":1,"priority_id":2,"assigned_to_id":23,"start_date":"2017-08-12","description":"","custom_fields":[{"id":1,"name":"Subdivision","value":"EC"},{"id":4,"name":"Milepost","value":"23.3215"},{"id":17,"name":"Train ID","value":"123-12"},{"id":16,"name":"Locomotive ID","value":"4042"},{"id":130,"name":"Impact","value":""},{"id":150,"name":"Time of Event (Mountain Time)","value":"07:07:28"},{"id":151,"name":"Denver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4042 --day 2017-08-12</v>
      </c>
      <c r="AN35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13:07:28"},{"id":29,"name":"Sharepoint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720</v>
      </c>
      <c r="B36" s="7">
        <v>4041</v>
      </c>
      <c r="C36" s="21" t="s">
        <v>198</v>
      </c>
      <c r="D36" s="21" t="s">
        <v>871</v>
      </c>
      <c r="E36" s="13">
        <v>42959.300671296296</v>
      </c>
      <c r="F36" s="13">
        <v>42959.310601851852</v>
      </c>
      <c r="G36" s="7">
        <v>1</v>
      </c>
      <c r="H36" s="21" t="s">
        <v>341</v>
      </c>
      <c r="I36" s="13">
        <v>42959.3362037037</v>
      </c>
      <c r="J36" s="7">
        <v>0</v>
      </c>
      <c r="K36" s="89" t="str">
        <f t="shared" si="0"/>
        <v>4041/4042</v>
      </c>
      <c r="L36" s="21" t="str">
        <f>VLOOKUP(A36,'Trips&amp;Operators'!$C$1:$G$99999,5,FALSE)</f>
        <v>LALONDE GREGORY</v>
      </c>
      <c r="M36" s="6">
        <f t="shared" si="1"/>
        <v>2.5601851848477963E-2</v>
      </c>
      <c r="N36" s="7">
        <f t="shared" si="2"/>
        <v>36.866666661808267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-12T06:12:58-0600',mode:absolute,to:'2017-08-12T09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23.301100000000002</v>
      </c>
      <c r="Z36" s="197">
        <f t="shared" si="8"/>
        <v>1.4999999999999999E-2</v>
      </c>
      <c r="AA36" s="197">
        <f t="shared" si="9"/>
        <v>23.286100000000001</v>
      </c>
      <c r="AB36" s="54" t="e">
        <f>VLOOKUP(A36,Enforcements!$C$7:$K$12,8,0)</f>
        <v>#N/A</v>
      </c>
      <c r="AC36" s="51" t="e">
        <f>VLOOKUP(A36,Enforcements!$C$7:$E$12,3,0)</f>
        <v>#N/A</v>
      </c>
      <c r="AD36" s="206">
        <f t="shared" si="10"/>
        <v>124</v>
      </c>
      <c r="AE36" s="77" t="str">
        <f t="shared" si="11"/>
        <v>aws s3 cp s3://rtdc.mdm.uploadarchive.raw/RTDC4041/ "%USERPROFILE%\AppData\Local\Temp\OnboardLogs"\RTDC4041\2017-08-12 --exclude "*" --recursive --include "*20170812*" &amp; "%USERPROFILE%\Documents\GitHub\mrs-test-scripts\Headless Mode &amp; Sideloading\WalkAndUnGZ.bat" "%USERPROFILE%\AppData\Local\Temp\OnboardLogs"\RTDC4041\2017-08-12 &amp; 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</v>
      </c>
      <c r="AF36" s="74" t="str">
        <f t="shared" si="12"/>
        <v>"C:\Program Files (x86)\AstroGrep\AstroGrep.exe" /e /r /s /spath="%USERPROFILE%\AppData\Local\Temp\OnboardLogs" /stypes="app*4041*20170812*"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124-12 --locoid 4041 --swversion DE.1.0.9.0 --startMP 204:233011 --initTime 2017-08-12T07:12:58 --startdatetime 2017-08-12T07:27:16 --delay 1 --endMP 204:150 --enddatetime 2017-08-12T08:04:08 --enforcementcount 0 &gt;&gt;C:\Users\stu\Documents\GitHub\eaglep3-reporting\EC\2017-08-12-refined-times.txt</v>
      </c>
      <c r="AI36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{"issue":{"subject":"","project_id":79,"tracker_id":40,"status_id":1,"priority_id":2,"assigned_to_id":23,"start_date":"2017-08-12","description":"","custom_fields":[{"id":1,"name":"Subdivision","value":"EC"},{"id":4,"name":"Milepost","value":"0.015"},{"id":17,"name":"Train ID","value":"124-12"},{"id":16,"name":"Locomotive ID","value":"4041"},{"id":130,"name":"Impact","value":""},{"id":150,"name":"Time of Event (Mountain Time)","value":"08:04:08"},{"id":151,"name":"Denver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4041 --day 2017-08-12</v>
      </c>
      <c r="AN36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14:04:08"},{"id":29,"name":"Sharepoint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714</v>
      </c>
      <c r="B37" s="7">
        <v>4018</v>
      </c>
      <c r="C37" s="21" t="s">
        <v>198</v>
      </c>
      <c r="D37" s="21" t="s">
        <v>450</v>
      </c>
      <c r="E37" s="13">
        <v>42959.276898148149</v>
      </c>
      <c r="F37" s="13">
        <v>42959.281828703701</v>
      </c>
      <c r="G37" s="7">
        <v>1</v>
      </c>
      <c r="H37" s="21" t="s">
        <v>500</v>
      </c>
      <c r="I37" s="13">
        <v>42959.307314814818</v>
      </c>
      <c r="J37" s="7">
        <v>0</v>
      </c>
      <c r="K37" s="89" t="str">
        <f t="shared" si="0"/>
        <v>4017/4018</v>
      </c>
      <c r="L37" s="21" t="str">
        <f>VLOOKUP(A37,'Trips&amp;Operators'!$C$1:$G$99999,5,FALSE)</f>
        <v>MAELZER KURT</v>
      </c>
      <c r="M37" s="6">
        <f t="shared" si="1"/>
        <v>2.5486111117061228E-2</v>
      </c>
      <c r="N37" s="7">
        <f t="shared" si="2"/>
        <v>36.700000008568168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-12T05:38:44-0600',mode:absolute,to:'2017-08-12T08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4.6699999999999998E-2</v>
      </c>
      <c r="Z37" s="197">
        <f t="shared" si="8"/>
        <v>23.331600000000002</v>
      </c>
      <c r="AA37" s="197">
        <f t="shared" si="9"/>
        <v>23.2849</v>
      </c>
      <c r="AB37" s="54" t="e">
        <f>VLOOKUP(A37,Enforcements!$C$7:$K$12,8,0)</f>
        <v>#N/A</v>
      </c>
      <c r="AC37" s="51" t="e">
        <f>VLOOKUP(A37,Enforcements!$C$7:$E$12,3,0)</f>
        <v>#N/A</v>
      </c>
      <c r="AD37" s="206">
        <f t="shared" si="10"/>
        <v>125</v>
      </c>
      <c r="AE37" s="77" t="str">
        <f t="shared" si="11"/>
        <v>aws s3 cp s3://rtdc.mdm.uploadarchive.raw/RTDC4018/ "%USERPROFILE%\AppData\Local\Temp\OnboardLogs"\RTDC4018\2017-08-12 --exclude "*" --recursive --include "*20170812*" &amp; "%USERPROFILE%\Documents\GitHub\mrs-test-scripts\Headless Mode &amp; Sideloading\WalkAndUnGZ.bat" "%USERPROFILE%\AppData\Local\Temp\OnboardLogs"\RTDC4018\2017-08-12 &amp; aws s3 cp s3://rtdc.mdm.uploadarchive.raw/RTDC4018/ "%USERPROFILE%\AppData\Local\Temp\OnboardLogs"\RTDC4018\2017-08-13 --exclude "*" --recursive --include "*20170813*" &amp; "%USERPROFILE%\Documents\GitHub\mrs-test-scripts\Headless Mode &amp; Sideloading\WalkAndUnGZ.bat" "%USERPROFILE%\AppData\Local\Temp\OnboardLogs"\RTDC4018\2017-08-13</v>
      </c>
      <c r="AF37" s="74" t="str">
        <f t="shared" si="12"/>
        <v>"C:\Program Files (x86)\AstroGrep\AstroGrep.exe" /e /r /s /spath="%USERPROFILE%\AppData\Local\Temp\OnboardLogs" /stypes="app*4018*20170812*"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125-12 --locoid 4018 --swversion DE.1.0.9.0 --startMP 204:467 --initTime 2017-08-12T06:38:44 --startdatetime 2017-08-12T06:45:50 --delay 1 --endMP 204:233316 --enddatetime 2017-08-12T07:22:32 --enforcementcount 0 &gt;&gt;C:\Users\stu\Documents\GitHub\eaglep3-reporting\EC\2017-08-12-refined-times.txt</v>
      </c>
      <c r="AI37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{"issue":{"subject":"","project_id":79,"tracker_id":40,"status_id":1,"priority_id":2,"assigned_to_id":23,"start_date":"2017-08-12","description":"","custom_fields":[{"id":1,"name":"Subdivision","value":"EC"},{"id":4,"name":"Milepost","value":"23.3316"},{"id":17,"name":"Train ID","value":"125-12"},{"id":16,"name":"Locomotive ID","value":"4018"},{"id":130,"name":"Impact","value":""},{"id":150,"name":"Time of Event (Mountain Time)","value":"07:22:32"},{"id":151,"name":"Denver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4018 --day 2017-08-12</v>
      </c>
      <c r="AN37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13:22:32"},{"id":29,"name":"Sharepoint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722</v>
      </c>
      <c r="B38" s="7">
        <v>4017</v>
      </c>
      <c r="C38" s="21" t="s">
        <v>198</v>
      </c>
      <c r="D38" s="21" t="s">
        <v>450</v>
      </c>
      <c r="E38" s="13">
        <v>42959.276898148149</v>
      </c>
      <c r="F38" s="13">
        <v>42959.321076388886</v>
      </c>
      <c r="G38" s="7">
        <v>1</v>
      </c>
      <c r="H38" s="21" t="s">
        <v>500</v>
      </c>
      <c r="I38" s="13">
        <v>42959.347627314812</v>
      </c>
      <c r="J38" s="7">
        <v>0</v>
      </c>
      <c r="K38" s="89" t="str">
        <f t="shared" si="0"/>
        <v>4017/4018</v>
      </c>
      <c r="L38" s="21" t="str">
        <f>VLOOKUP(A38,'Trips&amp;Operators'!$C$1:$G$99999,5,FALSE)</f>
        <v>MAELZER KURT</v>
      </c>
      <c r="M38" s="6">
        <f t="shared" si="1"/>
        <v>2.6550925926130731E-2</v>
      </c>
      <c r="N38" s="7">
        <f t="shared" si="2"/>
        <v>38.233333333628252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-12T05:38:44-0600',mode:absolute,to:'2017-08-12T09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v>23.301100000000002</v>
      </c>
      <c r="Z38" s="197">
        <v>1.4999999999999999E-2</v>
      </c>
      <c r="AA38" s="197">
        <f t="shared" si="9"/>
        <v>23.286100000000001</v>
      </c>
      <c r="AB38" s="54" t="e">
        <f>VLOOKUP(A38,Enforcements!$C$7:$K$12,8,0)</f>
        <v>#N/A</v>
      </c>
      <c r="AC38" s="51" t="e">
        <f>VLOOKUP(A38,Enforcements!$C$7:$E$12,3,0)</f>
        <v>#N/A</v>
      </c>
      <c r="AD38" s="206">
        <f t="shared" si="10"/>
        <v>126</v>
      </c>
      <c r="AE38" s="77" t="str">
        <f t="shared" si="11"/>
        <v>aws s3 cp s3://rtdc.mdm.uploadarchive.raw/RTDC4017/ "%USERPROFILE%\AppData\Local\Temp\OnboardLogs"\RTDC4017\2017-08-12 --exclude "*" --recursive --include "*20170812*" &amp; "%USERPROFILE%\Documents\GitHub\mrs-test-scripts\Headless Mode &amp; Sideloading\WalkAndUnGZ.bat" "%USERPROFILE%\AppData\Local\Temp\OnboardLogs"\RTDC4017\2017-08-12 &amp; aws s3 cp s3://rtdc.mdm.uploadarchive.raw/RTDC4017/ "%USERPROFILE%\AppData\Local\Temp\OnboardLogs"\RTDC4017\2017-08-13 --exclude "*" --recursive --include "*20170813*" &amp; "%USERPROFILE%\Documents\GitHub\mrs-test-scripts\Headless Mode &amp; Sideloading\WalkAndUnGZ.bat" "%USERPROFILE%\AppData\Local\Temp\OnboardLogs"\RTDC4017\2017-08-13</v>
      </c>
      <c r="AF38" s="74" t="str">
        <f t="shared" si="12"/>
        <v>"C:\Program Files (x86)\AstroGrep\AstroGrep.exe" /e /r /s /spath="%USERPROFILE%\AppData\Local\Temp\OnboardLogs" /stypes="app*4017*20170812*"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ref="AH38" si="22">refinertdcruntimes&amp;" --tripid "&amp;A38&amp;" --locoid "&amp;B38&amp;" --swversion "&amp;C38&amp;" --startMP "&amp;D38&amp;" --initTime "&amp;TEXT(E38,"yyyy-mm-ddTHH:MM:SS")&amp;" --startdatetime "&amp;TEXT(F38,"yyyy-mm-ddTHH:MM:SS")&amp;" --delay "&amp;G38&amp;" --endMP "&amp;H38&amp;" --enddatetime "&amp;TEXT(I38,"yyyy-mm-ddTHH:MM:SS")&amp;" --enforcementcount "&amp;J38&amp;IF(outputrefinedruntimes," &gt;&gt;"&amp;RefinedRTDCRunTimesOutputFile,"")</f>
        <v>"%USERPROFILE%\Documents\GitHub\eaglep3\Utilities\RefineRTDCRunTimes.py" --tripid 126-12 --locoid 4017 --swversion DE.1.0.9.0 --startMP 204:467 --initTime 2017-08-12T06:38:44 --startdatetime 2017-08-12T07:42:21 --delay 1 --endMP 204:233316 --enddatetime 2017-08-12T08:20:35 --enforcementcount 0 &gt;&gt;C:\Users\stu\Documents\GitHub\eaglep3-reporting\EC\2017-08-12-refined-times.txt</v>
      </c>
      <c r="AI38" s="96" t="str">
        <f t="shared" ref="AI38" si="23">"echo {""issue"":{""subject"":"""&amp;R38&amp;""",""project_id"":79,""tracker_id"":40,""status_id"":"&amp;redmine_status&amp;",""priority_id"":"&amp;redmine_priority&amp;",""assigned_to_id"":"&amp;redmine_assignee&amp;",""start_date"":"""&amp;TEXT(I38,"YYYY-mm-dd")&amp;""",""description"":"""&amp;AJ38&amp;""",""custom_fields"":[{""id"":1,""name"":""Subdivision"",""value"":"""&amp;AG38&amp;"""},{""id"":4,""name"":""Milepost"",""value"":"""&amp;Z38&amp;"""},{""id"":17,""name"":""Train ID"",""value"":"""&amp;A38&amp;"""},{""id"":16,""name"":""Locomotive ID"",""value"":"""&amp;B38&amp;"""},{""id"":130,""name"":""Impact"",""value"":"""&amp;AK38&amp;"""},{""id"":150,""name"":""Time of Event (Mountain Time)"",""value"":"""&amp;TEXT(I38,"hh:mm:ss")&amp;"""},{""id"":151,""name"":""Denver Issue ID"",""value"":"""&amp;"""},{""id"":178,""name"":""Operational Impact"",""value"":"""&amp;redmine_op_impact&amp;"""},{""id"":179,""name"":""Denver Segment Assigned"",""value"":"""&amp;AL38&amp;"""}]}}"&amp;"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{"issue":{"subject":"","project_id":79,"tracker_id":40,"status_id":1,"priority_id":2,"assigned_to_id":23,"start_date":"2017-08-12","description":"","custom_fields":[{"id":1,"name":"Subdivision","value":"EC"},{"id":4,"name":"Milepost","value":"0.015"},{"id":17,"name":"Train ID","value":"126-12"},{"id":16,"name":"Locomotive ID","value":"4017"},{"id":130,"name":"Impact","value":""},{"id":150,"name":"Time of Event (Mountain Time)","value":"08:20:35"},{"id":151,"name":"Denver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ref="AM38" si="24">"start /low /b "&amp;dls3logs&amp;" --loco "&amp;B38&amp;" --day "&amp;TEXT(F38,"YYYY-MM-DD")</f>
        <v>start /low /b %USERPROFILE%\Documents\GitHub\eaglep3\Utilities\DownloadLogsFromS3.py --loco 4017 --day 2017-08-12</v>
      </c>
      <c r="AN38" s="151" t="str">
        <f t="shared" ref="AN38" si="25">"echo {""issue"":{""subject"":"""&amp;R38&amp;""",""project_id"":30,""tracker_id"":4,""status_id"":"&amp;redmine_status_wcr&amp;",""priority_id"":"&amp;redmine_priority_wcr&amp;",""assigned_to_id"":"&amp;redmine_assignee_wcr&amp;",""start_date"":"""&amp;TEXT(I38-utc_offset/24,"YYYY-mm-dd")&amp;""",""description"":"""&amp;AJ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14:20:35"},{"id":29,"name":"Sharepoint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</row>
    <row r="39" spans="1:91" s="1" customFormat="1" x14ac:dyDescent="0.25">
      <c r="A39" s="32" t="s">
        <v>716</v>
      </c>
      <c r="B39" s="7">
        <v>4014</v>
      </c>
      <c r="C39" s="21" t="s">
        <v>198</v>
      </c>
      <c r="D39" s="21" t="s">
        <v>557</v>
      </c>
      <c r="E39" s="13">
        <v>42959.287175925929</v>
      </c>
      <c r="F39" s="13">
        <v>42959.292187500003</v>
      </c>
      <c r="G39" s="7">
        <v>1</v>
      </c>
      <c r="H39" s="21" t="s">
        <v>565</v>
      </c>
      <c r="I39" s="13">
        <v>42959.316643518519</v>
      </c>
      <c r="J39" s="7">
        <v>0</v>
      </c>
      <c r="K39" s="89" t="str">
        <f t="shared" si="0"/>
        <v>4013/4014</v>
      </c>
      <c r="L39" s="21" t="str">
        <f>VLOOKUP(A39,'Trips&amp;Operators'!$C$1:$G$99999,5,FALSE)</f>
        <v>DAVIDSON DAVID</v>
      </c>
      <c r="M39" s="6">
        <f t="shared" si="1"/>
        <v>2.4456018516502809E-2</v>
      </c>
      <c r="N39" s="7">
        <f t="shared" si="2"/>
        <v>35.216666663764045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-12T05:53:32-0600',mode:absolute,to:'2017-08-12T08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ref="Y39:Y70" si="26">RIGHT(D39,LEN(D39)-4)/10000</f>
        <v>4.7100000000000003E-2</v>
      </c>
      <c r="Z39" s="197">
        <f t="shared" ref="Z39:Z70" si="27">RIGHT(H39,LEN(H39)-4)/10000</f>
        <v>23.331</v>
      </c>
      <c r="AA39" s="197">
        <f t="shared" si="9"/>
        <v>23.283899999999999</v>
      </c>
      <c r="AB39" s="54" t="e">
        <f>VLOOKUP(A39,Enforcements!$C$7:$K$12,8,0)</f>
        <v>#N/A</v>
      </c>
      <c r="AC39" s="51" t="e">
        <f>VLOOKUP(A39,Enforcements!$C$7:$E$12,3,0)</f>
        <v>#N/A</v>
      </c>
      <c r="AD39" s="206">
        <f t="shared" si="10"/>
        <v>127</v>
      </c>
      <c r="AE39" s="77" t="str">
        <f t="shared" si="11"/>
        <v>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 &amp; aws s3 cp s3://rtdc.mdm.uploadarchive.raw/RTDC4014/ "%USERPROFILE%\AppData\Local\Temp\OnboardLogs"\RTDC4014\2017-08-13 --exclude "*" --recursive --include "*20170813*" &amp; "%USERPROFILE%\Documents\GitHub\mrs-test-scripts\Headless Mode &amp; Sideloading\WalkAndUnGZ.bat" "%USERPROFILE%\AppData\Local\Temp\OnboardLogs"\RTDC4014\2017-08-13</v>
      </c>
      <c r="AF39" s="74" t="str">
        <f t="shared" si="12"/>
        <v>"C:\Program Files (x86)\AstroGrep\AstroGrep.exe" /e /r /s /spath="%USERPROFILE%\AppData\Local\Temp\OnboardLogs" /stypes="app*4014*20170812*"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127-12 --locoid 4014 --swversion DE.1.0.9.0 --startMP 204:471 --initTime 2017-08-12T06:53:32 --startdatetime 2017-08-12T07:00:45 --delay 1 --endMP 204:233310 --enddatetime 2017-08-12T07:35:58 --enforcementcount 0 &gt;&gt;C:\Users\stu\Documents\GitHub\eaglep3-reporting\EC\2017-08-12-refined-times.txt</v>
      </c>
      <c r="AI39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{"issue":{"subject":"","project_id":79,"tracker_id":40,"status_id":1,"priority_id":2,"assigned_to_id":23,"start_date":"2017-08-12","description":"","custom_fields":[{"id":1,"name":"Subdivision","value":"EC"},{"id":4,"name":"Milepost","value":"23.331"},{"id":17,"name":"Train ID","value":"127-12"},{"id":16,"name":"Locomotive ID","value":"4014"},{"id":130,"name":"Impact","value":""},{"id":150,"name":"Time of Event (Mountain Time)","value":"07:35:58"},{"id":151,"name":"Denver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4014 --day 2017-08-12</v>
      </c>
      <c r="AN39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13:35:58"},{"id":29,"name":"Sharepoint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724</v>
      </c>
      <c r="B40" s="7">
        <v>4013</v>
      </c>
      <c r="C40" s="21" t="s">
        <v>198</v>
      </c>
      <c r="D40" s="21" t="s">
        <v>886</v>
      </c>
      <c r="E40" s="13">
        <v>42959.31927083333</v>
      </c>
      <c r="F40" s="13">
        <v>42959.331446759257</v>
      </c>
      <c r="G40" s="7">
        <v>0</v>
      </c>
      <c r="H40" s="21" t="s">
        <v>441</v>
      </c>
      <c r="I40" s="13">
        <v>42959.358275462961</v>
      </c>
      <c r="J40" s="7">
        <v>0</v>
      </c>
      <c r="K40" s="89" t="str">
        <f t="shared" si="0"/>
        <v>4013/4014</v>
      </c>
      <c r="L40" s="21" t="str">
        <f>VLOOKUP(A40,'Trips&amp;Operators'!$C$1:$G$99999,5,FALSE)</f>
        <v>DAVIDSON DAVID</v>
      </c>
      <c r="M40" s="6">
        <f t="shared" si="1"/>
        <v>2.6828703703358769E-2</v>
      </c>
      <c r="N40" s="7">
        <f t="shared" si="2"/>
        <v>38.633333332836628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-12T06:39:45-0600',mode:absolute,to:'2017-08-12T09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26"/>
        <v>23.2989</v>
      </c>
      <c r="Z40" s="197">
        <f t="shared" si="27"/>
        <v>1.52E-2</v>
      </c>
      <c r="AA40" s="197">
        <f t="shared" si="9"/>
        <v>23.2837</v>
      </c>
      <c r="AB40" s="54" t="e">
        <f>VLOOKUP(A40,Enforcements!$C$7:$K$12,8,0)</f>
        <v>#N/A</v>
      </c>
      <c r="AC40" s="51" t="e">
        <f>VLOOKUP(A40,Enforcements!$C$7:$E$12,3,0)</f>
        <v>#N/A</v>
      </c>
      <c r="AD40" s="206">
        <f t="shared" si="10"/>
        <v>128</v>
      </c>
      <c r="AE40" s="77" t="str">
        <f t="shared" si="11"/>
        <v>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 &amp; aws s3 cp s3://rtdc.mdm.uploadarchive.raw/RTDC4013/ "%USERPROFILE%\AppData\Local\Temp\OnboardLogs"\RTDC4013\2017-08-13 --exclude "*" --recursive --include "*20170813*" &amp; "%USERPROFILE%\Documents\GitHub\mrs-test-scripts\Headless Mode &amp; Sideloading\WalkAndUnGZ.bat" "%USERPROFILE%\AppData\Local\Temp\OnboardLogs"\RTDC4013\2017-08-13</v>
      </c>
      <c r="AF40" s="74" t="str">
        <f t="shared" si="12"/>
        <v>"C:\Program Files (x86)\AstroGrep\AstroGrep.exe" /e /r /s /spath="%USERPROFILE%\AppData\Local\Temp\OnboardLogs" /stypes="app*4013*20170812*"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128-12 --locoid 4013 --swversion DE.1.0.9.0 --startMP 204:232989 --initTime 2017-08-12T07:39:45 --startdatetime 2017-08-12T07:57:17 --delay 0 --endMP 204:152 --enddatetime 2017-08-12T08:35:55 --enforcementcount 0 &gt;&gt;C:\Users\stu\Documents\GitHub\eaglep3-reporting\EC\2017-08-12-refined-times.txt</v>
      </c>
      <c r="AI40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{"issue":{"subject":"","project_id":79,"tracker_id":40,"status_id":1,"priority_id":2,"assigned_to_id":23,"start_date":"2017-08-12","description":"","custom_fields":[{"id":1,"name":"Subdivision","value":"EC"},{"id":4,"name":"Milepost","value":"0.0152"},{"id":17,"name":"Train ID","value":"128-12"},{"id":16,"name":"Locomotive ID","value":"4013"},{"id":130,"name":"Impact","value":""},{"id":150,"name":"Time of Event (Mountain Time)","value":"08:35:55"},{"id":151,"name":"Denver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4013 --day 2017-08-12</v>
      </c>
      <c r="AN40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14:35:55"},{"id":29,"name":"Sharepoint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719</v>
      </c>
      <c r="B41" s="7">
        <v>4032</v>
      </c>
      <c r="C41" s="21" t="s">
        <v>198</v>
      </c>
      <c r="D41" s="21" t="s">
        <v>569</v>
      </c>
      <c r="E41" s="13">
        <v>42959.297824074078</v>
      </c>
      <c r="F41" s="13">
        <v>42959.30259259259</v>
      </c>
      <c r="G41" s="7">
        <v>1</v>
      </c>
      <c r="H41" s="21" t="s">
        <v>887</v>
      </c>
      <c r="I41" s="13">
        <v>42959.327685185184</v>
      </c>
      <c r="J41" s="7">
        <v>0</v>
      </c>
      <c r="K41" s="89" t="str">
        <f t="shared" si="0"/>
        <v>4031/4032</v>
      </c>
      <c r="L41" s="21" t="str">
        <f>VLOOKUP(A41,'Trips&amp;Operators'!$C$1:$G$99999,5,FALSE)</f>
        <v>WILLIAMS DONTE</v>
      </c>
      <c r="M41" s="6">
        <f t="shared" si="1"/>
        <v>2.5092592593864538E-2</v>
      </c>
      <c r="N41" s="7">
        <f t="shared" si="2"/>
        <v>36.133333335164934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-12T06:08:52-0600',mode:absolute,to:'2017-08-12T08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26"/>
        <v>4.7800000000000002E-2</v>
      </c>
      <c r="Z41" s="197">
        <f t="shared" si="27"/>
        <v>23.327400000000001</v>
      </c>
      <c r="AA41" s="197">
        <f t="shared" si="9"/>
        <v>23.279600000000002</v>
      </c>
      <c r="AB41" s="54" t="e">
        <f>VLOOKUP(A41,Enforcements!$C$7:$K$12,8,0)</f>
        <v>#N/A</v>
      </c>
      <c r="AC41" s="51" t="e">
        <f>VLOOKUP(A41,Enforcements!$C$7:$E$12,3,0)</f>
        <v>#N/A</v>
      </c>
      <c r="AD41" s="206">
        <f t="shared" si="10"/>
        <v>129</v>
      </c>
      <c r="AE41" s="77" t="str">
        <f t="shared" si="11"/>
        <v>aws s3 cp s3://rtdc.mdm.uploadarchive.raw/RTDC4032/ "%USERPROFILE%\AppData\Local\Temp\OnboardLogs"\RTDC4032\2017-08-12 --exclude "*" --recursive --include "*20170812*" &amp; "%USERPROFILE%\Documents\GitHub\mrs-test-scripts\Headless Mode &amp; Sideloading\WalkAndUnGZ.bat" "%USERPROFILE%\AppData\Local\Temp\OnboardLogs"\RTDC4032\2017-08-12 &amp; aws s3 cp s3://rtdc.mdm.uploadarchive.raw/RTDC4032/ "%USERPROFILE%\AppData\Local\Temp\OnboardLogs"\RTDC4032\2017-08-13 --exclude "*" --recursive --include "*20170813*" &amp; "%USERPROFILE%\Documents\GitHub\mrs-test-scripts\Headless Mode &amp; Sideloading\WalkAndUnGZ.bat" "%USERPROFILE%\AppData\Local\Temp\OnboardLogs"\RTDC4032\2017-08-13</v>
      </c>
      <c r="AF41" s="74" t="str">
        <f t="shared" si="12"/>
        <v>"C:\Program Files (x86)\AstroGrep\AstroGrep.exe" /e /r /s /spath="%USERPROFILE%\AppData\Local\Temp\OnboardLogs" /stypes="app*4032*20170812*"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129-12 --locoid 4032 --swversion DE.1.0.9.0 --startMP 204:478 --initTime 2017-08-12T07:08:52 --startdatetime 2017-08-12T07:15:44 --delay 1 --endMP 204:233274 --enddatetime 2017-08-12T07:51:52 --enforcementcount 0 &gt;&gt;C:\Users\stu\Documents\GitHub\eaglep3-reporting\EC\2017-08-12-refined-times.txt</v>
      </c>
      <c r="AI41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{"issue":{"subject":"","project_id":79,"tracker_id":40,"status_id":1,"priority_id":2,"assigned_to_id":23,"start_date":"2017-08-12","description":"","custom_fields":[{"id":1,"name":"Subdivision","value":"EC"},{"id":4,"name":"Milepost","value":"23.3274"},{"id":17,"name":"Train ID","value":"129-12"},{"id":16,"name":"Locomotive ID","value":"4032"},{"id":130,"name":"Impact","value":""},{"id":150,"name":"Time of Event (Mountain Time)","value":"07:51:52"},{"id":151,"name":"Denver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4032 --day 2017-08-12</v>
      </c>
      <c r="AN41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13:51:52"},{"id":29,"name":"Sharepoint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727</v>
      </c>
      <c r="B42" s="7">
        <v>4031</v>
      </c>
      <c r="C42" s="21" t="s">
        <v>198</v>
      </c>
      <c r="D42" s="21" t="s">
        <v>888</v>
      </c>
      <c r="E42" s="13">
        <v>42959.338101851848</v>
      </c>
      <c r="F42" s="13">
        <v>42959.341840277775</v>
      </c>
      <c r="G42" s="7">
        <v>1</v>
      </c>
      <c r="H42" s="21" t="s">
        <v>889</v>
      </c>
      <c r="I42" s="13">
        <v>42959.368391203701</v>
      </c>
      <c r="J42" s="7">
        <v>0</v>
      </c>
      <c r="K42" s="89" t="str">
        <f t="shared" si="0"/>
        <v>4031/4032</v>
      </c>
      <c r="L42" s="21" t="str">
        <f>VLOOKUP(A42,'Trips&amp;Operators'!$C$1:$G$99999,5,FALSE)</f>
        <v>WILLIAMS DONTE</v>
      </c>
      <c r="M42" s="6">
        <f t="shared" si="1"/>
        <v>2.6550925926130731E-2</v>
      </c>
      <c r="N42" s="7">
        <f t="shared" si="2"/>
        <v>38.233333333628252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-12T07:06:52-0600',mode:absolute,to:'2017-08-12T09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26"/>
        <v>23.299199999999999</v>
      </c>
      <c r="Z42" s="197">
        <f t="shared" si="27"/>
        <v>1.6899999999999998E-2</v>
      </c>
      <c r="AA42" s="197">
        <f t="shared" si="9"/>
        <v>23.282299999999999</v>
      </c>
      <c r="AB42" s="54" t="e">
        <f>VLOOKUP(A42,Enforcements!$C$7:$K$12,8,0)</f>
        <v>#N/A</v>
      </c>
      <c r="AC42" s="51" t="e">
        <f>VLOOKUP(A42,Enforcements!$C$7:$E$12,3,0)</f>
        <v>#N/A</v>
      </c>
      <c r="AD42" s="206">
        <f t="shared" si="10"/>
        <v>130</v>
      </c>
      <c r="AE42" s="77" t="str">
        <f t="shared" si="11"/>
        <v>aws s3 cp s3://rtdc.mdm.uploadarchive.raw/RTDC4031/ "%USERPROFILE%\AppData\Local\Temp\OnboardLogs"\RTDC4031\2017-08-12 --exclude "*" --recursive --include "*20170812*" &amp; "%USERPROFILE%\Documents\GitHub\mrs-test-scripts\Headless Mode &amp; Sideloading\WalkAndUnGZ.bat" "%USERPROFILE%\AppData\Local\Temp\OnboardLogs"\RTDC4031\2017-08-12 &amp; aws s3 cp s3://rtdc.mdm.uploadarchive.raw/RTDC4031/ "%USERPROFILE%\AppData\Local\Temp\OnboardLogs"\RTDC4031\2017-08-13 --exclude "*" --recursive --include "*20170813*" &amp; "%USERPROFILE%\Documents\GitHub\mrs-test-scripts\Headless Mode &amp; Sideloading\WalkAndUnGZ.bat" "%USERPROFILE%\AppData\Local\Temp\OnboardLogs"\RTDC4031\2017-08-13</v>
      </c>
      <c r="AF42" s="74" t="str">
        <f t="shared" si="12"/>
        <v>"C:\Program Files (x86)\AstroGrep\AstroGrep.exe" /e /r /s /spath="%USERPROFILE%\AppData\Local\Temp\OnboardLogs" /stypes="app*4031*20170812*"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130-12 --locoid 4031 --swversion DE.1.0.9.0 --startMP 204:232992 --initTime 2017-08-12T08:06:52 --startdatetime 2017-08-12T08:12:15 --delay 1 --endMP 204:169 --enddatetime 2017-08-12T08:50:29 --enforcementcount 0 &gt;&gt;C:\Users\stu\Documents\GitHub\eaglep3-reporting\EC\2017-08-12-refined-times.txt</v>
      </c>
      <c r="AI42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{"issue":{"subject":"","project_id":79,"tracker_id":40,"status_id":1,"priority_id":2,"assigned_to_id":23,"start_date":"2017-08-12","description":"","custom_fields":[{"id":1,"name":"Subdivision","value":"EC"},{"id":4,"name":"Milepost","value":"0.0169"},{"id":17,"name":"Train ID","value":"130-12"},{"id":16,"name":"Locomotive ID","value":"4031"},{"id":130,"name":"Impact","value":""},{"id":150,"name":"Time of Event (Mountain Time)","value":"08:50:29"},{"id":151,"name":"Denver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4031 --day 2017-08-12</v>
      </c>
      <c r="AN42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14:50:29"},{"id":29,"name":"Sharepoint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721</v>
      </c>
      <c r="B43" s="7">
        <v>4064</v>
      </c>
      <c r="C43" s="21" t="s">
        <v>198</v>
      </c>
      <c r="D43" s="21" t="s">
        <v>340</v>
      </c>
      <c r="E43" s="13">
        <v>42959.308437500003</v>
      </c>
      <c r="F43" s="13">
        <v>42959.313020833331</v>
      </c>
      <c r="G43" s="7">
        <v>2</v>
      </c>
      <c r="H43" s="21" t="s">
        <v>890</v>
      </c>
      <c r="I43" s="13">
        <v>42959.337708333333</v>
      </c>
      <c r="J43" s="7">
        <v>0</v>
      </c>
      <c r="K43" s="89" t="str">
        <f t="shared" si="0"/>
        <v>4063/4064</v>
      </c>
      <c r="L43" s="21" t="str">
        <f>VLOOKUP(A43,'Trips&amp;Operators'!$C$1:$G$99999,5,FALSE)</f>
        <v>GUZMAN DANNY</v>
      </c>
      <c r="M43" s="6">
        <f t="shared" si="1"/>
        <v>2.4687500001164153E-2</v>
      </c>
      <c r="N43" s="7">
        <f t="shared" si="2"/>
        <v>35.550000001676381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-12T06:24:09-0600',mode:absolute,to:'2017-08-12T09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26"/>
        <v>4.4600000000000001E-2</v>
      </c>
      <c r="Z43" s="197">
        <f t="shared" si="27"/>
        <v>23.333600000000001</v>
      </c>
      <c r="AA43" s="197">
        <f t="shared" si="9"/>
        <v>23.289000000000001</v>
      </c>
      <c r="AB43" s="54" t="e">
        <f>VLOOKUP(A43,Enforcements!$C$7:$K$12,8,0)</f>
        <v>#N/A</v>
      </c>
      <c r="AC43" s="51" t="e">
        <f>VLOOKUP(A43,Enforcements!$C$7:$E$12,3,0)</f>
        <v>#N/A</v>
      </c>
      <c r="AD43" s="206">
        <f t="shared" si="10"/>
        <v>131</v>
      </c>
      <c r="AE43" s="77" t="str">
        <f t="shared" si="11"/>
        <v>aws s3 cp s3://rtdc.mdm.uploadarchive.raw/RTDC4064/ "%USERPROFILE%\AppData\Local\Temp\OnboardLogs"\RTDC4064\2017-08-12 --exclude "*" --recursive --include "*20170812*" &amp; "%USERPROFILE%\Documents\GitHub\mrs-test-scripts\Headless Mode &amp; Sideloading\WalkAndUnGZ.bat" "%USERPROFILE%\AppData\Local\Temp\OnboardLogs"\RTDC4064\2017-08-12 &amp; aws s3 cp s3://rtdc.mdm.uploadarchive.raw/RTDC4064/ "%USERPROFILE%\AppData\Local\Temp\OnboardLogs"\RTDC4064\2017-08-13 --exclude "*" --recursive --include "*20170813*" &amp; "%USERPROFILE%\Documents\GitHub\mrs-test-scripts\Headless Mode &amp; Sideloading\WalkAndUnGZ.bat" "%USERPROFILE%\AppData\Local\Temp\OnboardLogs"\RTDC4064\2017-08-13</v>
      </c>
      <c r="AF43" s="74" t="str">
        <f t="shared" si="12"/>
        <v>"C:\Program Files (x86)\AstroGrep\AstroGrep.exe" /e /r /s /spath="%USERPROFILE%\AppData\Local\Temp\OnboardLogs" /stypes="app*4064*20170812*"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131-12 --locoid 4064 --swversion DE.1.0.9.0 --startMP 204:446 --initTime 2017-08-12T07:24:09 --startdatetime 2017-08-12T07:30:45 --delay 2 --endMP 204:233336 --enddatetime 2017-08-12T08:06:18 --enforcementcount 0 &gt;&gt;C:\Users\stu\Documents\GitHub\eaglep3-reporting\EC\2017-08-12-refined-times.txt</v>
      </c>
      <c r="AI43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{"issue":{"subject":"","project_id":79,"tracker_id":40,"status_id":1,"priority_id":2,"assigned_to_id":23,"start_date":"2017-08-12","description":"","custom_fields":[{"id":1,"name":"Subdivision","value":"EC"},{"id":4,"name":"Milepost","value":"23.3336"},{"id":17,"name":"Train ID","value":"131-12"},{"id":16,"name":"Locomotive ID","value":"4064"},{"id":130,"name":"Impact","value":""},{"id":150,"name":"Time of Event (Mountain Time)","value":"08:06:18"},{"id":151,"name":"Denver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4064 --day 2017-08-12</v>
      </c>
      <c r="AN43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14:06:18"},{"id":29,"name":"Sharepoint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729</v>
      </c>
      <c r="B44" s="7">
        <v>4063</v>
      </c>
      <c r="C44" s="21" t="s">
        <v>198</v>
      </c>
      <c r="D44" s="21" t="s">
        <v>875</v>
      </c>
      <c r="E44" s="13">
        <v>42959.340914351851</v>
      </c>
      <c r="F44" s="13">
        <v>42959.352256944447</v>
      </c>
      <c r="G44" s="7">
        <v>1</v>
      </c>
      <c r="H44" s="21" t="s">
        <v>348</v>
      </c>
      <c r="I44" s="13">
        <v>42959.378634259258</v>
      </c>
      <c r="J44" s="7">
        <v>0</v>
      </c>
      <c r="K44" s="89" t="str">
        <f t="shared" si="0"/>
        <v>4063/4064</v>
      </c>
      <c r="L44" s="21" t="str">
        <f>VLOOKUP(A44,'Trips&amp;Operators'!$C$1:$G$99999,5,FALSE)</f>
        <v>GUZMAN DANNY</v>
      </c>
      <c r="M44" s="6">
        <f t="shared" si="1"/>
        <v>2.6377314810815733E-2</v>
      </c>
      <c r="N44" s="7">
        <f t="shared" si="2"/>
        <v>37.983333327574655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-12T07:10:55-0600',mode:absolute,to:'2017-08-12T10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26"/>
        <v>23.302099999999999</v>
      </c>
      <c r="Z44" s="197">
        <f t="shared" si="27"/>
        <v>1.3899999999999999E-2</v>
      </c>
      <c r="AA44" s="197">
        <f t="shared" si="9"/>
        <v>23.2882</v>
      </c>
      <c r="AB44" s="54" t="e">
        <f>VLOOKUP(A44,Enforcements!$C$7:$K$12,8,0)</f>
        <v>#N/A</v>
      </c>
      <c r="AC44" s="51" t="e">
        <f>VLOOKUP(A44,Enforcements!$C$7:$E$12,3,0)</f>
        <v>#N/A</v>
      </c>
      <c r="AD44" s="206">
        <f t="shared" si="10"/>
        <v>132</v>
      </c>
      <c r="AE44" s="77" t="str">
        <f t="shared" si="11"/>
        <v>aws s3 cp s3://rtdc.mdm.uploadarchive.raw/RTDC4063/ "%USERPROFILE%\AppData\Local\Temp\OnboardLogs"\RTDC4063\2017-08-12 --exclude "*" --recursive --include "*20170812*" &amp; "%USERPROFILE%\Documents\GitHub\mrs-test-scripts\Headless Mode &amp; Sideloading\WalkAndUnGZ.bat" "%USERPROFILE%\AppData\Local\Temp\OnboardLogs"\RTDC4063\2017-08-12 &amp; aws s3 cp s3://rtdc.mdm.uploadarchive.raw/RTDC4063/ "%USERPROFILE%\AppData\Local\Temp\OnboardLogs"\RTDC4063\2017-08-13 --exclude "*" --recursive --include "*20170813*" &amp; "%USERPROFILE%\Documents\GitHub\mrs-test-scripts\Headless Mode &amp; Sideloading\WalkAndUnGZ.bat" "%USERPROFILE%\AppData\Local\Temp\OnboardLogs"\RTDC4063\2017-08-13</v>
      </c>
      <c r="AF44" s="74" t="str">
        <f t="shared" si="12"/>
        <v>"C:\Program Files (x86)\AstroGrep\AstroGrep.exe" /e /r /s /spath="%USERPROFILE%\AppData\Local\Temp\OnboardLogs" /stypes="app*4063*20170812*"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132-12 --locoid 4063 --swversion DE.1.0.9.0 --startMP 204:233021 --initTime 2017-08-12T08:10:55 --startdatetime 2017-08-12T08:27:15 --delay 1 --endMP 204:139 --enddatetime 2017-08-12T09:05:14 --enforcementcount 0 &gt;&gt;C:\Users\stu\Documents\GitHub\eaglep3-reporting\EC\2017-08-12-refined-times.txt</v>
      </c>
      <c r="AI44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{"issue":{"subject":"","project_id":79,"tracker_id":40,"status_id":1,"priority_id":2,"assigned_to_id":23,"start_date":"2017-08-12","description":"","custom_fields":[{"id":1,"name":"Subdivision","value":"EC"},{"id":4,"name":"Milepost","value":"0.0139"},{"id":17,"name":"Train ID","value":"132-12"},{"id":16,"name":"Locomotive ID","value":"4063"},{"id":130,"name":"Impact","value":""},{"id":150,"name":"Time of Event (Mountain Time)","value":"09:05:14"},{"id":151,"name":"Denver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4063 --day 2017-08-12</v>
      </c>
      <c r="AN44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15:05:14"},{"id":29,"name":"Sharepoint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723</v>
      </c>
      <c r="B45" s="7">
        <v>4050</v>
      </c>
      <c r="C45" s="21" t="s">
        <v>198</v>
      </c>
      <c r="D45" s="21" t="s">
        <v>347</v>
      </c>
      <c r="E45" s="13">
        <v>42959.318460648145</v>
      </c>
      <c r="F45" s="13">
        <v>42959.323483796295</v>
      </c>
      <c r="G45" s="7">
        <v>1</v>
      </c>
      <c r="H45" s="21" t="s">
        <v>891</v>
      </c>
      <c r="I45" s="13">
        <v>42959.348865740743</v>
      </c>
      <c r="J45" s="7">
        <v>0</v>
      </c>
      <c r="K45" s="89" t="str">
        <f t="shared" ref="K45:K76" si="28">IF(ISEVEN(B45),(B45-1)&amp;"/"&amp;B45,B45&amp;"/"&amp;(B45+1))</f>
        <v>4049/4050</v>
      </c>
      <c r="L45" s="21" t="str">
        <f>VLOOKUP(A45,'Trips&amp;Operators'!$C$1:$G$99999,5,FALSE)</f>
        <v>DAVIS WENDY</v>
      </c>
      <c r="M45" s="6">
        <f t="shared" ref="M45:M76" si="29">I45-F45</f>
        <v>2.5381944447872229E-2</v>
      </c>
      <c r="N45" s="7">
        <f t="shared" si="2"/>
        <v>36.55000000493601</v>
      </c>
      <c r="O45" s="7"/>
      <c r="P45" s="7"/>
      <c r="Q45" s="22"/>
      <c r="R45" s="170"/>
      <c r="S45" s="213">
        <f t="shared" si="3"/>
        <v>1</v>
      </c>
      <c r="T45" s="195" t="str">
        <f t="shared" ref="T45:T76" si="30">IF(ISEVEN(LEFT(AD45,4)),"Southbound","NorthBound")</f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-12T06:38:35-0600',mode:absolute,to:'2017-08-12T09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5" s="197" t="str">
        <f>IF(AA45&lt;VLOOKUP(AG45,Variables!$AC$3:$AD$8,2,FALSE),"Y","N")</f>
        <v>N</v>
      </c>
      <c r="X45" s="197">
        <f t="shared" ref="X45:X76" si="31">VALUE(LEFT(AD45,4))-VALUE(LEFT(AD44,4))</f>
        <v>1</v>
      </c>
      <c r="Y45" s="197">
        <f t="shared" si="26"/>
        <v>4.4699999999999997E-2</v>
      </c>
      <c r="Z45" s="197">
        <f t="shared" si="27"/>
        <v>23.3339</v>
      </c>
      <c r="AA45" s="197">
        <f t="shared" ref="AA45:AA76" si="32">ABS(Z45-Y45)</f>
        <v>23.289200000000001</v>
      </c>
      <c r="AB45" s="54" t="e">
        <f>VLOOKUP(A45,Enforcements!$C$7:$K$12,8,0)</f>
        <v>#N/A</v>
      </c>
      <c r="AC45" s="51" t="e">
        <f>VLOOKUP(A45,Enforcements!$C$7:$E$12,3,0)</f>
        <v>#N/A</v>
      </c>
      <c r="AD45" s="206">
        <f t="shared" ref="AD45:AD76" si="33">VALUE(LEFT(A45,LEN(A45)-3))</f>
        <v>133</v>
      </c>
      <c r="AE45" s="77" t="str">
        <f t="shared" si="11"/>
        <v>aws s3 cp s3://rtdc.mdm.uploadarchive.raw/RTDC4050/ "%USERPROFILE%\AppData\Local\Temp\OnboardLogs"\RTDC4050\2017-08-12 --exclude "*" --recursive --include "*20170812*" &amp; "%USERPROFILE%\Documents\GitHub\mrs-test-scripts\Headless Mode &amp; Sideloading\WalkAndUnGZ.bat" "%USERPROFILE%\AppData\Local\Temp\OnboardLogs"\RTDC4050\2017-08-12 &amp; aws s3 cp s3://rtdc.mdm.uploadarchive.raw/RTDC4050/ "%USERPROFILE%\AppData\Local\Temp\OnboardLogs"\RTDC4050\2017-08-13 --exclude "*" --recursive --include "*20170813*" &amp; "%USERPROFILE%\Documents\GitHub\mrs-test-scripts\Headless Mode &amp; Sideloading\WalkAndUnGZ.bat" "%USERPROFILE%\AppData\Local\Temp\OnboardLogs"\RTDC4050\2017-08-13</v>
      </c>
      <c r="AF45" s="74" t="str">
        <f t="shared" si="12"/>
        <v>"C:\Program Files (x86)\AstroGrep\AstroGrep.exe" /e /r /s /spath="%USERPROFILE%\AppData\Local\Temp\OnboardLogs" /stypes="app*4050*20170812*" /stext=" 14:.+((SYSTEM_STATE.+slice.+state.+changed )|(ment ac)|(multiple cpu faults)|(system.+state.+changed )|(\[timeout)|(PRM\|1\|D)|(kpr)|(kdp)|(train st.+moving)|(\|lc)|(penalty))"</v>
      </c>
      <c r="AG45" s="209" t="str">
        <f t="shared" ref="AG45:AG76" si="34">DetSubdiv(A45)</f>
        <v>EC</v>
      </c>
      <c r="AH45" s="78" t="str">
        <f t="shared" si="18"/>
        <v>"%USERPROFILE%\Documents\GitHub\eaglep3\Utilities\RefineRTDCRunTimes.py" --tripid 133-12 --locoid 4050 --swversion DE.1.0.9.0 --startMP 204:447 --initTime 2017-08-12T07:38:35 --startdatetime 2017-08-12T07:45:49 --delay 1 --endMP 204:233339 --enddatetime 2017-08-12T08:22:22 --enforcementcount 0 &gt;&gt;C:\Users\stu\Documents\GitHub\eaglep3-reporting\EC\2017-08-12-refined-times.txt</v>
      </c>
      <c r="AI45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{"issue":{"subject":"","project_id":79,"tracker_id":40,"status_id":1,"priority_id":2,"assigned_to_id":23,"start_date":"2017-08-12","description":"","custom_fields":[{"id":1,"name":"Subdivision","value":"EC"},{"id":4,"name":"Milepost","value":"23.3339"},{"id":17,"name":"Train ID","value":"133-12"},{"id":16,"name":"Locomotive ID","value":"4050"},{"id":130,"name":"Impact","value":""},{"id":150,"name":"Time of Event (Mountain Time)","value":"08:22:22"},{"id":151,"name":"Denver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4050 --day 2017-08-12</v>
      </c>
      <c r="AN45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14:22:22"},{"id":29,"name":"Sharepoint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635</v>
      </c>
      <c r="B46" s="7">
        <v>4049</v>
      </c>
      <c r="C46" s="21" t="s">
        <v>198</v>
      </c>
      <c r="D46" s="21" t="s">
        <v>567</v>
      </c>
      <c r="E46" s="13">
        <v>42959.358657407407</v>
      </c>
      <c r="F46" s="13">
        <v>42959.362650462965</v>
      </c>
      <c r="G46" s="7">
        <v>1</v>
      </c>
      <c r="H46" s="21" t="s">
        <v>440</v>
      </c>
      <c r="I46" s="13">
        <v>42959.389537037037</v>
      </c>
      <c r="J46" s="7">
        <v>0</v>
      </c>
      <c r="K46" s="89" t="str">
        <f t="shared" si="28"/>
        <v>4049/4050</v>
      </c>
      <c r="L46" s="21" t="str">
        <f>VLOOKUP(A46,'Trips&amp;Operators'!$C$1:$G$99999,5,FALSE)</f>
        <v>DAVIS WENDY</v>
      </c>
      <c r="M46" s="6">
        <f t="shared" si="29"/>
        <v>2.6886574072705116E-2</v>
      </c>
      <c r="N46" s="7">
        <f t="shared" si="2"/>
        <v>38.716666664695367</v>
      </c>
      <c r="O46" s="7"/>
      <c r="P46" s="7"/>
      <c r="Q46" s="22"/>
      <c r="R46" s="170"/>
      <c r="S46" s="213">
        <f t="shared" si="3"/>
        <v>1</v>
      </c>
      <c r="T46" s="195" t="str">
        <f t="shared" si="30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-12T07:36:28-0600',mode:absolute,to:'2017-08-12T10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6" s="197" t="str">
        <f>IF(AA46&lt;VLOOKUP(AG46,Variables!$AC$3:$AD$8,2,FALSE),"Y","N")</f>
        <v>N</v>
      </c>
      <c r="X46" s="197">
        <f t="shared" si="31"/>
        <v>1</v>
      </c>
      <c r="Y46" s="197">
        <f t="shared" si="26"/>
        <v>23.3003</v>
      </c>
      <c r="Z46" s="197">
        <f t="shared" si="27"/>
        <v>1.5800000000000002E-2</v>
      </c>
      <c r="AA46" s="197">
        <f t="shared" si="32"/>
        <v>23.284500000000001</v>
      </c>
      <c r="AB46" s="54" t="e">
        <f>VLOOKUP(A46,Enforcements!$C$7:$K$12,8,0)</f>
        <v>#N/A</v>
      </c>
      <c r="AC46" s="51" t="e">
        <f>VLOOKUP(A46,Enforcements!$C$7:$E$12,3,0)</f>
        <v>#N/A</v>
      </c>
      <c r="AD46" s="206">
        <f t="shared" si="33"/>
        <v>134</v>
      </c>
      <c r="AE46" s="77" t="str">
        <f t="shared" si="11"/>
        <v>aws s3 cp s3://rtdc.mdm.uploadarchive.raw/RTDC4049/ "%USERPROFILE%\AppData\Local\Temp\OnboardLogs"\RTDC4049\2017-08-12 --exclude "*" --recursive --include "*20170812*" &amp; "%USERPROFILE%\Documents\GitHub\mrs-test-scripts\Headless Mode &amp; Sideloading\WalkAndUnGZ.bat" "%USERPROFILE%\AppData\Local\Temp\OnboardLogs"\RTDC4049\2017-08-12 &amp; aws s3 cp s3://rtdc.mdm.uploadarchive.raw/RTDC4049/ "%USERPROFILE%\AppData\Local\Temp\OnboardLogs"\RTDC4049\2017-08-13 --exclude "*" --recursive --include "*20170813*" &amp; "%USERPROFILE%\Documents\GitHub\mrs-test-scripts\Headless Mode &amp; Sideloading\WalkAndUnGZ.bat" "%USERPROFILE%\AppData\Local\Temp\OnboardLogs"\RTDC4049\2017-08-13</v>
      </c>
      <c r="AF46" s="74" t="str">
        <f t="shared" si="12"/>
        <v>"C:\Program Files (x86)\AstroGrep\AstroGrep.exe" /e /r /s /spath="%USERPROFILE%\AppData\Local\Temp\OnboardLogs" /stypes="app*4049*20170812*" /stext=" 15:.+((SYSTEM_STATE.+slice.+state.+changed )|(ment ac)|(multiple cpu faults)|(system.+state.+changed )|(\[timeout)|(PRM\|1\|D)|(kpr)|(kdp)|(train st.+moving)|(\|lc)|(penalty))"</v>
      </c>
      <c r="AG46" s="209" t="str">
        <f t="shared" si="34"/>
        <v>EC</v>
      </c>
      <c r="AH46" s="78" t="str">
        <f t="shared" si="18"/>
        <v>"%USERPROFILE%\Documents\GitHub\eaglep3\Utilities\RefineRTDCRunTimes.py" --tripid 134-12 --locoid 4049 --swversion DE.1.0.9.0 --startMP 204:233003 --initTime 2017-08-12T08:36:28 --startdatetime 2017-08-12T08:42:13 --delay 1 --endMP 204:158 --enddatetime 2017-08-12T09:20:56 --enforcementcount 0 &gt;&gt;C:\Users\stu\Documents\GitHub\eaglep3-reporting\EC\2017-08-12-refined-times.txt</v>
      </c>
      <c r="AI46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{"issue":{"subject":"","project_id":79,"tracker_id":40,"status_id":1,"priority_id":2,"assigned_to_id":23,"start_date":"2017-08-12","description":"","custom_fields":[{"id":1,"name":"Subdivision","value":"EC"},{"id":4,"name":"Milepost","value":"0.0158"},{"id":17,"name":"Train ID","value":"134-12"},{"id":16,"name":"Locomotive ID","value":"4049"},{"id":130,"name":"Impact","value":""},{"id":150,"name":"Time of Event (Mountain Time)","value":"09:20:56"},{"id":151,"name":"Denver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4049 --day 2017-08-12</v>
      </c>
      <c r="AN46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15:20:56"},{"id":29,"name":"Sharepoint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725</v>
      </c>
      <c r="B47" s="7">
        <v>4016</v>
      </c>
      <c r="C47" s="21" t="s">
        <v>198</v>
      </c>
      <c r="D47" s="21" t="s">
        <v>892</v>
      </c>
      <c r="E47" s="13">
        <v>42959.328344907408</v>
      </c>
      <c r="F47" s="13">
        <v>42959.333854166667</v>
      </c>
      <c r="G47" s="7">
        <v>1</v>
      </c>
      <c r="H47" s="21" t="s">
        <v>893</v>
      </c>
      <c r="I47" s="13">
        <v>42959.358298611114</v>
      </c>
      <c r="J47" s="7">
        <v>0</v>
      </c>
      <c r="K47" s="89" t="str">
        <f t="shared" si="28"/>
        <v>4015/4016</v>
      </c>
      <c r="L47" s="21" t="str">
        <f>VLOOKUP(A47,'Trips&amp;Operators'!$C$1:$G$99999,5,FALSE)</f>
        <v>GEBRETEKLE DAGNEW</v>
      </c>
      <c r="M47" s="6">
        <f t="shared" si="29"/>
        <v>2.4444444446999114E-2</v>
      </c>
      <c r="N47" s="7">
        <f t="shared" si="2"/>
        <v>35.200000003678724</v>
      </c>
      <c r="O47" s="7"/>
      <c r="P47" s="7"/>
      <c r="Q47" s="22"/>
      <c r="R47" s="170"/>
      <c r="S47" s="213">
        <f t="shared" si="3"/>
        <v>1</v>
      </c>
      <c r="T47" s="195" t="str">
        <f t="shared" si="30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-12T06:52:49-0600',mode:absolute,to:'2017-08-12T09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7" s="197" t="str">
        <f>IF(AA47&lt;VLOOKUP(AG47,Variables!$AC$3:$AD$8,2,FALSE),"Y","N")</f>
        <v>N</v>
      </c>
      <c r="X47" s="197">
        <f t="shared" si="31"/>
        <v>1</v>
      </c>
      <c r="Y47" s="197">
        <f t="shared" si="26"/>
        <v>4.2200000000000001E-2</v>
      </c>
      <c r="Z47" s="197">
        <f t="shared" si="27"/>
        <v>23.3338</v>
      </c>
      <c r="AA47" s="197">
        <f t="shared" si="32"/>
        <v>23.291599999999999</v>
      </c>
      <c r="AB47" s="54" t="e">
        <f>VLOOKUP(A47,Enforcements!$C$7:$K$12,8,0)</f>
        <v>#N/A</v>
      </c>
      <c r="AC47" s="51" t="e">
        <f>VLOOKUP(A47,Enforcements!$C$7:$E$12,3,0)</f>
        <v>#N/A</v>
      </c>
      <c r="AD47" s="206">
        <f t="shared" si="33"/>
        <v>135</v>
      </c>
      <c r="AE47" s="77" t="str">
        <f t="shared" si="11"/>
        <v>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 &amp; 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</v>
      </c>
      <c r="AF47" s="74" t="str">
        <f t="shared" si="12"/>
        <v>"C:\Program Files (x86)\AstroGrep\AstroGrep.exe" /e /r /s /spath="%USERPROFILE%\AppData\Local\Temp\OnboardLogs" /stypes="app*4016*20170812*" /stext=" 14:.+((SYSTEM_STATE.+slice.+state.+changed )|(ment ac)|(multiple cpu faults)|(system.+state.+changed )|(\[timeout)|(PRM\|1\|D)|(kpr)|(kdp)|(train st.+moving)|(\|lc)|(penalty))"</v>
      </c>
      <c r="AG47" s="209" t="str">
        <f t="shared" si="34"/>
        <v>EC</v>
      </c>
      <c r="AH47" s="78" t="str">
        <f t="shared" si="18"/>
        <v>"%USERPROFILE%\Documents\GitHub\eaglep3\Utilities\RefineRTDCRunTimes.py" --tripid 135-12 --locoid 4016 --swversion DE.1.0.9.0 --startMP 204:422 --initTime 2017-08-12T07:52:49 --startdatetime 2017-08-12T08:00:45 --delay 1 --endMP 204:233338 --enddatetime 2017-08-12T08:35:57 --enforcementcount 0 &gt;&gt;C:\Users\stu\Documents\GitHub\eaglep3-reporting\EC\2017-08-12-refined-times.txt</v>
      </c>
      <c r="AI47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{"issue":{"subject":"","project_id":79,"tracker_id":40,"status_id":1,"priority_id":2,"assigned_to_id":23,"start_date":"2017-08-12","description":"","custom_fields":[{"id":1,"name":"Subdivision","value":"EC"},{"id":4,"name":"Milepost","value":"23.3338"},{"id":17,"name":"Train ID","value":"135-12"},{"id":16,"name":"Locomotive ID","value":"4016"},{"id":130,"name":"Impact","value":""},{"id":150,"name":"Time of Event (Mountain Time)","value":"08:35:57"},{"id":151,"name":"Denver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4016 --day 2017-08-12</v>
      </c>
      <c r="AN47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14:35:57"},{"id":29,"name":"Sharepoint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732</v>
      </c>
      <c r="B48" s="7">
        <v>4015</v>
      </c>
      <c r="C48" s="21" t="s">
        <v>198</v>
      </c>
      <c r="D48" s="21" t="s">
        <v>894</v>
      </c>
      <c r="E48" s="13">
        <v>42959.359467592592</v>
      </c>
      <c r="F48" s="13">
        <v>42959.37327546296</v>
      </c>
      <c r="G48" s="7">
        <v>1</v>
      </c>
      <c r="H48" s="21" t="s">
        <v>351</v>
      </c>
      <c r="I48" s="13">
        <v>42959.398981481485</v>
      </c>
      <c r="J48" s="7">
        <v>0</v>
      </c>
      <c r="K48" s="89" t="str">
        <f t="shared" si="28"/>
        <v>4015/4016</v>
      </c>
      <c r="L48" s="21" t="str">
        <f>VLOOKUP(A48,'Trips&amp;Operators'!$C$1:$G$99999,5,FALSE)</f>
        <v>GEBRETEKLE DAGNEW</v>
      </c>
      <c r="M48" s="6">
        <f t="shared" si="29"/>
        <v>2.570601852494292E-2</v>
      </c>
      <c r="N48" s="7">
        <f t="shared" si="2"/>
        <v>37.016666675917804</v>
      </c>
      <c r="O48" s="7"/>
      <c r="P48" s="7"/>
      <c r="Q48" s="22"/>
      <c r="R48" s="170"/>
      <c r="S48" s="213">
        <f t="shared" si="3"/>
        <v>1</v>
      </c>
      <c r="T48" s="195" t="str">
        <f t="shared" si="30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-12T07:37:38-0600',mode:absolute,to:'2017-08-12T10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8" s="197" t="str">
        <f>IF(AA48&lt;VLOOKUP(AG48,Variables!$AC$3:$AD$8,2,FALSE),"Y","N")</f>
        <v>N</v>
      </c>
      <c r="X48" s="197">
        <f t="shared" si="31"/>
        <v>1</v>
      </c>
      <c r="Y48" s="197">
        <f t="shared" si="26"/>
        <v>23.302700000000002</v>
      </c>
      <c r="Z48" s="197">
        <f t="shared" si="27"/>
        <v>1.47E-2</v>
      </c>
      <c r="AA48" s="197">
        <f t="shared" si="32"/>
        <v>23.288</v>
      </c>
      <c r="AB48" s="54" t="e">
        <f>VLOOKUP(A48,Enforcements!$C$7:$K$12,8,0)</f>
        <v>#N/A</v>
      </c>
      <c r="AC48" s="51" t="e">
        <f>VLOOKUP(A48,Enforcements!$C$7:$E$12,3,0)</f>
        <v>#N/A</v>
      </c>
      <c r="AD48" s="206">
        <f t="shared" si="33"/>
        <v>136</v>
      </c>
      <c r="AE48" s="77" t="str">
        <f t="shared" si="11"/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AF48" s="74" t="str">
        <f t="shared" si="12"/>
        <v>"C:\Program Files (x86)\AstroGrep\AstroGrep.exe" /e /r /s /spath="%USERPROFILE%\AppData\Local\Temp\OnboardLogs" /stypes="app*4015*20170812*" /stext=" 15:.+((SYSTEM_STATE.+slice.+state.+changed )|(ment ac)|(multiple cpu faults)|(system.+state.+changed )|(\[timeout)|(PRM\|1\|D)|(kpr)|(kdp)|(train st.+moving)|(\|lc)|(penalty))"</v>
      </c>
      <c r="AG48" s="209" t="str">
        <f t="shared" si="34"/>
        <v>EC</v>
      </c>
      <c r="AH48" s="78" t="str">
        <f t="shared" si="18"/>
        <v>"%USERPROFILE%\Documents\GitHub\eaglep3\Utilities\RefineRTDCRunTimes.py" --tripid 136-12 --locoid 4015 --swversion DE.1.0.9.0 --startMP 204:233027 --initTime 2017-08-12T08:37:38 --startdatetime 2017-08-12T08:57:31 --delay 1 --endMP 204:147 --enddatetime 2017-08-12T09:34:32 --enforcementcount 0 &gt;&gt;C:\Users\stu\Documents\GitHub\eaglep3-reporting\EC\2017-08-12-refined-times.txt</v>
      </c>
      <c r="AI48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{"issue":{"subject":"","project_id":79,"tracker_id":40,"status_id":1,"priority_id":2,"assigned_to_id":23,"start_date":"2017-08-12","description":"","custom_fields":[{"id":1,"name":"Subdivision","value":"EC"},{"id":4,"name":"Milepost","value":"0.0147"},{"id":17,"name":"Train ID","value":"136-12"},{"id":16,"name":"Locomotive ID","value":"4015"},{"id":130,"name":"Impact","value":""},{"id":150,"name":"Time of Event (Mountain Time)","value":"09:34:32"},{"id":151,"name":"Denver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4015 --day 2017-08-12</v>
      </c>
      <c r="AN48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15:34:32"},{"id":29,"name":"Sharepoint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728</v>
      </c>
      <c r="B49" s="7">
        <v>4042</v>
      </c>
      <c r="C49" s="21" t="s">
        <v>198</v>
      </c>
      <c r="D49" s="21" t="s">
        <v>394</v>
      </c>
      <c r="E49" s="13">
        <v>42959.338043981479</v>
      </c>
      <c r="F49" s="13">
        <v>42959.344259259262</v>
      </c>
      <c r="G49" s="7">
        <v>1</v>
      </c>
      <c r="H49" s="21" t="s">
        <v>608</v>
      </c>
      <c r="I49" s="13">
        <v>42959.368159722224</v>
      </c>
      <c r="J49" s="7">
        <v>0</v>
      </c>
      <c r="K49" s="89" t="str">
        <f t="shared" si="28"/>
        <v>4041/4042</v>
      </c>
      <c r="L49" s="21" t="str">
        <f>VLOOKUP(A49,'Trips&amp;Operators'!$C$1:$G$99999,5,FALSE)</f>
        <v>NEWELL JAMES</v>
      </c>
      <c r="M49" s="6">
        <f t="shared" si="29"/>
        <v>2.3900462962046731E-2</v>
      </c>
      <c r="N49" s="7">
        <f t="shared" si="2"/>
        <v>34.416666665347293</v>
      </c>
      <c r="O49" s="7"/>
      <c r="P49" s="7"/>
      <c r="Q49" s="22"/>
      <c r="R49" s="170"/>
      <c r="S49" s="213">
        <f t="shared" si="3"/>
        <v>1</v>
      </c>
      <c r="T49" s="195" t="str">
        <f t="shared" si="30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-12T07:06:47-0600',mode:absolute,to:'2017-08-12T09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197" t="str">
        <f>IF(AA49&lt;VLOOKUP(AG49,Variables!$AC$3:$AD$8,2,FALSE),"Y","N")</f>
        <v>N</v>
      </c>
      <c r="X49" s="197">
        <f t="shared" si="31"/>
        <v>1</v>
      </c>
      <c r="Y49" s="197">
        <f t="shared" si="26"/>
        <v>4.5499999999999999E-2</v>
      </c>
      <c r="Z49" s="197">
        <f t="shared" si="27"/>
        <v>23.328600000000002</v>
      </c>
      <c r="AA49" s="197">
        <f t="shared" si="32"/>
        <v>23.283100000000001</v>
      </c>
      <c r="AB49" s="54" t="e">
        <f>VLOOKUP(A49,Enforcements!$C$7:$K$12,8,0)</f>
        <v>#N/A</v>
      </c>
      <c r="AC49" s="51" t="e">
        <f>VLOOKUP(A49,Enforcements!$C$7:$E$12,3,0)</f>
        <v>#N/A</v>
      </c>
      <c r="AD49" s="206">
        <f t="shared" si="33"/>
        <v>137</v>
      </c>
      <c r="AE49" s="77" t="str">
        <f t="shared" si="11"/>
        <v>aws s3 cp s3://rtdc.mdm.uploadarchive.raw/RTDC4042/ "%USERPROFILE%\AppData\Local\Temp\OnboardLogs"\RTDC4042\2017-08-12 --exclude "*" --recursive --include "*20170812*" &amp; "%USERPROFILE%\Documents\GitHub\mrs-test-scripts\Headless Mode &amp; Sideloading\WalkAndUnGZ.bat" "%USERPROFILE%\AppData\Local\Temp\OnboardLogs"\RTDC4042\2017-08-12 &amp; 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</v>
      </c>
      <c r="AF49" s="74" t="str">
        <f t="shared" si="12"/>
        <v>"C:\Program Files (x86)\AstroGrep\AstroGrep.exe" /e /r /s /spath="%USERPROFILE%\AppData\Local\Temp\OnboardLogs" /stypes="app*4042*20170812*" /stext=" 14:.+((SYSTEM_STATE.+slice.+state.+changed )|(ment ac)|(multiple cpu faults)|(system.+state.+changed )|(\[timeout)|(PRM\|1\|D)|(kpr)|(kdp)|(train st.+moving)|(\|lc)|(penalty))"</v>
      </c>
      <c r="AG49" s="209" t="str">
        <f t="shared" si="34"/>
        <v>EC</v>
      </c>
      <c r="AH49" s="78" t="str">
        <f t="shared" si="18"/>
        <v>"%USERPROFILE%\Documents\GitHub\eaglep3\Utilities\RefineRTDCRunTimes.py" --tripid 137-12 --locoid 4042 --swversion DE.1.0.9.0 --startMP 204:455 --initTime 2017-08-12T08:06:47 --startdatetime 2017-08-12T08:15:44 --delay 1 --endMP 204:233286 --enddatetime 2017-08-12T08:50:09 --enforcementcount 0 &gt;&gt;C:\Users\stu\Documents\GitHub\eaglep3-reporting\EC\2017-08-12-refined-times.txt</v>
      </c>
      <c r="AI49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{"issue":{"subject":"","project_id":79,"tracker_id":40,"status_id":1,"priority_id":2,"assigned_to_id":23,"start_date":"2017-08-12","description":"","custom_fields":[{"id":1,"name":"Subdivision","value":"EC"},{"id":4,"name":"Milepost","value":"23.3286"},{"id":17,"name":"Train ID","value":"137-12"},{"id":16,"name":"Locomotive ID","value":"4042"},{"id":130,"name":"Impact","value":""},{"id":150,"name":"Time of Event (Mountain Time)","value":"08:50:09"},{"id":151,"name":"Denver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4042 --day 2017-08-12</v>
      </c>
      <c r="AN49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14:50:09"},{"id":29,"name":"Sharepoint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736</v>
      </c>
      <c r="B50" s="7">
        <v>4041</v>
      </c>
      <c r="C50" s="21" t="s">
        <v>198</v>
      </c>
      <c r="D50" s="21" t="s">
        <v>619</v>
      </c>
      <c r="E50" s="13">
        <v>42959.370393518519</v>
      </c>
      <c r="F50" s="13">
        <v>42959.383518518516</v>
      </c>
      <c r="G50" s="7">
        <v>12</v>
      </c>
      <c r="H50" s="21" t="s">
        <v>468</v>
      </c>
      <c r="I50" s="13">
        <v>42959.409178240741</v>
      </c>
      <c r="J50" s="7">
        <v>0</v>
      </c>
      <c r="K50" s="89" t="str">
        <f t="shared" si="28"/>
        <v>4041/4042</v>
      </c>
      <c r="L50" s="21" t="str">
        <f>VLOOKUP(A50,'Trips&amp;Operators'!$C$1:$G$99999,5,FALSE)</f>
        <v>LALONDE GREGORY</v>
      </c>
      <c r="M50" s="6">
        <f t="shared" si="29"/>
        <v>2.5659722225100268E-2</v>
      </c>
      <c r="N50" s="7">
        <f t="shared" si="2"/>
        <v>36.950000004144385</v>
      </c>
      <c r="O50" s="7"/>
      <c r="P50" s="7"/>
      <c r="Q50" s="22"/>
      <c r="R50" s="170"/>
      <c r="S50" s="213">
        <f t="shared" si="3"/>
        <v>1</v>
      </c>
      <c r="T50" s="195" t="str">
        <f t="shared" si="30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-12T07:53:22-0600',mode:absolute,to:'2017-08-12T10:49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197" t="str">
        <f>IF(AA50&lt;VLOOKUP(AG50,Variables!$AC$3:$AD$8,2,FALSE),"Y","N")</f>
        <v>N</v>
      </c>
      <c r="X50" s="197">
        <f t="shared" si="31"/>
        <v>1</v>
      </c>
      <c r="Y50" s="197">
        <f t="shared" si="26"/>
        <v>23.296700000000001</v>
      </c>
      <c r="Z50" s="197">
        <f t="shared" si="27"/>
        <v>1.5599999999999999E-2</v>
      </c>
      <c r="AA50" s="197">
        <f t="shared" si="32"/>
        <v>23.281100000000002</v>
      </c>
      <c r="AB50" s="54" t="e">
        <f>VLOOKUP(A50,Enforcements!$C$7:$K$12,8,0)</f>
        <v>#N/A</v>
      </c>
      <c r="AC50" s="51" t="e">
        <f>VLOOKUP(A50,Enforcements!$C$7:$E$12,3,0)</f>
        <v>#N/A</v>
      </c>
      <c r="AD50" s="206">
        <f t="shared" si="33"/>
        <v>138</v>
      </c>
      <c r="AE50" s="77" t="str">
        <f t="shared" si="11"/>
        <v>aws s3 cp s3://rtdc.mdm.uploadarchive.raw/RTDC4041/ "%USERPROFILE%\AppData\Local\Temp\OnboardLogs"\RTDC4041\2017-08-12 --exclude "*" --recursive --include "*20170812*" &amp; "%USERPROFILE%\Documents\GitHub\mrs-test-scripts\Headless Mode &amp; Sideloading\WalkAndUnGZ.bat" "%USERPROFILE%\AppData\Local\Temp\OnboardLogs"\RTDC4041\2017-08-12 &amp; 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</v>
      </c>
      <c r="AF50" s="74" t="str">
        <f t="shared" si="12"/>
        <v>"C:\Program Files (x86)\AstroGrep\AstroGrep.exe" /e /r /s /spath="%USERPROFILE%\AppData\Local\Temp\OnboardLogs" /stypes="app*4041*20170812*" /stext=" 15:.+((SYSTEM_STATE.+slice.+state.+changed )|(ment ac)|(multiple cpu faults)|(system.+state.+changed )|(\[timeout)|(PRM\|1\|D)|(kpr)|(kdp)|(train st.+moving)|(\|lc)|(penalty))"</v>
      </c>
      <c r="AG50" s="209" t="str">
        <f t="shared" si="34"/>
        <v>EC</v>
      </c>
      <c r="AH50" s="78" t="str">
        <f t="shared" si="18"/>
        <v>"%USERPROFILE%\Documents\GitHub\eaglep3\Utilities\RefineRTDCRunTimes.py" --tripid 138-12 --locoid 4041 --swversion DE.1.0.9.0 --startMP 204:232967 --initTime 2017-08-12T08:53:22 --startdatetime 2017-08-12T09:12:16 --delay 12 --endMP 204:156 --enddatetime 2017-08-12T09:49:13 --enforcementcount 0 &gt;&gt;C:\Users\stu\Documents\GitHub\eaglep3-reporting\EC\2017-08-12-refined-times.txt</v>
      </c>
      <c r="AI50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{"issue":{"subject":"","project_id":79,"tracker_id":40,"status_id":1,"priority_id":2,"assigned_to_id":23,"start_date":"2017-08-12","description":"","custom_fields":[{"id":1,"name":"Subdivision","value":"EC"},{"id":4,"name":"Milepost","value":"0.0156"},{"id":17,"name":"Train ID","value":"138-12"},{"id":16,"name":"Locomotive ID","value":"4041"},{"id":130,"name":"Impact","value":""},{"id":150,"name":"Time of Event (Mountain Time)","value":"09:49:13"},{"id":151,"name":"Denver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4041 --day 2017-08-12</v>
      </c>
      <c r="AN50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15:49:13"},{"id":29,"name":"Sharepoint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730</v>
      </c>
      <c r="B51" s="7">
        <v>4018</v>
      </c>
      <c r="C51" s="21" t="s">
        <v>198</v>
      </c>
      <c r="D51" s="21" t="s">
        <v>895</v>
      </c>
      <c r="E51" s="13">
        <v>42959.35125</v>
      </c>
      <c r="F51" s="13">
        <v>42959.354745370372</v>
      </c>
      <c r="G51" s="7">
        <v>1</v>
      </c>
      <c r="H51" s="21" t="s">
        <v>602</v>
      </c>
      <c r="I51" s="13">
        <v>42959.379525462966</v>
      </c>
      <c r="J51" s="7">
        <v>0</v>
      </c>
      <c r="K51" s="89" t="str">
        <f t="shared" si="28"/>
        <v>4017/4018</v>
      </c>
      <c r="L51" s="21" t="str">
        <f>VLOOKUP(A51,'Trips&amp;Operators'!$C$1:$G$99999,5,FALSE)</f>
        <v>MAELZER KURT</v>
      </c>
      <c r="M51" s="6">
        <f t="shared" si="29"/>
        <v>2.4780092593573499E-2</v>
      </c>
      <c r="N51" s="7">
        <f t="shared" si="2"/>
        <v>35.683333334745839</v>
      </c>
      <c r="O51" s="7"/>
      <c r="P51" s="7"/>
      <c r="Q51" s="22"/>
      <c r="R51" s="170"/>
      <c r="S51" s="213">
        <f t="shared" si="3"/>
        <v>1</v>
      </c>
      <c r="T51" s="195" t="str">
        <f t="shared" si="30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-12T07:25:48-0600',mode:absolute,to:'2017-08-12T10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1" s="197" t="str">
        <f>IF(AA51&lt;VLOOKUP(AG51,Variables!$AC$3:$AD$8,2,FALSE),"Y","N")</f>
        <v>N</v>
      </c>
      <c r="X51" s="197">
        <f t="shared" si="31"/>
        <v>1</v>
      </c>
      <c r="Y51" s="197">
        <f t="shared" si="26"/>
        <v>4.3799999999999999E-2</v>
      </c>
      <c r="Z51" s="197">
        <f t="shared" si="27"/>
        <v>23.328700000000001</v>
      </c>
      <c r="AA51" s="197">
        <f t="shared" si="32"/>
        <v>23.2849</v>
      </c>
      <c r="AB51" s="54" t="e">
        <f>VLOOKUP(A51,Enforcements!$C$7:$K$12,8,0)</f>
        <v>#N/A</v>
      </c>
      <c r="AC51" s="51" t="e">
        <f>VLOOKUP(A51,Enforcements!$C$7:$E$12,3,0)</f>
        <v>#N/A</v>
      </c>
      <c r="AD51" s="206">
        <f t="shared" si="33"/>
        <v>139</v>
      </c>
      <c r="AE51" s="77" t="str">
        <f t="shared" si="11"/>
        <v>aws s3 cp s3://rtdc.mdm.uploadarchive.raw/RTDC4018/ "%USERPROFILE%\AppData\Local\Temp\OnboardLogs"\RTDC4018\2017-08-12 --exclude "*" --recursive --include "*20170812*" &amp; "%USERPROFILE%\Documents\GitHub\mrs-test-scripts\Headless Mode &amp; Sideloading\WalkAndUnGZ.bat" "%USERPROFILE%\AppData\Local\Temp\OnboardLogs"\RTDC4018\2017-08-12 &amp; aws s3 cp s3://rtdc.mdm.uploadarchive.raw/RTDC4018/ "%USERPROFILE%\AppData\Local\Temp\OnboardLogs"\RTDC4018\2017-08-13 --exclude "*" --recursive --include "*20170813*" &amp; "%USERPROFILE%\Documents\GitHub\mrs-test-scripts\Headless Mode &amp; Sideloading\WalkAndUnGZ.bat" "%USERPROFILE%\AppData\Local\Temp\OnboardLogs"\RTDC4018\2017-08-13</v>
      </c>
      <c r="AF51" s="74" t="str">
        <f t="shared" si="12"/>
        <v>"C:\Program Files (x86)\AstroGrep\AstroGrep.exe" /e /r /s /spath="%USERPROFILE%\AppData\Local\Temp\OnboardLogs" /stypes="app*4018*20170812*" /stext=" 15:.+((SYSTEM_STATE.+slice.+state.+changed )|(ment ac)|(multiple cpu faults)|(system.+state.+changed )|(\[timeout)|(PRM\|1\|D)|(kpr)|(kdp)|(train st.+moving)|(\|lc)|(penalty))"</v>
      </c>
      <c r="AG51" s="209" t="str">
        <f t="shared" si="34"/>
        <v>EC</v>
      </c>
      <c r="AH51" s="78" t="str">
        <f t="shared" si="18"/>
        <v>"%USERPROFILE%\Documents\GitHub\eaglep3\Utilities\RefineRTDCRunTimes.py" --tripid 139-12 --locoid 4018 --swversion DE.1.0.9.0 --startMP 204:438 --initTime 2017-08-12T08:25:48 --startdatetime 2017-08-12T08:30:50 --delay 1 --endMP 204:233287 --enddatetime 2017-08-12T09:06:31 --enforcementcount 0 &gt;&gt;C:\Users\stu\Documents\GitHub\eaglep3-reporting\EC\2017-08-12-refined-times.txt</v>
      </c>
      <c r="AI51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{"issue":{"subject":"","project_id":79,"tracker_id":40,"status_id":1,"priority_id":2,"assigned_to_id":23,"start_date":"2017-08-12","description":"","custom_fields":[{"id":1,"name":"Subdivision","value":"EC"},{"id":4,"name":"Milepost","value":"23.3287"},{"id":17,"name":"Train ID","value":"139-12"},{"id":16,"name":"Locomotive ID","value":"4018"},{"id":130,"name":"Impact","value":""},{"id":150,"name":"Time of Event (Mountain Time)","value":"09:06:31"},{"id":151,"name":"Denver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4018 --day 2017-08-12</v>
      </c>
      <c r="AN51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15:06:31"},{"id":29,"name":"Sharepoint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638</v>
      </c>
      <c r="B52" s="7">
        <v>4017</v>
      </c>
      <c r="C52" s="21" t="s">
        <v>198</v>
      </c>
      <c r="D52" s="21" t="s">
        <v>883</v>
      </c>
      <c r="E52" s="13">
        <v>42959.385706018518</v>
      </c>
      <c r="F52" s="13">
        <v>42959.393958333334</v>
      </c>
      <c r="G52" s="7">
        <v>1</v>
      </c>
      <c r="H52" s="21" t="s">
        <v>896</v>
      </c>
      <c r="I52" s="13">
        <v>42959.411805555559</v>
      </c>
      <c r="J52" s="7">
        <v>0</v>
      </c>
      <c r="K52" s="89" t="str">
        <f t="shared" si="28"/>
        <v>4017/4018</v>
      </c>
      <c r="L52" s="21" t="str">
        <f>VLOOKUP(A52,'Trips&amp;Operators'!$C$1:$G$99999,5,FALSE)</f>
        <v>MAELZER KURT</v>
      </c>
      <c r="M52" s="6">
        <f t="shared" si="29"/>
        <v>1.7847222225100268E-2</v>
      </c>
      <c r="N52" s="7">
        <f>24*60*SUM($M52:$M53)</f>
        <v>50.033333336468786</v>
      </c>
      <c r="O52" s="7"/>
      <c r="P52" s="7"/>
      <c r="Q52" s="22"/>
      <c r="R52" s="170" t="s">
        <v>1031</v>
      </c>
      <c r="S52" s="213">
        <f>1/IF(AG52="EC",12,1)*SUM(U52:U53)</f>
        <v>1</v>
      </c>
      <c r="T52" s="195" t="str">
        <f t="shared" si="30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-12T08:15:25-0600',mode:absolute,to:'2017-08-12T10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2" s="197" t="str">
        <f>IF(AA52&lt;VLOOKUP(AG52,Variables!$AC$3:$AD$8,2,FALSE),"Y","N")</f>
        <v>Y</v>
      </c>
      <c r="X52" s="197">
        <f t="shared" si="31"/>
        <v>1</v>
      </c>
      <c r="Y52" s="197">
        <f t="shared" si="26"/>
        <v>23.298500000000001</v>
      </c>
      <c r="Z52" s="197">
        <f t="shared" si="27"/>
        <v>8.6125000000000007</v>
      </c>
      <c r="AA52" s="197">
        <f t="shared" si="32"/>
        <v>14.686</v>
      </c>
      <c r="AB52" s="54" t="str">
        <f>VLOOKUP(A52,Enforcements!$C$7:$K$12,8,0)</f>
        <v>Bulletin (2)</v>
      </c>
      <c r="AC52" s="51" t="str">
        <f>VLOOKUP(A52,Enforcements!$C$7:$E$12,3,0)</f>
        <v>GRADE CROSSING</v>
      </c>
      <c r="AD52" s="206">
        <f t="shared" si="33"/>
        <v>140</v>
      </c>
      <c r="AE52" s="77" t="str">
        <f t="shared" si="11"/>
        <v>aws s3 cp s3://rtdc.mdm.uploadarchive.raw/RTDC4017/ "%USERPROFILE%\AppData\Local\Temp\OnboardLogs"\RTDC4017\2017-08-12 --exclude "*" --recursive --include "*20170812*" &amp; "%USERPROFILE%\Documents\GitHub\mrs-test-scripts\Headless Mode &amp; Sideloading\WalkAndUnGZ.bat" "%USERPROFILE%\AppData\Local\Temp\OnboardLogs"\RTDC4017\2017-08-12 &amp; aws s3 cp s3://rtdc.mdm.uploadarchive.raw/RTDC4017/ "%USERPROFILE%\AppData\Local\Temp\OnboardLogs"\RTDC4017\2017-08-13 --exclude "*" --recursive --include "*20170813*" &amp; "%USERPROFILE%\Documents\GitHub\mrs-test-scripts\Headless Mode &amp; Sideloading\WalkAndUnGZ.bat" "%USERPROFILE%\AppData\Local\Temp\OnboardLogs"\RTDC4017\2017-08-13</v>
      </c>
      <c r="AF52" s="74" t="str">
        <f t="shared" si="12"/>
        <v>"C:\Program Files (x86)\AstroGrep\AstroGrep.exe" /e /r /s /spath="%USERPROFILE%\AppData\Local\Temp\OnboardLogs" /stypes="app*4017*20170812*" /stext=" 15:.+((SYSTEM_STATE.+slice.+state.+changed )|(ment ac)|(multiple cpu faults)|(system.+state.+changed )|(\[timeout)|(PRM\|1\|D)|(kpr)|(kdp)|(train st.+moving)|(\|lc)|(penalty))"</v>
      </c>
      <c r="AG52" s="209" t="str">
        <f t="shared" si="34"/>
        <v>EC</v>
      </c>
      <c r="AH52" s="78" t="str">
        <f t="shared" si="18"/>
        <v>"%USERPROFILE%\Documents\GitHub\eaglep3\Utilities\RefineRTDCRunTimes.py" --tripid 140-12 --locoid 4017 --swversion DE.1.0.9.0 --startMP 204:232985 --initTime 2017-08-12T09:15:25 --startdatetime 2017-08-12T09:27:18 --delay 1 --endMP 204:86125 --enddatetime 2017-08-12T09:53:00 --enforcementcount 0 &gt;&gt;C:\Users\stu\Documents\GitHub\eaglep3-reporting\EC\2017-08-12-refined-times.txt</v>
      </c>
      <c r="AI52" s="96" t="str">
        <f t="shared" si="19"/>
        <v>echo {"issue":{"subject":"Re-init at Peoria due to Clayton Xing issue","project_id":79,"tracker_id":40,"status_id":1,"priority_id":2,"assigned_to_id":23,"start_date":"2017-08-12","description":"","custom_fields":[{"id":1,"name":"Subdivision","value":"EC"},{"id":4,"name":"Milepost","value":"8.6125"},{"id":17,"name":"Train ID","value":"140-12"},{"id":16,"name":"Locomotive ID","value":"4017"},{"id":130,"name":"Impact","value":""},{"id":150,"name":"Time of Event (Mountain Time)","value":"09:53:00"},{"id":151,"name":"Denver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4017 --day 2017-08-12</v>
      </c>
      <c r="AN52" s="151" t="str">
        <f t="shared" si="21"/>
        <v>echo {"issue":{"subject":"Re-init at Peoria due to Clayton Xing issue","project_id":30,"tracker_id":4,"status_id":1,"priority_id":1,"assigned_to_id":10,"start_date":"2017-08-12","description":"","custom_fields":[{"id":30,"name":"Category","value":"Issue"},{"id":3,"name":"Functional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15:53:00"},{"id":29,"name":"Sharepoint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638</v>
      </c>
      <c r="B53" s="7">
        <v>4017</v>
      </c>
      <c r="C53" s="21" t="s">
        <v>198</v>
      </c>
      <c r="D53" s="21" t="s">
        <v>897</v>
      </c>
      <c r="E53" s="13">
        <v>42959.411782407406</v>
      </c>
      <c r="F53" s="13">
        <v>42959.413148148145</v>
      </c>
      <c r="G53" s="7">
        <v>1</v>
      </c>
      <c r="H53" s="21" t="s">
        <v>898</v>
      </c>
      <c r="I53" s="13">
        <v>42959.430046296293</v>
      </c>
      <c r="J53" s="7">
        <v>0</v>
      </c>
      <c r="K53" s="89" t="str">
        <f t="shared" si="28"/>
        <v>4017/4018</v>
      </c>
      <c r="L53" s="21" t="str">
        <f>VLOOKUP(A53,'Trips&amp;Operators'!$C$1:$G$99999,5,FALSE)</f>
        <v>MAELZER KURT</v>
      </c>
      <c r="M53" s="6">
        <f t="shared" si="29"/>
        <v>1.68981481474475E-2</v>
      </c>
      <c r="N53" s="7"/>
      <c r="O53" s="7"/>
      <c r="P53" s="7"/>
      <c r="Q53" s="22"/>
      <c r="R53" s="170"/>
      <c r="S53" s="213"/>
      <c r="T53" s="195" t="str">
        <f t="shared" si="30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10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-12T08:52:58-0600',mode:absolute,to:'2017-08-12T11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3" s="197" t="str">
        <f>IF(AA53&lt;VLOOKUP(AG53,Variables!$AC$3:$AD$8,2,FALSE),"Y","N")</f>
        <v>Y</v>
      </c>
      <c r="X53" s="197">
        <f t="shared" si="31"/>
        <v>0</v>
      </c>
      <c r="Y53" s="197">
        <f t="shared" si="26"/>
        <v>8.6359999999999992</v>
      </c>
      <c r="Z53" s="197">
        <f t="shared" si="27"/>
        <v>0.1575</v>
      </c>
      <c r="AA53" s="197">
        <f t="shared" si="32"/>
        <v>8.4784999999999986</v>
      </c>
      <c r="AB53" s="54" t="str">
        <f>VLOOKUP(A53,Enforcements!$C$7:$K$12,8,0)</f>
        <v>Bulletin (2)</v>
      </c>
      <c r="AC53" s="51" t="str">
        <f>VLOOKUP(A53,Enforcements!$C$7:$E$12,3,0)</f>
        <v>GRADE CROSSING</v>
      </c>
      <c r="AD53" s="206">
        <f t="shared" si="33"/>
        <v>140</v>
      </c>
      <c r="AE53" s="77" t="str">
        <f t="shared" si="11"/>
        <v>aws s3 cp s3://rtdc.mdm.uploadarchive.raw/RTDC4017/ "%USERPROFILE%\AppData\Local\Temp\OnboardLogs"\RTDC4017\2017-08-12 --exclude "*" --recursive --include "*20170812*" &amp; "%USERPROFILE%\Documents\GitHub\mrs-test-scripts\Headless Mode &amp; Sideloading\WalkAndUnGZ.bat" "%USERPROFILE%\AppData\Local\Temp\OnboardLogs"\RTDC4017\2017-08-12 &amp; aws s3 cp s3://rtdc.mdm.uploadarchive.raw/RTDC4017/ "%USERPROFILE%\AppData\Local\Temp\OnboardLogs"\RTDC4017\2017-08-13 --exclude "*" --recursive --include "*20170813*" &amp; "%USERPROFILE%\Documents\GitHub\mrs-test-scripts\Headless Mode &amp; Sideloading\WalkAndUnGZ.bat" "%USERPROFILE%\AppData\Local\Temp\OnboardLogs"\RTDC4017\2017-08-13</v>
      </c>
      <c r="AF53" s="74" t="str">
        <f t="shared" si="12"/>
        <v>"C:\Program Files (x86)\AstroGrep\AstroGrep.exe" /e /r /s /spath="%USERPROFILE%\AppData\Local\Temp\OnboardLogs" /stypes="app*4017*20170812*" /stext=" 16:.+((SYSTEM_STATE.+slice.+state.+changed )|(ment ac)|(multiple cpu faults)|(system.+state.+changed )|(\[timeout)|(PRM\|1\|D)|(kpr)|(kdp)|(train st.+moving)|(\|lc)|(penalty))"</v>
      </c>
      <c r="AG53" s="209" t="str">
        <f t="shared" si="34"/>
        <v>EC</v>
      </c>
      <c r="AH53" s="78" t="str">
        <f t="shared" si="18"/>
        <v>"%USERPROFILE%\Documents\GitHub\eaglep3\Utilities\RefineRTDCRunTimes.py" --tripid 140-12 --locoid 4017 --swversion DE.1.0.9.0 --startMP 204:86360 --initTime 2017-08-12T09:52:58 --startdatetime 2017-08-12T09:54:56 --delay 1 --endMP 204:1575 --enddatetime 2017-08-12T10:19:16 --enforcementcount 0 &gt;&gt;C:\Users\stu\Documents\GitHub\eaglep3-reporting\EC\2017-08-12-refined-times.txt</v>
      </c>
      <c r="AI53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{"issue":{"subject":"","project_id":79,"tracker_id":40,"status_id":1,"priority_id":2,"assigned_to_id":23,"start_date":"2017-08-12","description":"","custom_fields":[{"id":1,"name":"Subdivision","value":"EC"},{"id":4,"name":"Milepost","value":"0.1575"},{"id":17,"name":"Train ID","value":"140-12"},{"id":16,"name":"Locomotive ID","value":"4017"},{"id":130,"name":"Impact","value":""},{"id":150,"name":"Time of Event (Mountain Time)","value":"10:19:16"},{"id":151,"name":"Denver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4017 --day 2017-08-12</v>
      </c>
      <c r="AN53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16:19:16"},{"id":29,"name":"Sharepoint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733</v>
      </c>
      <c r="B54" s="7">
        <v>4014</v>
      </c>
      <c r="C54" s="21" t="s">
        <v>198</v>
      </c>
      <c r="D54" s="21" t="s">
        <v>344</v>
      </c>
      <c r="E54" s="13">
        <v>42959.359884259262</v>
      </c>
      <c r="F54" s="13">
        <v>42959.365104166667</v>
      </c>
      <c r="G54" s="7">
        <v>1</v>
      </c>
      <c r="H54" s="21" t="s">
        <v>526</v>
      </c>
      <c r="I54" s="13">
        <v>42959.389745370368</v>
      </c>
      <c r="J54" s="7">
        <v>0</v>
      </c>
      <c r="K54" s="89" t="str">
        <f t="shared" si="28"/>
        <v>4013/4014</v>
      </c>
      <c r="L54" s="21" t="str">
        <f>VLOOKUP(A54,'Trips&amp;Operators'!$C$1:$G$99999,5,FALSE)</f>
        <v>DAVIDSON DAVID</v>
      </c>
      <c r="M54" s="6">
        <f t="shared" si="29"/>
        <v>2.4641203701321501E-2</v>
      </c>
      <c r="N54" s="7">
        <f t="shared" ref="N54:N85" si="35">24*60*SUM($M54:$M54)</f>
        <v>35.483333329902962</v>
      </c>
      <c r="O54" s="7"/>
      <c r="P54" s="7"/>
      <c r="Q54" s="22"/>
      <c r="R54" s="170"/>
      <c r="S54" s="213">
        <f t="shared" ref="S54:S85" si="36">1/IF(AG54="EC",12,1)*SUM(U54:U54)</f>
        <v>1</v>
      </c>
      <c r="T54" s="195" t="str">
        <f t="shared" si="30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-12T07:38:14-0600',mode:absolute,to:'2017-08-12T10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4" s="197" t="str">
        <f>IF(AA54&lt;VLOOKUP(AG54,Variables!$AC$3:$AD$8,2,FALSE),"Y","N")</f>
        <v>N</v>
      </c>
      <c r="X54" s="197">
        <f t="shared" si="31"/>
        <v>1</v>
      </c>
      <c r="Y54" s="197">
        <f t="shared" si="26"/>
        <v>4.5100000000000001E-2</v>
      </c>
      <c r="Z54" s="197">
        <f t="shared" si="27"/>
        <v>23.329499999999999</v>
      </c>
      <c r="AA54" s="197">
        <f t="shared" si="32"/>
        <v>23.284399999999998</v>
      </c>
      <c r="AB54" s="54" t="e">
        <f>VLOOKUP(A54,Enforcements!$C$7:$K$12,8,0)</f>
        <v>#N/A</v>
      </c>
      <c r="AC54" s="51" t="e">
        <f>VLOOKUP(A54,Enforcements!$C$7:$E$12,3,0)</f>
        <v>#N/A</v>
      </c>
      <c r="AD54" s="206">
        <f t="shared" si="33"/>
        <v>141</v>
      </c>
      <c r="AE54" s="77" t="str">
        <f t="shared" si="11"/>
        <v>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 &amp; aws s3 cp s3://rtdc.mdm.uploadarchive.raw/RTDC4014/ "%USERPROFILE%\AppData\Local\Temp\OnboardLogs"\RTDC4014\2017-08-13 --exclude "*" --recursive --include "*20170813*" &amp; "%USERPROFILE%\Documents\GitHub\mrs-test-scripts\Headless Mode &amp; Sideloading\WalkAndUnGZ.bat" "%USERPROFILE%\AppData\Local\Temp\OnboardLogs"\RTDC4014\2017-08-13</v>
      </c>
      <c r="AF54" s="74" t="str">
        <f t="shared" si="12"/>
        <v>"C:\Program Files (x86)\AstroGrep\AstroGrep.exe" /e /r /s /spath="%USERPROFILE%\AppData\Local\Temp\OnboardLogs" /stypes="app*4014*20170812*" /stext=" 15:.+((SYSTEM_STATE.+slice.+state.+changed )|(ment ac)|(multiple cpu faults)|(system.+state.+changed )|(\[timeout)|(PRM\|1\|D)|(kpr)|(kdp)|(train st.+moving)|(\|lc)|(penalty))"</v>
      </c>
      <c r="AG54" s="209" t="str">
        <f t="shared" si="34"/>
        <v>EC</v>
      </c>
      <c r="AH54" s="78" t="str">
        <f t="shared" si="18"/>
        <v>"%USERPROFILE%\Documents\GitHub\eaglep3\Utilities\RefineRTDCRunTimes.py" --tripid 141-12 --locoid 4014 --swversion DE.1.0.9.0 --startMP 204:451 --initTime 2017-08-12T08:38:14 --startdatetime 2017-08-12T08:45:45 --delay 1 --endMP 204:233295 --enddatetime 2017-08-12T09:21:14 --enforcementcount 0 &gt;&gt;C:\Users\stu\Documents\GitHub\eaglep3-reporting\EC\2017-08-12-refined-times.txt</v>
      </c>
      <c r="AI54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{"issue":{"subject":"","project_id":79,"tracker_id":40,"status_id":1,"priority_id":2,"assigned_to_id":23,"start_date":"2017-08-12","description":"","custom_fields":[{"id":1,"name":"Subdivision","value":"EC"},{"id":4,"name":"Milepost","value":"23.3295"},{"id":17,"name":"Train ID","value":"141-12"},{"id":16,"name":"Locomotive ID","value":"4014"},{"id":130,"name":"Impact","value":""},{"id":150,"name":"Time of Event (Mountain Time)","value":"09:21:14"},{"id":151,"name":"Denver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4014 --day 2017-08-12</v>
      </c>
      <c r="AN54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15:21:14"},{"id":29,"name":"Sharepoint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738</v>
      </c>
      <c r="B55" s="7">
        <v>4013</v>
      </c>
      <c r="C55" s="21" t="s">
        <v>198</v>
      </c>
      <c r="D55" s="21" t="s">
        <v>499</v>
      </c>
      <c r="E55" s="13">
        <v>42959.391851851855</v>
      </c>
      <c r="F55" s="13">
        <v>42959.404432870368</v>
      </c>
      <c r="G55" s="7">
        <v>1</v>
      </c>
      <c r="H55" s="21" t="s">
        <v>494</v>
      </c>
      <c r="I55" s="13">
        <v>42959.433182870373</v>
      </c>
      <c r="J55" s="7">
        <v>0</v>
      </c>
      <c r="K55" s="89" t="str">
        <f t="shared" si="28"/>
        <v>4013/4014</v>
      </c>
      <c r="L55" s="21" t="str">
        <f>VLOOKUP(A55,'Trips&amp;Operators'!$C$1:$G$99999,5,FALSE)</f>
        <v>DAVIDSON DAVID</v>
      </c>
      <c r="M55" s="6">
        <f t="shared" si="29"/>
        <v>2.8750000004947651E-2</v>
      </c>
      <c r="N55" s="7">
        <f t="shared" si="35"/>
        <v>41.400000007124618</v>
      </c>
      <c r="O55" s="7"/>
      <c r="P55" s="7"/>
      <c r="Q55" s="22"/>
      <c r="R55" s="170"/>
      <c r="S55" s="213">
        <f t="shared" si="36"/>
        <v>1</v>
      </c>
      <c r="T55" s="195" t="str">
        <f t="shared" si="30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-12T08:24:16-0600',mode:absolute,to:'2017-08-12T11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5" s="197" t="str">
        <f>IF(AA55&lt;VLOOKUP(AG55,Variables!$AC$3:$AD$8,2,FALSE),"Y","N")</f>
        <v>N</v>
      </c>
      <c r="X55" s="197">
        <f t="shared" si="31"/>
        <v>1</v>
      </c>
      <c r="Y55" s="197">
        <f t="shared" si="26"/>
        <v>23.297799999999999</v>
      </c>
      <c r="Z55" s="197">
        <f t="shared" si="27"/>
        <v>1.7000000000000001E-2</v>
      </c>
      <c r="AA55" s="197">
        <f t="shared" si="32"/>
        <v>23.280799999999999</v>
      </c>
      <c r="AB55" s="54" t="e">
        <f>VLOOKUP(A55,Enforcements!$C$7:$K$12,8,0)</f>
        <v>#N/A</v>
      </c>
      <c r="AC55" s="51" t="e">
        <f>VLOOKUP(A55,Enforcements!$C$7:$E$12,3,0)</f>
        <v>#N/A</v>
      </c>
      <c r="AD55" s="206">
        <f t="shared" si="33"/>
        <v>142</v>
      </c>
      <c r="AE55" s="77" t="str">
        <f t="shared" si="11"/>
        <v>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 &amp; aws s3 cp s3://rtdc.mdm.uploadarchive.raw/RTDC4013/ "%USERPROFILE%\AppData\Local\Temp\OnboardLogs"\RTDC4013\2017-08-13 --exclude "*" --recursive --include "*20170813*" &amp; "%USERPROFILE%\Documents\GitHub\mrs-test-scripts\Headless Mode &amp; Sideloading\WalkAndUnGZ.bat" "%USERPROFILE%\AppData\Local\Temp\OnboardLogs"\RTDC4013\2017-08-13</v>
      </c>
      <c r="AF55" s="74" t="str">
        <f t="shared" si="12"/>
        <v>"C:\Program Files (x86)\AstroGrep\AstroGrep.exe" /e /r /s /spath="%USERPROFILE%\AppData\Local\Temp\OnboardLogs" /stypes="app*4013*20170812*" /stext=" 16:.+((SYSTEM_STATE.+slice.+state.+changed )|(ment ac)|(multiple cpu faults)|(system.+state.+changed )|(\[timeout)|(PRM\|1\|D)|(kpr)|(kdp)|(train st.+moving)|(\|lc)|(penalty))"</v>
      </c>
      <c r="AG55" s="209" t="str">
        <f t="shared" si="34"/>
        <v>EC</v>
      </c>
      <c r="AH55" s="78" t="str">
        <f t="shared" si="18"/>
        <v>"%USERPROFILE%\Documents\GitHub\eaglep3\Utilities\RefineRTDCRunTimes.py" --tripid 142-12 --locoid 4013 --swversion DE.1.0.9.0 --startMP 204:232978 --initTime 2017-08-12T09:24:16 --startdatetime 2017-08-12T09:42:23 --delay 1 --endMP 204:170 --enddatetime 2017-08-12T10:23:47 --enforcementcount 0 &gt;&gt;C:\Users\stu\Documents\GitHub\eaglep3-reporting\EC\2017-08-12-refined-times.txt</v>
      </c>
      <c r="AI55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{"issue":{"subject":"","project_id":79,"tracker_id":40,"status_id":1,"priority_id":2,"assigned_to_id":23,"start_date":"2017-08-12","description":"","custom_fields":[{"id":1,"name":"Subdivision","value":"EC"},{"id":4,"name":"Milepost","value":"0.017"},{"id":17,"name":"Train ID","value":"142-12"},{"id":16,"name":"Locomotive ID","value":"4013"},{"id":130,"name":"Impact","value":""},{"id":150,"name":"Time of Event (Mountain Time)","value":"10:23:47"},{"id":151,"name":"Denver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4013 --day 2017-08-12</v>
      </c>
      <c r="AN55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16:23:47"},{"id":29,"name":"Sharepoint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734</v>
      </c>
      <c r="B56" s="7">
        <v>4032</v>
      </c>
      <c r="C56" s="21" t="s">
        <v>198</v>
      </c>
      <c r="D56" s="21" t="s">
        <v>452</v>
      </c>
      <c r="E56" s="13">
        <v>42959.370532407411</v>
      </c>
      <c r="F56" s="13">
        <v>42959.375636574077</v>
      </c>
      <c r="G56" s="7">
        <v>1</v>
      </c>
      <c r="H56" s="21" t="s">
        <v>899</v>
      </c>
      <c r="I56" s="13">
        <v>42959.401585648149</v>
      </c>
      <c r="J56" s="7">
        <v>0</v>
      </c>
      <c r="K56" s="89" t="str">
        <f t="shared" si="28"/>
        <v>4031/4032</v>
      </c>
      <c r="L56" s="21" t="str">
        <f>VLOOKUP(A56,'Trips&amp;Operators'!$C$1:$G$99999,5,FALSE)</f>
        <v>WILLIAMS DONTE</v>
      </c>
      <c r="M56" s="6">
        <f t="shared" si="29"/>
        <v>2.5949074071832001E-2</v>
      </c>
      <c r="N56" s="7">
        <f t="shared" si="35"/>
        <v>37.366666663438082</v>
      </c>
      <c r="O56" s="7"/>
      <c r="P56" s="7"/>
      <c r="Q56" s="22"/>
      <c r="R56" s="170"/>
      <c r="S56" s="213">
        <f t="shared" si="36"/>
        <v>1</v>
      </c>
      <c r="T56" s="195" t="str">
        <f t="shared" si="30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-12T07:53:34-0600',mode:absolute,to:'2017-08-12T10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6" s="197" t="str">
        <f>IF(AA56&lt;VLOOKUP(AG56,Variables!$AC$3:$AD$8,2,FALSE),"Y","N")</f>
        <v>N</v>
      </c>
      <c r="X56" s="197">
        <f t="shared" si="31"/>
        <v>1</v>
      </c>
      <c r="Y56" s="197">
        <f t="shared" si="26"/>
        <v>4.7300000000000002E-2</v>
      </c>
      <c r="Z56" s="197">
        <f t="shared" si="27"/>
        <v>23.330200000000001</v>
      </c>
      <c r="AA56" s="197">
        <f t="shared" si="32"/>
        <v>23.282900000000001</v>
      </c>
      <c r="AB56" s="54" t="e">
        <f>VLOOKUP(A56,Enforcements!$C$7:$K$12,8,0)</f>
        <v>#N/A</v>
      </c>
      <c r="AC56" s="51" t="e">
        <f>VLOOKUP(A56,Enforcements!$C$7:$E$12,3,0)</f>
        <v>#N/A</v>
      </c>
      <c r="AD56" s="206">
        <f t="shared" si="33"/>
        <v>143</v>
      </c>
      <c r="AE56" s="77" t="str">
        <f t="shared" si="11"/>
        <v>aws s3 cp s3://rtdc.mdm.uploadarchive.raw/RTDC4032/ "%USERPROFILE%\AppData\Local\Temp\OnboardLogs"\RTDC4032\2017-08-12 --exclude "*" --recursive --include "*20170812*" &amp; "%USERPROFILE%\Documents\GitHub\mrs-test-scripts\Headless Mode &amp; Sideloading\WalkAndUnGZ.bat" "%USERPROFILE%\AppData\Local\Temp\OnboardLogs"\RTDC4032\2017-08-12 &amp; aws s3 cp s3://rtdc.mdm.uploadarchive.raw/RTDC4032/ "%USERPROFILE%\AppData\Local\Temp\OnboardLogs"\RTDC4032\2017-08-13 --exclude "*" --recursive --include "*20170813*" &amp; "%USERPROFILE%\Documents\GitHub\mrs-test-scripts\Headless Mode &amp; Sideloading\WalkAndUnGZ.bat" "%USERPROFILE%\AppData\Local\Temp\OnboardLogs"\RTDC4032\2017-08-13</v>
      </c>
      <c r="AF56" s="74" t="str">
        <f t="shared" si="12"/>
        <v>"C:\Program Files (x86)\AstroGrep\AstroGrep.exe" /e /r /s /spath="%USERPROFILE%\AppData\Local\Temp\OnboardLogs" /stypes="app*4032*20170812*" /stext=" 15:.+((SYSTEM_STATE.+slice.+state.+changed )|(ment ac)|(multiple cpu faults)|(system.+state.+changed )|(\[timeout)|(PRM\|1\|D)|(kpr)|(kdp)|(train st.+moving)|(\|lc)|(penalty))"</v>
      </c>
      <c r="AG56" s="209" t="str">
        <f t="shared" si="34"/>
        <v>EC</v>
      </c>
      <c r="AH56" s="78" t="str">
        <f t="shared" si="18"/>
        <v>"%USERPROFILE%\Documents\GitHub\eaglep3\Utilities\RefineRTDCRunTimes.py" --tripid 143-12 --locoid 4032 --swversion DE.1.0.9.0 --startMP 204:473 --initTime 2017-08-12T08:53:34 --startdatetime 2017-08-12T09:00:55 --delay 1 --endMP 204:233302 --enddatetime 2017-08-12T09:38:17 --enforcementcount 0 &gt;&gt;C:\Users\stu\Documents\GitHub\eaglep3-reporting\EC\2017-08-12-refined-times.txt</v>
      </c>
      <c r="AI56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{"issue":{"subject":"","project_id":79,"tracker_id":40,"status_id":1,"priority_id":2,"assigned_to_id":23,"start_date":"2017-08-12","description":"","custom_fields":[{"id":1,"name":"Subdivision","value":"EC"},{"id":4,"name":"Milepost","value":"23.3302"},{"id":17,"name":"Train ID","value":"143-12"},{"id":16,"name":"Locomotive ID","value":"4032"},{"id":130,"name":"Impact","value":""},{"id":150,"name":"Time of Event (Mountain Time)","value":"09:38:17"},{"id":151,"name":"Denver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4032 --day 2017-08-12</v>
      </c>
      <c r="AN56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15:38:17"},{"id":29,"name":"Sharepoint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740</v>
      </c>
      <c r="B57" s="7">
        <v>4031</v>
      </c>
      <c r="C57" s="21" t="s">
        <v>198</v>
      </c>
      <c r="D57" s="21" t="s">
        <v>884</v>
      </c>
      <c r="E57" s="13">
        <v>42959.41133101852</v>
      </c>
      <c r="F57" s="13">
        <v>42959.414861111109</v>
      </c>
      <c r="G57" s="7">
        <v>1</v>
      </c>
      <c r="H57" s="21" t="s">
        <v>472</v>
      </c>
      <c r="I57" s="13">
        <v>42959.442962962959</v>
      </c>
      <c r="J57" s="7">
        <v>0</v>
      </c>
      <c r="K57" s="89" t="str">
        <f t="shared" si="28"/>
        <v>4031/4032</v>
      </c>
      <c r="L57" s="21" t="str">
        <f>VLOOKUP(A57,'Trips&amp;Operators'!$C$1:$G$99999,5,FALSE)</f>
        <v>WILLIAMS DONTE</v>
      </c>
      <c r="M57" s="6">
        <f t="shared" si="29"/>
        <v>2.810185185080627E-2</v>
      </c>
      <c r="N57" s="7">
        <f t="shared" si="35"/>
        <v>40.466666665161029</v>
      </c>
      <c r="O57" s="7"/>
      <c r="P57" s="7"/>
      <c r="Q57" s="22"/>
      <c r="R57" s="170"/>
      <c r="S57" s="213">
        <f t="shared" si="36"/>
        <v>1</v>
      </c>
      <c r="T57" s="195" t="str">
        <f t="shared" si="30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-12T08:52:19-0600',mode:absolute,to:'2017-08-12T11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7" s="197" t="str">
        <f>IF(AA57&lt;VLOOKUP(AG57,Variables!$AC$3:$AD$8,2,FALSE),"Y","N")</f>
        <v>N</v>
      </c>
      <c r="X57" s="197">
        <f t="shared" si="31"/>
        <v>1</v>
      </c>
      <c r="Y57" s="197">
        <f t="shared" si="26"/>
        <v>23.3</v>
      </c>
      <c r="Z57" s="197">
        <f t="shared" si="27"/>
        <v>1.4500000000000001E-2</v>
      </c>
      <c r="AA57" s="197">
        <f t="shared" si="32"/>
        <v>23.285499999999999</v>
      </c>
      <c r="AB57" s="54" t="e">
        <f>VLOOKUP(A57,Enforcements!$C$7:$K$12,8,0)</f>
        <v>#N/A</v>
      </c>
      <c r="AC57" s="51" t="e">
        <f>VLOOKUP(A57,Enforcements!$C$7:$E$12,3,0)</f>
        <v>#N/A</v>
      </c>
      <c r="AD57" s="206">
        <f t="shared" si="33"/>
        <v>144</v>
      </c>
      <c r="AE57" s="77" t="str">
        <f t="shared" si="11"/>
        <v>aws s3 cp s3://rtdc.mdm.uploadarchive.raw/RTDC4031/ "%USERPROFILE%\AppData\Local\Temp\OnboardLogs"\RTDC4031\2017-08-12 --exclude "*" --recursive --include "*20170812*" &amp; "%USERPROFILE%\Documents\GitHub\mrs-test-scripts\Headless Mode &amp; Sideloading\WalkAndUnGZ.bat" "%USERPROFILE%\AppData\Local\Temp\OnboardLogs"\RTDC4031\2017-08-12 &amp; aws s3 cp s3://rtdc.mdm.uploadarchive.raw/RTDC4031/ "%USERPROFILE%\AppData\Local\Temp\OnboardLogs"\RTDC4031\2017-08-13 --exclude "*" --recursive --include "*20170813*" &amp; "%USERPROFILE%\Documents\GitHub\mrs-test-scripts\Headless Mode &amp; Sideloading\WalkAndUnGZ.bat" "%USERPROFILE%\AppData\Local\Temp\OnboardLogs"\RTDC4031\2017-08-13</v>
      </c>
      <c r="AF57" s="74" t="str">
        <f t="shared" si="12"/>
        <v>"C:\Program Files (x86)\AstroGrep\AstroGrep.exe" /e /r /s /spath="%USERPROFILE%\AppData\Local\Temp\OnboardLogs" /stypes="app*4031*20170812*" /stext=" 16:.+((SYSTEM_STATE.+slice.+state.+changed )|(ment ac)|(multiple cpu faults)|(system.+state.+changed )|(\[timeout)|(PRM\|1\|D)|(kpr)|(kdp)|(train st.+moving)|(\|lc)|(penalty))"</v>
      </c>
      <c r="AG57" s="209" t="str">
        <f t="shared" si="34"/>
        <v>EC</v>
      </c>
      <c r="AH57" s="78" t="str">
        <f t="shared" si="18"/>
        <v>"%USERPROFILE%\Documents\GitHub\eaglep3\Utilities\RefineRTDCRunTimes.py" --tripid 144-12 --locoid 4031 --swversion DE.1.0.9.0 --startMP 204:233000 --initTime 2017-08-12T09:52:19 --startdatetime 2017-08-12T09:57:24 --delay 1 --endMP 204:145 --enddatetime 2017-08-12T10:37:52 --enforcementcount 0 &gt;&gt;C:\Users\stu\Documents\GitHub\eaglep3-reporting\EC\2017-08-12-refined-times.txt</v>
      </c>
      <c r="AI57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{"issue":{"subject":"","project_id":79,"tracker_id":40,"status_id":1,"priority_id":2,"assigned_to_id":23,"start_date":"2017-08-12","description":"","custom_fields":[{"id":1,"name":"Subdivision","value":"EC"},{"id":4,"name":"Milepost","value":"0.0145"},{"id":17,"name":"Train ID","value":"144-12"},{"id":16,"name":"Locomotive ID","value":"4031"},{"id":130,"name":"Impact","value":""},{"id":150,"name":"Time of Event (Mountain Time)","value":"10:37:52"},{"id":151,"name":"Denver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4031 --day 2017-08-12</v>
      </c>
      <c r="AN57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16:37:52"},{"id":29,"name":"Sharepoint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737</v>
      </c>
      <c r="B58" s="7">
        <v>4064</v>
      </c>
      <c r="C58" s="21" t="s">
        <v>198</v>
      </c>
      <c r="D58" s="21" t="s">
        <v>394</v>
      </c>
      <c r="E58" s="13">
        <v>42959.380381944444</v>
      </c>
      <c r="F58" s="13">
        <v>42959.386018518519</v>
      </c>
      <c r="G58" s="7">
        <v>1</v>
      </c>
      <c r="H58" s="21" t="s">
        <v>878</v>
      </c>
      <c r="I58" s="13">
        <v>42959.410370370373</v>
      </c>
      <c r="J58" s="7">
        <v>0</v>
      </c>
      <c r="K58" s="89" t="str">
        <f t="shared" si="28"/>
        <v>4063/4064</v>
      </c>
      <c r="L58" s="21" t="str">
        <f>VLOOKUP(A58,'Trips&amp;Operators'!$C$1:$G$99999,5,FALSE)</f>
        <v>GUZMAN DANNY</v>
      </c>
      <c r="M58" s="6">
        <f t="shared" si="29"/>
        <v>2.4351851854589768E-2</v>
      </c>
      <c r="N58" s="7">
        <f t="shared" si="35"/>
        <v>35.066666670609266</v>
      </c>
      <c r="O58" s="7"/>
      <c r="P58" s="7"/>
      <c r="Q58" s="22"/>
      <c r="R58" s="170"/>
      <c r="S58" s="213">
        <f t="shared" si="36"/>
        <v>1</v>
      </c>
      <c r="T58" s="195" t="str">
        <f t="shared" si="30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-12T08:07:45-0600',mode:absolute,to:'2017-08-12T10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8" s="197" t="str">
        <f>IF(AA58&lt;VLOOKUP(AG58,Variables!$AC$3:$AD$8,2,FALSE),"Y","N")</f>
        <v>N</v>
      </c>
      <c r="X58" s="197">
        <f t="shared" si="31"/>
        <v>1</v>
      </c>
      <c r="Y58" s="197">
        <f t="shared" si="26"/>
        <v>4.5499999999999999E-2</v>
      </c>
      <c r="Z58" s="197">
        <f t="shared" si="27"/>
        <v>23.332599999999999</v>
      </c>
      <c r="AA58" s="197">
        <f t="shared" si="32"/>
        <v>23.287099999999999</v>
      </c>
      <c r="AB58" s="54" t="e">
        <f>VLOOKUP(A58,Enforcements!$C$7:$K$12,8,0)</f>
        <v>#N/A</v>
      </c>
      <c r="AC58" s="51" t="e">
        <f>VLOOKUP(A58,Enforcements!$C$7:$E$12,3,0)</f>
        <v>#N/A</v>
      </c>
      <c r="AD58" s="206">
        <f t="shared" si="33"/>
        <v>145</v>
      </c>
      <c r="AE58" s="77" t="str">
        <f t="shared" si="11"/>
        <v>aws s3 cp s3://rtdc.mdm.uploadarchive.raw/RTDC4064/ "%USERPROFILE%\AppData\Local\Temp\OnboardLogs"\RTDC4064\2017-08-12 --exclude "*" --recursive --include "*20170812*" &amp; "%USERPROFILE%\Documents\GitHub\mrs-test-scripts\Headless Mode &amp; Sideloading\WalkAndUnGZ.bat" "%USERPROFILE%\AppData\Local\Temp\OnboardLogs"\RTDC4064\2017-08-12 &amp; aws s3 cp s3://rtdc.mdm.uploadarchive.raw/RTDC4064/ "%USERPROFILE%\AppData\Local\Temp\OnboardLogs"\RTDC4064\2017-08-13 --exclude "*" --recursive --include "*20170813*" &amp; "%USERPROFILE%\Documents\GitHub\mrs-test-scripts\Headless Mode &amp; Sideloading\WalkAndUnGZ.bat" "%USERPROFILE%\AppData\Local\Temp\OnboardLogs"\RTDC4064\2017-08-13</v>
      </c>
      <c r="AF58" s="74" t="str">
        <f t="shared" si="12"/>
        <v>"C:\Program Files (x86)\AstroGrep\AstroGrep.exe" /e /r /s /spath="%USERPROFILE%\AppData\Local\Temp\OnboardLogs" /stypes="app*4064*20170812*" /stext=" 15:.+((SYSTEM_STATE.+slice.+state.+changed )|(ment ac)|(multiple cpu faults)|(system.+state.+changed )|(\[timeout)|(PRM\|1\|D)|(kpr)|(kdp)|(train st.+moving)|(\|lc)|(penalty))"</v>
      </c>
      <c r="AG58" s="209" t="str">
        <f t="shared" si="34"/>
        <v>EC</v>
      </c>
      <c r="AH58" s="78" t="str">
        <f t="shared" si="18"/>
        <v>"%USERPROFILE%\Documents\GitHub\eaglep3\Utilities\RefineRTDCRunTimes.py" --tripid 145-12 --locoid 4064 --swversion DE.1.0.9.0 --startMP 204:455 --initTime 2017-08-12T09:07:45 --startdatetime 2017-08-12T09:15:52 --delay 1 --endMP 204:233326 --enddatetime 2017-08-12T09:50:56 --enforcementcount 0 &gt;&gt;C:\Users\stu\Documents\GitHub\eaglep3-reporting\EC\2017-08-12-refined-times.txt</v>
      </c>
      <c r="AI58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{"issue":{"subject":"","project_id":79,"tracker_id":40,"status_id":1,"priority_id":2,"assigned_to_id":23,"start_date":"2017-08-12","description":"","custom_fields":[{"id":1,"name":"Subdivision","value":"EC"},{"id":4,"name":"Milepost","value":"23.3326"},{"id":17,"name":"Train ID","value":"145-12"},{"id":16,"name":"Locomotive ID","value":"4064"},{"id":130,"name":"Impact","value":""},{"id":150,"name":"Time of Event (Mountain Time)","value":"09:50:56"},{"id":151,"name":"Denver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4064 --day 2017-08-12</v>
      </c>
      <c r="AN58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15:50:56"},{"id":29,"name":"Sharepoint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741</v>
      </c>
      <c r="B59" s="7">
        <v>4063</v>
      </c>
      <c r="C59" s="21" t="s">
        <v>198</v>
      </c>
      <c r="D59" s="21" t="s">
        <v>523</v>
      </c>
      <c r="E59" s="13">
        <v>42959.412476851852</v>
      </c>
      <c r="F59" s="13">
        <v>42959.425185185188</v>
      </c>
      <c r="G59" s="7">
        <v>1</v>
      </c>
      <c r="H59" s="21" t="s">
        <v>376</v>
      </c>
      <c r="I59" s="13">
        <v>42959.452847222223</v>
      </c>
      <c r="J59" s="7">
        <v>0</v>
      </c>
      <c r="K59" s="89" t="str">
        <f t="shared" si="28"/>
        <v>4063/4064</v>
      </c>
      <c r="L59" s="21" t="str">
        <f>VLOOKUP(A59,'Trips&amp;Operators'!$C$1:$G$99999,5,FALSE)</f>
        <v>GUZMAN DANNY</v>
      </c>
      <c r="M59" s="6">
        <f t="shared" si="29"/>
        <v>2.7662037035042886E-2</v>
      </c>
      <c r="N59" s="7">
        <f t="shared" si="35"/>
        <v>39.833333330461755</v>
      </c>
      <c r="O59" s="7"/>
      <c r="P59" s="7"/>
      <c r="Q59" s="22"/>
      <c r="R59" s="170"/>
      <c r="S59" s="213">
        <f t="shared" si="36"/>
        <v>1</v>
      </c>
      <c r="T59" s="195" t="str">
        <f t="shared" si="30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-12T08:53:58-0600',mode:absolute,to:'2017-08-12T11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9" s="197" t="str">
        <f>IF(AA59&lt;VLOOKUP(AG59,Variables!$AC$3:$AD$8,2,FALSE),"Y","N")</f>
        <v>N</v>
      </c>
      <c r="X59" s="197">
        <f t="shared" si="31"/>
        <v>1</v>
      </c>
      <c r="Y59" s="197">
        <f t="shared" si="26"/>
        <v>23.3005</v>
      </c>
      <c r="Z59" s="197">
        <f t="shared" si="27"/>
        <v>1.54E-2</v>
      </c>
      <c r="AA59" s="197">
        <f t="shared" si="32"/>
        <v>23.2851</v>
      </c>
      <c r="AB59" s="54" t="e">
        <f>VLOOKUP(A59,Enforcements!$C$7:$K$12,8,0)</f>
        <v>#N/A</v>
      </c>
      <c r="AC59" s="51" t="e">
        <f>VLOOKUP(A59,Enforcements!$C$7:$E$12,3,0)</f>
        <v>#N/A</v>
      </c>
      <c r="AD59" s="206">
        <f t="shared" si="33"/>
        <v>146</v>
      </c>
      <c r="AE59" s="77" t="str">
        <f t="shared" si="11"/>
        <v>aws s3 cp s3://rtdc.mdm.uploadarchive.raw/RTDC4063/ "%USERPROFILE%\AppData\Local\Temp\OnboardLogs"\RTDC4063\2017-08-12 --exclude "*" --recursive --include "*20170812*" &amp; "%USERPROFILE%\Documents\GitHub\mrs-test-scripts\Headless Mode &amp; Sideloading\WalkAndUnGZ.bat" "%USERPROFILE%\AppData\Local\Temp\OnboardLogs"\RTDC4063\2017-08-12 &amp; aws s3 cp s3://rtdc.mdm.uploadarchive.raw/RTDC4063/ "%USERPROFILE%\AppData\Local\Temp\OnboardLogs"\RTDC4063\2017-08-13 --exclude "*" --recursive --include "*20170813*" &amp; "%USERPROFILE%\Documents\GitHub\mrs-test-scripts\Headless Mode &amp; Sideloading\WalkAndUnGZ.bat" "%USERPROFILE%\AppData\Local\Temp\OnboardLogs"\RTDC4063\2017-08-13</v>
      </c>
      <c r="AF59" s="74" t="str">
        <f t="shared" si="12"/>
        <v>"C:\Program Files (x86)\AstroGrep\AstroGrep.exe" /e /r /s /spath="%USERPROFILE%\AppData\Local\Temp\OnboardLogs" /stypes="app*4063*20170812*" /stext=" 16:.+((SYSTEM_STATE.+slice.+state.+changed )|(ment ac)|(multiple cpu faults)|(system.+state.+changed )|(\[timeout)|(PRM\|1\|D)|(kpr)|(kdp)|(train st.+moving)|(\|lc)|(penalty))"</v>
      </c>
      <c r="AG59" s="209" t="str">
        <f t="shared" si="34"/>
        <v>EC</v>
      </c>
      <c r="AH59" s="78" t="str">
        <f t="shared" si="18"/>
        <v>"%USERPROFILE%\Documents\GitHub\eaglep3\Utilities\RefineRTDCRunTimes.py" --tripid 146-12 --locoid 4063 --swversion DE.1.0.9.0 --startMP 204:233005 --initTime 2017-08-12T09:53:58 --startdatetime 2017-08-12T10:12:16 --delay 1 --endMP 204:154 --enddatetime 2017-08-12T10:52:06 --enforcementcount 0 &gt;&gt;C:\Users\stu\Documents\GitHub\eaglep3-reporting\EC\2017-08-12-refined-times.txt</v>
      </c>
      <c r="AI59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{"issue":{"subject":"","project_id":79,"tracker_id":40,"status_id":1,"priority_id":2,"assigned_to_id":23,"start_date":"2017-08-12","description":"","custom_fields":[{"id":1,"name":"Subdivision","value":"EC"},{"id":4,"name":"Milepost","value":"0.0154"},{"id":17,"name":"Train ID","value":"146-12"},{"id":16,"name":"Locomotive ID","value":"4063"},{"id":130,"name":"Impact","value":""},{"id":150,"name":"Time of Event (Mountain Time)","value":"10:52:06"},{"id":151,"name":"Denver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4063 --day 2017-08-12</v>
      </c>
      <c r="AN59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16:52:06"},{"id":29,"name":"Sharepoint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637</v>
      </c>
      <c r="B60" s="7">
        <v>4050</v>
      </c>
      <c r="C60" s="21" t="s">
        <v>198</v>
      </c>
      <c r="D60" s="21" t="s">
        <v>451</v>
      </c>
      <c r="E60" s="13">
        <v>42959.391759259262</v>
      </c>
      <c r="F60" s="13">
        <v>42959.39634259259</v>
      </c>
      <c r="G60" s="7">
        <v>1</v>
      </c>
      <c r="H60" s="21" t="s">
        <v>900</v>
      </c>
      <c r="I60" s="13">
        <v>42959.422337962962</v>
      </c>
      <c r="J60" s="7">
        <v>0</v>
      </c>
      <c r="K60" s="89" t="str">
        <f t="shared" si="28"/>
        <v>4049/4050</v>
      </c>
      <c r="L60" s="21" t="str">
        <f>VLOOKUP(A60,'Trips&amp;Operators'!$C$1:$G$99999,5,FALSE)</f>
        <v>DAVIS WENDY</v>
      </c>
      <c r="M60" s="6">
        <f t="shared" si="29"/>
        <v>2.5995370371674653E-2</v>
      </c>
      <c r="N60" s="7">
        <f t="shared" si="35"/>
        <v>37.433333335211501</v>
      </c>
      <c r="O60" s="7"/>
      <c r="P60" s="7"/>
      <c r="Q60" s="22"/>
      <c r="R60" s="170"/>
      <c r="S60" s="213">
        <f t="shared" si="36"/>
        <v>1</v>
      </c>
      <c r="T60" s="195" t="str">
        <f t="shared" si="30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-12T08:24:08-0600',mode:absolute,to:'2017-08-12T11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0" s="197" t="str">
        <f>IF(AA60&lt;VLOOKUP(AG60,Variables!$AC$3:$AD$8,2,FALSE),"Y","N")</f>
        <v>N</v>
      </c>
      <c r="X60" s="197">
        <f t="shared" si="31"/>
        <v>1</v>
      </c>
      <c r="Y60" s="197">
        <f t="shared" si="26"/>
        <v>4.6899999999999997E-2</v>
      </c>
      <c r="Z60" s="197">
        <f t="shared" si="27"/>
        <v>23.334399999999999</v>
      </c>
      <c r="AA60" s="197">
        <f t="shared" si="32"/>
        <v>23.287499999999998</v>
      </c>
      <c r="AB60" s="54" t="e">
        <f>VLOOKUP(A60,Enforcements!$C$7:$K$12,8,0)</f>
        <v>#N/A</v>
      </c>
      <c r="AC60" s="51" t="e">
        <f>VLOOKUP(A60,Enforcements!$C$7:$E$12,3,0)</f>
        <v>#N/A</v>
      </c>
      <c r="AD60" s="206">
        <f t="shared" si="33"/>
        <v>147</v>
      </c>
      <c r="AE60" s="77" t="str">
        <f t="shared" si="11"/>
        <v>aws s3 cp s3://rtdc.mdm.uploadarchive.raw/RTDC4050/ "%USERPROFILE%\AppData\Local\Temp\OnboardLogs"\RTDC4050\2017-08-12 --exclude "*" --recursive --include "*20170812*" &amp; "%USERPROFILE%\Documents\GitHub\mrs-test-scripts\Headless Mode &amp; Sideloading\WalkAndUnGZ.bat" "%USERPROFILE%\AppData\Local\Temp\OnboardLogs"\RTDC4050\2017-08-12 &amp; aws s3 cp s3://rtdc.mdm.uploadarchive.raw/RTDC4050/ "%USERPROFILE%\AppData\Local\Temp\OnboardLogs"\RTDC4050\2017-08-13 --exclude "*" --recursive --include "*20170813*" &amp; "%USERPROFILE%\Documents\GitHub\mrs-test-scripts\Headless Mode &amp; Sideloading\WalkAndUnGZ.bat" "%USERPROFILE%\AppData\Local\Temp\OnboardLogs"\RTDC4050\2017-08-13</v>
      </c>
      <c r="AF60" s="74" t="str">
        <f t="shared" si="12"/>
        <v>"C:\Program Files (x86)\AstroGrep\AstroGrep.exe" /e /r /s /spath="%USERPROFILE%\AppData\Local\Temp\OnboardLogs" /stypes="app*4050*20170812*" /stext=" 16:.+((SYSTEM_STATE.+slice.+state.+changed )|(ment ac)|(multiple cpu faults)|(system.+state.+changed )|(\[timeout)|(PRM\|1\|D)|(kpr)|(kdp)|(train st.+moving)|(\|lc)|(penalty))"</v>
      </c>
      <c r="AG60" s="209" t="str">
        <f t="shared" si="34"/>
        <v>EC</v>
      </c>
      <c r="AH60" s="78" t="str">
        <f t="shared" si="18"/>
        <v>"%USERPROFILE%\Documents\GitHub\eaglep3\Utilities\RefineRTDCRunTimes.py" --tripid 147-12 --locoid 4050 --swversion DE.1.0.9.0 --startMP 204:469 --initTime 2017-08-12T09:24:08 --startdatetime 2017-08-12T09:30:44 --delay 1 --endMP 204:233344 --enddatetime 2017-08-12T10:08:10 --enforcementcount 0 &gt;&gt;C:\Users\stu\Documents\GitHub\eaglep3-reporting\EC\2017-08-12-refined-times.txt</v>
      </c>
      <c r="AI60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{"issue":{"subject":"","project_id":79,"tracker_id":40,"status_id":1,"priority_id":2,"assigned_to_id":23,"start_date":"2017-08-12","description":"","custom_fields":[{"id":1,"name":"Subdivision","value":"EC"},{"id":4,"name":"Milepost","value":"23.3344"},{"id":17,"name":"Train ID","value":"147-12"},{"id":16,"name":"Locomotive ID","value":"4050"},{"id":130,"name":"Impact","value":""},{"id":150,"name":"Time of Event (Mountain Time)","value":"10:08:10"},{"id":151,"name":"Denver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4050 --day 2017-08-12</v>
      </c>
      <c r="AN60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16:08:10"},{"id":29,"name":"Sharepoint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746</v>
      </c>
      <c r="B61" s="7">
        <v>4049</v>
      </c>
      <c r="C61" s="21" t="s">
        <v>198</v>
      </c>
      <c r="D61" s="21" t="s">
        <v>901</v>
      </c>
      <c r="E61" s="13">
        <v>42959.432476851849</v>
      </c>
      <c r="F61" s="13">
        <v>42959.435590277775</v>
      </c>
      <c r="G61" s="7">
        <v>1</v>
      </c>
      <c r="H61" s="21" t="s">
        <v>351</v>
      </c>
      <c r="I61" s="13">
        <v>42959.466238425928</v>
      </c>
      <c r="J61" s="7">
        <v>0</v>
      </c>
      <c r="K61" s="89" t="str">
        <f t="shared" si="28"/>
        <v>4049/4050</v>
      </c>
      <c r="L61" s="21" t="str">
        <f>VLOOKUP(A61,'Trips&amp;Operators'!$C$1:$G$99999,5,FALSE)</f>
        <v>DAVIS WENDY</v>
      </c>
      <c r="M61" s="6">
        <f t="shared" si="29"/>
        <v>3.0648148152977228E-2</v>
      </c>
      <c r="N61" s="7">
        <f t="shared" si="35"/>
        <v>44.133333340287209</v>
      </c>
      <c r="O61" s="7"/>
      <c r="P61" s="7"/>
      <c r="Q61" s="22"/>
      <c r="R61" s="170"/>
      <c r="S61" s="213">
        <f t="shared" si="36"/>
        <v>1</v>
      </c>
      <c r="T61" s="195" t="str">
        <f t="shared" si="30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-12T09:22:46-0600',mode:absolute,to:'2017-08-12T12:11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1" s="197" t="str">
        <f>IF(AA61&lt;VLOOKUP(AG61,Variables!$AC$3:$AD$8,2,FALSE),"Y","N")</f>
        <v>N</v>
      </c>
      <c r="X61" s="197">
        <f t="shared" si="31"/>
        <v>1</v>
      </c>
      <c r="Y61" s="197">
        <f t="shared" si="26"/>
        <v>23.302800000000001</v>
      </c>
      <c r="Z61" s="197">
        <f t="shared" si="27"/>
        <v>1.47E-2</v>
      </c>
      <c r="AA61" s="197">
        <f t="shared" si="32"/>
        <v>23.2881</v>
      </c>
      <c r="AB61" s="54" t="e">
        <f>VLOOKUP(A61,Enforcements!$C$7:$K$12,8,0)</f>
        <v>#N/A</v>
      </c>
      <c r="AC61" s="51" t="e">
        <f>VLOOKUP(A61,Enforcements!$C$7:$E$12,3,0)</f>
        <v>#N/A</v>
      </c>
      <c r="AD61" s="206">
        <f t="shared" si="33"/>
        <v>148</v>
      </c>
      <c r="AE61" s="77" t="str">
        <f t="shared" si="11"/>
        <v>aws s3 cp s3://rtdc.mdm.uploadarchive.raw/RTDC4049/ "%USERPROFILE%\AppData\Local\Temp\OnboardLogs"\RTDC4049\2017-08-12 --exclude "*" --recursive --include "*20170812*" &amp; "%USERPROFILE%\Documents\GitHub\mrs-test-scripts\Headless Mode &amp; Sideloading\WalkAndUnGZ.bat" "%USERPROFILE%\AppData\Local\Temp\OnboardLogs"\RTDC4049\2017-08-12 &amp; aws s3 cp s3://rtdc.mdm.uploadarchive.raw/RTDC4049/ "%USERPROFILE%\AppData\Local\Temp\OnboardLogs"\RTDC4049\2017-08-13 --exclude "*" --recursive --include "*20170813*" &amp; "%USERPROFILE%\Documents\GitHub\mrs-test-scripts\Headless Mode &amp; Sideloading\WalkAndUnGZ.bat" "%USERPROFILE%\AppData\Local\Temp\OnboardLogs"\RTDC4049\2017-08-13</v>
      </c>
      <c r="AF61" s="74" t="str">
        <f t="shared" si="12"/>
        <v>"C:\Program Files (x86)\AstroGrep\AstroGrep.exe" /e /r /s /spath="%USERPROFILE%\AppData\Local\Temp\OnboardLogs" /stypes="app*4049*20170812*" /stext=" 17:.+((SYSTEM_STATE.+slice.+state.+changed )|(ment ac)|(multiple cpu faults)|(system.+state.+changed )|(\[timeout)|(PRM\|1\|D)|(kpr)|(kdp)|(train st.+moving)|(\|lc)|(penalty))"</v>
      </c>
      <c r="AG61" s="209" t="str">
        <f t="shared" si="34"/>
        <v>EC</v>
      </c>
      <c r="AH61" s="78" t="str">
        <f t="shared" si="18"/>
        <v>"%USERPROFILE%\Documents\GitHub\eaglep3\Utilities\RefineRTDCRunTimes.py" --tripid 148-12 --locoid 4049 --swversion DE.1.0.9.0 --startMP 204:233028 --initTime 2017-08-12T10:22:46 --startdatetime 2017-08-12T10:27:15 --delay 1 --endMP 204:147 --enddatetime 2017-08-12T11:11:23 --enforcementcount 0 &gt;&gt;C:\Users\stu\Documents\GitHub\eaglep3-reporting\EC\2017-08-12-refined-times.txt</v>
      </c>
      <c r="AI61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{"issue":{"subject":"","project_id":79,"tracker_id":40,"status_id":1,"priority_id":2,"assigned_to_id":23,"start_date":"2017-08-12","description":"","custom_fields":[{"id":1,"name":"Subdivision","value":"EC"},{"id":4,"name":"Milepost","value":"0.0147"},{"id":17,"name":"Train ID","value":"148-12"},{"id":16,"name":"Locomotive ID","value":"4049"},{"id":130,"name":"Impact","value":""},{"id":150,"name":"Time of Event (Mountain Time)","value":"11:11:23"},{"id":151,"name":"Denver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4049 --day 2017-08-12</v>
      </c>
      <c r="AN61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17:11:23"},{"id":29,"name":"Sharepoint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739</v>
      </c>
      <c r="B62" s="7">
        <v>4016</v>
      </c>
      <c r="C62" s="21" t="s">
        <v>198</v>
      </c>
      <c r="D62" s="21" t="s">
        <v>347</v>
      </c>
      <c r="E62" s="13">
        <v>42959.401261574072</v>
      </c>
      <c r="F62" s="13">
        <v>42959.406770833331</v>
      </c>
      <c r="G62" s="7">
        <v>1</v>
      </c>
      <c r="H62" s="21" t="s">
        <v>504</v>
      </c>
      <c r="I62" s="13">
        <v>42959.430914351855</v>
      </c>
      <c r="J62" s="7">
        <v>0</v>
      </c>
      <c r="K62" s="89" t="str">
        <f t="shared" si="28"/>
        <v>4015/4016</v>
      </c>
      <c r="L62" s="21" t="str">
        <f>VLOOKUP(A62,'Trips&amp;Operators'!$C$1:$G$99999,5,FALSE)</f>
        <v>GEBRETEKLE DAGNEW</v>
      </c>
      <c r="M62" s="6">
        <f t="shared" si="29"/>
        <v>2.4143518523487728E-2</v>
      </c>
      <c r="N62" s="7">
        <f t="shared" si="35"/>
        <v>34.766666673822328</v>
      </c>
      <c r="O62" s="7"/>
      <c r="P62" s="7"/>
      <c r="Q62" s="22"/>
      <c r="R62" s="170"/>
      <c r="S62" s="213">
        <f t="shared" si="36"/>
        <v>1</v>
      </c>
      <c r="T62" s="195" t="str">
        <f t="shared" si="30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-12T08:37:49-0600',mode:absolute,to:'2017-08-12T11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2" s="197" t="str">
        <f>IF(AA62&lt;VLOOKUP(AG62,Variables!$AC$3:$AD$8,2,FALSE),"Y","N")</f>
        <v>N</v>
      </c>
      <c r="X62" s="197">
        <f t="shared" si="31"/>
        <v>1</v>
      </c>
      <c r="Y62" s="197">
        <f t="shared" si="26"/>
        <v>4.4699999999999997E-2</v>
      </c>
      <c r="Z62" s="197">
        <f t="shared" si="27"/>
        <v>23.3291</v>
      </c>
      <c r="AA62" s="197">
        <f t="shared" si="32"/>
        <v>23.284400000000002</v>
      </c>
      <c r="AB62" s="54" t="e">
        <f>VLOOKUP(A62,Enforcements!$C$7:$K$12,8,0)</f>
        <v>#N/A</v>
      </c>
      <c r="AC62" s="51" t="e">
        <f>VLOOKUP(A62,Enforcements!$C$7:$E$12,3,0)</f>
        <v>#N/A</v>
      </c>
      <c r="AD62" s="206">
        <f t="shared" si="33"/>
        <v>149</v>
      </c>
      <c r="AE62" s="77" t="str">
        <f t="shared" si="11"/>
        <v>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 &amp; 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</v>
      </c>
      <c r="AF62" s="74" t="str">
        <f t="shared" si="12"/>
        <v>"C:\Program Files (x86)\AstroGrep\AstroGrep.exe" /e /r /s /spath="%USERPROFILE%\AppData\Local\Temp\OnboardLogs" /stypes="app*4016*20170812*" /stext=" 16:.+((SYSTEM_STATE.+slice.+state.+changed )|(ment ac)|(multiple cpu faults)|(system.+state.+changed )|(\[timeout)|(PRM\|1\|D)|(kpr)|(kdp)|(train st.+moving)|(\|lc)|(penalty))"</v>
      </c>
      <c r="AG62" s="209" t="str">
        <f t="shared" si="34"/>
        <v>EC</v>
      </c>
      <c r="AH62" s="78" t="str">
        <f t="shared" si="18"/>
        <v>"%USERPROFILE%\Documents\GitHub\eaglep3\Utilities\RefineRTDCRunTimes.py" --tripid 149-12 --locoid 4016 --swversion DE.1.0.9.0 --startMP 204:447 --initTime 2017-08-12T09:37:49 --startdatetime 2017-08-12T09:45:45 --delay 1 --endMP 204:233291 --enddatetime 2017-08-12T10:20:31 --enforcementcount 0 &gt;&gt;C:\Users\stu\Documents\GitHub\eaglep3-reporting\EC\2017-08-12-refined-times.txt</v>
      </c>
      <c r="AI62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{"issue":{"subject":"","project_id":79,"tracker_id":40,"status_id":1,"priority_id":2,"assigned_to_id":23,"start_date":"2017-08-12","description":"","custom_fields":[{"id":1,"name":"Subdivision","value":"EC"},{"id":4,"name":"Milepost","value":"23.3291"},{"id":17,"name":"Train ID","value":"149-12"},{"id":16,"name":"Locomotive ID","value":"4016"},{"id":130,"name":"Impact","value":""},{"id":150,"name":"Time of Event (Mountain Time)","value":"10:20:31"},{"id":151,"name":"Denver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4016 --day 2017-08-12</v>
      </c>
      <c r="AN62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16:20:31"},{"id":29,"name":"Sharepoint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745</v>
      </c>
      <c r="B63" s="7">
        <v>4015</v>
      </c>
      <c r="C63" s="21" t="s">
        <v>198</v>
      </c>
      <c r="D63" s="21" t="s">
        <v>499</v>
      </c>
      <c r="E63" s="13">
        <v>42959.43246527778</v>
      </c>
      <c r="F63" s="13">
        <v>42959.446030092593</v>
      </c>
      <c r="G63" s="7">
        <v>1</v>
      </c>
      <c r="H63" s="21" t="s">
        <v>479</v>
      </c>
      <c r="I63" s="13">
        <v>42959.472673611112</v>
      </c>
      <c r="J63" s="7">
        <v>0</v>
      </c>
      <c r="K63" s="89" t="str">
        <f t="shared" si="28"/>
        <v>4015/4016</v>
      </c>
      <c r="L63" s="21" t="str">
        <f>VLOOKUP(A63,'Trips&amp;Operators'!$C$1:$G$99999,5,FALSE)</f>
        <v>GEBRETEKLE DAGNEW</v>
      </c>
      <c r="M63" s="6">
        <f t="shared" si="29"/>
        <v>2.6643518518540077E-2</v>
      </c>
      <c r="N63" s="7">
        <f t="shared" si="35"/>
        <v>38.366666666697711</v>
      </c>
      <c r="O63" s="7"/>
      <c r="P63" s="7"/>
      <c r="Q63" s="22"/>
      <c r="R63" s="170"/>
      <c r="S63" s="213">
        <f t="shared" si="36"/>
        <v>1</v>
      </c>
      <c r="T63" s="195" t="str">
        <f t="shared" si="30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-12T09:22:45-0600',mode:absolute,to:'2017-08-12T12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3" s="197" t="str">
        <f>IF(AA63&lt;VLOOKUP(AG63,Variables!$AC$3:$AD$8,2,FALSE),"Y","N")</f>
        <v>N</v>
      </c>
      <c r="X63" s="197">
        <f t="shared" si="31"/>
        <v>1</v>
      </c>
      <c r="Y63" s="197">
        <f t="shared" si="26"/>
        <v>23.297799999999999</v>
      </c>
      <c r="Z63" s="197">
        <f t="shared" si="27"/>
        <v>1.6299999999999999E-2</v>
      </c>
      <c r="AA63" s="197">
        <f t="shared" si="32"/>
        <v>23.281499999999998</v>
      </c>
      <c r="AB63" s="54" t="e">
        <f>VLOOKUP(A63,Enforcements!$C$7:$K$12,8,0)</f>
        <v>#N/A</v>
      </c>
      <c r="AC63" s="51" t="e">
        <f>VLOOKUP(A63,Enforcements!$C$7:$E$12,3,0)</f>
        <v>#N/A</v>
      </c>
      <c r="AD63" s="206">
        <f t="shared" si="33"/>
        <v>150</v>
      </c>
      <c r="AE63" s="77" t="str">
        <f t="shared" si="11"/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AF63" s="74" t="str">
        <f t="shared" si="12"/>
        <v>"C:\Program Files (x86)\AstroGrep\AstroGrep.exe" /e /r /s /spath="%USERPROFILE%\AppData\Local\Temp\OnboardLogs" /stypes="app*4015*20170812*" /stext=" 17:.+((SYSTEM_STATE.+slice.+state.+changed )|(ment ac)|(multiple cpu faults)|(system.+state.+changed )|(\[timeout)|(PRM\|1\|D)|(kpr)|(kdp)|(train st.+moving)|(\|lc)|(penalty))"</v>
      </c>
      <c r="AG63" s="209" t="str">
        <f t="shared" si="34"/>
        <v>EC</v>
      </c>
      <c r="AH63" s="78" t="str">
        <f t="shared" si="18"/>
        <v>"%USERPROFILE%\Documents\GitHub\eaglep3\Utilities\RefineRTDCRunTimes.py" --tripid 150-12 --locoid 4015 --swversion DE.1.0.9.0 --startMP 204:232978 --initTime 2017-08-12T10:22:45 --startdatetime 2017-08-12T10:42:17 --delay 1 --endMP 204:163 --enddatetime 2017-08-12T11:20:39 --enforcementcount 0 &gt;&gt;C:\Users\stu\Documents\GitHub\eaglep3-reporting\EC\2017-08-12-refined-times.txt</v>
      </c>
      <c r="AI63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{"issue":{"subject":"","project_id":79,"tracker_id":40,"status_id":1,"priority_id":2,"assigned_to_id":23,"start_date":"2017-08-12","description":"","custom_fields":[{"id":1,"name":"Subdivision","value":"EC"},{"id":4,"name":"Milepost","value":"0.0163"},{"id":17,"name":"Train ID","value":"150-12"},{"id":16,"name":"Locomotive ID","value":"4015"},{"id":130,"name":"Impact","value":""},{"id":150,"name":"Time of Event (Mountain Time)","value":"11:20:39"},{"id":151,"name":"Denver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4015 --day 2017-08-12</v>
      </c>
      <c r="AN63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17:20:39"},{"id":29,"name":"Sharepoint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742</v>
      </c>
      <c r="B64" s="7">
        <v>4042</v>
      </c>
      <c r="C64" s="21" t="s">
        <v>198</v>
      </c>
      <c r="D64" s="21" t="s">
        <v>452</v>
      </c>
      <c r="E64" s="13">
        <v>42959.413900462961</v>
      </c>
      <c r="F64" s="13">
        <v>42959.417187500003</v>
      </c>
      <c r="G64" s="7">
        <v>1</v>
      </c>
      <c r="H64" s="21" t="s">
        <v>899</v>
      </c>
      <c r="I64" s="13">
        <v>42959.441423611112</v>
      </c>
      <c r="J64" s="7">
        <v>0</v>
      </c>
      <c r="K64" s="89" t="str">
        <f t="shared" si="28"/>
        <v>4041/4042</v>
      </c>
      <c r="L64" s="21" t="str">
        <f>VLOOKUP(A64,'Trips&amp;Operators'!$C$1:$G$99999,5,FALSE)</f>
        <v>LALONDE GREGORY</v>
      </c>
      <c r="M64" s="6">
        <f t="shared" si="29"/>
        <v>2.4236111108621117E-2</v>
      </c>
      <c r="N64" s="7">
        <f t="shared" si="35"/>
        <v>34.899999996414408</v>
      </c>
      <c r="O64" s="7"/>
      <c r="P64" s="7"/>
      <c r="Q64" s="22"/>
      <c r="R64" s="170"/>
      <c r="S64" s="213">
        <f t="shared" si="36"/>
        <v>1</v>
      </c>
      <c r="T64" s="195" t="str">
        <f t="shared" si="30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-12T08:56:01-0600',mode:absolute,to:'2017-08-12T11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4" s="197" t="str">
        <f>IF(AA64&lt;VLOOKUP(AG64,Variables!$AC$3:$AD$8,2,FALSE),"Y","N")</f>
        <v>N</v>
      </c>
      <c r="X64" s="197">
        <f t="shared" si="31"/>
        <v>1</v>
      </c>
      <c r="Y64" s="197">
        <f t="shared" si="26"/>
        <v>4.7300000000000002E-2</v>
      </c>
      <c r="Z64" s="197">
        <f t="shared" si="27"/>
        <v>23.330200000000001</v>
      </c>
      <c r="AA64" s="197">
        <f t="shared" si="32"/>
        <v>23.282900000000001</v>
      </c>
      <c r="AB64" s="54" t="e">
        <f>VLOOKUP(A64,Enforcements!$C$7:$K$12,8,0)</f>
        <v>#N/A</v>
      </c>
      <c r="AC64" s="51" t="e">
        <f>VLOOKUP(A64,Enforcements!$C$7:$E$12,3,0)</f>
        <v>#N/A</v>
      </c>
      <c r="AD64" s="206">
        <f t="shared" si="33"/>
        <v>151</v>
      </c>
      <c r="AE64" s="77" t="str">
        <f t="shared" si="11"/>
        <v>aws s3 cp s3://rtdc.mdm.uploadarchive.raw/RTDC4042/ "%USERPROFILE%\AppData\Local\Temp\OnboardLogs"\RTDC4042\2017-08-12 --exclude "*" --recursive --include "*20170812*" &amp; "%USERPROFILE%\Documents\GitHub\mrs-test-scripts\Headless Mode &amp; Sideloading\WalkAndUnGZ.bat" "%USERPROFILE%\AppData\Local\Temp\OnboardLogs"\RTDC4042\2017-08-12 &amp; 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</v>
      </c>
      <c r="AF64" s="74" t="str">
        <f t="shared" si="12"/>
        <v>"C:\Program Files (x86)\AstroGrep\AstroGrep.exe" /e /r /s /spath="%USERPROFILE%\AppData\Local\Temp\OnboardLogs" /stypes="app*4042*20170812*" /stext=" 16:.+((SYSTEM_STATE.+slice.+state.+changed )|(ment ac)|(multiple cpu faults)|(system.+state.+changed )|(\[timeout)|(PRM\|1\|D)|(kpr)|(kdp)|(train st.+moving)|(\|lc)|(penalty))"</v>
      </c>
      <c r="AG64" s="209" t="str">
        <f t="shared" si="34"/>
        <v>EC</v>
      </c>
      <c r="AH64" s="78" t="str">
        <f t="shared" si="18"/>
        <v>"%USERPROFILE%\Documents\GitHub\eaglep3\Utilities\RefineRTDCRunTimes.py" --tripid 151-12 --locoid 4042 --swversion DE.1.0.9.0 --startMP 204:473 --initTime 2017-08-12T09:56:01 --startdatetime 2017-08-12T10:00:45 --delay 1 --endMP 204:233302 --enddatetime 2017-08-12T10:35:39 --enforcementcount 0 &gt;&gt;C:\Users\stu\Documents\GitHub\eaglep3-reporting\EC\2017-08-12-refined-times.txt</v>
      </c>
      <c r="AI64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{"issue":{"subject":"","project_id":79,"tracker_id":40,"status_id":1,"priority_id":2,"assigned_to_id":23,"start_date":"2017-08-12","description":"","custom_fields":[{"id":1,"name":"Subdivision","value":"EC"},{"id":4,"name":"Milepost","value":"23.3302"},{"id":17,"name":"Train ID","value":"151-12"},{"id":16,"name":"Locomotive ID","value":"4042"},{"id":130,"name":"Impact","value":""},{"id":150,"name":"Time of Event (Mountain Time)","value":"10:35:39"},{"id":151,"name":"Denver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4042 --day 2017-08-12</v>
      </c>
      <c r="AN64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16:35:39"},{"id":29,"name":"Sharepoint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752</v>
      </c>
      <c r="B65" s="7">
        <v>4041</v>
      </c>
      <c r="C65" s="21" t="s">
        <v>198</v>
      </c>
      <c r="D65" s="21" t="s">
        <v>884</v>
      </c>
      <c r="E65" s="13">
        <v>42959.445671296293</v>
      </c>
      <c r="F65" s="13">
        <v>42959.456412037034</v>
      </c>
      <c r="G65" s="7">
        <v>2</v>
      </c>
      <c r="H65" s="21" t="s">
        <v>502</v>
      </c>
      <c r="I65" s="13">
        <v>42959.482349537036</v>
      </c>
      <c r="J65" s="7">
        <v>0</v>
      </c>
      <c r="K65" s="89" t="str">
        <f t="shared" si="28"/>
        <v>4041/4042</v>
      </c>
      <c r="L65" s="21" t="str">
        <f>VLOOKUP(A65,'Trips&amp;Operators'!$C$1:$G$99999,5,FALSE)</f>
        <v>LALONDE GREGORY</v>
      </c>
      <c r="M65" s="6">
        <f t="shared" si="29"/>
        <v>2.5937500002328306E-2</v>
      </c>
      <c r="N65" s="7">
        <f t="shared" si="35"/>
        <v>37.350000003352761</v>
      </c>
      <c r="O65" s="7"/>
      <c r="P65" s="7"/>
      <c r="Q65" s="22"/>
      <c r="R65" s="170"/>
      <c r="S65" s="213">
        <f t="shared" si="36"/>
        <v>1</v>
      </c>
      <c r="T65" s="195" t="str">
        <f t="shared" si="30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-12T09:41:46-0600',mode:absolute,to:'2017-08-12T12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5" s="197" t="str">
        <f>IF(AA65&lt;VLOOKUP(AG65,Variables!$AC$3:$AD$8,2,FALSE),"Y","N")</f>
        <v>N</v>
      </c>
      <c r="X65" s="197">
        <f t="shared" si="31"/>
        <v>1</v>
      </c>
      <c r="Y65" s="197">
        <f t="shared" si="26"/>
        <v>23.3</v>
      </c>
      <c r="Z65" s="197">
        <f t="shared" si="27"/>
        <v>1.38E-2</v>
      </c>
      <c r="AA65" s="197">
        <f t="shared" si="32"/>
        <v>23.286200000000001</v>
      </c>
      <c r="AB65" s="54" t="e">
        <f>VLOOKUP(A65,Enforcements!$C$7:$K$12,8,0)</f>
        <v>#N/A</v>
      </c>
      <c r="AC65" s="51" t="e">
        <f>VLOOKUP(A65,Enforcements!$C$7:$E$12,3,0)</f>
        <v>#N/A</v>
      </c>
      <c r="AD65" s="206">
        <f t="shared" si="33"/>
        <v>152</v>
      </c>
      <c r="AE65" s="77" t="str">
        <f t="shared" si="11"/>
        <v>aws s3 cp s3://rtdc.mdm.uploadarchive.raw/RTDC4041/ "%USERPROFILE%\AppData\Local\Temp\OnboardLogs"\RTDC4041\2017-08-12 --exclude "*" --recursive --include "*20170812*" &amp; "%USERPROFILE%\Documents\GitHub\mrs-test-scripts\Headless Mode &amp; Sideloading\WalkAndUnGZ.bat" "%USERPROFILE%\AppData\Local\Temp\OnboardLogs"\RTDC4041\2017-08-12 &amp; 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</v>
      </c>
      <c r="AF65" s="74" t="str">
        <f t="shared" si="12"/>
        <v>"C:\Program Files (x86)\AstroGrep\AstroGrep.exe" /e /r /s /spath="%USERPROFILE%\AppData\Local\Temp\OnboardLogs" /stypes="app*4041*20170812*" /stext=" 17:.+((SYSTEM_STATE.+slice.+state.+changed )|(ment ac)|(multiple cpu faults)|(system.+state.+changed )|(\[timeout)|(PRM\|1\|D)|(kpr)|(kdp)|(train st.+moving)|(\|lc)|(penalty))"</v>
      </c>
      <c r="AG65" s="209" t="str">
        <f t="shared" si="34"/>
        <v>EC</v>
      </c>
      <c r="AH65" s="78" t="str">
        <f t="shared" si="18"/>
        <v>"%USERPROFILE%\Documents\GitHub\eaglep3\Utilities\RefineRTDCRunTimes.py" --tripid 152-12 --locoid 4041 --swversion DE.1.0.9.0 --startMP 204:233000 --initTime 2017-08-12T10:41:46 --startdatetime 2017-08-12T10:57:14 --delay 2 --endMP 204:138 --enddatetime 2017-08-12T11:34:35 --enforcementcount 0 &gt;&gt;C:\Users\stu\Documents\GitHub\eaglep3-reporting\EC\2017-08-12-refined-times.txt</v>
      </c>
      <c r="AI65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{"issue":{"subject":"","project_id":79,"tracker_id":40,"status_id":1,"priority_id":2,"assigned_to_id":23,"start_date":"2017-08-12","description":"","custom_fields":[{"id":1,"name":"Subdivision","value":"EC"},{"id":4,"name":"Milepost","value":"0.0138"},{"id":17,"name":"Train ID","value":"152-12"},{"id":16,"name":"Locomotive ID","value":"4041"},{"id":130,"name":"Impact","value":""},{"id":150,"name":"Time of Event (Mountain Time)","value":"11:34:35"},{"id":151,"name":"Denver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4041 --day 2017-08-12</v>
      </c>
      <c r="AN65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17:34:35"},{"id":29,"name":"Sharepoint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639</v>
      </c>
      <c r="B66" s="7">
        <v>4002</v>
      </c>
      <c r="C66" s="21" t="s">
        <v>198</v>
      </c>
      <c r="D66" s="21" t="s">
        <v>346</v>
      </c>
      <c r="E66" s="13">
        <v>42959.427800925929</v>
      </c>
      <c r="F66" s="13">
        <v>42959.430960648147</v>
      </c>
      <c r="G66" s="7">
        <v>1</v>
      </c>
      <c r="H66" s="21" t="s">
        <v>902</v>
      </c>
      <c r="I66" s="13">
        <v>42959.459513888891</v>
      </c>
      <c r="J66" s="7">
        <v>0</v>
      </c>
      <c r="K66" s="89" t="str">
        <f t="shared" si="28"/>
        <v>4001/4002</v>
      </c>
      <c r="L66" s="21" t="str">
        <f>VLOOKUP(A66,'Trips&amp;Operators'!$C$1:$G$99999,5,FALSE)</f>
        <v>SULLIVAN BRANDON</v>
      </c>
      <c r="M66" s="6">
        <f t="shared" si="29"/>
        <v>2.8553240743349306E-2</v>
      </c>
      <c r="N66" s="7">
        <f t="shared" si="35"/>
        <v>41.116666670423001</v>
      </c>
      <c r="O66" s="7"/>
      <c r="P66" s="7"/>
      <c r="Q66" s="22"/>
      <c r="R66" s="170"/>
      <c r="S66" s="213">
        <f t="shared" si="36"/>
        <v>1</v>
      </c>
      <c r="T66" s="195" t="str">
        <f t="shared" si="30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-12T09:16:02-0600',mode:absolute,to:'2017-08-12T12:01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6" s="197" t="str">
        <f>IF(AA66&lt;VLOOKUP(AG66,Variables!$AC$3:$AD$8,2,FALSE),"Y","N")</f>
        <v>N</v>
      </c>
      <c r="X66" s="197">
        <f t="shared" si="31"/>
        <v>1</v>
      </c>
      <c r="Y66" s="197">
        <f t="shared" si="26"/>
        <v>4.53E-2</v>
      </c>
      <c r="Z66" s="197">
        <f t="shared" si="27"/>
        <v>23.335899999999999</v>
      </c>
      <c r="AA66" s="197">
        <f t="shared" si="32"/>
        <v>23.290599999999998</v>
      </c>
      <c r="AB66" s="54" t="str">
        <f>VLOOKUP(A66,Enforcements!$C$7:$K$12,8,0)</f>
        <v>Bulletin (2)</v>
      </c>
      <c r="AC66" s="51" t="str">
        <f>VLOOKUP(A66,Enforcements!$C$7:$E$12,3,0)</f>
        <v>GRADE CROSSING</v>
      </c>
      <c r="AD66" s="206">
        <f t="shared" si="33"/>
        <v>153</v>
      </c>
      <c r="AE66" s="77" t="str">
        <f t="shared" si="11"/>
        <v>aws s3 cp s3://rtdc.mdm.uploadarchive.raw/RTDC4002/ "%USERPROFILE%\AppData\Local\Temp\OnboardLogs"\RTDC4002\2017-08-12 --exclude "*" --recursive --include "*20170812*" &amp; "%USERPROFILE%\Documents\GitHub\mrs-test-scripts\Headless Mode &amp; Sideloading\WalkAndUnGZ.bat" "%USERPROFILE%\AppData\Local\Temp\OnboardLogs"\RTDC4002\2017-08-12 &amp; aws s3 cp s3://rtdc.mdm.uploadarchive.raw/RTDC4002/ "%USERPROFILE%\AppData\Local\Temp\OnboardLogs"\RTDC4002\2017-08-13 --exclude "*" --recursive --include "*20170813*" &amp; "%USERPROFILE%\Documents\GitHub\mrs-test-scripts\Headless Mode &amp; Sideloading\WalkAndUnGZ.bat" "%USERPROFILE%\AppData\Local\Temp\OnboardLogs"\RTDC4002\2017-08-13</v>
      </c>
      <c r="AF66" s="74" t="str">
        <f t="shared" si="12"/>
        <v>"C:\Program Files (x86)\AstroGrep\AstroGrep.exe" /e /r /s /spath="%USERPROFILE%\AppData\Local\Temp\OnboardLogs" /stypes="app*4002*20170812*" /stext=" 17:.+((SYSTEM_STATE.+slice.+state.+changed )|(ment ac)|(multiple cpu faults)|(system.+state.+changed )|(\[timeout)|(PRM\|1\|D)|(kpr)|(kdp)|(train st.+moving)|(\|lc)|(penalty))"</v>
      </c>
      <c r="AG66" s="209" t="str">
        <f t="shared" si="34"/>
        <v>EC</v>
      </c>
      <c r="AH66" s="78" t="str">
        <f t="shared" si="18"/>
        <v>"%USERPROFILE%\Documents\GitHub\eaglep3\Utilities\RefineRTDCRunTimes.py" --tripid 153-12 --locoid 4002 --swversion DE.1.0.9.0 --startMP 204:453 --initTime 2017-08-12T10:16:02 --startdatetime 2017-08-12T10:20:35 --delay 1 --endMP 204:233359 --enddatetime 2017-08-12T11:01:42 --enforcementcount 0 &gt;&gt;C:\Users\stu\Documents\GitHub\eaglep3-reporting\EC\2017-08-12-refined-times.txt</v>
      </c>
      <c r="AI66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{"issue":{"subject":"","project_id":79,"tracker_id":40,"status_id":1,"priority_id":2,"assigned_to_id":23,"start_date":"2017-08-12","description":"","custom_fields":[{"id":1,"name":"Subdivision","value":"EC"},{"id":4,"name":"Milepost","value":"23.3359"},{"id":17,"name":"Train ID","value":"153-12"},{"id":16,"name":"Locomotive ID","value":"4002"},{"id":130,"name":"Impact","value":""},{"id":150,"name":"Time of Event (Mountain Time)","value":"11:01:42"},{"id":151,"name":"Denver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4002 --day 2017-08-12</v>
      </c>
      <c r="AN66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17:01:42"},{"id":29,"name":"Sharepoint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755</v>
      </c>
      <c r="B67" s="7">
        <v>4001</v>
      </c>
      <c r="C67" s="21" t="s">
        <v>198</v>
      </c>
      <c r="D67" s="21" t="s">
        <v>903</v>
      </c>
      <c r="E67" s="13">
        <v>42959.462800925925</v>
      </c>
      <c r="F67" s="13">
        <v>42959.466840277775</v>
      </c>
      <c r="G67" s="7">
        <v>1</v>
      </c>
      <c r="H67" s="21" t="s">
        <v>351</v>
      </c>
      <c r="I67" s="13">
        <v>42959.493645833332</v>
      </c>
      <c r="J67" s="7">
        <v>0</v>
      </c>
      <c r="K67" s="89" t="str">
        <f t="shared" si="28"/>
        <v>4001/4002</v>
      </c>
      <c r="L67" s="21" t="str">
        <f>VLOOKUP(A67,'Trips&amp;Operators'!$C$1:$G$99999,5,FALSE)</f>
        <v>SULLIVAN BRANDON</v>
      </c>
      <c r="M67" s="6">
        <f t="shared" si="29"/>
        <v>2.6805555557075422E-2</v>
      </c>
      <c r="N67" s="7">
        <f t="shared" si="35"/>
        <v>38.600000002188608</v>
      </c>
      <c r="O67" s="7"/>
      <c r="P67" s="7"/>
      <c r="Q67" s="22"/>
      <c r="R67" s="170"/>
      <c r="S67" s="213">
        <f t="shared" si="36"/>
        <v>1</v>
      </c>
      <c r="T67" s="195" t="str">
        <f t="shared" si="30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-12T10:06:26-0600',mode:absolute,to:'2017-08-12T12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7" s="197" t="str">
        <f>IF(AA67&lt;VLOOKUP(AG67,Variables!$AC$3:$AD$8,2,FALSE),"Y","N")</f>
        <v>N</v>
      </c>
      <c r="X67" s="197">
        <f t="shared" si="31"/>
        <v>1</v>
      </c>
      <c r="Y67" s="197">
        <f t="shared" si="26"/>
        <v>23.302499999999998</v>
      </c>
      <c r="Z67" s="197">
        <f t="shared" si="27"/>
        <v>1.47E-2</v>
      </c>
      <c r="AA67" s="197">
        <f t="shared" si="32"/>
        <v>23.287799999999997</v>
      </c>
      <c r="AB67" s="54" t="e">
        <f>VLOOKUP(A67,Enforcements!$C$7:$K$12,8,0)</f>
        <v>#N/A</v>
      </c>
      <c r="AC67" s="51" t="e">
        <f>VLOOKUP(A67,Enforcements!$C$7:$E$12,3,0)</f>
        <v>#N/A</v>
      </c>
      <c r="AD67" s="206">
        <f t="shared" si="33"/>
        <v>154</v>
      </c>
      <c r="AE67" s="77" t="str">
        <f t="shared" si="11"/>
        <v>aws s3 cp s3://rtdc.mdm.uploadarchive.raw/RTDC4001/ "%USERPROFILE%\AppData\Local\Temp\OnboardLogs"\RTDC4001\2017-08-12 --exclude "*" --recursive --include "*20170812*" &amp; "%USERPROFILE%\Documents\GitHub\mrs-test-scripts\Headless Mode &amp; Sideloading\WalkAndUnGZ.bat" "%USERPROFILE%\AppData\Local\Temp\OnboardLogs"\RTDC4001\2017-08-12 &amp; aws s3 cp s3://rtdc.mdm.uploadarchive.raw/RTDC4001/ "%USERPROFILE%\AppData\Local\Temp\OnboardLogs"\RTDC4001\2017-08-13 --exclude "*" --recursive --include "*20170813*" &amp; "%USERPROFILE%\Documents\GitHub\mrs-test-scripts\Headless Mode &amp; Sideloading\WalkAndUnGZ.bat" "%USERPROFILE%\AppData\Local\Temp\OnboardLogs"\RTDC4001\2017-08-13</v>
      </c>
      <c r="AF67" s="74" t="str">
        <f t="shared" si="12"/>
        <v>"C:\Program Files (x86)\AstroGrep\AstroGrep.exe" /e /r /s /spath="%USERPROFILE%\AppData\Local\Temp\OnboardLogs" /stypes="app*4001*20170812*" /stext=" 17:.+((SYSTEM_STATE.+slice.+state.+changed )|(ment ac)|(multiple cpu faults)|(system.+state.+changed )|(\[timeout)|(PRM\|1\|D)|(kpr)|(kdp)|(train st.+moving)|(\|lc)|(penalty))"</v>
      </c>
      <c r="AG67" s="209" t="str">
        <f t="shared" si="34"/>
        <v>EC</v>
      </c>
      <c r="AH67" s="78" t="str">
        <f t="shared" si="18"/>
        <v>"%USERPROFILE%\Documents\GitHub\eaglep3\Utilities\RefineRTDCRunTimes.py" --tripid 154-12 --locoid 4001 --swversion DE.1.0.9.0 --startMP 204:233025 --initTime 2017-08-12T11:06:26 --startdatetime 2017-08-12T11:12:15 --delay 1 --endMP 204:147 --enddatetime 2017-08-12T11:50:51 --enforcementcount 0 &gt;&gt;C:\Users\stu\Documents\GitHub\eaglep3-reporting\EC\2017-08-12-refined-times.txt</v>
      </c>
      <c r="AI67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{"issue":{"subject":"","project_id":79,"tracker_id":40,"status_id":1,"priority_id":2,"assigned_to_id":23,"start_date":"2017-08-12","description":"","custom_fields":[{"id":1,"name":"Subdivision","value":"EC"},{"id":4,"name":"Milepost","value":"0.0147"},{"id":17,"name":"Train ID","value":"154-12"},{"id":16,"name":"Locomotive ID","value":"4001"},{"id":130,"name":"Impact","value":""},{"id":150,"name":"Time of Event (Mountain Time)","value":"11:50:51"},{"id":151,"name":"Denver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4001 --day 2017-08-12</v>
      </c>
      <c r="AN67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17:50:51"},{"id":29,"name":"Sharepoint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747</v>
      </c>
      <c r="B68" s="7">
        <v>4014</v>
      </c>
      <c r="C68" s="21" t="s">
        <v>198</v>
      </c>
      <c r="D68" s="21" t="s">
        <v>895</v>
      </c>
      <c r="E68" s="13">
        <v>42959.434467592589</v>
      </c>
      <c r="F68" s="13">
        <v>42959.438020833331</v>
      </c>
      <c r="G68" s="7">
        <v>1</v>
      </c>
      <c r="H68" s="21" t="s">
        <v>511</v>
      </c>
      <c r="I68" s="13">
        <v>42959.463310185187</v>
      </c>
      <c r="J68" s="7">
        <v>0</v>
      </c>
      <c r="K68" s="89" t="str">
        <f t="shared" si="28"/>
        <v>4013/4014</v>
      </c>
      <c r="L68" s="21" t="str">
        <f>VLOOKUP(A68,'Trips&amp;Operators'!$C$1:$G$99999,5,FALSE)</f>
        <v>DAVIDSON DAVID</v>
      </c>
      <c r="M68" s="6">
        <f t="shared" si="29"/>
        <v>2.5289351855462883E-2</v>
      </c>
      <c r="N68" s="7">
        <f t="shared" si="35"/>
        <v>36.416666671866551</v>
      </c>
      <c r="O68" s="7"/>
      <c r="P68" s="7"/>
      <c r="Q68" s="22"/>
      <c r="R68" s="170"/>
      <c r="S68" s="213">
        <f t="shared" si="36"/>
        <v>1</v>
      </c>
      <c r="T68" s="195" t="str">
        <f t="shared" si="30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-12T09:25:38-0600',mode:absolute,to:'2017-08-12T12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8" s="197" t="str">
        <f>IF(AA68&lt;VLOOKUP(AG68,Variables!$AC$3:$AD$8,2,FALSE),"Y","N")</f>
        <v>N</v>
      </c>
      <c r="X68" s="197">
        <f t="shared" si="31"/>
        <v>1</v>
      </c>
      <c r="Y68" s="197">
        <f t="shared" si="26"/>
        <v>4.3799999999999999E-2</v>
      </c>
      <c r="Z68" s="197">
        <f t="shared" si="27"/>
        <v>23.3306</v>
      </c>
      <c r="AA68" s="197">
        <f t="shared" si="32"/>
        <v>23.286799999999999</v>
      </c>
      <c r="AB68" s="54" t="e">
        <f>VLOOKUP(A68,Enforcements!$C$7:$K$12,8,0)</f>
        <v>#N/A</v>
      </c>
      <c r="AC68" s="51" t="e">
        <f>VLOOKUP(A68,Enforcements!$C$7:$E$12,3,0)</f>
        <v>#N/A</v>
      </c>
      <c r="AD68" s="206">
        <f t="shared" si="33"/>
        <v>155</v>
      </c>
      <c r="AE68" s="77" t="str">
        <f t="shared" si="11"/>
        <v>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 &amp; aws s3 cp s3://rtdc.mdm.uploadarchive.raw/RTDC4014/ "%USERPROFILE%\AppData\Local\Temp\OnboardLogs"\RTDC4014\2017-08-13 --exclude "*" --recursive --include "*20170813*" &amp; "%USERPROFILE%\Documents\GitHub\mrs-test-scripts\Headless Mode &amp; Sideloading\WalkAndUnGZ.bat" "%USERPROFILE%\AppData\Local\Temp\OnboardLogs"\RTDC4014\2017-08-13</v>
      </c>
      <c r="AF68" s="74" t="str">
        <f t="shared" si="12"/>
        <v>"C:\Program Files (x86)\AstroGrep\AstroGrep.exe" /e /r /s /spath="%USERPROFILE%\AppData\Local\Temp\OnboardLogs" /stypes="app*4014*20170812*" /stext=" 17:.+((SYSTEM_STATE.+slice.+state.+changed )|(ment ac)|(multiple cpu faults)|(system.+state.+changed )|(\[timeout)|(PRM\|1\|D)|(kpr)|(kdp)|(train st.+moving)|(\|lc)|(penalty))"</v>
      </c>
      <c r="AG68" s="209" t="str">
        <f t="shared" si="34"/>
        <v>EC</v>
      </c>
      <c r="AH68" s="78" t="str">
        <f t="shared" si="18"/>
        <v>"%USERPROFILE%\Documents\GitHub\eaglep3\Utilities\RefineRTDCRunTimes.py" --tripid 155-12 --locoid 4014 --swversion DE.1.0.9.0 --startMP 204:438 --initTime 2017-08-12T10:25:38 --startdatetime 2017-08-12T10:30:45 --delay 1 --endMP 204:233306 --enddatetime 2017-08-12T11:07:10 --enforcementcount 0 &gt;&gt;C:\Users\stu\Documents\GitHub\eaglep3-reporting\EC\2017-08-12-refined-times.txt</v>
      </c>
      <c r="AI68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{"issue":{"subject":"","project_id":79,"tracker_id":40,"status_id":1,"priority_id":2,"assigned_to_id":23,"start_date":"2017-08-12","description":"","custom_fields":[{"id":1,"name":"Subdivision","value":"EC"},{"id":4,"name":"Milepost","value":"23.3306"},{"id":17,"name":"Train ID","value":"155-12"},{"id":16,"name":"Locomotive ID","value":"4014"},{"id":130,"name":"Impact","value":""},{"id":150,"name":"Time of Event (Mountain Time)","value":"11:07:10"},{"id":151,"name":"Denver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4014 --day 2017-08-12</v>
      </c>
      <c r="AN68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17:07:10"},{"id":29,"name":"Sharepoint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756</v>
      </c>
      <c r="B69" s="7">
        <v>4013</v>
      </c>
      <c r="C69" s="21" t="s">
        <v>198</v>
      </c>
      <c r="D69" s="21" t="s">
        <v>445</v>
      </c>
      <c r="E69" s="13">
        <v>42959.464780092596</v>
      </c>
      <c r="F69" s="13">
        <v>42959.477280092593</v>
      </c>
      <c r="G69" s="7">
        <v>1</v>
      </c>
      <c r="H69" s="21" t="s">
        <v>478</v>
      </c>
      <c r="I69" s="13">
        <v>42959.504525462966</v>
      </c>
      <c r="J69" s="7">
        <v>0</v>
      </c>
      <c r="K69" s="89" t="str">
        <f t="shared" si="28"/>
        <v>4013/4014</v>
      </c>
      <c r="L69" s="21" t="str">
        <f>VLOOKUP(A69,'Trips&amp;Operators'!$C$1:$G$99999,5,FALSE)</f>
        <v>DAVIDSON DAVID</v>
      </c>
      <c r="M69" s="6">
        <f t="shared" si="29"/>
        <v>2.7245370372838806E-2</v>
      </c>
      <c r="N69" s="7">
        <f t="shared" si="35"/>
        <v>39.233333336887881</v>
      </c>
      <c r="O69" s="7"/>
      <c r="P69" s="7"/>
      <c r="Q69" s="22"/>
      <c r="R69" s="170"/>
      <c r="S69" s="213">
        <f t="shared" si="36"/>
        <v>1</v>
      </c>
      <c r="T69" s="195" t="str">
        <f t="shared" si="30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-12T10:09:17-0600',mode:absolute,to:'2017-08-12T13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9" s="197" t="str">
        <f>IF(AA69&lt;VLOOKUP(AG69,Variables!$AC$3:$AD$8,2,FALSE),"Y","N")</f>
        <v>N</v>
      </c>
      <c r="X69" s="197">
        <f t="shared" si="31"/>
        <v>1</v>
      </c>
      <c r="Y69" s="197">
        <f t="shared" si="26"/>
        <v>23.299800000000001</v>
      </c>
      <c r="Z69" s="197">
        <f t="shared" si="27"/>
        <v>1.6E-2</v>
      </c>
      <c r="AA69" s="197">
        <f t="shared" si="32"/>
        <v>23.283800000000003</v>
      </c>
      <c r="AB69" s="54" t="e">
        <f>VLOOKUP(A69,Enforcements!$C$7:$K$12,8,0)</f>
        <v>#N/A</v>
      </c>
      <c r="AC69" s="51" t="e">
        <f>VLOOKUP(A69,Enforcements!$C$7:$E$12,3,0)</f>
        <v>#N/A</v>
      </c>
      <c r="AD69" s="206">
        <f t="shared" si="33"/>
        <v>156</v>
      </c>
      <c r="AE69" s="77" t="str">
        <f t="shared" si="11"/>
        <v>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 &amp; aws s3 cp s3://rtdc.mdm.uploadarchive.raw/RTDC4013/ "%USERPROFILE%\AppData\Local\Temp\OnboardLogs"\RTDC4013\2017-08-13 --exclude "*" --recursive --include "*20170813*" &amp; "%USERPROFILE%\Documents\GitHub\mrs-test-scripts\Headless Mode &amp; Sideloading\WalkAndUnGZ.bat" "%USERPROFILE%\AppData\Local\Temp\OnboardLogs"\RTDC4013\2017-08-13</v>
      </c>
      <c r="AF69" s="74" t="str">
        <f t="shared" si="12"/>
        <v>"C:\Program Files (x86)\AstroGrep\AstroGrep.exe" /e /r /s /spath="%USERPROFILE%\AppData\Local\Temp\OnboardLogs" /stypes="app*4013*20170812*" /stext=" 18:.+((SYSTEM_STATE.+slice.+state.+changed )|(ment ac)|(multiple cpu faults)|(system.+state.+changed )|(\[timeout)|(PRM\|1\|D)|(kpr)|(kdp)|(train st.+moving)|(\|lc)|(penalty))"</v>
      </c>
      <c r="AG69" s="209" t="str">
        <f t="shared" si="34"/>
        <v>EC</v>
      </c>
      <c r="AH69" s="78" t="str">
        <f t="shared" si="18"/>
        <v>"%USERPROFILE%\Documents\GitHub\eaglep3\Utilities\RefineRTDCRunTimes.py" --tripid 156-12 --locoid 4013 --swversion DE.1.0.9.0 --startMP 204:232998 --initTime 2017-08-12T11:09:17 --startdatetime 2017-08-12T11:27:17 --delay 1 --endMP 204:160 --enddatetime 2017-08-12T12:06:31 --enforcementcount 0 &gt;&gt;C:\Users\stu\Documents\GitHub\eaglep3-reporting\EC\2017-08-12-refined-times.txt</v>
      </c>
      <c r="AI69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{"issue":{"subject":"","project_id":79,"tracker_id":40,"status_id":1,"priority_id":2,"assigned_to_id":23,"start_date":"2017-08-12","description":"","custom_fields":[{"id":1,"name":"Subdivision","value":"EC"},{"id":4,"name":"Milepost","value":"0.016"},{"id":17,"name":"Train ID","value":"156-12"},{"id":16,"name":"Locomotive ID","value":"4013"},{"id":130,"name":"Impact","value":""},{"id":150,"name":"Time of Event (Mountain Time)","value":"12:06:31"},{"id":151,"name":"Denver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4013 --day 2017-08-12</v>
      </c>
      <c r="AN69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18:06:31"},{"id":29,"name":"Sharepoint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749</v>
      </c>
      <c r="B70" s="7">
        <v>4032</v>
      </c>
      <c r="C70" s="21" t="s">
        <v>198</v>
      </c>
      <c r="D70" s="21" t="s">
        <v>558</v>
      </c>
      <c r="E70" s="13">
        <v>42959.445567129631</v>
      </c>
      <c r="F70" s="13">
        <v>42959.448437500003</v>
      </c>
      <c r="G70" s="7">
        <v>1</v>
      </c>
      <c r="H70" s="21" t="s">
        <v>890</v>
      </c>
      <c r="I70" s="13">
        <v>42959.47314814815</v>
      </c>
      <c r="J70" s="7">
        <v>0</v>
      </c>
      <c r="K70" s="89" t="str">
        <f t="shared" si="28"/>
        <v>4031/4032</v>
      </c>
      <c r="L70" s="21" t="str">
        <f>VLOOKUP(A70,'Trips&amp;Operators'!$C$1:$G$99999,5,FALSE)</f>
        <v>LOPES KIMBERLY</v>
      </c>
      <c r="M70" s="6">
        <f t="shared" si="29"/>
        <v>2.47106481474475E-2</v>
      </c>
      <c r="N70" s="7">
        <f t="shared" si="35"/>
        <v>35.583333332324401</v>
      </c>
      <c r="O70" s="7"/>
      <c r="P70" s="7"/>
      <c r="Q70" s="22"/>
      <c r="R70" s="170"/>
      <c r="S70" s="213">
        <f t="shared" si="36"/>
        <v>1</v>
      </c>
      <c r="T70" s="195" t="str">
        <f t="shared" si="30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-12T09:41:37-0600',mode:absolute,to:'2017-08-12T12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0" s="197" t="str">
        <f>IF(AA70&lt;VLOOKUP(AG70,Variables!$AC$3:$AD$8,2,FALSE),"Y","N")</f>
        <v>N</v>
      </c>
      <c r="X70" s="197">
        <f t="shared" si="31"/>
        <v>1</v>
      </c>
      <c r="Y70" s="197">
        <f t="shared" si="26"/>
        <v>4.6600000000000003E-2</v>
      </c>
      <c r="Z70" s="197">
        <f t="shared" si="27"/>
        <v>23.333600000000001</v>
      </c>
      <c r="AA70" s="197">
        <f t="shared" si="32"/>
        <v>23.286999999999999</v>
      </c>
      <c r="AB70" s="54" t="e">
        <f>VLOOKUP(A70,Enforcements!$C$7:$K$12,8,0)</f>
        <v>#N/A</v>
      </c>
      <c r="AC70" s="51" t="e">
        <f>VLOOKUP(A70,Enforcements!$C$7:$E$12,3,0)</f>
        <v>#N/A</v>
      </c>
      <c r="AD70" s="206">
        <f t="shared" si="33"/>
        <v>157</v>
      </c>
      <c r="AE70" s="77" t="str">
        <f t="shared" si="11"/>
        <v>aws s3 cp s3://rtdc.mdm.uploadarchive.raw/RTDC4032/ "%USERPROFILE%\AppData\Local\Temp\OnboardLogs"\RTDC4032\2017-08-12 --exclude "*" --recursive --include "*20170812*" &amp; "%USERPROFILE%\Documents\GitHub\mrs-test-scripts\Headless Mode &amp; Sideloading\WalkAndUnGZ.bat" "%USERPROFILE%\AppData\Local\Temp\OnboardLogs"\RTDC4032\2017-08-12 &amp; aws s3 cp s3://rtdc.mdm.uploadarchive.raw/RTDC4032/ "%USERPROFILE%\AppData\Local\Temp\OnboardLogs"\RTDC4032\2017-08-13 --exclude "*" --recursive --include "*20170813*" &amp; "%USERPROFILE%\Documents\GitHub\mrs-test-scripts\Headless Mode &amp; Sideloading\WalkAndUnGZ.bat" "%USERPROFILE%\AppData\Local\Temp\OnboardLogs"\RTDC4032\2017-08-13</v>
      </c>
      <c r="AF70" s="74" t="str">
        <f t="shared" si="12"/>
        <v>"C:\Program Files (x86)\AstroGrep\AstroGrep.exe" /e /r /s /spath="%USERPROFILE%\AppData\Local\Temp\OnboardLogs" /stypes="app*4032*20170812*" /stext=" 17:.+((SYSTEM_STATE.+slice.+state.+changed )|(ment ac)|(multiple cpu faults)|(system.+state.+changed )|(\[timeout)|(PRM\|1\|D)|(kpr)|(kdp)|(train st.+moving)|(\|lc)|(penalty))"</v>
      </c>
      <c r="AG70" s="209" t="str">
        <f t="shared" si="34"/>
        <v>EC</v>
      </c>
      <c r="AH70" s="78" t="str">
        <f t="shared" si="18"/>
        <v>"%USERPROFILE%\Documents\GitHub\eaglep3\Utilities\RefineRTDCRunTimes.py" --tripid 157-12 --locoid 4032 --swversion DE.1.0.9.0 --startMP 204:466 --initTime 2017-08-12T10:41:37 --startdatetime 2017-08-12T10:45:45 --delay 1 --endMP 204:233336 --enddatetime 2017-08-12T11:21:20 --enforcementcount 0 &gt;&gt;C:\Users\stu\Documents\GitHub\eaglep3-reporting\EC\2017-08-12-refined-times.txt</v>
      </c>
      <c r="AI70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{"issue":{"subject":"","project_id":79,"tracker_id":40,"status_id":1,"priority_id":2,"assigned_to_id":23,"start_date":"2017-08-12","description":"","custom_fields":[{"id":1,"name":"Subdivision","value":"EC"},{"id":4,"name":"Milepost","value":"23.3336"},{"id":17,"name":"Train ID","value":"157-12"},{"id":16,"name":"Locomotive ID","value":"4032"},{"id":130,"name":"Impact","value":""},{"id":150,"name":"Time of Event (Mountain Time)","value":"11:21:20"},{"id":151,"name":"Denver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4032 --day 2017-08-12</v>
      </c>
      <c r="AN70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17:21:20"},{"id":29,"name":"Sharepoint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760</v>
      </c>
      <c r="B71" s="7">
        <v>4031</v>
      </c>
      <c r="C71" s="21" t="s">
        <v>198</v>
      </c>
      <c r="D71" s="21" t="s">
        <v>617</v>
      </c>
      <c r="E71" s="13">
        <v>42959.481296296297</v>
      </c>
      <c r="F71" s="13">
        <v>42959.487662037034</v>
      </c>
      <c r="G71" s="7">
        <v>1</v>
      </c>
      <c r="H71" s="21" t="s">
        <v>350</v>
      </c>
      <c r="I71" s="13">
        <v>42959.515046296299</v>
      </c>
      <c r="J71" s="7">
        <v>0</v>
      </c>
      <c r="K71" s="89" t="str">
        <f t="shared" si="28"/>
        <v>4031/4032</v>
      </c>
      <c r="L71" s="21" t="str">
        <f>VLOOKUP(A71,'Trips&amp;Operators'!$C$1:$G$99999,5,FALSE)</f>
        <v>LOPES KIMBERLY</v>
      </c>
      <c r="M71" s="6">
        <f t="shared" si="29"/>
        <v>2.7384259265090805E-2</v>
      </c>
      <c r="N71" s="7">
        <f t="shared" si="35"/>
        <v>39.433333341730759</v>
      </c>
      <c r="O71" s="7"/>
      <c r="P71" s="7"/>
      <c r="Q71" s="22"/>
      <c r="R71" s="170"/>
      <c r="S71" s="213">
        <f t="shared" si="36"/>
        <v>1</v>
      </c>
      <c r="T71" s="195" t="str">
        <f t="shared" si="30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-12T10:33:04-0600',mode:absolute,to:'2017-08-12T13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1" s="197" t="str">
        <f>IF(AA71&lt;VLOOKUP(AG71,Variables!$AC$3:$AD$8,2,FALSE),"Y","N")</f>
        <v>N</v>
      </c>
      <c r="X71" s="197">
        <f t="shared" si="31"/>
        <v>1</v>
      </c>
      <c r="Y71" s="197">
        <f t="shared" ref="Y71:Y102" si="37">RIGHT(D71,LEN(D71)-4)/10000</f>
        <v>23.302299999999999</v>
      </c>
      <c r="Z71" s="197">
        <f t="shared" ref="Z71:Z102" si="38">RIGHT(H71,LEN(H71)-4)/10000</f>
        <v>1.41E-2</v>
      </c>
      <c r="AA71" s="197">
        <f t="shared" si="32"/>
        <v>23.2882</v>
      </c>
      <c r="AB71" s="54" t="e">
        <f>VLOOKUP(A71,Enforcements!$C$7:$K$12,8,0)</f>
        <v>#N/A</v>
      </c>
      <c r="AC71" s="51" t="e">
        <f>VLOOKUP(A71,Enforcements!$C$7:$E$12,3,0)</f>
        <v>#N/A</v>
      </c>
      <c r="AD71" s="206">
        <f t="shared" si="33"/>
        <v>158</v>
      </c>
      <c r="AE71" s="77" t="str">
        <f t="shared" si="11"/>
        <v>aws s3 cp s3://rtdc.mdm.uploadarchive.raw/RTDC4031/ "%USERPROFILE%\AppData\Local\Temp\OnboardLogs"\RTDC4031\2017-08-12 --exclude "*" --recursive --include "*20170812*" &amp; "%USERPROFILE%\Documents\GitHub\mrs-test-scripts\Headless Mode &amp; Sideloading\WalkAndUnGZ.bat" "%USERPROFILE%\AppData\Local\Temp\OnboardLogs"\RTDC4031\2017-08-12 &amp; aws s3 cp s3://rtdc.mdm.uploadarchive.raw/RTDC4031/ "%USERPROFILE%\AppData\Local\Temp\OnboardLogs"\RTDC4031\2017-08-13 --exclude "*" --recursive --include "*20170813*" &amp; "%USERPROFILE%\Documents\GitHub\mrs-test-scripts\Headless Mode &amp; Sideloading\WalkAndUnGZ.bat" "%USERPROFILE%\AppData\Local\Temp\OnboardLogs"\RTDC4031\2017-08-13</v>
      </c>
      <c r="AF71" s="74" t="str">
        <f t="shared" si="12"/>
        <v>"C:\Program Files (x86)\AstroGrep\AstroGrep.exe" /e /r /s /spath="%USERPROFILE%\AppData\Local\Temp\OnboardLogs" /stypes="app*4031*20170812*" /stext=" 18:.+((SYSTEM_STATE.+slice.+state.+changed )|(ment ac)|(multiple cpu faults)|(system.+state.+changed )|(\[timeout)|(PRM\|1\|D)|(kpr)|(kdp)|(train st.+moving)|(\|lc)|(penalty))"</v>
      </c>
      <c r="AG71" s="209" t="str">
        <f t="shared" si="34"/>
        <v>EC</v>
      </c>
      <c r="AH71" s="78" t="str">
        <f t="shared" si="18"/>
        <v>"%USERPROFILE%\Documents\GitHub\eaglep3\Utilities\RefineRTDCRunTimes.py" --tripid 158-12 --locoid 4031 --swversion DE.1.0.9.0 --startMP 204:233023 --initTime 2017-08-12T11:33:04 --startdatetime 2017-08-12T11:42:14 --delay 1 --endMP 204:141 --enddatetime 2017-08-12T12:21:40 --enforcementcount 0 &gt;&gt;C:\Users\stu\Documents\GitHub\eaglep3-reporting\EC\2017-08-12-refined-times.txt</v>
      </c>
      <c r="AI71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{"issue":{"subject":"","project_id":79,"tracker_id":40,"status_id":1,"priority_id":2,"assigned_to_id":23,"start_date":"2017-08-12","description":"","custom_fields":[{"id":1,"name":"Subdivision","value":"EC"},{"id":4,"name":"Milepost","value":"0.0141"},{"id":17,"name":"Train ID","value":"158-12"},{"id":16,"name":"Locomotive ID","value":"4031"},{"id":130,"name":"Impact","value":""},{"id":150,"name":"Time of Event (Mountain Time)","value":"12:21:40"},{"id":151,"name":"Denver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4031 --day 2017-08-12</v>
      </c>
      <c r="AN71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18:21:40"},{"id":29,"name":"Sharepoint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753</v>
      </c>
      <c r="B72" s="7">
        <v>4064</v>
      </c>
      <c r="C72" s="21" t="s">
        <v>198</v>
      </c>
      <c r="D72" s="21" t="s">
        <v>556</v>
      </c>
      <c r="E72" s="13">
        <v>42959.45480324074</v>
      </c>
      <c r="F72" s="13">
        <v>42959.458854166667</v>
      </c>
      <c r="G72" s="7">
        <v>1</v>
      </c>
      <c r="H72" s="21" t="s">
        <v>607</v>
      </c>
      <c r="I72" s="13">
        <v>42959.483680555553</v>
      </c>
      <c r="J72" s="7">
        <v>0</v>
      </c>
      <c r="K72" s="89" t="str">
        <f t="shared" si="28"/>
        <v>4063/4064</v>
      </c>
      <c r="L72" s="21" t="str">
        <f>VLOOKUP(A72,'Trips&amp;Operators'!$C$1:$G$99999,5,FALSE)</f>
        <v>GUZMAN DANNY</v>
      </c>
      <c r="M72" s="6">
        <f t="shared" si="29"/>
        <v>2.4826388886140194E-2</v>
      </c>
      <c r="N72" s="7">
        <f t="shared" si="35"/>
        <v>35.749999996041879</v>
      </c>
      <c r="O72" s="7"/>
      <c r="P72" s="7"/>
      <c r="Q72" s="22"/>
      <c r="R72" s="170"/>
      <c r="S72" s="213">
        <f t="shared" si="36"/>
        <v>1</v>
      </c>
      <c r="T72" s="195" t="str">
        <f t="shared" si="30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-12T09:54:55-0600',mode:absolute,to:'2017-08-12T12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2" s="197" t="str">
        <f>IF(AA72&lt;VLOOKUP(AG72,Variables!$AC$3:$AD$8,2,FALSE),"Y","N")</f>
        <v>N</v>
      </c>
      <c r="X72" s="197">
        <f t="shared" si="31"/>
        <v>1</v>
      </c>
      <c r="Y72" s="197">
        <f t="shared" si="37"/>
        <v>4.4400000000000002E-2</v>
      </c>
      <c r="Z72" s="197">
        <f t="shared" si="38"/>
        <v>23.331399999999999</v>
      </c>
      <c r="AA72" s="197">
        <f t="shared" si="32"/>
        <v>23.286999999999999</v>
      </c>
      <c r="AB72" s="54" t="e">
        <f>VLOOKUP(A72,Enforcements!$C$7:$K$12,8,0)</f>
        <v>#N/A</v>
      </c>
      <c r="AC72" s="51" t="e">
        <f>VLOOKUP(A72,Enforcements!$C$7:$E$12,3,0)</f>
        <v>#N/A</v>
      </c>
      <c r="AD72" s="206">
        <f t="shared" si="33"/>
        <v>159</v>
      </c>
      <c r="AE72" s="77" t="str">
        <f t="shared" si="11"/>
        <v>aws s3 cp s3://rtdc.mdm.uploadarchive.raw/RTDC4064/ "%USERPROFILE%\AppData\Local\Temp\OnboardLogs"\RTDC4064\2017-08-12 --exclude "*" --recursive --include "*20170812*" &amp; "%USERPROFILE%\Documents\GitHub\mrs-test-scripts\Headless Mode &amp; Sideloading\WalkAndUnGZ.bat" "%USERPROFILE%\AppData\Local\Temp\OnboardLogs"\RTDC4064\2017-08-12 &amp; aws s3 cp s3://rtdc.mdm.uploadarchive.raw/RTDC4064/ "%USERPROFILE%\AppData\Local\Temp\OnboardLogs"\RTDC4064\2017-08-13 --exclude "*" --recursive --include "*20170813*" &amp; "%USERPROFILE%\Documents\GitHub\mrs-test-scripts\Headless Mode &amp; Sideloading\WalkAndUnGZ.bat" "%USERPROFILE%\AppData\Local\Temp\OnboardLogs"\RTDC4064\2017-08-13</v>
      </c>
      <c r="AF72" s="74" t="str">
        <f t="shared" si="12"/>
        <v>"C:\Program Files (x86)\AstroGrep\AstroGrep.exe" /e /r /s /spath="%USERPROFILE%\AppData\Local\Temp\OnboardLogs" /stypes="app*4064*20170812*" /stext=" 17:.+((SYSTEM_STATE.+slice.+state.+changed )|(ment ac)|(multiple cpu faults)|(system.+state.+changed )|(\[timeout)|(PRM\|1\|D)|(kpr)|(kdp)|(train st.+moving)|(\|lc)|(penalty))"</v>
      </c>
      <c r="AG72" s="209" t="str">
        <f t="shared" si="34"/>
        <v>EC</v>
      </c>
      <c r="AH72" s="78" t="str">
        <f t="shared" si="18"/>
        <v>"%USERPROFILE%\Documents\GitHub\eaglep3\Utilities\RefineRTDCRunTimes.py" --tripid 159-12 --locoid 4064 --swversion DE.1.0.9.0 --startMP 204:444 --initTime 2017-08-12T10:54:55 --startdatetime 2017-08-12T11:00:45 --delay 1 --endMP 204:233314 --enddatetime 2017-08-12T11:36:30 --enforcementcount 0 &gt;&gt;C:\Users\stu\Documents\GitHub\eaglep3-reporting\EC\2017-08-12-refined-times.txt</v>
      </c>
      <c r="AI72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{"issue":{"subject":"","project_id":79,"tracker_id":40,"status_id":1,"priority_id":2,"assigned_to_id":23,"start_date":"2017-08-12","description":"","custom_fields":[{"id":1,"name":"Subdivision","value":"EC"},{"id":4,"name":"Milepost","value":"23.3314"},{"id":17,"name":"Train ID","value":"159-12"},{"id":16,"name":"Locomotive ID","value":"4064"},{"id":130,"name":"Impact","value":""},{"id":150,"name":"Time of Event (Mountain Time)","value":"11:36:30"},{"id":151,"name":"Denver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4064 --day 2017-08-12</v>
      </c>
      <c r="AN72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17:36:30"},{"id":29,"name":"Sharepoint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762</v>
      </c>
      <c r="B73" s="7">
        <v>4063</v>
      </c>
      <c r="C73" s="21" t="s">
        <v>198</v>
      </c>
      <c r="D73" s="21" t="s">
        <v>522</v>
      </c>
      <c r="E73" s="13">
        <v>42959.485625000001</v>
      </c>
      <c r="F73" s="13">
        <v>42959.498090277775</v>
      </c>
      <c r="G73" s="7">
        <v>1</v>
      </c>
      <c r="H73" s="21" t="s">
        <v>611</v>
      </c>
      <c r="I73" s="13">
        <v>42959.526030092595</v>
      </c>
      <c r="J73" s="7">
        <v>0</v>
      </c>
      <c r="K73" s="89" t="str">
        <f t="shared" si="28"/>
        <v>4063/4064</v>
      </c>
      <c r="L73" s="21" t="str">
        <f>VLOOKUP(A73,'Trips&amp;Operators'!$C$1:$G$99999,5,FALSE)</f>
        <v>GUZMAN DANNY</v>
      </c>
      <c r="M73" s="6">
        <f t="shared" si="29"/>
        <v>2.7939814819546882E-2</v>
      </c>
      <c r="N73" s="7">
        <f t="shared" si="35"/>
        <v>40.23333334014751</v>
      </c>
      <c r="O73" s="7"/>
      <c r="P73" s="7"/>
      <c r="Q73" s="22"/>
      <c r="R73" s="170"/>
      <c r="S73" s="213">
        <f t="shared" si="36"/>
        <v>1</v>
      </c>
      <c r="T73" s="195" t="str">
        <f t="shared" si="30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-12T10:39:18-0600',mode:absolute,to:'2017-08-12T13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3" s="197" t="str">
        <f>IF(AA73&lt;VLOOKUP(AG73,Variables!$AC$3:$AD$8,2,FALSE),"Y","N")</f>
        <v>N</v>
      </c>
      <c r="X73" s="197">
        <f t="shared" si="31"/>
        <v>1</v>
      </c>
      <c r="Y73" s="197">
        <f t="shared" si="37"/>
        <v>23.297699999999999</v>
      </c>
      <c r="Z73" s="197">
        <f t="shared" si="38"/>
        <v>1.2699999999999999E-2</v>
      </c>
      <c r="AA73" s="197">
        <f t="shared" si="32"/>
        <v>23.285</v>
      </c>
      <c r="AB73" s="54" t="e">
        <f>VLOOKUP(A73,Enforcements!$C$7:$K$12,8,0)</f>
        <v>#N/A</v>
      </c>
      <c r="AC73" s="51" t="e">
        <f>VLOOKUP(A73,Enforcements!$C$7:$E$12,3,0)</f>
        <v>#N/A</v>
      </c>
      <c r="AD73" s="206">
        <f t="shared" si="33"/>
        <v>160</v>
      </c>
      <c r="AE73" s="77" t="str">
        <f t="shared" si="11"/>
        <v>aws s3 cp s3://rtdc.mdm.uploadarchive.raw/RTDC4063/ "%USERPROFILE%\AppData\Local\Temp\OnboardLogs"\RTDC4063\2017-08-12 --exclude "*" --recursive --include "*20170812*" &amp; "%USERPROFILE%\Documents\GitHub\mrs-test-scripts\Headless Mode &amp; Sideloading\WalkAndUnGZ.bat" "%USERPROFILE%\AppData\Local\Temp\OnboardLogs"\RTDC4063\2017-08-12 &amp; aws s3 cp s3://rtdc.mdm.uploadarchive.raw/RTDC4063/ "%USERPROFILE%\AppData\Local\Temp\OnboardLogs"\RTDC4063\2017-08-13 --exclude "*" --recursive --include "*20170813*" &amp; "%USERPROFILE%\Documents\GitHub\mrs-test-scripts\Headless Mode &amp; Sideloading\WalkAndUnGZ.bat" "%USERPROFILE%\AppData\Local\Temp\OnboardLogs"\RTDC4063\2017-08-13</v>
      </c>
      <c r="AF73" s="74" t="str">
        <f t="shared" si="12"/>
        <v>"C:\Program Files (x86)\AstroGrep\AstroGrep.exe" /e /r /s /spath="%USERPROFILE%\AppData\Local\Temp\OnboardLogs" /stypes="app*4063*20170812*" /stext=" 18:.+((SYSTEM_STATE.+slice.+state.+changed )|(ment ac)|(multiple cpu faults)|(system.+state.+changed )|(\[timeout)|(PRM\|1\|D)|(kpr)|(kdp)|(train st.+moving)|(\|lc)|(penalty))"</v>
      </c>
      <c r="AG73" s="209" t="str">
        <f t="shared" si="34"/>
        <v>EC</v>
      </c>
      <c r="AH73" s="78" t="str">
        <f t="shared" si="18"/>
        <v>"%USERPROFILE%\Documents\GitHub\eaglep3\Utilities\RefineRTDCRunTimes.py" --tripid 160-12 --locoid 4063 --swversion DE.1.0.9.0 --startMP 204:232977 --initTime 2017-08-12T11:39:18 --startdatetime 2017-08-12T11:57:15 --delay 1 --endMP 204:127 --enddatetime 2017-08-12T12:37:29 --enforcementcount 0 &gt;&gt;C:\Users\stu\Documents\GitHub\eaglep3-reporting\EC\2017-08-12-refined-times.txt</v>
      </c>
      <c r="AI73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{"issue":{"subject":"","project_id":79,"tracker_id":40,"status_id":1,"priority_id":2,"assigned_to_id":23,"start_date":"2017-08-12","description":"","custom_fields":[{"id":1,"name":"Subdivision","value":"EC"},{"id":4,"name":"Milepost","value":"0.0127"},{"id":17,"name":"Train ID","value":"160-12"},{"id":16,"name":"Locomotive ID","value":"4063"},{"id":130,"name":"Impact","value":""},{"id":150,"name":"Time of Event (Mountain Time)","value":"12:37:29"},{"id":151,"name":"Denver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4063 --day 2017-08-12</v>
      </c>
      <c r="AN73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18:37:29"},{"id":29,"name":"Sharepoint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757</v>
      </c>
      <c r="B74" s="7">
        <v>4050</v>
      </c>
      <c r="C74" s="21" t="s">
        <v>198</v>
      </c>
      <c r="D74" s="21" t="s">
        <v>503</v>
      </c>
      <c r="E74" s="13">
        <v>42959.469490740739</v>
      </c>
      <c r="F74" s="13">
        <v>42959.472071759257</v>
      </c>
      <c r="G74" s="7">
        <v>2</v>
      </c>
      <c r="H74" s="21" t="s">
        <v>902</v>
      </c>
      <c r="I74" s="13">
        <v>42959.503622685188</v>
      </c>
      <c r="J74" s="7">
        <v>0</v>
      </c>
      <c r="K74" s="89" t="str">
        <f t="shared" si="28"/>
        <v>4049/4050</v>
      </c>
      <c r="L74" s="21" t="str">
        <f>VLOOKUP(A74,'Trips&amp;Operators'!$C$1:$G$99999,5,FALSE)</f>
        <v>DAVIS MICHAEL</v>
      </c>
      <c r="M74" s="6">
        <f t="shared" si="29"/>
        <v>3.1550925930787344E-2</v>
      </c>
      <c r="N74" s="7">
        <f t="shared" si="35"/>
        <v>45.433333340333775</v>
      </c>
      <c r="O74" s="7"/>
      <c r="P74" s="7"/>
      <c r="Q74" s="22"/>
      <c r="R74" s="170"/>
      <c r="S74" s="213">
        <f t="shared" si="36"/>
        <v>1</v>
      </c>
      <c r="T74" s="195" t="str">
        <f t="shared" si="30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-12T10:16:04-0600',mode:absolute,to:'2017-08-12T13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4" s="197" t="str">
        <f>IF(AA74&lt;VLOOKUP(AG74,Variables!$AC$3:$AD$8,2,FALSE),"Y","N")</f>
        <v>N</v>
      </c>
      <c r="X74" s="197">
        <f t="shared" si="31"/>
        <v>1</v>
      </c>
      <c r="Y74" s="197">
        <f t="shared" si="37"/>
        <v>4.3999999999999997E-2</v>
      </c>
      <c r="Z74" s="197">
        <f t="shared" si="38"/>
        <v>23.335899999999999</v>
      </c>
      <c r="AA74" s="197">
        <f t="shared" si="32"/>
        <v>23.291899999999998</v>
      </c>
      <c r="AB74" s="54" t="e">
        <f>VLOOKUP(A74,Enforcements!$C$7:$K$12,8,0)</f>
        <v>#N/A</v>
      </c>
      <c r="AC74" s="51" t="e">
        <f>VLOOKUP(A74,Enforcements!$C$7:$E$12,3,0)</f>
        <v>#N/A</v>
      </c>
      <c r="AD74" s="206">
        <f t="shared" si="33"/>
        <v>161</v>
      </c>
      <c r="AE74" s="77" t="str">
        <f t="shared" si="11"/>
        <v>aws s3 cp s3://rtdc.mdm.uploadarchive.raw/RTDC4050/ "%USERPROFILE%\AppData\Local\Temp\OnboardLogs"\RTDC4050\2017-08-12 --exclude "*" --recursive --include "*20170812*" &amp; "%USERPROFILE%\Documents\GitHub\mrs-test-scripts\Headless Mode &amp; Sideloading\WalkAndUnGZ.bat" "%USERPROFILE%\AppData\Local\Temp\OnboardLogs"\RTDC4050\2017-08-12 &amp; aws s3 cp s3://rtdc.mdm.uploadarchive.raw/RTDC4050/ "%USERPROFILE%\AppData\Local\Temp\OnboardLogs"\RTDC4050\2017-08-13 --exclude "*" --recursive --include "*20170813*" &amp; "%USERPROFILE%\Documents\GitHub\mrs-test-scripts\Headless Mode &amp; Sideloading\WalkAndUnGZ.bat" "%USERPROFILE%\AppData\Local\Temp\OnboardLogs"\RTDC4050\2017-08-13</v>
      </c>
      <c r="AF74" s="74" t="str">
        <f t="shared" si="12"/>
        <v>"C:\Program Files (x86)\AstroGrep\AstroGrep.exe" /e /r /s /spath="%USERPROFILE%\AppData\Local\Temp\OnboardLogs" /stypes="app*4050*20170812*" /stext=" 18:.+((SYSTEM_STATE.+slice.+state.+changed )|(ment ac)|(multiple cpu faults)|(system.+state.+changed )|(\[timeout)|(PRM\|1\|D)|(kpr)|(kdp)|(train st.+moving)|(\|lc)|(penalty))"</v>
      </c>
      <c r="AG74" s="209" t="str">
        <f t="shared" si="34"/>
        <v>EC</v>
      </c>
      <c r="AH74" s="78" t="str">
        <f t="shared" si="18"/>
        <v>"%USERPROFILE%\Documents\GitHub\eaglep3\Utilities\RefineRTDCRunTimes.py" --tripid 161-12 --locoid 4050 --swversion DE.1.0.9.0 --startMP 204:440 --initTime 2017-08-12T11:16:04 --startdatetime 2017-08-12T11:19:47 --delay 2 --endMP 204:233359 --enddatetime 2017-08-12T12:05:13 --enforcementcount 0 &gt;&gt;C:\Users\stu\Documents\GitHub\eaglep3-reporting\EC\2017-08-12-refined-times.txt</v>
      </c>
      <c r="AI74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{"issue":{"subject":"","project_id":79,"tracker_id":40,"status_id":1,"priority_id":2,"assigned_to_id":23,"start_date":"2017-08-12","description":"","custom_fields":[{"id":1,"name":"Subdivision","value":"EC"},{"id":4,"name":"Milepost","value":"23.3359"},{"id":17,"name":"Train ID","value":"161-12"},{"id":16,"name":"Locomotive ID","value":"4050"},{"id":130,"name":"Impact","value":""},{"id":150,"name":"Time of Event (Mountain Time)","value":"12:05:13"},{"id":151,"name":"Denver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4050 --day 2017-08-12</v>
      </c>
      <c r="AN74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18:05:13"},{"id":29,"name":"Sharepoint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769</v>
      </c>
      <c r="B75" s="7">
        <v>4049</v>
      </c>
      <c r="C75" s="21" t="s">
        <v>198</v>
      </c>
      <c r="D75" s="21" t="s">
        <v>903</v>
      </c>
      <c r="E75" s="13">
        <v>42959.506736111114</v>
      </c>
      <c r="F75" s="13">
        <v>42959.509050925924</v>
      </c>
      <c r="G75" s="7">
        <v>2</v>
      </c>
      <c r="H75" s="21" t="s">
        <v>351</v>
      </c>
      <c r="I75" s="13">
        <v>42959.537303240744</v>
      </c>
      <c r="J75" s="7">
        <v>0</v>
      </c>
      <c r="K75" s="89" t="str">
        <f t="shared" si="28"/>
        <v>4049/4050</v>
      </c>
      <c r="L75" s="21" t="str">
        <f>VLOOKUP(A75,'Trips&amp;Operators'!$C$1:$G$99999,5,FALSE)</f>
        <v>DAVIS MICHAEL</v>
      </c>
      <c r="M75" s="6">
        <f t="shared" si="29"/>
        <v>2.825231481983792E-2</v>
      </c>
      <c r="N75" s="7">
        <f t="shared" si="35"/>
        <v>40.683333340566605</v>
      </c>
      <c r="O75" s="7"/>
      <c r="P75" s="7"/>
      <c r="Q75" s="22"/>
      <c r="R75" s="170"/>
      <c r="S75" s="213">
        <f t="shared" si="36"/>
        <v>1</v>
      </c>
      <c r="T75" s="195" t="str">
        <f t="shared" si="30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-12T11:09:42-0600',mode:absolute,to:'2017-08-12T13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5" s="197" t="str">
        <f>IF(AA75&lt;VLOOKUP(AG75,Variables!$AC$3:$AD$8,2,FALSE),"Y","N")</f>
        <v>N</v>
      </c>
      <c r="X75" s="197">
        <f t="shared" si="31"/>
        <v>1</v>
      </c>
      <c r="Y75" s="197">
        <f t="shared" si="37"/>
        <v>23.302499999999998</v>
      </c>
      <c r="Z75" s="197">
        <f t="shared" si="38"/>
        <v>1.47E-2</v>
      </c>
      <c r="AA75" s="197">
        <f t="shared" si="32"/>
        <v>23.287799999999997</v>
      </c>
      <c r="AB75" s="54" t="e">
        <f>VLOOKUP(A75,Enforcements!$C$7:$K$12,8,0)</f>
        <v>#N/A</v>
      </c>
      <c r="AC75" s="51" t="e">
        <f>VLOOKUP(A75,Enforcements!$C$7:$E$12,3,0)</f>
        <v>#N/A</v>
      </c>
      <c r="AD75" s="206">
        <f t="shared" si="33"/>
        <v>162</v>
      </c>
      <c r="AE75" s="77" t="str">
        <f t="shared" si="11"/>
        <v>aws s3 cp s3://rtdc.mdm.uploadarchive.raw/RTDC4049/ "%USERPROFILE%\AppData\Local\Temp\OnboardLogs"\RTDC4049\2017-08-12 --exclude "*" --recursive --include "*20170812*" &amp; "%USERPROFILE%\Documents\GitHub\mrs-test-scripts\Headless Mode &amp; Sideloading\WalkAndUnGZ.bat" "%USERPROFILE%\AppData\Local\Temp\OnboardLogs"\RTDC4049\2017-08-12 &amp; aws s3 cp s3://rtdc.mdm.uploadarchive.raw/RTDC4049/ "%USERPROFILE%\AppData\Local\Temp\OnboardLogs"\RTDC4049\2017-08-13 --exclude "*" --recursive --include "*20170813*" &amp; "%USERPROFILE%\Documents\GitHub\mrs-test-scripts\Headless Mode &amp; Sideloading\WalkAndUnGZ.bat" "%USERPROFILE%\AppData\Local\Temp\OnboardLogs"\RTDC4049\2017-08-13</v>
      </c>
      <c r="AF75" s="74" t="str">
        <f t="shared" si="12"/>
        <v>"C:\Program Files (x86)\AstroGrep\AstroGrep.exe" /e /r /s /spath="%USERPROFILE%\AppData\Local\Temp\OnboardLogs" /stypes="app*4049*20170812*" /stext=" 18:.+((SYSTEM_STATE.+slice.+state.+changed )|(ment ac)|(multiple cpu faults)|(system.+state.+changed )|(\[timeout)|(PRM\|1\|D)|(kpr)|(kdp)|(train st.+moving)|(\|lc)|(penalty))"</v>
      </c>
      <c r="AG75" s="209" t="str">
        <f t="shared" si="34"/>
        <v>EC</v>
      </c>
      <c r="AH75" s="78" t="str">
        <f t="shared" si="18"/>
        <v>"%USERPROFILE%\Documents\GitHub\eaglep3\Utilities\RefineRTDCRunTimes.py" --tripid 162-12 --locoid 4049 --swversion DE.1.0.9.0 --startMP 204:233025 --initTime 2017-08-12T12:09:42 --startdatetime 2017-08-12T12:13:02 --delay 2 --endMP 204:147 --enddatetime 2017-08-12T12:53:43 --enforcementcount 0 &gt;&gt;C:\Users\stu\Documents\GitHub\eaglep3-reporting\EC\2017-08-12-refined-times.txt</v>
      </c>
      <c r="AI75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{"issue":{"subject":"","project_id":79,"tracker_id":40,"status_id":1,"priority_id":2,"assigned_to_id":23,"start_date":"2017-08-12","description":"","custom_fields":[{"id":1,"name":"Subdivision","value":"EC"},{"id":4,"name":"Milepost","value":"0.0147"},{"id":17,"name":"Train ID","value":"162-12"},{"id":16,"name":"Locomotive ID","value":"4049"},{"id":130,"name":"Impact","value":""},{"id":150,"name":"Time of Event (Mountain Time)","value":"12:53:43"},{"id":151,"name":"Denver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4049 --day 2017-08-12</v>
      </c>
      <c r="AN75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18:53:43"},{"id":29,"name":"Sharepoint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641</v>
      </c>
      <c r="B76" s="7">
        <v>4016</v>
      </c>
      <c r="C76" s="21" t="s">
        <v>198</v>
      </c>
      <c r="D76" s="21" t="s">
        <v>404</v>
      </c>
      <c r="E76" s="13">
        <v>42959.475277777776</v>
      </c>
      <c r="F76" s="13">
        <v>42959.480173611111</v>
      </c>
      <c r="G76" s="7">
        <v>2</v>
      </c>
      <c r="H76" s="21" t="s">
        <v>610</v>
      </c>
      <c r="I76" s="13">
        <v>42959.507395833331</v>
      </c>
      <c r="J76" s="7">
        <v>0</v>
      </c>
      <c r="K76" s="89" t="str">
        <f t="shared" si="28"/>
        <v>4015/4016</v>
      </c>
      <c r="L76" s="21" t="str">
        <f>VLOOKUP(A76,'Trips&amp;Operators'!$C$1:$G$99999,5,FALSE)</f>
        <v>THOMPSON LESTER</v>
      </c>
      <c r="M76" s="6">
        <f t="shared" si="29"/>
        <v>2.7222222219279502E-2</v>
      </c>
      <c r="N76" s="7">
        <f t="shared" si="35"/>
        <v>39.199999995762482</v>
      </c>
      <c r="O76" s="7"/>
      <c r="P76" s="7"/>
      <c r="Q76" s="22"/>
      <c r="R76" s="170"/>
      <c r="S76" s="213">
        <f t="shared" si="36"/>
        <v>1</v>
      </c>
      <c r="T76" s="195" t="str">
        <f t="shared" si="30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-12T10:24:24-0600',mode:absolute,to:'2017-08-12T13:10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6" s="197" t="str">
        <f>IF(AA76&lt;VLOOKUP(AG76,Variables!$AC$3:$AD$8,2,FALSE),"Y","N")</f>
        <v>N</v>
      </c>
      <c r="X76" s="197">
        <f t="shared" si="31"/>
        <v>1</v>
      </c>
      <c r="Y76" s="197">
        <f t="shared" si="37"/>
        <v>4.58E-2</v>
      </c>
      <c r="Z76" s="197">
        <f t="shared" si="38"/>
        <v>23.328299999999999</v>
      </c>
      <c r="AA76" s="197">
        <f t="shared" si="32"/>
        <v>23.282499999999999</v>
      </c>
      <c r="AB76" s="54" t="e">
        <f>VLOOKUP(A76,Enforcements!$C$7:$K$12,8,0)</f>
        <v>#N/A</v>
      </c>
      <c r="AC76" s="51" t="e">
        <f>VLOOKUP(A76,Enforcements!$C$7:$E$12,3,0)</f>
        <v>#N/A</v>
      </c>
      <c r="AD76" s="206">
        <f t="shared" si="33"/>
        <v>163</v>
      </c>
      <c r="AE76" s="77" t="str">
        <f t="shared" si="11"/>
        <v>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 &amp; 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</v>
      </c>
      <c r="AF76" s="74" t="str">
        <f t="shared" si="12"/>
        <v>"C:\Program Files (x86)\AstroGrep\AstroGrep.exe" /e /r /s /spath="%USERPROFILE%\AppData\Local\Temp\OnboardLogs" /stypes="app*4016*20170812*" /stext=" 18:.+((SYSTEM_STATE.+slice.+state.+changed )|(ment ac)|(multiple cpu faults)|(system.+state.+changed )|(\[timeout)|(PRM\|1\|D)|(kpr)|(kdp)|(train st.+moving)|(\|lc)|(penalty))"</v>
      </c>
      <c r="AG76" s="209" t="str">
        <f t="shared" si="34"/>
        <v>EC</v>
      </c>
      <c r="AH76" s="78" t="str">
        <f t="shared" si="18"/>
        <v>"%USERPROFILE%\Documents\GitHub\eaglep3\Utilities\RefineRTDCRunTimes.py" --tripid 163-12 --locoid 4016 --swversion DE.1.0.9.0 --startMP 204:458 --initTime 2017-08-12T11:24:24 --startdatetime 2017-08-12T11:31:27 --delay 2 --endMP 204:233283 --enddatetime 2017-08-12T12:10:39 --enforcementcount 0 &gt;&gt;C:\Users\stu\Documents\GitHub\eaglep3-reporting\EC\2017-08-12-refined-times.txt</v>
      </c>
      <c r="AI76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{"issue":{"subject":"","project_id":79,"tracker_id":40,"status_id":1,"priority_id":2,"assigned_to_id":23,"start_date":"2017-08-12","description":"","custom_fields":[{"id":1,"name":"Subdivision","value":"EC"},{"id":4,"name":"Milepost","value":"23.3283"},{"id":17,"name":"Train ID","value":"163-12"},{"id":16,"name":"Locomotive ID","value":"4016"},{"id":130,"name":"Impact","value":""},{"id":150,"name":"Time of Event (Mountain Time)","value":"12:10:39"},{"id":151,"name":"Denver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4016 --day 2017-08-12</v>
      </c>
      <c r="AN76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18:10:39"},{"id":29,"name":"Sharepoint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771</v>
      </c>
      <c r="B77" s="7">
        <v>4015</v>
      </c>
      <c r="C77" s="21" t="s">
        <v>198</v>
      </c>
      <c r="D77" s="21" t="s">
        <v>904</v>
      </c>
      <c r="E77" s="13">
        <v>42959.517187500001</v>
      </c>
      <c r="F77" s="13">
        <v>42959.519652777781</v>
      </c>
      <c r="G77" s="7">
        <v>1</v>
      </c>
      <c r="H77" s="21" t="s">
        <v>341</v>
      </c>
      <c r="I77" s="13">
        <v>42959.547395833331</v>
      </c>
      <c r="J77" s="7">
        <v>0</v>
      </c>
      <c r="K77" s="89" t="str">
        <f t="shared" ref="K77:K108" si="39">IF(ISEVEN(B77),(B77-1)&amp;"/"&amp;B77,B77&amp;"/"&amp;(B77+1))</f>
        <v>4015/4016</v>
      </c>
      <c r="L77" s="21" t="str">
        <f>VLOOKUP(A77,'Trips&amp;Operators'!$C$1:$G$99999,5,FALSE)</f>
        <v>THOMPSON LESTER</v>
      </c>
      <c r="M77" s="6">
        <f t="shared" ref="M77:M108" si="40">I77-F77</f>
        <v>2.774305555067258E-2</v>
      </c>
      <c r="N77" s="7">
        <f t="shared" si="35"/>
        <v>39.949999992968515</v>
      </c>
      <c r="O77" s="7"/>
      <c r="P77" s="7"/>
      <c r="Q77" s="22"/>
      <c r="R77" s="170"/>
      <c r="S77" s="213">
        <f t="shared" si="36"/>
        <v>1</v>
      </c>
      <c r="T77" s="195" t="str">
        <f t="shared" ref="T77:T108" si="41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4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-12T11:24:45-0600',mode:absolute,to:'2017-08-12T14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7" s="197" t="str">
        <f>IF(AA77&lt;VLOOKUP(AG77,Variables!$AC$3:$AD$8,2,FALSE),"Y","N")</f>
        <v>N</v>
      </c>
      <c r="X77" s="197">
        <f t="shared" ref="X77:X84" si="43">VALUE(LEFT(AD77,4))-VALUE(LEFT(AD76,4))</f>
        <v>1</v>
      </c>
      <c r="Y77" s="197">
        <f t="shared" si="37"/>
        <v>23.296399999999998</v>
      </c>
      <c r="Z77" s="197">
        <f t="shared" si="38"/>
        <v>1.4999999999999999E-2</v>
      </c>
      <c r="AA77" s="197">
        <f t="shared" ref="AA77:AA108" si="44">ABS(Z77-Y77)</f>
        <v>23.281399999999998</v>
      </c>
      <c r="AB77" s="54" t="e">
        <f>VLOOKUP(A77,Enforcements!$C$7:$K$12,8,0)</f>
        <v>#N/A</v>
      </c>
      <c r="AC77" s="51" t="e">
        <f>VLOOKUP(A77,Enforcements!$C$7:$E$12,3,0)</f>
        <v>#N/A</v>
      </c>
      <c r="AD77" s="206">
        <f t="shared" ref="AD77:AD108" si="45">VALUE(LEFT(A77,LEN(A77)-3))</f>
        <v>164</v>
      </c>
      <c r="AE77" s="77" t="str">
        <f t="shared" ref="AE77:AE140" si="4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AF77" s="74" t="str">
        <f t="shared" ref="AF77:AF140" si="4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/stypes="app*4015*20170812*" /stext=" 19:.+((SYSTEM_STATE.+slice.+state.+changed )|(ment ac)|(multiple cpu faults)|(system.+state.+changed )|(\[timeout)|(PRM\|1\|D)|(kpr)|(kdp)|(train st.+moving)|(\|lc)|(penalty))"</v>
      </c>
      <c r="AG77" s="209" t="str">
        <f t="shared" ref="AG77:AG108" si="48">DetSubdiv(A77)</f>
        <v>EC</v>
      </c>
      <c r="AH77" s="78" t="str">
        <f t="shared" si="18"/>
        <v>"%USERPROFILE%\Documents\GitHub\eaglep3\Utilities\RefineRTDCRunTimes.py" --tripid 164-12 --locoid 4015 --swversion DE.1.0.9.0 --startMP 204:232964 --initTime 2017-08-12T12:24:45 --startdatetime 2017-08-12T12:28:18 --delay 1 --endMP 204:150 --enddatetime 2017-08-12T13:08:15 --enforcementcount 0 &gt;&gt;C:\Users\stu\Documents\GitHub\eaglep3-reporting\EC\2017-08-12-refined-times.txt</v>
      </c>
      <c r="AI77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{"issue":{"subject":"","project_id":79,"tracker_id":40,"status_id":1,"priority_id":2,"assigned_to_id":23,"start_date":"2017-08-12","description":"","custom_fields":[{"id":1,"name":"Subdivision","value":"EC"},{"id":4,"name":"Milepost","value":"0.015"},{"id":17,"name":"Train ID","value":"164-12"},{"id":16,"name":"Locomotive ID","value":"4015"},{"id":130,"name":"Impact","value":""},{"id":150,"name":"Time of Event (Mountain Time)","value":"13:08:15"},{"id":151,"name":"Denver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4015 --day 2017-08-12</v>
      </c>
      <c r="AN77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19:08:15"},{"id":29,"name":"Sharepoint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763</v>
      </c>
      <c r="B78" s="7">
        <v>4042</v>
      </c>
      <c r="C78" s="21" t="s">
        <v>198</v>
      </c>
      <c r="D78" s="21" t="s">
        <v>447</v>
      </c>
      <c r="E78" s="13">
        <v>42959.486631944441</v>
      </c>
      <c r="F78" s="13">
        <v>42959.490081018521</v>
      </c>
      <c r="G78" s="7">
        <v>1</v>
      </c>
      <c r="H78" s="21" t="s">
        <v>504</v>
      </c>
      <c r="I78" s="13">
        <v>42959.514143518521</v>
      </c>
      <c r="J78" s="7">
        <v>0</v>
      </c>
      <c r="K78" s="89" t="str">
        <f t="shared" si="39"/>
        <v>4041/4042</v>
      </c>
      <c r="L78" s="21" t="str">
        <f>VLOOKUP(A78,'Trips&amp;Operators'!$C$1:$G$99999,5,FALSE)</f>
        <v>BRUDER RICHARD</v>
      </c>
      <c r="M78" s="6">
        <f t="shared" si="40"/>
        <v>2.4062500000582077E-2</v>
      </c>
      <c r="N78" s="7">
        <f t="shared" si="35"/>
        <v>34.65000000083819</v>
      </c>
      <c r="O78" s="7"/>
      <c r="P78" s="7"/>
      <c r="Q78" s="22"/>
      <c r="R78" s="170"/>
      <c r="S78" s="213">
        <f t="shared" si="36"/>
        <v>1</v>
      </c>
      <c r="T78" s="195" t="str">
        <f t="shared" si="41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42"/>
        <v>https://d0f6bd738d7f1b3e5a7ca70fe4ff75f0.us-east-1.aws.found.io/app/kibana#/discover/Steve-Slow-Train-Analysis-(2080s-and-2083s)?_g=(refreshInterval:(display:Off,pause:!f,section:0,value:0),time:(from:'2017-08-12T10:40:45-0600',mode:absolute,to:'2017-08-12T13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8" s="197" t="str">
        <f>IF(AA78&lt;VLOOKUP(AG78,Variables!$AC$3:$AD$8,2,FALSE),"Y","N")</f>
        <v>N</v>
      </c>
      <c r="X78" s="197">
        <f t="shared" si="43"/>
        <v>1</v>
      </c>
      <c r="Y78" s="197">
        <f t="shared" si="37"/>
        <v>4.5699999999999998E-2</v>
      </c>
      <c r="Z78" s="197">
        <f t="shared" si="38"/>
        <v>23.3291</v>
      </c>
      <c r="AA78" s="197">
        <f t="shared" si="44"/>
        <v>23.2834</v>
      </c>
      <c r="AB78" s="54" t="e">
        <f>VLOOKUP(A78,Enforcements!$C$7:$K$12,8,0)</f>
        <v>#N/A</v>
      </c>
      <c r="AC78" s="51" t="e">
        <f>VLOOKUP(A78,Enforcements!$C$7:$E$12,3,0)</f>
        <v>#N/A</v>
      </c>
      <c r="AD78" s="206">
        <f t="shared" si="45"/>
        <v>165</v>
      </c>
      <c r="AE78" s="77" t="str">
        <f t="shared" si="46"/>
        <v>aws s3 cp s3://rtdc.mdm.uploadarchive.raw/RTDC4042/ "%USERPROFILE%\AppData\Local\Temp\OnboardLogs"\RTDC4042\2017-08-12 --exclude "*" --recursive --include "*20170812*" &amp; "%USERPROFILE%\Documents\GitHub\mrs-test-scripts\Headless Mode &amp; Sideloading\WalkAndUnGZ.bat" "%USERPROFILE%\AppData\Local\Temp\OnboardLogs"\RTDC4042\2017-08-12 &amp; 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</v>
      </c>
      <c r="AF78" s="74" t="str">
        <f t="shared" si="47"/>
        <v>"C:\Program Files (x86)\AstroGrep\AstroGrep.exe" /e /r /s /spath="%USERPROFILE%\AppData\Local\Temp\OnboardLogs" /stypes="app*4042*20170812*" /stext=" 18:.+((SYSTEM_STATE.+slice.+state.+changed )|(ment ac)|(multiple cpu faults)|(system.+state.+changed )|(\[timeout)|(PRM\|1\|D)|(kpr)|(kdp)|(train st.+moving)|(\|lc)|(penalty))"</v>
      </c>
      <c r="AG78" s="209" t="str">
        <f t="shared" si="48"/>
        <v>EC</v>
      </c>
      <c r="AH78" s="78" t="str">
        <f t="shared" si="18"/>
        <v>"%USERPROFILE%\Documents\GitHub\eaglep3\Utilities\RefineRTDCRunTimes.py" --tripid 165-12 --locoid 4042 --swversion DE.1.0.9.0 --startMP 204:457 --initTime 2017-08-12T11:40:45 --startdatetime 2017-08-12T11:45:43 --delay 1 --endMP 204:233291 --enddatetime 2017-08-12T12:20:22 --enforcementcount 0 &gt;&gt;C:\Users\stu\Documents\GitHub\eaglep3-reporting\EC\2017-08-12-refined-times.txt</v>
      </c>
      <c r="AI78" s="96" t="str">
        <f t="shared" si="19"/>
        <v>echo {"issue":{"subject":"","project_id":79,"tracker_id":40,"status_id":1,"priority_id":2,"assigned_to_id":23,"start_date":"2017-08-12","description":"","custom_fields":[{"id":1,"name":"Subdivision","value":"EC"},{"id":4,"name":"Milepost","value":"23.3291"},{"id":17,"name":"Train ID","value":"165-12"},{"id":16,"name":"Locomotive ID","value":"4042"},{"id":130,"name":"Impact","value":""},{"id":150,"name":"Time of Event (Mountain Time)","value":"12:20:22"},{"id":151,"name":"Denver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20"/>
        <v>start /low /b %USERPROFILE%\Documents\GitHub\eaglep3\Utilities\DownloadLogsFromS3.py --loco 4042 --day 2017-08-12</v>
      </c>
      <c r="AN78" s="151" t="str">
        <f t="shared" si="2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18:20:22"},{"id":29,"name":"Sharepoint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772</v>
      </c>
      <c r="B79" s="7">
        <v>4041</v>
      </c>
      <c r="C79" s="21" t="s">
        <v>198</v>
      </c>
      <c r="D79" s="21" t="s">
        <v>499</v>
      </c>
      <c r="E79" s="13">
        <v>42959.523379629631</v>
      </c>
      <c r="F79" s="13">
        <v>42959.529386574075</v>
      </c>
      <c r="G79" s="7">
        <v>2</v>
      </c>
      <c r="H79" s="21" t="s">
        <v>905</v>
      </c>
      <c r="I79" s="13">
        <v>42959.555046296293</v>
      </c>
      <c r="J79" s="7">
        <v>0</v>
      </c>
      <c r="K79" s="89" t="str">
        <f t="shared" si="39"/>
        <v>4041/4042</v>
      </c>
      <c r="L79" s="21" t="str">
        <f>VLOOKUP(A79,'Trips&amp;Operators'!$C$1:$G$99999,5,FALSE)</f>
        <v>BRUDER RICHARD</v>
      </c>
      <c r="M79" s="6">
        <f t="shared" si="40"/>
        <v>2.565972221782431E-2</v>
      </c>
      <c r="N79" s="7">
        <f t="shared" si="35"/>
        <v>36.949999993667006</v>
      </c>
      <c r="O79" s="7"/>
      <c r="P79" s="7"/>
      <c r="Q79" s="22"/>
      <c r="R79" s="170"/>
      <c r="S79" s="213">
        <f t="shared" si="36"/>
        <v>1</v>
      </c>
      <c r="T79" s="195" t="str">
        <f t="shared" si="41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42"/>
        <v>https://d0f6bd738d7f1b3e5a7ca70fe4ff75f0.us-east-1.aws.found.io/app/kibana#/discover/Steve-Slow-Train-Analysis-(2080s-and-2083s)?_g=(refreshInterval:(display:Off,pause:!f,section:0,value:0),time:(from:'2017-08-12T11:33:40-0600',mode:absolute,to:'2017-08-12T14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9" s="197" t="str">
        <f>IF(AA79&lt;VLOOKUP(AG79,Variables!$AC$3:$AD$8,2,FALSE),"Y","N")</f>
        <v>N</v>
      </c>
      <c r="X79" s="197">
        <f t="shared" si="43"/>
        <v>1</v>
      </c>
      <c r="Y79" s="197">
        <f t="shared" si="37"/>
        <v>23.297799999999999</v>
      </c>
      <c r="Z79" s="197">
        <f t="shared" si="38"/>
        <v>1.6500000000000001E-2</v>
      </c>
      <c r="AA79" s="197">
        <f t="shared" si="44"/>
        <v>23.281299999999998</v>
      </c>
      <c r="AB79" s="54" t="e">
        <f>VLOOKUP(A79,Enforcements!$C$7:$K$12,8,0)</f>
        <v>#N/A</v>
      </c>
      <c r="AC79" s="51" t="e">
        <f>VLOOKUP(A79,Enforcements!$C$7:$E$12,3,0)</f>
        <v>#N/A</v>
      </c>
      <c r="AD79" s="206">
        <f t="shared" si="45"/>
        <v>166</v>
      </c>
      <c r="AE79" s="77" t="str">
        <f t="shared" si="46"/>
        <v>aws s3 cp s3://rtdc.mdm.uploadarchive.raw/RTDC4041/ "%USERPROFILE%\AppData\Local\Temp\OnboardLogs"\RTDC4041\2017-08-12 --exclude "*" --recursive --include "*20170812*" &amp; "%USERPROFILE%\Documents\GitHub\mrs-test-scripts\Headless Mode &amp; Sideloading\WalkAndUnGZ.bat" "%USERPROFILE%\AppData\Local\Temp\OnboardLogs"\RTDC4041\2017-08-12 &amp; 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</v>
      </c>
      <c r="AF79" s="74" t="str">
        <f t="shared" si="47"/>
        <v>"C:\Program Files (x86)\AstroGrep\AstroGrep.exe" /e /r /s /spath="%USERPROFILE%\AppData\Local\Temp\OnboardLogs" /stypes="app*4041*20170812*" /stext=" 19:.+((SYSTEM_STATE.+slice.+state.+changed )|(ment ac)|(multiple cpu faults)|(system.+state.+changed )|(\[timeout)|(PRM\|1\|D)|(kpr)|(kdp)|(train st.+moving)|(\|lc)|(penalty))"</v>
      </c>
      <c r="AG79" s="209" t="str">
        <f t="shared" si="48"/>
        <v>EC</v>
      </c>
      <c r="AH79" s="78" t="str">
        <f t="shared" ref="AH79:AH143" si="49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166-12 --locoid 4041 --swversion DE.1.0.9.0 --startMP 204:232978 --initTime 2017-08-12T12:33:40 --startdatetime 2017-08-12T12:42:19 --delay 2 --endMP 204:165 --enddatetime 2017-08-12T13:19:16 --enforcementcount 0 &gt;&gt;C:\Users\stu\Documents\GitHub\eaglep3-reporting\EC\2017-08-12-refined-times.txt</v>
      </c>
      <c r="AI79" s="96" t="str">
        <f t="shared" ref="AI79:AI143" si="50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{"issue":{"subject":"","project_id":79,"tracker_id":40,"status_id":1,"priority_id":2,"assigned_to_id":23,"start_date":"2017-08-12","description":"","custom_fields":[{"id":1,"name":"Subdivision","value":"EC"},{"id":4,"name":"Milepost","value":"0.0165"},{"id":17,"name":"Train ID","value":"166-12"},{"id":16,"name":"Locomotive ID","value":"4041"},{"id":130,"name":"Impact","value":""},{"id":150,"name":"Time of Event (Mountain Time)","value":"13:19:16"},{"id":151,"name":"Denver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:AM143" si="51">"start /low /b "&amp;dls3logs&amp;" --loco "&amp;B79&amp;" --day "&amp;TEXT(F79,"YYYY-MM-DD")</f>
        <v>start /low /b %USERPROFILE%\Documents\GitHub\eaglep3\Utilities\DownloadLogsFromS3.py --loco 4041 --day 2017-08-12</v>
      </c>
      <c r="AN79" s="151" t="str">
        <f t="shared" ref="AN79:AN143" si="52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19:19:16"},{"id":29,"name":"Sharepoint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766</v>
      </c>
      <c r="B80" s="7">
        <v>4002</v>
      </c>
      <c r="C80" s="21" t="s">
        <v>198</v>
      </c>
      <c r="D80" s="21" t="s">
        <v>442</v>
      </c>
      <c r="E80" s="13">
        <v>42959.49496527778</v>
      </c>
      <c r="F80" s="13">
        <v>42959.500543981485</v>
      </c>
      <c r="G80" s="7">
        <v>1</v>
      </c>
      <c r="H80" s="21" t="s">
        <v>906</v>
      </c>
      <c r="I80" s="13">
        <v>42959.52579861111</v>
      </c>
      <c r="J80" s="7">
        <v>0</v>
      </c>
      <c r="K80" s="89" t="str">
        <f t="shared" si="39"/>
        <v>4001/4002</v>
      </c>
      <c r="L80" s="21" t="str">
        <f>VLOOKUP(A80,'Trips&amp;Operators'!$C$1:$G$99999,5,FALSE)</f>
        <v>SULLIVAN BRANDON</v>
      </c>
      <c r="M80" s="6">
        <f t="shared" si="40"/>
        <v>2.5254629625123926E-2</v>
      </c>
      <c r="N80" s="7">
        <f t="shared" si="35"/>
        <v>36.366666660178453</v>
      </c>
      <c r="O80" s="7"/>
      <c r="P80" s="7"/>
      <c r="Q80" s="22"/>
      <c r="R80" s="170"/>
      <c r="S80" s="213">
        <f t="shared" si="36"/>
        <v>1</v>
      </c>
      <c r="T80" s="195" t="str">
        <f t="shared" si="41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42"/>
        <v>https://d0f6bd738d7f1b3e5a7ca70fe4ff75f0.us-east-1.aws.found.io/app/kibana#/discover/Steve-Slow-Train-Analysis-(2080s-and-2083s)?_g=(refreshInterval:(display:Off,pause:!f,section:0,value:0),time:(from:'2017-08-12T10:52:45-0600',mode:absolute,to:'2017-08-12T13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0" s="197" t="str">
        <f>IF(AA80&lt;VLOOKUP(AG80,Variables!$AC$3:$AD$8,2,FALSE),"Y","N")</f>
        <v>N</v>
      </c>
      <c r="X80" s="197">
        <f t="shared" si="43"/>
        <v>1</v>
      </c>
      <c r="Y80" s="197">
        <f t="shared" si="37"/>
        <v>4.5999999999999999E-2</v>
      </c>
      <c r="Z80" s="197">
        <f t="shared" si="38"/>
        <v>23.331499999999998</v>
      </c>
      <c r="AA80" s="197">
        <f t="shared" si="44"/>
        <v>23.285499999999999</v>
      </c>
      <c r="AB80" s="54" t="e">
        <f>VLOOKUP(A80,Enforcements!$C$7:$K$12,8,0)</f>
        <v>#N/A</v>
      </c>
      <c r="AC80" s="51" t="e">
        <f>VLOOKUP(A80,Enforcements!$C$7:$E$12,3,0)</f>
        <v>#N/A</v>
      </c>
      <c r="AD80" s="206">
        <f t="shared" si="45"/>
        <v>167</v>
      </c>
      <c r="AE80" s="77" t="str">
        <f t="shared" si="46"/>
        <v>aws s3 cp s3://rtdc.mdm.uploadarchive.raw/RTDC4002/ "%USERPROFILE%\AppData\Local\Temp\OnboardLogs"\RTDC4002\2017-08-12 --exclude "*" --recursive --include "*20170812*" &amp; "%USERPROFILE%\Documents\GitHub\mrs-test-scripts\Headless Mode &amp; Sideloading\WalkAndUnGZ.bat" "%USERPROFILE%\AppData\Local\Temp\OnboardLogs"\RTDC4002\2017-08-12 &amp; aws s3 cp s3://rtdc.mdm.uploadarchive.raw/RTDC4002/ "%USERPROFILE%\AppData\Local\Temp\OnboardLogs"\RTDC4002\2017-08-13 --exclude "*" --recursive --include "*20170813*" &amp; "%USERPROFILE%\Documents\GitHub\mrs-test-scripts\Headless Mode &amp; Sideloading\WalkAndUnGZ.bat" "%USERPROFILE%\AppData\Local\Temp\OnboardLogs"\RTDC4002\2017-08-13</v>
      </c>
      <c r="AF80" s="74" t="str">
        <f t="shared" si="47"/>
        <v>"C:\Program Files (x86)\AstroGrep\AstroGrep.exe" /e /r /s /spath="%USERPROFILE%\AppData\Local\Temp\OnboardLogs" /stypes="app*4002*20170812*" /stext=" 18:.+((SYSTEM_STATE.+slice.+state.+changed )|(ment ac)|(multiple cpu faults)|(system.+state.+changed )|(\[timeout)|(PRM\|1\|D)|(kpr)|(kdp)|(train st.+moving)|(\|lc)|(penalty))"</v>
      </c>
      <c r="AG80" s="209" t="str">
        <f t="shared" si="48"/>
        <v>EC</v>
      </c>
      <c r="AH80" s="78" t="str">
        <f t="shared" si="49"/>
        <v>"%USERPROFILE%\Documents\GitHub\eaglep3\Utilities\RefineRTDCRunTimes.py" --tripid 167-12 --locoid 4002 --swversion DE.1.0.9.0 --startMP 204:460 --initTime 2017-08-12T11:52:45 --startdatetime 2017-08-12T12:00:47 --delay 1 --endMP 204:233315 --enddatetime 2017-08-12T12:37:09 --enforcementcount 0 &gt;&gt;C:\Users\stu\Documents\GitHub\eaglep3-reporting\EC\2017-08-12-refined-times.txt</v>
      </c>
      <c r="AI80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{"issue":{"subject":"","project_id":79,"tracker_id":40,"status_id":1,"priority_id":2,"assigned_to_id":23,"start_date":"2017-08-12","description":"","custom_fields":[{"id":1,"name":"Subdivision","value":"EC"},{"id":4,"name":"Milepost","value":"23.3315"},{"id":17,"name":"Train ID","value":"167-12"},{"id":16,"name":"Locomotive ID","value":"4002"},{"id":130,"name":"Impact","value":""},{"id":150,"name":"Time of Event (Mountain Time)","value":"12:37:09"},{"id":151,"name":"Denver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51"/>
        <v>start /low /b %USERPROFILE%\Documents\GitHub\eaglep3\Utilities\DownloadLogsFromS3.py --loco 4002 --day 2017-08-12</v>
      </c>
      <c r="AN80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18:37:09"},{"id":29,"name":"Sharepoint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774</v>
      </c>
      <c r="B81" s="7">
        <v>4001</v>
      </c>
      <c r="C81" s="21" t="s">
        <v>198</v>
      </c>
      <c r="D81" s="21" t="s">
        <v>512</v>
      </c>
      <c r="E81" s="13">
        <v>42959.535138888888</v>
      </c>
      <c r="F81" s="13">
        <v>42959.539780092593</v>
      </c>
      <c r="G81" s="7">
        <v>1</v>
      </c>
      <c r="H81" s="21" t="s">
        <v>348</v>
      </c>
      <c r="I81" s="13">
        <v>42959.566122685188</v>
      </c>
      <c r="J81" s="7">
        <v>0</v>
      </c>
      <c r="K81" s="89" t="str">
        <f t="shared" si="39"/>
        <v>4001/4002</v>
      </c>
      <c r="L81" s="21" t="str">
        <f>VLOOKUP(A81,'Trips&amp;Operators'!$C$1:$G$99999,5,FALSE)</f>
        <v>SULLIVAN BRANDON</v>
      </c>
      <c r="M81" s="6">
        <f t="shared" si="40"/>
        <v>2.6342592595028691E-2</v>
      </c>
      <c r="N81" s="7">
        <f t="shared" si="35"/>
        <v>37.933333336841315</v>
      </c>
      <c r="O81" s="7"/>
      <c r="P81" s="7"/>
      <c r="Q81" s="22"/>
      <c r="R81" s="170"/>
      <c r="S81" s="213">
        <f t="shared" si="36"/>
        <v>1</v>
      </c>
      <c r="T81" s="195" t="str">
        <f t="shared" si="41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42"/>
        <v>https://d0f6bd738d7f1b3e5a7ca70fe4ff75f0.us-east-1.aws.found.io/app/kibana#/discover/Steve-Slow-Train-Analysis-(2080s-and-2083s)?_g=(refreshInterval:(display:Off,pause:!f,section:0,value:0),time:(from:'2017-08-12T11:50:36-0600',mode:absolute,to:'2017-08-12T14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1" s="197" t="str">
        <f>IF(AA81&lt;VLOOKUP(AG81,Variables!$AC$3:$AD$8,2,FALSE),"Y","N")</f>
        <v>N</v>
      </c>
      <c r="X81" s="197">
        <f t="shared" si="43"/>
        <v>1</v>
      </c>
      <c r="Y81" s="197">
        <f t="shared" si="37"/>
        <v>23.303599999999999</v>
      </c>
      <c r="Z81" s="197">
        <f t="shared" si="38"/>
        <v>1.3899999999999999E-2</v>
      </c>
      <c r="AA81" s="197">
        <f t="shared" si="44"/>
        <v>23.2897</v>
      </c>
      <c r="AB81" s="54" t="e">
        <f>VLOOKUP(A81,Enforcements!$C$7:$K$12,8,0)</f>
        <v>#N/A</v>
      </c>
      <c r="AC81" s="51" t="e">
        <f>VLOOKUP(A81,Enforcements!$C$7:$E$12,3,0)</f>
        <v>#N/A</v>
      </c>
      <c r="AD81" s="206">
        <f t="shared" si="45"/>
        <v>168</v>
      </c>
      <c r="AE81" s="77" t="str">
        <f t="shared" si="46"/>
        <v>aws s3 cp s3://rtdc.mdm.uploadarchive.raw/RTDC4001/ "%USERPROFILE%\AppData\Local\Temp\OnboardLogs"\RTDC4001\2017-08-12 --exclude "*" --recursive --include "*20170812*" &amp; "%USERPROFILE%\Documents\GitHub\mrs-test-scripts\Headless Mode &amp; Sideloading\WalkAndUnGZ.bat" "%USERPROFILE%\AppData\Local\Temp\OnboardLogs"\RTDC4001\2017-08-12 &amp; aws s3 cp s3://rtdc.mdm.uploadarchive.raw/RTDC4001/ "%USERPROFILE%\AppData\Local\Temp\OnboardLogs"\RTDC4001\2017-08-13 --exclude "*" --recursive --include "*20170813*" &amp; "%USERPROFILE%\Documents\GitHub\mrs-test-scripts\Headless Mode &amp; Sideloading\WalkAndUnGZ.bat" "%USERPROFILE%\AppData\Local\Temp\OnboardLogs"\RTDC4001\2017-08-13</v>
      </c>
      <c r="AF81" s="74" t="str">
        <f t="shared" si="47"/>
        <v>"C:\Program Files (x86)\AstroGrep\AstroGrep.exe" /e /r /s /spath="%USERPROFILE%\AppData\Local\Temp\OnboardLogs" /stypes="app*4001*20170812*" /stext=" 19:.+((SYSTEM_STATE.+slice.+state.+changed )|(ment ac)|(multiple cpu faults)|(system.+state.+changed )|(\[timeout)|(PRM\|1\|D)|(kpr)|(kdp)|(train st.+moving)|(\|lc)|(penalty))"</v>
      </c>
      <c r="AG81" s="209" t="str">
        <f t="shared" si="48"/>
        <v>EC</v>
      </c>
      <c r="AH81" s="78" t="str">
        <f t="shared" si="49"/>
        <v>"%USERPROFILE%\Documents\GitHub\eaglep3\Utilities\RefineRTDCRunTimes.py" --tripid 168-12 --locoid 4001 --swversion DE.1.0.9.0 --startMP 204:233036 --initTime 2017-08-12T12:50:36 --startdatetime 2017-08-12T12:57:17 --delay 1 --endMP 204:139 --enddatetime 2017-08-12T13:35:13 --enforcementcount 0 &gt;&gt;C:\Users\stu\Documents\GitHub\eaglep3-reporting\EC\2017-08-12-refined-times.txt</v>
      </c>
      <c r="AI81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{"issue":{"subject":"","project_id":79,"tracker_id":40,"status_id":1,"priority_id":2,"assigned_to_id":23,"start_date":"2017-08-12","description":"","custom_fields":[{"id":1,"name":"Subdivision","value":"EC"},{"id":4,"name":"Milepost","value":"0.0139"},{"id":17,"name":"Train ID","value":"168-12"},{"id":16,"name":"Locomotive ID","value":"4001"},{"id":130,"name":"Impact","value":""},{"id":150,"name":"Time of Event (Mountain Time)","value":"13:35:13"},{"id":151,"name":"Denver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51"/>
        <v>start /low /b %USERPROFILE%\Documents\GitHub\eaglep3\Utilities\DownloadLogsFromS3.py --loco 4001 --day 2017-08-12</v>
      </c>
      <c r="AN81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19:35:13"},{"id":29,"name":"Sharepoint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768</v>
      </c>
      <c r="B82" s="7">
        <v>4014</v>
      </c>
      <c r="C82" s="21" t="s">
        <v>198</v>
      </c>
      <c r="D82" s="21" t="s">
        <v>450</v>
      </c>
      <c r="E82" s="13">
        <v>42959.506168981483</v>
      </c>
      <c r="F82" s="13">
        <v>42959.510925925926</v>
      </c>
      <c r="G82" s="7">
        <v>1</v>
      </c>
      <c r="H82" s="21" t="s">
        <v>907</v>
      </c>
      <c r="I82" s="13">
        <v>42959.535011574073</v>
      </c>
      <c r="J82" s="7">
        <v>0</v>
      </c>
      <c r="K82" s="89" t="str">
        <f t="shared" si="39"/>
        <v>4013/4014</v>
      </c>
      <c r="L82" s="21" t="str">
        <f>VLOOKUP(A82,'Trips&amp;Operators'!$C$1:$G$99999,5,FALSE)</f>
        <v>DELGADO DIANAH</v>
      </c>
      <c r="M82" s="6">
        <f t="shared" si="40"/>
        <v>2.4085648146865424E-2</v>
      </c>
      <c r="N82" s="7">
        <f t="shared" si="35"/>
        <v>34.68333333148621</v>
      </c>
      <c r="O82" s="7"/>
      <c r="P82" s="7"/>
      <c r="Q82" s="22"/>
      <c r="R82" s="170"/>
      <c r="S82" s="213">
        <f t="shared" si="36"/>
        <v>1</v>
      </c>
      <c r="T82" s="195" t="str">
        <f t="shared" si="41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42"/>
        <v>https://d0f6bd738d7f1b3e5a7ca70fe4ff75f0.us-east-1.aws.found.io/app/kibana#/discover/Steve-Slow-Train-Analysis-(2080s-and-2083s)?_g=(refreshInterval:(display:Off,pause:!f,section:0,value:0),time:(from:'2017-08-12T11:08:53-0600',mode:absolute,to:'2017-08-12T13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2" s="197" t="str">
        <f>IF(AA82&lt;VLOOKUP(AG82,Variables!$AC$3:$AD$8,2,FALSE),"Y","N")</f>
        <v>N</v>
      </c>
      <c r="X82" s="197">
        <f t="shared" si="43"/>
        <v>1</v>
      </c>
      <c r="Y82" s="197">
        <f t="shared" si="37"/>
        <v>4.6699999999999998E-2</v>
      </c>
      <c r="Z82" s="197">
        <f t="shared" si="38"/>
        <v>23.336400000000001</v>
      </c>
      <c r="AA82" s="197">
        <f t="shared" si="44"/>
        <v>23.2897</v>
      </c>
      <c r="AB82" s="54" t="e">
        <f>VLOOKUP(A82,Enforcements!$C$7:$K$12,8,0)</f>
        <v>#N/A</v>
      </c>
      <c r="AC82" s="51" t="e">
        <f>VLOOKUP(A82,Enforcements!$C$7:$E$12,3,0)</f>
        <v>#N/A</v>
      </c>
      <c r="AD82" s="206">
        <f t="shared" si="45"/>
        <v>169</v>
      </c>
      <c r="AE82" s="77" t="str">
        <f t="shared" si="46"/>
        <v>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 &amp; aws s3 cp s3://rtdc.mdm.uploadarchive.raw/RTDC4014/ "%USERPROFILE%\AppData\Local\Temp\OnboardLogs"\RTDC4014\2017-08-13 --exclude "*" --recursive --include "*20170813*" &amp; "%USERPROFILE%\Documents\GitHub\mrs-test-scripts\Headless Mode &amp; Sideloading\WalkAndUnGZ.bat" "%USERPROFILE%\AppData\Local\Temp\OnboardLogs"\RTDC4014\2017-08-13</v>
      </c>
      <c r="AF82" s="74" t="str">
        <f t="shared" si="47"/>
        <v>"C:\Program Files (x86)\AstroGrep\AstroGrep.exe" /e /r /s /spath="%USERPROFILE%\AppData\Local\Temp\OnboardLogs" /stypes="app*4014*20170812*" /stext=" 18:.+((SYSTEM_STATE.+slice.+state.+changed )|(ment ac)|(multiple cpu faults)|(system.+state.+changed )|(\[timeout)|(PRM\|1\|D)|(kpr)|(kdp)|(train st.+moving)|(\|lc)|(penalty))"</v>
      </c>
      <c r="AG82" s="209" t="str">
        <f t="shared" si="48"/>
        <v>EC</v>
      </c>
      <c r="AH82" s="78" t="str">
        <f t="shared" si="49"/>
        <v>"%USERPROFILE%\Documents\GitHub\eaglep3\Utilities\RefineRTDCRunTimes.py" --tripid 169-12 --locoid 4014 --swversion DE.1.0.9.0 --startMP 204:467 --initTime 2017-08-12T12:08:53 --startdatetime 2017-08-12T12:15:44 --delay 1 --endMP 204:233364 --enddatetime 2017-08-12T12:50:25 --enforcementcount 0 &gt;&gt;C:\Users\stu\Documents\GitHub\eaglep3-reporting\EC\2017-08-12-refined-times.txt</v>
      </c>
      <c r="AI82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{"issue":{"subject":"","project_id":79,"tracker_id":40,"status_id":1,"priority_id":2,"assigned_to_id":23,"start_date":"2017-08-12","description":"","custom_fields":[{"id":1,"name":"Subdivision","value":"EC"},{"id":4,"name":"Milepost","value":"23.3364"},{"id":17,"name":"Train ID","value":"169-12"},{"id":16,"name":"Locomotive ID","value":"4014"},{"id":130,"name":"Impact","value":""},{"id":150,"name":"Time of Event (Mountain Time)","value":"12:50:25"},{"id":151,"name":"Denver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51"/>
        <v>start /low /b %USERPROFILE%\Documents\GitHub\eaglep3\Utilities\DownloadLogsFromS3.py --loco 4014 --day 2017-08-12</v>
      </c>
      <c r="AN82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18:50:25"},{"id":29,"name":"Sharepoint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777</v>
      </c>
      <c r="B83" s="7">
        <v>4013</v>
      </c>
      <c r="C83" s="21" t="s">
        <v>198</v>
      </c>
      <c r="D83" s="21" t="s">
        <v>612</v>
      </c>
      <c r="E83" s="13">
        <v>42959.546273148146</v>
      </c>
      <c r="F83" s="13">
        <v>42959.550185185188</v>
      </c>
      <c r="G83" s="7">
        <v>1</v>
      </c>
      <c r="H83" s="21" t="s">
        <v>908</v>
      </c>
      <c r="I83" s="13">
        <v>42959.575694444444</v>
      </c>
      <c r="J83" s="7">
        <v>0</v>
      </c>
      <c r="K83" s="89" t="str">
        <f t="shared" si="39"/>
        <v>4013/4014</v>
      </c>
      <c r="L83" s="21" t="str">
        <f>VLOOKUP(A83,'Trips&amp;Operators'!$C$1:$G$99999,5,FALSE)</f>
        <v>DELGADO DIANAH</v>
      </c>
      <c r="M83" s="6">
        <f t="shared" si="40"/>
        <v>2.5509259256068617E-2</v>
      </c>
      <c r="N83" s="7">
        <f t="shared" si="35"/>
        <v>36.733333328738809</v>
      </c>
      <c r="O83" s="7"/>
      <c r="P83" s="7"/>
      <c r="Q83" s="22"/>
      <c r="R83" s="170"/>
      <c r="S83" s="213">
        <f t="shared" si="36"/>
        <v>1</v>
      </c>
      <c r="T83" s="195" t="str">
        <f t="shared" si="41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42"/>
        <v>https://d0f6bd738d7f1b3e5a7ca70fe4ff75f0.us-east-1.aws.found.io/app/kibana#/discover/Steve-Slow-Train-Analysis-(2080s-and-2083s)?_g=(refreshInterval:(display:Off,pause:!f,section:0,value:0),time:(from:'2017-08-12T12:06:38-0600',mode:absolute,to:'2017-08-12T14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3" s="197" t="str">
        <f>IF(AA83&lt;VLOOKUP(AG83,Variables!$AC$3:$AD$8,2,FALSE),"Y","N")</f>
        <v>N</v>
      </c>
      <c r="X83" s="197">
        <f t="shared" si="43"/>
        <v>1</v>
      </c>
      <c r="Y83" s="197">
        <f t="shared" si="37"/>
        <v>23.303000000000001</v>
      </c>
      <c r="Z83" s="197">
        <f t="shared" si="38"/>
        <v>1.2500000000000001E-2</v>
      </c>
      <c r="AA83" s="197">
        <f t="shared" si="44"/>
        <v>23.290500000000002</v>
      </c>
      <c r="AB83" s="54" t="e">
        <f>VLOOKUP(A83,Enforcements!$C$7:$K$12,8,0)</f>
        <v>#N/A</v>
      </c>
      <c r="AC83" s="51" t="e">
        <f>VLOOKUP(A83,Enforcements!$C$7:$E$12,3,0)</f>
        <v>#N/A</v>
      </c>
      <c r="AD83" s="206">
        <f t="shared" si="45"/>
        <v>170</v>
      </c>
      <c r="AE83" s="77" t="str">
        <f t="shared" si="46"/>
        <v>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 &amp; aws s3 cp s3://rtdc.mdm.uploadarchive.raw/RTDC4013/ "%USERPROFILE%\AppData\Local\Temp\OnboardLogs"\RTDC4013\2017-08-13 --exclude "*" --recursive --include "*20170813*" &amp; "%USERPROFILE%\Documents\GitHub\mrs-test-scripts\Headless Mode &amp; Sideloading\WalkAndUnGZ.bat" "%USERPROFILE%\AppData\Local\Temp\OnboardLogs"\RTDC4013\2017-08-13</v>
      </c>
      <c r="AF83" s="74" t="str">
        <f t="shared" si="47"/>
        <v>"C:\Program Files (x86)\AstroGrep\AstroGrep.exe" /e /r /s /spath="%USERPROFILE%\AppData\Local\Temp\OnboardLogs" /stypes="app*4013*20170812*" /stext=" 19:.+((SYSTEM_STATE.+slice.+state.+changed )|(ment ac)|(multiple cpu faults)|(system.+state.+changed )|(\[timeout)|(PRM\|1\|D)|(kpr)|(kdp)|(train st.+moving)|(\|lc)|(penalty))"</v>
      </c>
      <c r="AG83" s="209" t="str">
        <f t="shared" si="48"/>
        <v>EC</v>
      </c>
      <c r="AH83" s="78" t="str">
        <f t="shared" si="49"/>
        <v>"%USERPROFILE%\Documents\GitHub\eaglep3\Utilities\RefineRTDCRunTimes.py" --tripid 170-12 --locoid 4013 --swversion DE.1.0.9.0 --startMP 204:233030 --initTime 2017-08-12T13:06:38 --startdatetime 2017-08-12T13:12:16 --delay 1 --endMP 204:125 --enddatetime 2017-08-12T13:49:00 --enforcementcount 0 &gt;&gt;C:\Users\stu\Documents\GitHub\eaglep3-reporting\EC\2017-08-12-refined-times.txt</v>
      </c>
      <c r="AI83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{"issue":{"subject":"","project_id":79,"tracker_id":40,"status_id":1,"priority_id":2,"assigned_to_id":23,"start_date":"2017-08-12","description":"","custom_fields":[{"id":1,"name":"Subdivision","value":"EC"},{"id":4,"name":"Milepost","value":"0.0125"},{"id":17,"name":"Train ID","value":"170-12"},{"id":16,"name":"Locomotive ID","value":"4013"},{"id":130,"name":"Impact","value":""},{"id":150,"name":"Time of Event (Mountain Time)","value":"13:49:00"},{"id":151,"name":"Denver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51"/>
        <v>start /low /b %USERPROFILE%\Documents\GitHub\eaglep3\Utilities\DownloadLogsFromS3.py --loco 4013 --day 2017-08-12</v>
      </c>
      <c r="AN83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19:49:00"},{"id":29,"name":"Sharepoint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770</v>
      </c>
      <c r="B84" s="7">
        <v>4032</v>
      </c>
      <c r="C84" s="21" t="s">
        <v>198</v>
      </c>
      <c r="D84" s="21" t="s">
        <v>558</v>
      </c>
      <c r="E84" s="13">
        <v>42959.51767361111</v>
      </c>
      <c r="F84" s="13">
        <v>42959.521481481483</v>
      </c>
      <c r="G84" s="7">
        <v>1</v>
      </c>
      <c r="H84" s="21" t="s">
        <v>568</v>
      </c>
      <c r="I84" s="13">
        <v>42959.545902777776</v>
      </c>
      <c r="J84" s="7">
        <v>0</v>
      </c>
      <c r="K84" s="89" t="str">
        <f t="shared" si="39"/>
        <v>4031/4032</v>
      </c>
      <c r="L84" s="21" t="str">
        <f>VLOOKUP(A84,'Trips&amp;Operators'!$C$1:$G$99999,5,FALSE)</f>
        <v>LOPES KIMBERLY</v>
      </c>
      <c r="M84" s="6">
        <f t="shared" si="40"/>
        <v>2.4421296293439809E-2</v>
      </c>
      <c r="N84" s="7">
        <f t="shared" si="35"/>
        <v>35.166666662553325</v>
      </c>
      <c r="O84" s="7"/>
      <c r="P84" s="7"/>
      <c r="Q84" s="22"/>
      <c r="R84" s="170"/>
      <c r="S84" s="213">
        <f t="shared" si="36"/>
        <v>1</v>
      </c>
      <c r="T84" s="195" t="str">
        <f t="shared" si="41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42"/>
        <v>https://d0f6bd738d7f1b3e5a7ca70fe4ff75f0.us-east-1.aws.found.io/app/kibana#/discover/Steve-Slow-Train-Analysis-(2080s-and-2083s)?_g=(refreshInterval:(display:Off,pause:!f,section:0,value:0),time:(from:'2017-08-12T11:25:27-0600',mode:absolute,to:'2017-08-12T14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4" s="197" t="str">
        <f>IF(AA84&lt;VLOOKUP(AG84,Variables!$AC$3:$AD$8,2,FALSE),"Y","N")</f>
        <v>N</v>
      </c>
      <c r="X84" s="197">
        <f t="shared" si="43"/>
        <v>1</v>
      </c>
      <c r="Y84" s="197">
        <f t="shared" si="37"/>
        <v>4.6600000000000003E-2</v>
      </c>
      <c r="Z84" s="197">
        <f t="shared" si="38"/>
        <v>23.3355</v>
      </c>
      <c r="AA84" s="197">
        <f t="shared" si="44"/>
        <v>23.288899999999998</v>
      </c>
      <c r="AB84" s="54" t="e">
        <f>VLOOKUP(A84,Enforcements!$C$7:$K$12,8,0)</f>
        <v>#N/A</v>
      </c>
      <c r="AC84" s="51" t="e">
        <f>VLOOKUP(A84,Enforcements!$C$7:$E$12,3,0)</f>
        <v>#N/A</v>
      </c>
      <c r="AD84" s="206">
        <f t="shared" si="45"/>
        <v>171</v>
      </c>
      <c r="AE84" s="77" t="str">
        <f t="shared" si="46"/>
        <v>aws s3 cp s3://rtdc.mdm.uploadarchive.raw/RTDC4032/ "%USERPROFILE%\AppData\Local\Temp\OnboardLogs"\RTDC4032\2017-08-12 --exclude "*" --recursive --include "*20170812*" &amp; "%USERPROFILE%\Documents\GitHub\mrs-test-scripts\Headless Mode &amp; Sideloading\WalkAndUnGZ.bat" "%USERPROFILE%\AppData\Local\Temp\OnboardLogs"\RTDC4032\2017-08-12 &amp; aws s3 cp s3://rtdc.mdm.uploadarchive.raw/RTDC4032/ "%USERPROFILE%\AppData\Local\Temp\OnboardLogs"\RTDC4032\2017-08-13 --exclude "*" --recursive --include "*20170813*" &amp; "%USERPROFILE%\Documents\GitHub\mrs-test-scripts\Headless Mode &amp; Sideloading\WalkAndUnGZ.bat" "%USERPROFILE%\AppData\Local\Temp\OnboardLogs"\RTDC4032\2017-08-13</v>
      </c>
      <c r="AF84" s="74" t="str">
        <f t="shared" si="47"/>
        <v>"C:\Program Files (x86)\AstroGrep\AstroGrep.exe" /e /r /s /spath="%USERPROFILE%\AppData\Local\Temp\OnboardLogs" /stypes="app*4032*20170812*" /stext=" 19:.+((SYSTEM_STATE.+slice.+state.+changed )|(ment ac)|(multiple cpu faults)|(system.+state.+changed )|(\[timeout)|(PRM\|1\|D)|(kpr)|(kdp)|(train st.+moving)|(\|lc)|(penalty))"</v>
      </c>
      <c r="AG84" s="209" t="str">
        <f t="shared" si="48"/>
        <v>EC</v>
      </c>
      <c r="AH84" s="78" t="str">
        <f t="shared" si="49"/>
        <v>"%USERPROFILE%\Documents\GitHub\eaglep3\Utilities\RefineRTDCRunTimes.py" --tripid 171-12 --locoid 4032 --swversion DE.1.0.9.0 --startMP 204:466 --initTime 2017-08-12T12:25:27 --startdatetime 2017-08-12T12:30:56 --delay 1 --endMP 204:233355 --enddatetime 2017-08-12T13:06:06 --enforcementcount 0 &gt;&gt;C:\Users\stu\Documents\GitHub\eaglep3-reporting\EC\2017-08-12-refined-times.txt</v>
      </c>
      <c r="AI84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{"issue":{"subject":"","project_id":79,"tracker_id":40,"status_id":1,"priority_id":2,"assigned_to_id":23,"start_date":"2017-08-12","description":"","custom_fields":[{"id":1,"name":"Subdivision","value":"EC"},{"id":4,"name":"Milepost","value":"23.3355"},{"id":17,"name":"Train ID","value":"171-12"},{"id":16,"name":"Locomotive ID","value":"4032"},{"id":130,"name":"Impact","value":""},{"id":150,"name":"Time of Event (Mountain Time)","value":"13:06:06"},{"id":151,"name":"Denver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51"/>
        <v>start /low /b %USERPROFILE%\Documents\GitHub\eaglep3\Utilities\DownloadLogsFromS3.py --loco 4032 --day 2017-08-12</v>
      </c>
      <c r="AN84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19:06:06"},{"id":29,"name":"Sharepoint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779</v>
      </c>
      <c r="B85" s="7">
        <v>4031</v>
      </c>
      <c r="C85" s="21" t="s">
        <v>198</v>
      </c>
      <c r="D85" s="21" t="s">
        <v>605</v>
      </c>
      <c r="E85" s="13">
        <v>42959.559976851851</v>
      </c>
      <c r="F85" s="13">
        <v>42959.561168981483</v>
      </c>
      <c r="G85" s="7">
        <v>1</v>
      </c>
      <c r="H85" s="21" t="s">
        <v>348</v>
      </c>
      <c r="I85" s="13">
        <v>42959.587268518517</v>
      </c>
      <c r="J85" s="7">
        <v>0</v>
      </c>
      <c r="K85" s="89" t="str">
        <f t="shared" si="39"/>
        <v>4031/4032</v>
      </c>
      <c r="L85" s="21" t="str">
        <f>VLOOKUP(A85,'Trips&amp;Operators'!$C$1:$G$99999,5,FALSE)</f>
        <v>LOPES KIMBERLY</v>
      </c>
      <c r="M85" s="6">
        <f t="shared" si="40"/>
        <v>2.6099537033587694E-2</v>
      </c>
      <c r="N85" s="7">
        <f t="shared" si="35"/>
        <v>37.58333332836628</v>
      </c>
      <c r="O85" s="7"/>
      <c r="P85" s="7"/>
      <c r="Q85" s="22"/>
      <c r="R85" s="170"/>
      <c r="S85" s="213">
        <f t="shared" si="36"/>
        <v>1</v>
      </c>
      <c r="T85" s="195" t="str">
        <f t="shared" si="41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42"/>
        <v>https://d0f6bd738d7f1b3e5a7ca70fe4ff75f0.us-east-1.aws.found.io/app/kibana#/discover/Steve-Slow-Train-Analysis-(2080s-and-2083s)?_g=(refreshInterval:(display:Off,pause:!f,section:0,value:0),time:(from:'2017-08-12T12:26:22-0600',mode:absolute,to:'2017-08-12T15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5" s="197" t="str">
        <f>IF(AA85&lt;VLOOKUP(AG85,Variables!$AC$3:$AD$8,2,FALSE),"Y","N")</f>
        <v>N</v>
      </c>
      <c r="X85" s="197">
        <f t="shared" ref="X85:X87" si="53">VALUE(LEFT(AD85,4))-VALUE(LEFT(AD84,4))</f>
        <v>1</v>
      </c>
      <c r="Y85" s="197">
        <f t="shared" si="37"/>
        <v>23.307200000000002</v>
      </c>
      <c r="Z85" s="197">
        <f t="shared" si="38"/>
        <v>1.3899999999999999E-2</v>
      </c>
      <c r="AA85" s="197">
        <f t="shared" si="44"/>
        <v>23.293300000000002</v>
      </c>
      <c r="AB85" s="54" t="e">
        <f>VLOOKUP(A85,Enforcements!$C$7:$K$12,8,0)</f>
        <v>#N/A</v>
      </c>
      <c r="AC85" s="51" t="e">
        <f>VLOOKUP(A85,Enforcements!$C$7:$E$12,3,0)</f>
        <v>#N/A</v>
      </c>
      <c r="AD85" s="206">
        <f t="shared" si="45"/>
        <v>172</v>
      </c>
      <c r="AE85" s="77" t="str">
        <f t="shared" si="46"/>
        <v>aws s3 cp s3://rtdc.mdm.uploadarchive.raw/RTDC4031/ "%USERPROFILE%\AppData\Local\Temp\OnboardLogs"\RTDC4031\2017-08-12 --exclude "*" --recursive --include "*20170812*" &amp; "%USERPROFILE%\Documents\GitHub\mrs-test-scripts\Headless Mode &amp; Sideloading\WalkAndUnGZ.bat" "%USERPROFILE%\AppData\Local\Temp\OnboardLogs"\RTDC4031\2017-08-12 &amp; aws s3 cp s3://rtdc.mdm.uploadarchive.raw/RTDC4031/ "%USERPROFILE%\AppData\Local\Temp\OnboardLogs"\RTDC4031\2017-08-13 --exclude "*" --recursive --include "*20170813*" &amp; "%USERPROFILE%\Documents\GitHub\mrs-test-scripts\Headless Mode &amp; Sideloading\WalkAndUnGZ.bat" "%USERPROFILE%\AppData\Local\Temp\OnboardLogs"\RTDC4031\2017-08-13</v>
      </c>
      <c r="AF85" s="74" t="str">
        <f t="shared" si="47"/>
        <v>"C:\Program Files (x86)\AstroGrep\AstroGrep.exe" /e /r /s /spath="%USERPROFILE%\AppData\Local\Temp\OnboardLogs" /stypes="app*4031*20170812*" /stext=" 20:.+((SYSTEM_STATE.+slice.+state.+changed )|(ment ac)|(multiple cpu faults)|(system.+state.+changed )|(\[timeout)|(PRM\|1\|D)|(kpr)|(kdp)|(train st.+moving)|(\|lc)|(penalty))"</v>
      </c>
      <c r="AG85" s="209" t="str">
        <f t="shared" si="48"/>
        <v>EC</v>
      </c>
      <c r="AH85" s="78" t="str">
        <f t="shared" si="49"/>
        <v>"%USERPROFILE%\Documents\GitHub\eaglep3\Utilities\RefineRTDCRunTimes.py" --tripid 172-12 --locoid 4031 --swversion DE.1.0.9.0 --startMP 204:233072 --initTime 2017-08-12T13:26:22 --startdatetime 2017-08-12T13:28:05 --delay 1 --endMP 204:139 --enddatetime 2017-08-12T14:05:40 --enforcementcount 0 &gt;&gt;C:\Users\stu\Documents\GitHub\eaglep3-reporting\EC\2017-08-12-refined-times.txt</v>
      </c>
      <c r="AI85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{"issue":{"subject":"","project_id":79,"tracker_id":40,"status_id":1,"priority_id":2,"assigned_to_id":23,"start_date":"2017-08-12","description":"","custom_fields":[{"id":1,"name":"Subdivision","value":"EC"},{"id":4,"name":"Milepost","value":"0.0139"},{"id":17,"name":"Train ID","value":"172-12"},{"id":16,"name":"Locomotive ID","value":"4031"},{"id":130,"name":"Impact","value":""},{"id":150,"name":"Time of Event (Mountain Time)","value":"14:05:40"},{"id":151,"name":"Denver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51"/>
        <v>start /low /b %USERPROFILE%\Documents\GitHub\eaglep3\Utilities\DownloadLogsFromS3.py --loco 4031 --day 2017-08-12</v>
      </c>
      <c r="AN85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20:05:40"},{"id":29,"name":"Sharepoint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642</v>
      </c>
      <c r="B86" s="7">
        <v>4064</v>
      </c>
      <c r="C86" s="21" t="s">
        <v>198</v>
      </c>
      <c r="D86" s="21" t="s">
        <v>613</v>
      </c>
      <c r="E86" s="13">
        <v>42959.528877314813</v>
      </c>
      <c r="F86" s="13">
        <v>42959.531759259262</v>
      </c>
      <c r="G86" s="7">
        <v>1</v>
      </c>
      <c r="H86" s="21" t="s">
        <v>909</v>
      </c>
      <c r="I86" s="13">
        <v>42959.555625000001</v>
      </c>
      <c r="J86" s="7">
        <v>0</v>
      </c>
      <c r="K86" s="89" t="str">
        <f t="shared" si="39"/>
        <v>4063/4064</v>
      </c>
      <c r="L86" s="21" t="str">
        <f>VLOOKUP(A86,'Trips&amp;Operators'!$C$1:$G$99999,5,FALSE)</f>
        <v>HOLCOMB KAMDEN</v>
      </c>
      <c r="M86" s="6">
        <f t="shared" si="40"/>
        <v>2.3865740738983732E-2</v>
      </c>
      <c r="N86" s="7">
        <f t="shared" ref="N86:N117" si="54">24*60*SUM($M86:$M86)</f>
        <v>34.366666664136574</v>
      </c>
      <c r="O86" s="7"/>
      <c r="P86" s="7"/>
      <c r="Q86" s="22"/>
      <c r="R86" s="170"/>
      <c r="S86" s="213">
        <f t="shared" ref="S86:S117" si="55">1/IF(AG86="EC",12,1)*SUM(U86:U86)</f>
        <v>1</v>
      </c>
      <c r="T86" s="195" t="str">
        <f t="shared" si="41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42"/>
        <v>https://d0f6bd738d7f1b3e5a7ca70fe4ff75f0.us-east-1.aws.found.io/app/kibana#/discover/Steve-Slow-Train-Analysis-(2080s-and-2083s)?_g=(refreshInterval:(display:Off,pause:!f,section:0,value:0),time:(from:'2017-08-12T11:41:35-0600',mode:absolute,to:'2017-08-12T14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6" s="197" t="str">
        <f>IF(AA86&lt;VLOOKUP(AG86,Variables!$AC$3:$AD$8,2,FALSE),"Y","N")</f>
        <v>N</v>
      </c>
      <c r="X86" s="197">
        <f t="shared" si="53"/>
        <v>1</v>
      </c>
      <c r="Y86" s="197">
        <f t="shared" si="37"/>
        <v>4.3299999999999998E-2</v>
      </c>
      <c r="Z86" s="197">
        <f t="shared" si="38"/>
        <v>23.3399</v>
      </c>
      <c r="AA86" s="197">
        <f t="shared" si="44"/>
        <v>23.296600000000002</v>
      </c>
      <c r="AB86" s="54" t="e">
        <f>VLOOKUP(A86,Enforcements!$C$7:$K$12,8,0)</f>
        <v>#N/A</v>
      </c>
      <c r="AC86" s="51" t="e">
        <f>VLOOKUP(A86,Enforcements!$C$7:$E$12,3,0)</f>
        <v>#N/A</v>
      </c>
      <c r="AD86" s="206">
        <f t="shared" si="45"/>
        <v>173</v>
      </c>
      <c r="AE86" s="77" t="str">
        <f t="shared" si="46"/>
        <v>aws s3 cp s3://rtdc.mdm.uploadarchive.raw/RTDC4064/ "%USERPROFILE%\AppData\Local\Temp\OnboardLogs"\RTDC4064\2017-08-12 --exclude "*" --recursive --include "*20170812*" &amp; "%USERPROFILE%\Documents\GitHub\mrs-test-scripts\Headless Mode &amp; Sideloading\WalkAndUnGZ.bat" "%USERPROFILE%\AppData\Local\Temp\OnboardLogs"\RTDC4064\2017-08-12 &amp; aws s3 cp s3://rtdc.mdm.uploadarchive.raw/RTDC4064/ "%USERPROFILE%\AppData\Local\Temp\OnboardLogs"\RTDC4064\2017-08-13 --exclude "*" --recursive --include "*20170813*" &amp; "%USERPROFILE%\Documents\GitHub\mrs-test-scripts\Headless Mode &amp; Sideloading\WalkAndUnGZ.bat" "%USERPROFILE%\AppData\Local\Temp\OnboardLogs"\RTDC4064\2017-08-13</v>
      </c>
      <c r="AF86" s="74" t="str">
        <f t="shared" si="47"/>
        <v>"C:\Program Files (x86)\AstroGrep\AstroGrep.exe" /e /r /s /spath="%USERPROFILE%\AppData\Local\Temp\OnboardLogs" /stypes="app*4064*20170812*" /stext=" 19:.+((SYSTEM_STATE.+slice.+state.+changed )|(ment ac)|(multiple cpu faults)|(system.+state.+changed )|(\[timeout)|(PRM\|1\|D)|(kpr)|(kdp)|(train st.+moving)|(\|lc)|(penalty))"</v>
      </c>
      <c r="AG86" s="209" t="str">
        <f t="shared" si="48"/>
        <v>EC</v>
      </c>
      <c r="AH86" s="78" t="str">
        <f t="shared" si="49"/>
        <v>"%USERPROFILE%\Documents\GitHub\eaglep3\Utilities\RefineRTDCRunTimes.py" --tripid 173-12 --locoid 4064 --swversion DE.1.0.9.0 --startMP 204:433 --initTime 2017-08-12T12:41:35 --startdatetime 2017-08-12T12:45:44 --delay 1 --endMP 204:233399 --enddatetime 2017-08-12T13:20:06 --enforcementcount 0 &gt;&gt;C:\Users\stu\Documents\GitHub\eaglep3-reporting\EC\2017-08-12-refined-times.txt</v>
      </c>
      <c r="AI86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{"issue":{"subject":"","project_id":79,"tracker_id":40,"status_id":1,"priority_id":2,"assigned_to_id":23,"start_date":"2017-08-12","description":"","custom_fields":[{"id":1,"name":"Subdivision","value":"EC"},{"id":4,"name":"Milepost","value":"23.3399"},{"id":17,"name":"Train ID","value":"173-12"},{"id":16,"name":"Locomotive ID","value":"4064"},{"id":130,"name":"Impact","value":""},{"id":150,"name":"Time of Event (Mountain Time)","value":"13:20:06"},{"id":151,"name":"Denver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51"/>
        <v>start /low /b %USERPROFILE%\Documents\GitHub\eaglep3\Utilities\DownloadLogsFromS3.py --loco 4064 --day 2017-08-12</v>
      </c>
      <c r="AN86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19:20:06"},{"id":29,"name":"Sharepoint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643</v>
      </c>
      <c r="B87" s="7">
        <v>4063</v>
      </c>
      <c r="C87" s="21" t="s">
        <v>198</v>
      </c>
      <c r="D87" s="21" t="s">
        <v>910</v>
      </c>
      <c r="E87" s="13">
        <v>42959.564722222225</v>
      </c>
      <c r="F87" s="13">
        <v>42959.571111111109</v>
      </c>
      <c r="G87" s="7">
        <v>1</v>
      </c>
      <c r="H87" s="21" t="s">
        <v>528</v>
      </c>
      <c r="I87" s="13">
        <v>42959.598310185182</v>
      </c>
      <c r="J87" s="7">
        <v>0</v>
      </c>
      <c r="K87" s="89" t="str">
        <f t="shared" si="39"/>
        <v>4063/4064</v>
      </c>
      <c r="L87" s="21" t="str">
        <f>VLOOKUP(A87,'Trips&amp;Operators'!$C$1:$G$99999,5,FALSE)</f>
        <v>HOLCOMB KAMDEN</v>
      </c>
      <c r="M87" s="6">
        <f t="shared" si="40"/>
        <v>2.7199074072996154E-2</v>
      </c>
      <c r="N87" s="7">
        <f t="shared" si="54"/>
        <v>39.166666665114462</v>
      </c>
      <c r="O87" s="7"/>
      <c r="P87" s="7"/>
      <c r="Q87" s="22"/>
      <c r="R87" s="170"/>
      <c r="S87" s="213">
        <f t="shared" si="55"/>
        <v>1</v>
      </c>
      <c r="T87" s="195" t="str">
        <f t="shared" si="41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42"/>
        <v>https://d0f6bd738d7f1b3e5a7ca70fe4ff75f0.us-east-1.aws.found.io/app/kibana#/discover/Steve-Slow-Train-Analysis-(2080s-and-2083s)?_g=(refreshInterval:(display:Off,pause:!f,section:0,value:0),time:(from:'2017-08-12T12:33:12-0600',mode:absolute,to:'2017-08-12T15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7" s="197" t="str">
        <f>IF(AA87&lt;VLOOKUP(AG87,Variables!$AC$3:$AD$8,2,FALSE),"Y","N")</f>
        <v>N</v>
      </c>
      <c r="X87" s="197">
        <f t="shared" si="53"/>
        <v>1</v>
      </c>
      <c r="Y87" s="197">
        <f t="shared" si="37"/>
        <v>23.3109</v>
      </c>
      <c r="Z87" s="197">
        <f t="shared" si="38"/>
        <v>1.72E-2</v>
      </c>
      <c r="AA87" s="197">
        <f t="shared" si="44"/>
        <v>23.293700000000001</v>
      </c>
      <c r="AB87" s="54" t="e">
        <f>VLOOKUP(A87,Enforcements!$C$7:$K$12,8,0)</f>
        <v>#N/A</v>
      </c>
      <c r="AC87" s="51" t="e">
        <f>VLOOKUP(A87,Enforcements!$C$7:$E$12,3,0)</f>
        <v>#N/A</v>
      </c>
      <c r="AD87" s="206">
        <f t="shared" si="45"/>
        <v>174</v>
      </c>
      <c r="AE87" s="77" t="str">
        <f t="shared" si="46"/>
        <v>aws s3 cp s3://rtdc.mdm.uploadarchive.raw/RTDC4063/ "%USERPROFILE%\AppData\Local\Temp\OnboardLogs"\RTDC4063\2017-08-12 --exclude "*" --recursive --include "*20170812*" &amp; "%USERPROFILE%\Documents\GitHub\mrs-test-scripts\Headless Mode &amp; Sideloading\WalkAndUnGZ.bat" "%USERPROFILE%\AppData\Local\Temp\OnboardLogs"\RTDC4063\2017-08-12 &amp; aws s3 cp s3://rtdc.mdm.uploadarchive.raw/RTDC4063/ "%USERPROFILE%\AppData\Local\Temp\OnboardLogs"\RTDC4063\2017-08-13 --exclude "*" --recursive --include "*20170813*" &amp; "%USERPROFILE%\Documents\GitHub\mrs-test-scripts\Headless Mode &amp; Sideloading\WalkAndUnGZ.bat" "%USERPROFILE%\AppData\Local\Temp\OnboardLogs"\RTDC4063\2017-08-13</v>
      </c>
      <c r="AF87" s="74" t="str">
        <f t="shared" si="47"/>
        <v>"C:\Program Files (x86)\AstroGrep\AstroGrep.exe" /e /r /s /spath="%USERPROFILE%\AppData\Local\Temp\OnboardLogs" /stypes="app*4063*20170812*" /stext=" 20:.+((SYSTEM_STATE.+slice.+state.+changed )|(ment ac)|(multiple cpu faults)|(system.+state.+changed )|(\[timeout)|(PRM\|1\|D)|(kpr)|(kdp)|(train st.+moving)|(\|lc)|(penalty))"</v>
      </c>
      <c r="AG87" s="209" t="str">
        <f t="shared" si="48"/>
        <v>EC</v>
      </c>
      <c r="AH87" s="78" t="str">
        <f t="shared" si="49"/>
        <v>"%USERPROFILE%\Documents\GitHub\eaglep3\Utilities\RefineRTDCRunTimes.py" --tripid 174-12 --locoid 4063 --swversion DE.1.0.9.0 --startMP 204:233109 --initTime 2017-08-12T13:33:12 --startdatetime 2017-08-12T13:42:24 --delay 1 --endMP 204:172 --enddatetime 2017-08-12T14:21:34 --enforcementcount 0 &gt;&gt;C:\Users\stu\Documents\GitHub\eaglep3-reporting\EC\2017-08-12-refined-times.txt</v>
      </c>
      <c r="AI87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{"issue":{"subject":"","project_id":79,"tracker_id":40,"status_id":1,"priority_id":2,"assigned_to_id":23,"start_date":"2017-08-12","description":"","custom_fields":[{"id":1,"name":"Subdivision","value":"EC"},{"id":4,"name":"Milepost","value":"0.0172"},{"id":17,"name":"Train ID","value":"174-12"},{"id":16,"name":"Locomotive ID","value":"4063"},{"id":130,"name":"Impact","value":""},{"id":150,"name":"Time of Event (Mountain Time)","value":"14:21:34"},{"id":151,"name":"Denver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51"/>
        <v>start /low /b %USERPROFILE%\Documents\GitHub\eaglep3\Utilities\DownloadLogsFromS3.py --loco 4063 --day 2017-08-12</v>
      </c>
      <c r="AN87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20:21:34"},{"id":29,"name":"Sharepoint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775</v>
      </c>
      <c r="B88" s="7">
        <v>4050</v>
      </c>
      <c r="C88" s="21" t="s">
        <v>198</v>
      </c>
      <c r="D88" s="21" t="s">
        <v>451</v>
      </c>
      <c r="E88" s="13">
        <v>42959.539224537039</v>
      </c>
      <c r="F88" s="13">
        <v>42959.542094907411</v>
      </c>
      <c r="G88" s="7">
        <v>1</v>
      </c>
      <c r="H88" s="21" t="s">
        <v>525</v>
      </c>
      <c r="I88" s="13">
        <v>42959.568472222221</v>
      </c>
      <c r="J88" s="7">
        <v>0</v>
      </c>
      <c r="K88" s="89" t="str">
        <f t="shared" si="39"/>
        <v>4049/4050</v>
      </c>
      <c r="L88" s="21" t="str">
        <f>VLOOKUP(A88,'Trips&amp;Operators'!$C$1:$G$99999,5,FALSE)</f>
        <v>DAVIS MICHAEL</v>
      </c>
      <c r="M88" s="6">
        <f t="shared" si="40"/>
        <v>2.6377314810815733E-2</v>
      </c>
      <c r="N88" s="7">
        <f t="shared" si="54"/>
        <v>37.983333327574655</v>
      </c>
      <c r="O88" s="7"/>
      <c r="P88" s="7"/>
      <c r="Q88" s="22"/>
      <c r="R88" s="170"/>
      <c r="S88" s="213">
        <f t="shared" si="55"/>
        <v>1</v>
      </c>
      <c r="T88" s="195" t="str">
        <f t="shared" si="41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42"/>
        <v>https://d0f6bd738d7f1b3e5a7ca70fe4ff75f0.us-east-1.aws.found.io/app/kibana#/discover/Steve-Slow-Train-Analysis-(2080s-and-2083s)?_g=(refreshInterval:(display:Off,pause:!f,section:0,value:0),time:(from:'2017-08-12T11:56:29-0600',mode:absolute,to:'2017-08-12T14:38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8" s="197" t="str">
        <f>IF(AA88&lt;VLOOKUP(AG88,Variables!$AC$3:$AD$8,2,FALSE),"Y","N")</f>
        <v>N</v>
      </c>
      <c r="X88" s="197">
        <f t="shared" ref="X88:X123" si="56">VALUE(LEFT(AD88,4))-VALUE(LEFT(AD87,4))</f>
        <v>1</v>
      </c>
      <c r="Y88" s="197">
        <f t="shared" si="37"/>
        <v>4.6899999999999997E-2</v>
      </c>
      <c r="Z88" s="197">
        <f t="shared" si="38"/>
        <v>23.334900000000001</v>
      </c>
      <c r="AA88" s="197">
        <f t="shared" si="44"/>
        <v>23.288</v>
      </c>
      <c r="AB88" s="54" t="e">
        <f>VLOOKUP(A88,Enforcements!$C$7:$K$12,8,0)</f>
        <v>#N/A</v>
      </c>
      <c r="AC88" s="51" t="e">
        <f>VLOOKUP(A88,Enforcements!$C$7:$E$12,3,0)</f>
        <v>#N/A</v>
      </c>
      <c r="AD88" s="206">
        <f t="shared" si="45"/>
        <v>175</v>
      </c>
      <c r="AE88" s="77" t="str">
        <f t="shared" si="46"/>
        <v>aws s3 cp s3://rtdc.mdm.uploadarchive.raw/RTDC4050/ "%USERPROFILE%\AppData\Local\Temp\OnboardLogs"\RTDC4050\2017-08-12 --exclude "*" --recursive --include "*20170812*" &amp; "%USERPROFILE%\Documents\GitHub\mrs-test-scripts\Headless Mode &amp; Sideloading\WalkAndUnGZ.bat" "%USERPROFILE%\AppData\Local\Temp\OnboardLogs"\RTDC4050\2017-08-12 &amp; aws s3 cp s3://rtdc.mdm.uploadarchive.raw/RTDC4050/ "%USERPROFILE%\AppData\Local\Temp\OnboardLogs"\RTDC4050\2017-08-13 --exclude "*" --recursive --include "*20170813*" &amp; "%USERPROFILE%\Documents\GitHub\mrs-test-scripts\Headless Mode &amp; Sideloading\WalkAndUnGZ.bat" "%USERPROFILE%\AppData\Local\Temp\OnboardLogs"\RTDC4050\2017-08-13</v>
      </c>
      <c r="AF88" s="74" t="str">
        <f t="shared" si="47"/>
        <v>"C:\Program Files (x86)\AstroGrep\AstroGrep.exe" /e /r /s /spath="%USERPROFILE%\AppData\Local\Temp\OnboardLogs" /stypes="app*4050*20170812*" /stext=" 19:.+((SYSTEM_STATE.+slice.+state.+changed )|(ment ac)|(multiple cpu faults)|(system.+state.+changed )|(\[timeout)|(PRM\|1\|D)|(kpr)|(kdp)|(train st.+moving)|(\|lc)|(penalty))"</v>
      </c>
      <c r="AG88" s="209" t="str">
        <f t="shared" si="48"/>
        <v>EC</v>
      </c>
      <c r="AH88" s="78" t="str">
        <f t="shared" si="49"/>
        <v>"%USERPROFILE%\Documents\GitHub\eaglep3\Utilities\RefineRTDCRunTimes.py" --tripid 175-12 --locoid 4050 --swversion DE.1.0.9.0 --startMP 204:469 --initTime 2017-08-12T12:56:29 --startdatetime 2017-08-12T13:00:37 --delay 1 --endMP 204:233349 --enddatetime 2017-08-12T13:38:36 --enforcementcount 0 &gt;&gt;C:\Users\stu\Documents\GitHub\eaglep3-reporting\EC\2017-08-12-refined-times.txt</v>
      </c>
      <c r="AI88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{"issue":{"subject":"","project_id":79,"tracker_id":40,"status_id":1,"priority_id":2,"assigned_to_id":23,"start_date":"2017-08-12","description":"","custom_fields":[{"id":1,"name":"Subdivision","value":"EC"},{"id":4,"name":"Milepost","value":"23.3349"},{"id":17,"name":"Train ID","value":"175-12"},{"id":16,"name":"Locomotive ID","value":"4050"},{"id":130,"name":"Impact","value":""},{"id":150,"name":"Time of Event (Mountain Time)","value":"13:38:36"},{"id":151,"name":"Denver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51"/>
        <v>start /low /b %USERPROFILE%\Documents\GitHub\eaglep3\Utilities\DownloadLogsFromS3.py --loco 4050 --day 2017-08-12</v>
      </c>
      <c r="AN88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19:38:36"},{"id":29,"name":"Sharepoint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783</v>
      </c>
      <c r="B89" s="7">
        <v>4049</v>
      </c>
      <c r="C89" s="21" t="s">
        <v>198</v>
      </c>
      <c r="D89" s="21" t="s">
        <v>620</v>
      </c>
      <c r="E89" s="13">
        <v>42959.577893518515</v>
      </c>
      <c r="F89" s="13">
        <v>42959.581597222219</v>
      </c>
      <c r="G89" s="7">
        <v>1</v>
      </c>
      <c r="H89" s="21" t="s">
        <v>351</v>
      </c>
      <c r="I89" s="13">
        <v>42959.6091087963</v>
      </c>
      <c r="J89" s="7">
        <v>0</v>
      </c>
      <c r="K89" s="89" t="str">
        <f t="shared" si="39"/>
        <v>4049/4050</v>
      </c>
      <c r="L89" s="21" t="str">
        <f>VLOOKUP(A89,'Trips&amp;Operators'!$C$1:$G$99999,5,FALSE)</f>
        <v>DAVIS MICHAEL</v>
      </c>
      <c r="M89" s="6">
        <f t="shared" si="40"/>
        <v>2.751157408056315E-2</v>
      </c>
      <c r="N89" s="7">
        <f t="shared" si="54"/>
        <v>39.616666676010936</v>
      </c>
      <c r="O89" s="7"/>
      <c r="P89" s="7"/>
      <c r="Q89" s="22"/>
      <c r="R89" s="170"/>
      <c r="S89" s="213">
        <f t="shared" si="55"/>
        <v>1</v>
      </c>
      <c r="T89" s="195" t="str">
        <f t="shared" si="41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42"/>
        <v>https://d0f6bd738d7f1b3e5a7ca70fe4ff75f0.us-east-1.aws.found.io/app/kibana#/discover/Steve-Slow-Train-Analysis-(2080s-and-2083s)?_g=(refreshInterval:(display:Off,pause:!f,section:0,value:0),time:(from:'2017-08-12T12:52:10-0600',mode:absolute,to:'2017-08-12T15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9" s="197" t="str">
        <f>IF(AA89&lt;VLOOKUP(AG89,Variables!$AC$3:$AD$8,2,FALSE),"Y","N")</f>
        <v>N</v>
      </c>
      <c r="X89" s="197">
        <f t="shared" si="56"/>
        <v>1</v>
      </c>
      <c r="Y89" s="197">
        <f t="shared" si="37"/>
        <v>23.304200000000002</v>
      </c>
      <c r="Z89" s="197">
        <f t="shared" si="38"/>
        <v>1.47E-2</v>
      </c>
      <c r="AA89" s="197">
        <f t="shared" si="44"/>
        <v>23.2895</v>
      </c>
      <c r="AB89" s="54" t="e">
        <f>VLOOKUP(A89,Enforcements!$C$7:$K$12,8,0)</f>
        <v>#N/A</v>
      </c>
      <c r="AC89" s="51" t="e">
        <f>VLOOKUP(A89,Enforcements!$C$7:$E$12,3,0)</f>
        <v>#N/A</v>
      </c>
      <c r="AD89" s="206">
        <f t="shared" si="45"/>
        <v>176</v>
      </c>
      <c r="AE89" s="77" t="str">
        <f t="shared" si="46"/>
        <v>aws s3 cp s3://rtdc.mdm.uploadarchive.raw/RTDC4049/ "%USERPROFILE%\AppData\Local\Temp\OnboardLogs"\RTDC4049\2017-08-12 --exclude "*" --recursive --include "*20170812*" &amp; "%USERPROFILE%\Documents\GitHub\mrs-test-scripts\Headless Mode &amp; Sideloading\WalkAndUnGZ.bat" "%USERPROFILE%\AppData\Local\Temp\OnboardLogs"\RTDC4049\2017-08-12 &amp; aws s3 cp s3://rtdc.mdm.uploadarchive.raw/RTDC4049/ "%USERPROFILE%\AppData\Local\Temp\OnboardLogs"\RTDC4049\2017-08-13 --exclude "*" --recursive --include "*20170813*" &amp; "%USERPROFILE%\Documents\GitHub\mrs-test-scripts\Headless Mode &amp; Sideloading\WalkAndUnGZ.bat" "%USERPROFILE%\AppData\Local\Temp\OnboardLogs"\RTDC4049\2017-08-13</v>
      </c>
      <c r="AF89" s="74" t="str">
        <f t="shared" si="47"/>
        <v>"C:\Program Files (x86)\AstroGrep\AstroGrep.exe" /e /r /s /spath="%USERPROFILE%\AppData\Local\Temp\OnboardLogs" /stypes="app*4049*20170812*" /stext=" 20:.+((SYSTEM_STATE.+slice.+state.+changed )|(ment ac)|(multiple cpu faults)|(system.+state.+changed )|(\[timeout)|(PRM\|1\|D)|(kpr)|(kdp)|(train st.+moving)|(\|lc)|(penalty))"</v>
      </c>
      <c r="AG89" s="209" t="str">
        <f t="shared" si="48"/>
        <v>EC</v>
      </c>
      <c r="AH89" s="78" t="str">
        <f t="shared" si="49"/>
        <v>"%USERPROFILE%\Documents\GitHub\eaglep3\Utilities\RefineRTDCRunTimes.py" --tripid 176-12 --locoid 4049 --swversion DE.1.0.9.0 --startMP 204:233042 --initTime 2017-08-12T13:52:10 --startdatetime 2017-08-12T13:57:30 --delay 1 --endMP 204:147 --enddatetime 2017-08-12T14:37:07 --enforcementcount 0 &gt;&gt;C:\Users\stu\Documents\GitHub\eaglep3-reporting\EC\2017-08-12-refined-times.txt</v>
      </c>
      <c r="AI89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{"issue":{"subject":"","project_id":79,"tracker_id":40,"status_id":1,"priority_id":2,"assigned_to_id":23,"start_date":"2017-08-12","description":"","custom_fields":[{"id":1,"name":"Subdivision","value":"EC"},{"id":4,"name":"Milepost","value":"0.0147"},{"id":17,"name":"Train ID","value":"176-12"},{"id":16,"name":"Locomotive ID","value":"4049"},{"id":130,"name":"Impact","value":""},{"id":150,"name":"Time of Event (Mountain Time)","value":"14:37:07"},{"id":151,"name":"Denver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51"/>
        <v>start /low /b %USERPROFILE%\Documents\GitHub\eaglep3\Utilities\DownloadLogsFromS3.py --loco 4049 --day 2017-08-12</v>
      </c>
      <c r="AN89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20:37:07"},{"id":29,"name":"Sharepoint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778</v>
      </c>
      <c r="B90" s="7">
        <v>4016</v>
      </c>
      <c r="C90" s="21" t="s">
        <v>198</v>
      </c>
      <c r="D90" s="21" t="s">
        <v>442</v>
      </c>
      <c r="E90" s="13">
        <v>42959.549641203703</v>
      </c>
      <c r="F90" s="13">
        <v>42959.552881944444</v>
      </c>
      <c r="G90" s="7">
        <v>1</v>
      </c>
      <c r="H90" s="21" t="s">
        <v>911</v>
      </c>
      <c r="I90" s="13">
        <v>42959.579305555555</v>
      </c>
      <c r="J90" s="7">
        <v>0</v>
      </c>
      <c r="K90" s="89" t="str">
        <f t="shared" si="39"/>
        <v>4015/4016</v>
      </c>
      <c r="L90" s="21" t="str">
        <f>VLOOKUP(A90,'Trips&amp;Operators'!$C$1:$G$99999,5,FALSE)</f>
        <v>THOMPSON LESTER</v>
      </c>
      <c r="M90" s="6">
        <f t="shared" si="40"/>
        <v>2.6423611110658385E-2</v>
      </c>
      <c r="N90" s="7">
        <f t="shared" si="54"/>
        <v>38.049999999348074</v>
      </c>
      <c r="O90" s="7"/>
      <c r="P90" s="7"/>
      <c r="Q90" s="22"/>
      <c r="R90" s="170"/>
      <c r="S90" s="213">
        <f t="shared" si="55"/>
        <v>1</v>
      </c>
      <c r="T90" s="195" t="str">
        <f t="shared" si="41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42"/>
        <v>https://d0f6bd738d7f1b3e5a7ca70fe4ff75f0.us-east-1.aws.found.io/app/kibana#/discover/Steve-Slow-Train-Analysis-(2080s-and-2083s)?_g=(refreshInterval:(display:Off,pause:!f,section:0,value:0),time:(from:'2017-08-12T12:11:29-0600',mode:absolute,to:'2017-08-12T14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0" s="197" t="str">
        <f>IF(AA90&lt;VLOOKUP(AG90,Variables!$AC$3:$AD$8,2,FALSE),"Y","N")</f>
        <v>N</v>
      </c>
      <c r="X90" s="197">
        <f t="shared" si="56"/>
        <v>1</v>
      </c>
      <c r="Y90" s="197">
        <f t="shared" si="37"/>
        <v>4.5999999999999999E-2</v>
      </c>
      <c r="Z90" s="197">
        <f t="shared" si="38"/>
        <v>23.334499999999998</v>
      </c>
      <c r="AA90" s="197">
        <f t="shared" si="44"/>
        <v>23.288499999999999</v>
      </c>
      <c r="AB90" s="54" t="e">
        <f>VLOOKUP(A90,Enforcements!$C$7:$K$12,8,0)</f>
        <v>#N/A</v>
      </c>
      <c r="AC90" s="51" t="e">
        <f>VLOOKUP(A90,Enforcements!$C$7:$E$12,3,0)</f>
        <v>#N/A</v>
      </c>
      <c r="AD90" s="206">
        <f t="shared" si="45"/>
        <v>177</v>
      </c>
      <c r="AE90" s="77" t="str">
        <f t="shared" si="46"/>
        <v>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 &amp; 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</v>
      </c>
      <c r="AF90" s="74" t="str">
        <f t="shared" si="47"/>
        <v>"C:\Program Files (x86)\AstroGrep\AstroGrep.exe" /e /r /s /spath="%USERPROFILE%\AppData\Local\Temp\OnboardLogs" /stypes="app*4016*20170812*" /stext=" 19:.+((SYSTEM_STATE.+slice.+state.+changed )|(ment ac)|(multiple cpu faults)|(system.+state.+changed )|(\[timeout)|(PRM\|1\|D)|(kpr)|(kdp)|(train st.+moving)|(\|lc)|(penalty))"</v>
      </c>
      <c r="AG90" s="209" t="str">
        <f t="shared" si="48"/>
        <v>EC</v>
      </c>
      <c r="AH90" s="78" t="str">
        <f t="shared" si="49"/>
        <v>"%USERPROFILE%\Documents\GitHub\eaglep3\Utilities\RefineRTDCRunTimes.py" --tripid 177-12 --locoid 4016 --swversion DE.1.0.9.0 --startMP 204:460 --initTime 2017-08-12T13:11:29 --startdatetime 2017-08-12T13:16:09 --delay 1 --endMP 204:233345 --enddatetime 2017-08-12T13:54:12 --enforcementcount 0 &gt;&gt;C:\Users\stu\Documents\GitHub\eaglep3-reporting\EC\2017-08-12-refined-times.txt</v>
      </c>
      <c r="AI90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{"issue":{"subject":"","project_id":79,"tracker_id":40,"status_id":1,"priority_id":2,"assigned_to_id":23,"start_date":"2017-08-12","description":"","custom_fields":[{"id":1,"name":"Subdivision","value":"EC"},{"id":4,"name":"Milepost","value":"23.3345"},{"id":17,"name":"Train ID","value":"177-12"},{"id":16,"name":"Locomotive ID","value":"4016"},{"id":130,"name":"Impact","value":""},{"id":150,"name":"Time of Event (Mountain Time)","value":"13:54:12"},{"id":151,"name":"Denver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51"/>
        <v>start /low /b %USERPROFILE%\Documents\GitHub\eaglep3\Utilities\DownloadLogsFromS3.py --loco 4016 --day 2017-08-12</v>
      </c>
      <c r="AN90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19:54:12"},{"id":29,"name":"Sharepoint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646</v>
      </c>
      <c r="B91" s="7">
        <v>4015</v>
      </c>
      <c r="C91" s="21" t="s">
        <v>198</v>
      </c>
      <c r="D91" s="21" t="s">
        <v>912</v>
      </c>
      <c r="E91" s="13">
        <v>42959.588356481479</v>
      </c>
      <c r="F91" s="13">
        <v>42959.591921296298</v>
      </c>
      <c r="G91" s="7">
        <v>1</v>
      </c>
      <c r="H91" s="21" t="s">
        <v>348</v>
      </c>
      <c r="I91" s="13">
        <v>42959.619641203702</v>
      </c>
      <c r="J91" s="7">
        <v>0</v>
      </c>
      <c r="K91" s="89" t="str">
        <f t="shared" si="39"/>
        <v>4015/4016</v>
      </c>
      <c r="L91" s="21" t="str">
        <f>VLOOKUP(A91,'Trips&amp;Operators'!$C$1:$G$99999,5,FALSE)</f>
        <v>THOMPSON LESTER</v>
      </c>
      <c r="M91" s="6">
        <f t="shared" si="40"/>
        <v>2.7719907404389232E-2</v>
      </c>
      <c r="N91" s="7">
        <f t="shared" si="54"/>
        <v>39.916666662320495</v>
      </c>
      <c r="O91" s="7"/>
      <c r="P91" s="7"/>
      <c r="Q91" s="22"/>
      <c r="R91" s="170"/>
      <c r="S91" s="213">
        <f t="shared" si="55"/>
        <v>1</v>
      </c>
      <c r="T91" s="195" t="str">
        <f t="shared" si="41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42"/>
        <v>https://d0f6bd738d7f1b3e5a7ca70fe4ff75f0.us-east-1.aws.found.io/app/kibana#/discover/Steve-Slow-Train-Analysis-(2080s-and-2083s)?_g=(refreshInterval:(display:Off,pause:!f,section:0,value:0),time:(from:'2017-08-12T13:07:14-0600',mode:absolute,to:'2017-08-12T15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1" s="197" t="str">
        <f>IF(AA91&lt;VLOOKUP(AG91,Variables!$AC$3:$AD$8,2,FALSE),"Y","N")</f>
        <v>N</v>
      </c>
      <c r="X91" s="197">
        <f t="shared" si="56"/>
        <v>1</v>
      </c>
      <c r="Y91" s="197">
        <f t="shared" si="37"/>
        <v>23.305099999999999</v>
      </c>
      <c r="Z91" s="197">
        <f t="shared" si="38"/>
        <v>1.3899999999999999E-2</v>
      </c>
      <c r="AA91" s="197">
        <f t="shared" si="44"/>
        <v>23.2912</v>
      </c>
      <c r="AB91" s="54" t="str">
        <f>VLOOKUP(A91,Enforcements!$C$7:$K$12,8,0)</f>
        <v>Speed (6)</v>
      </c>
      <c r="AC91" s="51" t="str">
        <f>VLOOKUP(A91,Enforcements!$C$7:$E$12,3,0)</f>
        <v>PERMANENT SPEED RESTRICTION</v>
      </c>
      <c r="AD91" s="206">
        <f t="shared" si="45"/>
        <v>178</v>
      </c>
      <c r="AE91" s="77" t="str">
        <f t="shared" si="46"/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AF91" s="74" t="str">
        <f t="shared" si="47"/>
        <v>"C:\Program Files (x86)\AstroGrep\AstroGrep.exe" /e /r /s /spath="%USERPROFILE%\AppData\Local\Temp\OnboardLogs" /stypes="app*4015*20170812*" /stext=" 20:.+((SYSTEM_STATE.+slice.+state.+changed )|(ment ac)|(multiple cpu faults)|(system.+state.+changed )|(\[timeout)|(PRM\|1\|D)|(kpr)|(kdp)|(train st.+moving)|(\|lc)|(penalty))"</v>
      </c>
      <c r="AG91" s="209" t="str">
        <f t="shared" si="48"/>
        <v>EC</v>
      </c>
      <c r="AH91" s="78" t="str">
        <f t="shared" si="49"/>
        <v>"%USERPROFILE%\Documents\GitHub\eaglep3\Utilities\RefineRTDCRunTimes.py" --tripid 178-12 --locoid 4015 --swversion DE.1.0.9.0 --startMP 204:233051 --initTime 2017-08-12T14:07:14 --startdatetime 2017-08-12T14:12:22 --delay 1 --endMP 204:139 --enddatetime 2017-08-12T14:52:17 --enforcementcount 0 &gt;&gt;C:\Users\stu\Documents\GitHub\eaglep3-reporting\EC\2017-08-12-refined-times.txt</v>
      </c>
      <c r="AI91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{"issue":{"subject":"","project_id":79,"tracker_id":40,"status_id":1,"priority_id":2,"assigned_to_id":23,"start_date":"2017-08-12","description":"","custom_fields":[{"id":1,"name":"Subdivision","value":"EC"},{"id":4,"name":"Milepost","value":"0.0139"},{"id":17,"name":"Train ID","value":"178-12"},{"id":16,"name":"Locomotive ID","value":"4015"},{"id":130,"name":"Impact","value":""},{"id":150,"name":"Time of Event (Mountain Time)","value":"14:52:17"},{"id":151,"name":"Denver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51"/>
        <v>start /low /b %USERPROFILE%\Documents\GitHub\eaglep3\Utilities\DownloadLogsFromS3.py --loco 4015 --day 2017-08-12</v>
      </c>
      <c r="AN91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20:52:17"},{"id":29,"name":"Sharepoint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780</v>
      </c>
      <c r="B92" s="7">
        <v>4042</v>
      </c>
      <c r="C92" s="21" t="s">
        <v>198</v>
      </c>
      <c r="D92" s="21" t="s">
        <v>375</v>
      </c>
      <c r="E92" s="13">
        <v>42959.559479166666</v>
      </c>
      <c r="F92" s="13">
        <v>42959.562986111108</v>
      </c>
      <c r="G92" s="7">
        <v>1</v>
      </c>
      <c r="H92" s="21" t="s">
        <v>913</v>
      </c>
      <c r="I92" s="13">
        <v>42959.587743055556</v>
      </c>
      <c r="J92" s="7">
        <v>0</v>
      </c>
      <c r="K92" s="89" t="str">
        <f t="shared" si="39"/>
        <v>4041/4042</v>
      </c>
      <c r="L92" s="21" t="str">
        <f>VLOOKUP(A92,'Trips&amp;Operators'!$C$1:$G$99999,5,FALSE)</f>
        <v>BRUDER RICHARD</v>
      </c>
      <c r="M92" s="6">
        <f t="shared" si="40"/>
        <v>2.4756944447290152E-2</v>
      </c>
      <c r="N92" s="7">
        <f t="shared" si="54"/>
        <v>35.650000004097819</v>
      </c>
      <c r="O92" s="7"/>
      <c r="P92" s="7"/>
      <c r="Q92" s="22"/>
      <c r="R92" s="170"/>
      <c r="S92" s="213">
        <f t="shared" si="55"/>
        <v>1</v>
      </c>
      <c r="T92" s="195" t="str">
        <f t="shared" si="41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42"/>
        <v>https://d0f6bd738d7f1b3e5a7ca70fe4ff75f0.us-east-1.aws.found.io/app/kibana#/discover/Steve-Slow-Train-Analysis-(2080s-and-2083s)?_g=(refreshInterval:(display:Off,pause:!f,section:0,value:0),time:(from:'2017-08-12T12:25:39-0600',mode:absolute,to:'2017-08-12T15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2" s="197" t="str">
        <f>IF(AA92&lt;VLOOKUP(AG92,Variables!$AC$3:$AD$8,2,FALSE),"Y","N")</f>
        <v>N</v>
      </c>
      <c r="X92" s="197">
        <f t="shared" si="56"/>
        <v>1</v>
      </c>
      <c r="Y92" s="197">
        <f t="shared" si="37"/>
        <v>4.6199999999999998E-2</v>
      </c>
      <c r="Z92" s="197">
        <f t="shared" si="38"/>
        <v>23.332100000000001</v>
      </c>
      <c r="AA92" s="197">
        <f t="shared" si="44"/>
        <v>23.285900000000002</v>
      </c>
      <c r="AB92" s="54" t="e">
        <f>VLOOKUP(A92,Enforcements!$C$7:$K$12,8,0)</f>
        <v>#N/A</v>
      </c>
      <c r="AC92" s="51" t="e">
        <f>VLOOKUP(A92,Enforcements!$C$7:$E$12,3,0)</f>
        <v>#N/A</v>
      </c>
      <c r="AD92" s="206">
        <f t="shared" si="45"/>
        <v>179</v>
      </c>
      <c r="AE92" s="77" t="str">
        <f t="shared" si="46"/>
        <v>aws s3 cp s3://rtdc.mdm.uploadarchive.raw/RTDC4042/ "%USERPROFILE%\AppData\Local\Temp\OnboardLogs"\RTDC4042\2017-08-12 --exclude "*" --recursive --include "*20170812*" &amp; "%USERPROFILE%\Documents\GitHub\mrs-test-scripts\Headless Mode &amp; Sideloading\WalkAndUnGZ.bat" "%USERPROFILE%\AppData\Local\Temp\OnboardLogs"\RTDC4042\2017-08-12 &amp; 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</v>
      </c>
      <c r="AF92" s="74" t="str">
        <f t="shared" si="47"/>
        <v>"C:\Program Files (x86)\AstroGrep\AstroGrep.exe" /e /r /s /spath="%USERPROFILE%\AppData\Local\Temp\OnboardLogs" /stypes="app*4042*20170812*" /stext=" 20:.+((SYSTEM_STATE.+slice.+state.+changed )|(ment ac)|(multiple cpu faults)|(system.+state.+changed )|(\[timeout)|(PRM\|1\|D)|(kpr)|(kdp)|(train st.+moving)|(\|lc)|(penalty))"</v>
      </c>
      <c r="AG92" s="209" t="str">
        <f t="shared" si="48"/>
        <v>EC</v>
      </c>
      <c r="AH92" s="78" t="str">
        <f t="shared" si="49"/>
        <v>"%USERPROFILE%\Documents\GitHub\eaglep3\Utilities\RefineRTDCRunTimes.py" --tripid 179-12 --locoid 4042 --swversion DE.1.0.9.0 --startMP 204:462 --initTime 2017-08-12T13:25:39 --startdatetime 2017-08-12T13:30:42 --delay 1 --endMP 204:233321 --enddatetime 2017-08-12T14:06:21 --enforcementcount 0 &gt;&gt;C:\Users\stu\Documents\GitHub\eaglep3-reporting\EC\2017-08-12-refined-times.txt</v>
      </c>
      <c r="AI92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{"issue":{"subject":"","project_id":79,"tracker_id":40,"status_id":1,"priority_id":2,"assigned_to_id":23,"start_date":"2017-08-12","description":"","custom_fields":[{"id":1,"name":"Subdivision","value":"EC"},{"id":4,"name":"Milepost","value":"23.3321"},{"id":17,"name":"Train ID","value":"179-12"},{"id":16,"name":"Locomotive ID","value":"4042"},{"id":130,"name":"Impact","value":""},{"id":150,"name":"Time of Event (Mountain Time)","value":"14:06:21"},{"id":151,"name":"Denver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51"/>
        <v>start /low /b %USERPROFILE%\Documents\GitHub\eaglep3\Utilities\DownloadLogsFromS3.py --loco 4042 --day 2017-08-12</v>
      </c>
      <c r="AN92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20:06:21"},{"id":29,"name":"Sharepoint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648</v>
      </c>
      <c r="B93" s="7">
        <v>4041</v>
      </c>
      <c r="C93" s="21" t="s">
        <v>198</v>
      </c>
      <c r="D93" s="21" t="s">
        <v>445</v>
      </c>
      <c r="E93" s="13">
        <v>42959.598622685182</v>
      </c>
      <c r="F93" s="13">
        <v>42959.602407407408</v>
      </c>
      <c r="G93" s="7">
        <v>2</v>
      </c>
      <c r="H93" s="21" t="s">
        <v>440</v>
      </c>
      <c r="I93" s="13">
        <v>42959.628275462965</v>
      </c>
      <c r="J93" s="7">
        <v>0</v>
      </c>
      <c r="K93" s="89" t="str">
        <f t="shared" si="39"/>
        <v>4041/4042</v>
      </c>
      <c r="L93" s="21" t="str">
        <f>VLOOKUP(A93,'Trips&amp;Operators'!$C$1:$G$99999,5,FALSE)</f>
        <v>BRUDER RICHARD</v>
      </c>
      <c r="M93" s="6">
        <f t="shared" si="40"/>
        <v>2.5868055556202307E-2</v>
      </c>
      <c r="N93" s="7">
        <f t="shared" si="54"/>
        <v>37.250000000931323</v>
      </c>
      <c r="O93" s="7"/>
      <c r="P93" s="7"/>
      <c r="Q93" s="22"/>
      <c r="R93" s="170"/>
      <c r="S93" s="213">
        <f t="shared" si="55"/>
        <v>1</v>
      </c>
      <c r="T93" s="195" t="str">
        <f t="shared" si="41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42"/>
        <v>https://d0f6bd738d7f1b3e5a7ca70fe4ff75f0.us-east-1.aws.found.io/app/kibana#/discover/Steve-Slow-Train-Analysis-(2080s-and-2083s)?_g=(refreshInterval:(display:Off,pause:!f,section:0,value:0),time:(from:'2017-08-12T13:22:01-0600',mode:absolute,to:'2017-08-12T16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3" s="197" t="str">
        <f>IF(AA93&lt;VLOOKUP(AG93,Variables!$AC$3:$AD$8,2,FALSE),"Y","N")</f>
        <v>N</v>
      </c>
      <c r="X93" s="197">
        <f t="shared" si="56"/>
        <v>1</v>
      </c>
      <c r="Y93" s="197">
        <f t="shared" si="37"/>
        <v>23.299800000000001</v>
      </c>
      <c r="Z93" s="197">
        <f t="shared" si="38"/>
        <v>1.5800000000000002E-2</v>
      </c>
      <c r="AA93" s="197">
        <f t="shared" si="44"/>
        <v>23.284000000000002</v>
      </c>
      <c r="AB93" s="54" t="e">
        <f>VLOOKUP(A93,Enforcements!$C$7:$K$12,8,0)</f>
        <v>#N/A</v>
      </c>
      <c r="AC93" s="51" t="e">
        <f>VLOOKUP(A93,Enforcements!$C$7:$E$12,3,0)</f>
        <v>#N/A</v>
      </c>
      <c r="AD93" s="206">
        <f t="shared" si="45"/>
        <v>180</v>
      </c>
      <c r="AE93" s="77" t="str">
        <f t="shared" si="46"/>
        <v>aws s3 cp s3://rtdc.mdm.uploadarchive.raw/RTDC4041/ "%USERPROFILE%\AppData\Local\Temp\OnboardLogs"\RTDC4041\2017-08-12 --exclude "*" --recursive --include "*20170812*" &amp; "%USERPROFILE%\Documents\GitHub\mrs-test-scripts\Headless Mode &amp; Sideloading\WalkAndUnGZ.bat" "%USERPROFILE%\AppData\Local\Temp\OnboardLogs"\RTDC4041\2017-08-12 &amp; 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</v>
      </c>
      <c r="AF93" s="74" t="str">
        <f t="shared" si="47"/>
        <v>"C:\Program Files (x86)\AstroGrep\AstroGrep.exe" /e /r /s /spath="%USERPROFILE%\AppData\Local\Temp\OnboardLogs" /stypes="app*4041*20170812*" /stext=" 21:.+((SYSTEM_STATE.+slice.+state.+changed )|(ment ac)|(multiple cpu faults)|(system.+state.+changed )|(\[timeout)|(PRM\|1\|D)|(kpr)|(kdp)|(train st.+moving)|(\|lc)|(penalty))"</v>
      </c>
      <c r="AG93" s="209" t="str">
        <f t="shared" si="48"/>
        <v>EC</v>
      </c>
      <c r="AH93" s="78" t="str">
        <f t="shared" si="49"/>
        <v>"%USERPROFILE%\Documents\GitHub\eaglep3\Utilities\RefineRTDCRunTimes.py" --tripid 180-12 --locoid 4041 --swversion DE.1.0.9.0 --startMP 204:232998 --initTime 2017-08-12T14:22:01 --startdatetime 2017-08-12T14:27:28 --delay 2 --endMP 204:158 --enddatetime 2017-08-12T15:04:43 --enforcementcount 0 &gt;&gt;C:\Users\stu\Documents\GitHub\eaglep3-reporting\EC\2017-08-12-refined-times.txt</v>
      </c>
      <c r="AI93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{"issue":{"subject":"","project_id":79,"tracker_id":40,"status_id":1,"priority_id":2,"assigned_to_id":23,"start_date":"2017-08-12","description":"","custom_fields":[{"id":1,"name":"Subdivision","value":"EC"},{"id":4,"name":"Milepost","value":"0.0158"},{"id":17,"name":"Train ID","value":"180-12"},{"id":16,"name":"Locomotive ID","value":"4041"},{"id":130,"name":"Impact","value":""},{"id":150,"name":"Time of Event (Mountain Time)","value":"15:04:43"},{"id":151,"name":"Denver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51"/>
        <v>start /low /b %USERPROFILE%\Documents\GitHub\eaglep3\Utilities\DownloadLogsFromS3.py --loco 4041 --day 2017-08-12</v>
      </c>
      <c r="AN93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21:04:43"},{"id":29,"name":"Sharepoint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782</v>
      </c>
      <c r="B94" s="7">
        <v>4002</v>
      </c>
      <c r="C94" s="21" t="s">
        <v>198</v>
      </c>
      <c r="D94" s="21" t="s">
        <v>447</v>
      </c>
      <c r="E94" s="13">
        <v>42959.56753472222</v>
      </c>
      <c r="F94" s="13">
        <v>42959.573506944442</v>
      </c>
      <c r="G94" s="7">
        <v>1</v>
      </c>
      <c r="H94" s="21" t="s">
        <v>927</v>
      </c>
      <c r="I94" s="13">
        <v>42959.598819444444</v>
      </c>
      <c r="J94" s="7">
        <v>0</v>
      </c>
      <c r="K94" s="89" t="str">
        <f t="shared" si="39"/>
        <v>4001/4002</v>
      </c>
      <c r="L94" s="21" t="str">
        <f>VLOOKUP(A94,'Trips&amp;Operators'!$C$1:$G$99999,5,FALSE)</f>
        <v>SULLIVAN BRANDON</v>
      </c>
      <c r="M94" s="6">
        <f t="shared" si="40"/>
        <v>2.531250000174623E-2</v>
      </c>
      <c r="N94" s="7">
        <f t="shared" si="54"/>
        <v>36.450000002514571</v>
      </c>
      <c r="O94" s="7"/>
      <c r="P94" s="7"/>
      <c r="Q94" s="22"/>
      <c r="R94" s="170"/>
      <c r="S94" s="213">
        <f t="shared" si="55"/>
        <v>1</v>
      </c>
      <c r="T94" s="195" t="str">
        <f t="shared" si="41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42"/>
        <v>https://d0f6bd738d7f1b3e5a7ca70fe4ff75f0.us-east-1.aws.found.io/app/kibana#/discover/Steve-Slow-Train-Analysis-(2080s-and-2083s)?_g=(refreshInterval:(display:Off,pause:!f,section:0,value:0),time:(from:'2017-08-12T12:37:15-0600',mode:absolute,to:'2017-08-12T15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4" s="197" t="str">
        <f>IF(AA94&lt;VLOOKUP(AG94,Variables!$AC$3:$AD$8,2,FALSE),"Y","N")</f>
        <v>N</v>
      </c>
      <c r="X94" s="197">
        <f t="shared" si="56"/>
        <v>1</v>
      </c>
      <c r="Y94" s="197">
        <f t="shared" si="37"/>
        <v>4.5699999999999998E-2</v>
      </c>
      <c r="Z94" s="197">
        <f t="shared" si="38"/>
        <v>23.3353</v>
      </c>
      <c r="AA94" s="197">
        <f t="shared" si="44"/>
        <v>23.2896</v>
      </c>
      <c r="AB94" s="54" t="e">
        <f>VLOOKUP(A94,Enforcements!$C$7:$K$12,8,0)</f>
        <v>#N/A</v>
      </c>
      <c r="AC94" s="51" t="e">
        <f>VLOOKUP(A94,Enforcements!$C$7:$E$12,3,0)</f>
        <v>#N/A</v>
      </c>
      <c r="AD94" s="206">
        <f t="shared" si="45"/>
        <v>181</v>
      </c>
      <c r="AE94" s="77" t="str">
        <f t="shared" si="46"/>
        <v>aws s3 cp s3://rtdc.mdm.uploadarchive.raw/RTDC4002/ "%USERPROFILE%\AppData\Local\Temp\OnboardLogs"\RTDC4002\2017-08-12 --exclude "*" --recursive --include "*20170812*" &amp; "%USERPROFILE%\Documents\GitHub\mrs-test-scripts\Headless Mode &amp; Sideloading\WalkAndUnGZ.bat" "%USERPROFILE%\AppData\Local\Temp\OnboardLogs"\RTDC4002\2017-08-12 &amp; aws s3 cp s3://rtdc.mdm.uploadarchive.raw/RTDC4002/ "%USERPROFILE%\AppData\Local\Temp\OnboardLogs"\RTDC4002\2017-08-13 --exclude "*" --recursive --include "*20170813*" &amp; "%USERPROFILE%\Documents\GitHub\mrs-test-scripts\Headless Mode &amp; Sideloading\WalkAndUnGZ.bat" "%USERPROFILE%\AppData\Local\Temp\OnboardLogs"\RTDC4002\2017-08-13</v>
      </c>
      <c r="AF94" s="74" t="str">
        <f t="shared" si="47"/>
        <v>"C:\Program Files (x86)\AstroGrep\AstroGrep.exe" /e /r /s /spath="%USERPROFILE%\AppData\Local\Temp\OnboardLogs" /stypes="app*4002*20170812*" /stext=" 20:.+((SYSTEM_STATE.+slice.+state.+changed )|(ment ac)|(multiple cpu faults)|(system.+state.+changed )|(\[timeout)|(PRM\|1\|D)|(kpr)|(kdp)|(train st.+moving)|(\|lc)|(penalty))"</v>
      </c>
      <c r="AG94" s="209" t="str">
        <f t="shared" si="48"/>
        <v>EC</v>
      </c>
      <c r="AH94" s="78" t="str">
        <f t="shared" si="49"/>
        <v>"%USERPROFILE%\Documents\GitHub\eaglep3\Utilities\RefineRTDCRunTimes.py" --tripid 181-12 --locoid 4002 --swversion DE.1.0.9.0 --startMP 204:457 --initTime 2017-08-12T13:37:15 --startdatetime 2017-08-12T13:45:51 --delay 1 --endMP 204:233353 --enddatetime 2017-08-12T14:22:18 --enforcementcount 0 &gt;&gt;C:\Users\stu\Documents\GitHub\eaglep3-reporting\EC\2017-08-12-refined-times.txt</v>
      </c>
      <c r="AI94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{"issue":{"subject":"","project_id":79,"tracker_id":40,"status_id":1,"priority_id":2,"assigned_to_id":23,"start_date":"2017-08-12","description":"","custom_fields":[{"id":1,"name":"Subdivision","value":"EC"},{"id":4,"name":"Milepost","value":"23.3353"},{"id":17,"name":"Train ID","value":"181-12"},{"id":16,"name":"Locomotive ID","value":"4002"},{"id":130,"name":"Impact","value":""},{"id":150,"name":"Time of Event (Mountain Time)","value":"14:22:18"},{"id":151,"name":"Denver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51"/>
        <v>start /low /b %USERPROFILE%\Documents\GitHub\eaglep3\Utilities\DownloadLogsFromS3.py --loco 4002 --day 2017-08-12</v>
      </c>
      <c r="AN94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20:22:18"},{"id":29,"name":"Sharepoint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2" t="s">
        <v>788</v>
      </c>
      <c r="B95" s="7">
        <v>4001</v>
      </c>
      <c r="C95" s="21" t="s">
        <v>198</v>
      </c>
      <c r="D95" s="21" t="s">
        <v>560</v>
      </c>
      <c r="E95" s="13">
        <v>42959.605891203704</v>
      </c>
      <c r="F95" s="13">
        <v>42959.612685185188</v>
      </c>
      <c r="G95" s="7">
        <v>0</v>
      </c>
      <c r="H95" s="21" t="s">
        <v>938</v>
      </c>
      <c r="I95" s="13">
        <v>42959.639328703706</v>
      </c>
      <c r="J95" s="7">
        <v>0</v>
      </c>
      <c r="K95" s="89" t="str">
        <f t="shared" si="39"/>
        <v>4001/4002</v>
      </c>
      <c r="L95" s="21" t="str">
        <f>VLOOKUP(A95,'Trips&amp;Operators'!$C$1:$G$99999,5,FALSE)</f>
        <v>SULLIVAN BRANDON</v>
      </c>
      <c r="M95" s="6">
        <f t="shared" si="40"/>
        <v>2.6643518518540077E-2</v>
      </c>
      <c r="N95" s="7">
        <f t="shared" si="54"/>
        <v>38.366666666697711</v>
      </c>
      <c r="O95" s="7"/>
      <c r="P95" s="7"/>
      <c r="Q95" s="22"/>
      <c r="R95" s="170"/>
      <c r="S95" s="213">
        <f t="shared" si="55"/>
        <v>1</v>
      </c>
      <c r="T95" s="195" t="str">
        <f t="shared" si="41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42"/>
        <v>https://d0f6bd738d7f1b3e5a7ca70fe4ff75f0.us-east-1.aws.found.io/app/kibana#/discover/Steve-Slow-Train-Analysis-(2080s-and-2083s)?_g=(refreshInterval:(display:Off,pause:!f,section:0,value:0),time:(from:'2017-08-12T13:32:29-0600',mode:absolute,to:'2017-08-12T16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5" s="197" t="str">
        <f>IF(AA95&lt;VLOOKUP(AG95,Variables!$AC$3:$AD$8,2,FALSE),"Y","N")</f>
        <v>N</v>
      </c>
      <c r="X95" s="197">
        <f t="shared" si="56"/>
        <v>1</v>
      </c>
      <c r="Y95" s="197">
        <f t="shared" si="37"/>
        <v>23.3048</v>
      </c>
      <c r="Z95" s="197">
        <f t="shared" si="38"/>
        <v>1.29E-2</v>
      </c>
      <c r="AA95" s="197">
        <f t="shared" si="44"/>
        <v>23.291900000000002</v>
      </c>
      <c r="AB95" s="54" t="e">
        <f>VLOOKUP(A95,Enforcements!$C$7:$K$12,8,0)</f>
        <v>#N/A</v>
      </c>
      <c r="AC95" s="51" t="e">
        <f>VLOOKUP(A95,Enforcements!$C$7:$E$12,3,0)</f>
        <v>#N/A</v>
      </c>
      <c r="AD95" s="206">
        <f t="shared" si="45"/>
        <v>182</v>
      </c>
      <c r="AE95" s="77" t="str">
        <f t="shared" si="46"/>
        <v>aws s3 cp s3://rtdc.mdm.uploadarchive.raw/RTDC4001/ "%USERPROFILE%\AppData\Local\Temp\OnboardLogs"\RTDC4001\2017-08-12 --exclude "*" --recursive --include "*20170812*" &amp; "%USERPROFILE%\Documents\GitHub\mrs-test-scripts\Headless Mode &amp; Sideloading\WalkAndUnGZ.bat" "%USERPROFILE%\AppData\Local\Temp\OnboardLogs"\RTDC4001\2017-08-12 &amp; aws s3 cp s3://rtdc.mdm.uploadarchive.raw/RTDC4001/ "%USERPROFILE%\AppData\Local\Temp\OnboardLogs"\RTDC4001\2017-08-13 --exclude "*" --recursive --include "*20170813*" &amp; "%USERPROFILE%\Documents\GitHub\mrs-test-scripts\Headless Mode &amp; Sideloading\WalkAndUnGZ.bat" "%USERPROFILE%\AppData\Local\Temp\OnboardLogs"\RTDC4001\2017-08-13</v>
      </c>
      <c r="AF95" s="74" t="str">
        <f t="shared" si="47"/>
        <v>"C:\Program Files (x86)\AstroGrep\AstroGrep.exe" /e /r /s /spath="%USERPROFILE%\AppData\Local\Temp\OnboardLogs" /stypes="app*4001*20170812*" /stext=" 21:.+((SYSTEM_STATE.+slice.+state.+changed )|(ment ac)|(multiple cpu faults)|(system.+state.+changed )|(\[timeout)|(PRM\|1\|D)|(kpr)|(kdp)|(train st.+moving)|(\|lc)|(penalty))"</v>
      </c>
      <c r="AG95" s="209" t="str">
        <f t="shared" si="48"/>
        <v>EC</v>
      </c>
      <c r="AH95" s="78" t="str">
        <f t="shared" si="49"/>
        <v>"%USERPROFILE%\Documents\GitHub\eaglep3\Utilities\RefineRTDCRunTimes.py" --tripid 182-12 --locoid 4001 --swversion DE.1.0.9.0 --startMP 204:233048 --initTime 2017-08-12T14:32:29 --startdatetime 2017-08-12T14:42:16 --delay 0 --endMP 204:129 --enddatetime 2017-08-12T15:20:38 --enforcementcount 0 &gt;&gt;C:\Users\stu\Documents\GitHub\eaglep3-reporting\EC\2017-08-12-refined-times.txt</v>
      </c>
      <c r="AI95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{"issue":{"subject":"","project_id":79,"tracker_id":40,"status_id":1,"priority_id":2,"assigned_to_id":23,"start_date":"2017-08-12","description":"","custom_fields":[{"id":1,"name":"Subdivision","value":"EC"},{"id":4,"name":"Milepost","value":"0.0129"},{"id":17,"name":"Train ID","value":"182-12"},{"id":16,"name":"Locomotive ID","value":"4001"},{"id":130,"name":"Impact","value":""},{"id":150,"name":"Time of Event (Mountain Time)","value":"15:20:38"},{"id":151,"name":"Denver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51"/>
        <v>start /low /b %USERPROFILE%\Documents\GitHub\eaglep3\Utilities\DownloadLogsFromS3.py --loco 4001 --day 2017-08-12</v>
      </c>
      <c r="AN95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21:20:38"},{"id":29,"name":"Sharepoint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</row>
    <row r="96" spans="1:91" s="20" customFormat="1" x14ac:dyDescent="0.25">
      <c r="A96" s="32" t="s">
        <v>645</v>
      </c>
      <c r="B96" s="7">
        <v>4014</v>
      </c>
      <c r="C96" s="21" t="s">
        <v>198</v>
      </c>
      <c r="D96" s="21" t="s">
        <v>347</v>
      </c>
      <c r="E96" s="13">
        <v>42959.578576388885</v>
      </c>
      <c r="F96" s="13">
        <v>42959.583831018521</v>
      </c>
      <c r="G96" s="7">
        <v>1</v>
      </c>
      <c r="H96" s="21" t="s">
        <v>568</v>
      </c>
      <c r="I96" s="13">
        <v>42959.60796296296</v>
      </c>
      <c r="J96" s="7">
        <v>0</v>
      </c>
      <c r="K96" s="89" t="str">
        <f t="shared" si="39"/>
        <v>4013/4014</v>
      </c>
      <c r="L96" s="21" t="str">
        <f>VLOOKUP(A96,'Trips&amp;Operators'!$C$1:$G$99999,5,FALSE)</f>
        <v>DELGADO DIANAH</v>
      </c>
      <c r="M96" s="6">
        <f t="shared" si="40"/>
        <v>2.4131944439432118E-2</v>
      </c>
      <c r="N96" s="7">
        <f t="shared" si="54"/>
        <v>34.74999999278225</v>
      </c>
      <c r="O96" s="7"/>
      <c r="P96" s="7"/>
      <c r="Q96" s="22"/>
      <c r="R96" s="170"/>
      <c r="S96" s="213">
        <f t="shared" si="55"/>
        <v>1</v>
      </c>
      <c r="T96" s="195" t="str">
        <f t="shared" si="41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42"/>
        <v>https://d0f6bd738d7f1b3e5a7ca70fe4ff75f0.us-east-1.aws.found.io/app/kibana#/discover/Steve-Slow-Train-Analysis-(2080s-and-2083s)?_g=(refreshInterval:(display:Off,pause:!f,section:0,value:0),time:(from:'2017-08-12T12:53:09-0600',mode:absolute,to:'2017-08-12T15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6" s="197" t="str">
        <f>IF(AA96&lt;VLOOKUP(AG96,Variables!$AC$3:$AD$8,2,FALSE),"Y","N")</f>
        <v>N</v>
      </c>
      <c r="X96" s="197">
        <f t="shared" si="56"/>
        <v>1</v>
      </c>
      <c r="Y96" s="197">
        <f t="shared" si="37"/>
        <v>4.4699999999999997E-2</v>
      </c>
      <c r="Z96" s="197">
        <f t="shared" si="38"/>
        <v>23.3355</v>
      </c>
      <c r="AA96" s="197">
        <f t="shared" si="44"/>
        <v>23.290800000000001</v>
      </c>
      <c r="AB96" s="54" t="e">
        <f>VLOOKUP(A96,Enforcements!$C$7:$K$12,8,0)</f>
        <v>#N/A</v>
      </c>
      <c r="AC96" s="51" t="e">
        <f>VLOOKUP(A96,Enforcements!$C$7:$E$12,3,0)</f>
        <v>#N/A</v>
      </c>
      <c r="AD96" s="206">
        <f t="shared" si="45"/>
        <v>183</v>
      </c>
      <c r="AE96" s="77" t="str">
        <f t="shared" si="46"/>
        <v>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 &amp; aws s3 cp s3://rtdc.mdm.uploadarchive.raw/RTDC4014/ "%USERPROFILE%\AppData\Local\Temp\OnboardLogs"\RTDC4014\2017-08-13 --exclude "*" --recursive --include "*20170813*" &amp; "%USERPROFILE%\Documents\GitHub\mrs-test-scripts\Headless Mode &amp; Sideloading\WalkAndUnGZ.bat" "%USERPROFILE%\AppData\Local\Temp\OnboardLogs"\RTDC4014\2017-08-13</v>
      </c>
      <c r="AF96" s="74" t="str">
        <f t="shared" si="47"/>
        <v>"C:\Program Files (x86)\AstroGrep\AstroGrep.exe" /e /r /s /spath="%USERPROFILE%\AppData\Local\Temp\OnboardLogs" /stypes="app*4014*20170812*" /stext=" 20:.+((SYSTEM_STATE.+slice.+state.+changed )|(ment ac)|(multiple cpu faults)|(system.+state.+changed )|(\[timeout)|(PRM\|1\|D)|(kpr)|(kdp)|(train st.+moving)|(\|lc)|(penalty))"</v>
      </c>
      <c r="AG96" s="209" t="str">
        <f t="shared" si="48"/>
        <v>EC</v>
      </c>
      <c r="AH96" s="78" t="str">
        <f t="shared" si="49"/>
        <v>"%USERPROFILE%\Documents\GitHub\eaglep3\Utilities\RefineRTDCRunTimes.py" --tripid 183-12 --locoid 4014 --swversion DE.1.0.9.0 --startMP 204:447 --initTime 2017-08-12T13:53:09 --startdatetime 2017-08-12T14:00:43 --delay 1 --endMP 204:233355 --enddatetime 2017-08-12T14:35:28 --enforcementcount 0 &gt;&gt;C:\Users\stu\Documents\GitHub\eaglep3-reporting\EC\2017-08-12-refined-times.txt</v>
      </c>
      <c r="AI96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{"issue":{"subject":"","project_id":79,"tracker_id":40,"status_id":1,"priority_id":2,"assigned_to_id":23,"start_date":"2017-08-12","description":"","custom_fields":[{"id":1,"name":"Subdivision","value":"EC"},{"id":4,"name":"Milepost","value":"23.3355"},{"id":17,"name":"Train ID","value":"183-12"},{"id":16,"name":"Locomotive ID","value":"4014"},{"id":130,"name":"Impact","value":""},{"id":150,"name":"Time of Event (Mountain Time)","value":"14:35:28"},{"id":151,"name":"Denver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51"/>
        <v>start /low /b %USERPROFILE%\Documents\GitHub\eaglep3\Utilities\DownloadLogsFromS3.py --loco 4014 --day 2017-08-12</v>
      </c>
      <c r="AN96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20:35:28"},{"id":29,"name":"Sharepoint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647</v>
      </c>
      <c r="B97" s="7">
        <v>4013</v>
      </c>
      <c r="C97" s="21" t="s">
        <v>198</v>
      </c>
      <c r="D97" s="21" t="s">
        <v>949</v>
      </c>
      <c r="E97" s="13">
        <v>42959.618645833332</v>
      </c>
      <c r="F97" s="13">
        <v>42959.622476851851</v>
      </c>
      <c r="G97" s="7">
        <v>2</v>
      </c>
      <c r="H97" s="21" t="s">
        <v>514</v>
      </c>
      <c r="I97" s="13">
        <v>42959.649108796293</v>
      </c>
      <c r="J97" s="7">
        <v>0</v>
      </c>
      <c r="K97" s="89" t="str">
        <f t="shared" si="39"/>
        <v>4013/4014</v>
      </c>
      <c r="L97" s="21" t="str">
        <f>VLOOKUP(A97,'Trips&amp;Operators'!$C$1:$G$99999,5,FALSE)</f>
        <v>DELGADO DIANAH</v>
      </c>
      <c r="M97" s="6">
        <f t="shared" si="40"/>
        <v>2.6631944441760425E-2</v>
      </c>
      <c r="N97" s="7">
        <f t="shared" si="54"/>
        <v>38.349999996135011</v>
      </c>
      <c r="O97" s="7"/>
      <c r="P97" s="7"/>
      <c r="Q97" s="22"/>
      <c r="R97" s="170"/>
      <c r="S97" s="213">
        <f t="shared" si="55"/>
        <v>1</v>
      </c>
      <c r="T97" s="195" t="str">
        <f t="shared" si="41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42"/>
        <v>https://d0f6bd738d7f1b3e5a7ca70fe4ff75f0.us-east-1.aws.found.io/app/kibana#/discover/Steve-Slow-Train-Analysis-(2080s-and-2083s)?_g=(refreshInterval:(display:Off,pause:!f,section:0,value:0),time:(from:'2017-08-12T13:50:51-0600',mode:absolute,to:'2017-08-12T16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7" s="197" t="str">
        <f>IF(AA97&lt;VLOOKUP(AG97,Variables!$AC$3:$AD$8,2,FALSE),"Y","N")</f>
        <v>N</v>
      </c>
      <c r="X97" s="197">
        <f t="shared" si="56"/>
        <v>1</v>
      </c>
      <c r="Y97" s="197">
        <f t="shared" si="37"/>
        <v>23.303799999999999</v>
      </c>
      <c r="Z97" s="197">
        <f t="shared" si="38"/>
        <v>1.34E-2</v>
      </c>
      <c r="AA97" s="197">
        <f t="shared" si="44"/>
        <v>23.290399999999998</v>
      </c>
      <c r="AB97" s="54" t="e">
        <f>VLOOKUP(A97,Enforcements!$C$7:$K$12,8,0)</f>
        <v>#N/A</v>
      </c>
      <c r="AC97" s="51" t="e">
        <f>VLOOKUP(A97,Enforcements!$C$7:$E$12,3,0)</f>
        <v>#N/A</v>
      </c>
      <c r="AD97" s="206">
        <f t="shared" si="45"/>
        <v>184</v>
      </c>
      <c r="AE97" s="77" t="str">
        <f t="shared" si="46"/>
        <v>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 &amp; aws s3 cp s3://rtdc.mdm.uploadarchive.raw/RTDC4013/ "%USERPROFILE%\AppData\Local\Temp\OnboardLogs"\RTDC4013\2017-08-13 --exclude "*" --recursive --include "*20170813*" &amp; "%USERPROFILE%\Documents\GitHub\mrs-test-scripts\Headless Mode &amp; Sideloading\WalkAndUnGZ.bat" "%USERPROFILE%\AppData\Local\Temp\OnboardLogs"\RTDC4013\2017-08-13</v>
      </c>
      <c r="AF97" s="74" t="str">
        <f t="shared" si="47"/>
        <v>"C:\Program Files (x86)\AstroGrep\AstroGrep.exe" /e /r /s /spath="%USERPROFILE%\AppData\Local\Temp\OnboardLogs" /stypes="app*4013*20170812*" /stext=" 21:.+((SYSTEM_STATE.+slice.+state.+changed )|(ment ac)|(multiple cpu faults)|(system.+state.+changed )|(\[timeout)|(PRM\|1\|D)|(kpr)|(kdp)|(train st.+moving)|(\|lc)|(penalty))"</v>
      </c>
      <c r="AG97" s="209" t="str">
        <f t="shared" si="48"/>
        <v>EC</v>
      </c>
      <c r="AH97" s="78" t="str">
        <f t="shared" si="49"/>
        <v>"%USERPROFILE%\Documents\GitHub\eaglep3\Utilities\RefineRTDCRunTimes.py" --tripid 184-12 --locoid 4013 --swversion DE.1.0.9.0 --startMP 204:233038 --initTime 2017-08-12T14:50:51 --startdatetime 2017-08-12T14:56:22 --delay 2 --endMP 204:134 --enddatetime 2017-08-12T15:34:43 --enforcementcount 0 &gt;&gt;C:\Users\stu\Documents\GitHub\eaglep3-reporting\EC\2017-08-12-refined-times.txt</v>
      </c>
      <c r="AI97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{"issue":{"subject":"","project_id":79,"tracker_id":40,"status_id":1,"priority_id":2,"assigned_to_id":23,"start_date":"2017-08-12","description":"","custom_fields":[{"id":1,"name":"Subdivision","value":"EC"},{"id":4,"name":"Milepost","value":"0.0134"},{"id":17,"name":"Train ID","value":"184-12"},{"id":16,"name":"Locomotive ID","value":"4013"},{"id":130,"name":"Impact","value":""},{"id":150,"name":"Time of Event (Mountain Time)","value":"15:34:43"},{"id":151,"name":"Denver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51"/>
        <v>start /low /b %USERPROFILE%\Documents\GitHub\eaglep3\Utilities\DownloadLogsFromS3.py --loco 4013 --day 2017-08-12</v>
      </c>
      <c r="AN97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21:34:43"},{"id":29,"name":"Sharepoint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787</v>
      </c>
      <c r="B98" s="7">
        <v>4032</v>
      </c>
      <c r="C98" s="21" t="s">
        <v>198</v>
      </c>
      <c r="D98" s="21" t="s">
        <v>513</v>
      </c>
      <c r="E98" s="13">
        <v>42959.589131944442</v>
      </c>
      <c r="F98" s="13">
        <v>42959.594259259262</v>
      </c>
      <c r="G98" s="7">
        <v>1</v>
      </c>
      <c r="H98" s="21" t="s">
        <v>927</v>
      </c>
      <c r="I98" s="13">
        <v>42959.619768518518</v>
      </c>
      <c r="J98" s="7">
        <v>0</v>
      </c>
      <c r="K98" s="89" t="str">
        <f t="shared" si="39"/>
        <v>4031/4032</v>
      </c>
      <c r="L98" s="21" t="str">
        <f>VLOOKUP(A98,'Trips&amp;Operators'!$C$1:$G$99999,5,FALSE)</f>
        <v>LOPES KIMBERLY</v>
      </c>
      <c r="M98" s="6">
        <f t="shared" si="40"/>
        <v>2.5509259256068617E-2</v>
      </c>
      <c r="N98" s="7">
        <f t="shared" si="54"/>
        <v>36.733333328738809</v>
      </c>
      <c r="O98" s="7"/>
      <c r="P98" s="7"/>
      <c r="Q98" s="22"/>
      <c r="R98" s="170"/>
      <c r="S98" s="213">
        <f t="shared" si="55"/>
        <v>1</v>
      </c>
      <c r="T98" s="195" t="str">
        <f t="shared" si="41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42"/>
        <v>https://d0f6bd738d7f1b3e5a7ca70fe4ff75f0.us-east-1.aws.found.io/app/kibana#/discover/Steve-Slow-Train-Analysis-(2080s-and-2083s)?_g=(refreshInterval:(display:Off,pause:!f,section:0,value:0),time:(from:'2017-08-12T13:08:21-0600',mode:absolute,to:'2017-08-12T15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8" s="197" t="str">
        <f>IF(AA98&lt;VLOOKUP(AG98,Variables!$AC$3:$AD$8,2,FALSE),"Y","N")</f>
        <v>N</v>
      </c>
      <c r="X98" s="197">
        <f t="shared" si="56"/>
        <v>1</v>
      </c>
      <c r="Y98" s="197">
        <f t="shared" si="37"/>
        <v>4.4200000000000003E-2</v>
      </c>
      <c r="Z98" s="197">
        <f t="shared" si="38"/>
        <v>23.3353</v>
      </c>
      <c r="AA98" s="197">
        <f t="shared" si="44"/>
        <v>23.2911</v>
      </c>
      <c r="AB98" s="54" t="e">
        <f>VLOOKUP(A98,Enforcements!$C$7:$K$12,8,0)</f>
        <v>#N/A</v>
      </c>
      <c r="AC98" s="51" t="e">
        <f>VLOOKUP(A98,Enforcements!$C$7:$E$12,3,0)</f>
        <v>#N/A</v>
      </c>
      <c r="AD98" s="206">
        <f t="shared" si="45"/>
        <v>185</v>
      </c>
      <c r="AE98" s="77" t="str">
        <f t="shared" si="46"/>
        <v>aws s3 cp s3://rtdc.mdm.uploadarchive.raw/RTDC4032/ "%USERPROFILE%\AppData\Local\Temp\OnboardLogs"\RTDC4032\2017-08-12 --exclude "*" --recursive --include "*20170812*" &amp; "%USERPROFILE%\Documents\GitHub\mrs-test-scripts\Headless Mode &amp; Sideloading\WalkAndUnGZ.bat" "%USERPROFILE%\AppData\Local\Temp\OnboardLogs"\RTDC4032\2017-08-12 &amp; aws s3 cp s3://rtdc.mdm.uploadarchive.raw/RTDC4032/ "%USERPROFILE%\AppData\Local\Temp\OnboardLogs"\RTDC4032\2017-08-13 --exclude "*" --recursive --include "*20170813*" &amp; "%USERPROFILE%\Documents\GitHub\mrs-test-scripts\Headless Mode &amp; Sideloading\WalkAndUnGZ.bat" "%USERPROFILE%\AppData\Local\Temp\OnboardLogs"\RTDC4032\2017-08-13</v>
      </c>
      <c r="AF98" s="74" t="str">
        <f t="shared" si="47"/>
        <v>"C:\Program Files (x86)\AstroGrep\AstroGrep.exe" /e /r /s /spath="%USERPROFILE%\AppData\Local\Temp\OnboardLogs" /stypes="app*4032*20170812*" /stext=" 20:.+((SYSTEM_STATE.+slice.+state.+changed )|(ment ac)|(multiple cpu faults)|(system.+state.+changed )|(\[timeout)|(PRM\|1\|D)|(kpr)|(kdp)|(train st.+moving)|(\|lc)|(penalty))"</v>
      </c>
      <c r="AG98" s="209" t="str">
        <f t="shared" si="48"/>
        <v>EC</v>
      </c>
      <c r="AH98" s="78" t="str">
        <f t="shared" si="49"/>
        <v>"%USERPROFILE%\Documents\GitHub\eaglep3\Utilities\RefineRTDCRunTimes.py" --tripid 185-12 --locoid 4032 --swversion DE.1.0.9.0 --startMP 204:442 --initTime 2017-08-12T14:08:21 --startdatetime 2017-08-12T14:15:44 --delay 1 --endMP 204:233353 --enddatetime 2017-08-12T14:52:28 --enforcementcount 0 &gt;&gt;C:\Users\stu\Documents\GitHub\eaglep3-reporting\EC\2017-08-12-refined-times.txt</v>
      </c>
      <c r="AI98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{"issue":{"subject":"","project_id":79,"tracker_id":40,"status_id":1,"priority_id":2,"assigned_to_id":23,"start_date":"2017-08-12","description":"","custom_fields":[{"id":1,"name":"Subdivision","value":"EC"},{"id":4,"name":"Milepost","value":"23.3353"},{"id":17,"name":"Train ID","value":"185-12"},{"id":16,"name":"Locomotive ID","value":"4032"},{"id":130,"name":"Impact","value":""},{"id":150,"name":"Time of Event (Mountain Time)","value":"14:52:28"},{"id":151,"name":"Denver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51"/>
        <v>start /low /b %USERPROFILE%\Documents\GitHub\eaglep3\Utilities\DownloadLogsFromS3.py --loco 4032 --day 2017-08-12</v>
      </c>
      <c r="AN98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20:52:28"},{"id":29,"name":"Sharepoint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793</v>
      </c>
      <c r="B99" s="7">
        <v>4031</v>
      </c>
      <c r="C99" s="21" t="s">
        <v>198</v>
      </c>
      <c r="D99" s="21" t="s">
        <v>950</v>
      </c>
      <c r="E99" s="13">
        <v>42959.628877314812</v>
      </c>
      <c r="F99" s="13">
        <v>42959.633576388886</v>
      </c>
      <c r="G99" s="7">
        <v>1</v>
      </c>
      <c r="H99" s="21" t="s">
        <v>348</v>
      </c>
      <c r="I99" s="13">
        <v>42959.660787037035</v>
      </c>
      <c r="J99" s="7">
        <v>0</v>
      </c>
      <c r="K99" s="89" t="str">
        <f t="shared" si="39"/>
        <v>4031/4032</v>
      </c>
      <c r="L99" s="21" t="str">
        <f>VLOOKUP(A99,'Trips&amp;Operators'!$C$1:$G$99999,5,FALSE)</f>
        <v>LOPES KIMBERLY</v>
      </c>
      <c r="M99" s="6">
        <f t="shared" si="40"/>
        <v>2.7210648149775807E-2</v>
      </c>
      <c r="N99" s="7">
        <f t="shared" si="54"/>
        <v>39.183333335677162</v>
      </c>
      <c r="O99" s="7"/>
      <c r="P99" s="7"/>
      <c r="Q99" s="22"/>
      <c r="R99" s="170"/>
      <c r="S99" s="213">
        <f t="shared" si="55"/>
        <v>1</v>
      </c>
      <c r="T99" s="195" t="str">
        <f t="shared" si="41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42"/>
        <v>https://d0f6bd738d7f1b3e5a7ca70fe4ff75f0.us-east-1.aws.found.io/app/kibana#/discover/Steve-Slow-Train-Analysis-(2080s-and-2083s)?_g=(refreshInterval:(display:Off,pause:!f,section:0,value:0),time:(from:'2017-08-12T14:05:35-0600',mode:absolute,to:'2017-08-12T16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9" s="197" t="str">
        <f>IF(AA99&lt;VLOOKUP(AG99,Variables!$AC$3:$AD$8,2,FALSE),"Y","N")</f>
        <v>N</v>
      </c>
      <c r="X99" s="197">
        <f t="shared" si="56"/>
        <v>1</v>
      </c>
      <c r="Y99" s="197">
        <f t="shared" si="37"/>
        <v>23.3034</v>
      </c>
      <c r="Z99" s="197">
        <f t="shared" si="38"/>
        <v>1.3899999999999999E-2</v>
      </c>
      <c r="AA99" s="197">
        <f t="shared" si="44"/>
        <v>23.2895</v>
      </c>
      <c r="AB99" s="54" t="e">
        <f>VLOOKUP(A99,Enforcements!$C$7:$K$12,8,0)</f>
        <v>#N/A</v>
      </c>
      <c r="AC99" s="51" t="e">
        <f>VLOOKUP(A99,Enforcements!$C$7:$E$12,3,0)</f>
        <v>#N/A</v>
      </c>
      <c r="AD99" s="206">
        <f t="shared" si="45"/>
        <v>186</v>
      </c>
      <c r="AE99" s="77" t="str">
        <f t="shared" si="46"/>
        <v>aws s3 cp s3://rtdc.mdm.uploadarchive.raw/RTDC4031/ "%USERPROFILE%\AppData\Local\Temp\OnboardLogs"\RTDC4031\2017-08-12 --exclude "*" --recursive --include "*20170812*" &amp; "%USERPROFILE%\Documents\GitHub\mrs-test-scripts\Headless Mode &amp; Sideloading\WalkAndUnGZ.bat" "%USERPROFILE%\AppData\Local\Temp\OnboardLogs"\RTDC4031\2017-08-12 &amp; aws s3 cp s3://rtdc.mdm.uploadarchive.raw/RTDC4031/ "%USERPROFILE%\AppData\Local\Temp\OnboardLogs"\RTDC4031\2017-08-13 --exclude "*" --recursive --include "*20170813*" &amp; "%USERPROFILE%\Documents\GitHub\mrs-test-scripts\Headless Mode &amp; Sideloading\WalkAndUnGZ.bat" "%USERPROFILE%\AppData\Local\Temp\OnboardLogs"\RTDC4031\2017-08-13</v>
      </c>
      <c r="AF99" s="74" t="str">
        <f t="shared" si="47"/>
        <v>"C:\Program Files (x86)\AstroGrep\AstroGrep.exe" /e /r /s /spath="%USERPROFILE%\AppData\Local\Temp\OnboardLogs" /stypes="app*4031*20170812*" /stext=" 21:.+((SYSTEM_STATE.+slice.+state.+changed )|(ment ac)|(multiple cpu faults)|(system.+state.+changed )|(\[timeout)|(PRM\|1\|D)|(kpr)|(kdp)|(train st.+moving)|(\|lc)|(penalty))"</v>
      </c>
      <c r="AG99" s="209" t="str">
        <f t="shared" si="48"/>
        <v>EC</v>
      </c>
      <c r="AH99" s="78" t="str">
        <f t="shared" si="49"/>
        <v>"%USERPROFILE%\Documents\GitHub\eaglep3\Utilities\RefineRTDCRunTimes.py" --tripid 186-12 --locoid 4031 --swversion DE.1.0.9.0 --startMP 204:233034 --initTime 2017-08-12T15:05:35 --startdatetime 2017-08-12T15:12:21 --delay 1 --endMP 204:139 --enddatetime 2017-08-12T15:51:32 --enforcementcount 0 &gt;&gt;C:\Users\stu\Documents\GitHub\eaglep3-reporting\EC\2017-08-12-refined-times.txt</v>
      </c>
      <c r="AI99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{"issue":{"subject":"","project_id":79,"tracker_id":40,"status_id":1,"priority_id":2,"assigned_to_id":23,"start_date":"2017-08-12","description":"","custom_fields":[{"id":1,"name":"Subdivision","value":"EC"},{"id":4,"name":"Milepost","value":"0.0139"},{"id":17,"name":"Train ID","value":"186-12"},{"id":16,"name":"Locomotive ID","value":"4031"},{"id":130,"name":"Impact","value":""},{"id":150,"name":"Time of Event (Mountain Time)","value":"15:51:32"},{"id":151,"name":"Denver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51"/>
        <v>start /low /b %USERPROFILE%\Documents\GitHub\eaglep3\Utilities\DownloadLogsFromS3.py --loco 4031 --day 2017-08-12</v>
      </c>
      <c r="AN99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21:51:32"},{"id":29,"name":"Sharepoint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644</v>
      </c>
      <c r="B100" s="7">
        <v>4064</v>
      </c>
      <c r="C100" s="21" t="s">
        <v>198</v>
      </c>
      <c r="D100" s="21" t="s">
        <v>951</v>
      </c>
      <c r="E100" s="13">
        <v>42959.603356481479</v>
      </c>
      <c r="F100" s="13">
        <v>42959.605636574073</v>
      </c>
      <c r="G100" s="7">
        <v>2</v>
      </c>
      <c r="H100" s="21" t="s">
        <v>952</v>
      </c>
      <c r="I100" s="13">
        <v>42959.629444444443</v>
      </c>
      <c r="J100" s="7">
        <v>0</v>
      </c>
      <c r="K100" s="89" t="str">
        <f t="shared" si="39"/>
        <v>4063/4064</v>
      </c>
      <c r="L100" s="21" t="str">
        <f>VLOOKUP(A100,'Trips&amp;Operators'!$C$1:$G$99999,5,FALSE)</f>
        <v>HOLCOMB KAMDEN</v>
      </c>
      <c r="M100" s="6">
        <f t="shared" si="40"/>
        <v>2.3807870369637385E-2</v>
      </c>
      <c r="N100" s="7">
        <f t="shared" si="54"/>
        <v>34.283333332277834</v>
      </c>
      <c r="O100" s="7"/>
      <c r="P100" s="7"/>
      <c r="Q100" s="22"/>
      <c r="R100" s="170"/>
      <c r="S100" s="213">
        <f t="shared" si="55"/>
        <v>1</v>
      </c>
      <c r="T100" s="195" t="str">
        <f t="shared" si="41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42"/>
        <v>https://d0f6bd738d7f1b3e5a7ca70fe4ff75f0.us-east-1.aws.found.io/app/kibana#/discover/Steve-Slow-Train-Analysis-(2080s-and-2083s)?_g=(refreshInterval:(display:Off,pause:!f,section:0,value:0),time:(from:'2017-08-12T13:28:50-0600',mode:absolute,to:'2017-08-12T16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0" s="197" t="str">
        <f>IF(AA100&lt;VLOOKUP(AG100,Variables!$AC$3:$AD$8,2,FALSE),"Y","N")</f>
        <v>N</v>
      </c>
      <c r="X100" s="197">
        <f t="shared" si="56"/>
        <v>1</v>
      </c>
      <c r="Y100" s="197">
        <f t="shared" si="37"/>
        <v>0.13489999999999999</v>
      </c>
      <c r="Z100" s="197">
        <f t="shared" si="38"/>
        <v>23.340199999999999</v>
      </c>
      <c r="AA100" s="197">
        <f t="shared" si="44"/>
        <v>23.205300000000001</v>
      </c>
      <c r="AB100" s="54" t="e">
        <f>VLOOKUP(A100,Enforcements!$C$7:$K$12,8,0)</f>
        <v>#N/A</v>
      </c>
      <c r="AC100" s="51" t="e">
        <f>VLOOKUP(A100,Enforcements!$C$7:$E$12,3,0)</f>
        <v>#N/A</v>
      </c>
      <c r="AD100" s="206">
        <f t="shared" si="45"/>
        <v>187</v>
      </c>
      <c r="AE100" s="77" t="str">
        <f t="shared" si="46"/>
        <v>aws s3 cp s3://rtdc.mdm.uploadarchive.raw/RTDC4064/ "%USERPROFILE%\AppData\Local\Temp\OnboardLogs"\RTDC4064\2017-08-12 --exclude "*" --recursive --include "*20170812*" &amp; "%USERPROFILE%\Documents\GitHub\mrs-test-scripts\Headless Mode &amp; Sideloading\WalkAndUnGZ.bat" "%USERPROFILE%\AppData\Local\Temp\OnboardLogs"\RTDC4064\2017-08-12 &amp; aws s3 cp s3://rtdc.mdm.uploadarchive.raw/RTDC4064/ "%USERPROFILE%\AppData\Local\Temp\OnboardLogs"\RTDC4064\2017-08-13 --exclude "*" --recursive --include "*20170813*" &amp; "%USERPROFILE%\Documents\GitHub\mrs-test-scripts\Headless Mode &amp; Sideloading\WalkAndUnGZ.bat" "%USERPROFILE%\AppData\Local\Temp\OnboardLogs"\RTDC4064\2017-08-13</v>
      </c>
      <c r="AF100" s="74" t="str">
        <f t="shared" si="47"/>
        <v>"C:\Program Files (x86)\AstroGrep\AstroGrep.exe" /e /r /s /spath="%USERPROFILE%\AppData\Local\Temp\OnboardLogs" /stypes="app*4064*20170812*" /stext=" 21:.+((SYSTEM_STATE.+slice.+state.+changed )|(ment ac)|(multiple cpu faults)|(system.+state.+changed )|(\[timeout)|(PRM\|1\|D)|(kpr)|(kdp)|(train st.+moving)|(\|lc)|(penalty))"</v>
      </c>
      <c r="AG100" s="209" t="str">
        <f t="shared" si="48"/>
        <v>EC</v>
      </c>
      <c r="AH100" s="78" t="str">
        <f t="shared" si="49"/>
        <v>"%USERPROFILE%\Documents\GitHub\eaglep3\Utilities\RefineRTDCRunTimes.py" --tripid 187-12 --locoid 4064 --swversion DE.1.0.9.0 --startMP 204:1349 --initTime 2017-08-12T14:28:50 --startdatetime 2017-08-12T14:32:07 --delay 2 --endMP 204:233402 --enddatetime 2017-08-12T15:06:24 --enforcementcount 0 &gt;&gt;C:\Users\stu\Documents\GitHub\eaglep3-reporting\EC\2017-08-12-refined-times.txt</v>
      </c>
      <c r="AI100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{"issue":{"subject":"","project_id":79,"tracker_id":40,"status_id":1,"priority_id":2,"assigned_to_id":23,"start_date":"2017-08-12","description":"","custom_fields":[{"id":1,"name":"Subdivision","value":"EC"},{"id":4,"name":"Milepost","value":"23.3402"},{"id":17,"name":"Train ID","value":"187-12"},{"id":16,"name":"Locomotive ID","value":"4064"},{"id":130,"name":"Impact","value":""},{"id":150,"name":"Time of Event (Mountain Time)","value":"15:06:24"},{"id":151,"name":"Denver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51"/>
        <v>start /low /b %USERPROFILE%\Documents\GitHub\eaglep3\Utilities\DownloadLogsFromS3.py --loco 4064 --day 2017-08-12</v>
      </c>
      <c r="AN100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21:06:24"},{"id":29,"name":"Sharepoint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795</v>
      </c>
      <c r="B101" s="7">
        <v>4063</v>
      </c>
      <c r="C101" s="21" t="s">
        <v>198</v>
      </c>
      <c r="D101" s="21" t="s">
        <v>953</v>
      </c>
      <c r="E101" s="13">
        <v>42959.639502314814</v>
      </c>
      <c r="F101" s="13">
        <v>42959.643923611111</v>
      </c>
      <c r="G101" s="7">
        <v>1</v>
      </c>
      <c r="H101" s="21" t="s">
        <v>514</v>
      </c>
      <c r="I101" s="13">
        <v>42959.670763888891</v>
      </c>
      <c r="J101" s="7">
        <v>0</v>
      </c>
      <c r="K101" s="89" t="str">
        <f t="shared" si="39"/>
        <v>4063/4064</v>
      </c>
      <c r="L101" s="21" t="str">
        <f>VLOOKUP(A101,'Trips&amp;Operators'!$C$1:$G$99999,5,FALSE)</f>
        <v>HOLCOMB KAMDEN</v>
      </c>
      <c r="M101" s="6">
        <f t="shared" si="40"/>
        <v>2.6840277780138422E-2</v>
      </c>
      <c r="N101" s="7">
        <f t="shared" si="54"/>
        <v>38.650000003399327</v>
      </c>
      <c r="O101" s="7"/>
      <c r="P101" s="7"/>
      <c r="Q101" s="22"/>
      <c r="R101" s="170"/>
      <c r="S101" s="213">
        <f t="shared" si="55"/>
        <v>1</v>
      </c>
      <c r="T101" s="195" t="str">
        <f t="shared" si="41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42"/>
        <v>https://d0f6bd738d7f1b3e5a7ca70fe4ff75f0.us-east-1.aws.found.io/app/kibana#/discover/Steve-Slow-Train-Analysis-(2080s-and-2083s)?_g=(refreshInterval:(display:Off,pause:!f,section:0,value:0),time:(from:'2017-08-12T14:20:53-0600',mode:absolute,to:'2017-08-12T17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1" s="197" t="str">
        <f>IF(AA101&lt;VLOOKUP(AG101,Variables!$AC$3:$AD$8,2,FALSE),"Y","N")</f>
        <v>N</v>
      </c>
      <c r="X101" s="197">
        <f t="shared" si="56"/>
        <v>1</v>
      </c>
      <c r="Y101" s="197">
        <f t="shared" si="37"/>
        <v>23.311699999999998</v>
      </c>
      <c r="Z101" s="197">
        <f t="shared" si="38"/>
        <v>1.34E-2</v>
      </c>
      <c r="AA101" s="197">
        <f t="shared" si="44"/>
        <v>23.298299999999998</v>
      </c>
      <c r="AB101" s="54" t="e">
        <f>VLOOKUP(A101,Enforcements!$C$7:$K$12,8,0)</f>
        <v>#N/A</v>
      </c>
      <c r="AC101" s="51" t="e">
        <f>VLOOKUP(A101,Enforcements!$C$7:$E$12,3,0)</f>
        <v>#N/A</v>
      </c>
      <c r="AD101" s="206">
        <f t="shared" si="45"/>
        <v>188</v>
      </c>
      <c r="AE101" s="77" t="str">
        <f t="shared" si="46"/>
        <v>aws s3 cp s3://rtdc.mdm.uploadarchive.raw/RTDC4063/ "%USERPROFILE%\AppData\Local\Temp\OnboardLogs"\RTDC4063\2017-08-12 --exclude "*" --recursive --include "*20170812*" &amp; "%USERPROFILE%\Documents\GitHub\mrs-test-scripts\Headless Mode &amp; Sideloading\WalkAndUnGZ.bat" "%USERPROFILE%\AppData\Local\Temp\OnboardLogs"\RTDC4063\2017-08-12 &amp; aws s3 cp s3://rtdc.mdm.uploadarchive.raw/RTDC4063/ "%USERPROFILE%\AppData\Local\Temp\OnboardLogs"\RTDC4063\2017-08-13 --exclude "*" --recursive --include "*20170813*" &amp; "%USERPROFILE%\Documents\GitHub\mrs-test-scripts\Headless Mode &amp; Sideloading\WalkAndUnGZ.bat" "%USERPROFILE%\AppData\Local\Temp\OnboardLogs"\RTDC4063\2017-08-13</v>
      </c>
      <c r="AF101" s="74" t="str">
        <f t="shared" si="47"/>
        <v>"C:\Program Files (x86)\AstroGrep\AstroGrep.exe" /e /r /s /spath="%USERPROFILE%\AppData\Local\Temp\OnboardLogs" /stypes="app*4063*20170812*" /stext=" 22:.+((SYSTEM_STATE.+slice.+state.+changed )|(ment ac)|(multiple cpu faults)|(system.+state.+changed )|(\[timeout)|(PRM\|1\|D)|(kpr)|(kdp)|(train st.+moving)|(\|lc)|(penalty))"</v>
      </c>
      <c r="AG101" s="209" t="str">
        <f t="shared" si="48"/>
        <v>EC</v>
      </c>
      <c r="AH101" s="78" t="str">
        <f t="shared" si="49"/>
        <v>"%USERPROFILE%\Documents\GitHub\eaglep3\Utilities\RefineRTDCRunTimes.py" --tripid 188-12 --locoid 4063 --swversion DE.1.0.9.0 --startMP 204:233117 --initTime 2017-08-12T15:20:53 --startdatetime 2017-08-12T15:27:15 --delay 1 --endMP 204:134 --enddatetime 2017-08-12T16:05:54 --enforcementcount 0 &gt;&gt;C:\Users\stu\Documents\GitHub\eaglep3-reporting\EC\2017-08-12-refined-times.txt</v>
      </c>
      <c r="AI101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{"issue":{"subject":"","project_id":79,"tracker_id":40,"status_id":1,"priority_id":2,"assigned_to_id":23,"start_date":"2017-08-12","description":"","custom_fields":[{"id":1,"name":"Subdivision","value":"EC"},{"id":4,"name":"Milepost","value":"0.0134"},{"id":17,"name":"Train ID","value":"188-12"},{"id":16,"name":"Locomotive ID","value":"4063"},{"id":130,"name":"Impact","value":""},{"id":150,"name":"Time of Event (Mountain Time)","value":"16:05:54"},{"id":151,"name":"Denver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51"/>
        <v>start /low /b %USERPROFILE%\Documents\GitHub\eaglep3\Utilities\DownloadLogsFromS3.py --loco 4063 --day 2017-08-12</v>
      </c>
      <c r="AN101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22:05:54"},{"id":29,"name":"Sharepoint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790</v>
      </c>
      <c r="B102" s="7">
        <v>4050</v>
      </c>
      <c r="C102" s="21" t="s">
        <v>198</v>
      </c>
      <c r="D102" s="21" t="s">
        <v>447</v>
      </c>
      <c r="E102" s="13">
        <v>42959.612407407411</v>
      </c>
      <c r="F102" s="13">
        <v>42959.615023148152</v>
      </c>
      <c r="G102" s="7">
        <v>1</v>
      </c>
      <c r="H102" s="21" t="s">
        <v>493</v>
      </c>
      <c r="I102" s="13">
        <v>42959.642395833333</v>
      </c>
      <c r="J102" s="7">
        <v>0</v>
      </c>
      <c r="K102" s="89" t="str">
        <f t="shared" si="39"/>
        <v>4049/4050</v>
      </c>
      <c r="L102" s="21" t="str">
        <f>VLOOKUP(A102,'Trips&amp;Operators'!$C$1:$G$99999,5,FALSE)</f>
        <v>DAVIS MICHAEL</v>
      </c>
      <c r="M102" s="6">
        <f t="shared" si="40"/>
        <v>2.7372685181035195E-2</v>
      </c>
      <c r="N102" s="7">
        <f t="shared" si="54"/>
        <v>39.41666666069068</v>
      </c>
      <c r="O102" s="7"/>
      <c r="P102" s="7"/>
      <c r="Q102" s="22"/>
      <c r="R102" s="170"/>
      <c r="S102" s="213">
        <f t="shared" si="55"/>
        <v>1</v>
      </c>
      <c r="T102" s="195" t="str">
        <f t="shared" si="41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42"/>
        <v>https://d0f6bd738d7f1b3e5a7ca70fe4ff75f0.us-east-1.aws.found.io/app/kibana#/discover/Steve-Slow-Train-Analysis-(2080s-and-2083s)?_g=(refreshInterval:(display:Off,pause:!f,section:0,value:0),time:(from:'2017-08-12T13:41:52-0600',mode:absolute,to:'2017-08-12T16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2" s="197" t="str">
        <f>IF(AA102&lt;VLOOKUP(AG102,Variables!$AC$3:$AD$8,2,FALSE),"Y","N")</f>
        <v>N</v>
      </c>
      <c r="X102" s="197">
        <f t="shared" si="56"/>
        <v>1</v>
      </c>
      <c r="Y102" s="197">
        <f t="shared" si="37"/>
        <v>4.5699999999999998E-2</v>
      </c>
      <c r="Z102" s="197">
        <f t="shared" si="38"/>
        <v>23.3307</v>
      </c>
      <c r="AA102" s="197">
        <f t="shared" si="44"/>
        <v>23.285</v>
      </c>
      <c r="AB102" s="54" t="e">
        <f>VLOOKUP(A102,Enforcements!$C$7:$K$12,8,0)</f>
        <v>#N/A</v>
      </c>
      <c r="AC102" s="51" t="e">
        <f>VLOOKUP(A102,Enforcements!$C$7:$E$12,3,0)</f>
        <v>#N/A</v>
      </c>
      <c r="AD102" s="206">
        <f t="shared" si="45"/>
        <v>189</v>
      </c>
      <c r="AE102" s="77" t="str">
        <f t="shared" si="46"/>
        <v>aws s3 cp s3://rtdc.mdm.uploadarchive.raw/RTDC4050/ "%USERPROFILE%\AppData\Local\Temp\OnboardLogs"\RTDC4050\2017-08-12 --exclude "*" --recursive --include "*20170812*" &amp; "%USERPROFILE%\Documents\GitHub\mrs-test-scripts\Headless Mode &amp; Sideloading\WalkAndUnGZ.bat" "%USERPROFILE%\AppData\Local\Temp\OnboardLogs"\RTDC4050\2017-08-12 &amp; aws s3 cp s3://rtdc.mdm.uploadarchive.raw/RTDC4050/ "%USERPROFILE%\AppData\Local\Temp\OnboardLogs"\RTDC4050\2017-08-13 --exclude "*" --recursive --include "*20170813*" &amp; "%USERPROFILE%\Documents\GitHub\mrs-test-scripts\Headless Mode &amp; Sideloading\WalkAndUnGZ.bat" "%USERPROFILE%\AppData\Local\Temp\OnboardLogs"\RTDC4050\2017-08-13</v>
      </c>
      <c r="AF102" s="74" t="str">
        <f t="shared" si="47"/>
        <v>"C:\Program Files (x86)\AstroGrep\AstroGrep.exe" /e /r /s /spath="%USERPROFILE%\AppData\Local\Temp\OnboardLogs" /stypes="app*4050*20170812*" /stext=" 21:.+((SYSTEM_STATE.+slice.+state.+changed )|(ment ac)|(multiple cpu faults)|(system.+state.+changed )|(\[timeout)|(PRM\|1\|D)|(kpr)|(kdp)|(train st.+moving)|(\|lc)|(penalty))"</v>
      </c>
      <c r="AG102" s="209" t="str">
        <f t="shared" si="48"/>
        <v>EC</v>
      </c>
      <c r="AH102" s="78" t="str">
        <f t="shared" si="49"/>
        <v>"%USERPROFILE%\Documents\GitHub\eaglep3\Utilities\RefineRTDCRunTimes.py" --tripid 189-12 --locoid 4050 --swversion DE.1.0.9.0 --startMP 204:457 --initTime 2017-08-12T14:41:52 --startdatetime 2017-08-12T14:45:38 --delay 1 --endMP 204:233307 --enddatetime 2017-08-12T15:25:03 --enforcementcount 0 &gt;&gt;C:\Users\stu\Documents\GitHub\eaglep3-reporting\EC\2017-08-12-refined-times.txt</v>
      </c>
      <c r="AI102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{"issue":{"subject":"","project_id":79,"tracker_id":40,"status_id":1,"priority_id":2,"assigned_to_id":23,"start_date":"2017-08-12","description":"","custom_fields":[{"id":1,"name":"Subdivision","value":"EC"},{"id":4,"name":"Milepost","value":"23.3307"},{"id":17,"name":"Train ID","value":"189-12"},{"id":16,"name":"Locomotive ID","value":"4050"},{"id":130,"name":"Impact","value":""},{"id":150,"name":"Time of Event (Mountain Time)","value":"15:25:03"},{"id":151,"name":"Denver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51"/>
        <v>start /low /b %USERPROFILE%\Documents\GitHub\eaglep3\Utilities\DownloadLogsFromS3.py --loco 4050 --day 2017-08-12</v>
      </c>
      <c r="AN102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21:25:03"},{"id":29,"name":"Sharepoint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798</v>
      </c>
      <c r="B103" s="7">
        <v>4049</v>
      </c>
      <c r="C103" s="21" t="s">
        <v>198</v>
      </c>
      <c r="D103" s="21" t="s">
        <v>445</v>
      </c>
      <c r="E103" s="13">
        <v>42959.652997685182</v>
      </c>
      <c r="F103" s="13">
        <v>42959.654768518521</v>
      </c>
      <c r="G103" s="7">
        <v>1</v>
      </c>
      <c r="H103" s="21" t="s">
        <v>474</v>
      </c>
      <c r="I103" s="13">
        <v>42959.682592592595</v>
      </c>
      <c r="J103" s="7">
        <v>0</v>
      </c>
      <c r="K103" s="89" t="str">
        <f t="shared" si="39"/>
        <v>4049/4050</v>
      </c>
      <c r="L103" s="21" t="str">
        <f>VLOOKUP(A103,'Trips&amp;Operators'!$C$1:$G$99999,5,FALSE)</f>
        <v>DAVIS MICHAEL</v>
      </c>
      <c r="M103" s="6">
        <f t="shared" si="40"/>
        <v>2.7824074073578231E-2</v>
      </c>
      <c r="N103" s="7">
        <f t="shared" si="54"/>
        <v>40.066666665952653</v>
      </c>
      <c r="O103" s="7"/>
      <c r="P103" s="7"/>
      <c r="Q103" s="22"/>
      <c r="R103" s="170"/>
      <c r="S103" s="213">
        <f t="shared" si="55"/>
        <v>1</v>
      </c>
      <c r="T103" s="195" t="str">
        <f t="shared" si="41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42"/>
        <v>https://d0f6bd738d7f1b3e5a7ca70fe4ff75f0.us-east-1.aws.found.io/app/kibana#/discover/Steve-Slow-Train-Analysis-(2080s-and-2083s)?_g=(refreshInterval:(display:Off,pause:!f,section:0,value:0),time:(from:'2017-08-12T14:40:19-0600',mode:absolute,to:'2017-08-12T17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3" s="197" t="str">
        <f>IF(AA103&lt;VLOOKUP(AG103,Variables!$AC$3:$AD$8,2,FALSE),"Y","N")</f>
        <v>N</v>
      </c>
      <c r="X103" s="197">
        <f t="shared" si="56"/>
        <v>1</v>
      </c>
      <c r="Y103" s="197">
        <f t="shared" ref="Y103:Y123" si="57">RIGHT(D103,LEN(D103)-4)/10000</f>
        <v>23.299800000000001</v>
      </c>
      <c r="Z103" s="197">
        <f t="shared" ref="Z103:Z123" si="58">RIGHT(H103,LEN(H103)-4)/10000</f>
        <v>1.32E-2</v>
      </c>
      <c r="AA103" s="197">
        <f t="shared" si="44"/>
        <v>23.2866</v>
      </c>
      <c r="AB103" s="54" t="e">
        <f>VLOOKUP(A103,Enforcements!$C$7:$K$12,8,0)</f>
        <v>#N/A</v>
      </c>
      <c r="AC103" s="51" t="e">
        <f>VLOOKUP(A103,Enforcements!$C$7:$E$12,3,0)</f>
        <v>#N/A</v>
      </c>
      <c r="AD103" s="206">
        <f t="shared" si="45"/>
        <v>190</v>
      </c>
      <c r="AE103" s="77" t="str">
        <f t="shared" si="46"/>
        <v>aws s3 cp s3://rtdc.mdm.uploadarchive.raw/RTDC4049/ "%USERPROFILE%\AppData\Local\Temp\OnboardLogs"\RTDC4049\2017-08-12 --exclude "*" --recursive --include "*20170812*" &amp; "%USERPROFILE%\Documents\GitHub\mrs-test-scripts\Headless Mode &amp; Sideloading\WalkAndUnGZ.bat" "%USERPROFILE%\AppData\Local\Temp\OnboardLogs"\RTDC4049\2017-08-12 &amp; aws s3 cp s3://rtdc.mdm.uploadarchive.raw/RTDC4049/ "%USERPROFILE%\AppData\Local\Temp\OnboardLogs"\RTDC4049\2017-08-13 --exclude "*" --recursive --include "*20170813*" &amp; "%USERPROFILE%\Documents\GitHub\mrs-test-scripts\Headless Mode &amp; Sideloading\WalkAndUnGZ.bat" "%USERPROFILE%\AppData\Local\Temp\OnboardLogs"\RTDC4049\2017-08-13</v>
      </c>
      <c r="AF103" s="74" t="str">
        <f t="shared" si="47"/>
        <v>"C:\Program Files (x86)\AstroGrep\AstroGrep.exe" /e /r /s /spath="%USERPROFILE%\AppData\Local\Temp\OnboardLogs" /stypes="app*4049*20170812*" /stext=" 22:.+((SYSTEM_STATE.+slice.+state.+changed )|(ment ac)|(multiple cpu faults)|(system.+state.+changed )|(\[timeout)|(PRM\|1\|D)|(kpr)|(kdp)|(train st.+moving)|(\|lc)|(penalty))"</v>
      </c>
      <c r="AG103" s="209" t="str">
        <f t="shared" si="48"/>
        <v>EC</v>
      </c>
      <c r="AH103" s="78" t="str">
        <f t="shared" si="49"/>
        <v>"%USERPROFILE%\Documents\GitHub\eaglep3\Utilities\RefineRTDCRunTimes.py" --tripid 190-12 --locoid 4049 --swversion DE.1.0.9.0 --startMP 204:232998 --initTime 2017-08-12T15:40:19 --startdatetime 2017-08-12T15:42:52 --delay 1 --endMP 204:132 --enddatetime 2017-08-12T16:22:56 --enforcementcount 0 &gt;&gt;C:\Users\stu\Documents\GitHub\eaglep3-reporting\EC\2017-08-12-refined-times.txt</v>
      </c>
      <c r="AI103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{"issue":{"subject":"","project_id":79,"tracker_id":40,"status_id":1,"priority_id":2,"assigned_to_id":23,"start_date":"2017-08-12","description":"","custom_fields":[{"id":1,"name":"Subdivision","value":"EC"},{"id":4,"name":"Milepost","value":"0.0132"},{"id":17,"name":"Train ID","value":"190-12"},{"id":16,"name":"Locomotive ID","value":"4049"},{"id":130,"name":"Impact","value":""},{"id":150,"name":"Time of Event (Mountain Time)","value":"16:22:56"},{"id":151,"name":"Denver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51"/>
        <v>start /low /b %USERPROFILE%\Documents\GitHub\eaglep3\Utilities\DownloadLogsFromS3.py --loco 4049 --day 2017-08-12</v>
      </c>
      <c r="AN103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22:22:56"},{"id":29,"name":"Sharepoint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791</v>
      </c>
      <c r="B104" s="7">
        <v>4016</v>
      </c>
      <c r="C104" s="21" t="s">
        <v>198</v>
      </c>
      <c r="D104" s="21" t="s">
        <v>955</v>
      </c>
      <c r="E104" s="13">
        <v>42959.622800925928</v>
      </c>
      <c r="F104" s="13">
        <v>42959.625104166669</v>
      </c>
      <c r="G104" s="7">
        <v>1</v>
      </c>
      <c r="H104" s="21" t="s">
        <v>956</v>
      </c>
      <c r="I104" s="13">
        <v>42959.65185185185</v>
      </c>
      <c r="J104" s="7">
        <v>0</v>
      </c>
      <c r="K104" s="89" t="str">
        <f t="shared" si="39"/>
        <v>4015/4016</v>
      </c>
      <c r="L104" s="21" t="str">
        <f>VLOOKUP(A104,'Trips&amp;Operators'!$C$1:$G$99999,5,FALSE)</f>
        <v>THOMPSON LESTER</v>
      </c>
      <c r="M104" s="6">
        <f t="shared" si="40"/>
        <v>2.6747685180453118E-2</v>
      </c>
      <c r="N104" s="7">
        <f t="shared" si="54"/>
        <v>38.51666665985249</v>
      </c>
      <c r="O104" s="7"/>
      <c r="P104" s="7"/>
      <c r="Q104" s="22"/>
      <c r="R104" s="170"/>
      <c r="S104" s="213">
        <f t="shared" si="55"/>
        <v>1</v>
      </c>
      <c r="T104" s="195" t="str">
        <f t="shared" si="41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42"/>
        <v>https://d0f6bd738d7f1b3e5a7ca70fe4ff75f0.us-east-1.aws.found.io/app/kibana#/discover/Steve-Slow-Train-Analysis-(2080s-and-2083s)?_g=(refreshInterval:(display:Off,pause:!f,section:0,value:0),time:(from:'2017-08-12T13:56:50-0600',mode:absolute,to:'2017-08-12T16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4" s="197" t="str">
        <f>IF(AA104&lt;VLOOKUP(AG104,Variables!$AC$3:$AD$8,2,FALSE),"Y","N")</f>
        <v>N</v>
      </c>
      <c r="X104" s="197">
        <f t="shared" si="56"/>
        <v>1</v>
      </c>
      <c r="Y104" s="197">
        <f t="shared" si="57"/>
        <v>4.8899999999999999E-2</v>
      </c>
      <c r="Z104" s="197">
        <f t="shared" si="58"/>
        <v>23.3385</v>
      </c>
      <c r="AA104" s="197">
        <f t="shared" si="44"/>
        <v>23.2896</v>
      </c>
      <c r="AB104" s="54" t="e">
        <f>VLOOKUP(A104,Enforcements!$C$7:$K$12,8,0)</f>
        <v>#N/A</v>
      </c>
      <c r="AC104" s="51" t="e">
        <f>VLOOKUP(A104,Enforcements!$C$7:$E$12,3,0)</f>
        <v>#N/A</v>
      </c>
      <c r="AD104" s="206">
        <f t="shared" si="45"/>
        <v>191</v>
      </c>
      <c r="AE104" s="77" t="str">
        <f t="shared" si="46"/>
        <v>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 &amp; 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</v>
      </c>
      <c r="AF104" s="74" t="str">
        <f t="shared" si="47"/>
        <v>"C:\Program Files (x86)\AstroGrep\AstroGrep.exe" /e /r /s /spath="%USERPROFILE%\AppData\Local\Temp\OnboardLogs" /stypes="app*4016*20170812*" /stext=" 21:.+((SYSTEM_STATE.+slice.+state.+changed )|(ment ac)|(multiple cpu faults)|(system.+state.+changed )|(\[timeout)|(PRM\|1\|D)|(kpr)|(kdp)|(train st.+moving)|(\|lc)|(penalty))"</v>
      </c>
      <c r="AG104" s="209" t="str">
        <f t="shared" si="48"/>
        <v>EC</v>
      </c>
      <c r="AH104" s="78" t="str">
        <f t="shared" si="49"/>
        <v>"%USERPROFILE%\Documents\GitHub\eaglep3\Utilities\RefineRTDCRunTimes.py" --tripid 191-12 --locoid 4016 --swversion DE.1.0.9.0 --startMP 204:489 --initTime 2017-08-12T14:56:50 --startdatetime 2017-08-12T15:00:09 --delay 1 --endMP 204:233385 --enddatetime 2017-08-12T15:38:40 --enforcementcount 0 &gt;&gt;C:\Users\stu\Documents\GitHub\eaglep3-reporting\EC\2017-08-12-refined-times.txt</v>
      </c>
      <c r="AI104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{"issue":{"subject":"","project_id":79,"tracker_id":40,"status_id":1,"priority_id":2,"assigned_to_id":23,"start_date":"2017-08-12","description":"","custom_fields":[{"id":1,"name":"Subdivision","value":"EC"},{"id":4,"name":"Milepost","value":"23.3385"},{"id":17,"name":"Train ID","value":"191-12"},{"id":16,"name":"Locomotive ID","value":"4016"},{"id":130,"name":"Impact","value":""},{"id":150,"name":"Time of Event (Mountain Time)","value":"15:38:40"},{"id":151,"name":"Denver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51"/>
        <v>start /low /b %USERPROFILE%\Documents\GitHub\eaglep3\Utilities\DownloadLogsFromS3.py --loco 4016 --day 2017-08-12</v>
      </c>
      <c r="AN104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21:38:40"},{"id":29,"name":"Sharepoint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649</v>
      </c>
      <c r="B105" s="7">
        <v>4015</v>
      </c>
      <c r="C105" s="21" t="s">
        <v>198</v>
      </c>
      <c r="D105" s="21" t="s">
        <v>901</v>
      </c>
      <c r="E105" s="13">
        <v>42959.662314814814</v>
      </c>
      <c r="F105" s="13">
        <v>42959.664976851855</v>
      </c>
      <c r="G105" s="7">
        <v>1</v>
      </c>
      <c r="H105" s="21" t="s">
        <v>528</v>
      </c>
      <c r="I105" s="13">
        <v>42959.693541666667</v>
      </c>
      <c r="J105" s="7">
        <v>0</v>
      </c>
      <c r="K105" s="89" t="str">
        <f t="shared" si="39"/>
        <v>4015/4016</v>
      </c>
      <c r="L105" s="21" t="str">
        <f>VLOOKUP(A105,'Trips&amp;Operators'!$C$1:$G$99999,5,FALSE)</f>
        <v>THOMPSON LESTER</v>
      </c>
      <c r="M105" s="6">
        <f t="shared" si="40"/>
        <v>2.8564814812853001E-2</v>
      </c>
      <c r="N105" s="7">
        <f t="shared" si="54"/>
        <v>41.133333330508322</v>
      </c>
      <c r="O105" s="7"/>
      <c r="P105" s="7"/>
      <c r="Q105" s="22"/>
      <c r="R105" s="170"/>
      <c r="S105" s="213">
        <f t="shared" si="55"/>
        <v>1</v>
      </c>
      <c r="T105" s="195" t="str">
        <f t="shared" si="41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42"/>
        <v>https://d0f6bd738d7f1b3e5a7ca70fe4ff75f0.us-east-1.aws.found.io/app/kibana#/discover/Steve-Slow-Train-Analysis-(2080s-and-2083s)?_g=(refreshInterval:(display:Off,pause:!f,section:0,value:0),time:(from:'2017-08-12T14:53:44-0600',mode:absolute,to:'2017-08-12T17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5" s="197" t="str">
        <f>IF(AA105&lt;VLOOKUP(AG105,Variables!$AC$3:$AD$8,2,FALSE),"Y","N")</f>
        <v>N</v>
      </c>
      <c r="X105" s="197">
        <f t="shared" si="56"/>
        <v>1</v>
      </c>
      <c r="Y105" s="197">
        <f t="shared" si="57"/>
        <v>23.302800000000001</v>
      </c>
      <c r="Z105" s="197">
        <f t="shared" si="58"/>
        <v>1.72E-2</v>
      </c>
      <c r="AA105" s="197">
        <f t="shared" si="44"/>
        <v>23.285600000000002</v>
      </c>
      <c r="AB105" s="54" t="str">
        <f>VLOOKUP(A105,Enforcements!$C$7:$K$12,8,0)</f>
        <v>Bulletin (2)</v>
      </c>
      <c r="AC105" s="51" t="str">
        <f>VLOOKUP(A105,Enforcements!$C$7:$E$12,3,0)</f>
        <v>GRADE CROSSING</v>
      </c>
      <c r="AD105" s="206">
        <f t="shared" si="45"/>
        <v>192</v>
      </c>
      <c r="AE105" s="77" t="str">
        <f t="shared" si="46"/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AF105" s="74" t="str">
        <f t="shared" si="47"/>
        <v>"C:\Program Files (x86)\AstroGrep\AstroGrep.exe" /e /r /s /spath="%USERPROFILE%\AppData\Local\Temp\OnboardLogs" /stypes="app*4015*20170812*" /stext=" 22:.+((SYSTEM_STATE.+slice.+state.+changed )|(ment ac)|(multiple cpu faults)|(system.+state.+changed )|(\[timeout)|(PRM\|1\|D)|(kpr)|(kdp)|(train st.+moving)|(\|lc)|(penalty))"</v>
      </c>
      <c r="AG105" s="209" t="str">
        <f t="shared" si="48"/>
        <v>EC</v>
      </c>
      <c r="AH105" s="78" t="str">
        <f t="shared" si="49"/>
        <v>"%USERPROFILE%\Documents\GitHub\eaglep3\Utilities\RefineRTDCRunTimes.py" --tripid 192-12 --locoid 4015 --swversion DE.1.0.9.0 --startMP 204:233028 --initTime 2017-08-12T15:53:44 --startdatetime 2017-08-12T15:57:34 --delay 1 --endMP 204:172 --enddatetime 2017-08-12T16:38:42 --enforcementcount 0 &gt;&gt;C:\Users\stu\Documents\GitHub\eaglep3-reporting\EC\2017-08-12-refined-times.txt</v>
      </c>
      <c r="AI105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{"issue":{"subject":"","project_id":79,"tracker_id":40,"status_id":1,"priority_id":2,"assigned_to_id":23,"start_date":"2017-08-12","description":"","custom_fields":[{"id":1,"name":"Subdivision","value":"EC"},{"id":4,"name":"Milepost","value":"0.0172"},{"id":17,"name":"Train ID","value":"192-12"},{"id":16,"name":"Locomotive ID","value":"4015"},{"id":130,"name":"Impact","value":""},{"id":150,"name":"Time of Event (Mountain Time)","value":"16:38:42"},{"id":151,"name":"Denver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51"/>
        <v>start /low /b %USERPROFILE%\Documents\GitHub\eaglep3\Utilities\DownloadLogsFromS3.py --loco 4015 --day 2017-08-12</v>
      </c>
      <c r="AN105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22:38:42"},{"id":29,"name":"Sharepoint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794</v>
      </c>
      <c r="B106" s="7">
        <v>4042</v>
      </c>
      <c r="C106" s="21" t="s">
        <v>198</v>
      </c>
      <c r="D106" s="21" t="s">
        <v>557</v>
      </c>
      <c r="E106" s="13">
        <v>42959.630833333336</v>
      </c>
      <c r="F106" s="13">
        <v>42959.635914351849</v>
      </c>
      <c r="G106" s="7">
        <v>1</v>
      </c>
      <c r="H106" s="21" t="s">
        <v>563</v>
      </c>
      <c r="I106" s="13">
        <v>42959.660856481481</v>
      </c>
      <c r="J106" s="7">
        <v>0</v>
      </c>
      <c r="K106" s="89" t="str">
        <f t="shared" si="39"/>
        <v>4041/4042</v>
      </c>
      <c r="L106" s="21" t="str">
        <f>VLOOKUP(A106,'Trips&amp;Operators'!$C$1:$G$99999,5,FALSE)</f>
        <v>BRUDER RICHARD</v>
      </c>
      <c r="M106" s="6">
        <f t="shared" si="40"/>
        <v>2.4942129632108845E-2</v>
      </c>
      <c r="N106" s="7">
        <f t="shared" si="54"/>
        <v>35.916666670236737</v>
      </c>
      <c r="O106" s="7"/>
      <c r="P106" s="7"/>
      <c r="Q106" s="22"/>
      <c r="R106" s="170"/>
      <c r="S106" s="213">
        <f t="shared" si="55"/>
        <v>1</v>
      </c>
      <c r="T106" s="195" t="str">
        <f t="shared" si="41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42"/>
        <v>https://d0f6bd738d7f1b3e5a7ca70fe4ff75f0.us-east-1.aws.found.io/app/kibana#/discover/Steve-Slow-Train-Analysis-(2080s-and-2083s)?_g=(refreshInterval:(display:Off,pause:!f,section:0,value:0),time:(from:'2017-08-12T14:08:24-0600',mode:absolute,to:'2017-08-12T16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6" s="197" t="str">
        <f>IF(AA106&lt;VLOOKUP(AG106,Variables!$AC$3:$AD$8,2,FALSE),"Y","N")</f>
        <v>N</v>
      </c>
      <c r="X106" s="197">
        <f t="shared" si="56"/>
        <v>1</v>
      </c>
      <c r="Y106" s="197">
        <f t="shared" si="57"/>
        <v>4.7100000000000003E-2</v>
      </c>
      <c r="Z106" s="197">
        <f t="shared" si="58"/>
        <v>23.329699999999999</v>
      </c>
      <c r="AA106" s="197">
        <f t="shared" si="44"/>
        <v>23.282599999999999</v>
      </c>
      <c r="AB106" s="54" t="e">
        <f>VLOOKUP(A106,Enforcements!$C$7:$K$12,8,0)</f>
        <v>#N/A</v>
      </c>
      <c r="AC106" s="51" t="e">
        <f>VLOOKUP(A106,Enforcements!$C$7:$E$12,3,0)</f>
        <v>#N/A</v>
      </c>
      <c r="AD106" s="206">
        <f t="shared" si="45"/>
        <v>193</v>
      </c>
      <c r="AE106" s="77" t="str">
        <f t="shared" si="46"/>
        <v>aws s3 cp s3://rtdc.mdm.uploadarchive.raw/RTDC4042/ "%USERPROFILE%\AppData\Local\Temp\OnboardLogs"\RTDC4042\2017-08-12 --exclude "*" --recursive --include "*20170812*" &amp; "%USERPROFILE%\Documents\GitHub\mrs-test-scripts\Headless Mode &amp; Sideloading\WalkAndUnGZ.bat" "%USERPROFILE%\AppData\Local\Temp\OnboardLogs"\RTDC4042\2017-08-12 &amp; 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</v>
      </c>
      <c r="AF106" s="74" t="str">
        <f t="shared" si="47"/>
        <v>"C:\Program Files (x86)\AstroGrep\AstroGrep.exe" /e /r /s /spath="%USERPROFILE%\AppData\Local\Temp\OnboardLogs" /stypes="app*4042*20170812*" /stext=" 21:.+((SYSTEM_STATE.+slice.+state.+changed )|(ment ac)|(multiple cpu faults)|(system.+state.+changed )|(\[timeout)|(PRM\|1\|D)|(kpr)|(kdp)|(train st.+moving)|(\|lc)|(penalty))"</v>
      </c>
      <c r="AG106" s="209" t="str">
        <f t="shared" si="48"/>
        <v>EC</v>
      </c>
      <c r="AH106" s="78" t="str">
        <f t="shared" si="49"/>
        <v>"%USERPROFILE%\Documents\GitHub\eaglep3\Utilities\RefineRTDCRunTimes.py" --tripid 193-12 --locoid 4042 --swversion DE.1.0.9.0 --startMP 204:471 --initTime 2017-08-12T15:08:24 --startdatetime 2017-08-12T15:15:43 --delay 1 --endMP 204:233297 --enddatetime 2017-08-12T15:51:38 --enforcementcount 0 &gt;&gt;C:\Users\stu\Documents\GitHub\eaglep3-reporting\EC\2017-08-12-refined-times.txt</v>
      </c>
      <c r="AI106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{"issue":{"subject":"","project_id":79,"tracker_id":40,"status_id":1,"priority_id":2,"assigned_to_id":23,"start_date":"2017-08-12","description":"","custom_fields":[{"id":1,"name":"Subdivision","value":"EC"},{"id":4,"name":"Milepost","value":"23.3297"},{"id":17,"name":"Train ID","value":"193-12"},{"id":16,"name":"Locomotive ID","value":"4042"},{"id":130,"name":"Impact","value":""},{"id":150,"name":"Time of Event (Mountain Time)","value":"15:51:38"},{"id":151,"name":"Denver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51"/>
        <v>start /low /b %USERPROFILE%\Documents\GitHub\eaglep3\Utilities\DownloadLogsFromS3.py --loco 4042 --day 2017-08-12</v>
      </c>
      <c r="AN106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21:51:38"},{"id":29,"name":"Sharepoint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801</v>
      </c>
      <c r="B107" s="7">
        <v>4041</v>
      </c>
      <c r="C107" s="21" t="s">
        <v>198</v>
      </c>
      <c r="D107" s="21" t="s">
        <v>619</v>
      </c>
      <c r="E107" s="13">
        <v>42959.671631944446</v>
      </c>
      <c r="F107" s="13">
        <v>42959.675347222219</v>
      </c>
      <c r="G107" s="7">
        <v>1</v>
      </c>
      <c r="H107" s="21" t="s">
        <v>468</v>
      </c>
      <c r="I107" s="13">
        <v>42959.701053240744</v>
      </c>
      <c r="J107" s="7">
        <v>0</v>
      </c>
      <c r="K107" s="89" t="str">
        <f t="shared" si="39"/>
        <v>4041/4042</v>
      </c>
      <c r="L107" s="21" t="str">
        <f>VLOOKUP(A107,'Trips&amp;Operators'!$C$1:$G$99999,5,FALSE)</f>
        <v>BRUDER RICHARD</v>
      </c>
      <c r="M107" s="6">
        <f t="shared" si="40"/>
        <v>2.570601852494292E-2</v>
      </c>
      <c r="N107" s="7">
        <f t="shared" si="54"/>
        <v>37.016666675917804</v>
      </c>
      <c r="O107" s="7"/>
      <c r="P107" s="7"/>
      <c r="Q107" s="22"/>
      <c r="R107" s="170"/>
      <c r="S107" s="213">
        <f t="shared" si="55"/>
        <v>1</v>
      </c>
      <c r="T107" s="195" t="str">
        <f t="shared" si="41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42"/>
        <v>https://d0f6bd738d7f1b3e5a7ca70fe4ff75f0.us-east-1.aws.found.io/app/kibana#/discover/Steve-Slow-Train-Analysis-(2080s-and-2083s)?_g=(refreshInterval:(display:Off,pause:!f,section:0,value:0),time:(from:'2017-08-12T15:07:09-0600',mode:absolute,to:'2017-08-12T17:49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7" s="197" t="str">
        <f>IF(AA107&lt;VLOOKUP(AG107,Variables!$AC$3:$AD$8,2,FALSE),"Y","N")</f>
        <v>N</v>
      </c>
      <c r="X107" s="197">
        <f t="shared" si="56"/>
        <v>1</v>
      </c>
      <c r="Y107" s="197">
        <f t="shared" si="57"/>
        <v>23.296700000000001</v>
      </c>
      <c r="Z107" s="197">
        <f t="shared" si="58"/>
        <v>1.5599999999999999E-2</v>
      </c>
      <c r="AA107" s="197">
        <f t="shared" si="44"/>
        <v>23.281100000000002</v>
      </c>
      <c r="AB107" s="54" t="e">
        <f>VLOOKUP(A107,Enforcements!$C$7:$K$12,8,0)</f>
        <v>#N/A</v>
      </c>
      <c r="AC107" s="51" t="e">
        <f>VLOOKUP(A107,Enforcements!$C$7:$E$12,3,0)</f>
        <v>#N/A</v>
      </c>
      <c r="AD107" s="206">
        <f t="shared" si="45"/>
        <v>194</v>
      </c>
      <c r="AE107" s="77" t="str">
        <f t="shared" si="46"/>
        <v>aws s3 cp s3://rtdc.mdm.uploadarchive.raw/RTDC4041/ "%USERPROFILE%\AppData\Local\Temp\OnboardLogs"\RTDC4041\2017-08-12 --exclude "*" --recursive --include "*20170812*" &amp; "%USERPROFILE%\Documents\GitHub\mrs-test-scripts\Headless Mode &amp; Sideloading\WalkAndUnGZ.bat" "%USERPROFILE%\AppData\Local\Temp\OnboardLogs"\RTDC4041\2017-08-12 &amp; 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</v>
      </c>
      <c r="AF107" s="74" t="str">
        <f t="shared" si="47"/>
        <v>"C:\Program Files (x86)\AstroGrep\AstroGrep.exe" /e /r /s /spath="%USERPROFILE%\AppData\Local\Temp\OnboardLogs" /stypes="app*4041*20170812*" /stext=" 22:.+((SYSTEM_STATE.+slice.+state.+changed )|(ment ac)|(multiple cpu faults)|(system.+state.+changed )|(\[timeout)|(PRM\|1\|D)|(kpr)|(kdp)|(train st.+moving)|(\|lc)|(penalty))"</v>
      </c>
      <c r="AG107" s="209" t="str">
        <f t="shared" si="48"/>
        <v>EC</v>
      </c>
      <c r="AH107" s="78" t="str">
        <f t="shared" si="49"/>
        <v>"%USERPROFILE%\Documents\GitHub\eaglep3\Utilities\RefineRTDCRunTimes.py" --tripid 194-12 --locoid 4041 --swversion DE.1.0.9.0 --startMP 204:232967 --initTime 2017-08-12T16:07:09 --startdatetime 2017-08-12T16:12:30 --delay 1 --endMP 204:156 --enddatetime 2017-08-12T16:49:31 --enforcementcount 0 &gt;&gt;C:\Users\stu\Documents\GitHub\eaglep3-reporting\EC\2017-08-12-refined-times.txt</v>
      </c>
      <c r="AI107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{"issue":{"subject":"","project_id":79,"tracker_id":40,"status_id":1,"priority_id":2,"assigned_to_id":23,"start_date":"2017-08-12","description":"","custom_fields":[{"id":1,"name":"Subdivision","value":"EC"},{"id":4,"name":"Milepost","value":"0.0156"},{"id":17,"name":"Train ID","value":"194-12"},{"id":16,"name":"Locomotive ID","value":"4041"},{"id":130,"name":"Impact","value":""},{"id":150,"name":"Time of Event (Mountain Time)","value":"16:49:31"},{"id":151,"name":"Denver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51"/>
        <v>start /low /b %USERPROFILE%\Documents\GitHub\eaglep3\Utilities\DownloadLogsFromS3.py --loco 4041 --day 2017-08-12</v>
      </c>
      <c r="AN107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22:49:31"},{"id":29,"name":"Sharepoint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796</v>
      </c>
      <c r="B108" s="7">
        <v>4002</v>
      </c>
      <c r="C108" s="21" t="s">
        <v>198</v>
      </c>
      <c r="D108" s="21" t="s">
        <v>442</v>
      </c>
      <c r="E108" s="13">
        <v>42959.642071759263</v>
      </c>
      <c r="F108" s="13">
        <v>42959.64638888889</v>
      </c>
      <c r="G108" s="7">
        <v>1</v>
      </c>
      <c r="H108" s="21" t="s">
        <v>957</v>
      </c>
      <c r="I108" s="13">
        <v>42959.67150462963</v>
      </c>
      <c r="J108" s="7">
        <v>0</v>
      </c>
      <c r="K108" s="89" t="str">
        <f t="shared" si="39"/>
        <v>4001/4002</v>
      </c>
      <c r="L108" s="21" t="str">
        <f>VLOOKUP(A108,'Trips&amp;Operators'!$C$1:$G$99999,5,FALSE)</f>
        <v>SULLIVAN BRANDON</v>
      </c>
      <c r="M108" s="6">
        <f t="shared" si="40"/>
        <v>2.5115740740147885E-2</v>
      </c>
      <c r="N108" s="7">
        <f t="shared" si="54"/>
        <v>36.166666665812954</v>
      </c>
      <c r="O108" s="7"/>
      <c r="P108" s="7"/>
      <c r="Q108" s="22"/>
      <c r="R108" s="170"/>
      <c r="S108" s="213">
        <f t="shared" si="55"/>
        <v>1</v>
      </c>
      <c r="T108" s="195" t="str">
        <f t="shared" si="41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42"/>
        <v>https://d0f6bd738d7f1b3e5a7ca70fe4ff75f0.us-east-1.aws.found.io/app/kibana#/discover/Steve-Slow-Train-Analysis-(2080s-and-2083s)?_g=(refreshInterval:(display:Off,pause:!f,section:0,value:0),time:(from:'2017-08-12T14:24:35-0600',mode:absolute,to:'2017-08-12T17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8" s="197" t="str">
        <f>IF(AA108&lt;VLOOKUP(AG108,Variables!$AC$3:$AD$8,2,FALSE),"Y","N")</f>
        <v>N</v>
      </c>
      <c r="X108" s="197">
        <f t="shared" si="56"/>
        <v>1</v>
      </c>
      <c r="Y108" s="197">
        <f t="shared" si="57"/>
        <v>4.5999999999999999E-2</v>
      </c>
      <c r="Z108" s="197">
        <f t="shared" si="58"/>
        <v>23.336099999999998</v>
      </c>
      <c r="AA108" s="197">
        <f t="shared" si="44"/>
        <v>23.290099999999999</v>
      </c>
      <c r="AB108" s="54" t="e">
        <f>VLOOKUP(A108,Enforcements!$C$7:$K$12,8,0)</f>
        <v>#N/A</v>
      </c>
      <c r="AC108" s="51" t="e">
        <f>VLOOKUP(A108,Enforcements!$C$7:$E$12,3,0)</f>
        <v>#N/A</v>
      </c>
      <c r="AD108" s="206">
        <f t="shared" si="45"/>
        <v>195</v>
      </c>
      <c r="AE108" s="77" t="str">
        <f t="shared" si="46"/>
        <v>aws s3 cp s3://rtdc.mdm.uploadarchive.raw/RTDC4002/ "%USERPROFILE%\AppData\Local\Temp\OnboardLogs"\RTDC4002\2017-08-12 --exclude "*" --recursive --include "*20170812*" &amp; "%USERPROFILE%\Documents\GitHub\mrs-test-scripts\Headless Mode &amp; Sideloading\WalkAndUnGZ.bat" "%USERPROFILE%\AppData\Local\Temp\OnboardLogs"\RTDC4002\2017-08-12 &amp; aws s3 cp s3://rtdc.mdm.uploadarchive.raw/RTDC4002/ "%USERPROFILE%\AppData\Local\Temp\OnboardLogs"\RTDC4002\2017-08-13 --exclude "*" --recursive --include "*20170813*" &amp; "%USERPROFILE%\Documents\GitHub\mrs-test-scripts\Headless Mode &amp; Sideloading\WalkAndUnGZ.bat" "%USERPROFILE%\AppData\Local\Temp\OnboardLogs"\RTDC4002\2017-08-13</v>
      </c>
      <c r="AF108" s="74" t="str">
        <f t="shared" si="47"/>
        <v>"C:\Program Files (x86)\AstroGrep\AstroGrep.exe" /e /r /s /spath="%USERPROFILE%\AppData\Local\Temp\OnboardLogs" /stypes="app*4002*20170812*" /stext=" 22:.+((SYSTEM_STATE.+slice.+state.+changed )|(ment ac)|(multiple cpu faults)|(system.+state.+changed )|(\[timeout)|(PRM\|1\|D)|(kpr)|(kdp)|(train st.+moving)|(\|lc)|(penalty))"</v>
      </c>
      <c r="AG108" s="209" t="str">
        <f t="shared" si="48"/>
        <v>EC</v>
      </c>
      <c r="AH108" s="78" t="str">
        <f t="shared" si="49"/>
        <v>"%USERPROFILE%\Documents\GitHub\eaglep3\Utilities\RefineRTDCRunTimes.py" --tripid 195-12 --locoid 4002 --swversion DE.1.0.9.0 --startMP 204:460 --initTime 2017-08-12T15:24:35 --startdatetime 2017-08-12T15:30:48 --delay 1 --endMP 204:233361 --enddatetime 2017-08-12T16:06:58 --enforcementcount 0 &gt;&gt;C:\Users\stu\Documents\GitHub\eaglep3-reporting\EC\2017-08-12-refined-times.txt</v>
      </c>
      <c r="AI108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{"issue":{"subject":"","project_id":79,"tracker_id":40,"status_id":1,"priority_id":2,"assigned_to_id":23,"start_date":"2017-08-12","description":"","custom_fields":[{"id":1,"name":"Subdivision","value":"EC"},{"id":4,"name":"Milepost","value":"23.3361"},{"id":17,"name":"Train ID","value":"195-12"},{"id":16,"name":"Locomotive ID","value":"4002"},{"id":130,"name":"Impact","value":""},{"id":150,"name":"Time of Event (Mountain Time)","value":"16:06:58"},{"id":151,"name":"Denver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51"/>
        <v>start /low /b %USERPROFILE%\Documents\GitHub\eaglep3\Utilities\DownloadLogsFromS3.py --loco 4002 --day 2017-08-12</v>
      </c>
      <c r="AN108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22:06:58"},{"id":29,"name":"Sharepoint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803</v>
      </c>
      <c r="B109" s="7">
        <v>4001</v>
      </c>
      <c r="C109" s="21" t="s">
        <v>198</v>
      </c>
      <c r="D109" s="21" t="s">
        <v>617</v>
      </c>
      <c r="E109" s="13">
        <v>42959.679814814815</v>
      </c>
      <c r="F109" s="13">
        <v>42959.685706018521</v>
      </c>
      <c r="G109" s="7">
        <v>1</v>
      </c>
      <c r="H109" s="21" t="s">
        <v>348</v>
      </c>
      <c r="I109" s="13">
        <v>42959.712997685187</v>
      </c>
      <c r="J109" s="7">
        <v>0</v>
      </c>
      <c r="K109" s="89" t="str">
        <f t="shared" ref="K109:K123" si="59">IF(ISEVEN(B109),(B109-1)&amp;"/"&amp;B109,B109&amp;"/"&amp;(B109+1))</f>
        <v>4001/4002</v>
      </c>
      <c r="L109" s="21" t="str">
        <f>VLOOKUP(A109,'Trips&amp;Operators'!$C$1:$G$99999,5,FALSE)</f>
        <v>SULLIVAN BRANDON</v>
      </c>
      <c r="M109" s="6">
        <f t="shared" ref="M109:M123" si="60">I109-F109</f>
        <v>2.7291666665405501E-2</v>
      </c>
      <c r="N109" s="7">
        <f t="shared" si="54"/>
        <v>39.299999998183921</v>
      </c>
      <c r="O109" s="7"/>
      <c r="P109" s="7"/>
      <c r="Q109" s="22"/>
      <c r="R109" s="170"/>
      <c r="S109" s="213">
        <f t="shared" si="55"/>
        <v>1</v>
      </c>
      <c r="T109" s="195" t="str">
        <f t="shared" ref="T109:T123" si="61">IF(ISEVEN(LEFT(AD109,4)),"Southbound","NorthBound")</f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42"/>
        <v>https://d0f6bd738d7f1b3e5a7ca70fe4ff75f0.us-east-1.aws.found.io/app/kibana#/discover/Steve-Slow-Train-Analysis-(2080s-and-2083s)?_g=(refreshInterval:(display:Off,pause:!f,section:0,value:0),time:(from:'2017-08-12T15:18:56-0600',mode:absolute,to:'2017-08-12T18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9" s="197" t="str">
        <f>IF(AA109&lt;VLOOKUP(AG109,Variables!$AC$3:$AD$8,2,FALSE),"Y","N")</f>
        <v>N</v>
      </c>
      <c r="X109" s="197">
        <f t="shared" si="56"/>
        <v>1</v>
      </c>
      <c r="Y109" s="197">
        <f t="shared" si="57"/>
        <v>23.302299999999999</v>
      </c>
      <c r="Z109" s="197">
        <f t="shared" si="58"/>
        <v>1.3899999999999999E-2</v>
      </c>
      <c r="AA109" s="197">
        <f t="shared" ref="AA109:AA140" si="62">ABS(Z109-Y109)</f>
        <v>23.288399999999999</v>
      </c>
      <c r="AB109" s="54" t="e">
        <f>VLOOKUP(A109,Enforcements!$C$7:$K$12,8,0)</f>
        <v>#N/A</v>
      </c>
      <c r="AC109" s="51" t="e">
        <f>VLOOKUP(A109,Enforcements!$C$7:$E$12,3,0)</f>
        <v>#N/A</v>
      </c>
      <c r="AD109" s="206">
        <f t="shared" ref="AD109:AD123" si="63">VALUE(LEFT(A109,LEN(A109)-3))</f>
        <v>196</v>
      </c>
      <c r="AE109" s="77" t="str">
        <f t="shared" si="46"/>
        <v>aws s3 cp s3://rtdc.mdm.uploadarchive.raw/RTDC4001/ "%USERPROFILE%\AppData\Local\Temp\OnboardLogs"\RTDC4001\2017-08-12 --exclude "*" --recursive --include "*20170812*" &amp; "%USERPROFILE%\Documents\GitHub\mrs-test-scripts\Headless Mode &amp; Sideloading\WalkAndUnGZ.bat" "%USERPROFILE%\AppData\Local\Temp\OnboardLogs"\RTDC4001\2017-08-12 &amp; aws s3 cp s3://rtdc.mdm.uploadarchive.raw/RTDC4001/ "%USERPROFILE%\AppData\Local\Temp\OnboardLogs"\RTDC4001\2017-08-13 --exclude "*" --recursive --include "*20170813*" &amp; "%USERPROFILE%\Documents\GitHub\mrs-test-scripts\Headless Mode &amp; Sideloading\WalkAndUnGZ.bat" "%USERPROFILE%\AppData\Local\Temp\OnboardLogs"\RTDC4001\2017-08-13</v>
      </c>
      <c r="AF109" s="74" t="str">
        <f t="shared" si="47"/>
        <v>"C:\Program Files (x86)\AstroGrep\AstroGrep.exe" /e /r /s /spath="%USERPROFILE%\AppData\Local\Temp\OnboardLogs" /stypes="app*4001*20170812*" /stext=" 23:.+((SYSTEM_STATE.+slice.+state.+changed )|(ment ac)|(multiple cpu faults)|(system.+state.+changed )|(\[timeout)|(PRM\|1\|D)|(kpr)|(kdp)|(train st.+moving)|(\|lc)|(penalty))"</v>
      </c>
      <c r="AG109" s="209" t="str">
        <f t="shared" ref="AG109:AG123" si="64">DetSubdiv(A109)</f>
        <v>EC</v>
      </c>
      <c r="AH109" s="78" t="str">
        <f t="shared" si="49"/>
        <v>"%USERPROFILE%\Documents\GitHub\eaglep3\Utilities\RefineRTDCRunTimes.py" --tripid 196-12 --locoid 4001 --swversion DE.1.0.9.0 --startMP 204:233023 --initTime 2017-08-12T16:18:56 --startdatetime 2017-08-12T16:27:25 --delay 1 --endMP 204:139 --enddatetime 2017-08-12T17:06:43 --enforcementcount 0 &gt;&gt;C:\Users\stu\Documents\GitHub\eaglep3-reporting\EC\2017-08-12-refined-times.txt</v>
      </c>
      <c r="AI109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{"issue":{"subject":"","project_id":79,"tracker_id":40,"status_id":1,"priority_id":2,"assigned_to_id":23,"start_date":"2017-08-12","description":"","custom_fields":[{"id":1,"name":"Subdivision","value":"EC"},{"id":4,"name":"Milepost","value":"0.0139"},{"id":17,"name":"Train ID","value":"196-12"},{"id":16,"name":"Locomotive ID","value":"4001"},{"id":130,"name":"Impact","value":""},{"id":150,"name":"Time of Event (Mountain Time)","value":"17:06:43"},{"id":151,"name":"Denver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51"/>
        <v>start /low /b %USERPROFILE%\Documents\GitHub\eaglep3\Utilities\DownloadLogsFromS3.py --loco 4001 --day 2017-08-12</v>
      </c>
      <c r="AN109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23:06:43"},{"id":29,"name":"Sharepoint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797</v>
      </c>
      <c r="B110" s="7">
        <v>4014</v>
      </c>
      <c r="C110" s="21" t="s">
        <v>198</v>
      </c>
      <c r="D110" s="21" t="s">
        <v>556</v>
      </c>
      <c r="E110" s="13">
        <v>42959.652974537035</v>
      </c>
      <c r="F110" s="13">
        <v>42959.656747685185</v>
      </c>
      <c r="G110" s="7">
        <v>1</v>
      </c>
      <c r="H110" s="21" t="s">
        <v>958</v>
      </c>
      <c r="I110" s="13">
        <v>42959.681435185186</v>
      </c>
      <c r="J110" s="7">
        <v>0</v>
      </c>
      <c r="K110" s="89" t="str">
        <f t="shared" si="59"/>
        <v>4013/4014</v>
      </c>
      <c r="L110" s="21" t="str">
        <f>VLOOKUP(A110,'Trips&amp;Operators'!$C$1:$G$99999,5,FALSE)</f>
        <v>DELGADO DIANAH</v>
      </c>
      <c r="M110" s="6">
        <f t="shared" si="60"/>
        <v>2.4687500001164153E-2</v>
      </c>
      <c r="N110" s="7">
        <f t="shared" si="54"/>
        <v>35.550000001676381</v>
      </c>
      <c r="O110" s="7"/>
      <c r="P110" s="7"/>
      <c r="Q110" s="22"/>
      <c r="R110" s="170"/>
      <c r="S110" s="213">
        <f t="shared" si="55"/>
        <v>1</v>
      </c>
      <c r="T110" s="195" t="str">
        <f t="shared" si="61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42"/>
        <v>https://d0f6bd738d7f1b3e5a7ca70fe4ff75f0.us-east-1.aws.found.io/app/kibana#/discover/Steve-Slow-Train-Analysis-(2080s-and-2083s)?_g=(refreshInterval:(display:Off,pause:!f,section:0,value:0),time:(from:'2017-08-12T14:40:17-0600',mode:absolute,to:'2017-08-12T17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0" s="197" t="str">
        <f>IF(AA110&lt;VLOOKUP(AG110,Variables!$AC$3:$AD$8,2,FALSE),"Y","N")</f>
        <v>N</v>
      </c>
      <c r="X110" s="197">
        <f t="shared" si="56"/>
        <v>1</v>
      </c>
      <c r="Y110" s="197">
        <f t="shared" si="57"/>
        <v>4.4400000000000002E-2</v>
      </c>
      <c r="Z110" s="197">
        <f t="shared" si="58"/>
        <v>23.340299999999999</v>
      </c>
      <c r="AA110" s="197">
        <f t="shared" si="62"/>
        <v>23.2959</v>
      </c>
      <c r="AB110" s="54" t="e">
        <f>VLOOKUP(A110,Enforcements!$C$7:$K$12,8,0)</f>
        <v>#N/A</v>
      </c>
      <c r="AC110" s="51" t="e">
        <f>VLOOKUP(A110,Enforcements!$C$7:$E$12,3,0)</f>
        <v>#N/A</v>
      </c>
      <c r="AD110" s="206">
        <f t="shared" si="63"/>
        <v>197</v>
      </c>
      <c r="AE110" s="77" t="str">
        <f t="shared" si="46"/>
        <v>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 &amp; aws s3 cp s3://rtdc.mdm.uploadarchive.raw/RTDC4014/ "%USERPROFILE%\AppData\Local\Temp\OnboardLogs"\RTDC4014\2017-08-13 --exclude "*" --recursive --include "*20170813*" &amp; "%USERPROFILE%\Documents\GitHub\mrs-test-scripts\Headless Mode &amp; Sideloading\WalkAndUnGZ.bat" "%USERPROFILE%\AppData\Local\Temp\OnboardLogs"\RTDC4014\2017-08-13</v>
      </c>
      <c r="AF110" s="74" t="str">
        <f t="shared" si="47"/>
        <v>"C:\Program Files (x86)\AstroGrep\AstroGrep.exe" /e /r /s /spath="%USERPROFILE%\AppData\Local\Temp\OnboardLogs" /stypes="app*4014*20170812*" /stext=" 22:.+((SYSTEM_STATE.+slice.+state.+changed )|(ment ac)|(multiple cpu faults)|(system.+state.+changed )|(\[timeout)|(PRM\|1\|D)|(kpr)|(kdp)|(train st.+moving)|(\|lc)|(penalty))"</v>
      </c>
      <c r="AG110" s="209" t="str">
        <f t="shared" si="64"/>
        <v>EC</v>
      </c>
      <c r="AH110" s="78" t="str">
        <f t="shared" si="49"/>
        <v>"%USERPROFILE%\Documents\GitHub\eaglep3\Utilities\RefineRTDCRunTimes.py" --tripid 197-12 --locoid 4014 --swversion DE.1.0.9.0 --startMP 204:444 --initTime 2017-08-12T15:40:17 --startdatetime 2017-08-12T15:45:43 --delay 1 --endMP 204:233403 --enddatetime 2017-08-12T16:21:16 --enforcementcount 0 &gt;&gt;C:\Users\stu\Documents\GitHub\eaglep3-reporting\EC\2017-08-12-refined-times.txt</v>
      </c>
      <c r="AI110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{"issue":{"subject":"","project_id":79,"tracker_id":40,"status_id":1,"priority_id":2,"assigned_to_id":23,"start_date":"2017-08-12","description":"","custom_fields":[{"id":1,"name":"Subdivision","value":"EC"},{"id":4,"name":"Milepost","value":"23.3403"},{"id":17,"name":"Train ID","value":"197-12"},{"id":16,"name":"Locomotive ID","value":"4014"},{"id":130,"name":"Impact","value":""},{"id":150,"name":"Time of Event (Mountain Time)","value":"16:21:16"},{"id":151,"name":"Denver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51"/>
        <v>start /low /b %USERPROFILE%\Documents\GitHub\eaglep3\Utilities\DownloadLogsFromS3.py --loco 4014 --day 2017-08-12</v>
      </c>
      <c r="AN110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22:21:16"},{"id":29,"name":"Sharepoint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804</v>
      </c>
      <c r="B111" s="7">
        <v>4013</v>
      </c>
      <c r="C111" s="21" t="s">
        <v>198</v>
      </c>
      <c r="D111" s="21" t="s">
        <v>959</v>
      </c>
      <c r="E111" s="13">
        <v>42959.683518518519</v>
      </c>
      <c r="F111" s="13">
        <v>42959.69604166667</v>
      </c>
      <c r="G111" s="7">
        <v>12</v>
      </c>
      <c r="H111" s="21" t="s">
        <v>350</v>
      </c>
      <c r="I111" s="13">
        <v>42959.721504629626</v>
      </c>
      <c r="J111" s="7">
        <v>0</v>
      </c>
      <c r="K111" s="89" t="str">
        <f t="shared" si="59"/>
        <v>4013/4014</v>
      </c>
      <c r="L111" s="21" t="str">
        <f>VLOOKUP(A111,'Trips&amp;Operators'!$C$1:$G$99999,5,FALSE)</f>
        <v>DELGADO DIANAH</v>
      </c>
      <c r="M111" s="6">
        <f t="shared" si="60"/>
        <v>2.5462962956225965E-2</v>
      </c>
      <c r="N111" s="7">
        <f t="shared" si="54"/>
        <v>36.66666665696539</v>
      </c>
      <c r="O111" s="7"/>
      <c r="P111" s="7"/>
      <c r="Q111" s="22"/>
      <c r="R111" s="170"/>
      <c r="S111" s="213">
        <f t="shared" si="55"/>
        <v>1</v>
      </c>
      <c r="T111" s="195" t="str">
        <f t="shared" si="61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42"/>
        <v>https://d0f6bd738d7f1b3e5a7ca70fe4ff75f0.us-east-1.aws.found.io/app/kibana#/discover/Steve-Slow-Train-Analysis-(2080s-and-2083s)?_g=(refreshInterval:(display:Off,pause:!f,section:0,value:0),time:(from:'2017-08-12T15:24:16-0600',mode:absolute,to:'2017-08-12T18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1" s="197" t="str">
        <f>IF(AA111&lt;VLOOKUP(AG111,Variables!$AC$3:$AD$8,2,FALSE),"Y","N")</f>
        <v>N</v>
      </c>
      <c r="X111" s="197">
        <f t="shared" si="56"/>
        <v>1</v>
      </c>
      <c r="Y111" s="197">
        <f t="shared" si="57"/>
        <v>23.306899999999999</v>
      </c>
      <c r="Z111" s="197">
        <f t="shared" si="58"/>
        <v>1.41E-2</v>
      </c>
      <c r="AA111" s="197">
        <f t="shared" si="62"/>
        <v>23.2928</v>
      </c>
      <c r="AB111" s="54" t="e">
        <f>VLOOKUP(A111,Enforcements!$C$7:$K$12,8,0)</f>
        <v>#N/A</v>
      </c>
      <c r="AC111" s="51" t="e">
        <f>VLOOKUP(A111,Enforcements!$C$7:$E$12,3,0)</f>
        <v>#N/A</v>
      </c>
      <c r="AD111" s="206">
        <f t="shared" si="63"/>
        <v>198</v>
      </c>
      <c r="AE111" s="77" t="str">
        <f t="shared" si="46"/>
        <v>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 &amp; aws s3 cp s3://rtdc.mdm.uploadarchive.raw/RTDC4013/ "%USERPROFILE%\AppData\Local\Temp\OnboardLogs"\RTDC4013\2017-08-13 --exclude "*" --recursive --include "*20170813*" &amp; "%USERPROFILE%\Documents\GitHub\mrs-test-scripts\Headless Mode &amp; Sideloading\WalkAndUnGZ.bat" "%USERPROFILE%\AppData\Local\Temp\OnboardLogs"\RTDC4013\2017-08-13</v>
      </c>
      <c r="AF111" s="74" t="str">
        <f t="shared" si="47"/>
        <v>"C:\Program Files (x86)\AstroGrep\AstroGrep.exe" /e /r /s /spath="%USERPROFILE%\AppData\Local\Temp\OnboardLogs" /stypes="app*4013*20170812*" /stext=" 23:.+((SYSTEM_STATE.+slice.+state.+changed )|(ment ac)|(multiple cpu faults)|(system.+state.+changed )|(\[timeout)|(PRM\|1\|D)|(kpr)|(kdp)|(train st.+moving)|(\|lc)|(penalty))"</v>
      </c>
      <c r="AG111" s="209" t="str">
        <f t="shared" si="64"/>
        <v>EC</v>
      </c>
      <c r="AH111" s="78" t="str">
        <f t="shared" si="49"/>
        <v>"%USERPROFILE%\Documents\GitHub\eaglep3\Utilities\RefineRTDCRunTimes.py" --tripid 198-12 --locoid 4013 --swversion DE.1.0.9.0 --startMP 204:233069 --initTime 2017-08-12T16:24:16 --startdatetime 2017-08-12T16:42:18 --delay 12 --endMP 204:141 --enddatetime 2017-08-12T17:18:58 --enforcementcount 0 &gt;&gt;C:\Users\stu\Documents\GitHub\eaglep3-reporting\EC\2017-08-12-refined-times.txt</v>
      </c>
      <c r="AI111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{"issue":{"subject":"","project_id":79,"tracker_id":40,"status_id":1,"priority_id":2,"assigned_to_id":23,"start_date":"2017-08-12","description":"","custom_fields":[{"id":1,"name":"Subdivision","value":"EC"},{"id":4,"name":"Milepost","value":"0.0141"},{"id":17,"name":"Train ID","value":"198-12"},{"id":16,"name":"Locomotive ID","value":"4013"},{"id":130,"name":"Impact","value":""},{"id":150,"name":"Time of Event (Mountain Time)","value":"17:18:58"},{"id":151,"name":"Denver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51"/>
        <v>start /low /b %USERPROFILE%\Documents\GitHub\eaglep3\Utilities\DownloadLogsFromS3.py --loco 4013 --day 2017-08-12</v>
      </c>
      <c r="AN111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23:18:58"},{"id":29,"name":"Sharepoint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800</v>
      </c>
      <c r="B112" s="7">
        <v>4032</v>
      </c>
      <c r="C112" s="21" t="s">
        <v>198</v>
      </c>
      <c r="D112" s="21" t="s">
        <v>503</v>
      </c>
      <c r="E112" s="13">
        <v>42959.662256944444</v>
      </c>
      <c r="F112" s="13">
        <v>42959.667175925926</v>
      </c>
      <c r="G112" s="7">
        <v>1</v>
      </c>
      <c r="H112" s="21" t="s">
        <v>516</v>
      </c>
      <c r="I112" s="13">
        <v>42959.691493055558</v>
      </c>
      <c r="J112" s="7">
        <v>0</v>
      </c>
      <c r="K112" s="89" t="str">
        <f t="shared" si="59"/>
        <v>4031/4032</v>
      </c>
      <c r="L112" s="21" t="str">
        <f>VLOOKUP(A112,'Trips&amp;Operators'!$C$1:$G$99999,5,FALSE)</f>
        <v>LOPES KIMBERLY</v>
      </c>
      <c r="M112" s="6">
        <f t="shared" si="60"/>
        <v>2.4317129631526768E-2</v>
      </c>
      <c r="N112" s="7">
        <f t="shared" si="54"/>
        <v>35.016666669398546</v>
      </c>
      <c r="O112" s="7"/>
      <c r="P112" s="7"/>
      <c r="Q112" s="22"/>
      <c r="R112" s="170"/>
      <c r="S112" s="213">
        <f t="shared" si="55"/>
        <v>1</v>
      </c>
      <c r="T112" s="195" t="str">
        <f t="shared" si="61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42"/>
        <v>https://d0f6bd738d7f1b3e5a7ca70fe4ff75f0.us-east-1.aws.found.io/app/kibana#/discover/Steve-Slow-Train-Analysis-(2080s-and-2083s)?_g=(refreshInterval:(display:Off,pause:!f,section:0,value:0),time:(from:'2017-08-12T14:53:39-0600',mode:absolute,to:'2017-08-12T17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2" s="197" t="str">
        <f>IF(AA112&lt;VLOOKUP(AG112,Variables!$AC$3:$AD$8,2,FALSE),"Y","N")</f>
        <v>N</v>
      </c>
      <c r="X112" s="197">
        <f t="shared" si="56"/>
        <v>1</v>
      </c>
      <c r="Y112" s="197">
        <f t="shared" si="57"/>
        <v>4.3999999999999997E-2</v>
      </c>
      <c r="Z112" s="197">
        <f t="shared" si="58"/>
        <v>23.337399999999999</v>
      </c>
      <c r="AA112" s="197">
        <f t="shared" si="62"/>
        <v>23.293399999999998</v>
      </c>
      <c r="AB112" s="54" t="e">
        <f>VLOOKUP(A112,Enforcements!$C$7:$K$12,8,0)</f>
        <v>#N/A</v>
      </c>
      <c r="AC112" s="51" t="e">
        <f>VLOOKUP(A112,Enforcements!$C$7:$E$12,3,0)</f>
        <v>#N/A</v>
      </c>
      <c r="AD112" s="206">
        <f t="shared" si="63"/>
        <v>199</v>
      </c>
      <c r="AE112" s="77" t="str">
        <f t="shared" si="46"/>
        <v>aws s3 cp s3://rtdc.mdm.uploadarchive.raw/RTDC4032/ "%USERPROFILE%\AppData\Local\Temp\OnboardLogs"\RTDC4032\2017-08-12 --exclude "*" --recursive --include "*20170812*" &amp; "%USERPROFILE%\Documents\GitHub\mrs-test-scripts\Headless Mode &amp; Sideloading\WalkAndUnGZ.bat" "%USERPROFILE%\AppData\Local\Temp\OnboardLogs"\RTDC4032\2017-08-12 &amp; aws s3 cp s3://rtdc.mdm.uploadarchive.raw/RTDC4032/ "%USERPROFILE%\AppData\Local\Temp\OnboardLogs"\RTDC4032\2017-08-13 --exclude "*" --recursive --include "*20170813*" &amp; "%USERPROFILE%\Documents\GitHub\mrs-test-scripts\Headless Mode &amp; Sideloading\WalkAndUnGZ.bat" "%USERPROFILE%\AppData\Local\Temp\OnboardLogs"\RTDC4032\2017-08-13</v>
      </c>
      <c r="AF112" s="74" t="str">
        <f t="shared" si="47"/>
        <v>"C:\Program Files (x86)\AstroGrep\AstroGrep.exe" /e /r /s /spath="%USERPROFILE%\AppData\Local\Temp\OnboardLogs" /stypes="app*4032*20170812*" /stext=" 22:.+((SYSTEM_STATE.+slice.+state.+changed )|(ment ac)|(multiple cpu faults)|(system.+state.+changed )|(\[timeout)|(PRM\|1\|D)|(kpr)|(kdp)|(train st.+moving)|(\|lc)|(penalty))"</v>
      </c>
      <c r="AG112" s="209" t="str">
        <f t="shared" si="64"/>
        <v>EC</v>
      </c>
      <c r="AH112" s="78" t="str">
        <f t="shared" si="49"/>
        <v>"%USERPROFILE%\Documents\GitHub\eaglep3\Utilities\RefineRTDCRunTimes.py" --tripid 199-12 --locoid 4032 --swversion DE.1.0.9.0 --startMP 204:440 --initTime 2017-08-12T15:53:39 --startdatetime 2017-08-12T16:00:44 --delay 1 --endMP 204:233374 --enddatetime 2017-08-12T16:35:45 --enforcementcount 0 &gt;&gt;C:\Users\stu\Documents\GitHub\eaglep3-reporting\EC\2017-08-12-refined-times.txt</v>
      </c>
      <c r="AI112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{"issue":{"subject":"","project_id":79,"tracker_id":40,"status_id":1,"priority_id":2,"assigned_to_id":23,"start_date":"2017-08-12","description":"","custom_fields":[{"id":1,"name":"Subdivision","value":"EC"},{"id":4,"name":"Milepost","value":"23.3374"},{"id":17,"name":"Train ID","value":"199-12"},{"id":16,"name":"Locomotive ID","value":"4032"},{"id":130,"name":"Impact","value":""},{"id":150,"name":"Time of Event (Mountain Time)","value":"16:35:45"},{"id":151,"name":"Denver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51"/>
        <v>start /low /b %USERPROFILE%\Documents\GitHub\eaglep3\Utilities\DownloadLogsFromS3.py --loco 4032 --day 2017-08-12</v>
      </c>
      <c r="AN112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22:35:45"},{"id":29,"name":"Sharepoint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810</v>
      </c>
      <c r="B113" s="7">
        <v>4031</v>
      </c>
      <c r="C113" s="21" t="s">
        <v>198</v>
      </c>
      <c r="D113" s="21" t="s">
        <v>960</v>
      </c>
      <c r="E113" s="13">
        <v>42959.703344907408</v>
      </c>
      <c r="F113" s="13">
        <v>42959.706423611111</v>
      </c>
      <c r="G113" s="7">
        <v>2</v>
      </c>
      <c r="H113" s="21" t="s">
        <v>341</v>
      </c>
      <c r="I113" s="13">
        <v>42959.733460648145</v>
      </c>
      <c r="J113" s="7">
        <v>0</v>
      </c>
      <c r="K113" s="89" t="str">
        <f t="shared" si="59"/>
        <v>4031/4032</v>
      </c>
      <c r="L113" s="21" t="str">
        <f>VLOOKUP(A113,'Trips&amp;Operators'!$C$1:$G$99999,5,FALSE)</f>
        <v>LOPES KIMBERLY</v>
      </c>
      <c r="M113" s="6">
        <f t="shared" si="60"/>
        <v>2.7037037034460809E-2</v>
      </c>
      <c r="N113" s="7">
        <f t="shared" si="54"/>
        <v>38.933333329623565</v>
      </c>
      <c r="O113" s="7"/>
      <c r="P113" s="7"/>
      <c r="Q113" s="22"/>
      <c r="R113" s="170"/>
      <c r="S113" s="213">
        <f t="shared" si="55"/>
        <v>1</v>
      </c>
      <c r="T113" s="195" t="str">
        <f t="shared" si="61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42"/>
        <v>https://d0f6bd738d7f1b3e5a7ca70fe4ff75f0.us-east-1.aws.found.io/app/kibana#/discover/Steve-Slow-Train-Analysis-(2080s-and-2083s)?_g=(refreshInterval:(display:Off,pause:!f,section:0,value:0),time:(from:'2017-08-12T15:52:49-0600',mode:absolute,to:'2017-08-12T18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3" s="197" t="str">
        <f>IF(AA113&lt;VLOOKUP(AG113,Variables!$AC$3:$AD$8,2,FALSE),"Y","N")</f>
        <v>N</v>
      </c>
      <c r="X113" s="197">
        <f t="shared" si="56"/>
        <v>1</v>
      </c>
      <c r="Y113" s="197">
        <f t="shared" si="57"/>
        <v>23.308299999999999</v>
      </c>
      <c r="Z113" s="197">
        <f t="shared" si="58"/>
        <v>1.4999999999999999E-2</v>
      </c>
      <c r="AA113" s="197">
        <f t="shared" si="62"/>
        <v>23.293299999999999</v>
      </c>
      <c r="AB113" s="54" t="e">
        <f>VLOOKUP(A113,Enforcements!$C$7:$K$12,8,0)</f>
        <v>#N/A</v>
      </c>
      <c r="AC113" s="51" t="e">
        <f>VLOOKUP(A113,Enforcements!$C$7:$E$12,3,0)</f>
        <v>#N/A</v>
      </c>
      <c r="AD113" s="206">
        <f t="shared" si="63"/>
        <v>200</v>
      </c>
      <c r="AE113" s="77" t="str">
        <f t="shared" si="46"/>
        <v>aws s3 cp s3://rtdc.mdm.uploadarchive.raw/RTDC4031/ "%USERPROFILE%\AppData\Local\Temp\OnboardLogs"\RTDC4031\2017-08-12 --exclude "*" --recursive --include "*20170812*" &amp; "%USERPROFILE%\Documents\GitHub\mrs-test-scripts\Headless Mode &amp; Sideloading\WalkAndUnGZ.bat" "%USERPROFILE%\AppData\Local\Temp\OnboardLogs"\RTDC4031\2017-08-12 &amp; aws s3 cp s3://rtdc.mdm.uploadarchive.raw/RTDC4031/ "%USERPROFILE%\AppData\Local\Temp\OnboardLogs"\RTDC4031\2017-08-13 --exclude "*" --recursive --include "*20170813*" &amp; "%USERPROFILE%\Documents\GitHub\mrs-test-scripts\Headless Mode &amp; Sideloading\WalkAndUnGZ.bat" "%USERPROFILE%\AppData\Local\Temp\OnboardLogs"\RTDC4031\2017-08-13</v>
      </c>
      <c r="AF113" s="74" t="str">
        <f t="shared" si="47"/>
        <v>"C:\Program Files (x86)\AstroGrep\AstroGrep.exe" /e /r /s /spath="%USERPROFILE%\AppData\Local\Temp\OnboardLogs" /stypes="app*4031*20170812*" /stext=" 23:.+((SYSTEM_STATE.+slice.+state.+changed )|(ment ac)|(multiple cpu faults)|(system.+state.+changed )|(\[timeout)|(PRM\|1\|D)|(kpr)|(kdp)|(train st.+moving)|(\|lc)|(penalty))"</v>
      </c>
      <c r="AG113" s="209" t="str">
        <f t="shared" si="64"/>
        <v>EC</v>
      </c>
      <c r="AH113" s="78" t="str">
        <f t="shared" si="49"/>
        <v>"%USERPROFILE%\Documents\GitHub\eaglep3\Utilities\RefineRTDCRunTimes.py" --tripid 200-12 --locoid 4031 --swversion DE.1.0.9.0 --startMP 204:233083 --initTime 2017-08-12T16:52:49 --startdatetime 2017-08-12T16:57:15 --delay 2 --endMP 204:150 --enddatetime 2017-08-12T17:36:11 --enforcementcount 0 &gt;&gt;C:\Users\stu\Documents\GitHub\eaglep3-reporting\EC\2017-08-12-refined-times.txt</v>
      </c>
      <c r="AI113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{"issue":{"subject":"","project_id":79,"tracker_id":40,"status_id":1,"priority_id":2,"assigned_to_id":23,"start_date":"2017-08-12","description":"","custom_fields":[{"id":1,"name":"Subdivision","value":"EC"},{"id":4,"name":"Milepost","value":"0.015"},{"id":17,"name":"Train ID","value":"200-12"},{"id":16,"name":"Locomotive ID","value":"4031"},{"id":130,"name":"Impact","value":""},{"id":150,"name":"Time of Event (Mountain Time)","value":"17:36:11"},{"id":151,"name":"Denver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51"/>
        <v>start /low /b %USERPROFILE%\Documents\GitHub\eaglep3\Utilities\DownloadLogsFromS3.py --loco 4031 --day 2017-08-12</v>
      </c>
      <c r="AN113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23:36:11"},{"id":29,"name":"Sharepoint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650</v>
      </c>
      <c r="B114" s="7">
        <v>4064</v>
      </c>
      <c r="C114" s="21" t="s">
        <v>198</v>
      </c>
      <c r="D114" s="21" t="s">
        <v>895</v>
      </c>
      <c r="E114" s="13">
        <v>42959.675104166665</v>
      </c>
      <c r="F114" s="13">
        <v>42959.67759259259</v>
      </c>
      <c r="G114" s="7">
        <v>1</v>
      </c>
      <c r="H114" s="21" t="s">
        <v>958</v>
      </c>
      <c r="I114" s="13">
        <v>42959.702256944445</v>
      </c>
      <c r="J114" s="7">
        <v>0</v>
      </c>
      <c r="K114" s="89" t="str">
        <f t="shared" si="59"/>
        <v>4063/4064</v>
      </c>
      <c r="L114" s="21" t="str">
        <f>VLOOKUP(A114,'Trips&amp;Operators'!$C$1:$G$99999,5,FALSE)</f>
        <v>HOLCOMB KAMDEN</v>
      </c>
      <c r="M114" s="6">
        <f t="shared" si="60"/>
        <v>2.4664351854880806E-2</v>
      </c>
      <c r="N114" s="7">
        <f t="shared" si="54"/>
        <v>35.516666671028361</v>
      </c>
      <c r="O114" s="7"/>
      <c r="P114" s="7"/>
      <c r="Q114" s="22"/>
      <c r="R114" s="170"/>
      <c r="S114" s="213">
        <f t="shared" si="55"/>
        <v>1</v>
      </c>
      <c r="T114" s="195" t="str">
        <f t="shared" si="61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42"/>
        <v>https://d0f6bd738d7f1b3e5a7ca70fe4ff75f0.us-east-1.aws.found.io/app/kibana#/discover/Steve-Slow-Train-Analysis-(2080s-and-2083s)?_g=(refreshInterval:(display:Off,pause:!f,section:0,value:0),time:(from:'2017-08-12T15:12:09-0600',mode:absolute,to:'2017-08-12T17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4" s="197" t="str">
        <f>IF(AA114&lt;VLOOKUP(AG114,Variables!$AC$3:$AD$8,2,FALSE),"Y","N")</f>
        <v>N</v>
      </c>
      <c r="X114" s="197">
        <f t="shared" si="56"/>
        <v>1</v>
      </c>
      <c r="Y114" s="197">
        <f t="shared" si="57"/>
        <v>4.3799999999999999E-2</v>
      </c>
      <c r="Z114" s="197">
        <f t="shared" si="58"/>
        <v>23.340299999999999</v>
      </c>
      <c r="AA114" s="197">
        <f t="shared" si="62"/>
        <v>23.296499999999998</v>
      </c>
      <c r="AB114" s="54" t="str">
        <f>VLOOKUP(A114,Enforcements!$C$7:$K$12,8,0)</f>
        <v>Bulletin (2)</v>
      </c>
      <c r="AC114" s="51" t="str">
        <f>VLOOKUP(A114,Enforcements!$C$7:$E$12,3,0)</f>
        <v>GRADE CROSSING</v>
      </c>
      <c r="AD114" s="206">
        <f t="shared" si="63"/>
        <v>201</v>
      </c>
      <c r="AE114" s="77" t="str">
        <f t="shared" si="46"/>
        <v>aws s3 cp s3://rtdc.mdm.uploadarchive.raw/RTDC4064/ "%USERPROFILE%\AppData\Local\Temp\OnboardLogs"\RTDC4064\2017-08-12 --exclude "*" --recursive --include "*20170812*" &amp; "%USERPROFILE%\Documents\GitHub\mrs-test-scripts\Headless Mode &amp; Sideloading\WalkAndUnGZ.bat" "%USERPROFILE%\AppData\Local\Temp\OnboardLogs"\RTDC4064\2017-08-12 &amp; aws s3 cp s3://rtdc.mdm.uploadarchive.raw/RTDC4064/ "%USERPROFILE%\AppData\Local\Temp\OnboardLogs"\RTDC4064\2017-08-13 --exclude "*" --recursive --include "*20170813*" &amp; "%USERPROFILE%\Documents\GitHub\mrs-test-scripts\Headless Mode &amp; Sideloading\WalkAndUnGZ.bat" "%USERPROFILE%\AppData\Local\Temp\OnboardLogs"\RTDC4064\2017-08-13</v>
      </c>
      <c r="AF114" s="74" t="str">
        <f t="shared" si="47"/>
        <v>"C:\Program Files (x86)\AstroGrep\AstroGrep.exe" /e /r /s /spath="%USERPROFILE%\AppData\Local\Temp\OnboardLogs" /stypes="app*4064*20170812*" /stext=" 22:.+((SYSTEM_STATE.+slice.+state.+changed )|(ment ac)|(multiple cpu faults)|(system.+state.+changed )|(\[timeout)|(PRM\|1\|D)|(kpr)|(kdp)|(train st.+moving)|(\|lc)|(penalty))"</v>
      </c>
      <c r="AG114" s="209" t="str">
        <f t="shared" si="64"/>
        <v>EC</v>
      </c>
      <c r="AH114" s="78" t="str">
        <f t="shared" si="49"/>
        <v>"%USERPROFILE%\Documents\GitHub\eaglep3\Utilities\RefineRTDCRunTimes.py" --tripid 201-12 --locoid 4064 --swversion DE.1.0.9.0 --startMP 204:438 --initTime 2017-08-12T16:12:09 --startdatetime 2017-08-12T16:15:44 --delay 1 --endMP 204:233403 --enddatetime 2017-08-12T16:51:15 --enforcementcount 0 &gt;&gt;C:\Users\stu\Documents\GitHub\eaglep3-reporting\EC\2017-08-12-refined-times.txt</v>
      </c>
      <c r="AI114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{"issue":{"subject":"","project_id":79,"tracker_id":40,"status_id":1,"priority_id":2,"assigned_to_id":23,"start_date":"2017-08-12","description":"","custom_fields":[{"id":1,"name":"Subdivision","value":"EC"},{"id":4,"name":"Milepost","value":"23.3403"},{"id":17,"name":"Train ID","value":"201-12"},{"id":16,"name":"Locomotive ID","value":"4064"},{"id":130,"name":"Impact","value":""},{"id":150,"name":"Time of Event (Mountain Time)","value":"16:51:15"},{"id":151,"name":"Denver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51"/>
        <v>start /low /b %USERPROFILE%\Documents\GitHub\eaglep3\Utilities\DownloadLogsFromS3.py --loco 4064 --day 2017-08-12</v>
      </c>
      <c r="AN114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22:51:15"},{"id":29,"name":"Sharepoint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652</v>
      </c>
      <c r="B115" s="7">
        <v>4063</v>
      </c>
      <c r="C115" s="21" t="s">
        <v>198</v>
      </c>
      <c r="D115" s="21" t="s">
        <v>961</v>
      </c>
      <c r="E115" s="13">
        <v>42959.713796296295</v>
      </c>
      <c r="F115" s="13">
        <v>42959.716863425929</v>
      </c>
      <c r="G115" s="7">
        <v>1</v>
      </c>
      <c r="H115" s="21" t="s">
        <v>938</v>
      </c>
      <c r="I115" s="13">
        <v>42959.743622685186</v>
      </c>
      <c r="J115" s="7">
        <v>0</v>
      </c>
      <c r="K115" s="89" t="str">
        <f t="shared" si="59"/>
        <v>4063/4064</v>
      </c>
      <c r="L115" s="21" t="str">
        <f>VLOOKUP(A115,'Trips&amp;Operators'!$C$1:$G$99999,5,FALSE)</f>
        <v>HOLCOMB KAMDEN</v>
      </c>
      <c r="M115" s="6">
        <f t="shared" si="60"/>
        <v>2.675925925723277E-2</v>
      </c>
      <c r="N115" s="7">
        <f t="shared" si="54"/>
        <v>38.533333330415189</v>
      </c>
      <c r="O115" s="7"/>
      <c r="P115" s="7"/>
      <c r="Q115" s="22"/>
      <c r="R115" s="170"/>
      <c r="S115" s="213">
        <f t="shared" si="55"/>
        <v>1</v>
      </c>
      <c r="T115" s="195" t="str">
        <f t="shared" si="61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42"/>
        <v>https://d0f6bd738d7f1b3e5a7ca70fe4ff75f0.us-east-1.aws.found.io/app/kibana#/discover/Steve-Slow-Train-Analysis-(2080s-and-2083s)?_g=(refreshInterval:(display:Off,pause:!f,section:0,value:0),time:(from:'2017-08-12T16:07:52-0600',mode:absolute,to:'2017-08-12T18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5" s="197" t="str">
        <f>IF(AA115&lt;VLOOKUP(AG115,Variables!$AC$3:$AD$8,2,FALSE),"Y","N")</f>
        <v>N</v>
      </c>
      <c r="X115" s="197">
        <f t="shared" si="56"/>
        <v>1</v>
      </c>
      <c r="Y115" s="197">
        <f t="shared" si="57"/>
        <v>23.310300000000002</v>
      </c>
      <c r="Z115" s="197">
        <f t="shared" si="58"/>
        <v>1.29E-2</v>
      </c>
      <c r="AA115" s="197">
        <f t="shared" si="62"/>
        <v>23.297400000000003</v>
      </c>
      <c r="AB115" s="54" t="e">
        <f>VLOOKUP(A115,Enforcements!$C$7:$K$12,8,0)</f>
        <v>#N/A</v>
      </c>
      <c r="AC115" s="51" t="e">
        <f>VLOOKUP(A115,Enforcements!$C$7:$E$12,3,0)</f>
        <v>#N/A</v>
      </c>
      <c r="AD115" s="206">
        <f t="shared" si="63"/>
        <v>202</v>
      </c>
      <c r="AE115" s="77" t="str">
        <f t="shared" si="46"/>
        <v>aws s3 cp s3://rtdc.mdm.uploadarchive.raw/RTDC4063/ "%USERPROFILE%\AppData\Local\Temp\OnboardLogs"\RTDC4063\2017-08-12 --exclude "*" --recursive --include "*20170812*" &amp; "%USERPROFILE%\Documents\GitHub\mrs-test-scripts\Headless Mode &amp; Sideloading\WalkAndUnGZ.bat" "%USERPROFILE%\AppData\Local\Temp\OnboardLogs"\RTDC4063\2017-08-12 &amp; aws s3 cp s3://rtdc.mdm.uploadarchive.raw/RTDC4063/ "%USERPROFILE%\AppData\Local\Temp\OnboardLogs"\RTDC4063\2017-08-13 --exclude "*" --recursive --include "*20170813*" &amp; "%USERPROFILE%\Documents\GitHub\mrs-test-scripts\Headless Mode &amp; Sideloading\WalkAndUnGZ.bat" "%USERPROFILE%\AppData\Local\Temp\OnboardLogs"\RTDC4063\2017-08-13</v>
      </c>
      <c r="AF115" s="74" t="str">
        <f t="shared" si="47"/>
        <v>"C:\Program Files (x86)\AstroGrep\AstroGrep.exe" /e /r /s /spath="%USERPROFILE%\AppData\Local\Temp\OnboardLogs" /stypes="app*4063*20170812*" /stext=" 23:.+((SYSTEM_STATE.+slice.+state.+changed )|(ment ac)|(multiple cpu faults)|(system.+state.+changed )|(\[timeout)|(PRM\|1\|D)|(kpr)|(kdp)|(train st.+moving)|(\|lc)|(penalty))"</v>
      </c>
      <c r="AG115" s="209" t="str">
        <f t="shared" si="64"/>
        <v>EC</v>
      </c>
      <c r="AH115" s="78" t="str">
        <f t="shared" si="49"/>
        <v>"%USERPROFILE%\Documents\GitHub\eaglep3\Utilities\RefineRTDCRunTimes.py" --tripid 202-12 --locoid 4063 --swversion DE.1.0.9.0 --startMP 204:233103 --initTime 2017-08-12T17:07:52 --startdatetime 2017-08-12T17:12:17 --delay 1 --endMP 204:129 --enddatetime 2017-08-12T17:50:49 --enforcementcount 0 &gt;&gt;C:\Users\stu\Documents\GitHub\eaglep3-reporting\EC\2017-08-12-refined-times.txt</v>
      </c>
      <c r="AI115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{"issue":{"subject":"","project_id":79,"tracker_id":40,"status_id":1,"priority_id":2,"assigned_to_id":23,"start_date":"2017-08-12","description":"","custom_fields":[{"id":1,"name":"Subdivision","value":"EC"},{"id":4,"name":"Milepost","value":"0.0129"},{"id":17,"name":"Train ID","value":"202-12"},{"id":16,"name":"Locomotive ID","value":"4063"},{"id":130,"name":"Impact","value":""},{"id":150,"name":"Time of Event (Mountain Time)","value":"17:50:49"},{"id":151,"name":"Denver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51"/>
        <v>start /low /b %USERPROFILE%\Documents\GitHub\eaglep3\Utilities\DownloadLogsFromS3.py --loco 4063 --day 2017-08-12</v>
      </c>
      <c r="AN115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23:50:49"},{"id":29,"name":"Sharepoint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805</v>
      </c>
      <c r="B116" s="7">
        <v>4050</v>
      </c>
      <c r="C116" s="21" t="s">
        <v>198</v>
      </c>
      <c r="D116" s="21" t="s">
        <v>962</v>
      </c>
      <c r="E116" s="13">
        <v>42959.686284722222</v>
      </c>
      <c r="F116" s="13">
        <v>42959.688067129631</v>
      </c>
      <c r="G116" s="7">
        <v>1</v>
      </c>
      <c r="H116" s="21" t="s">
        <v>515</v>
      </c>
      <c r="I116" s="13">
        <v>42959.713900462964</v>
      </c>
      <c r="J116" s="7">
        <v>0</v>
      </c>
      <c r="K116" s="89" t="str">
        <f t="shared" si="59"/>
        <v>4049/4050</v>
      </c>
      <c r="L116" s="21" t="str">
        <f>VLOOKUP(A116,'Trips&amp;Operators'!$C$1:$G$99999,5,FALSE)</f>
        <v>DAVIS MICHAEL</v>
      </c>
      <c r="M116" s="6">
        <f t="shared" si="60"/>
        <v>2.5833333333139308E-2</v>
      </c>
      <c r="N116" s="7">
        <f t="shared" si="54"/>
        <v>37.199999999720603</v>
      </c>
      <c r="O116" s="7"/>
      <c r="P116" s="7"/>
      <c r="Q116" s="22"/>
      <c r="R116" s="170"/>
      <c r="S116" s="213">
        <f t="shared" si="55"/>
        <v>1</v>
      </c>
      <c r="T116" s="195" t="str">
        <f t="shared" si="61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42"/>
        <v>https://d0f6bd738d7f1b3e5a7ca70fe4ff75f0.us-east-1.aws.found.io/app/kibana#/discover/Steve-Slow-Train-Analysis-(2080s-and-2083s)?_g=(refreshInterval:(display:Off,pause:!f,section:0,value:0),time:(from:'2017-08-12T15:28:15-0600',mode:absolute,to:'2017-08-12T18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6" s="197" t="str">
        <f>IF(AA116&lt;VLOOKUP(AG116,Variables!$AC$3:$AD$8,2,FALSE),"Y","N")</f>
        <v>N</v>
      </c>
      <c r="X116" s="197">
        <f t="shared" si="56"/>
        <v>1</v>
      </c>
      <c r="Y116" s="197">
        <f t="shared" si="57"/>
        <v>4.3499999999999997E-2</v>
      </c>
      <c r="Z116" s="197">
        <f t="shared" si="58"/>
        <v>23.335699999999999</v>
      </c>
      <c r="AA116" s="197">
        <f t="shared" si="62"/>
        <v>23.292199999999998</v>
      </c>
      <c r="AB116" s="54" t="e">
        <f>VLOOKUP(A116,Enforcements!$C$7:$K$12,8,0)</f>
        <v>#N/A</v>
      </c>
      <c r="AC116" s="51" t="e">
        <f>VLOOKUP(A116,Enforcements!$C$7:$E$12,3,0)</f>
        <v>#N/A</v>
      </c>
      <c r="AD116" s="206">
        <f t="shared" si="63"/>
        <v>203</v>
      </c>
      <c r="AE116" s="77" t="str">
        <f t="shared" si="46"/>
        <v>aws s3 cp s3://rtdc.mdm.uploadarchive.raw/RTDC4050/ "%USERPROFILE%\AppData\Local\Temp\OnboardLogs"\RTDC4050\2017-08-12 --exclude "*" --recursive --include "*20170812*" &amp; "%USERPROFILE%\Documents\GitHub\mrs-test-scripts\Headless Mode &amp; Sideloading\WalkAndUnGZ.bat" "%USERPROFILE%\AppData\Local\Temp\OnboardLogs"\RTDC4050\2017-08-12 &amp; aws s3 cp s3://rtdc.mdm.uploadarchive.raw/RTDC4050/ "%USERPROFILE%\AppData\Local\Temp\OnboardLogs"\RTDC4050\2017-08-13 --exclude "*" --recursive --include "*20170813*" &amp; "%USERPROFILE%\Documents\GitHub\mrs-test-scripts\Headless Mode &amp; Sideloading\WalkAndUnGZ.bat" "%USERPROFILE%\AppData\Local\Temp\OnboardLogs"\RTDC4050\2017-08-13</v>
      </c>
      <c r="AF116" s="74" t="str">
        <f t="shared" si="47"/>
        <v>"C:\Program Files (x86)\AstroGrep\AstroGrep.exe" /e /r /s /spath="%USERPROFILE%\AppData\Local\Temp\OnboardLogs" /stypes="app*4050*20170812*" /stext=" 23:.+((SYSTEM_STATE.+slice.+state.+changed )|(ment ac)|(multiple cpu faults)|(system.+state.+changed )|(\[timeout)|(PRM\|1\|D)|(kpr)|(kdp)|(train st.+moving)|(\|lc)|(penalty))"</v>
      </c>
      <c r="AG116" s="209" t="str">
        <f t="shared" si="64"/>
        <v>EC</v>
      </c>
      <c r="AH116" s="78" t="str">
        <f t="shared" si="49"/>
        <v>"%USERPROFILE%\Documents\GitHub\eaglep3\Utilities\RefineRTDCRunTimes.py" --tripid 203-12 --locoid 4050 --swversion DE.1.0.9.0 --startMP 204:435 --initTime 2017-08-12T16:28:15 --startdatetime 2017-08-12T16:30:49 --delay 1 --endMP 204:233357 --enddatetime 2017-08-12T17:08:01 --enforcementcount 0 &gt;&gt;C:\Users\stu\Documents\GitHub\eaglep3-reporting\EC\2017-08-12-refined-times.txt</v>
      </c>
      <c r="AI116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{"issue":{"subject":"","project_id":79,"tracker_id":40,"status_id":1,"priority_id":2,"assigned_to_id":23,"start_date":"2017-08-12","description":"","custom_fields":[{"id":1,"name":"Subdivision","value":"EC"},{"id":4,"name":"Milepost","value":"23.3357"},{"id":17,"name":"Train ID","value":"203-12"},{"id":16,"name":"Locomotive ID","value":"4050"},{"id":130,"name":"Impact","value":""},{"id":150,"name":"Time of Event (Mountain Time)","value":"17:08:01"},{"id":151,"name":"Denver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51"/>
        <v>start /low /b %USERPROFILE%\Documents\GitHub\eaglep3\Utilities\DownloadLogsFromS3.py --loco 4050 --day 2017-08-12</v>
      </c>
      <c r="AN116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23:08:01"},{"id":29,"name":"Sharepoint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814</v>
      </c>
      <c r="B117" s="7">
        <v>4049</v>
      </c>
      <c r="C117" s="21" t="s">
        <v>198</v>
      </c>
      <c r="D117" s="21" t="s">
        <v>949</v>
      </c>
      <c r="E117" s="13">
        <v>42959.725613425922</v>
      </c>
      <c r="F117" s="13">
        <v>42959.727569444447</v>
      </c>
      <c r="G117" s="7">
        <v>1</v>
      </c>
      <c r="H117" s="21" t="s">
        <v>342</v>
      </c>
      <c r="I117" s="13">
        <v>42959.755057870374</v>
      </c>
      <c r="J117" s="7">
        <v>0</v>
      </c>
      <c r="K117" s="89" t="str">
        <f t="shared" si="59"/>
        <v>4049/4050</v>
      </c>
      <c r="L117" s="21" t="str">
        <f>VLOOKUP(A117,'Trips&amp;Operators'!$C$1:$G$99999,5,FALSE)</f>
        <v>DAVIS MICHAEL</v>
      </c>
      <c r="M117" s="6">
        <f t="shared" si="60"/>
        <v>2.7488425927003846E-2</v>
      </c>
      <c r="N117" s="7">
        <f t="shared" si="54"/>
        <v>39.583333334885538</v>
      </c>
      <c r="O117" s="7"/>
      <c r="P117" s="7"/>
      <c r="Q117" s="22"/>
      <c r="R117" s="170"/>
      <c r="S117" s="213">
        <f t="shared" si="55"/>
        <v>1</v>
      </c>
      <c r="T117" s="195" t="str">
        <f t="shared" si="61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42"/>
        <v>https://d0f6bd738d7f1b3e5a7ca70fe4ff75f0.us-east-1.aws.found.io/app/kibana#/discover/Steve-Slow-Train-Analysis-(2080s-and-2083s)?_g=(refreshInterval:(display:Off,pause:!f,section:0,value:0),time:(from:'2017-08-12T16:24:53-0600',mode:absolute,to:'2017-08-12T19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7" s="197" t="str">
        <f>IF(AA117&lt;VLOOKUP(AG117,Variables!$AC$3:$AD$8,2,FALSE),"Y","N")</f>
        <v>N</v>
      </c>
      <c r="X117" s="197">
        <f t="shared" si="56"/>
        <v>1</v>
      </c>
      <c r="Y117" s="197">
        <f t="shared" si="57"/>
        <v>23.303799999999999</v>
      </c>
      <c r="Z117" s="197">
        <f t="shared" si="58"/>
        <v>1.49E-2</v>
      </c>
      <c r="AA117" s="197">
        <f t="shared" si="62"/>
        <v>23.288899999999998</v>
      </c>
      <c r="AB117" s="54" t="e">
        <f>VLOOKUP(A117,Enforcements!$C$7:$K$12,8,0)</f>
        <v>#N/A</v>
      </c>
      <c r="AC117" s="51" t="e">
        <f>VLOOKUP(A117,Enforcements!$C$7:$E$12,3,0)</f>
        <v>#N/A</v>
      </c>
      <c r="AD117" s="206">
        <f t="shared" si="63"/>
        <v>204</v>
      </c>
      <c r="AE117" s="77" t="str">
        <f t="shared" si="46"/>
        <v>aws s3 cp s3://rtdc.mdm.uploadarchive.raw/RTDC4049/ "%USERPROFILE%\AppData\Local\Temp\OnboardLogs"\RTDC4049\2017-08-12 --exclude "*" --recursive --include "*20170812*" &amp; "%USERPROFILE%\Documents\GitHub\mrs-test-scripts\Headless Mode &amp; Sideloading\WalkAndUnGZ.bat" "%USERPROFILE%\AppData\Local\Temp\OnboardLogs"\RTDC4049\2017-08-12 &amp; aws s3 cp s3://rtdc.mdm.uploadarchive.raw/RTDC4049/ "%USERPROFILE%\AppData\Local\Temp\OnboardLogs"\RTDC4049\2017-08-13 --exclude "*" --recursive --include "*20170813*" &amp; "%USERPROFILE%\Documents\GitHub\mrs-test-scripts\Headless Mode &amp; Sideloading\WalkAndUnGZ.bat" "%USERPROFILE%\AppData\Local\Temp\OnboardLogs"\RTDC4049\2017-08-13</v>
      </c>
      <c r="AF117" s="74" t="str">
        <f t="shared" si="47"/>
        <v>"C:\Program Files (x86)\AstroGrep\AstroGrep.exe" /e /r /s /spath="%USERPROFILE%\AppData\Local\Temp\OnboardLogs" /stypes="app*4049*20170813*" /stext=" 00:.+((SYSTEM_STATE.+slice.+state.+changed )|(ment ac)|(multiple cpu faults)|(system.+state.+changed )|(\[timeout)|(PRM\|1\|D)|(kpr)|(kdp)|(train st.+moving)|(\|lc)|(penalty))"</v>
      </c>
      <c r="AG117" s="209" t="str">
        <f t="shared" si="64"/>
        <v>EC</v>
      </c>
      <c r="AH117" s="78" t="str">
        <f t="shared" si="49"/>
        <v>"%USERPROFILE%\Documents\GitHub\eaglep3\Utilities\RefineRTDCRunTimes.py" --tripid 204-12 --locoid 4049 --swversion DE.1.0.9.0 --startMP 204:233038 --initTime 2017-08-12T17:24:53 --startdatetime 2017-08-12T17:27:42 --delay 1 --endMP 204:149 --enddatetime 2017-08-12T18:07:17 --enforcementcount 0 &gt;&gt;C:\Users\stu\Documents\GitHub\eaglep3-reporting\EC\2017-08-12-refined-times.txt</v>
      </c>
      <c r="AI117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{"issue":{"subject":"","project_id":79,"tracker_id":40,"status_id":1,"priority_id":2,"assigned_to_id":23,"start_date":"2017-08-12","description":"","custom_fields":[{"id":1,"name":"Subdivision","value":"EC"},{"id":4,"name":"Milepost","value":"0.0149"},{"id":17,"name":"Train ID","value":"204-12"},{"id":16,"name":"Locomotive ID","value":"4049"},{"id":130,"name":"Impact","value":""},{"id":150,"name":"Time of Event (Mountain Time)","value":"18:07:17"},{"id":151,"name":"Denver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51"/>
        <v>start /low /b %USERPROFILE%\Documents\GitHub\eaglep3\Utilities\DownloadLogsFromS3.py --loco 4049 --day 2017-08-12</v>
      </c>
      <c r="AN117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00:07:17"},{"id":29,"name":"Sharepoint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651</v>
      </c>
      <c r="B118" s="7">
        <v>4016</v>
      </c>
      <c r="C118" s="21" t="s">
        <v>198</v>
      </c>
      <c r="D118" s="21" t="s">
        <v>561</v>
      </c>
      <c r="E118" s="13">
        <v>42959.695844907408</v>
      </c>
      <c r="F118" s="13">
        <v>42959.698634259257</v>
      </c>
      <c r="G118" s="7">
        <v>1</v>
      </c>
      <c r="H118" s="21" t="s">
        <v>907</v>
      </c>
      <c r="I118" s="13">
        <v>42959.725972222222</v>
      </c>
      <c r="J118" s="7">
        <v>0</v>
      </c>
      <c r="K118" s="89" t="str">
        <f t="shared" si="59"/>
        <v>4015/4016</v>
      </c>
      <c r="L118" s="21" t="str">
        <f>VLOOKUP(A118,'Trips&amp;Operators'!$C$1:$G$99999,5,FALSE)</f>
        <v>THOMPSON LESTER</v>
      </c>
      <c r="M118" s="6">
        <f t="shared" si="60"/>
        <v>2.7337962965248153E-2</v>
      </c>
      <c r="N118" s="7">
        <f t="shared" ref="N118:N123" si="65">24*60*SUM($M118:$M118)</f>
        <v>39.36666666995734</v>
      </c>
      <c r="O118" s="7"/>
      <c r="P118" s="7"/>
      <c r="Q118" s="22"/>
      <c r="R118" s="170"/>
      <c r="S118" s="213">
        <f t="shared" ref="S118:S123" si="66">1/IF(AG118="EC",12,1)*SUM(U118:U118)</f>
        <v>1</v>
      </c>
      <c r="T118" s="195" t="str">
        <f t="shared" si="61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42"/>
        <v>https://d0f6bd738d7f1b3e5a7ca70fe4ff75f0.us-east-1.aws.found.io/app/kibana#/discover/Steve-Slow-Train-Analysis-(2080s-and-2083s)?_g=(refreshInterval:(display:Off,pause:!f,section:0,value:0),time:(from:'2017-08-12T15:42:01-0600',mode:absolute,to:'2017-08-12T18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8" s="197" t="str">
        <f>IF(AA118&lt;VLOOKUP(AG118,Variables!$AC$3:$AD$8,2,FALSE),"Y","N")</f>
        <v>N</v>
      </c>
      <c r="X118" s="197">
        <f t="shared" si="56"/>
        <v>1</v>
      </c>
      <c r="Y118" s="197">
        <f t="shared" si="57"/>
        <v>4.8000000000000001E-2</v>
      </c>
      <c r="Z118" s="197">
        <f t="shared" si="58"/>
        <v>23.336400000000001</v>
      </c>
      <c r="AA118" s="197">
        <f t="shared" si="62"/>
        <v>23.288400000000003</v>
      </c>
      <c r="AB118" s="54" t="e">
        <f>VLOOKUP(A118,Enforcements!$C$7:$K$12,8,0)</f>
        <v>#N/A</v>
      </c>
      <c r="AC118" s="51" t="e">
        <f>VLOOKUP(A118,Enforcements!$C$7:$E$12,3,0)</f>
        <v>#N/A</v>
      </c>
      <c r="AD118" s="206">
        <f t="shared" si="63"/>
        <v>205</v>
      </c>
      <c r="AE118" s="77" t="str">
        <f t="shared" si="46"/>
        <v>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 &amp; 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</v>
      </c>
      <c r="AF118" s="74" t="str">
        <f t="shared" si="47"/>
        <v>"C:\Program Files (x86)\AstroGrep\AstroGrep.exe" /e /r /s /spath="%USERPROFILE%\AppData\Local\Temp\OnboardLogs" /stypes="app*4016*20170812*" /stext=" 23:.+((SYSTEM_STATE.+slice.+state.+changed )|(ment ac)|(multiple cpu faults)|(system.+state.+changed )|(\[timeout)|(PRM\|1\|D)|(kpr)|(kdp)|(train st.+moving)|(\|lc)|(penalty))"</v>
      </c>
      <c r="AG118" s="209" t="str">
        <f t="shared" si="64"/>
        <v>EC</v>
      </c>
      <c r="AH118" s="78" t="str">
        <f t="shared" si="49"/>
        <v>"%USERPROFILE%\Documents\GitHub\eaglep3\Utilities\RefineRTDCRunTimes.py" --tripid 205-12 --locoid 4016 --swversion DE.1.0.9.0 --startMP 204:480 --initTime 2017-08-12T16:42:01 --startdatetime 2017-08-12T16:46:02 --delay 1 --endMP 204:233364 --enddatetime 2017-08-12T17:25:24 --enforcementcount 0 &gt;&gt;C:\Users\stu\Documents\GitHub\eaglep3-reporting\EC\2017-08-12-refined-times.txt</v>
      </c>
      <c r="AI118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{"issue":{"subject":"","project_id":79,"tracker_id":40,"status_id":1,"priority_id":2,"assigned_to_id":23,"start_date":"2017-08-12","description":"","custom_fields":[{"id":1,"name":"Subdivision","value":"EC"},{"id":4,"name":"Milepost","value":"23.3364"},{"id":17,"name":"Train ID","value":"205-12"},{"id":16,"name":"Locomotive ID","value":"4016"},{"id":130,"name":"Impact","value":""},{"id":150,"name":"Time of Event (Mountain Time)","value":"17:25:24"},{"id":151,"name":"Denver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51"/>
        <v>start /low /b %USERPROFILE%\Documents\GitHub\eaglep3\Utilities\DownloadLogsFromS3.py --loco 4016 --day 2017-08-12</v>
      </c>
      <c r="AN118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23:25:24"},{"id":29,"name":"Sharepoint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653</v>
      </c>
      <c r="B119" s="7">
        <v>4015</v>
      </c>
      <c r="C119" s="21" t="s">
        <v>198</v>
      </c>
      <c r="D119" s="21" t="s">
        <v>949</v>
      </c>
      <c r="E119" s="13">
        <v>42959.73510416667</v>
      </c>
      <c r="F119" s="13">
        <v>42959.737708333334</v>
      </c>
      <c r="G119" s="7">
        <v>1</v>
      </c>
      <c r="H119" s="21" t="s">
        <v>351</v>
      </c>
      <c r="I119" s="13">
        <v>42959.765925925924</v>
      </c>
      <c r="J119" s="7">
        <v>0</v>
      </c>
      <c r="K119" s="89" t="str">
        <f t="shared" si="59"/>
        <v>4015/4016</v>
      </c>
      <c r="L119" s="21" t="str">
        <f>VLOOKUP(A119,'Trips&amp;Operators'!$C$1:$G$99999,5,FALSE)</f>
        <v>THOMPSON LESTER</v>
      </c>
      <c r="M119" s="6">
        <f t="shared" si="60"/>
        <v>2.8217592589498963E-2</v>
      </c>
      <c r="N119" s="7">
        <f t="shared" si="65"/>
        <v>40.633333328878507</v>
      </c>
      <c r="O119" s="7"/>
      <c r="P119" s="7"/>
      <c r="Q119" s="22"/>
      <c r="R119" s="170"/>
      <c r="S119" s="213">
        <f t="shared" si="66"/>
        <v>1</v>
      </c>
      <c r="T119" s="195" t="str">
        <f t="shared" si="61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42"/>
        <v>https://d0f6bd738d7f1b3e5a7ca70fe4ff75f0.us-east-1.aws.found.io/app/kibana#/discover/Steve-Slow-Train-Analysis-(2080s-and-2083s)?_g=(refreshInterval:(display:Off,pause:!f,section:0,value:0),time:(from:'2017-08-12T16:38:33-0600',mode:absolute,to:'2017-08-12T19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9" s="197" t="str">
        <f>IF(AA119&lt;VLOOKUP(AG119,Variables!$AC$3:$AD$8,2,FALSE),"Y","N")</f>
        <v>N</v>
      </c>
      <c r="X119" s="197">
        <f t="shared" si="56"/>
        <v>1</v>
      </c>
      <c r="Y119" s="197">
        <f t="shared" si="57"/>
        <v>23.303799999999999</v>
      </c>
      <c r="Z119" s="197">
        <f t="shared" si="58"/>
        <v>1.47E-2</v>
      </c>
      <c r="AA119" s="197">
        <f t="shared" si="62"/>
        <v>23.289099999999998</v>
      </c>
      <c r="AB119" s="54" t="str">
        <f>VLOOKUP(A119,Enforcements!$C$7:$K$12,8,0)</f>
        <v>Bulletin (2)</v>
      </c>
      <c r="AC119" s="51" t="str">
        <f>VLOOKUP(A119,Enforcements!$C$7:$E$12,3,0)</f>
        <v>GRADE CROSSING</v>
      </c>
      <c r="AD119" s="206">
        <f t="shared" si="63"/>
        <v>206</v>
      </c>
      <c r="AE119" s="77" t="str">
        <f t="shared" si="46"/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AF119" s="74" t="str">
        <f t="shared" si="47"/>
        <v>"C:\Program Files (x86)\AstroGrep\AstroGrep.exe" /e /r /s /spath="%USERPROFILE%\AppData\Local\Temp\OnboardLogs" /stypes="app*4015*20170813*" /stext=" 00:.+((SYSTEM_STATE.+slice.+state.+changed )|(ment ac)|(multiple cpu faults)|(system.+state.+changed )|(\[timeout)|(PRM\|1\|D)|(kpr)|(kdp)|(train st.+moving)|(\|lc)|(penalty))"</v>
      </c>
      <c r="AG119" s="209" t="str">
        <f t="shared" si="64"/>
        <v>EC</v>
      </c>
      <c r="AH119" s="78" t="str">
        <f t="shared" si="49"/>
        <v>"%USERPROFILE%\Documents\GitHub\eaglep3\Utilities\RefineRTDCRunTimes.py" --tripid 206-12 --locoid 4015 --swversion DE.1.0.9.0 --startMP 204:233038 --initTime 2017-08-12T17:38:33 --startdatetime 2017-08-12T17:42:18 --delay 1 --endMP 204:147 --enddatetime 2017-08-12T18:22:56 --enforcementcount 0 &gt;&gt;C:\Users\stu\Documents\GitHub\eaglep3-reporting\EC\2017-08-12-refined-times.txt</v>
      </c>
      <c r="AI119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{"issue":{"subject":"","project_id":79,"tracker_id":40,"status_id":1,"priority_id":2,"assigned_to_id":23,"start_date":"2017-08-12","description":"","custom_fields":[{"id":1,"name":"Subdivision","value":"EC"},{"id":4,"name":"Milepost","value":"0.0147"},{"id":17,"name":"Train ID","value":"206-12"},{"id":16,"name":"Locomotive ID","value":"4015"},{"id":130,"name":"Impact","value":""},{"id":150,"name":"Time of Event (Mountain Time)","value":"18:22:56"},{"id":151,"name":"Denver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51"/>
        <v>start /low /b %USERPROFILE%\Documents\GitHub\eaglep3\Utilities\DownloadLogsFromS3.py --loco 4015 --day 2017-08-12</v>
      </c>
      <c r="AN119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00:22:56"},{"id":29,"name":"Sharepoint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811</v>
      </c>
      <c r="B120" s="7">
        <v>4042</v>
      </c>
      <c r="C120" s="21" t="s">
        <v>198</v>
      </c>
      <c r="D120" s="21" t="s">
        <v>404</v>
      </c>
      <c r="E120" s="13">
        <v>42959.704664351855</v>
      </c>
      <c r="F120" s="13">
        <v>42959.708831018521</v>
      </c>
      <c r="G120" s="7">
        <v>1</v>
      </c>
      <c r="H120" s="21" t="s">
        <v>899</v>
      </c>
      <c r="I120" s="13">
        <v>42959.733229166668</v>
      </c>
      <c r="J120" s="7">
        <v>0</v>
      </c>
      <c r="K120" s="89" t="str">
        <f t="shared" si="59"/>
        <v>4041/4042</v>
      </c>
      <c r="L120" s="21" t="str">
        <f>VLOOKUP(A120,'Trips&amp;Operators'!$C$1:$G$99999,5,FALSE)</f>
        <v>BRUDER RICHARD</v>
      </c>
      <c r="M120" s="6">
        <f t="shared" si="60"/>
        <v>2.4398148147156462E-2</v>
      </c>
      <c r="N120" s="7">
        <f t="shared" si="65"/>
        <v>35.133333331905305</v>
      </c>
      <c r="O120" s="7"/>
      <c r="P120" s="7"/>
      <c r="Q120" s="22"/>
      <c r="R120" s="170"/>
      <c r="S120" s="213">
        <f t="shared" si="66"/>
        <v>1</v>
      </c>
      <c r="T120" s="195" t="str">
        <f t="shared" si="61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42"/>
        <v>https://d0f6bd738d7f1b3e5a7ca70fe4ff75f0.us-east-1.aws.found.io/app/kibana#/discover/Steve-Slow-Train-Analysis-(2080s-and-2083s)?_g=(refreshInterval:(display:Off,pause:!f,section:0,value:0),time:(from:'2017-08-12T15:54:43-0600',mode:absolute,to:'2017-08-12T18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0" s="197" t="str">
        <f>IF(AA120&lt;VLOOKUP(AG120,Variables!$AC$3:$AD$8,2,FALSE),"Y","N")</f>
        <v>N</v>
      </c>
      <c r="X120" s="197">
        <f t="shared" si="56"/>
        <v>1</v>
      </c>
      <c r="Y120" s="197">
        <f t="shared" si="57"/>
        <v>4.58E-2</v>
      </c>
      <c r="Z120" s="197">
        <f t="shared" si="58"/>
        <v>23.330200000000001</v>
      </c>
      <c r="AA120" s="197">
        <f t="shared" si="62"/>
        <v>23.284400000000002</v>
      </c>
      <c r="AB120" s="54" t="e">
        <f>VLOOKUP(A120,Enforcements!$C$7:$K$12,8,0)</f>
        <v>#N/A</v>
      </c>
      <c r="AC120" s="51" t="e">
        <f>VLOOKUP(A120,Enforcements!$C$7:$E$12,3,0)</f>
        <v>#N/A</v>
      </c>
      <c r="AD120" s="206">
        <f t="shared" si="63"/>
        <v>207</v>
      </c>
      <c r="AE120" s="77" t="str">
        <f t="shared" si="46"/>
        <v>aws s3 cp s3://rtdc.mdm.uploadarchive.raw/RTDC4042/ "%USERPROFILE%\AppData\Local\Temp\OnboardLogs"\RTDC4042\2017-08-12 --exclude "*" --recursive --include "*20170812*" &amp; "%USERPROFILE%\Documents\GitHub\mrs-test-scripts\Headless Mode &amp; Sideloading\WalkAndUnGZ.bat" "%USERPROFILE%\AppData\Local\Temp\OnboardLogs"\RTDC4042\2017-08-12 &amp; 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</v>
      </c>
      <c r="AF120" s="74" t="str">
        <f t="shared" si="47"/>
        <v>"C:\Program Files (x86)\AstroGrep\AstroGrep.exe" /e /r /s /spath="%USERPROFILE%\AppData\Local\Temp\OnboardLogs" /stypes="app*4042*20170812*" /stext=" 23:.+((SYSTEM_STATE.+slice.+state.+changed )|(ment ac)|(multiple cpu faults)|(system.+state.+changed )|(\[timeout)|(PRM\|1\|D)|(kpr)|(kdp)|(train st.+moving)|(\|lc)|(penalty))"</v>
      </c>
      <c r="AG120" s="209" t="str">
        <f t="shared" si="64"/>
        <v>EC</v>
      </c>
      <c r="AH120" s="78" t="str">
        <f t="shared" si="49"/>
        <v>"%USERPROFILE%\Documents\GitHub\eaglep3\Utilities\RefineRTDCRunTimes.py" --tripid 207-12 --locoid 4042 --swversion DE.1.0.9.0 --startMP 204:458 --initTime 2017-08-12T16:54:43 --startdatetime 2017-08-12T17:00:43 --delay 1 --endMP 204:233302 --enddatetime 2017-08-12T17:35:51 --enforcementcount 0 &gt;&gt;C:\Users\stu\Documents\GitHub\eaglep3-reporting\EC\2017-08-12-refined-times.txt</v>
      </c>
      <c r="AI120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{"issue":{"subject":"","project_id":79,"tracker_id":40,"status_id":1,"priority_id":2,"assigned_to_id":23,"start_date":"2017-08-12","description":"","custom_fields":[{"id":1,"name":"Subdivision","value":"EC"},{"id":4,"name":"Milepost","value":"23.3302"},{"id":17,"name":"Train ID","value":"207-12"},{"id":16,"name":"Locomotive ID","value":"4042"},{"id":130,"name":"Impact","value":""},{"id":150,"name":"Time of Event (Mountain Time)","value":"17:35:51"},{"id":151,"name":"Denver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51"/>
        <v>start /low /b %USERPROFILE%\Documents\GitHub\eaglep3\Utilities\DownloadLogsFromS3.py --loco 4042 --day 2017-08-12</v>
      </c>
      <c r="AN120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23:35:51"},{"id":29,"name":"Sharepoint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822</v>
      </c>
      <c r="B121" s="7">
        <v>4041</v>
      </c>
      <c r="C121" s="21" t="s">
        <v>198</v>
      </c>
      <c r="D121" s="21" t="s">
        <v>559</v>
      </c>
      <c r="E121" s="13">
        <v>42959.745347222219</v>
      </c>
      <c r="F121" s="13">
        <v>42959.748078703706</v>
      </c>
      <c r="G121" s="7">
        <v>1</v>
      </c>
      <c r="H121" s="21" t="s">
        <v>376</v>
      </c>
      <c r="I121" s="13">
        <v>42959.774224537039</v>
      </c>
      <c r="J121" s="7">
        <v>0</v>
      </c>
      <c r="K121" s="89" t="str">
        <f t="shared" si="59"/>
        <v>4041/4042</v>
      </c>
      <c r="L121" s="21" t="str">
        <f>VLOOKUP(A121,'Trips&amp;Operators'!$C$1:$G$99999,5,FALSE)</f>
        <v>BRUDER RICHARD</v>
      </c>
      <c r="M121" s="6">
        <f t="shared" si="60"/>
        <v>2.6145833333430346E-2</v>
      </c>
      <c r="N121" s="7">
        <f t="shared" si="65"/>
        <v>37.650000000139698</v>
      </c>
      <c r="O121" s="7"/>
      <c r="P121" s="7"/>
      <c r="Q121" s="22"/>
      <c r="R121" s="170"/>
      <c r="S121" s="213">
        <f t="shared" si="66"/>
        <v>1</v>
      </c>
      <c r="T121" s="195" t="str">
        <f t="shared" si="61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42"/>
        <v>https://d0f6bd738d7f1b3e5a7ca70fe4ff75f0.us-east-1.aws.found.io/app/kibana#/discover/Steve-Slow-Train-Analysis-(2080s-and-2083s)?_g=(refreshInterval:(display:Off,pause:!f,section:0,value:0),time:(from:'2017-08-12T16:53:18-0600',mode:absolute,to:'2017-08-12T19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1" s="197" t="str">
        <f>IF(AA121&lt;VLOOKUP(AG121,Variables!$AC$3:$AD$8,2,FALSE),"Y","N")</f>
        <v>N</v>
      </c>
      <c r="X121" s="197">
        <f t="shared" si="56"/>
        <v>1</v>
      </c>
      <c r="Y121" s="197">
        <f t="shared" si="57"/>
        <v>23.299099999999999</v>
      </c>
      <c r="Z121" s="197">
        <f t="shared" si="58"/>
        <v>1.54E-2</v>
      </c>
      <c r="AA121" s="197">
        <f t="shared" si="62"/>
        <v>23.2837</v>
      </c>
      <c r="AB121" s="54" t="e">
        <f>VLOOKUP(A121,Enforcements!$C$7:$K$12,8,0)</f>
        <v>#N/A</v>
      </c>
      <c r="AC121" s="51" t="e">
        <f>VLOOKUP(A121,Enforcements!$C$7:$E$12,3,0)</f>
        <v>#N/A</v>
      </c>
      <c r="AD121" s="206">
        <f t="shared" si="63"/>
        <v>208</v>
      </c>
      <c r="AE121" s="77" t="str">
        <f t="shared" si="46"/>
        <v>aws s3 cp s3://rtdc.mdm.uploadarchive.raw/RTDC4041/ "%USERPROFILE%\AppData\Local\Temp\OnboardLogs"\RTDC4041\2017-08-12 --exclude "*" --recursive --include "*20170812*" &amp; "%USERPROFILE%\Documents\GitHub\mrs-test-scripts\Headless Mode &amp; Sideloading\WalkAndUnGZ.bat" "%USERPROFILE%\AppData\Local\Temp\OnboardLogs"\RTDC4041\2017-08-12 &amp; 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</v>
      </c>
      <c r="AF121" s="74" t="str">
        <f t="shared" si="47"/>
        <v>"C:\Program Files (x86)\AstroGrep\AstroGrep.exe" /e /r /s /spath="%USERPROFILE%\AppData\Local\Temp\OnboardLogs" /stypes="app*4041*20170813*" /stext=" 00:.+((SYSTEM_STATE.+slice.+state.+changed )|(ment ac)|(multiple cpu faults)|(system.+state.+changed )|(\[timeout)|(PRM\|1\|D)|(kpr)|(kdp)|(train st.+moving)|(\|lc)|(penalty))"</v>
      </c>
      <c r="AG121" s="209" t="str">
        <f t="shared" si="64"/>
        <v>EC</v>
      </c>
      <c r="AH121" s="78" t="str">
        <f t="shared" si="49"/>
        <v>"%USERPROFILE%\Documents\GitHub\eaglep3\Utilities\RefineRTDCRunTimes.py" --tripid 208-12 --locoid 4041 --swversion DE.1.0.9.0 --startMP 204:232991 --initTime 2017-08-12T17:53:18 --startdatetime 2017-08-12T17:57:14 --delay 1 --endMP 204:154 --enddatetime 2017-08-12T18:34:53 --enforcementcount 0 &gt;&gt;C:\Users\stu\Documents\GitHub\eaglep3-reporting\EC\2017-08-12-refined-times.txt</v>
      </c>
      <c r="AI121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{"issue":{"subject":"","project_id":79,"tracker_id":40,"status_id":1,"priority_id":2,"assigned_to_id":23,"start_date":"2017-08-12","description":"","custom_fields":[{"id":1,"name":"Subdivision","value":"EC"},{"id":4,"name":"Milepost","value":"0.0154"},{"id":17,"name":"Train ID","value":"208-12"},{"id":16,"name":"Locomotive ID","value":"4041"},{"id":130,"name":"Impact","value":""},{"id":150,"name":"Time of Event (Mountain Time)","value":"18:34:53"},{"id":151,"name":"Denver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51"/>
        <v>start /low /b %USERPROFILE%\Documents\GitHub\eaglep3\Utilities\DownloadLogsFromS3.py --loco 4041 --day 2017-08-12</v>
      </c>
      <c r="AN121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00:34:53"},{"id":29,"name":"Sharepoint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813</v>
      </c>
      <c r="B122" s="7">
        <v>4002</v>
      </c>
      <c r="C122" s="21" t="s">
        <v>198</v>
      </c>
      <c r="D122" s="21" t="s">
        <v>895</v>
      </c>
      <c r="E122" s="13">
        <v>42959.714120370372</v>
      </c>
      <c r="F122" s="13">
        <v>42959.719293981485</v>
      </c>
      <c r="G122" s="7">
        <v>1</v>
      </c>
      <c r="H122" s="21" t="s">
        <v>525</v>
      </c>
      <c r="I122" s="13">
        <v>42959.744502314818</v>
      </c>
      <c r="J122" s="7">
        <v>0</v>
      </c>
      <c r="K122" s="89" t="str">
        <f t="shared" si="59"/>
        <v>4001/4002</v>
      </c>
      <c r="L122" s="21" t="str">
        <f>VLOOKUP(A122,'Trips&amp;Operators'!$C$1:$G$99999,5,FALSE)</f>
        <v>SULLIVAN BRANDON</v>
      </c>
      <c r="M122" s="6">
        <f t="shared" si="60"/>
        <v>2.5208333332557231E-2</v>
      </c>
      <c r="N122" s="7">
        <f t="shared" si="65"/>
        <v>36.299999998882413</v>
      </c>
      <c r="O122" s="7"/>
      <c r="P122" s="7"/>
      <c r="Q122" s="22"/>
      <c r="R122" s="170"/>
      <c r="S122" s="213">
        <f t="shared" si="66"/>
        <v>1</v>
      </c>
      <c r="T122" s="195" t="str">
        <f t="shared" si="61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42"/>
        <v>https://d0f6bd738d7f1b3e5a7ca70fe4ff75f0.us-east-1.aws.found.io/app/kibana#/discover/Steve-Slow-Train-Analysis-(2080s-and-2083s)?_g=(refreshInterval:(display:Off,pause:!f,section:0,value:0),time:(from:'2017-08-12T16:08:20-0600',mode:absolute,to:'2017-08-12T18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2" s="197" t="str">
        <f>IF(AA122&lt;VLOOKUP(AG122,Variables!$AC$3:$AD$8,2,FALSE),"Y","N")</f>
        <v>N</v>
      </c>
      <c r="X122" s="197">
        <f t="shared" si="56"/>
        <v>1</v>
      </c>
      <c r="Y122" s="197">
        <f t="shared" si="57"/>
        <v>4.3799999999999999E-2</v>
      </c>
      <c r="Z122" s="197">
        <f t="shared" si="58"/>
        <v>23.334900000000001</v>
      </c>
      <c r="AA122" s="197">
        <f t="shared" si="62"/>
        <v>23.2911</v>
      </c>
      <c r="AB122" s="54" t="e">
        <f>VLOOKUP(A122,Enforcements!$C$7:$K$12,8,0)</f>
        <v>#N/A</v>
      </c>
      <c r="AC122" s="51" t="e">
        <f>VLOOKUP(A122,Enforcements!$C$7:$E$12,3,0)</f>
        <v>#N/A</v>
      </c>
      <c r="AD122" s="206">
        <f t="shared" si="63"/>
        <v>209</v>
      </c>
      <c r="AE122" s="77" t="str">
        <f t="shared" si="46"/>
        <v>aws s3 cp s3://rtdc.mdm.uploadarchive.raw/RTDC4002/ "%USERPROFILE%\AppData\Local\Temp\OnboardLogs"\RTDC4002\2017-08-12 --exclude "*" --recursive --include "*20170812*" &amp; "%USERPROFILE%\Documents\GitHub\mrs-test-scripts\Headless Mode &amp; Sideloading\WalkAndUnGZ.bat" "%USERPROFILE%\AppData\Local\Temp\OnboardLogs"\RTDC4002\2017-08-12 &amp; aws s3 cp s3://rtdc.mdm.uploadarchive.raw/RTDC4002/ "%USERPROFILE%\AppData\Local\Temp\OnboardLogs"\RTDC4002\2017-08-13 --exclude "*" --recursive --include "*20170813*" &amp; "%USERPROFILE%\Documents\GitHub\mrs-test-scripts\Headless Mode &amp; Sideloading\WalkAndUnGZ.bat" "%USERPROFILE%\AppData\Local\Temp\OnboardLogs"\RTDC4002\2017-08-13</v>
      </c>
      <c r="AF122" s="74" t="str">
        <f t="shared" si="47"/>
        <v>"C:\Program Files (x86)\AstroGrep\AstroGrep.exe" /e /r /s /spath="%USERPROFILE%\AppData\Local\Temp\OnboardLogs" /stypes="app*4002*20170812*" /stext=" 23:.+((SYSTEM_STATE.+slice.+state.+changed )|(ment ac)|(multiple cpu faults)|(system.+state.+changed )|(\[timeout)|(PRM\|1\|D)|(kpr)|(kdp)|(train st.+moving)|(\|lc)|(penalty))"</v>
      </c>
      <c r="AG122" s="209" t="str">
        <f t="shared" si="64"/>
        <v>EC</v>
      </c>
      <c r="AH122" s="78" t="str">
        <f t="shared" si="49"/>
        <v>"%USERPROFILE%\Documents\GitHub\eaglep3\Utilities\RefineRTDCRunTimes.py" --tripid 209-12 --locoid 4002 --swversion DE.1.0.9.0 --startMP 204:438 --initTime 2017-08-12T17:08:20 --startdatetime 2017-08-12T17:15:47 --delay 1 --endMP 204:233349 --enddatetime 2017-08-12T17:52:05 --enforcementcount 0 &gt;&gt;C:\Users\stu\Documents\GitHub\eaglep3-reporting\EC\2017-08-12-refined-times.txt</v>
      </c>
      <c r="AI122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{"issue":{"subject":"","project_id":79,"tracker_id":40,"status_id":1,"priority_id":2,"assigned_to_id":23,"start_date":"2017-08-12","description":"","custom_fields":[{"id":1,"name":"Subdivision","value":"EC"},{"id":4,"name":"Milepost","value":"23.3349"},{"id":17,"name":"Train ID","value":"209-12"},{"id":16,"name":"Locomotive ID","value":"4002"},{"id":130,"name":"Impact","value":""},{"id":150,"name":"Time of Event (Mountain Time)","value":"17:52:05"},{"id":151,"name":"Denver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51"/>
        <v>start /low /b %USERPROFILE%\Documents\GitHub\eaglep3\Utilities\DownloadLogsFromS3.py --loco 4002 --day 2017-08-12</v>
      </c>
      <c r="AN122" s="151" t="str">
        <f t="shared" si="52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23:52:05"},{"id":29,"name":"Sharepoint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823</v>
      </c>
      <c r="B123" s="7">
        <v>4001</v>
      </c>
      <c r="C123" s="21" t="s">
        <v>198</v>
      </c>
      <c r="D123" s="21" t="s">
        <v>963</v>
      </c>
      <c r="E123" s="13">
        <v>42959.75335648148</v>
      </c>
      <c r="F123" s="13">
        <v>42959.758530092593</v>
      </c>
      <c r="G123" s="7">
        <v>1</v>
      </c>
      <c r="H123" s="21" t="s">
        <v>473</v>
      </c>
      <c r="I123" s="13">
        <v>42959.78497685185</v>
      </c>
      <c r="J123" s="7">
        <v>0</v>
      </c>
      <c r="K123" s="89" t="str">
        <f t="shared" si="59"/>
        <v>4001/4002</v>
      </c>
      <c r="L123" s="21" t="str">
        <f>VLOOKUP(A123,'Trips&amp;Operators'!$C$1:$G$99999,5,FALSE)</f>
        <v>SULLIVAN BRANDON</v>
      </c>
      <c r="M123" s="6">
        <f t="shared" si="60"/>
        <v>2.6446759256941732E-2</v>
      </c>
      <c r="N123" s="7">
        <f t="shared" si="65"/>
        <v>38.083333329996094</v>
      </c>
      <c r="O123" s="7"/>
      <c r="P123" s="7"/>
      <c r="Q123" s="22"/>
      <c r="R123" s="170"/>
      <c r="S123" s="213">
        <f t="shared" si="66"/>
        <v>1</v>
      </c>
      <c r="T123" s="195" t="str">
        <f t="shared" si="61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42"/>
        <v>https://d0f6bd738d7f1b3e5a7ca70fe4ff75f0.us-east-1.aws.found.io/app/kibana#/discover/Steve-Slow-Train-Analysis-(2080s-and-2083s)?_g=(refreshInterval:(display:Off,pause:!f,section:0,value:0),time:(from:'2017-08-12T17:04:50-0600',mode:absolute,to:'2017-08-12T19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197" t="str">
        <f>IF(AA123&lt;VLOOKUP(AG123,Variables!$AC$3:$AD$8,2,FALSE),"Y","N")</f>
        <v>N</v>
      </c>
      <c r="X123" s="197">
        <f t="shared" si="56"/>
        <v>1</v>
      </c>
      <c r="Y123" s="197">
        <f t="shared" si="57"/>
        <v>23.304400000000001</v>
      </c>
      <c r="Z123" s="197">
        <f t="shared" si="58"/>
        <v>1.61E-2</v>
      </c>
      <c r="AA123" s="197">
        <f t="shared" si="62"/>
        <v>23.2883</v>
      </c>
      <c r="AB123" s="54" t="e">
        <f>VLOOKUP(A123,Enforcements!$C$7:$K$12,8,0)</f>
        <v>#N/A</v>
      </c>
      <c r="AC123" s="51" t="e">
        <f>VLOOKUP(A123,Enforcements!$C$7:$E$12,3,0)</f>
        <v>#N/A</v>
      </c>
      <c r="AD123" s="206">
        <f t="shared" si="63"/>
        <v>210</v>
      </c>
      <c r="AE123" s="77" t="str">
        <f t="shared" si="46"/>
        <v>aws s3 cp s3://rtdc.mdm.uploadarchive.raw/RTDC4001/ "%USERPROFILE%\AppData\Local\Temp\OnboardLogs"\RTDC4001\2017-08-12 --exclude "*" --recursive --include "*20170812*" &amp; "%USERPROFILE%\Documents\GitHub\mrs-test-scripts\Headless Mode &amp; Sideloading\WalkAndUnGZ.bat" "%USERPROFILE%\AppData\Local\Temp\OnboardLogs"\RTDC4001\2017-08-12 &amp; aws s3 cp s3://rtdc.mdm.uploadarchive.raw/RTDC4001/ "%USERPROFILE%\AppData\Local\Temp\OnboardLogs"\RTDC4001\2017-08-13 --exclude "*" --recursive --include "*20170813*" &amp; "%USERPROFILE%\Documents\GitHub\mrs-test-scripts\Headless Mode &amp; Sideloading\WalkAndUnGZ.bat" "%USERPROFILE%\AppData\Local\Temp\OnboardLogs"\RTDC4001\2017-08-13</v>
      </c>
      <c r="AF123" s="74" t="str">
        <f t="shared" si="47"/>
        <v>"C:\Program Files (x86)\AstroGrep\AstroGrep.exe" /e /r /s /spath="%USERPROFILE%\AppData\Local\Temp\OnboardLogs" /stypes="app*4001*20170813*" /stext=" 00:.+((SYSTEM_STATE.+slice.+state.+changed )|(ment ac)|(multiple cpu faults)|(system.+state.+changed )|(\[timeout)|(PRM\|1\|D)|(kpr)|(kdp)|(train st.+moving)|(\|lc)|(penalty))"</v>
      </c>
      <c r="AG123" s="209" t="str">
        <f t="shared" si="64"/>
        <v>EC</v>
      </c>
      <c r="AH123" s="78" t="str">
        <f t="shared" si="49"/>
        <v>"%USERPROFILE%\Documents\GitHub\eaglep3\Utilities\RefineRTDCRunTimes.py" --tripid 210-12 --locoid 4001 --swversion DE.1.0.9.0 --startMP 204:233044 --initTime 2017-08-12T18:04:50 --startdatetime 2017-08-12T18:12:17 --delay 1 --endMP 204:161 --enddatetime 2017-08-12T18:50:22 --enforcementcount 0 &gt;&gt;C:\Users\stu\Documents\GitHub\eaglep3-reporting\EC\2017-08-12-refined-times.txt</v>
      </c>
      <c r="AI123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{"issue":{"subject":"","project_id":79,"tracker_id":40,"status_id":1,"priority_id":2,"assigned_to_id":23,"start_date":"2017-08-12","description":"","custom_fields":[{"id":1,"name":"Subdivision","value":"EC"},{"id":4,"name":"Milepost","value":"0.0161"},{"id":17,"name":"Train ID","value":"210-12"},{"id":16,"name":"Locomotive ID","value":"4001"},{"id":130,"name":"Impact","value":""},{"id":150,"name":"Time of Event (Mountain Time)","value":"18:50:22"},{"id":151,"name":"Denver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51"/>
        <v>start /low /b %USERPROFILE%\Documents\GitHub\eaglep3\Utilities\DownloadLogsFromS3.py --loco 4001 --day 2017-08-12</v>
      </c>
      <c r="AN123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00:50:22"},{"id":29,"name":"Sharepoint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815</v>
      </c>
      <c r="B124" s="7">
        <v>4014</v>
      </c>
      <c r="C124" s="21" t="s">
        <v>198</v>
      </c>
      <c r="D124" s="21" t="s">
        <v>963</v>
      </c>
      <c r="E124" s="13">
        <v>42959.75335648148</v>
      </c>
      <c r="F124" s="13">
        <v>42959.726388888892</v>
      </c>
      <c r="G124" s="7">
        <v>1</v>
      </c>
      <c r="H124" s="21" t="s">
        <v>473</v>
      </c>
      <c r="I124" s="13">
        <v>42959.727083333331</v>
      </c>
      <c r="J124" s="7">
        <v>0</v>
      </c>
      <c r="K124" s="89" t="str">
        <f t="shared" ref="K124:K125" si="67">IF(ISEVEN(B124),(B124-1)&amp;"/"&amp;B124,B124&amp;"/"&amp;(B124+1))</f>
        <v>4013/4014</v>
      </c>
      <c r="L124" s="21" t="str">
        <f>VLOOKUP(A124,'Trips&amp;Operators'!$C$1:$G$99999,5,FALSE)</f>
        <v>DELGADO DIANAH</v>
      </c>
      <c r="M124" s="6">
        <f t="shared" ref="M124:M125" si="68">I124-F124</f>
        <v>6.9444443943211809E-4</v>
      </c>
      <c r="N124" s="7"/>
      <c r="O124" s="7"/>
      <c r="P124" s="7">
        <f t="shared" ref="P124:P125" si="69">24*60*SUM($M124:$M124)</f>
        <v>0.99999999278225005</v>
      </c>
      <c r="Q124" s="22"/>
      <c r="R124" s="170" t="s">
        <v>1029</v>
      </c>
      <c r="S124" s="213">
        <f t="shared" ref="S124:S125" si="70">1/IF(AG124="EC",12,1)*SUM(U124:U124)</f>
        <v>0</v>
      </c>
      <c r="T124" s="195" t="str">
        <f t="shared" ref="T124:T125" si="71">IF(ISEVEN(LEFT(AD124,4)),"Southbound","NorthBound")</f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0</v>
      </c>
      <c r="V124" s="196" t="str">
        <f t="shared" si="42"/>
        <v>https://d0f6bd738d7f1b3e5a7ca70fe4ff75f0.us-east-1.aws.found.io/app/kibana#/discover/Steve-Slow-Train-Analysis-(2080s-and-2083s)?_g=(refreshInterval:(display:Off,pause:!f,section:0,value:0),time:(from:'2017-08-12T17:04:50-0600',mode:absolute,to:'2017-08-12T18:27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4" s="197" t="str">
        <f>IF(AA124&lt;VLOOKUP(AG124,Variables!$AC$3:$AD$8,2,FALSE),"Y","N")</f>
        <v>Y</v>
      </c>
      <c r="X124" s="197">
        <f t="shared" ref="X124:X129" si="72">VALUE(LEFT(AD124,4))-VALUE(LEFT(AD123,4))</f>
        <v>1</v>
      </c>
      <c r="Y124" s="197">
        <v>0</v>
      </c>
      <c r="Z124" s="197">
        <v>0</v>
      </c>
      <c r="AA124" s="197">
        <f t="shared" ref="AA124:AA125" si="73">ABS(Z124-Y124)</f>
        <v>0</v>
      </c>
      <c r="AB124" s="54" t="e">
        <f>VLOOKUP(A124,Enforcements!$C$7:$K$12,8,0)</f>
        <v>#N/A</v>
      </c>
      <c r="AC124" s="51" t="e">
        <f>VLOOKUP(A124,Enforcements!$C$7:$E$12,3,0)</f>
        <v>#N/A</v>
      </c>
      <c r="AD124" s="206">
        <f t="shared" ref="AD124:AD125" si="74">VALUE(LEFT(A124,LEN(A124)-3))</f>
        <v>211</v>
      </c>
      <c r="AE124" s="77" t="str">
        <f t="shared" si="46"/>
        <v>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 &amp; aws s3 cp s3://rtdc.mdm.uploadarchive.raw/RTDC4014/ "%USERPROFILE%\AppData\Local\Temp\OnboardLogs"\RTDC4014\2017-08-13 --exclude "*" --recursive --include "*20170813*" &amp; "%USERPROFILE%\Documents\GitHub\mrs-test-scripts\Headless Mode &amp; Sideloading\WalkAndUnGZ.bat" "%USERPROFILE%\AppData\Local\Temp\OnboardLogs"\RTDC4014\2017-08-13</v>
      </c>
      <c r="AF124" s="74" t="str">
        <f t="shared" si="47"/>
        <v>"C:\Program Files (x86)\AstroGrep\AstroGrep.exe" /e /r /s /spath="%USERPROFILE%\AppData\Local\Temp\OnboardLogs" /stypes="app*4014*20170812*" /stext=" 23:.+((SYSTEM_STATE.+slice.+state.+changed )|(ment ac)|(multiple cpu faults)|(system.+state.+changed )|(\[timeout)|(PRM\|1\|D)|(kpr)|(kdp)|(train st.+moving)|(\|lc)|(penalty))"</v>
      </c>
      <c r="AG124" s="209" t="str">
        <f t="shared" ref="AG124:AG125" si="75">DetSubdiv(A124)</f>
        <v>EC</v>
      </c>
      <c r="AH124" s="78" t="str">
        <f t="shared" ref="AH124:AH125" si="76">refinertdcruntimes&amp;" --tripid "&amp;A124&amp;" --locoid "&amp;B124&amp;" --swversion "&amp;C124&amp;" --startMP "&amp;D124&amp;" --initTime "&amp;TEXT(E124,"yyyy-mm-ddTHH:MM:SS")&amp;" --startdatetime "&amp;TEXT(F124,"yyyy-mm-ddTHH:MM:SS")&amp;" --delay "&amp;G124&amp;" --endMP "&amp;H124&amp;" --enddatetime "&amp;TEXT(I124,"yyyy-mm-ddTHH:MM:SS")&amp;" --enforcementcount "&amp;J124&amp;IF(outputrefinedruntimes," &gt;&gt;"&amp;RefinedRTDCRunTimesOutputFile,"")</f>
        <v>"%USERPROFILE%\Documents\GitHub\eaglep3\Utilities\RefineRTDCRunTimes.py" --tripid 211-12 --locoid 4014 --swversion DE.1.0.9.0 --startMP 204:233044 --initTime 2017-08-12T18:04:50 --startdatetime 2017-08-12T17:26:00 --delay 1 --endMP 204:161 --enddatetime 2017-08-12T17:27:00 --enforcementcount 0 &gt;&gt;C:\Users\stu\Documents\GitHub\eaglep3-reporting\EC\2017-08-12-refined-times.txt</v>
      </c>
      <c r="AI124" s="96" t="str">
        <f t="shared" ref="AI124:AI125" si="77">"echo {""issue"":{""subject"":"""&amp;R124&amp;""",""project_id"":79,""tracker_id"":40,""status_id"":"&amp;redmine_status&amp;",""priority_id"":"&amp;redmine_priority&amp;",""assigned_to_id"":"&amp;redmine_assignee&amp;",""start_date"":"""&amp;TEXT(I124,"YYYY-mm-dd")&amp;""",""description"":"""&amp;AJ124&amp;""",""custom_fields"":[{""id"":1,""name"":""Subdivision"",""value"":"""&amp;AG124&amp;"""},{""id"":4,""name"":""Milepost"",""value"":"""&amp;Z124&amp;"""},{""id"":17,""name"":""Train ID"",""value"":"""&amp;A124&amp;"""},{""id"":16,""name"":""Locomotive ID"",""value"":"""&amp;B124&amp;"""},{""id"":130,""name"":""Impact"",""value"":"""&amp;AK124&amp;"""},{""id"":150,""name"":""Time of Event (Mountain Time)"",""value"":"""&amp;TEXT(I124,"hh:mm:ss")&amp;"""},{""id"":151,""name"":""Denver Issue ID"",""value"":"""&amp;"""},{""id"":178,""name"":""Operational Impact"",""value"":"""&amp;redmine_op_impact&amp;"""},{""id"":179,""name"":""Denver Segment Assigned"",""value"":"""&amp;AL124&amp;"""}]}}"&amp;"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failure","project_id":79,"tracker_id":40,"status_id":1,"priority_id":2,"assigned_to_id":23,"start_date":"2017-08-12","description":"","custom_fields":[{"id":1,"name":"Subdivision","value":"EC"},{"id":4,"name":"Milepost","value":"0"},{"id":17,"name":"Train ID","value":"211-12"},{"id":16,"name":"Locomotive ID","value":"4014"},{"id":130,"name":"Impact","value":""},{"id":150,"name":"Time of Event (Mountain Time)","value":"17:27:00"},{"id":151,"name":"Denver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ref="AM124:AM125" si="78">"start /low /b "&amp;dls3logs&amp;" --loco "&amp;B124&amp;" --day "&amp;TEXT(F124,"YYYY-MM-DD")</f>
        <v>start /low /b %USERPROFILE%\Documents\GitHub\eaglep3\Utilities\DownloadLogsFromS3.py --loco 4014 --day 2017-08-12</v>
      </c>
      <c r="AN124" s="151" t="str">
        <f t="shared" ref="AN124:AN125" si="79">"echo {""issue"":{""subject"":"""&amp;R124&amp;""",""project_id"":30,""tracker_id"":4,""status_id"":"&amp;redmine_status_wcr&amp;",""priority_id"":"&amp;redmine_priority_wcr&amp;",""assigned_to_id"":"&amp;redmine_assignee_wcr&amp;",""start_date"":"""&amp;TEXT(I124-utc_offset/24,"YYYY-mm-dd")&amp;""",""description"":"""&amp;AJ124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23:27:00"},{"id":29,"name":"Sharepoint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25" spans="1:91" s="20" customFormat="1" x14ac:dyDescent="0.25">
      <c r="A125" s="32" t="s">
        <v>826</v>
      </c>
      <c r="B125" s="7">
        <v>4013</v>
      </c>
      <c r="C125" s="21" t="s">
        <v>198</v>
      </c>
      <c r="D125" s="21" t="s">
        <v>963</v>
      </c>
      <c r="E125" s="13">
        <v>42959.75335648148</v>
      </c>
      <c r="F125" s="13">
        <v>42959.766817129632</v>
      </c>
      <c r="G125" s="7">
        <v>1</v>
      </c>
      <c r="H125" s="21" t="s">
        <v>473</v>
      </c>
      <c r="I125" s="13">
        <v>42959.767361111109</v>
      </c>
      <c r="J125" s="7">
        <v>0</v>
      </c>
      <c r="K125" s="89" t="str">
        <f t="shared" si="67"/>
        <v>4013/4014</v>
      </c>
      <c r="L125" s="21" t="str">
        <f>VLOOKUP(A125,'Trips&amp;Operators'!$C$1:$G$99999,5,FALSE)</f>
        <v>DELGADO DIANAH</v>
      </c>
      <c r="M125" s="6">
        <f t="shared" si="68"/>
        <v>5.4398147767642513E-4</v>
      </c>
      <c r="N125" s="7"/>
      <c r="O125" s="7"/>
      <c r="P125" s="7">
        <f t="shared" si="69"/>
        <v>0.78333332785405219</v>
      </c>
      <c r="Q125" s="22"/>
      <c r="R125" s="170" t="s">
        <v>1030</v>
      </c>
      <c r="S125" s="213">
        <v>0</v>
      </c>
      <c r="T125" s="195" t="str">
        <f t="shared" si="71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0</v>
      </c>
      <c r="V125" s="196" t="str">
        <f t="shared" si="42"/>
        <v>https://d0f6bd738d7f1b3e5a7ca70fe4ff75f0.us-east-1.aws.found.io/app/kibana#/discover/Steve-Slow-Train-Analysis-(2080s-and-2083s)?_g=(refreshInterval:(display:Off,pause:!f,section:0,value:0),time:(from:'2017-08-12T17:04:50-0600',mode:absolute,to:'2017-08-12T19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5" s="197" t="str">
        <f>IF(AA125&lt;VLOOKUP(AG125,Variables!$AC$3:$AD$8,2,FALSE),"Y","N")</f>
        <v>Y</v>
      </c>
      <c r="X125" s="197">
        <f t="shared" si="72"/>
        <v>1</v>
      </c>
      <c r="Y125" s="197">
        <v>0</v>
      </c>
      <c r="Z125" s="197">
        <v>0</v>
      </c>
      <c r="AA125" s="197">
        <f t="shared" si="73"/>
        <v>0</v>
      </c>
      <c r="AB125" s="54" t="e">
        <f>VLOOKUP(A125,Enforcements!$C$7:$K$12,8,0)</f>
        <v>#N/A</v>
      </c>
      <c r="AC125" s="51" t="e">
        <f>VLOOKUP(A125,Enforcements!$C$7:$E$12,3,0)</f>
        <v>#N/A</v>
      </c>
      <c r="AD125" s="206">
        <f t="shared" si="74"/>
        <v>212</v>
      </c>
      <c r="AE125" s="77" t="str">
        <f t="shared" si="46"/>
        <v>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 &amp; aws s3 cp s3://rtdc.mdm.uploadarchive.raw/RTDC4013/ "%USERPROFILE%\AppData\Local\Temp\OnboardLogs"\RTDC4013\2017-08-13 --exclude "*" --recursive --include "*20170813*" &amp; "%USERPROFILE%\Documents\GitHub\mrs-test-scripts\Headless Mode &amp; Sideloading\WalkAndUnGZ.bat" "%USERPROFILE%\AppData\Local\Temp\OnboardLogs"\RTDC4013\2017-08-13</v>
      </c>
      <c r="AF125" s="74" t="str">
        <f t="shared" si="47"/>
        <v>"C:\Program Files (x86)\AstroGrep\AstroGrep.exe" /e /r /s /spath="%USERPROFILE%\AppData\Local\Temp\OnboardLogs" /stypes="app*4013*20170813*" /stext=" 00:.+((SYSTEM_STATE.+slice.+state.+changed )|(ment ac)|(multiple cpu faults)|(system.+state.+changed )|(\[timeout)|(PRM\|1\|D)|(kpr)|(kdp)|(train st.+moving)|(\|lc)|(penalty))"</v>
      </c>
      <c r="AG125" s="209" t="str">
        <f t="shared" si="75"/>
        <v>EC</v>
      </c>
      <c r="AH125" s="78" t="str">
        <f t="shared" si="76"/>
        <v>"%USERPROFILE%\Documents\GitHub\eaglep3\Utilities\RefineRTDCRunTimes.py" --tripid 212-12 --locoid 4013 --swversion DE.1.0.9.0 --startMP 204:233044 --initTime 2017-08-12T18:04:50 --startdatetime 2017-08-12T18:24:13 --delay 1 --endMP 204:161 --enddatetime 2017-08-12T18:25:00 --enforcementcount 0 &gt;&gt;C:\Users\stu\Documents\GitHub\eaglep3-reporting\EC\2017-08-12-refined-times.txt</v>
      </c>
      <c r="AI125" s="96" t="str">
        <f t="shared" si="77"/>
        <v>echo {"issue":{"subject":"Did not perform departure test (after cycle from 211-12 incident)","project_id":79,"tracker_id":40,"status_id":1,"priority_id":2,"assigned_to_id":23,"start_date":"2017-08-12","description":"","custom_fields":[{"id":1,"name":"Subdivision","value":"EC"},{"id":4,"name":"Milepost","value":"0"},{"id":17,"name":"Train ID","value":"212-12"},{"id":16,"name":"Locomotive ID","value":"4013"},{"id":130,"name":"Impact","value":""},{"id":150,"name":"Time of Event (Mountain Time)","value":"18:25:00"},{"id":151,"name":"Denver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78"/>
        <v>start /low /b %USERPROFILE%\Documents\GitHub\eaglep3\Utilities\DownloadLogsFromS3.py --loco 4013 --day 2017-08-12</v>
      </c>
      <c r="AN125" s="151" t="str">
        <f t="shared" si="79"/>
        <v>echo {"issue":{"subject":"Did not perform departure test (after cycle from 211-12 incident)","project_id":30,"tracker_id":4,"status_id":1,"priority_id":1,"assigned_to_id":10,"start_date":"2017-08-13","description":"","custom_fields":[{"id":30,"name":"Category","value":"Issue"},{"id":3,"name":"Functional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00:25:00"},{"id":29,"name":"Sharepoint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26" spans="1:91" s="20" customFormat="1" x14ac:dyDescent="0.25">
      <c r="A126" s="32" t="s">
        <v>818</v>
      </c>
      <c r="B126" s="7">
        <v>4032</v>
      </c>
      <c r="C126" s="21" t="s">
        <v>198</v>
      </c>
      <c r="D126" s="21" t="s">
        <v>404</v>
      </c>
      <c r="E126" s="13">
        <v>42959.736203703702</v>
      </c>
      <c r="F126" s="13">
        <v>42959.74015046296</v>
      </c>
      <c r="G126" s="7">
        <v>2</v>
      </c>
      <c r="H126" s="21" t="s">
        <v>872</v>
      </c>
      <c r="I126" s="13">
        <v>42959.765567129631</v>
      </c>
      <c r="J126" s="7">
        <v>0</v>
      </c>
      <c r="K126" s="89" t="str">
        <f t="shared" ref="K126:K157" si="80">IF(ISEVEN(B126),(B126-1)&amp;"/"&amp;B126,B126&amp;"/"&amp;(B126+1))</f>
        <v>4031/4032</v>
      </c>
      <c r="L126" s="21" t="str">
        <f>VLOOKUP(A126,'Trips&amp;Operators'!$C$1:$G$99999,5,FALSE)</f>
        <v>ZEWDU DEREJE</v>
      </c>
      <c r="M126" s="6">
        <f t="shared" ref="M126:M157" si="81">I126-F126</f>
        <v>2.5416666670935228E-2</v>
      </c>
      <c r="N126" s="7">
        <f t="shared" ref="N126:N157" si="82">24*60*SUM($M126:$M126)</f>
        <v>36.600000006146729</v>
      </c>
      <c r="O126" s="7"/>
      <c r="P126" s="7"/>
      <c r="Q126" s="22"/>
      <c r="R126" s="170"/>
      <c r="S126" s="213">
        <f t="shared" ref="S126:S157" si="83">1/IF(AG126="EC",12,1)*SUM(U126:U126)</f>
        <v>1</v>
      </c>
      <c r="T126" s="195" t="str">
        <f t="shared" ref="T126:T157" si="84">IF(ISEVEN(LEFT(AD126,4)),"Southbound","NorthBound")</f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42"/>
        <v>https://d0f6bd738d7f1b3e5a7ca70fe4ff75f0.us-east-1.aws.found.io/app/kibana#/discover/Steve-Slow-Train-Analysis-(2080s-and-2083s)?_g=(refreshInterval:(display:Off,pause:!f,section:0,value:0),time:(from:'2017-08-12T16:40:08-0600',mode:absolute,to:'2017-08-12T19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6" s="197" t="str">
        <f>IF(AA126&lt;VLOOKUP(AG126,Variables!$AC$3:$AD$8,2,FALSE),"Y","N")</f>
        <v>N</v>
      </c>
      <c r="X126" s="197">
        <f t="shared" si="72"/>
        <v>1</v>
      </c>
      <c r="Y126" s="197">
        <f t="shared" ref="Y126:Y157" si="85">RIGHT(D126,LEN(D126)-4)/10000</f>
        <v>4.58E-2</v>
      </c>
      <c r="Z126" s="197">
        <f t="shared" ref="Z126:Z157" si="86">RIGHT(H126,LEN(H126)-4)/10000</f>
        <v>23.334099999999999</v>
      </c>
      <c r="AA126" s="197">
        <f t="shared" ref="AA126:AA157" si="87">ABS(Z126-Y126)</f>
        <v>23.2883</v>
      </c>
      <c r="AB126" s="54" t="e">
        <f>VLOOKUP(A126,Enforcements!$C$7:$K$12,8,0)</f>
        <v>#N/A</v>
      </c>
      <c r="AC126" s="51" t="e">
        <f>VLOOKUP(A126,Enforcements!$C$7:$E$12,3,0)</f>
        <v>#N/A</v>
      </c>
      <c r="AD126" s="206">
        <f t="shared" ref="AD126:AD157" si="88">VALUE(LEFT(A126,LEN(A126)-3))</f>
        <v>213</v>
      </c>
      <c r="AE126" s="77" t="str">
        <f t="shared" si="46"/>
        <v>aws s3 cp s3://rtdc.mdm.uploadarchive.raw/RTDC4032/ "%USERPROFILE%\AppData\Local\Temp\OnboardLogs"\RTDC4032\2017-08-12 --exclude "*" --recursive --include "*20170812*" &amp; "%USERPROFILE%\Documents\GitHub\mrs-test-scripts\Headless Mode &amp; Sideloading\WalkAndUnGZ.bat" "%USERPROFILE%\AppData\Local\Temp\OnboardLogs"\RTDC4032\2017-08-12 &amp; aws s3 cp s3://rtdc.mdm.uploadarchive.raw/RTDC4032/ "%USERPROFILE%\AppData\Local\Temp\OnboardLogs"\RTDC4032\2017-08-13 --exclude "*" --recursive --include "*20170813*" &amp; "%USERPROFILE%\Documents\GitHub\mrs-test-scripts\Headless Mode &amp; Sideloading\WalkAndUnGZ.bat" "%USERPROFILE%\AppData\Local\Temp\OnboardLogs"\RTDC4032\2017-08-13</v>
      </c>
      <c r="AF126" s="74" t="str">
        <f t="shared" si="47"/>
        <v>"C:\Program Files (x86)\AstroGrep\AstroGrep.exe" /e /r /s /spath="%USERPROFILE%\AppData\Local\Temp\OnboardLogs" /stypes="app*4032*20170813*" /stext=" 00:.+((SYSTEM_STATE.+slice.+state.+changed )|(ment ac)|(multiple cpu faults)|(system.+state.+changed )|(\[timeout)|(PRM\|1\|D)|(kpr)|(kdp)|(train st.+moving)|(\|lc)|(penalty))"</v>
      </c>
      <c r="AG126" s="209" t="str">
        <f t="shared" ref="AG126:AG157" si="89">DetSubdiv(A126)</f>
        <v>EC</v>
      </c>
      <c r="AH126" s="78" t="str">
        <f t="shared" si="49"/>
        <v>"%USERPROFILE%\Documents\GitHub\eaglep3\Utilities\RefineRTDCRunTimes.py" --tripid 213-12 --locoid 4032 --swversion DE.1.0.9.0 --startMP 204:458 --initTime 2017-08-12T17:40:08 --startdatetime 2017-08-12T17:45:49 --delay 2 --endMP 204:233341 --enddatetime 2017-08-12T18:22:25 --enforcementcount 0 &gt;&gt;C:\Users\stu\Documents\GitHub\eaglep3-reporting\EC\2017-08-12-refined-times.txt</v>
      </c>
      <c r="AI126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{"issue":{"subject":"","project_id":79,"tracker_id":40,"status_id":1,"priority_id":2,"assigned_to_id":23,"start_date":"2017-08-12","description":"","custom_fields":[{"id":1,"name":"Subdivision","value":"EC"},{"id":4,"name":"Milepost","value":"23.3341"},{"id":17,"name":"Train ID","value":"213-12"},{"id":16,"name":"Locomotive ID","value":"4032"},{"id":130,"name":"Impact","value":""},{"id":150,"name":"Time of Event (Mountain Time)","value":"18:22:25"},{"id":151,"name":"Denver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51"/>
        <v>start /low /b %USERPROFILE%\Documents\GitHub\eaglep3\Utilities\DownloadLogsFromS3.py --loco 4032 --day 2017-08-12</v>
      </c>
      <c r="AN126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00:22:25"},{"id":29,"name":"Sharepoint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828</v>
      </c>
      <c r="B127" s="7">
        <v>4031</v>
      </c>
      <c r="C127" s="21" t="s">
        <v>198</v>
      </c>
      <c r="D127" s="21" t="s">
        <v>950</v>
      </c>
      <c r="E127" s="13">
        <v>42959.774965277778</v>
      </c>
      <c r="F127" s="13">
        <v>42959.779363425929</v>
      </c>
      <c r="G127" s="7">
        <v>1</v>
      </c>
      <c r="H127" s="21" t="s">
        <v>341</v>
      </c>
      <c r="I127" s="13">
        <v>42959.805949074071</v>
      </c>
      <c r="J127" s="7">
        <v>0</v>
      </c>
      <c r="K127" s="89" t="str">
        <f t="shared" si="80"/>
        <v>4031/4032</v>
      </c>
      <c r="L127" s="21" t="str">
        <f>VLOOKUP(A127,'Trips&amp;Operators'!$C$1:$G$99999,5,FALSE)</f>
        <v>ZEWDU DEREJE</v>
      </c>
      <c r="M127" s="6">
        <f t="shared" si="81"/>
        <v>2.6585648141917773E-2</v>
      </c>
      <c r="N127" s="7">
        <f t="shared" si="82"/>
        <v>38.283333324361593</v>
      </c>
      <c r="O127" s="7"/>
      <c r="P127" s="7"/>
      <c r="Q127" s="22"/>
      <c r="R127" s="170"/>
      <c r="S127" s="213">
        <f t="shared" si="83"/>
        <v>1</v>
      </c>
      <c r="T127" s="195" t="str">
        <f t="shared" si="84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42"/>
        <v>https://d0f6bd738d7f1b3e5a7ca70fe4ff75f0.us-east-1.aws.found.io/app/kibana#/discover/Steve-Slow-Train-Analysis-(2080s-and-2083s)?_g=(refreshInterval:(display:Off,pause:!f,section:0,value:0),time:(from:'2017-08-12T17:35:57-0600',mode:absolute,to:'2017-08-12T20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7" s="197" t="str">
        <f>IF(AA127&lt;VLOOKUP(AG127,Variables!$AC$3:$AD$8,2,FALSE),"Y","N")</f>
        <v>N</v>
      </c>
      <c r="X127" s="197">
        <f t="shared" si="72"/>
        <v>1</v>
      </c>
      <c r="Y127" s="197">
        <f t="shared" si="85"/>
        <v>23.3034</v>
      </c>
      <c r="Z127" s="197">
        <f t="shared" si="86"/>
        <v>1.4999999999999999E-2</v>
      </c>
      <c r="AA127" s="197">
        <f t="shared" si="87"/>
        <v>23.288399999999999</v>
      </c>
      <c r="AB127" s="54" t="e">
        <f>VLOOKUP(A127,Enforcements!$C$7:$K$12,8,0)</f>
        <v>#N/A</v>
      </c>
      <c r="AC127" s="51" t="e">
        <f>VLOOKUP(A127,Enforcements!$C$7:$E$12,3,0)</f>
        <v>#N/A</v>
      </c>
      <c r="AD127" s="206">
        <f t="shared" si="88"/>
        <v>214</v>
      </c>
      <c r="AE127" s="77" t="str">
        <f t="shared" si="46"/>
        <v>aws s3 cp s3://rtdc.mdm.uploadarchive.raw/RTDC4031/ "%USERPROFILE%\AppData\Local\Temp\OnboardLogs"\RTDC4031\2017-08-12 --exclude "*" --recursive --include "*20170812*" &amp; "%USERPROFILE%\Documents\GitHub\mrs-test-scripts\Headless Mode &amp; Sideloading\WalkAndUnGZ.bat" "%USERPROFILE%\AppData\Local\Temp\OnboardLogs"\RTDC4031\2017-08-12 &amp; aws s3 cp s3://rtdc.mdm.uploadarchive.raw/RTDC4031/ "%USERPROFILE%\AppData\Local\Temp\OnboardLogs"\RTDC4031\2017-08-13 --exclude "*" --recursive --include "*20170813*" &amp; "%USERPROFILE%\Documents\GitHub\mrs-test-scripts\Headless Mode &amp; Sideloading\WalkAndUnGZ.bat" "%USERPROFILE%\AppData\Local\Temp\OnboardLogs"\RTDC4031\2017-08-13</v>
      </c>
      <c r="AF127" s="74" t="str">
        <f t="shared" si="47"/>
        <v>"C:\Program Files (x86)\AstroGrep\AstroGrep.exe" /e /r /s /spath="%USERPROFILE%\AppData\Local\Temp\OnboardLogs" /stypes="app*4031*20170813*" /stext=" 01:.+((SYSTEM_STATE.+slice.+state.+changed )|(ment ac)|(multiple cpu faults)|(system.+state.+changed )|(\[timeout)|(PRM\|1\|D)|(kpr)|(kdp)|(train st.+moving)|(\|lc)|(penalty))"</v>
      </c>
      <c r="AG127" s="209" t="str">
        <f t="shared" si="89"/>
        <v>EC</v>
      </c>
      <c r="AH127" s="78" t="str">
        <f t="shared" si="49"/>
        <v>"%USERPROFILE%\Documents\GitHub\eaglep3\Utilities\RefineRTDCRunTimes.py" --tripid 214-12 --locoid 4031 --swversion DE.1.0.9.0 --startMP 204:233034 --initTime 2017-08-12T18:35:57 --startdatetime 2017-08-12T18:42:17 --delay 1 --endMP 204:150 --enddatetime 2017-08-12T19:20:34 --enforcementcount 0 &gt;&gt;C:\Users\stu\Documents\GitHub\eaglep3-reporting\EC\2017-08-12-refined-times.txt</v>
      </c>
      <c r="AI127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{"issue":{"subject":"","project_id":79,"tracker_id":40,"status_id":1,"priority_id":2,"assigned_to_id":23,"start_date":"2017-08-12","description":"","custom_fields":[{"id":1,"name":"Subdivision","value":"EC"},{"id":4,"name":"Milepost","value":"0.015"},{"id":17,"name":"Train ID","value":"214-12"},{"id":16,"name":"Locomotive ID","value":"4031"},{"id":130,"name":"Impact","value":""},{"id":150,"name":"Time of Event (Mountain Time)","value":"19:20:34"},{"id":151,"name":"Denver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51"/>
        <v>start /low /b %USERPROFILE%\Documents\GitHub\eaglep3\Utilities\DownloadLogsFromS3.py --loco 4031 --day 2017-08-12</v>
      </c>
      <c r="AN127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01:20:34"},{"id":29,"name":"Sharepoint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654</v>
      </c>
      <c r="B128" s="7">
        <v>4064</v>
      </c>
      <c r="C128" s="21" t="s">
        <v>198</v>
      </c>
      <c r="D128" s="21" t="s">
        <v>340</v>
      </c>
      <c r="E128" s="13">
        <v>42959.747314814813</v>
      </c>
      <c r="F128" s="13">
        <v>42959.750648148147</v>
      </c>
      <c r="G128" s="7">
        <v>1</v>
      </c>
      <c r="H128" s="21" t="s">
        <v>604</v>
      </c>
      <c r="I128" s="13">
        <v>42959.775254629632</v>
      </c>
      <c r="J128" s="7">
        <v>0</v>
      </c>
      <c r="K128" s="89" t="str">
        <f t="shared" si="80"/>
        <v>4063/4064</v>
      </c>
      <c r="L128" s="21" t="str">
        <f>VLOOKUP(A128,'Trips&amp;Operators'!$C$1:$G$99999,5,FALSE)</f>
        <v>HOLCOMB KAMDEN</v>
      </c>
      <c r="M128" s="6">
        <f t="shared" si="81"/>
        <v>2.4606481485534459E-2</v>
      </c>
      <c r="N128" s="7">
        <f t="shared" si="82"/>
        <v>35.433333339169621</v>
      </c>
      <c r="O128" s="7"/>
      <c r="P128" s="7"/>
      <c r="Q128" s="22"/>
      <c r="R128" s="170"/>
      <c r="S128" s="213">
        <f t="shared" si="83"/>
        <v>1</v>
      </c>
      <c r="T128" s="195" t="str">
        <f t="shared" si="84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42"/>
        <v>https://d0f6bd738d7f1b3e5a7ca70fe4ff75f0.us-east-1.aws.found.io/app/kibana#/discover/Steve-Slow-Train-Analysis-(2080s-and-2083s)?_g=(refreshInterval:(display:Off,pause:!f,section:0,value:0),time:(from:'2017-08-12T16:56:08-0600',mode:absolute,to:'2017-08-12T19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8" s="197" t="str">
        <f>IF(AA128&lt;VLOOKUP(AG128,Variables!$AC$3:$AD$8,2,FALSE),"Y","N")</f>
        <v>N</v>
      </c>
      <c r="X128" s="197">
        <f t="shared" si="72"/>
        <v>1</v>
      </c>
      <c r="Y128" s="197">
        <f t="shared" si="85"/>
        <v>4.4600000000000001E-2</v>
      </c>
      <c r="Z128" s="197">
        <f t="shared" si="86"/>
        <v>23.339700000000001</v>
      </c>
      <c r="AA128" s="197">
        <f t="shared" si="87"/>
        <v>23.295100000000001</v>
      </c>
      <c r="AB128" s="54" t="e">
        <f>VLOOKUP(A128,Enforcements!$C$7:$K$12,8,0)</f>
        <v>#N/A</v>
      </c>
      <c r="AC128" s="51" t="e">
        <f>VLOOKUP(A128,Enforcements!$C$7:$E$12,3,0)</f>
        <v>#N/A</v>
      </c>
      <c r="AD128" s="206">
        <f t="shared" si="88"/>
        <v>215</v>
      </c>
      <c r="AE128" s="77" t="str">
        <f t="shared" si="46"/>
        <v>aws s3 cp s3://rtdc.mdm.uploadarchive.raw/RTDC4064/ "%USERPROFILE%\AppData\Local\Temp\OnboardLogs"\RTDC4064\2017-08-12 --exclude "*" --recursive --include "*20170812*" &amp; "%USERPROFILE%\Documents\GitHub\mrs-test-scripts\Headless Mode &amp; Sideloading\WalkAndUnGZ.bat" "%USERPROFILE%\AppData\Local\Temp\OnboardLogs"\RTDC4064\2017-08-12 &amp; aws s3 cp s3://rtdc.mdm.uploadarchive.raw/RTDC4064/ "%USERPROFILE%\AppData\Local\Temp\OnboardLogs"\RTDC4064\2017-08-13 --exclude "*" --recursive --include "*20170813*" &amp; "%USERPROFILE%\Documents\GitHub\mrs-test-scripts\Headless Mode &amp; Sideloading\WalkAndUnGZ.bat" "%USERPROFILE%\AppData\Local\Temp\OnboardLogs"\RTDC4064\2017-08-13</v>
      </c>
      <c r="AF128" s="74" t="str">
        <f t="shared" si="47"/>
        <v>"C:\Program Files (x86)\AstroGrep\AstroGrep.exe" /e /r /s /spath="%USERPROFILE%\AppData\Local\Temp\OnboardLogs" /stypes="app*4064*20170813*" /stext=" 00:.+((SYSTEM_STATE.+slice.+state.+changed )|(ment ac)|(multiple cpu faults)|(system.+state.+changed )|(\[timeout)|(PRM\|1\|D)|(kpr)|(kdp)|(train st.+moving)|(\|lc)|(penalty))"</v>
      </c>
      <c r="AG128" s="209" t="str">
        <f t="shared" si="89"/>
        <v>EC</v>
      </c>
      <c r="AH128" s="78" t="str">
        <f t="shared" si="49"/>
        <v>"%USERPROFILE%\Documents\GitHub\eaglep3\Utilities\RefineRTDCRunTimes.py" --tripid 215-12 --locoid 4064 --swversion DE.1.0.9.0 --startMP 204:446 --initTime 2017-08-12T17:56:08 --startdatetime 2017-08-12T18:00:56 --delay 1 --endMP 204:233397 --enddatetime 2017-08-12T18:36:22 --enforcementcount 0 &gt;&gt;C:\Users\stu\Documents\GitHub\eaglep3-reporting\EC\2017-08-12-refined-times.txt</v>
      </c>
      <c r="AI128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{"issue":{"subject":"","project_id":79,"tracker_id":40,"status_id":1,"priority_id":2,"assigned_to_id":23,"start_date":"2017-08-12","description":"","custom_fields":[{"id":1,"name":"Subdivision","value":"EC"},{"id":4,"name":"Milepost","value":"23.3397"},{"id":17,"name":"Train ID","value":"215-12"},{"id":16,"name":"Locomotive ID","value":"4064"},{"id":130,"name":"Impact","value":""},{"id":150,"name":"Time of Event (Mountain Time)","value":"18:36:22"},{"id":151,"name":"Denver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51"/>
        <v>start /low /b %USERPROFILE%\Documents\GitHub\eaglep3\Utilities\DownloadLogsFromS3.py --loco 4064 --day 2017-08-12</v>
      </c>
      <c r="AN128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00:36:22"},{"id":29,"name":"Sharepoint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655</v>
      </c>
      <c r="B129" s="7">
        <v>4063</v>
      </c>
      <c r="C129" s="21" t="s">
        <v>198</v>
      </c>
      <c r="D129" s="21" t="s">
        <v>964</v>
      </c>
      <c r="E129" s="13">
        <v>42959.784618055557</v>
      </c>
      <c r="F129" s="13">
        <v>42959.789756944447</v>
      </c>
      <c r="G129" s="7">
        <v>1</v>
      </c>
      <c r="H129" s="21" t="s">
        <v>562</v>
      </c>
      <c r="I129" s="13">
        <v>42959.815844907411</v>
      </c>
      <c r="J129" s="7">
        <v>0</v>
      </c>
      <c r="K129" s="89" t="str">
        <f t="shared" si="80"/>
        <v>4063/4064</v>
      </c>
      <c r="L129" s="21" t="str">
        <f>VLOOKUP(A129,'Trips&amp;Operators'!$C$1:$G$99999,5,FALSE)</f>
        <v>HOLCOMB KAMDEN</v>
      </c>
      <c r="M129" s="6">
        <f t="shared" si="81"/>
        <v>2.6087962964083999E-2</v>
      </c>
      <c r="N129" s="7">
        <f t="shared" si="82"/>
        <v>37.566666668280959</v>
      </c>
      <c r="O129" s="7"/>
      <c r="P129" s="7"/>
      <c r="Q129" s="22"/>
      <c r="R129" s="170"/>
      <c r="S129" s="213">
        <f t="shared" si="83"/>
        <v>1</v>
      </c>
      <c r="T129" s="195" t="str">
        <f t="shared" si="84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42"/>
        <v>https://d0f6bd738d7f1b3e5a7ca70fe4ff75f0.us-east-1.aws.found.io/app/kibana#/discover/Steve-Slow-Train-Analysis-(2080s-and-2083s)?_g=(refreshInterval:(display:Off,pause:!f,section:0,value:0),time:(from:'2017-08-12T17:49:51-0600',mode:absolute,to:'2017-08-12T20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9" s="197" t="str">
        <f>IF(AA129&lt;VLOOKUP(AG129,Variables!$AC$3:$AD$8,2,FALSE),"Y","N")</f>
        <v>N</v>
      </c>
      <c r="X129" s="197">
        <f t="shared" si="72"/>
        <v>1</v>
      </c>
      <c r="Y129" s="197">
        <f t="shared" si="85"/>
        <v>23.310600000000001</v>
      </c>
      <c r="Z129" s="197">
        <f t="shared" si="86"/>
        <v>1.3599999999999999E-2</v>
      </c>
      <c r="AA129" s="197">
        <f t="shared" si="87"/>
        <v>23.297000000000001</v>
      </c>
      <c r="AB129" s="54" t="e">
        <f>VLOOKUP(A129,Enforcements!$C$7:$K$12,8,0)</f>
        <v>#N/A</v>
      </c>
      <c r="AC129" s="51" t="e">
        <f>VLOOKUP(A129,Enforcements!$C$7:$E$12,3,0)</f>
        <v>#N/A</v>
      </c>
      <c r="AD129" s="206">
        <f t="shared" si="88"/>
        <v>216</v>
      </c>
      <c r="AE129" s="77" t="str">
        <f t="shared" si="46"/>
        <v>aws s3 cp s3://rtdc.mdm.uploadarchive.raw/RTDC4063/ "%USERPROFILE%\AppData\Local\Temp\OnboardLogs"\RTDC4063\2017-08-12 --exclude "*" --recursive --include "*20170812*" &amp; "%USERPROFILE%\Documents\GitHub\mrs-test-scripts\Headless Mode &amp; Sideloading\WalkAndUnGZ.bat" "%USERPROFILE%\AppData\Local\Temp\OnboardLogs"\RTDC4063\2017-08-12 &amp; aws s3 cp s3://rtdc.mdm.uploadarchive.raw/RTDC4063/ "%USERPROFILE%\AppData\Local\Temp\OnboardLogs"\RTDC4063\2017-08-13 --exclude "*" --recursive --include "*20170813*" &amp; "%USERPROFILE%\Documents\GitHub\mrs-test-scripts\Headless Mode &amp; Sideloading\WalkAndUnGZ.bat" "%USERPROFILE%\AppData\Local\Temp\OnboardLogs"\RTDC4063\2017-08-13</v>
      </c>
      <c r="AF129" s="74" t="str">
        <f t="shared" si="47"/>
        <v>"C:\Program Files (x86)\AstroGrep\AstroGrep.exe" /e /r /s /spath="%USERPROFILE%\AppData\Local\Temp\OnboardLogs" /stypes="app*4063*20170813*" /stext=" 01:.+((SYSTEM_STATE.+slice.+state.+changed )|(ment ac)|(multiple cpu faults)|(system.+state.+changed )|(\[timeout)|(PRM\|1\|D)|(kpr)|(kdp)|(train st.+moving)|(\|lc)|(penalty))"</v>
      </c>
      <c r="AG129" s="209" t="str">
        <f t="shared" si="89"/>
        <v>EC</v>
      </c>
      <c r="AH129" s="78" t="str">
        <f t="shared" si="49"/>
        <v>"%USERPROFILE%\Documents\GitHub\eaglep3\Utilities\RefineRTDCRunTimes.py" --tripid 216-12 --locoid 4063 --swversion DE.1.0.9.0 --startMP 204:233106 --initTime 2017-08-12T18:49:51 --startdatetime 2017-08-12T18:57:15 --delay 1 --endMP 204:136 --enddatetime 2017-08-12T19:34:49 --enforcementcount 0 &gt;&gt;C:\Users\stu\Documents\GitHub\eaglep3-reporting\EC\2017-08-12-refined-times.txt</v>
      </c>
      <c r="AI129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{"issue":{"subject":"","project_id":79,"tracker_id":40,"status_id":1,"priority_id":2,"assigned_to_id":23,"start_date":"2017-08-12","description":"","custom_fields":[{"id":1,"name":"Subdivision","value":"EC"},{"id":4,"name":"Milepost","value":"0.0136"},{"id":17,"name":"Train ID","value":"216-12"},{"id":16,"name":"Locomotive ID","value":"4063"},{"id":130,"name":"Impact","value":""},{"id":150,"name":"Time of Event (Mountain Time)","value":"19:34:49"},{"id":151,"name":"Denver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51"/>
        <v>start /low /b %USERPROFILE%\Documents\GitHub\eaglep3\Utilities\DownloadLogsFromS3.py --loco 4063 --day 2017-08-12</v>
      </c>
      <c r="AN129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01:34:49"},{"id":29,"name":"Sharepoint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824</v>
      </c>
      <c r="B130" s="7">
        <v>4050</v>
      </c>
      <c r="C130" s="21" t="s">
        <v>198</v>
      </c>
      <c r="D130" s="21" t="s">
        <v>394</v>
      </c>
      <c r="E130" s="13">
        <v>42959.756319444445</v>
      </c>
      <c r="F130" s="13">
        <v>42959.761006944442</v>
      </c>
      <c r="G130" s="7">
        <v>1</v>
      </c>
      <c r="H130" s="21" t="s">
        <v>609</v>
      </c>
      <c r="I130" s="13">
        <v>42959.786400462966</v>
      </c>
      <c r="J130" s="7">
        <v>0</v>
      </c>
      <c r="K130" s="89" t="str">
        <f t="shared" si="80"/>
        <v>4049/4050</v>
      </c>
      <c r="L130" s="21" t="str">
        <f>VLOOKUP(A130,'Trips&amp;Operators'!$C$1:$G$99999,5,FALSE)</f>
        <v>PERKINS DARREN</v>
      </c>
      <c r="M130" s="6">
        <f t="shared" si="81"/>
        <v>2.5393518524651881E-2</v>
      </c>
      <c r="N130" s="7">
        <f t="shared" si="82"/>
        <v>36.566666675498709</v>
      </c>
      <c r="O130" s="7"/>
      <c r="P130" s="7"/>
      <c r="Q130" s="22"/>
      <c r="R130" s="170"/>
      <c r="S130" s="213">
        <f t="shared" si="83"/>
        <v>1</v>
      </c>
      <c r="T130" s="195" t="str">
        <f t="shared" si="84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42"/>
        <v>https://d0f6bd738d7f1b3e5a7ca70fe4ff75f0.us-east-1.aws.found.io/app/kibana#/discover/Steve-Slow-Train-Analysis-(2080s-and-2083s)?_g=(refreshInterval:(display:Off,pause:!f,section:0,value:0),time:(from:'2017-08-12T17:09:06-0600',mode:absolute,to:'2017-08-12T19:52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0" s="197" t="str">
        <f>IF(AA130&lt;VLOOKUP(AG130,Variables!$AC$3:$AD$8,2,FALSE),"Y","N")</f>
        <v>N</v>
      </c>
      <c r="X130" s="197">
        <f t="shared" ref="X130:X157" si="90">VALUE(LEFT(AD130,4))-VALUE(LEFT(AD129,4))</f>
        <v>1</v>
      </c>
      <c r="Y130" s="197">
        <f t="shared" si="85"/>
        <v>4.5499999999999999E-2</v>
      </c>
      <c r="Z130" s="197">
        <f t="shared" si="86"/>
        <v>23.335999999999999</v>
      </c>
      <c r="AA130" s="197">
        <f t="shared" si="87"/>
        <v>23.290499999999998</v>
      </c>
      <c r="AB130" s="54" t="e">
        <f>VLOOKUP(A130,Enforcements!$C$7:$K$12,8,0)</f>
        <v>#N/A</v>
      </c>
      <c r="AC130" s="51" t="e">
        <f>VLOOKUP(A130,Enforcements!$C$7:$E$12,3,0)</f>
        <v>#N/A</v>
      </c>
      <c r="AD130" s="206">
        <f t="shared" si="88"/>
        <v>217</v>
      </c>
      <c r="AE130" s="77" t="str">
        <f t="shared" si="46"/>
        <v>aws s3 cp s3://rtdc.mdm.uploadarchive.raw/RTDC4050/ "%USERPROFILE%\AppData\Local\Temp\OnboardLogs"\RTDC4050\2017-08-12 --exclude "*" --recursive --include "*20170812*" &amp; "%USERPROFILE%\Documents\GitHub\mrs-test-scripts\Headless Mode &amp; Sideloading\WalkAndUnGZ.bat" "%USERPROFILE%\AppData\Local\Temp\OnboardLogs"\RTDC4050\2017-08-12 &amp; aws s3 cp s3://rtdc.mdm.uploadarchive.raw/RTDC4050/ "%USERPROFILE%\AppData\Local\Temp\OnboardLogs"\RTDC4050\2017-08-13 --exclude "*" --recursive --include "*20170813*" &amp; "%USERPROFILE%\Documents\GitHub\mrs-test-scripts\Headless Mode &amp; Sideloading\WalkAndUnGZ.bat" "%USERPROFILE%\AppData\Local\Temp\OnboardLogs"\RTDC4050\2017-08-13</v>
      </c>
      <c r="AF130" s="74" t="str">
        <f t="shared" si="47"/>
        <v>"C:\Program Files (x86)\AstroGrep\AstroGrep.exe" /e /r /s /spath="%USERPROFILE%\AppData\Local\Temp\OnboardLogs" /stypes="app*4050*20170813*" /stext=" 00:.+((SYSTEM_STATE.+slice.+state.+changed )|(ment ac)|(multiple cpu faults)|(system.+state.+changed )|(\[timeout)|(PRM\|1\|D)|(kpr)|(kdp)|(train st.+moving)|(\|lc)|(penalty))"</v>
      </c>
      <c r="AG130" s="209" t="str">
        <f t="shared" si="89"/>
        <v>EC</v>
      </c>
      <c r="AH130" s="78" t="str">
        <f t="shared" si="49"/>
        <v>"%USERPROFILE%\Documents\GitHub\eaglep3\Utilities\RefineRTDCRunTimes.py" --tripid 217-12 --locoid 4050 --swversion DE.1.0.9.0 --startMP 204:455 --initTime 2017-08-12T18:09:06 --startdatetime 2017-08-12T18:15:51 --delay 1 --endMP 204:233360 --enddatetime 2017-08-12T18:52:25 --enforcementcount 0 &gt;&gt;C:\Users\stu\Documents\GitHub\eaglep3-reporting\EC\2017-08-12-refined-times.txt</v>
      </c>
      <c r="AI130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{"issue":{"subject":"","project_id":79,"tracker_id":40,"status_id":1,"priority_id":2,"assigned_to_id":23,"start_date":"2017-08-12","description":"","custom_fields":[{"id":1,"name":"Subdivision","value":"EC"},{"id":4,"name":"Milepost","value":"23.336"},{"id":17,"name":"Train ID","value":"217-12"},{"id":16,"name":"Locomotive ID","value":"4050"},{"id":130,"name":"Impact","value":""},{"id":150,"name":"Time of Event (Mountain Time)","value":"18:52:25"},{"id":151,"name":"Denver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51"/>
        <v>start /low /b %USERPROFILE%\Documents\GitHub\eaglep3\Utilities\DownloadLogsFromS3.py --loco 4050 --day 2017-08-12</v>
      </c>
      <c r="AN130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00:52:25"},{"id":29,"name":"Sharepoint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833</v>
      </c>
      <c r="B131" s="7">
        <v>4049</v>
      </c>
      <c r="C131" s="21" t="s">
        <v>198</v>
      </c>
      <c r="D131" s="21" t="s">
        <v>965</v>
      </c>
      <c r="E131" s="13">
        <v>42959.794247685182</v>
      </c>
      <c r="F131" s="13">
        <v>42959.800185185188</v>
      </c>
      <c r="G131" s="7">
        <v>1</v>
      </c>
      <c r="H131" s="21" t="s">
        <v>966</v>
      </c>
      <c r="I131" s="13">
        <v>42959.826527777775</v>
      </c>
      <c r="J131" s="7">
        <v>0</v>
      </c>
      <c r="K131" s="89" t="str">
        <f t="shared" si="80"/>
        <v>4049/4050</v>
      </c>
      <c r="L131" s="21" t="str">
        <f>VLOOKUP(A131,'Trips&amp;Operators'!$C$1:$G$99999,5,FALSE)</f>
        <v>PERKINS DARREN</v>
      </c>
      <c r="M131" s="6">
        <f t="shared" si="81"/>
        <v>2.6342592587752733E-2</v>
      </c>
      <c r="N131" s="7">
        <f t="shared" si="82"/>
        <v>37.933333326363936</v>
      </c>
      <c r="O131" s="7"/>
      <c r="P131" s="7"/>
      <c r="Q131" s="22"/>
      <c r="R131" s="170"/>
      <c r="S131" s="213">
        <f t="shared" si="83"/>
        <v>1</v>
      </c>
      <c r="T131" s="195" t="str">
        <f t="shared" si="84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42"/>
        <v>https://d0f6bd738d7f1b3e5a7ca70fe4ff75f0.us-east-1.aws.found.io/app/kibana#/discover/Steve-Slow-Train-Analysis-(2080s-and-2083s)?_g=(refreshInterval:(display:Off,pause:!f,section:0,value:0),time:(from:'2017-08-12T18:03:43-0600',mode:absolute,to:'2017-08-12T20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1" s="197" t="str">
        <f>IF(AA131&lt;VLOOKUP(AG131,Variables!$AC$3:$AD$8,2,FALSE),"Y","N")</f>
        <v>N</v>
      </c>
      <c r="X131" s="197">
        <f t="shared" si="90"/>
        <v>1</v>
      </c>
      <c r="Y131" s="197">
        <f t="shared" si="85"/>
        <v>23.3065</v>
      </c>
      <c r="Z131" s="197">
        <f t="shared" si="86"/>
        <v>1.0999999999999999E-2</v>
      </c>
      <c r="AA131" s="197">
        <f t="shared" si="87"/>
        <v>23.295500000000001</v>
      </c>
      <c r="AB131" s="54" t="e">
        <f>VLOOKUP(A131,Enforcements!$C$7:$K$12,8,0)</f>
        <v>#N/A</v>
      </c>
      <c r="AC131" s="51" t="e">
        <f>VLOOKUP(A131,Enforcements!$C$7:$E$12,3,0)</f>
        <v>#N/A</v>
      </c>
      <c r="AD131" s="206">
        <f t="shared" si="88"/>
        <v>218</v>
      </c>
      <c r="AE131" s="77" t="str">
        <f t="shared" si="46"/>
        <v>aws s3 cp s3://rtdc.mdm.uploadarchive.raw/RTDC4049/ "%USERPROFILE%\AppData\Local\Temp\OnboardLogs"\RTDC4049\2017-08-12 --exclude "*" --recursive --include "*20170812*" &amp; "%USERPROFILE%\Documents\GitHub\mrs-test-scripts\Headless Mode &amp; Sideloading\WalkAndUnGZ.bat" "%USERPROFILE%\AppData\Local\Temp\OnboardLogs"\RTDC4049\2017-08-12 &amp; aws s3 cp s3://rtdc.mdm.uploadarchive.raw/RTDC4049/ "%USERPROFILE%\AppData\Local\Temp\OnboardLogs"\RTDC4049\2017-08-13 --exclude "*" --recursive --include "*20170813*" &amp; "%USERPROFILE%\Documents\GitHub\mrs-test-scripts\Headless Mode &amp; Sideloading\WalkAndUnGZ.bat" "%USERPROFILE%\AppData\Local\Temp\OnboardLogs"\RTDC4049\2017-08-13</v>
      </c>
      <c r="AF131" s="74" t="str">
        <f t="shared" si="47"/>
        <v>"C:\Program Files (x86)\AstroGrep\AstroGrep.exe" /e /r /s /spath="%USERPROFILE%\AppData\Local\Temp\OnboardLogs" /stypes="app*4049*20170813*" /stext=" 01:.+((SYSTEM_STATE.+slice.+state.+changed )|(ment ac)|(multiple cpu faults)|(system.+state.+changed )|(\[timeout)|(PRM\|1\|D)|(kpr)|(kdp)|(train st.+moving)|(\|lc)|(penalty))"</v>
      </c>
      <c r="AG131" s="209" t="str">
        <f t="shared" si="89"/>
        <v>EC</v>
      </c>
      <c r="AH131" s="78" t="str">
        <f t="shared" si="49"/>
        <v>"%USERPROFILE%\Documents\GitHub\eaglep3\Utilities\RefineRTDCRunTimes.py" --tripid 218-12 --locoid 4049 --swversion DE.1.0.9.0 --startMP 204:233065 --initTime 2017-08-12T19:03:43 --startdatetime 2017-08-12T19:12:16 --delay 1 --endMP 204:110 --enddatetime 2017-08-12T19:50:12 --enforcementcount 0 &gt;&gt;C:\Users\stu\Documents\GitHub\eaglep3-reporting\EC\2017-08-12-refined-times.txt</v>
      </c>
      <c r="AI131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{"issue":{"subject":"","project_id":79,"tracker_id":40,"status_id":1,"priority_id":2,"assigned_to_id":23,"start_date":"2017-08-12","description":"","custom_fields":[{"id":1,"name":"Subdivision","value":"EC"},{"id":4,"name":"Milepost","value":"0.011"},{"id":17,"name":"Train ID","value":"218-12"},{"id":16,"name":"Locomotive ID","value":"4049"},{"id":130,"name":"Impact","value":""},{"id":150,"name":"Time of Event (Mountain Time)","value":"19:50:12"},{"id":151,"name":"Denver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51"/>
        <v>start /low /b %USERPROFILE%\Documents\GitHub\eaglep3\Utilities\DownloadLogsFromS3.py --loco 4049 --day 2017-08-12</v>
      </c>
      <c r="AN131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01:50:12"},{"id":29,"name":"Sharepoint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827</v>
      </c>
      <c r="B132" s="7">
        <v>4016</v>
      </c>
      <c r="C132" s="21" t="s">
        <v>198</v>
      </c>
      <c r="D132" s="21" t="s">
        <v>466</v>
      </c>
      <c r="E132" s="13">
        <v>42959.767337962963</v>
      </c>
      <c r="F132" s="13">
        <v>42959.77138888889</v>
      </c>
      <c r="G132" s="7">
        <v>1</v>
      </c>
      <c r="H132" s="21" t="s">
        <v>967</v>
      </c>
      <c r="I132" s="13">
        <v>42959.797280092593</v>
      </c>
      <c r="J132" s="7">
        <v>0</v>
      </c>
      <c r="K132" s="89" t="str">
        <f t="shared" si="80"/>
        <v>4015/4016</v>
      </c>
      <c r="L132" s="21" t="str">
        <f>VLOOKUP(A132,'Trips&amp;Operators'!$C$1:$G$99999,5,FALSE)</f>
        <v>FORTUNATO FRANK</v>
      </c>
      <c r="M132" s="6">
        <f t="shared" si="81"/>
        <v>2.5891203702485655E-2</v>
      </c>
      <c r="N132" s="7">
        <f t="shared" si="82"/>
        <v>37.283333331579342</v>
      </c>
      <c r="O132" s="7"/>
      <c r="P132" s="7"/>
      <c r="Q132" s="22"/>
      <c r="R132" s="170"/>
      <c r="S132" s="213">
        <f t="shared" si="83"/>
        <v>1</v>
      </c>
      <c r="T132" s="195" t="str">
        <f t="shared" si="84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42"/>
        <v>https://d0f6bd738d7f1b3e5a7ca70fe4ff75f0.us-east-1.aws.found.io/app/kibana#/discover/Steve-Slow-Train-Analysis-(2080s-and-2083s)?_g=(refreshInterval:(display:Off,pause:!f,section:0,value:0),time:(from:'2017-08-12T17:24:58-0600',mode:absolute,to:'2017-08-12T20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2" s="197" t="str">
        <f>IF(AA132&lt;VLOOKUP(AG132,Variables!$AC$3:$AD$8,2,FALSE),"Y","N")</f>
        <v>N</v>
      </c>
      <c r="X132" s="197">
        <f t="shared" si="90"/>
        <v>1</v>
      </c>
      <c r="Y132" s="197">
        <f t="shared" si="85"/>
        <v>4.6399999999999997E-2</v>
      </c>
      <c r="Z132" s="197">
        <f t="shared" si="86"/>
        <v>23.3415</v>
      </c>
      <c r="AA132" s="197">
        <f t="shared" si="87"/>
        <v>23.295100000000001</v>
      </c>
      <c r="AB132" s="54" t="e">
        <f>VLOOKUP(A132,Enforcements!$C$7:$K$12,8,0)</f>
        <v>#N/A</v>
      </c>
      <c r="AC132" s="51" t="e">
        <f>VLOOKUP(A132,Enforcements!$C$7:$E$12,3,0)</f>
        <v>#N/A</v>
      </c>
      <c r="AD132" s="206">
        <f t="shared" si="88"/>
        <v>219</v>
      </c>
      <c r="AE132" s="77" t="str">
        <f t="shared" si="46"/>
        <v>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 &amp; 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</v>
      </c>
      <c r="AF132" s="74" t="str">
        <f t="shared" si="47"/>
        <v>"C:\Program Files (x86)\AstroGrep\AstroGrep.exe" /e /r /s /spath="%USERPROFILE%\AppData\Local\Temp\OnboardLogs" /stypes="app*4016*20170813*" /stext=" 01:.+((SYSTEM_STATE.+slice.+state.+changed )|(ment ac)|(multiple cpu faults)|(system.+state.+changed )|(\[timeout)|(PRM\|1\|D)|(kpr)|(kdp)|(train st.+moving)|(\|lc)|(penalty))"</v>
      </c>
      <c r="AG132" s="209" t="str">
        <f t="shared" si="89"/>
        <v>EC</v>
      </c>
      <c r="AH132" s="78" t="str">
        <f t="shared" si="49"/>
        <v>"%USERPROFILE%\Documents\GitHub\eaglep3\Utilities\RefineRTDCRunTimes.py" --tripid 219-12 --locoid 4016 --swversion DE.1.0.9.0 --startMP 204:464 --initTime 2017-08-12T18:24:58 --startdatetime 2017-08-12T18:30:48 --delay 1 --endMP 204:233415 --enddatetime 2017-08-12T19:08:05 --enforcementcount 0 &gt;&gt;C:\Users\stu\Documents\GitHub\eaglep3-reporting\EC\2017-08-12-refined-times.txt</v>
      </c>
      <c r="AI132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{"issue":{"subject":"","project_id":79,"tracker_id":40,"status_id":1,"priority_id":2,"assigned_to_id":23,"start_date":"2017-08-12","description":"","custom_fields":[{"id":1,"name":"Subdivision","value":"EC"},{"id":4,"name":"Milepost","value":"23.3415"},{"id":17,"name":"Train ID","value":"219-12"},{"id":16,"name":"Locomotive ID","value":"4016"},{"id":130,"name":"Impact","value":""},{"id":150,"name":"Time of Event (Mountain Time)","value":"19:08:05"},{"id":151,"name":"Denver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51"/>
        <v>start /low /b %USERPROFILE%\Documents\GitHub\eaglep3\Utilities\DownloadLogsFromS3.py --loco 4016 --day 2017-08-12</v>
      </c>
      <c r="AN132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01:08:05"},{"id":29,"name":"Sharepoint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656</v>
      </c>
      <c r="B133" s="7">
        <v>4015</v>
      </c>
      <c r="C133" s="21" t="s">
        <v>198</v>
      </c>
      <c r="D133" s="21" t="s">
        <v>968</v>
      </c>
      <c r="E133" s="13">
        <v>42959.800983796296</v>
      </c>
      <c r="F133" s="13">
        <v>42959.810671296298</v>
      </c>
      <c r="G133" s="7">
        <v>1</v>
      </c>
      <c r="H133" s="21" t="s">
        <v>473</v>
      </c>
      <c r="I133" s="13">
        <v>42959.83662037037</v>
      </c>
      <c r="J133" s="7">
        <v>0</v>
      </c>
      <c r="K133" s="89" t="str">
        <f t="shared" si="80"/>
        <v>4015/4016</v>
      </c>
      <c r="L133" s="21" t="str">
        <f>VLOOKUP(A133,'Trips&amp;Operators'!$C$1:$G$99999,5,FALSE)</f>
        <v>FORTUNATO FRANK</v>
      </c>
      <c r="M133" s="6">
        <f t="shared" si="81"/>
        <v>2.5949074071832001E-2</v>
      </c>
      <c r="N133" s="7">
        <f t="shared" si="82"/>
        <v>37.366666663438082</v>
      </c>
      <c r="O133" s="7"/>
      <c r="P133" s="7"/>
      <c r="Q133" s="22"/>
      <c r="R133" s="170"/>
      <c r="S133" s="213">
        <f t="shared" si="83"/>
        <v>1</v>
      </c>
      <c r="T133" s="195" t="str">
        <f t="shared" si="84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42"/>
        <v>https://d0f6bd738d7f1b3e5a7ca70fe4ff75f0.us-east-1.aws.found.io/app/kibana#/discover/Steve-Slow-Train-Analysis-(2080s-and-2083s)?_g=(refreshInterval:(display:Off,pause:!f,section:0,value:0),time:(from:'2017-08-12T18:13:25-0600',mode:absolute,to:'2017-08-12T21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3" s="197" t="str">
        <f>IF(AA133&lt;VLOOKUP(AG133,Variables!$AC$3:$AD$8,2,FALSE),"Y","N")</f>
        <v>N</v>
      </c>
      <c r="X133" s="197">
        <f t="shared" si="90"/>
        <v>1</v>
      </c>
      <c r="Y133" s="197">
        <f t="shared" si="85"/>
        <v>23.311</v>
      </c>
      <c r="Z133" s="197">
        <f t="shared" si="86"/>
        <v>1.61E-2</v>
      </c>
      <c r="AA133" s="197">
        <f t="shared" si="87"/>
        <v>23.294899999999998</v>
      </c>
      <c r="AB133" s="54" t="e">
        <f>VLOOKUP(A133,Enforcements!$C$7:$K$12,8,0)</f>
        <v>#N/A</v>
      </c>
      <c r="AC133" s="51" t="e">
        <f>VLOOKUP(A133,Enforcements!$C$7:$E$12,3,0)</f>
        <v>#N/A</v>
      </c>
      <c r="AD133" s="206">
        <f t="shared" si="88"/>
        <v>220</v>
      </c>
      <c r="AE133" s="77" t="str">
        <f t="shared" si="46"/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AF133" s="74" t="str">
        <f t="shared" si="47"/>
        <v>"C:\Program Files (x86)\AstroGrep\AstroGrep.exe" /e /r /s /spath="%USERPROFILE%\AppData\Local\Temp\OnboardLogs" /stypes="app*4015*20170813*" /stext=" 02:.+((SYSTEM_STATE.+slice.+state.+changed )|(ment ac)|(multiple cpu faults)|(system.+state.+changed )|(\[timeout)|(PRM\|1\|D)|(kpr)|(kdp)|(train st.+moving)|(\|lc)|(penalty))"</v>
      </c>
      <c r="AG133" s="209" t="str">
        <f t="shared" si="89"/>
        <v>EC</v>
      </c>
      <c r="AH133" s="78" t="str">
        <f t="shared" si="49"/>
        <v>"%USERPROFILE%\Documents\GitHub\eaglep3\Utilities\RefineRTDCRunTimes.py" --tripid 220-12 --locoid 4015 --swversion DE.1.0.9.0 --startMP 204:233110 --initTime 2017-08-12T19:13:25 --startdatetime 2017-08-12T19:27:22 --delay 1 --endMP 204:161 --enddatetime 2017-08-12T20:04:44 --enforcementcount 0 &gt;&gt;C:\Users\stu\Documents\GitHub\eaglep3-reporting\EC\2017-08-12-refined-times.txt</v>
      </c>
      <c r="AI133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{"issue":{"subject":"","project_id":79,"tracker_id":40,"status_id":1,"priority_id":2,"assigned_to_id":23,"start_date":"2017-08-12","description":"","custom_fields":[{"id":1,"name":"Subdivision","value":"EC"},{"id":4,"name":"Milepost","value":"0.0161"},{"id":17,"name":"Train ID","value":"220-12"},{"id":16,"name":"Locomotive ID","value":"4015"},{"id":130,"name":"Impact","value":""},{"id":150,"name":"Time of Event (Mountain Time)","value":"20:04:44"},{"id":151,"name":"Denver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51"/>
        <v>start /low /b %USERPROFILE%\Documents\GitHub\eaglep3\Utilities\DownloadLogsFromS3.py --loco 4015 --day 2017-08-12</v>
      </c>
      <c r="AN133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02:04:44"},{"id":29,"name":"Sharepoint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831</v>
      </c>
      <c r="B134" s="7">
        <v>4002</v>
      </c>
      <c r="C134" s="21" t="s">
        <v>198</v>
      </c>
      <c r="D134" s="21" t="s">
        <v>969</v>
      </c>
      <c r="E134" s="13">
        <v>42959.788043981483</v>
      </c>
      <c r="F134" s="13">
        <v>42959.792187500003</v>
      </c>
      <c r="G134" s="7">
        <v>1</v>
      </c>
      <c r="H134" s="21" t="s">
        <v>956</v>
      </c>
      <c r="I134" s="13">
        <v>42959.817349537036</v>
      </c>
      <c r="J134" s="7">
        <v>0</v>
      </c>
      <c r="K134" s="89" t="str">
        <f t="shared" si="80"/>
        <v>4001/4002</v>
      </c>
      <c r="L134" s="21" t="str">
        <f>VLOOKUP(A134,'Trips&amp;Operators'!$C$1:$G$99999,5,FALSE)</f>
        <v>LAMAR NEKESHA</v>
      </c>
      <c r="M134" s="6">
        <f t="shared" si="81"/>
        <v>2.5162037032714579E-2</v>
      </c>
      <c r="N134" s="7">
        <f t="shared" si="82"/>
        <v>36.233333327108994</v>
      </c>
      <c r="O134" s="7"/>
      <c r="P134" s="7"/>
      <c r="Q134" s="22"/>
      <c r="R134" s="170"/>
      <c r="S134" s="213">
        <f t="shared" si="83"/>
        <v>1</v>
      </c>
      <c r="T134" s="195" t="str">
        <f t="shared" si="84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42"/>
        <v>https://d0f6bd738d7f1b3e5a7ca70fe4ff75f0.us-east-1.aws.found.io/app/kibana#/discover/Steve-Slow-Train-Analysis-(2080s-and-2083s)?_g=(refreshInterval:(display:Off,pause:!f,section:0,value:0),time:(from:'2017-08-12T17:54:47-0600',mode:absolute,to:'2017-08-12T20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197" t="str">
        <f>IF(AA134&lt;VLOOKUP(AG134,Variables!$AC$3:$AD$8,2,FALSE),"Y","N")</f>
        <v>N</v>
      </c>
      <c r="X134" s="197">
        <f t="shared" si="90"/>
        <v>1</v>
      </c>
      <c r="Y134" s="197">
        <f t="shared" si="85"/>
        <v>4.82E-2</v>
      </c>
      <c r="Z134" s="197">
        <f t="shared" si="86"/>
        <v>23.3385</v>
      </c>
      <c r="AA134" s="197">
        <f t="shared" si="87"/>
        <v>23.290299999999998</v>
      </c>
      <c r="AB134" s="54" t="e">
        <f>VLOOKUP(A134,Enforcements!$C$7:$K$12,8,0)</f>
        <v>#N/A</v>
      </c>
      <c r="AC134" s="51" t="e">
        <f>VLOOKUP(A134,Enforcements!$C$7:$E$12,3,0)</f>
        <v>#N/A</v>
      </c>
      <c r="AD134" s="206">
        <f t="shared" si="88"/>
        <v>221</v>
      </c>
      <c r="AE134" s="77" t="str">
        <f t="shared" si="46"/>
        <v>aws s3 cp s3://rtdc.mdm.uploadarchive.raw/RTDC4002/ "%USERPROFILE%\AppData\Local\Temp\OnboardLogs"\RTDC4002\2017-08-12 --exclude "*" --recursive --include "*20170812*" &amp; "%USERPROFILE%\Documents\GitHub\mrs-test-scripts\Headless Mode &amp; Sideloading\WalkAndUnGZ.bat" "%USERPROFILE%\AppData\Local\Temp\OnboardLogs"\RTDC4002\2017-08-12 &amp; aws s3 cp s3://rtdc.mdm.uploadarchive.raw/RTDC4002/ "%USERPROFILE%\AppData\Local\Temp\OnboardLogs"\RTDC4002\2017-08-13 --exclude "*" --recursive --include "*20170813*" &amp; "%USERPROFILE%\Documents\GitHub\mrs-test-scripts\Headless Mode &amp; Sideloading\WalkAndUnGZ.bat" "%USERPROFILE%\AppData\Local\Temp\OnboardLogs"\RTDC4002\2017-08-13</v>
      </c>
      <c r="AF134" s="74" t="str">
        <f t="shared" si="47"/>
        <v>"C:\Program Files (x86)\AstroGrep\AstroGrep.exe" /e /r /s /spath="%USERPROFILE%\AppData\Local\Temp\OnboardLogs" /stypes="app*4002*20170813*" /stext=" 01:.+((SYSTEM_STATE.+slice.+state.+changed )|(ment ac)|(multiple cpu faults)|(system.+state.+changed )|(\[timeout)|(PRM\|1\|D)|(kpr)|(kdp)|(train st.+moving)|(\|lc)|(penalty))"</v>
      </c>
      <c r="AG134" s="209" t="str">
        <f t="shared" si="89"/>
        <v>EC</v>
      </c>
      <c r="AH134" s="78" t="str">
        <f t="shared" si="49"/>
        <v>"%USERPROFILE%\Documents\GitHub\eaglep3\Utilities\RefineRTDCRunTimes.py" --tripid 221-12 --locoid 4002 --swversion DE.1.0.9.0 --startMP 204:482 --initTime 2017-08-12T18:54:47 --startdatetime 2017-08-12T19:00:45 --delay 1 --endMP 204:233385 --enddatetime 2017-08-12T19:36:59 --enforcementcount 0 &gt;&gt;C:\Users\stu\Documents\GitHub\eaglep3-reporting\EC\2017-08-12-refined-times.txt</v>
      </c>
      <c r="AI134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{"issue":{"subject":"","project_id":79,"tracker_id":40,"status_id":1,"priority_id":2,"assigned_to_id":23,"start_date":"2017-08-12","description":"","custom_fields":[{"id":1,"name":"Subdivision","value":"EC"},{"id":4,"name":"Milepost","value":"23.3385"},{"id":17,"name":"Train ID","value":"221-12"},{"id":16,"name":"Locomotive ID","value":"4002"},{"id":130,"name":"Impact","value":""},{"id":150,"name":"Time of Event (Mountain Time)","value":"19:36:59"},{"id":151,"name":"Denver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51"/>
        <v>start /low /b %USERPROFILE%\Documents\GitHub\eaglep3\Utilities\DownloadLogsFromS3.py --loco 4002 --day 2017-08-12</v>
      </c>
      <c r="AN134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01:36:59"},{"id":29,"name":"Sharepoint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837</v>
      </c>
      <c r="B135" s="7">
        <v>4001</v>
      </c>
      <c r="C135" s="21" t="s">
        <v>198</v>
      </c>
      <c r="D135" s="21" t="s">
        <v>501</v>
      </c>
      <c r="E135" s="13">
        <v>42959.826562499999</v>
      </c>
      <c r="F135" s="13">
        <v>42959.831423611111</v>
      </c>
      <c r="G135" s="7">
        <v>1</v>
      </c>
      <c r="H135" s="21" t="s">
        <v>468</v>
      </c>
      <c r="I135" s="13">
        <v>42959.857581018521</v>
      </c>
      <c r="J135" s="7">
        <v>0</v>
      </c>
      <c r="K135" s="89" t="str">
        <f t="shared" si="80"/>
        <v>4001/4002</v>
      </c>
      <c r="L135" s="21" t="str">
        <f>VLOOKUP(A135,'Trips&amp;Operators'!$C$1:$G$99999,5,FALSE)</f>
        <v>LAMAR NEKESHA</v>
      </c>
      <c r="M135" s="6">
        <f t="shared" si="81"/>
        <v>2.6157407410209998E-2</v>
      </c>
      <c r="N135" s="7">
        <f t="shared" si="82"/>
        <v>37.666666670702398</v>
      </c>
      <c r="O135" s="7"/>
      <c r="P135" s="7"/>
      <c r="Q135" s="22"/>
      <c r="R135" s="170"/>
      <c r="S135" s="213">
        <f t="shared" si="83"/>
        <v>1</v>
      </c>
      <c r="T135" s="195" t="str">
        <f t="shared" si="84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42"/>
        <v>https://d0f6bd738d7f1b3e5a7ca70fe4ff75f0.us-east-1.aws.found.io/app/kibana#/discover/Steve-Slow-Train-Analysis-(2080s-and-2083s)?_g=(refreshInterval:(display:Off,pause:!f,section:0,value:0),time:(from:'2017-08-12T18:50:15-0600',mode:absolute,to:'2017-08-12T21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197" t="str">
        <f>IF(AA135&lt;VLOOKUP(AG135,Variables!$AC$3:$AD$8,2,FALSE),"Y","N")</f>
        <v>N</v>
      </c>
      <c r="X135" s="197">
        <f t="shared" si="90"/>
        <v>1</v>
      </c>
      <c r="Y135" s="197">
        <f t="shared" si="85"/>
        <v>23.2988</v>
      </c>
      <c r="Z135" s="197">
        <f t="shared" si="86"/>
        <v>1.5599999999999999E-2</v>
      </c>
      <c r="AA135" s="197">
        <f t="shared" si="87"/>
        <v>23.283200000000001</v>
      </c>
      <c r="AB135" s="54" t="e">
        <f>VLOOKUP(A135,Enforcements!$C$7:$K$12,8,0)</f>
        <v>#N/A</v>
      </c>
      <c r="AC135" s="51" t="e">
        <f>VLOOKUP(A135,Enforcements!$C$7:$E$12,3,0)</f>
        <v>#N/A</v>
      </c>
      <c r="AD135" s="206">
        <f t="shared" si="88"/>
        <v>222</v>
      </c>
      <c r="AE135" s="77" t="str">
        <f t="shared" si="46"/>
        <v>aws s3 cp s3://rtdc.mdm.uploadarchive.raw/RTDC4001/ "%USERPROFILE%\AppData\Local\Temp\OnboardLogs"\RTDC4001\2017-08-12 --exclude "*" --recursive --include "*20170812*" &amp; "%USERPROFILE%\Documents\GitHub\mrs-test-scripts\Headless Mode &amp; Sideloading\WalkAndUnGZ.bat" "%USERPROFILE%\AppData\Local\Temp\OnboardLogs"\RTDC4001\2017-08-12 &amp; aws s3 cp s3://rtdc.mdm.uploadarchive.raw/RTDC4001/ "%USERPROFILE%\AppData\Local\Temp\OnboardLogs"\RTDC4001\2017-08-13 --exclude "*" --recursive --include "*20170813*" &amp; "%USERPROFILE%\Documents\GitHub\mrs-test-scripts\Headless Mode &amp; Sideloading\WalkAndUnGZ.bat" "%USERPROFILE%\AppData\Local\Temp\OnboardLogs"\RTDC4001\2017-08-13</v>
      </c>
      <c r="AF135" s="74" t="str">
        <f t="shared" si="47"/>
        <v>"C:\Program Files (x86)\AstroGrep\AstroGrep.exe" /e /r /s /spath="%USERPROFILE%\AppData\Local\Temp\OnboardLogs" /stypes="app*4001*20170813*" /stext=" 02:.+((SYSTEM_STATE.+slice.+state.+changed )|(ment ac)|(multiple cpu faults)|(system.+state.+changed )|(\[timeout)|(PRM\|1\|D)|(kpr)|(kdp)|(train st.+moving)|(\|lc)|(penalty))"</v>
      </c>
      <c r="AG135" s="209" t="str">
        <f t="shared" si="89"/>
        <v>EC</v>
      </c>
      <c r="AH135" s="78" t="str">
        <f t="shared" si="49"/>
        <v>"%USERPROFILE%\Documents\GitHub\eaglep3\Utilities\RefineRTDCRunTimes.py" --tripid 222-12 --locoid 4001 --swversion DE.1.0.9.0 --startMP 204:232988 --initTime 2017-08-12T19:50:15 --startdatetime 2017-08-12T19:57:15 --delay 1 --endMP 204:156 --enddatetime 2017-08-12T20:34:55 --enforcementcount 0 &gt;&gt;C:\Users\stu\Documents\GitHub\eaglep3-reporting\EC\2017-08-12-refined-times.txt</v>
      </c>
      <c r="AI135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{"issue":{"subject":"","project_id":79,"tracker_id":40,"status_id":1,"priority_id":2,"assigned_to_id":23,"start_date":"2017-08-12","description":"","custom_fields":[{"id":1,"name":"Subdivision","value":"EC"},{"id":4,"name":"Milepost","value":"0.0156"},{"id":17,"name":"Train ID","value":"222-12"},{"id":16,"name":"Locomotive ID","value":"4001"},{"id":130,"name":"Impact","value":""},{"id":150,"name":"Time of Event (Mountain Time)","value":"20:34:55"},{"id":151,"name":"Denver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51"/>
        <v>start /low /b %USERPROFILE%\Documents\GitHub\eaglep3\Utilities\DownloadLogsFromS3.py --loco 4001 --day 2017-08-12</v>
      </c>
      <c r="AN135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02:34:55"},{"id":29,"name":"Sharepoint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834</v>
      </c>
      <c r="B136" s="7">
        <v>4032</v>
      </c>
      <c r="C136" s="21" t="s">
        <v>198</v>
      </c>
      <c r="D136" s="21" t="s">
        <v>450</v>
      </c>
      <c r="E136" s="13">
        <v>42959.810104166667</v>
      </c>
      <c r="F136" s="13">
        <v>42959.813043981485</v>
      </c>
      <c r="G136" s="7">
        <v>1</v>
      </c>
      <c r="H136" s="21" t="s">
        <v>970</v>
      </c>
      <c r="I136" s="13">
        <v>42959.838414351849</v>
      </c>
      <c r="J136" s="7">
        <v>0</v>
      </c>
      <c r="K136" s="89" t="str">
        <f t="shared" si="80"/>
        <v>4031/4032</v>
      </c>
      <c r="L136" s="21" t="str">
        <f>VLOOKUP(A136,'Trips&amp;Operators'!$C$1:$G$99999,5,FALSE)</f>
        <v>ZEWDU DEREJE</v>
      </c>
      <c r="M136" s="6">
        <f t="shared" si="81"/>
        <v>2.5370370363816619E-2</v>
      </c>
      <c r="N136" s="7">
        <f t="shared" si="82"/>
        <v>36.533333323895931</v>
      </c>
      <c r="O136" s="7"/>
      <c r="P136" s="7"/>
      <c r="Q136" s="22"/>
      <c r="R136" s="170"/>
      <c r="S136" s="213">
        <f t="shared" si="83"/>
        <v>1</v>
      </c>
      <c r="T136" s="195" t="str">
        <f t="shared" si="84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42"/>
        <v>https://d0f6bd738d7f1b3e5a7ca70fe4ff75f0.us-east-1.aws.found.io/app/kibana#/discover/Steve-Slow-Train-Analysis-(2080s-and-2083s)?_g=(refreshInterval:(display:Off,pause:!f,section:0,value:0),time:(from:'2017-08-12T18:26:33-0600',mode:absolute,to:'2017-08-12T21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6" s="197" t="str">
        <f>IF(AA136&lt;VLOOKUP(AG136,Variables!$AC$3:$AD$8,2,FALSE),"Y","N")</f>
        <v>N</v>
      </c>
      <c r="X136" s="197">
        <f t="shared" si="90"/>
        <v>1</v>
      </c>
      <c r="Y136" s="197">
        <f t="shared" si="85"/>
        <v>4.6699999999999998E-2</v>
      </c>
      <c r="Z136" s="197">
        <f t="shared" si="86"/>
        <v>23.332999999999998</v>
      </c>
      <c r="AA136" s="197">
        <f t="shared" si="87"/>
        <v>23.286299999999997</v>
      </c>
      <c r="AB136" s="54" t="e">
        <f>VLOOKUP(A136,Enforcements!$C$7:$K$12,8,0)</f>
        <v>#N/A</v>
      </c>
      <c r="AC136" s="51" t="e">
        <f>VLOOKUP(A136,Enforcements!$C$7:$E$12,3,0)</f>
        <v>#N/A</v>
      </c>
      <c r="AD136" s="206">
        <f t="shared" si="88"/>
        <v>223</v>
      </c>
      <c r="AE136" s="77" t="str">
        <f t="shared" si="46"/>
        <v>aws s3 cp s3://rtdc.mdm.uploadarchive.raw/RTDC4032/ "%USERPROFILE%\AppData\Local\Temp\OnboardLogs"\RTDC4032\2017-08-12 --exclude "*" --recursive --include "*20170812*" &amp; "%USERPROFILE%\Documents\GitHub\mrs-test-scripts\Headless Mode &amp; Sideloading\WalkAndUnGZ.bat" "%USERPROFILE%\AppData\Local\Temp\OnboardLogs"\RTDC4032\2017-08-12 &amp; aws s3 cp s3://rtdc.mdm.uploadarchive.raw/RTDC4032/ "%USERPROFILE%\AppData\Local\Temp\OnboardLogs"\RTDC4032\2017-08-13 --exclude "*" --recursive --include "*20170813*" &amp; "%USERPROFILE%\Documents\GitHub\mrs-test-scripts\Headless Mode &amp; Sideloading\WalkAndUnGZ.bat" "%USERPROFILE%\AppData\Local\Temp\OnboardLogs"\RTDC4032\2017-08-13</v>
      </c>
      <c r="AF136" s="74" t="str">
        <f t="shared" si="47"/>
        <v>"C:\Program Files (x86)\AstroGrep\AstroGrep.exe" /e /r /s /spath="%USERPROFILE%\AppData\Local\Temp\OnboardLogs" /stypes="app*4032*20170813*" /stext=" 02:.+((SYSTEM_STATE.+slice.+state.+changed )|(ment ac)|(multiple cpu faults)|(system.+state.+changed )|(\[timeout)|(PRM\|1\|D)|(kpr)|(kdp)|(train st.+moving)|(\|lc)|(penalty))"</v>
      </c>
      <c r="AG136" s="209" t="str">
        <f t="shared" si="89"/>
        <v>EC</v>
      </c>
      <c r="AH136" s="78" t="str">
        <f t="shared" si="49"/>
        <v>"%USERPROFILE%\Documents\GitHub\eaglep3\Utilities\RefineRTDCRunTimes.py" --tripid 223-12 --locoid 4032 --swversion DE.1.0.9.0 --startMP 204:467 --initTime 2017-08-12T19:26:33 --startdatetime 2017-08-12T19:30:47 --delay 1 --endMP 204:233330 --enddatetime 2017-08-12T20:07:19 --enforcementcount 0 &gt;&gt;C:\Users\stu\Documents\GitHub\eaglep3-reporting\EC\2017-08-12-refined-times.txt</v>
      </c>
      <c r="AI136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{"issue":{"subject":"","project_id":79,"tracker_id":40,"status_id":1,"priority_id":2,"assigned_to_id":23,"start_date":"2017-08-12","description":"","custom_fields":[{"id":1,"name":"Subdivision","value":"EC"},{"id":4,"name":"Milepost","value":"23.333"},{"id":17,"name":"Train ID","value":"223-12"},{"id":16,"name":"Locomotive ID","value":"4032"},{"id":130,"name":"Impact","value":""},{"id":150,"name":"Time of Event (Mountain Time)","value":"20:07:19"},{"id":151,"name":"Denver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51"/>
        <v>start /low /b %USERPROFILE%\Documents\GitHub\eaglep3\Utilities\DownloadLogsFromS3.py --loco 4032 --day 2017-08-12</v>
      </c>
      <c r="AN136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02:07:19"},{"id":29,"name":"Sharepoint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840</v>
      </c>
      <c r="B137" s="7">
        <v>4031</v>
      </c>
      <c r="C137" s="21" t="s">
        <v>198</v>
      </c>
      <c r="D137" s="21" t="s">
        <v>617</v>
      </c>
      <c r="E137" s="13">
        <v>42959.84888888889</v>
      </c>
      <c r="F137" s="13">
        <v>42959.852256944447</v>
      </c>
      <c r="G137" s="7">
        <v>1</v>
      </c>
      <c r="H137" s="21" t="s">
        <v>342</v>
      </c>
      <c r="I137" s="13">
        <v>42959.878993055558</v>
      </c>
      <c r="J137" s="7">
        <v>0</v>
      </c>
      <c r="K137" s="89" t="str">
        <f t="shared" si="80"/>
        <v>4031/4032</v>
      </c>
      <c r="L137" s="21" t="str">
        <f>VLOOKUP(A137,'Trips&amp;Operators'!$C$1:$G$99999,5,FALSE)</f>
        <v>ZEWDU DEREJE</v>
      </c>
      <c r="M137" s="6">
        <f t="shared" si="81"/>
        <v>2.6736111110949423E-2</v>
      </c>
      <c r="N137" s="7">
        <f t="shared" si="82"/>
        <v>38.499999999767169</v>
      </c>
      <c r="O137" s="7"/>
      <c r="P137" s="7"/>
      <c r="Q137" s="22"/>
      <c r="R137" s="170"/>
      <c r="S137" s="213">
        <f t="shared" si="83"/>
        <v>1</v>
      </c>
      <c r="T137" s="195" t="str">
        <f t="shared" si="84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42"/>
        <v>https://d0f6bd738d7f1b3e5a7ca70fe4ff75f0.us-east-1.aws.found.io/app/kibana#/discover/Steve-Slow-Train-Analysis-(2080s-and-2083s)?_g=(refreshInterval:(display:Off,pause:!f,section:0,value:0),time:(from:'2017-08-12T19:22:24-0600',mode:absolute,to:'2017-08-12T22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7" s="197" t="str">
        <f>IF(AA137&lt;VLOOKUP(AG137,Variables!$AC$3:$AD$8,2,FALSE),"Y","N")</f>
        <v>N</v>
      </c>
      <c r="X137" s="197">
        <f t="shared" si="90"/>
        <v>1</v>
      </c>
      <c r="Y137" s="197">
        <f t="shared" si="85"/>
        <v>23.302299999999999</v>
      </c>
      <c r="Z137" s="197">
        <f t="shared" si="86"/>
        <v>1.49E-2</v>
      </c>
      <c r="AA137" s="197">
        <f t="shared" si="87"/>
        <v>23.287399999999998</v>
      </c>
      <c r="AB137" s="54" t="e">
        <f>VLOOKUP(A137,Enforcements!$C$7:$K$12,8,0)</f>
        <v>#N/A</v>
      </c>
      <c r="AC137" s="51" t="e">
        <f>VLOOKUP(A137,Enforcements!$C$7:$E$12,3,0)</f>
        <v>#N/A</v>
      </c>
      <c r="AD137" s="206">
        <f t="shared" si="88"/>
        <v>224</v>
      </c>
      <c r="AE137" s="77" t="str">
        <f t="shared" si="46"/>
        <v>aws s3 cp s3://rtdc.mdm.uploadarchive.raw/RTDC4031/ "%USERPROFILE%\AppData\Local\Temp\OnboardLogs"\RTDC4031\2017-08-12 --exclude "*" --recursive --include "*20170812*" &amp; "%USERPROFILE%\Documents\GitHub\mrs-test-scripts\Headless Mode &amp; Sideloading\WalkAndUnGZ.bat" "%USERPROFILE%\AppData\Local\Temp\OnboardLogs"\RTDC4031\2017-08-12 &amp; aws s3 cp s3://rtdc.mdm.uploadarchive.raw/RTDC4031/ "%USERPROFILE%\AppData\Local\Temp\OnboardLogs"\RTDC4031\2017-08-13 --exclude "*" --recursive --include "*20170813*" &amp; "%USERPROFILE%\Documents\GitHub\mrs-test-scripts\Headless Mode &amp; Sideloading\WalkAndUnGZ.bat" "%USERPROFILE%\AppData\Local\Temp\OnboardLogs"\RTDC4031\2017-08-13</v>
      </c>
      <c r="AF137" s="74" t="str">
        <f t="shared" si="47"/>
        <v>"C:\Program Files (x86)\AstroGrep\AstroGrep.exe" /e /r /s /spath="%USERPROFILE%\AppData\Local\Temp\OnboardLogs" /stypes="app*4031*20170813*" /stext=" 03:.+((SYSTEM_STATE.+slice.+state.+changed )|(ment ac)|(multiple cpu faults)|(system.+state.+changed )|(\[timeout)|(PRM\|1\|D)|(kpr)|(kdp)|(train st.+moving)|(\|lc)|(penalty))"</v>
      </c>
      <c r="AG137" s="209" t="str">
        <f t="shared" si="89"/>
        <v>EC</v>
      </c>
      <c r="AH137" s="78" t="str">
        <f t="shared" si="49"/>
        <v>"%USERPROFILE%\Documents\GitHub\eaglep3\Utilities\RefineRTDCRunTimes.py" --tripid 224-12 --locoid 4031 --swversion DE.1.0.9.0 --startMP 204:233023 --initTime 2017-08-12T20:22:24 --startdatetime 2017-08-12T20:27:15 --delay 1 --endMP 204:149 --enddatetime 2017-08-12T21:05:45 --enforcementcount 0 &gt;&gt;C:\Users\stu\Documents\GitHub\eaglep3-reporting\EC\2017-08-12-refined-times.txt</v>
      </c>
      <c r="AI137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{"issue":{"subject":"","project_id":79,"tracker_id":40,"status_id":1,"priority_id":2,"assigned_to_id":23,"start_date":"2017-08-12","description":"","custom_fields":[{"id":1,"name":"Subdivision","value":"EC"},{"id":4,"name":"Milepost","value":"0.0149"},{"id":17,"name":"Train ID","value":"224-12"},{"id":16,"name":"Locomotive ID","value":"4031"},{"id":130,"name":"Impact","value":""},{"id":150,"name":"Time of Event (Mountain Time)","value":"21:05:45"},{"id":151,"name":"Denver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51"/>
        <v>start /low /b %USERPROFILE%\Documents\GitHub\eaglep3\Utilities\DownloadLogsFromS3.py --loco 4031 --day 2017-08-12</v>
      </c>
      <c r="AN137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03:05:45"},{"id":29,"name":"Sharepoint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657</v>
      </c>
      <c r="B138" s="7">
        <v>4050</v>
      </c>
      <c r="C138" s="21" t="s">
        <v>198</v>
      </c>
      <c r="D138" s="21" t="s">
        <v>971</v>
      </c>
      <c r="E138" s="13">
        <v>42959.828460648147</v>
      </c>
      <c r="F138" s="13">
        <v>42959.833854166667</v>
      </c>
      <c r="G138" s="7">
        <v>1</v>
      </c>
      <c r="H138" s="21" t="s">
        <v>972</v>
      </c>
      <c r="I138" s="13">
        <v>42959.859236111108</v>
      </c>
      <c r="J138" s="7">
        <v>0</v>
      </c>
      <c r="K138" s="89" t="str">
        <f t="shared" si="80"/>
        <v>4049/4050</v>
      </c>
      <c r="L138" s="21" t="str">
        <f>VLOOKUP(A138,'Trips&amp;Operators'!$C$1:$G$99999,5,FALSE)</f>
        <v>PERKINS DARREN</v>
      </c>
      <c r="M138" s="6">
        <f t="shared" si="81"/>
        <v>2.5381944440596271E-2</v>
      </c>
      <c r="N138" s="7">
        <f t="shared" si="82"/>
        <v>36.549999994458631</v>
      </c>
      <c r="O138" s="7"/>
      <c r="P138" s="7"/>
      <c r="Q138" s="22"/>
      <c r="R138" s="170"/>
      <c r="S138" s="213">
        <f t="shared" si="83"/>
        <v>1</v>
      </c>
      <c r="T138" s="195" t="str">
        <f t="shared" si="84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42"/>
        <v>https://d0f6bd738d7f1b3e5a7ca70fe4ff75f0.us-east-1.aws.found.io/app/kibana#/discover/Steve-Slow-Train-Analysis-(2080s-and-2083s)?_g=(refreshInterval:(display:Off,pause:!f,section:0,value:0),time:(from:'2017-08-12T18:52:59-0600',mode:absolute,to:'2017-08-12T21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8" s="197" t="str">
        <f>IF(AA138&lt;VLOOKUP(AG138,Variables!$AC$3:$AD$8,2,FALSE),"Y","N")</f>
        <v>N</v>
      </c>
      <c r="X138" s="197">
        <f t="shared" si="90"/>
        <v>1</v>
      </c>
      <c r="Y138" s="197">
        <f t="shared" si="85"/>
        <v>4.2599999999999999E-2</v>
      </c>
      <c r="Z138" s="197">
        <f t="shared" si="86"/>
        <v>23.3401</v>
      </c>
      <c r="AA138" s="197">
        <f t="shared" si="87"/>
        <v>23.297499999999999</v>
      </c>
      <c r="AB138" s="54" t="e">
        <f>VLOOKUP(A138,Enforcements!$C$7:$K$12,8,0)</f>
        <v>#N/A</v>
      </c>
      <c r="AC138" s="51" t="e">
        <f>VLOOKUP(A138,Enforcements!$C$7:$E$12,3,0)</f>
        <v>#N/A</v>
      </c>
      <c r="AD138" s="206">
        <f t="shared" si="88"/>
        <v>225</v>
      </c>
      <c r="AE138" s="77" t="str">
        <f t="shared" si="46"/>
        <v>aws s3 cp s3://rtdc.mdm.uploadarchive.raw/RTDC4050/ "%USERPROFILE%\AppData\Local\Temp\OnboardLogs"\RTDC4050\2017-08-12 --exclude "*" --recursive --include "*20170812*" &amp; "%USERPROFILE%\Documents\GitHub\mrs-test-scripts\Headless Mode &amp; Sideloading\WalkAndUnGZ.bat" "%USERPROFILE%\AppData\Local\Temp\OnboardLogs"\RTDC4050\2017-08-12 &amp; aws s3 cp s3://rtdc.mdm.uploadarchive.raw/RTDC4050/ "%USERPROFILE%\AppData\Local\Temp\OnboardLogs"\RTDC4050\2017-08-13 --exclude "*" --recursive --include "*20170813*" &amp; "%USERPROFILE%\Documents\GitHub\mrs-test-scripts\Headless Mode &amp; Sideloading\WalkAndUnGZ.bat" "%USERPROFILE%\AppData\Local\Temp\OnboardLogs"\RTDC4050\2017-08-13</v>
      </c>
      <c r="AF138" s="74" t="str">
        <f t="shared" si="47"/>
        <v>"C:\Program Files (x86)\AstroGrep\AstroGrep.exe" /e /r /s /spath="%USERPROFILE%\AppData\Local\Temp\OnboardLogs" /stypes="app*4050*20170813*" /stext=" 02:.+((SYSTEM_STATE.+slice.+state.+changed )|(ment ac)|(multiple cpu faults)|(system.+state.+changed )|(\[timeout)|(PRM\|1\|D)|(kpr)|(kdp)|(train st.+moving)|(\|lc)|(penalty))"</v>
      </c>
      <c r="AG138" s="209" t="str">
        <f t="shared" si="89"/>
        <v>EC</v>
      </c>
      <c r="AH138" s="78" t="str">
        <f t="shared" si="49"/>
        <v>"%USERPROFILE%\Documents\GitHub\eaglep3\Utilities\RefineRTDCRunTimes.py" --tripid 225-12 --locoid 4050 --swversion DE.1.0.9.0 --startMP 204:426 --initTime 2017-08-12T19:52:59 --startdatetime 2017-08-12T20:00:45 --delay 1 --endMP 204:233401 --enddatetime 2017-08-12T20:37:18 --enforcementcount 0 &gt;&gt;C:\Users\stu\Documents\GitHub\eaglep3-reporting\EC\2017-08-12-refined-times.txt</v>
      </c>
      <c r="AI138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{"issue":{"subject":"","project_id":79,"tracker_id":40,"status_id":1,"priority_id":2,"assigned_to_id":23,"start_date":"2017-08-12","description":"","custom_fields":[{"id":1,"name":"Subdivision","value":"EC"},{"id":4,"name":"Milepost","value":"23.3401"},{"id":17,"name":"Train ID","value":"225-12"},{"id":16,"name":"Locomotive ID","value":"4050"},{"id":130,"name":"Impact","value":""},{"id":150,"name":"Time of Event (Mountain Time)","value":"20:37:18"},{"id":151,"name":"Denver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51"/>
        <v>start /low /b %USERPROFILE%\Documents\GitHub\eaglep3\Utilities\DownloadLogsFromS3.py --loco 4050 --day 2017-08-12</v>
      </c>
      <c r="AN138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02:37:18"},{"id":29,"name":"Sharepoint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842</v>
      </c>
      <c r="B139" s="7">
        <v>4049</v>
      </c>
      <c r="C139" s="21" t="s">
        <v>198</v>
      </c>
      <c r="D139" s="21" t="s">
        <v>973</v>
      </c>
      <c r="E139" s="13">
        <v>42959.865428240744</v>
      </c>
      <c r="F139" s="13">
        <v>42959.873124999998</v>
      </c>
      <c r="G139" s="7">
        <v>1</v>
      </c>
      <c r="H139" s="21" t="s">
        <v>974</v>
      </c>
      <c r="I139" s="13">
        <v>42959.89984953704</v>
      </c>
      <c r="J139" s="7">
        <v>0</v>
      </c>
      <c r="K139" s="89" t="str">
        <f t="shared" si="80"/>
        <v>4049/4050</v>
      </c>
      <c r="L139" s="21" t="str">
        <f>VLOOKUP(A139,'Trips&amp;Operators'!$C$1:$G$99999,5,FALSE)</f>
        <v>PERKINS DARREN</v>
      </c>
      <c r="M139" s="6">
        <f t="shared" si="81"/>
        <v>2.6724537041445728E-2</v>
      </c>
      <c r="N139" s="7">
        <f t="shared" si="82"/>
        <v>38.483333339681849</v>
      </c>
      <c r="O139" s="7"/>
      <c r="P139" s="7"/>
      <c r="Q139" s="22"/>
      <c r="R139" s="170"/>
      <c r="S139" s="213">
        <f t="shared" si="83"/>
        <v>1</v>
      </c>
      <c r="T139" s="195" t="str">
        <f t="shared" si="84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42"/>
        <v>https://d0f6bd738d7f1b3e5a7ca70fe4ff75f0.us-east-1.aws.found.io/app/kibana#/discover/Steve-Slow-Train-Analysis-(2080s-and-2083s)?_g=(refreshInterval:(display:Off,pause:!f,section:0,value:0),time:(from:'2017-08-12T19:46:13-0600',mode:absolute,to:'2017-08-12T22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9" s="197" t="str">
        <f>IF(AA139&lt;VLOOKUP(AG139,Variables!$AC$3:$AD$8,2,FALSE),"Y","N")</f>
        <v>N</v>
      </c>
      <c r="X139" s="197">
        <f t="shared" si="90"/>
        <v>1</v>
      </c>
      <c r="Y139" s="197">
        <f t="shared" si="85"/>
        <v>23.307400000000001</v>
      </c>
      <c r="Z139" s="197">
        <f t="shared" si="86"/>
        <v>1.09E-2</v>
      </c>
      <c r="AA139" s="197">
        <f t="shared" si="87"/>
        <v>23.296500000000002</v>
      </c>
      <c r="AB139" s="54" t="e">
        <f>VLOOKUP(A139,Enforcements!$C$7:$K$12,8,0)</f>
        <v>#N/A</v>
      </c>
      <c r="AC139" s="51" t="e">
        <f>VLOOKUP(A139,Enforcements!$C$7:$E$12,3,0)</f>
        <v>#N/A</v>
      </c>
      <c r="AD139" s="206">
        <f t="shared" si="88"/>
        <v>226</v>
      </c>
      <c r="AE139" s="77" t="str">
        <f t="shared" si="46"/>
        <v>aws s3 cp s3://rtdc.mdm.uploadarchive.raw/RTDC4049/ "%USERPROFILE%\AppData\Local\Temp\OnboardLogs"\RTDC4049\2017-08-12 --exclude "*" --recursive --include "*20170812*" &amp; "%USERPROFILE%\Documents\GitHub\mrs-test-scripts\Headless Mode &amp; Sideloading\WalkAndUnGZ.bat" "%USERPROFILE%\AppData\Local\Temp\OnboardLogs"\RTDC4049\2017-08-12 &amp; aws s3 cp s3://rtdc.mdm.uploadarchive.raw/RTDC4049/ "%USERPROFILE%\AppData\Local\Temp\OnboardLogs"\RTDC4049\2017-08-13 --exclude "*" --recursive --include "*20170813*" &amp; "%USERPROFILE%\Documents\GitHub\mrs-test-scripts\Headless Mode &amp; Sideloading\WalkAndUnGZ.bat" "%USERPROFILE%\AppData\Local\Temp\OnboardLogs"\RTDC4049\2017-08-13</v>
      </c>
      <c r="AF139" s="74" t="str">
        <f t="shared" si="47"/>
        <v>"C:\Program Files (x86)\AstroGrep\AstroGrep.exe" /e /r /s /spath="%USERPROFILE%\AppData\Local\Temp\OnboardLogs" /stypes="app*4049*20170813*" /stext=" 03:.+((SYSTEM_STATE.+slice.+state.+changed )|(ment ac)|(multiple cpu faults)|(system.+state.+changed )|(\[timeout)|(PRM\|1\|D)|(kpr)|(kdp)|(train st.+moving)|(\|lc)|(penalty))"</v>
      </c>
      <c r="AG139" s="209" t="str">
        <f t="shared" si="89"/>
        <v>EC</v>
      </c>
      <c r="AH139" s="78" t="str">
        <f t="shared" si="49"/>
        <v>"%USERPROFILE%\Documents\GitHub\eaglep3\Utilities\RefineRTDCRunTimes.py" --tripid 226-12 --locoid 4049 --swversion DE.1.0.9.0 --startMP 204:233074 --initTime 2017-08-12T20:46:13 --startdatetime 2017-08-12T20:57:18 --delay 1 --endMP 204:109 --enddatetime 2017-08-12T21:35:47 --enforcementcount 0 &gt;&gt;C:\Users\stu\Documents\GitHub\eaglep3-reporting\EC\2017-08-12-refined-times.txt</v>
      </c>
      <c r="AI139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{"issue":{"subject":"","project_id":79,"tracker_id":40,"status_id":1,"priority_id":2,"assigned_to_id":23,"start_date":"2017-08-12","description":"","custom_fields":[{"id":1,"name":"Subdivision","value":"EC"},{"id":4,"name":"Milepost","value":"0.0109"},{"id":17,"name":"Train ID","value":"226-12"},{"id":16,"name":"Locomotive ID","value":"4049"},{"id":130,"name":"Impact","value":""},{"id":150,"name":"Time of Event (Mountain Time)","value":"21:35:47"},{"id":151,"name":"Denver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51"/>
        <v>start /low /b %USERPROFILE%\Documents\GitHub\eaglep3\Utilities\DownloadLogsFromS3.py --loco 4049 --day 2017-08-12</v>
      </c>
      <c r="AN139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03:35:47"},{"id":29,"name":"Sharepoint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839</v>
      </c>
      <c r="B140" s="7">
        <v>4016</v>
      </c>
      <c r="C140" s="21" t="s">
        <v>198</v>
      </c>
      <c r="D140" s="21" t="s">
        <v>394</v>
      </c>
      <c r="E140" s="13">
        <v>42959.841157407405</v>
      </c>
      <c r="F140" s="13">
        <v>42959.854699074072</v>
      </c>
      <c r="G140" s="7">
        <v>1</v>
      </c>
      <c r="H140" s="21" t="s">
        <v>872</v>
      </c>
      <c r="I140" s="13">
        <v>42959.880393518521</v>
      </c>
      <c r="J140" s="7">
        <v>0</v>
      </c>
      <c r="K140" s="89" t="str">
        <f t="shared" si="80"/>
        <v>4015/4016</v>
      </c>
      <c r="L140" s="21" t="str">
        <f>VLOOKUP(A140,'Trips&amp;Operators'!$C$1:$G$99999,5,FALSE)</f>
        <v>FORTUNATO FRANK</v>
      </c>
      <c r="M140" s="6">
        <f t="shared" si="81"/>
        <v>2.5694444448163267E-2</v>
      </c>
      <c r="N140" s="7">
        <f t="shared" si="82"/>
        <v>37.000000005355105</v>
      </c>
      <c r="O140" s="7"/>
      <c r="P140" s="7"/>
      <c r="Q140" s="22"/>
      <c r="R140" s="170"/>
      <c r="S140" s="213">
        <f t="shared" si="83"/>
        <v>1</v>
      </c>
      <c r="T140" s="195" t="str">
        <f t="shared" si="84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42"/>
        <v>https://d0f6bd738d7f1b3e5a7ca70fe4ff75f0.us-east-1.aws.found.io/app/kibana#/discover/Steve-Slow-Train-Analysis-(2080s-and-2083s)?_g=(refreshInterval:(display:Off,pause:!f,section:0,value:0),time:(from:'2017-08-12T19:11:16-0600',mode:absolute,to:'2017-08-12T22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0" s="197" t="str">
        <f>IF(AA140&lt;VLOOKUP(AG140,Variables!$AC$3:$AD$8,2,FALSE),"Y","N")</f>
        <v>N</v>
      </c>
      <c r="X140" s="197">
        <f t="shared" si="90"/>
        <v>1</v>
      </c>
      <c r="Y140" s="197">
        <f t="shared" si="85"/>
        <v>4.5499999999999999E-2</v>
      </c>
      <c r="Z140" s="197">
        <f t="shared" si="86"/>
        <v>23.334099999999999</v>
      </c>
      <c r="AA140" s="197">
        <f t="shared" si="87"/>
        <v>23.288599999999999</v>
      </c>
      <c r="AB140" s="54" t="e">
        <f>VLOOKUP(A140,Enforcements!$C$7:$K$12,8,0)</f>
        <v>#N/A</v>
      </c>
      <c r="AC140" s="51" t="e">
        <f>VLOOKUP(A140,Enforcements!$C$7:$E$12,3,0)</f>
        <v>#N/A</v>
      </c>
      <c r="AD140" s="206">
        <f t="shared" si="88"/>
        <v>227</v>
      </c>
      <c r="AE140" s="77" t="str">
        <f t="shared" si="46"/>
        <v>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 &amp; 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</v>
      </c>
      <c r="AF140" s="74" t="str">
        <f t="shared" si="47"/>
        <v>"C:\Program Files (x86)\AstroGrep\AstroGrep.exe" /e /r /s /spath="%USERPROFILE%\AppData\Local\Temp\OnboardLogs" /stypes="app*4016*20170813*" /stext=" 03:.+((SYSTEM_STATE.+slice.+state.+changed )|(ment ac)|(multiple cpu faults)|(system.+state.+changed )|(\[timeout)|(PRM\|1\|D)|(kpr)|(kdp)|(train st.+moving)|(\|lc)|(penalty))"</v>
      </c>
      <c r="AG140" s="209" t="str">
        <f t="shared" si="89"/>
        <v>EC</v>
      </c>
      <c r="AH140" s="78" t="str">
        <f t="shared" si="49"/>
        <v>"%USERPROFILE%\Documents\GitHub\eaglep3\Utilities\RefineRTDCRunTimes.py" --tripid 227-12 --locoid 4016 --swversion DE.1.0.9.0 --startMP 204:455 --initTime 2017-08-12T20:11:16 --startdatetime 2017-08-12T20:30:46 --delay 1 --endMP 204:233341 --enddatetime 2017-08-12T21:07:46 --enforcementcount 0 &gt;&gt;C:\Users\stu\Documents\GitHub\eaglep3-reporting\EC\2017-08-12-refined-times.txt</v>
      </c>
      <c r="AI140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{"issue":{"subject":"","project_id":79,"tracker_id":40,"status_id":1,"priority_id":2,"assigned_to_id":23,"start_date":"2017-08-12","description":"","custom_fields":[{"id":1,"name":"Subdivision","value":"EC"},{"id":4,"name":"Milepost","value":"23.3341"},{"id":17,"name":"Train ID","value":"227-12"},{"id":16,"name":"Locomotive ID","value":"4016"},{"id":130,"name":"Impact","value":""},{"id":150,"name":"Time of Event (Mountain Time)","value":"21:07:46"},{"id":151,"name":"Denver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51"/>
        <v>start /low /b %USERPROFILE%\Documents\GitHub\eaglep3\Utilities\DownloadLogsFromS3.py --loco 4016 --day 2017-08-12</v>
      </c>
      <c r="AN140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03:07:46"},{"id":29,"name":"Sharepoint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847</v>
      </c>
      <c r="B141" s="7">
        <v>4015</v>
      </c>
      <c r="C141" s="21" t="s">
        <v>198</v>
      </c>
      <c r="D141" s="21" t="s">
        <v>512</v>
      </c>
      <c r="E141" s="13">
        <v>42959.882777777777</v>
      </c>
      <c r="F141" s="13">
        <v>42959.893888888888</v>
      </c>
      <c r="G141" s="7">
        <v>2</v>
      </c>
      <c r="H141" s="21" t="s">
        <v>348</v>
      </c>
      <c r="I141" s="13">
        <v>42959.921018518522</v>
      </c>
      <c r="J141" s="7">
        <v>0</v>
      </c>
      <c r="K141" s="89" t="str">
        <f t="shared" si="80"/>
        <v>4015/4016</v>
      </c>
      <c r="L141" s="21" t="str">
        <f>VLOOKUP(A141,'Trips&amp;Operators'!$C$1:$G$99999,5,FALSE)</f>
        <v>FORTUNATO FRANK</v>
      </c>
      <c r="M141" s="6">
        <f t="shared" si="81"/>
        <v>2.7129629634146113E-2</v>
      </c>
      <c r="N141" s="7">
        <f t="shared" si="82"/>
        <v>39.066666673170403</v>
      </c>
      <c r="O141" s="7"/>
      <c r="P141" s="7"/>
      <c r="Q141" s="22"/>
      <c r="R141" s="170"/>
      <c r="S141" s="213">
        <f t="shared" si="83"/>
        <v>1</v>
      </c>
      <c r="T141" s="195" t="str">
        <f t="shared" si="84"/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9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-12T20:11:12-0600',mode:absolute,to:'2017-08-12T23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1" s="197" t="str">
        <f>IF(AA141&lt;VLOOKUP(AG141,Variables!$AC$3:$AD$8,2,FALSE),"Y","N")</f>
        <v>N</v>
      </c>
      <c r="X141" s="197">
        <f t="shared" si="90"/>
        <v>1</v>
      </c>
      <c r="Y141" s="197">
        <f t="shared" si="85"/>
        <v>23.303599999999999</v>
      </c>
      <c r="Z141" s="197">
        <f t="shared" si="86"/>
        <v>1.3899999999999999E-2</v>
      </c>
      <c r="AA141" s="197">
        <f t="shared" si="87"/>
        <v>23.2897</v>
      </c>
      <c r="AB141" s="54" t="e">
        <f>VLOOKUP(A141,Enforcements!$C$7:$K$12,8,0)</f>
        <v>#N/A</v>
      </c>
      <c r="AC141" s="51" t="e">
        <f>VLOOKUP(A141,Enforcements!$C$7:$E$12,3,0)</f>
        <v>#N/A</v>
      </c>
      <c r="AD141" s="206">
        <f t="shared" si="88"/>
        <v>228</v>
      </c>
      <c r="AE141" s="77" t="str">
        <f t="shared" ref="AE141:AE204" si="9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AF141" s="74" t="str">
        <f t="shared" ref="AF141:AF204" si="9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/stypes="app*4015*20170813*" /stext=" 04:.+((SYSTEM_STATE.+slice.+state.+changed )|(ment ac)|(multiple cpu faults)|(system.+state.+changed )|(\[timeout)|(PRM\|1\|D)|(kpr)|(kdp)|(train st.+moving)|(\|lc)|(penalty))"</v>
      </c>
      <c r="AG141" s="209" t="str">
        <f t="shared" si="89"/>
        <v>EC</v>
      </c>
      <c r="AH141" s="78" t="str">
        <f t="shared" si="49"/>
        <v>"%USERPROFILE%\Documents\GitHub\eaglep3\Utilities\RefineRTDCRunTimes.py" --tripid 228-12 --locoid 4015 --swversion DE.1.0.9.0 --startMP 204:233036 --initTime 2017-08-12T21:11:12 --startdatetime 2017-08-12T21:27:12 --delay 2 --endMP 204:139 --enddatetime 2017-08-12T22:06:16 --enforcementcount 0 &gt;&gt;C:\Users\stu\Documents\GitHub\eaglep3-reporting\EC\2017-08-12-refined-times.txt</v>
      </c>
      <c r="AI141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{"issue":{"subject":"","project_id":79,"tracker_id":40,"status_id":1,"priority_id":2,"assigned_to_id":23,"start_date":"2017-08-12","description":"","custom_fields":[{"id":1,"name":"Subdivision","value":"EC"},{"id":4,"name":"Milepost","value":"0.0139"},{"id":17,"name":"Train ID","value":"228-12"},{"id":16,"name":"Locomotive ID","value":"4015"},{"id":130,"name":"Impact","value":""},{"id":150,"name":"Time of Event (Mountain Time)","value":"22:06:16"},{"id":151,"name":"Denver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1"/>
        <v>start /low /b %USERPROFILE%\Documents\GitHub\eaglep3\Utilities\DownloadLogsFromS3.py --loco 4015 --day 2017-08-12</v>
      </c>
      <c r="AN141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04:06:16"},{"id":29,"name":"Sharepoint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843</v>
      </c>
      <c r="B142" s="7">
        <v>4002</v>
      </c>
      <c r="C142" s="21" t="s">
        <v>198</v>
      </c>
      <c r="D142" s="21" t="s">
        <v>442</v>
      </c>
      <c r="E142" s="13">
        <v>42959.871817129628</v>
      </c>
      <c r="F142" s="13">
        <v>42959.87605324074</v>
      </c>
      <c r="G142" s="7">
        <v>1</v>
      </c>
      <c r="H142" s="21" t="s">
        <v>603</v>
      </c>
      <c r="I142" s="13">
        <v>42959.902280092596</v>
      </c>
      <c r="J142" s="7">
        <v>0</v>
      </c>
      <c r="K142" s="89" t="str">
        <f t="shared" si="80"/>
        <v>4001/4002</v>
      </c>
      <c r="L142" s="21" t="str">
        <f>VLOOKUP(A142,'Trips&amp;Operators'!$C$1:$G$99999,5,FALSE)</f>
        <v>MILLER KEVIN</v>
      </c>
      <c r="M142" s="6">
        <f t="shared" si="81"/>
        <v>2.6226851856335998E-2</v>
      </c>
      <c r="N142" s="7">
        <f t="shared" si="82"/>
        <v>37.766666673123837</v>
      </c>
      <c r="O142" s="7"/>
      <c r="P142" s="7"/>
      <c r="Q142" s="22"/>
      <c r="R142" s="170"/>
      <c r="S142" s="213">
        <f t="shared" si="83"/>
        <v>1</v>
      </c>
      <c r="T142" s="195" t="str">
        <f t="shared" si="84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91"/>
        <v>https://d0f6bd738d7f1b3e5a7ca70fe4ff75f0.us-east-1.aws.found.io/app/kibana#/discover/Steve-Slow-Train-Analysis-(2080s-and-2083s)?_g=(refreshInterval:(display:Off,pause:!f,section:0,value:0),time:(from:'2017-08-12T19:55:25-0600',mode:absolute,to:'2017-08-12T22:39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197" t="str">
        <f>IF(AA142&lt;VLOOKUP(AG142,Variables!$AC$3:$AD$8,2,FALSE),"Y","N")</f>
        <v>N</v>
      </c>
      <c r="X142" s="197">
        <f t="shared" si="90"/>
        <v>1</v>
      </c>
      <c r="Y142" s="197">
        <f t="shared" si="85"/>
        <v>4.5999999999999999E-2</v>
      </c>
      <c r="Z142" s="197">
        <f t="shared" si="86"/>
        <v>23.3278</v>
      </c>
      <c r="AA142" s="197">
        <f t="shared" si="87"/>
        <v>23.2818</v>
      </c>
      <c r="AB142" s="54" t="e">
        <f>VLOOKUP(A142,Enforcements!$C$7:$K$12,8,0)</f>
        <v>#N/A</v>
      </c>
      <c r="AC142" s="51" t="e">
        <f>VLOOKUP(A142,Enforcements!$C$7:$E$12,3,0)</f>
        <v>#N/A</v>
      </c>
      <c r="AD142" s="206">
        <f t="shared" si="88"/>
        <v>229</v>
      </c>
      <c r="AE142" s="77" t="str">
        <f t="shared" si="92"/>
        <v>aws s3 cp s3://rtdc.mdm.uploadarchive.raw/RTDC4002/ "%USERPROFILE%\AppData\Local\Temp\OnboardLogs"\RTDC4002\2017-08-12 --exclude "*" --recursive --include "*20170812*" &amp; "%USERPROFILE%\Documents\GitHub\mrs-test-scripts\Headless Mode &amp; Sideloading\WalkAndUnGZ.bat" "%USERPROFILE%\AppData\Local\Temp\OnboardLogs"\RTDC4002\2017-08-12 &amp; aws s3 cp s3://rtdc.mdm.uploadarchive.raw/RTDC4002/ "%USERPROFILE%\AppData\Local\Temp\OnboardLogs"\RTDC4002\2017-08-13 --exclude "*" --recursive --include "*20170813*" &amp; "%USERPROFILE%\Documents\GitHub\mrs-test-scripts\Headless Mode &amp; Sideloading\WalkAndUnGZ.bat" "%USERPROFILE%\AppData\Local\Temp\OnboardLogs"\RTDC4002\2017-08-13</v>
      </c>
      <c r="AF142" s="74" t="str">
        <f t="shared" si="93"/>
        <v>"C:\Program Files (x86)\AstroGrep\AstroGrep.exe" /e /r /s /spath="%USERPROFILE%\AppData\Local\Temp\OnboardLogs" /stypes="app*4002*20170813*" /stext=" 03:.+((SYSTEM_STATE.+slice.+state.+changed )|(ment ac)|(multiple cpu faults)|(system.+state.+changed )|(\[timeout)|(PRM\|1\|D)|(kpr)|(kdp)|(train st.+moving)|(\|lc)|(penalty))"</v>
      </c>
      <c r="AG142" s="209" t="str">
        <f t="shared" si="89"/>
        <v>EC</v>
      </c>
      <c r="AH142" s="78" t="str">
        <f t="shared" si="49"/>
        <v>"%USERPROFILE%\Documents\GitHub\eaglep3\Utilities\RefineRTDCRunTimes.py" --tripid 229-12 --locoid 4002 --swversion DE.1.0.9.0 --startMP 204:460 --initTime 2017-08-12T20:55:25 --startdatetime 2017-08-12T21:01:31 --delay 1 --endMP 204:233278 --enddatetime 2017-08-12T21:39:17 --enforcementcount 0 &gt;&gt;C:\Users\stu\Documents\GitHub\eaglep3-reporting\EC\2017-08-12-refined-times.txt</v>
      </c>
      <c r="AI142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{"issue":{"subject":"","project_id":79,"tracker_id":40,"status_id":1,"priority_id":2,"assigned_to_id":23,"start_date":"2017-08-12","description":"","custom_fields":[{"id":1,"name":"Subdivision","value":"EC"},{"id":4,"name":"Milepost","value":"23.3278"},{"id":17,"name":"Train ID","value":"229-12"},{"id":16,"name":"Locomotive ID","value":"4002"},{"id":130,"name":"Impact","value":""},{"id":150,"name":"Time of Event (Mountain Time)","value":"21:39:17"},{"id":151,"name":"Denver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1"/>
        <v>start /low /b %USERPROFILE%\Documents\GitHub\eaglep3\Utilities\DownloadLogsFromS3.py --loco 4002 --day 2017-08-12</v>
      </c>
      <c r="AN142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03:39:17"},{"id":29,"name":"Sharepoint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850</v>
      </c>
      <c r="B143" s="7">
        <v>4001</v>
      </c>
      <c r="C143" s="21" t="s">
        <v>198</v>
      </c>
      <c r="D143" s="21" t="s">
        <v>975</v>
      </c>
      <c r="E143" s="13">
        <v>42959.91196759259</v>
      </c>
      <c r="F143" s="13">
        <v>42959.914768518516</v>
      </c>
      <c r="G143" s="7">
        <v>1</v>
      </c>
      <c r="H143" s="21" t="s">
        <v>479</v>
      </c>
      <c r="I143" s="13">
        <v>42959.941782407404</v>
      </c>
      <c r="J143" s="7">
        <v>0</v>
      </c>
      <c r="K143" s="89" t="str">
        <f t="shared" si="80"/>
        <v>4001/4002</v>
      </c>
      <c r="L143" s="21" t="str">
        <f>VLOOKUP(A143,'Trips&amp;Operators'!$C$1:$G$99999,5,FALSE)</f>
        <v>MILLER KEVIN</v>
      </c>
      <c r="M143" s="6">
        <f t="shared" si="81"/>
        <v>2.7013888888177462E-2</v>
      </c>
      <c r="N143" s="7">
        <f t="shared" si="82"/>
        <v>38.899999998975545</v>
      </c>
      <c r="O143" s="7"/>
      <c r="P143" s="7"/>
      <c r="Q143" s="22"/>
      <c r="R143" s="170"/>
      <c r="S143" s="213">
        <f t="shared" si="83"/>
        <v>1</v>
      </c>
      <c r="T143" s="195" t="str">
        <f t="shared" si="84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91"/>
        <v>https://d0f6bd738d7f1b3e5a7ca70fe4ff75f0.us-east-1.aws.found.io/app/kibana#/discover/Steve-Slow-Train-Analysis-(2080s-and-2083s)?_g=(refreshInterval:(display:Off,pause:!f,section:0,value:0),time:(from:'2017-08-12T20:53:14-0600',mode:absolute,to:'2017-08-12T23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3" s="197" t="str">
        <f>IF(AA143&lt;VLOOKUP(AG143,Variables!$AC$3:$AD$8,2,FALSE),"Y","N")</f>
        <v>N</v>
      </c>
      <c r="X143" s="197">
        <f t="shared" si="90"/>
        <v>1</v>
      </c>
      <c r="Y143" s="197">
        <f t="shared" si="85"/>
        <v>23.296099999999999</v>
      </c>
      <c r="Z143" s="197">
        <f t="shared" si="86"/>
        <v>1.6299999999999999E-2</v>
      </c>
      <c r="AA143" s="197">
        <f t="shared" si="87"/>
        <v>23.279799999999998</v>
      </c>
      <c r="AB143" s="54" t="e">
        <f>VLOOKUP(A143,Enforcements!$C$7:$K$12,8,0)</f>
        <v>#N/A</v>
      </c>
      <c r="AC143" s="51" t="e">
        <f>VLOOKUP(A143,Enforcements!$C$7:$E$12,3,0)</f>
        <v>#N/A</v>
      </c>
      <c r="AD143" s="206">
        <f t="shared" si="88"/>
        <v>230</v>
      </c>
      <c r="AE143" s="77" t="str">
        <f t="shared" si="92"/>
        <v>aws s3 cp s3://rtdc.mdm.uploadarchive.raw/RTDC4001/ "%USERPROFILE%\AppData\Local\Temp\OnboardLogs"\RTDC4001\2017-08-12 --exclude "*" --recursive --include "*20170812*" &amp; "%USERPROFILE%\Documents\GitHub\mrs-test-scripts\Headless Mode &amp; Sideloading\WalkAndUnGZ.bat" "%USERPROFILE%\AppData\Local\Temp\OnboardLogs"\RTDC4001\2017-08-12 &amp; aws s3 cp s3://rtdc.mdm.uploadarchive.raw/RTDC4001/ "%USERPROFILE%\AppData\Local\Temp\OnboardLogs"\RTDC4001\2017-08-13 --exclude "*" --recursive --include "*20170813*" &amp; "%USERPROFILE%\Documents\GitHub\mrs-test-scripts\Headless Mode &amp; Sideloading\WalkAndUnGZ.bat" "%USERPROFILE%\AppData\Local\Temp\OnboardLogs"\RTDC4001\2017-08-13</v>
      </c>
      <c r="AF143" s="74" t="str">
        <f t="shared" si="93"/>
        <v>"C:\Program Files (x86)\AstroGrep\AstroGrep.exe" /e /r /s /spath="%USERPROFILE%\AppData\Local\Temp\OnboardLogs" /stypes="app*4001*20170813*" /stext=" 04:.+((SYSTEM_STATE.+slice.+state.+changed )|(ment ac)|(multiple cpu faults)|(system.+state.+changed )|(\[timeout)|(PRM\|1\|D)|(kpr)|(kdp)|(train st.+moving)|(\|lc)|(penalty))"</v>
      </c>
      <c r="AG143" s="209" t="str">
        <f t="shared" si="89"/>
        <v>EC</v>
      </c>
      <c r="AH143" s="78" t="str">
        <f t="shared" si="49"/>
        <v>"%USERPROFILE%\Documents\GitHub\eaglep3\Utilities\RefineRTDCRunTimes.py" --tripid 230-12 --locoid 4001 --swversion DE.1.0.9.0 --startMP 204:232961 --initTime 2017-08-12T21:53:14 --startdatetime 2017-08-12T21:57:16 --delay 1 --endMP 204:163 --enddatetime 2017-08-12T22:36:10 --enforcementcount 0 &gt;&gt;C:\Users\stu\Documents\GitHub\eaglep3-reporting\EC\2017-08-12-refined-times.txt</v>
      </c>
      <c r="AI143" s="96" t="str">
        <f t="shared" si="50"/>
        <v>echo {"issue":{"subject":"","project_id":79,"tracker_id":40,"status_id":1,"priority_id":2,"assigned_to_id":23,"start_date":"2017-08-12","description":"","custom_fields":[{"id":1,"name":"Subdivision","value":"EC"},{"id":4,"name":"Milepost","value":"0.0163"},{"id":17,"name":"Train ID","value":"230-12"},{"id":16,"name":"Locomotive ID","value":"4001"},{"id":130,"name":"Impact","value":""},{"id":150,"name":"Time of Event (Mountain Time)","value":"22:36:10"},{"id":151,"name":"Denver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1"/>
        <v>start /low /b %USERPROFILE%\Documents\GitHub\eaglep3\Utilities\DownloadLogsFromS3.py --loco 4001 --day 2017-08-12</v>
      </c>
      <c r="AN143" s="151" t="str">
        <f t="shared" si="52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04:36:10"},{"id":29,"name":"Sharepoint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846</v>
      </c>
      <c r="B144" s="7">
        <v>4032</v>
      </c>
      <c r="C144" s="21" t="s">
        <v>198</v>
      </c>
      <c r="D144" s="21" t="s">
        <v>452</v>
      </c>
      <c r="E144" s="13">
        <v>42959.881284722222</v>
      </c>
      <c r="F144" s="13">
        <v>42959.896458333336</v>
      </c>
      <c r="G144" s="7">
        <v>1</v>
      </c>
      <c r="H144" s="21" t="s">
        <v>911</v>
      </c>
      <c r="I144" s="13">
        <v>42959.922094907408</v>
      </c>
      <c r="J144" s="7">
        <v>0</v>
      </c>
      <c r="K144" s="89" t="str">
        <f t="shared" si="80"/>
        <v>4031/4032</v>
      </c>
      <c r="L144" s="21" t="str">
        <f>VLOOKUP(A144,'Trips&amp;Operators'!$C$1:$G$99999,5,FALSE)</f>
        <v>ZEWDU DEREJE</v>
      </c>
      <c r="M144" s="6">
        <f t="shared" si="81"/>
        <v>2.5636574071540963E-2</v>
      </c>
      <c r="N144" s="7">
        <f t="shared" si="82"/>
        <v>36.916666663018987</v>
      </c>
      <c r="O144" s="7"/>
      <c r="P144" s="7"/>
      <c r="Q144" s="22"/>
      <c r="R144" s="170"/>
      <c r="S144" s="213">
        <f t="shared" si="83"/>
        <v>1</v>
      </c>
      <c r="T144" s="195" t="str">
        <f t="shared" si="84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91"/>
        <v>https://d0f6bd738d7f1b3e5a7ca70fe4ff75f0.us-east-1.aws.found.io/app/kibana#/discover/Steve-Slow-Train-Analysis-(2080s-and-2083s)?_g=(refreshInterval:(display:Off,pause:!f,section:0,value:0),time:(from:'2017-08-12T20:09:03-0600',mode:absolute,to:'2017-08-12T23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4" s="197" t="str">
        <f>IF(AA144&lt;VLOOKUP(AG144,Variables!$AC$3:$AD$8,2,FALSE),"Y","N")</f>
        <v>N</v>
      </c>
      <c r="X144" s="197">
        <f t="shared" si="90"/>
        <v>1</v>
      </c>
      <c r="Y144" s="197">
        <f t="shared" si="85"/>
        <v>4.7300000000000002E-2</v>
      </c>
      <c r="Z144" s="197">
        <f t="shared" si="86"/>
        <v>23.334499999999998</v>
      </c>
      <c r="AA144" s="197">
        <f t="shared" si="87"/>
        <v>23.287199999999999</v>
      </c>
      <c r="AB144" s="54" t="e">
        <f>VLOOKUP(A144,Enforcements!$C$7:$K$12,8,0)</f>
        <v>#N/A</v>
      </c>
      <c r="AC144" s="51" t="e">
        <f>VLOOKUP(A144,Enforcements!$C$7:$E$12,3,0)</f>
        <v>#N/A</v>
      </c>
      <c r="AD144" s="206">
        <f t="shared" si="88"/>
        <v>231</v>
      </c>
      <c r="AE144" s="77" t="str">
        <f t="shared" si="92"/>
        <v>aws s3 cp s3://rtdc.mdm.uploadarchive.raw/RTDC4032/ "%USERPROFILE%\AppData\Local\Temp\OnboardLogs"\RTDC4032\2017-08-12 --exclude "*" --recursive --include "*20170812*" &amp; "%USERPROFILE%\Documents\GitHub\mrs-test-scripts\Headless Mode &amp; Sideloading\WalkAndUnGZ.bat" "%USERPROFILE%\AppData\Local\Temp\OnboardLogs"\RTDC4032\2017-08-12 &amp; aws s3 cp s3://rtdc.mdm.uploadarchive.raw/RTDC4032/ "%USERPROFILE%\AppData\Local\Temp\OnboardLogs"\RTDC4032\2017-08-13 --exclude "*" --recursive --include "*20170813*" &amp; "%USERPROFILE%\Documents\GitHub\mrs-test-scripts\Headless Mode &amp; Sideloading\WalkAndUnGZ.bat" "%USERPROFILE%\AppData\Local\Temp\OnboardLogs"\RTDC4032\2017-08-13</v>
      </c>
      <c r="AF144" s="74" t="str">
        <f t="shared" si="93"/>
        <v>"C:\Program Files (x86)\AstroGrep\AstroGrep.exe" /e /r /s /spath="%USERPROFILE%\AppData\Local\Temp\OnboardLogs" /stypes="app*4032*20170813*" /stext=" 04:.+((SYSTEM_STATE.+slice.+state.+changed )|(ment ac)|(multiple cpu faults)|(system.+state.+changed )|(\[timeout)|(PRM\|1\|D)|(kpr)|(kdp)|(train st.+moving)|(\|lc)|(penalty))"</v>
      </c>
      <c r="AG144" s="209" t="str">
        <f t="shared" si="89"/>
        <v>EC</v>
      </c>
      <c r="AH144" s="78" t="str">
        <f t="shared" ref="AH144:AH207" si="94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231-12 --locoid 4032 --swversion DE.1.0.9.0 --startMP 204:473 --initTime 2017-08-12T21:09:03 --startdatetime 2017-08-12T21:30:54 --delay 1 --endMP 204:233345 --enddatetime 2017-08-12T22:07:49 --enforcementcount 0 &gt;&gt;C:\Users\stu\Documents\GitHub\eaglep3-reporting\EC\2017-08-12-refined-times.txt</v>
      </c>
      <c r="AI144" s="96" t="str">
        <f t="shared" ref="AI144:AI207" si="95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{"issue":{"subject":"","project_id":79,"tracker_id":40,"status_id":1,"priority_id":2,"assigned_to_id":23,"start_date":"2017-08-12","description":"","custom_fields":[{"id":1,"name":"Subdivision","value":"EC"},{"id":4,"name":"Milepost","value":"23.3345"},{"id":17,"name":"Train ID","value":"231-12"},{"id":16,"name":"Locomotive ID","value":"4032"},{"id":130,"name":"Impact","value":""},{"id":150,"name":"Time of Event (Mountain Time)","value":"22:07:49"},{"id":151,"name":"Denver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207" si="96">"start /low /b "&amp;dls3logs&amp;" --loco "&amp;B144&amp;" --day "&amp;TEXT(F144,"YYYY-MM-DD")</f>
        <v>start /low /b %USERPROFILE%\Documents\GitHub\eaglep3\Utilities\DownloadLogsFromS3.py --loco 4032 --day 2017-08-12</v>
      </c>
      <c r="AN144" s="151" t="str">
        <f t="shared" ref="AN144:AN207" si="97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04:07:49"},{"id":29,"name":"Sharepoint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853</v>
      </c>
      <c r="B145" s="7">
        <v>4031</v>
      </c>
      <c r="C145" s="21" t="s">
        <v>198</v>
      </c>
      <c r="D145" s="21" t="s">
        <v>976</v>
      </c>
      <c r="E145" s="13">
        <v>42959.932997685188</v>
      </c>
      <c r="F145" s="13">
        <v>42959.935601851852</v>
      </c>
      <c r="G145" s="7">
        <v>1</v>
      </c>
      <c r="H145" s="21" t="s">
        <v>343</v>
      </c>
      <c r="I145" s="13">
        <v>42959.962592592594</v>
      </c>
      <c r="J145" s="7">
        <v>0</v>
      </c>
      <c r="K145" s="89" t="str">
        <f t="shared" si="80"/>
        <v>4031/4032</v>
      </c>
      <c r="L145" s="21" t="str">
        <f>VLOOKUP(A145,'Trips&amp;Operators'!$C$1:$G$99999,5,FALSE)</f>
        <v>ZEWDU DEREJE</v>
      </c>
      <c r="M145" s="6">
        <f t="shared" si="81"/>
        <v>2.6990740741894115E-2</v>
      </c>
      <c r="N145" s="7">
        <f t="shared" si="82"/>
        <v>38.866666668327525</v>
      </c>
      <c r="O145" s="7"/>
      <c r="P145" s="7"/>
      <c r="Q145" s="22"/>
      <c r="R145" s="170"/>
      <c r="S145" s="213">
        <f t="shared" si="83"/>
        <v>1</v>
      </c>
      <c r="T145" s="195" t="str">
        <f t="shared" si="84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91"/>
        <v>https://d0f6bd738d7f1b3e5a7ca70fe4ff75f0.us-east-1.aws.found.io/app/kibana#/discover/Steve-Slow-Train-Analysis-(2080s-and-2083s)?_g=(refreshInterval:(display:Off,pause:!f,section:0,value:0),time:(from:'2017-08-12T21:23:31-0600',mode:absolute,to:'2017-08-13T00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5" s="197" t="str">
        <f>IF(AA145&lt;VLOOKUP(AG145,Variables!$AC$3:$AD$8,2,FALSE),"Y","N")</f>
        <v>N</v>
      </c>
      <c r="X145" s="197">
        <f t="shared" si="90"/>
        <v>1</v>
      </c>
      <c r="Y145" s="197">
        <f t="shared" si="85"/>
        <v>23.304600000000001</v>
      </c>
      <c r="Z145" s="197">
        <f t="shared" si="86"/>
        <v>1.43E-2</v>
      </c>
      <c r="AA145" s="197">
        <f t="shared" si="87"/>
        <v>23.290300000000002</v>
      </c>
      <c r="AB145" s="54" t="e">
        <f>VLOOKUP(A145,Enforcements!$C$7:$K$12,8,0)</f>
        <v>#N/A</v>
      </c>
      <c r="AC145" s="51" t="e">
        <f>VLOOKUP(A145,Enforcements!$C$7:$E$12,3,0)</f>
        <v>#N/A</v>
      </c>
      <c r="AD145" s="206">
        <f t="shared" si="88"/>
        <v>232</v>
      </c>
      <c r="AE145" s="77" t="str">
        <f t="shared" si="92"/>
        <v>aws s3 cp s3://rtdc.mdm.uploadarchive.raw/RTDC4031/ "%USERPROFILE%\AppData\Local\Temp\OnboardLogs"\RTDC4031\2017-08-12 --exclude "*" --recursive --include "*20170812*" &amp; "%USERPROFILE%\Documents\GitHub\mrs-test-scripts\Headless Mode &amp; Sideloading\WalkAndUnGZ.bat" "%USERPROFILE%\AppData\Local\Temp\OnboardLogs"\RTDC4031\2017-08-12 &amp; aws s3 cp s3://rtdc.mdm.uploadarchive.raw/RTDC4031/ "%USERPROFILE%\AppData\Local\Temp\OnboardLogs"\RTDC4031\2017-08-13 --exclude "*" --recursive --include "*20170813*" &amp; "%USERPROFILE%\Documents\GitHub\mrs-test-scripts\Headless Mode &amp; Sideloading\WalkAndUnGZ.bat" "%USERPROFILE%\AppData\Local\Temp\OnboardLogs"\RTDC4031\2017-08-13</v>
      </c>
      <c r="AF145" s="74" t="str">
        <f t="shared" si="93"/>
        <v>"C:\Program Files (x86)\AstroGrep\AstroGrep.exe" /e /r /s /spath="%USERPROFILE%\AppData\Local\Temp\OnboardLogs" /stypes="app*4031*20170813*" /stext=" 05:.+((SYSTEM_STATE.+slice.+state.+changed )|(ment ac)|(multiple cpu faults)|(system.+state.+changed )|(\[timeout)|(PRM\|1\|D)|(kpr)|(kdp)|(train st.+moving)|(\|lc)|(penalty))"</v>
      </c>
      <c r="AG145" s="209" t="str">
        <f t="shared" si="89"/>
        <v>EC</v>
      </c>
      <c r="AH145" s="78" t="str">
        <f t="shared" si="94"/>
        <v>"%USERPROFILE%\Documents\GitHub\eaglep3\Utilities\RefineRTDCRunTimes.py" --tripid 232-12 --locoid 4031 --swversion DE.1.0.9.0 --startMP 204:233046 --initTime 2017-08-12T22:23:31 --startdatetime 2017-08-12T22:27:16 --delay 1 --endMP 204:143 --enddatetime 2017-08-12T23:06:08 --enforcementcount 0 &gt;&gt;C:\Users\stu\Documents\GitHub\eaglep3-reporting\EC\2017-08-12-refined-times.txt</v>
      </c>
      <c r="AI145" s="96" t="str">
        <f t="shared" si="95"/>
        <v>echo {"issue":{"subject":"","project_id":79,"tracker_id":40,"status_id":1,"priority_id":2,"assigned_to_id":23,"start_date":"2017-08-12","description":"","custom_fields":[{"id":1,"name":"Subdivision","value":"EC"},{"id":4,"name":"Milepost","value":"0.0143"},{"id":17,"name":"Train ID","value":"232-12"},{"id":16,"name":"Locomotive ID","value":"4031"},{"id":130,"name":"Impact","value":""},{"id":150,"name":"Time of Event (Mountain Time)","value":"23:06:08"},{"id":151,"name":"Denver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96"/>
        <v>start /low /b %USERPROFILE%\Documents\GitHub\eaglep3\Utilities\DownloadLogsFromS3.py --loco 4031 --day 2017-08-12</v>
      </c>
      <c r="AN145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05:06:08"},{"id":29,"name":"Sharepoint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658</v>
      </c>
      <c r="B146" s="7">
        <v>4050</v>
      </c>
      <c r="C146" s="21" t="s">
        <v>198</v>
      </c>
      <c r="D146" s="21" t="s">
        <v>616</v>
      </c>
      <c r="E146" s="13">
        <v>42959.904097222221</v>
      </c>
      <c r="F146" s="13">
        <v>42959.917187500003</v>
      </c>
      <c r="G146" s="7">
        <v>1</v>
      </c>
      <c r="H146" s="21" t="s">
        <v>527</v>
      </c>
      <c r="I146" s="13">
        <v>42959.941736111112</v>
      </c>
      <c r="J146" s="7">
        <v>0</v>
      </c>
      <c r="K146" s="89" t="str">
        <f t="shared" si="80"/>
        <v>4049/4050</v>
      </c>
      <c r="L146" s="21" t="str">
        <f>VLOOKUP(A146,'Trips&amp;Operators'!$C$1:$G$99999,5,FALSE)</f>
        <v>PERKINS DARREN</v>
      </c>
      <c r="M146" s="6">
        <f t="shared" si="81"/>
        <v>2.4548611108912155E-2</v>
      </c>
      <c r="N146" s="7">
        <f t="shared" si="82"/>
        <v>35.349999996833503</v>
      </c>
      <c r="O146" s="7"/>
      <c r="P146" s="7"/>
      <c r="Q146" s="22"/>
      <c r="R146" s="170"/>
      <c r="S146" s="213">
        <f t="shared" si="83"/>
        <v>1</v>
      </c>
      <c r="T146" s="195" t="str">
        <f t="shared" si="84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91"/>
        <v>https://d0f6bd738d7f1b3e5a7ca70fe4ff75f0.us-east-1.aws.found.io/app/kibana#/discover/Steve-Slow-Train-Analysis-(2080s-and-2083s)?_g=(refreshInterval:(display:Off,pause:!f,section:0,value:0),time:(from:'2017-08-12T20:41:54-0600',mode:absolute,to:'2017-08-12T23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6" s="197" t="str">
        <f>IF(AA146&lt;VLOOKUP(AG146,Variables!$AC$3:$AD$8,2,FALSE),"Y","N")</f>
        <v>N</v>
      </c>
      <c r="X146" s="197">
        <f t="shared" si="90"/>
        <v>1</v>
      </c>
      <c r="Y146" s="197">
        <f t="shared" si="85"/>
        <v>4.2700000000000002E-2</v>
      </c>
      <c r="Z146" s="197">
        <f t="shared" si="86"/>
        <v>23.334599999999998</v>
      </c>
      <c r="AA146" s="197">
        <f t="shared" si="87"/>
        <v>23.291899999999998</v>
      </c>
      <c r="AB146" s="54" t="e">
        <f>VLOOKUP(A146,Enforcements!$C$7:$K$12,8,0)</f>
        <v>#N/A</v>
      </c>
      <c r="AC146" s="51" t="e">
        <f>VLOOKUP(A146,Enforcements!$C$7:$E$12,3,0)</f>
        <v>#N/A</v>
      </c>
      <c r="AD146" s="206">
        <f t="shared" si="88"/>
        <v>233</v>
      </c>
      <c r="AE146" s="77" t="str">
        <f t="shared" si="92"/>
        <v>aws s3 cp s3://rtdc.mdm.uploadarchive.raw/RTDC4050/ "%USERPROFILE%\AppData\Local\Temp\OnboardLogs"\RTDC4050\2017-08-12 --exclude "*" --recursive --include "*20170812*" &amp; "%USERPROFILE%\Documents\GitHub\mrs-test-scripts\Headless Mode &amp; Sideloading\WalkAndUnGZ.bat" "%USERPROFILE%\AppData\Local\Temp\OnboardLogs"\RTDC4050\2017-08-12 &amp; aws s3 cp s3://rtdc.mdm.uploadarchive.raw/RTDC4050/ "%USERPROFILE%\AppData\Local\Temp\OnboardLogs"\RTDC4050\2017-08-13 --exclude "*" --recursive --include "*20170813*" &amp; "%USERPROFILE%\Documents\GitHub\mrs-test-scripts\Headless Mode &amp; Sideloading\WalkAndUnGZ.bat" "%USERPROFILE%\AppData\Local\Temp\OnboardLogs"\RTDC4050\2017-08-13</v>
      </c>
      <c r="AF146" s="74" t="str">
        <f t="shared" si="93"/>
        <v>"C:\Program Files (x86)\AstroGrep\AstroGrep.exe" /e /r /s /spath="%USERPROFILE%\AppData\Local\Temp\OnboardLogs" /stypes="app*4050*20170813*" /stext=" 04:.+((SYSTEM_STATE.+slice.+state.+changed )|(ment ac)|(multiple cpu faults)|(system.+state.+changed )|(\[timeout)|(PRM\|1\|D)|(kpr)|(kdp)|(train st.+moving)|(\|lc)|(penalty))"</v>
      </c>
      <c r="AG146" s="209" t="str">
        <f t="shared" si="89"/>
        <v>EC</v>
      </c>
      <c r="AH146" s="78" t="str">
        <f t="shared" si="94"/>
        <v>"%USERPROFILE%\Documents\GitHub\eaglep3\Utilities\RefineRTDCRunTimes.py" --tripid 233-12 --locoid 4050 --swversion DE.1.0.9.0 --startMP 204:427 --initTime 2017-08-12T21:41:54 --startdatetime 2017-08-12T22:00:45 --delay 1 --endMP 204:233346 --enddatetime 2017-08-12T22:36:06 --enforcementcount 0 &gt;&gt;C:\Users\stu\Documents\GitHub\eaglep3-reporting\EC\2017-08-12-refined-times.txt</v>
      </c>
      <c r="AI146" s="96" t="str">
        <f t="shared" si="95"/>
        <v>echo {"issue":{"subject":"","project_id":79,"tracker_id":40,"status_id":1,"priority_id":2,"assigned_to_id":23,"start_date":"2017-08-12","description":"","custom_fields":[{"id":1,"name":"Subdivision","value":"EC"},{"id":4,"name":"Milepost","value":"23.3346"},{"id":17,"name":"Train ID","value":"233-12"},{"id":16,"name":"Locomotive ID","value":"4050"},{"id":130,"name":"Impact","value":""},{"id":150,"name":"Time of Event (Mountain Time)","value":"22:36:06"},{"id":151,"name":"Denver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96"/>
        <v>start /low /b %USERPROFILE%\Documents\GitHub\eaglep3\Utilities\DownloadLogsFromS3.py --loco 4050 --day 2017-08-12</v>
      </c>
      <c r="AN146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04:36:06"},{"id":29,"name":"Sharepoint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855</v>
      </c>
      <c r="B147" s="7">
        <v>4049</v>
      </c>
      <c r="C147" s="21" t="s">
        <v>198</v>
      </c>
      <c r="D147" s="21" t="s">
        <v>871</v>
      </c>
      <c r="E147" s="13">
        <v>42959.947222222225</v>
      </c>
      <c r="F147" s="13">
        <v>42959.956469907411</v>
      </c>
      <c r="G147" s="7">
        <v>1</v>
      </c>
      <c r="H147" s="21" t="s">
        <v>977</v>
      </c>
      <c r="I147" s="13">
        <v>42959.98364583333</v>
      </c>
      <c r="J147" s="7">
        <v>0</v>
      </c>
      <c r="K147" s="89" t="str">
        <f t="shared" si="80"/>
        <v>4049/4050</v>
      </c>
      <c r="L147" s="21" t="str">
        <f>VLOOKUP(A147,'Trips&amp;Operators'!$C$1:$G$99999,5,FALSE)</f>
        <v>PERKINS DARREN</v>
      </c>
      <c r="M147" s="6">
        <f t="shared" si="81"/>
        <v>2.717592591943685E-2</v>
      </c>
      <c r="N147" s="7">
        <f t="shared" si="82"/>
        <v>39.133333323989064</v>
      </c>
      <c r="O147" s="7"/>
      <c r="P147" s="7"/>
      <c r="Q147" s="22"/>
      <c r="R147" s="170"/>
      <c r="S147" s="213">
        <f t="shared" si="83"/>
        <v>1</v>
      </c>
      <c r="T147" s="195" t="str">
        <f t="shared" si="84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91"/>
        <v>https://d0f6bd738d7f1b3e5a7ca70fe4ff75f0.us-east-1.aws.found.io/app/kibana#/discover/Steve-Slow-Train-Analysis-(2080s-and-2083s)?_g=(refreshInterval:(display:Off,pause:!f,section:0,value:0),time:(from:'2017-08-12T21:44:00-0600',mode:absolute,to:'2017-08-13T00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7" s="197" t="str">
        <f>IF(AA147&lt;VLOOKUP(AG147,Variables!$AC$3:$AD$8,2,FALSE),"Y","N")</f>
        <v>N</v>
      </c>
      <c r="X147" s="197">
        <f t="shared" si="90"/>
        <v>1</v>
      </c>
      <c r="Y147" s="197">
        <f t="shared" si="85"/>
        <v>23.301100000000002</v>
      </c>
      <c r="Z147" s="197">
        <f t="shared" si="86"/>
        <v>1.23E-2</v>
      </c>
      <c r="AA147" s="197">
        <f t="shared" si="87"/>
        <v>23.288800000000002</v>
      </c>
      <c r="AB147" s="54" t="e">
        <f>VLOOKUP(A147,Enforcements!$C$7:$K$12,8,0)</f>
        <v>#N/A</v>
      </c>
      <c r="AC147" s="51" t="e">
        <f>VLOOKUP(A147,Enforcements!$C$7:$E$12,3,0)</f>
        <v>#N/A</v>
      </c>
      <c r="AD147" s="206">
        <f t="shared" si="88"/>
        <v>234</v>
      </c>
      <c r="AE147" s="77" t="str">
        <f t="shared" si="92"/>
        <v>aws s3 cp s3://rtdc.mdm.uploadarchive.raw/RTDC4049/ "%USERPROFILE%\AppData\Local\Temp\OnboardLogs"\RTDC4049\2017-08-12 --exclude "*" --recursive --include "*20170812*" &amp; "%USERPROFILE%\Documents\GitHub\mrs-test-scripts\Headless Mode &amp; Sideloading\WalkAndUnGZ.bat" "%USERPROFILE%\AppData\Local\Temp\OnboardLogs"\RTDC4049\2017-08-12 &amp; aws s3 cp s3://rtdc.mdm.uploadarchive.raw/RTDC4049/ "%USERPROFILE%\AppData\Local\Temp\OnboardLogs"\RTDC4049\2017-08-13 --exclude "*" --recursive --include "*20170813*" &amp; "%USERPROFILE%\Documents\GitHub\mrs-test-scripts\Headless Mode &amp; Sideloading\WalkAndUnGZ.bat" "%USERPROFILE%\AppData\Local\Temp\OnboardLogs"\RTDC4049\2017-08-13</v>
      </c>
      <c r="AF147" s="74" t="str">
        <f t="shared" si="93"/>
        <v>"C:\Program Files (x86)\AstroGrep\AstroGrep.exe" /e /r /s /spath="%USERPROFILE%\AppData\Local\Temp\OnboardLogs" /stypes="app*4049*20170813*" /stext=" 05:.+((SYSTEM_STATE.+slice.+state.+changed )|(ment ac)|(multiple cpu faults)|(system.+state.+changed )|(\[timeout)|(PRM\|1\|D)|(kpr)|(kdp)|(train st.+moving)|(\|lc)|(penalty))"</v>
      </c>
      <c r="AG147" s="209" t="str">
        <f t="shared" si="89"/>
        <v>EC</v>
      </c>
      <c r="AH147" s="78" t="str">
        <f t="shared" si="94"/>
        <v>"%USERPROFILE%\Documents\GitHub\eaglep3\Utilities\RefineRTDCRunTimes.py" --tripid 234-12 --locoid 4049 --swversion DE.1.0.9.0 --startMP 204:233011 --initTime 2017-08-12T22:44:00 --startdatetime 2017-08-12T22:57:19 --delay 1 --endMP 204:123 --enddatetime 2017-08-12T23:36:27 --enforcementcount 0 &gt;&gt;C:\Users\stu\Documents\GitHub\eaglep3-reporting\EC\2017-08-12-refined-times.txt</v>
      </c>
      <c r="AI147" s="96" t="str">
        <f t="shared" si="95"/>
        <v>echo {"issue":{"subject":"","project_id":79,"tracker_id":40,"status_id":1,"priority_id":2,"assigned_to_id":23,"start_date":"2017-08-12","description":"","custom_fields":[{"id":1,"name":"Subdivision","value":"EC"},{"id":4,"name":"Milepost","value":"0.0123"},{"id":17,"name":"Train ID","value":"234-12"},{"id":16,"name":"Locomotive ID","value":"4049"},{"id":130,"name":"Impact","value":""},{"id":150,"name":"Time of Event (Mountain Time)","value":"23:36:27"},{"id":151,"name":"Denver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96"/>
        <v>start /low /b %USERPROFILE%\Documents\GitHub\eaglep3\Utilities\DownloadLogsFromS3.py --loco 4049 --day 2017-08-12</v>
      </c>
      <c r="AN147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05:36:27"},{"id":29,"name":"Sharepoint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852</v>
      </c>
      <c r="B148" s="7">
        <v>4016</v>
      </c>
      <c r="C148" s="21" t="s">
        <v>198</v>
      </c>
      <c r="D148" s="21" t="s">
        <v>613</v>
      </c>
      <c r="E148" s="13">
        <v>42959.925729166665</v>
      </c>
      <c r="F148" s="13">
        <v>42959.938043981485</v>
      </c>
      <c r="G148" s="7">
        <v>0</v>
      </c>
      <c r="H148" s="21" t="s">
        <v>978</v>
      </c>
      <c r="I148" s="13">
        <v>42959.963460648149</v>
      </c>
      <c r="J148" s="7">
        <v>0</v>
      </c>
      <c r="K148" s="89" t="str">
        <f t="shared" si="80"/>
        <v>4015/4016</v>
      </c>
      <c r="L148" s="21" t="str">
        <f>VLOOKUP(A148,'Trips&amp;Operators'!$C$1:$G$99999,5,FALSE)</f>
        <v>FORTUNATO FRANK</v>
      </c>
      <c r="M148" s="6">
        <f t="shared" si="81"/>
        <v>2.5416666663659271E-2</v>
      </c>
      <c r="N148" s="7">
        <f t="shared" si="82"/>
        <v>36.59999999566935</v>
      </c>
      <c r="O148" s="7"/>
      <c r="P148" s="7"/>
      <c r="Q148" s="22"/>
      <c r="R148" s="170"/>
      <c r="S148" s="213">
        <f t="shared" si="83"/>
        <v>1</v>
      </c>
      <c r="T148" s="195" t="str">
        <f t="shared" si="84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91"/>
        <v>https://d0f6bd738d7f1b3e5a7ca70fe4ff75f0.us-east-1.aws.found.io/app/kibana#/discover/Steve-Slow-Train-Analysis-(2080s-and-2083s)?_g=(refreshInterval:(display:Off,pause:!f,section:0,value:0),time:(from:'2017-08-12T21:13:03-0600',mode:absolute,to:'2017-08-13T00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8" s="197" t="str">
        <f>IF(AA148&lt;VLOOKUP(AG148,Variables!$AC$3:$AD$8,2,FALSE),"Y","N")</f>
        <v>N</v>
      </c>
      <c r="X148" s="197">
        <f t="shared" si="90"/>
        <v>1</v>
      </c>
      <c r="Y148" s="197">
        <f t="shared" si="85"/>
        <v>4.3299999999999998E-2</v>
      </c>
      <c r="Z148" s="197">
        <f t="shared" si="86"/>
        <v>23.332699999999999</v>
      </c>
      <c r="AA148" s="197">
        <f t="shared" si="87"/>
        <v>23.289400000000001</v>
      </c>
      <c r="AB148" s="54" t="e">
        <f>VLOOKUP(A148,Enforcements!$C$7:$K$12,8,0)</f>
        <v>#N/A</v>
      </c>
      <c r="AC148" s="51" t="e">
        <f>VLOOKUP(A148,Enforcements!$C$7:$E$12,3,0)</f>
        <v>#N/A</v>
      </c>
      <c r="AD148" s="206">
        <f t="shared" si="88"/>
        <v>235</v>
      </c>
      <c r="AE148" s="77" t="str">
        <f t="shared" si="92"/>
        <v>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 &amp; 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</v>
      </c>
      <c r="AF148" s="74" t="str">
        <f t="shared" si="93"/>
        <v>"C:\Program Files (x86)\AstroGrep\AstroGrep.exe" /e /r /s /spath="%USERPROFILE%\AppData\Local\Temp\OnboardLogs" /stypes="app*4016*20170813*" /stext=" 05:.+((SYSTEM_STATE.+slice.+state.+changed )|(ment ac)|(multiple cpu faults)|(system.+state.+changed )|(\[timeout)|(PRM\|1\|D)|(kpr)|(kdp)|(train st.+moving)|(\|lc)|(penalty))"</v>
      </c>
      <c r="AG148" s="209" t="str">
        <f t="shared" si="89"/>
        <v>EC</v>
      </c>
      <c r="AH148" s="78" t="str">
        <f t="shared" si="94"/>
        <v>"%USERPROFILE%\Documents\GitHub\eaglep3\Utilities\RefineRTDCRunTimes.py" --tripid 235-12 --locoid 4016 --swversion DE.1.0.9.0 --startMP 204:433 --initTime 2017-08-12T22:13:03 --startdatetime 2017-08-12T22:30:47 --delay 0 --endMP 204:233327 --enddatetime 2017-08-12T23:07:23 --enforcementcount 0 &gt;&gt;C:\Users\stu\Documents\GitHub\eaglep3-reporting\EC\2017-08-12-refined-times.txt</v>
      </c>
      <c r="AI148" s="96" t="str">
        <f t="shared" si="95"/>
        <v>echo {"issue":{"subject":"","project_id":79,"tracker_id":40,"status_id":1,"priority_id":2,"assigned_to_id":23,"start_date":"2017-08-12","description":"","custom_fields":[{"id":1,"name":"Subdivision","value":"EC"},{"id":4,"name":"Milepost","value":"23.3327"},{"id":17,"name":"Train ID","value":"235-12"},{"id":16,"name":"Locomotive ID","value":"4016"},{"id":130,"name":"Impact","value":""},{"id":150,"name":"Time of Event (Mountain Time)","value":"23:07:23"},{"id":151,"name":"Denver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96"/>
        <v>start /low /b %USERPROFILE%\Documents\GitHub\eaglep3\Utilities\DownloadLogsFromS3.py --loco 4016 --day 2017-08-12</v>
      </c>
      <c r="AN148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05:07:23"},{"id":29,"name":"Sharepoint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857</v>
      </c>
      <c r="B149" s="7">
        <v>4015</v>
      </c>
      <c r="C149" s="21" t="s">
        <v>198</v>
      </c>
      <c r="D149" s="21" t="s">
        <v>979</v>
      </c>
      <c r="E149" s="13">
        <v>42959.964895833335</v>
      </c>
      <c r="F149" s="13">
        <v>42959.977233796293</v>
      </c>
      <c r="G149" s="7">
        <v>1</v>
      </c>
      <c r="H149" s="21" t="s">
        <v>562</v>
      </c>
      <c r="I149" s="13">
        <v>42960.003206018519</v>
      </c>
      <c r="J149" s="7">
        <v>0</v>
      </c>
      <c r="K149" s="89" t="str">
        <f t="shared" si="80"/>
        <v>4015/4016</v>
      </c>
      <c r="L149" s="21" t="str">
        <f>VLOOKUP(A149,'Trips&amp;Operators'!$C$1:$G$99999,5,FALSE)</f>
        <v>FORTUNATO FRANK</v>
      </c>
      <c r="M149" s="6">
        <f t="shared" si="81"/>
        <v>2.5972222225391306E-2</v>
      </c>
      <c r="N149" s="7">
        <f t="shared" si="82"/>
        <v>37.400000004563481</v>
      </c>
      <c r="O149" s="7"/>
      <c r="P149" s="7"/>
      <c r="Q149" s="22"/>
      <c r="R149" s="170"/>
      <c r="S149" s="213">
        <f t="shared" si="83"/>
        <v>1</v>
      </c>
      <c r="T149" s="195" t="str">
        <f t="shared" si="84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91"/>
        <v>https://d0f6bd738d7f1b3e5a7ca70fe4ff75f0.us-east-1.aws.found.io/app/kibana#/discover/Steve-Slow-Train-Analysis-(2080s-and-2083s)?_g=(refreshInterval:(display:Off,pause:!f,section:0,value:0),time:(from:'2017-08-12T22:09:27-0600',mode:absolute,to:'2017-08-13T01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9" s="197" t="str">
        <f>IF(AA149&lt;VLOOKUP(AG149,Variables!$AC$3:$AD$8,2,FALSE),"Y","N")</f>
        <v>N</v>
      </c>
      <c r="X149" s="197">
        <f t="shared" si="90"/>
        <v>1</v>
      </c>
      <c r="Y149" s="197">
        <f t="shared" si="85"/>
        <v>23.3017</v>
      </c>
      <c r="Z149" s="197">
        <f t="shared" si="86"/>
        <v>1.3599999999999999E-2</v>
      </c>
      <c r="AA149" s="197">
        <f t="shared" si="87"/>
        <v>23.2881</v>
      </c>
      <c r="AB149" s="54" t="e">
        <f>VLOOKUP(A149,Enforcements!$C$7:$K$12,8,0)</f>
        <v>#N/A</v>
      </c>
      <c r="AC149" s="51" t="e">
        <f>VLOOKUP(A149,Enforcements!$C$7:$E$12,3,0)</f>
        <v>#N/A</v>
      </c>
      <c r="AD149" s="206">
        <f t="shared" si="88"/>
        <v>236</v>
      </c>
      <c r="AE149" s="77" t="str">
        <f t="shared" si="92"/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AF149" s="74" t="str">
        <f t="shared" si="93"/>
        <v>"C:\Program Files (x86)\AstroGrep\AstroGrep.exe" /e /r /s /spath="%USERPROFILE%\AppData\Local\Temp\OnboardLogs" /stypes="app*4015*20170813*" /stext=" 06:.+((SYSTEM_STATE.+slice.+state.+changed )|(ment ac)|(multiple cpu faults)|(system.+state.+changed )|(\[timeout)|(PRM\|1\|D)|(kpr)|(kdp)|(train st.+moving)|(\|lc)|(penalty))"</v>
      </c>
      <c r="AG149" s="209" t="str">
        <f t="shared" si="89"/>
        <v>EC</v>
      </c>
      <c r="AH149" s="78" t="str">
        <f t="shared" si="94"/>
        <v>"%USERPROFILE%\Documents\GitHub\eaglep3\Utilities\RefineRTDCRunTimes.py" --tripid 236-12 --locoid 4015 --swversion DE.1.0.9.0 --startMP 204:233017 --initTime 2017-08-12T23:09:27 --startdatetime 2017-08-12T23:27:13 --delay 1 --endMP 204:136 --enddatetime 2017-08-13T00:04:37 --enforcementcount 0 &gt;&gt;C:\Users\stu\Documents\GitHub\eaglep3-reporting\EC\2017-08-12-refined-times.txt</v>
      </c>
      <c r="AI149" s="96" t="str">
        <f t="shared" si="95"/>
        <v>echo {"issue":{"subject":"","project_id":79,"tracker_id":40,"status_id":1,"priority_id":2,"assigned_to_id":23,"start_date":"2017-08-13","description":"","custom_fields":[{"id":1,"name":"Subdivision","value":"EC"},{"id":4,"name":"Milepost","value":"0.0136"},{"id":17,"name":"Train ID","value":"236-12"},{"id":16,"name":"Locomotive ID","value":"4015"},{"id":130,"name":"Impact","value":""},{"id":150,"name":"Time of Event (Mountain Time)","value":"00:04:37"},{"id":151,"name":"Denver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96"/>
        <v>start /low /b %USERPROFILE%\Documents\GitHub\eaglep3\Utilities\DownloadLogsFromS3.py --loco 4015 --day 2017-08-12</v>
      </c>
      <c r="AN149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06:04:37"},{"id":29,"name":"Sharepoint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856</v>
      </c>
      <c r="B150" s="7">
        <v>4002</v>
      </c>
      <c r="C150" s="21" t="s">
        <v>198</v>
      </c>
      <c r="D150" s="21" t="s">
        <v>346</v>
      </c>
      <c r="E150" s="13">
        <v>42959.956423611111</v>
      </c>
      <c r="F150" s="13">
        <v>42959.959074074075</v>
      </c>
      <c r="G150" s="7">
        <v>2</v>
      </c>
      <c r="H150" s="21" t="s">
        <v>526</v>
      </c>
      <c r="I150" s="13">
        <v>42959.983958333331</v>
      </c>
      <c r="J150" s="7">
        <v>0</v>
      </c>
      <c r="K150" s="89" t="str">
        <f t="shared" si="80"/>
        <v>4001/4002</v>
      </c>
      <c r="L150" s="21" t="str">
        <f>VLOOKUP(A150,'Trips&amp;Operators'!$C$1:$G$99999,5,FALSE)</f>
        <v>LAMAR NEKESHA</v>
      </c>
      <c r="M150" s="6">
        <f t="shared" si="81"/>
        <v>2.488425925548654E-2</v>
      </c>
      <c r="N150" s="7">
        <f t="shared" si="82"/>
        <v>35.833333327900618</v>
      </c>
      <c r="O150" s="7"/>
      <c r="P150" s="7"/>
      <c r="Q150" s="22"/>
      <c r="R150" s="170"/>
      <c r="S150" s="213">
        <f t="shared" si="83"/>
        <v>1</v>
      </c>
      <c r="T150" s="195" t="str">
        <f t="shared" si="84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91"/>
        <v>https://d0f6bd738d7f1b3e5a7ca70fe4ff75f0.us-east-1.aws.found.io/app/kibana#/discover/Steve-Slow-Train-Analysis-(2080s-and-2083s)?_g=(refreshInterval:(display:Off,pause:!f,section:0,value:0),time:(from:'2017-08-12T21:57:15-0600',mode:absolute,to:'2017-08-13T00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197" t="str">
        <f>IF(AA150&lt;VLOOKUP(AG150,Variables!$AC$3:$AD$8,2,FALSE),"Y","N")</f>
        <v>N</v>
      </c>
      <c r="X150" s="197">
        <f t="shared" si="90"/>
        <v>1</v>
      </c>
      <c r="Y150" s="197">
        <f t="shared" si="85"/>
        <v>4.53E-2</v>
      </c>
      <c r="Z150" s="197">
        <f t="shared" si="86"/>
        <v>23.329499999999999</v>
      </c>
      <c r="AA150" s="197">
        <f t="shared" si="87"/>
        <v>23.284199999999998</v>
      </c>
      <c r="AB150" s="54" t="e">
        <f>VLOOKUP(A150,Enforcements!$C$7:$K$12,8,0)</f>
        <v>#N/A</v>
      </c>
      <c r="AC150" s="51" t="e">
        <f>VLOOKUP(A150,Enforcements!$C$7:$E$12,3,0)</f>
        <v>#N/A</v>
      </c>
      <c r="AD150" s="206">
        <f t="shared" si="88"/>
        <v>237</v>
      </c>
      <c r="AE150" s="77" t="str">
        <f t="shared" si="92"/>
        <v>aws s3 cp s3://rtdc.mdm.uploadarchive.raw/RTDC4002/ "%USERPROFILE%\AppData\Local\Temp\OnboardLogs"\RTDC4002\2017-08-12 --exclude "*" --recursive --include "*20170812*" &amp; "%USERPROFILE%\Documents\GitHub\mrs-test-scripts\Headless Mode &amp; Sideloading\WalkAndUnGZ.bat" "%USERPROFILE%\AppData\Local\Temp\OnboardLogs"\RTDC4002\2017-08-12 &amp; aws s3 cp s3://rtdc.mdm.uploadarchive.raw/RTDC4002/ "%USERPROFILE%\AppData\Local\Temp\OnboardLogs"\RTDC4002\2017-08-13 --exclude "*" --recursive --include "*20170813*" &amp; "%USERPROFILE%\Documents\GitHub\mrs-test-scripts\Headless Mode &amp; Sideloading\WalkAndUnGZ.bat" "%USERPROFILE%\AppData\Local\Temp\OnboardLogs"\RTDC4002\2017-08-13</v>
      </c>
      <c r="AF150" s="74" t="str">
        <f t="shared" si="93"/>
        <v>"C:\Program Files (x86)\AstroGrep\AstroGrep.exe" /e /r /s /spath="%USERPROFILE%\AppData\Local\Temp\OnboardLogs" /stypes="app*4002*20170813*" /stext=" 05:.+((SYSTEM_STATE.+slice.+state.+changed )|(ment ac)|(multiple cpu faults)|(system.+state.+changed )|(\[timeout)|(PRM\|1\|D)|(kpr)|(kdp)|(train st.+moving)|(\|lc)|(penalty))"</v>
      </c>
      <c r="AG150" s="209" t="str">
        <f t="shared" si="89"/>
        <v>EC</v>
      </c>
      <c r="AH150" s="78" t="str">
        <f t="shared" si="94"/>
        <v>"%USERPROFILE%\Documents\GitHub\eaglep3\Utilities\RefineRTDCRunTimes.py" --tripid 237-12 --locoid 4002 --swversion DE.1.0.9.0 --startMP 204:453 --initTime 2017-08-12T22:57:15 --startdatetime 2017-08-12T23:01:04 --delay 2 --endMP 204:233295 --enddatetime 2017-08-12T23:36:54 --enforcementcount 0 &gt;&gt;C:\Users\stu\Documents\GitHub\eaglep3-reporting\EC\2017-08-12-refined-times.txt</v>
      </c>
      <c r="AI150" s="96" t="str">
        <f t="shared" si="95"/>
        <v>echo {"issue":{"subject":"","project_id":79,"tracker_id":40,"status_id":1,"priority_id":2,"assigned_to_id":23,"start_date":"2017-08-12","description":"","custom_fields":[{"id":1,"name":"Subdivision","value":"EC"},{"id":4,"name":"Milepost","value":"23.3295"},{"id":17,"name":"Train ID","value":"237-12"},{"id":16,"name":"Locomotive ID","value":"4002"},{"id":130,"name":"Impact","value":""},{"id":150,"name":"Time of Event (Mountain Time)","value":"23:36:54"},{"id":151,"name":"Denver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96"/>
        <v>start /low /b %USERPROFILE%\Documents\GitHub\eaglep3\Utilities\DownloadLogsFromS3.py --loco 4002 --day 2017-08-12</v>
      </c>
      <c r="AN150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05:36:54"},{"id":29,"name":"Sharepoint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860</v>
      </c>
      <c r="B151" s="7">
        <v>4001</v>
      </c>
      <c r="C151" s="21" t="s">
        <v>198</v>
      </c>
      <c r="D151" s="21" t="s">
        <v>601</v>
      </c>
      <c r="E151" s="13">
        <v>42959.991527777776</v>
      </c>
      <c r="F151" s="13">
        <v>42959.998206018521</v>
      </c>
      <c r="G151" s="7">
        <v>8</v>
      </c>
      <c r="H151" s="21" t="s">
        <v>468</v>
      </c>
      <c r="I151" s="13">
        <v>42960.024131944447</v>
      </c>
      <c r="J151" s="7">
        <v>0</v>
      </c>
      <c r="K151" s="89" t="str">
        <f t="shared" si="80"/>
        <v>4001/4002</v>
      </c>
      <c r="L151" s="21" t="str">
        <f>VLOOKUP(A151,'Trips&amp;Operators'!$C$1:$G$99999,5,FALSE)</f>
        <v>LAMAR NEKESHA</v>
      </c>
      <c r="M151" s="6">
        <f t="shared" si="81"/>
        <v>2.5925925925548654E-2</v>
      </c>
      <c r="N151" s="7">
        <f t="shared" si="82"/>
        <v>37.333333332790062</v>
      </c>
      <c r="O151" s="7"/>
      <c r="P151" s="7"/>
      <c r="Q151" s="22"/>
      <c r="R151" s="170"/>
      <c r="S151" s="213">
        <f t="shared" si="83"/>
        <v>1</v>
      </c>
      <c r="T151" s="195" t="str">
        <f t="shared" si="84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91"/>
        <v>https://d0f6bd738d7f1b3e5a7ca70fe4ff75f0.us-east-1.aws.found.io/app/kibana#/discover/Steve-Slow-Train-Analysis-(2080s-and-2083s)?_g=(refreshInterval:(display:Off,pause:!f,section:0,value:0),time:(from:'2017-08-12T22:47:48-0600',mode:absolute,to:'2017-08-13T01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197" t="str">
        <f>IF(AA151&lt;VLOOKUP(AG151,Variables!$AC$3:$AD$8,2,FALSE),"Y","N")</f>
        <v>N</v>
      </c>
      <c r="X151" s="197">
        <f t="shared" si="90"/>
        <v>1</v>
      </c>
      <c r="Y151" s="197">
        <f t="shared" si="85"/>
        <v>23.298400000000001</v>
      </c>
      <c r="Z151" s="197">
        <f t="shared" si="86"/>
        <v>1.5599999999999999E-2</v>
      </c>
      <c r="AA151" s="197">
        <f t="shared" si="87"/>
        <v>23.282800000000002</v>
      </c>
      <c r="AB151" s="54" t="e">
        <f>VLOOKUP(A151,Enforcements!$C$7:$K$12,8,0)</f>
        <v>#N/A</v>
      </c>
      <c r="AC151" s="51" t="e">
        <f>VLOOKUP(A151,Enforcements!$C$7:$E$12,3,0)</f>
        <v>#N/A</v>
      </c>
      <c r="AD151" s="206">
        <f t="shared" si="88"/>
        <v>238</v>
      </c>
      <c r="AE151" s="77" t="str">
        <f t="shared" si="92"/>
        <v>aws s3 cp s3://rtdc.mdm.uploadarchive.raw/RTDC4001/ "%USERPROFILE%\AppData\Local\Temp\OnboardLogs"\RTDC4001\2017-08-12 --exclude "*" --recursive --include "*20170812*" &amp; "%USERPROFILE%\Documents\GitHub\mrs-test-scripts\Headless Mode &amp; Sideloading\WalkAndUnGZ.bat" "%USERPROFILE%\AppData\Local\Temp\OnboardLogs"\RTDC4001\2017-08-12 &amp; aws s3 cp s3://rtdc.mdm.uploadarchive.raw/RTDC4001/ "%USERPROFILE%\AppData\Local\Temp\OnboardLogs"\RTDC4001\2017-08-13 --exclude "*" --recursive --include "*20170813*" &amp; "%USERPROFILE%\Documents\GitHub\mrs-test-scripts\Headless Mode &amp; Sideloading\WalkAndUnGZ.bat" "%USERPROFILE%\AppData\Local\Temp\OnboardLogs"\RTDC4001\2017-08-13</v>
      </c>
      <c r="AF151" s="74" t="str">
        <f t="shared" si="93"/>
        <v>"C:\Program Files (x86)\AstroGrep\AstroGrep.exe" /e /r /s /spath="%USERPROFILE%\AppData\Local\Temp\OnboardLogs" /stypes="app*4001*20170813*" /stext=" 06:.+((SYSTEM_STATE.+slice.+state.+changed )|(ment ac)|(multiple cpu faults)|(system.+state.+changed )|(\[timeout)|(PRM\|1\|D)|(kpr)|(kdp)|(train st.+moving)|(\|lc)|(penalty))"</v>
      </c>
      <c r="AG151" s="209" t="str">
        <f t="shared" si="89"/>
        <v>EC</v>
      </c>
      <c r="AH151" s="78" t="str">
        <f t="shared" si="94"/>
        <v>"%USERPROFILE%\Documents\GitHub\eaglep3\Utilities\RefineRTDCRunTimes.py" --tripid 238-12 --locoid 4001 --swversion DE.1.0.9.0 --startMP 204:232984 --initTime 2017-08-12T23:47:48 --startdatetime 2017-08-12T23:57:25 --delay 8 --endMP 204:156 --enddatetime 2017-08-13T00:34:45 --enforcementcount 0 &gt;&gt;C:\Users\stu\Documents\GitHub\eaglep3-reporting\EC\2017-08-12-refined-times.txt</v>
      </c>
      <c r="AI151" s="96" t="str">
        <f t="shared" si="95"/>
        <v>echo {"issue":{"subject":"","project_id":79,"tracker_id":40,"status_id":1,"priority_id":2,"assigned_to_id":23,"start_date":"2017-08-13","description":"","custom_fields":[{"id":1,"name":"Subdivision","value":"EC"},{"id":4,"name":"Milepost","value":"0.0156"},{"id":17,"name":"Train ID","value":"238-12"},{"id":16,"name":"Locomotive ID","value":"4001"},{"id":130,"name":"Impact","value":""},{"id":150,"name":"Time of Event (Mountain Time)","value":"00:34:45"},{"id":151,"name":"Denver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96"/>
        <v>start /low /b %USERPROFILE%\Documents\GitHub\eaglep3\Utilities\DownloadLogsFromS3.py --loco 4001 --day 2017-08-12</v>
      </c>
      <c r="AN151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06:34:45"},{"id":29,"name":"Sharepoint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858</v>
      </c>
      <c r="B152" s="7">
        <v>4032</v>
      </c>
      <c r="C152" s="21" t="s">
        <v>198</v>
      </c>
      <c r="D152" s="21" t="s">
        <v>557</v>
      </c>
      <c r="E152" s="13">
        <v>42959.974120370367</v>
      </c>
      <c r="F152" s="13">
        <v>42959.979745370372</v>
      </c>
      <c r="G152" s="7">
        <v>1</v>
      </c>
      <c r="H152" s="21" t="s">
        <v>882</v>
      </c>
      <c r="I152" s="13">
        <v>42960.004791666666</v>
      </c>
      <c r="J152" s="7">
        <v>0</v>
      </c>
      <c r="K152" s="89" t="str">
        <f t="shared" si="80"/>
        <v>4031/4032</v>
      </c>
      <c r="L152" s="21" t="str">
        <f>VLOOKUP(A152,'Trips&amp;Operators'!$C$1:$G$99999,5,FALSE)</f>
        <v>BIRENBAUM THOMAS</v>
      </c>
      <c r="M152" s="6">
        <f t="shared" si="81"/>
        <v>2.5046296294021886E-2</v>
      </c>
      <c r="N152" s="7">
        <f t="shared" si="82"/>
        <v>36.066666663391516</v>
      </c>
      <c r="O152" s="7"/>
      <c r="P152" s="7"/>
      <c r="Q152" s="22"/>
      <c r="R152" s="170"/>
      <c r="S152" s="213">
        <f t="shared" si="83"/>
        <v>1</v>
      </c>
      <c r="T152" s="195" t="str">
        <f t="shared" si="84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91"/>
        <v>https://d0f6bd738d7f1b3e5a7ca70fe4ff75f0.us-east-1.aws.found.io/app/kibana#/discover/Steve-Slow-Train-Analysis-(2080s-and-2083s)?_g=(refreshInterval:(display:Off,pause:!f,section:0,value:0),time:(from:'2017-08-12T22:22:44-0600',mode:absolute,to:'2017-08-13T01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2" s="197" t="str">
        <f>IF(AA152&lt;VLOOKUP(AG152,Variables!$AC$3:$AD$8,2,FALSE),"Y","N")</f>
        <v>N</v>
      </c>
      <c r="X152" s="197">
        <f t="shared" si="90"/>
        <v>1</v>
      </c>
      <c r="Y152" s="197">
        <f t="shared" si="85"/>
        <v>4.7100000000000003E-2</v>
      </c>
      <c r="Z152" s="197">
        <f t="shared" si="86"/>
        <v>23.331199999999999</v>
      </c>
      <c r="AA152" s="197">
        <f t="shared" si="87"/>
        <v>23.284099999999999</v>
      </c>
      <c r="AB152" s="54" t="e">
        <f>VLOOKUP(A152,Enforcements!$C$7:$K$12,8,0)</f>
        <v>#N/A</v>
      </c>
      <c r="AC152" s="51" t="e">
        <f>VLOOKUP(A152,Enforcements!$C$7:$E$12,3,0)</f>
        <v>#N/A</v>
      </c>
      <c r="AD152" s="206">
        <f t="shared" si="88"/>
        <v>239</v>
      </c>
      <c r="AE152" s="77" t="str">
        <f t="shared" si="92"/>
        <v>aws s3 cp s3://rtdc.mdm.uploadarchive.raw/RTDC4032/ "%USERPROFILE%\AppData\Local\Temp\OnboardLogs"\RTDC4032\2017-08-12 --exclude "*" --recursive --include "*20170812*" &amp; "%USERPROFILE%\Documents\GitHub\mrs-test-scripts\Headless Mode &amp; Sideloading\WalkAndUnGZ.bat" "%USERPROFILE%\AppData\Local\Temp\OnboardLogs"\RTDC4032\2017-08-12 &amp; aws s3 cp s3://rtdc.mdm.uploadarchive.raw/RTDC4032/ "%USERPROFILE%\AppData\Local\Temp\OnboardLogs"\RTDC4032\2017-08-13 --exclude "*" --recursive --include "*20170813*" &amp; "%USERPROFILE%\Documents\GitHub\mrs-test-scripts\Headless Mode &amp; Sideloading\WalkAndUnGZ.bat" "%USERPROFILE%\AppData\Local\Temp\OnboardLogs"\RTDC4032\2017-08-13</v>
      </c>
      <c r="AF152" s="74" t="str">
        <f t="shared" si="93"/>
        <v>"C:\Program Files (x86)\AstroGrep\AstroGrep.exe" /e /r /s /spath="%USERPROFILE%\AppData\Local\Temp\OnboardLogs" /stypes="app*4032*20170813*" /stext=" 06:.+((SYSTEM_STATE.+slice.+state.+changed )|(ment ac)|(multiple cpu faults)|(system.+state.+changed )|(\[timeout)|(PRM\|1\|D)|(kpr)|(kdp)|(train st.+moving)|(\|lc)|(penalty))"</v>
      </c>
      <c r="AG152" s="209" t="str">
        <f t="shared" si="89"/>
        <v>EC</v>
      </c>
      <c r="AH152" s="78" t="str">
        <f t="shared" si="94"/>
        <v>"%USERPROFILE%\Documents\GitHub\eaglep3\Utilities\RefineRTDCRunTimes.py" --tripid 239-12 --locoid 4032 --swversion DE.1.0.9.0 --startMP 204:471 --initTime 2017-08-12T23:22:44 --startdatetime 2017-08-12T23:30:50 --delay 1 --endMP 204:233312 --enddatetime 2017-08-13T00:06:54 --enforcementcount 0 &gt;&gt;C:\Users\stu\Documents\GitHub\eaglep3-reporting\EC\2017-08-12-refined-times.txt</v>
      </c>
      <c r="AI152" s="96" t="str">
        <f t="shared" si="95"/>
        <v>echo {"issue":{"subject":"","project_id":79,"tracker_id":40,"status_id":1,"priority_id":2,"assigned_to_id":23,"start_date":"2017-08-13","description":"","custom_fields":[{"id":1,"name":"Subdivision","value":"EC"},{"id":4,"name":"Milepost","value":"23.3312"},{"id":17,"name":"Train ID","value":"239-12"},{"id":16,"name":"Locomotive ID","value":"4032"},{"id":130,"name":"Impact","value":""},{"id":150,"name":"Time of Event (Mountain Time)","value":"00:06:54"},{"id":151,"name":"Denver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96"/>
        <v>start /low /b %USERPROFILE%\Documents\GitHub\eaglep3\Utilities\DownloadLogsFromS3.py --loco 4032 --day 2017-08-12</v>
      </c>
      <c r="AN152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06:06:54"},{"id":29,"name":"Sharepoint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x14ac:dyDescent="0.25">
      <c r="A153" s="32" t="s">
        <v>861</v>
      </c>
      <c r="B153" s="7">
        <v>4031</v>
      </c>
      <c r="C153" s="21" t="s">
        <v>198</v>
      </c>
      <c r="D153" s="21" t="s">
        <v>566</v>
      </c>
      <c r="E153" s="13">
        <v>42960.015104166669</v>
      </c>
      <c r="F153" s="13">
        <v>42960.018888888888</v>
      </c>
      <c r="G153" s="7">
        <v>1</v>
      </c>
      <c r="H153" s="21" t="s">
        <v>350</v>
      </c>
      <c r="I153" s="13">
        <v>42960.044340277775</v>
      </c>
      <c r="J153" s="7">
        <v>0</v>
      </c>
      <c r="K153" s="89" t="str">
        <f t="shared" si="80"/>
        <v>4031/4032</v>
      </c>
      <c r="L153" s="21" t="str">
        <f>VLOOKUP(A153,'Trips&amp;Operators'!$C$1:$G$99999,5,FALSE)</f>
        <v>BIRENBAUM THOMAS</v>
      </c>
      <c r="M153" s="6">
        <f t="shared" si="81"/>
        <v>2.545138888672227E-2</v>
      </c>
      <c r="N153" s="7">
        <f t="shared" si="82"/>
        <v>36.649999996880069</v>
      </c>
      <c r="O153" s="7"/>
      <c r="P153" s="7"/>
      <c r="Q153" s="22"/>
      <c r="R153" s="170"/>
      <c r="S153" s="213">
        <f t="shared" si="83"/>
        <v>1</v>
      </c>
      <c r="T153" s="195" t="str">
        <f t="shared" si="84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91"/>
        <v>https://d0f6bd738d7f1b3e5a7ca70fe4ff75f0.us-east-1.aws.found.io/app/kibana#/discover/Steve-Slow-Train-Analysis-(2080s-and-2083s)?_g=(refreshInterval:(display:Off,pause:!f,section:0,value:0),time:(from:'2017-08-12T23:21:45-0600',mode:absolute,to:'2017-08-13T02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3" s="197" t="str">
        <f>IF(AA153&lt;VLOOKUP(AG153,Variables!$AC$3:$AD$8,2,FALSE),"Y","N")</f>
        <v>N</v>
      </c>
      <c r="X153" s="197">
        <f t="shared" si="90"/>
        <v>1</v>
      </c>
      <c r="Y153" s="197">
        <f t="shared" si="85"/>
        <v>23.2987</v>
      </c>
      <c r="Z153" s="197">
        <f t="shared" si="86"/>
        <v>1.41E-2</v>
      </c>
      <c r="AA153" s="197">
        <f t="shared" si="87"/>
        <v>23.284600000000001</v>
      </c>
      <c r="AB153" s="54" t="e">
        <f>VLOOKUP(A153,Enforcements!$C$7:$K$12,8,0)</f>
        <v>#N/A</v>
      </c>
      <c r="AC153" s="51" t="e">
        <f>VLOOKUP(A153,Enforcements!$C$7:$E$12,3,0)</f>
        <v>#N/A</v>
      </c>
      <c r="AD153" s="206">
        <f t="shared" si="88"/>
        <v>240</v>
      </c>
      <c r="AE153" s="77" t="str">
        <f t="shared" si="92"/>
        <v>aws s3 cp s3://rtdc.mdm.uploadarchive.raw/RTDC4031/ "%USERPROFILE%\AppData\Local\Temp\OnboardLogs"\RTDC4031\2017-08-13 --exclude "*" --recursive --include "*20170813*" &amp; "%USERPROFILE%\Documents\GitHub\mrs-test-scripts\Headless Mode &amp; Sideloading\WalkAndUnGZ.bat" "%USERPROFILE%\AppData\Local\Temp\OnboardLogs"\RTDC4031\2017-08-13 &amp; aws s3 cp s3://rtdc.mdm.uploadarchive.raw/RTDC4031/ "%USERPROFILE%\AppData\Local\Temp\OnboardLogs"\RTDC4031\2017-08-14 --exclude "*" --recursive --include "*20170814*" &amp; "%USERPROFILE%\Documents\GitHub\mrs-test-scripts\Headless Mode &amp; Sideloading\WalkAndUnGZ.bat" "%USERPROFILE%\AppData\Local\Temp\OnboardLogs"\RTDC4031\2017-08-14</v>
      </c>
      <c r="AF153" s="74" t="str">
        <f t="shared" si="93"/>
        <v>"C:\Program Files (x86)\AstroGrep\AstroGrep.exe" /e /r /s /spath="%USERPROFILE%\AppData\Local\Temp\OnboardLogs" /stypes="app*4031*20170813*" /stext=" 07:.+((SYSTEM_STATE.+slice.+state.+changed )|(ment ac)|(multiple cpu faults)|(system.+state.+changed )|(\[timeout)|(PRM\|1\|D)|(kpr)|(kdp)|(train st.+moving)|(\|lc)|(penalty))"</v>
      </c>
      <c r="AG153" s="209" t="str">
        <f t="shared" si="89"/>
        <v>EC</v>
      </c>
      <c r="AH153" s="78" t="str">
        <f t="shared" si="94"/>
        <v>"%USERPROFILE%\Documents\GitHub\eaglep3\Utilities\RefineRTDCRunTimes.py" --tripid 240-12 --locoid 4031 --swversion DE.1.0.9.0 --startMP 204:232987 --initTime 2017-08-13T00:21:45 --startdatetime 2017-08-13T00:27:12 --delay 1 --endMP 204:141 --enddatetime 2017-08-13T01:03:51 --enforcementcount 0 &gt;&gt;C:\Users\stu\Documents\GitHub\eaglep3-reporting\EC\2017-08-12-refined-times.txt</v>
      </c>
      <c r="AI153" s="96" t="str">
        <f t="shared" si="95"/>
        <v>echo {"issue":{"subject":"","project_id":79,"tracker_id":40,"status_id":1,"priority_id":2,"assigned_to_id":23,"start_date":"2017-08-13","description":"","custom_fields":[{"id":1,"name":"Subdivision","value":"EC"},{"id":4,"name":"Milepost","value":"0.0141"},{"id":17,"name":"Train ID","value":"240-12"},{"id":16,"name":"Locomotive ID","value":"4031"},{"id":130,"name":"Impact","value":""},{"id":150,"name":"Time of Event (Mountain Time)","value":"01:03:51"},{"id":151,"name":"Denver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96"/>
        <v>start /low /b %USERPROFILE%\Documents\GitHub\eaglep3\Utilities\DownloadLogsFromS3.py --loco 4031 --day 2017-08-13</v>
      </c>
      <c r="AN153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07:03:51"},{"id":29,"name":"Sharepoint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s="20" customFormat="1" x14ac:dyDescent="0.25">
      <c r="A154" s="32" t="s">
        <v>859</v>
      </c>
      <c r="B154" s="7">
        <v>4050</v>
      </c>
      <c r="C154" s="21" t="s">
        <v>198</v>
      </c>
      <c r="D154" s="21" t="s">
        <v>962</v>
      </c>
      <c r="E154" s="13">
        <v>42959.987557870372</v>
      </c>
      <c r="F154" s="13">
        <v>42960.000509259262</v>
      </c>
      <c r="G154" s="7">
        <v>1</v>
      </c>
      <c r="H154" s="21" t="s">
        <v>493</v>
      </c>
      <c r="I154" s="13">
        <v>42960.025659722225</v>
      </c>
      <c r="J154" s="7">
        <v>0</v>
      </c>
      <c r="K154" s="89" t="str">
        <f t="shared" si="80"/>
        <v>4049/4050</v>
      </c>
      <c r="L154" s="21" t="str">
        <f>VLOOKUP(A154,'Trips&amp;Operators'!$C$1:$G$99999,5,FALSE)</f>
        <v>PERKINS DARREN</v>
      </c>
      <c r="M154" s="6">
        <f t="shared" si="81"/>
        <v>2.5150462963210884E-2</v>
      </c>
      <c r="N154" s="7">
        <f t="shared" si="82"/>
        <v>36.216666667023674</v>
      </c>
      <c r="O154" s="7"/>
      <c r="P154" s="7"/>
      <c r="Q154" s="22"/>
      <c r="R154" s="170"/>
      <c r="S154" s="213">
        <f t="shared" si="83"/>
        <v>1</v>
      </c>
      <c r="T154" s="195" t="str">
        <f t="shared" si="84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91"/>
        <v>https://d0f6bd738d7f1b3e5a7ca70fe4ff75f0.us-east-1.aws.found.io/app/kibana#/discover/Steve-Slow-Train-Analysis-(2080s-and-2083s)?_g=(refreshInterval:(display:Off,pause:!f,section:0,value:0),time:(from:'2017-08-12T22:42:05-0600',mode:absolute,to:'2017-08-13T01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4" s="197" t="str">
        <f>IF(AA154&lt;VLOOKUP(AG154,Variables!$AC$3:$AD$8,2,FALSE),"Y","N")</f>
        <v>N</v>
      </c>
      <c r="X154" s="197">
        <f t="shared" si="90"/>
        <v>1</v>
      </c>
      <c r="Y154" s="197">
        <f t="shared" si="85"/>
        <v>4.3499999999999997E-2</v>
      </c>
      <c r="Z154" s="197">
        <f t="shared" si="86"/>
        <v>23.3307</v>
      </c>
      <c r="AA154" s="197">
        <f t="shared" si="87"/>
        <v>23.287199999999999</v>
      </c>
      <c r="AB154" s="54" t="e">
        <f>VLOOKUP(A154,Enforcements!$C$7:$K$12,8,0)</f>
        <v>#N/A</v>
      </c>
      <c r="AC154" s="51" t="e">
        <f>VLOOKUP(A154,Enforcements!$C$7:$E$12,3,0)</f>
        <v>#N/A</v>
      </c>
      <c r="AD154" s="206">
        <f t="shared" si="88"/>
        <v>241</v>
      </c>
      <c r="AE154" s="77" t="str">
        <f t="shared" si="92"/>
        <v>aws s3 cp s3://rtdc.mdm.uploadarchive.raw/RTDC4050/ "%USERPROFILE%\AppData\Local\Temp\OnboardLogs"\RTDC4050\2017-08-13 --exclude "*" --recursive --include "*20170813*" &amp; "%USERPROFILE%\Documents\GitHub\mrs-test-scripts\Headless Mode &amp; Sideloading\WalkAndUnGZ.bat" "%USERPROFILE%\AppData\Local\Temp\OnboardLogs"\RTDC4050\2017-08-13 &amp; aws s3 cp s3://rtdc.mdm.uploadarchive.raw/RTDC4050/ "%USERPROFILE%\AppData\Local\Temp\OnboardLogs"\RTDC4050\2017-08-14 --exclude "*" --recursive --include "*20170814*" &amp; "%USERPROFILE%\Documents\GitHub\mrs-test-scripts\Headless Mode &amp; Sideloading\WalkAndUnGZ.bat" "%USERPROFILE%\AppData\Local\Temp\OnboardLogs"\RTDC4050\2017-08-14</v>
      </c>
      <c r="AF154" s="74" t="str">
        <f t="shared" si="93"/>
        <v>"C:\Program Files (x86)\AstroGrep\AstroGrep.exe" /e /r /s /spath="%USERPROFILE%\AppData\Local\Temp\OnboardLogs" /stypes="app*4050*20170813*" /stext=" 06:.+((SYSTEM_STATE.+slice.+state.+changed )|(ment ac)|(multiple cpu faults)|(system.+state.+changed )|(\[timeout)|(PRM\|1\|D)|(kpr)|(kdp)|(train st.+moving)|(\|lc)|(penalty))"</v>
      </c>
      <c r="AG154" s="209" t="str">
        <f t="shared" si="89"/>
        <v>EC</v>
      </c>
      <c r="AH154" s="78" t="str">
        <f t="shared" si="94"/>
        <v>"%USERPROFILE%\Documents\GitHub\eaglep3\Utilities\RefineRTDCRunTimes.py" --tripid 241-12 --locoid 4050 --swversion DE.1.0.9.0 --startMP 204:435 --initTime 2017-08-12T23:42:05 --startdatetime 2017-08-13T00:00:44 --delay 1 --endMP 204:233307 --enddatetime 2017-08-13T00:36:57 --enforcementcount 0 &gt;&gt;C:\Users\stu\Documents\GitHub\eaglep3-reporting\EC\2017-08-12-refined-times.txt</v>
      </c>
      <c r="AI154" s="96" t="str">
        <f t="shared" si="95"/>
        <v>echo {"issue":{"subject":"","project_id":79,"tracker_id":40,"status_id":1,"priority_id":2,"assigned_to_id":23,"start_date":"2017-08-13","description":"","custom_fields":[{"id":1,"name":"Subdivision","value":"EC"},{"id":4,"name":"Milepost","value":"23.3307"},{"id":17,"name":"Train ID","value":"241-12"},{"id":16,"name":"Locomotive ID","value":"4050"},{"id":130,"name":"Impact","value":""},{"id":150,"name":"Time of Event (Mountain Time)","value":"00:36:57"},{"id":151,"name":"Denver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96"/>
        <v>start /low /b %USERPROFILE%\Documents\GitHub\eaglep3\Utilities\DownloadLogsFromS3.py --loco 4050 --day 2017-08-13</v>
      </c>
      <c r="AN154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06:36:57"},{"id":29,"name":"Sharepoint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862</v>
      </c>
      <c r="B155" s="7">
        <v>4049</v>
      </c>
      <c r="C155" s="21" t="s">
        <v>198</v>
      </c>
      <c r="D155" s="21" t="s">
        <v>501</v>
      </c>
      <c r="E155" s="13">
        <v>42960.034537037034</v>
      </c>
      <c r="F155" s="13">
        <v>42960.03974537037</v>
      </c>
      <c r="G155" s="7">
        <v>1</v>
      </c>
      <c r="H155" s="21" t="s">
        <v>606</v>
      </c>
      <c r="I155" s="13">
        <v>42960.066481481481</v>
      </c>
      <c r="J155" s="7">
        <v>0</v>
      </c>
      <c r="K155" s="89" t="str">
        <f t="shared" si="80"/>
        <v>4049/4050</v>
      </c>
      <c r="L155" s="21" t="str">
        <f>VLOOKUP(A155,'Trips&amp;Operators'!$C$1:$G$99999,5,FALSE)</f>
        <v>PERKINS DARREN</v>
      </c>
      <c r="M155" s="6">
        <f t="shared" si="81"/>
        <v>2.6736111110949423E-2</v>
      </c>
      <c r="N155" s="7">
        <f t="shared" si="82"/>
        <v>38.499999999767169</v>
      </c>
      <c r="O155" s="7"/>
      <c r="P155" s="7"/>
      <c r="Q155" s="22"/>
      <c r="R155" s="170"/>
      <c r="S155" s="213">
        <f t="shared" si="83"/>
        <v>1</v>
      </c>
      <c r="T155" s="195" t="str">
        <f t="shared" si="84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91"/>
        <v>https://d0f6bd738d7f1b3e5a7ca70fe4ff75f0.us-east-1.aws.found.io/app/kibana#/discover/Steve-Slow-Train-Analysis-(2080s-and-2083s)?_g=(refreshInterval:(display:Off,pause:!f,section:0,value:0),time:(from:'2017-08-12T23:49:44-0600',mode:absolute,to:'2017-08-13T02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5" s="197" t="str">
        <f>IF(AA155&lt;VLOOKUP(AG155,Variables!$AC$3:$AD$8,2,FALSE),"Y","N")</f>
        <v>N</v>
      </c>
      <c r="X155" s="197">
        <f t="shared" si="90"/>
        <v>1</v>
      </c>
      <c r="Y155" s="197">
        <f t="shared" si="85"/>
        <v>23.2988</v>
      </c>
      <c r="Z155" s="197">
        <f t="shared" si="86"/>
        <v>1.21E-2</v>
      </c>
      <c r="AA155" s="197">
        <f t="shared" si="87"/>
        <v>23.2867</v>
      </c>
      <c r="AB155" s="54" t="e">
        <f>VLOOKUP(A155,Enforcements!$C$7:$K$12,8,0)</f>
        <v>#N/A</v>
      </c>
      <c r="AC155" s="51" t="e">
        <f>VLOOKUP(A155,Enforcements!$C$7:$E$12,3,0)</f>
        <v>#N/A</v>
      </c>
      <c r="AD155" s="206">
        <f t="shared" si="88"/>
        <v>242</v>
      </c>
      <c r="AE155" s="77" t="str">
        <f t="shared" si="92"/>
        <v>aws s3 cp s3://rtdc.mdm.uploadarchive.raw/RTDC4049/ "%USERPROFILE%\AppData\Local\Temp\OnboardLogs"\RTDC4049\2017-08-13 --exclude "*" --recursive --include "*20170813*" &amp; "%USERPROFILE%\Documents\GitHub\mrs-test-scripts\Headless Mode &amp; Sideloading\WalkAndUnGZ.bat" "%USERPROFILE%\AppData\Local\Temp\OnboardLogs"\RTDC4049\2017-08-13 &amp; aws s3 cp s3://rtdc.mdm.uploadarchive.raw/RTDC4049/ "%USERPROFILE%\AppData\Local\Temp\OnboardLogs"\RTDC4049\2017-08-14 --exclude "*" --recursive --include "*20170814*" &amp; "%USERPROFILE%\Documents\GitHub\mrs-test-scripts\Headless Mode &amp; Sideloading\WalkAndUnGZ.bat" "%USERPROFILE%\AppData\Local\Temp\OnboardLogs"\RTDC4049\2017-08-14</v>
      </c>
      <c r="AF155" s="74" t="str">
        <f t="shared" si="93"/>
        <v>"C:\Program Files (x86)\AstroGrep\AstroGrep.exe" /e /r /s /spath="%USERPROFILE%\AppData\Local\Temp\OnboardLogs" /stypes="app*4049*20170813*" /stext=" 07:.+((SYSTEM_STATE.+slice.+state.+changed )|(ment ac)|(multiple cpu faults)|(system.+state.+changed )|(\[timeout)|(PRM\|1\|D)|(kpr)|(kdp)|(train st.+moving)|(\|lc)|(penalty))"</v>
      </c>
      <c r="AG155" s="209" t="str">
        <f t="shared" si="89"/>
        <v>EC</v>
      </c>
      <c r="AH155" s="78" t="str">
        <f t="shared" si="94"/>
        <v>"%USERPROFILE%\Documents\GitHub\eaglep3\Utilities\RefineRTDCRunTimes.py" --tripid 242-12 --locoid 4049 --swversion DE.1.0.9.0 --startMP 204:232988 --initTime 2017-08-13T00:49:44 --startdatetime 2017-08-13T00:57:14 --delay 1 --endMP 204:121 --enddatetime 2017-08-13T01:35:44 --enforcementcount 0 &gt;&gt;C:\Users\stu\Documents\GitHub\eaglep3-reporting\EC\2017-08-12-refined-times.txt</v>
      </c>
      <c r="AI155" s="96" t="str">
        <f t="shared" si="95"/>
        <v>echo {"issue":{"subject":"","project_id":79,"tracker_id":40,"status_id":1,"priority_id":2,"assigned_to_id":23,"start_date":"2017-08-13","description":"","custom_fields":[{"id":1,"name":"Subdivision","value":"EC"},{"id":4,"name":"Milepost","value":"0.0121"},{"id":17,"name":"Train ID","value":"242-12"},{"id":16,"name":"Locomotive ID","value":"4049"},{"id":130,"name":"Impact","value":""},{"id":150,"name":"Time of Event (Mountain Time)","value":"01:35:44"},{"id":151,"name":"Denver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96"/>
        <v>start /low /b %USERPROFILE%\Documents\GitHub\eaglep3\Utilities\DownloadLogsFromS3.py --loco 4049 --day 2017-08-13</v>
      </c>
      <c r="AN155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07:35:44"},{"id":29,"name":"Sharepoint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x14ac:dyDescent="0.25">
      <c r="A156" s="32" t="s">
        <v>659</v>
      </c>
      <c r="B156" s="7">
        <v>4016</v>
      </c>
      <c r="C156" s="21" t="s">
        <v>198</v>
      </c>
      <c r="D156" s="21" t="s">
        <v>558</v>
      </c>
      <c r="E156" s="13">
        <v>42960.004548611112</v>
      </c>
      <c r="F156" s="13">
        <v>42960.021377314813</v>
      </c>
      <c r="G156" s="7">
        <v>1</v>
      </c>
      <c r="H156" s="21" t="s">
        <v>599</v>
      </c>
      <c r="I156" s="13">
        <v>42960.046226851853</v>
      </c>
      <c r="J156" s="7">
        <v>0</v>
      </c>
      <c r="K156" s="89" t="str">
        <f t="shared" si="80"/>
        <v>4015/4016</v>
      </c>
      <c r="L156" s="21" t="str">
        <f>VLOOKUP(A156,'Trips&amp;Operators'!$C$1:$G$99999,5,FALSE)</f>
        <v>FORTUNATO FRANK</v>
      </c>
      <c r="M156" s="6">
        <f t="shared" si="81"/>
        <v>2.4849537039699499E-2</v>
      </c>
      <c r="N156" s="7">
        <f t="shared" si="82"/>
        <v>35.783333337167278</v>
      </c>
      <c r="O156" s="7"/>
      <c r="P156" s="7"/>
      <c r="Q156" s="22"/>
      <c r="R156" s="170"/>
      <c r="S156" s="213">
        <f t="shared" si="83"/>
        <v>1</v>
      </c>
      <c r="T156" s="195" t="str">
        <f t="shared" si="84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91"/>
        <v>https://d0f6bd738d7f1b3e5a7ca70fe4ff75f0.us-east-1.aws.found.io/app/kibana#/discover/Steve-Slow-Train-Analysis-(2080s-and-2083s)?_g=(refreshInterval:(display:Off,pause:!f,section:0,value:0),time:(from:'2017-08-12T23:06:33-0600',mode:absolute,to:'2017-08-13T02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6" s="197" t="str">
        <f>IF(AA156&lt;VLOOKUP(AG156,Variables!$AC$3:$AD$8,2,FALSE),"Y","N")</f>
        <v>N</v>
      </c>
      <c r="X156" s="197">
        <f t="shared" si="90"/>
        <v>1</v>
      </c>
      <c r="Y156" s="197">
        <f t="shared" si="85"/>
        <v>4.6600000000000003E-2</v>
      </c>
      <c r="Z156" s="197">
        <f t="shared" si="86"/>
        <v>23.332799999999999</v>
      </c>
      <c r="AA156" s="197">
        <f t="shared" si="87"/>
        <v>23.286199999999997</v>
      </c>
      <c r="AB156" s="54" t="e">
        <f>VLOOKUP(A156,Enforcements!$C$7:$K$12,8,0)</f>
        <v>#N/A</v>
      </c>
      <c r="AC156" s="51" t="e">
        <f>VLOOKUP(A156,Enforcements!$C$7:$E$12,3,0)</f>
        <v>#N/A</v>
      </c>
      <c r="AD156" s="206">
        <f t="shared" si="88"/>
        <v>243</v>
      </c>
      <c r="AE156" s="77" t="str">
        <f t="shared" si="92"/>
        <v>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 &amp; aws s3 cp s3://rtdc.mdm.uploadarchive.raw/RTDC4016/ "%USERPROFILE%\AppData\Local\Temp\OnboardLogs"\RTDC4016\2017-08-14 --exclude "*" --recursive --include "*20170814*" &amp; "%USERPROFILE%\Documents\GitHub\mrs-test-scripts\Headless Mode &amp; Sideloading\WalkAndUnGZ.bat" "%USERPROFILE%\AppData\Local\Temp\OnboardLogs"\RTDC4016\2017-08-14</v>
      </c>
      <c r="AF156" s="74" t="str">
        <f t="shared" si="93"/>
        <v>"C:\Program Files (x86)\AstroGrep\AstroGrep.exe" /e /r /s /spath="%USERPROFILE%\AppData\Local\Temp\OnboardLogs" /stypes="app*4016*20170813*" /stext=" 07:.+((SYSTEM_STATE.+slice.+state.+changed )|(ment ac)|(multiple cpu faults)|(system.+state.+changed )|(\[timeout)|(PRM\|1\|D)|(kpr)|(kdp)|(train st.+moving)|(\|lc)|(penalty))"</v>
      </c>
      <c r="AG156" s="209" t="str">
        <f t="shared" si="89"/>
        <v>EC</v>
      </c>
      <c r="AH156" s="78" t="str">
        <f t="shared" si="94"/>
        <v>"%USERPROFILE%\Documents\GitHub\eaglep3\Utilities\RefineRTDCRunTimes.py" --tripid 243-12 --locoid 4016 --swversion DE.1.0.9.0 --startMP 204:466 --initTime 2017-08-13T00:06:33 --startdatetime 2017-08-13T00:30:47 --delay 1 --endMP 204:233328 --enddatetime 2017-08-13T01:06:34 --enforcementcount 0 &gt;&gt;C:\Users\stu\Documents\GitHub\eaglep3-reporting\EC\2017-08-12-refined-times.txt</v>
      </c>
      <c r="AI156" s="96" t="str">
        <f t="shared" si="95"/>
        <v>echo {"issue":{"subject":"","project_id":79,"tracker_id":40,"status_id":1,"priority_id":2,"assigned_to_id":23,"start_date":"2017-08-13","description":"","custom_fields":[{"id":1,"name":"Subdivision","value":"EC"},{"id":4,"name":"Milepost","value":"23.3328"},{"id":17,"name":"Train ID","value":"243-12"},{"id":16,"name":"Locomotive ID","value":"4016"},{"id":130,"name":"Impact","value":""},{"id":150,"name":"Time of Event (Mountain Time)","value":"01:06:34"},{"id":151,"name":"Denver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96"/>
        <v>start /low /b %USERPROFILE%\Documents\GitHub\eaglep3\Utilities\DownloadLogsFromS3.py --loco 4016 --day 2017-08-13</v>
      </c>
      <c r="AN156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07:06:34"},{"id":29,"name":"Sharepoint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s="20" customFormat="1" x14ac:dyDescent="0.25">
      <c r="A157" s="32" t="s">
        <v>865</v>
      </c>
      <c r="B157" s="7">
        <v>4015</v>
      </c>
      <c r="C157" s="21" t="s">
        <v>198</v>
      </c>
      <c r="D157" s="21" t="s">
        <v>523</v>
      </c>
      <c r="E157" s="13">
        <v>42960.048611111109</v>
      </c>
      <c r="F157" s="13">
        <v>42960.060567129629</v>
      </c>
      <c r="G157" s="7">
        <v>1</v>
      </c>
      <c r="H157" s="21" t="s">
        <v>348</v>
      </c>
      <c r="I157" s="13">
        <v>42960.086944444447</v>
      </c>
      <c r="J157" s="7">
        <v>0</v>
      </c>
      <c r="K157" s="89" t="str">
        <f t="shared" si="80"/>
        <v>4015/4016</v>
      </c>
      <c r="L157" s="21" t="str">
        <f>VLOOKUP(A157,'Trips&amp;Operators'!$C$1:$G$99999,5,FALSE)</f>
        <v>FORTUNATO FRANK</v>
      </c>
      <c r="M157" s="6">
        <f t="shared" si="81"/>
        <v>2.6377314818091691E-2</v>
      </c>
      <c r="N157" s="7">
        <f t="shared" si="82"/>
        <v>37.983333338052034</v>
      </c>
      <c r="O157" s="7"/>
      <c r="P157" s="7"/>
      <c r="Q157" s="22"/>
      <c r="R157" s="170"/>
      <c r="S157" s="213">
        <f t="shared" si="83"/>
        <v>1</v>
      </c>
      <c r="T157" s="195" t="str">
        <f t="shared" si="84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91"/>
        <v>https://d0f6bd738d7f1b3e5a7ca70fe4ff75f0.us-east-1.aws.found.io/app/kibana#/discover/Steve-Slow-Train-Analysis-(2080s-and-2083s)?_g=(refreshInterval:(display:Off,pause:!f,section:0,value:0),time:(from:'2017-08-13T00:10:00-0600',mode:absolute,to:'2017-08-13T03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7" s="197" t="str">
        <f>IF(AA157&lt;VLOOKUP(AG157,Variables!$AC$3:$AD$8,2,FALSE),"Y","N")</f>
        <v>N</v>
      </c>
      <c r="X157" s="197">
        <f t="shared" si="90"/>
        <v>1</v>
      </c>
      <c r="Y157" s="197">
        <f t="shared" si="85"/>
        <v>23.3005</v>
      </c>
      <c r="Z157" s="197">
        <f t="shared" si="86"/>
        <v>1.3899999999999999E-2</v>
      </c>
      <c r="AA157" s="197">
        <f t="shared" si="87"/>
        <v>23.2866</v>
      </c>
      <c r="AB157" s="54" t="e">
        <f>VLOOKUP(A157,Enforcements!$C$7:$K$12,8,0)</f>
        <v>#N/A</v>
      </c>
      <c r="AC157" s="51" t="e">
        <f>VLOOKUP(A157,Enforcements!$C$7:$E$12,3,0)</f>
        <v>#N/A</v>
      </c>
      <c r="AD157" s="206">
        <f t="shared" si="88"/>
        <v>244</v>
      </c>
      <c r="AE157" s="77" t="str">
        <f t="shared" si="92"/>
        <v>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 &amp; aws s3 cp s3://rtdc.mdm.uploadarchive.raw/RTDC4015/ "%USERPROFILE%\AppData\Local\Temp\OnboardLogs"\RTDC4015\2017-08-14 --exclude "*" --recursive --include "*20170814*" &amp; "%USERPROFILE%\Documents\GitHub\mrs-test-scripts\Headless Mode &amp; Sideloading\WalkAndUnGZ.bat" "%USERPROFILE%\AppData\Local\Temp\OnboardLogs"\RTDC4015\2017-08-14</v>
      </c>
      <c r="AF157" s="74" t="str">
        <f t="shared" si="93"/>
        <v>"C:\Program Files (x86)\AstroGrep\AstroGrep.exe" /e /r /s /spath="%USERPROFILE%\AppData\Local\Temp\OnboardLogs" /stypes="app*4015*20170813*" /stext=" 08:.+((SYSTEM_STATE.+slice.+state.+changed )|(ment ac)|(multiple cpu faults)|(system.+state.+changed )|(\[timeout)|(PRM\|1\|D)|(kpr)|(kdp)|(train st.+moving)|(\|lc)|(penalty))"</v>
      </c>
      <c r="AG157" s="209" t="str">
        <f t="shared" si="89"/>
        <v>EC</v>
      </c>
      <c r="AH157" s="78" t="str">
        <f t="shared" si="94"/>
        <v>"%USERPROFILE%\Documents\GitHub\eaglep3\Utilities\RefineRTDCRunTimes.py" --tripid 244-12 --locoid 4015 --swversion DE.1.0.9.0 --startMP 204:233005 --initTime 2017-08-13T01:10:00 --startdatetime 2017-08-13T01:27:13 --delay 1 --endMP 204:139 --enddatetime 2017-08-13T02:05:12 --enforcementcount 0 &gt;&gt;C:\Users\stu\Documents\GitHub\eaglep3-reporting\EC\2017-08-12-refined-times.txt</v>
      </c>
      <c r="AI157" s="96" t="str">
        <f t="shared" si="95"/>
        <v>echo {"issue":{"subject":"","project_id":79,"tracker_id":40,"status_id":1,"priority_id":2,"assigned_to_id":23,"start_date":"2017-08-13","description":"","custom_fields":[{"id":1,"name":"Subdivision","value":"EC"},{"id":4,"name":"Milepost","value":"0.0139"},{"id":17,"name":"Train ID","value":"244-12"},{"id":16,"name":"Locomotive ID","value":"4015"},{"id":130,"name":"Impact","value":""},{"id":150,"name":"Time of Event (Mountain Time)","value":"02:05:12"},{"id":151,"name":"Denver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96"/>
        <v>start /low /b %USERPROFILE%\Documents\GitHub\eaglep3\Utilities\DownloadLogsFromS3.py --loco 4015 --day 2017-08-13</v>
      </c>
      <c r="AN157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08:05:12"},{"id":29,"name":"Sharepoint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863</v>
      </c>
      <c r="B158" s="7">
        <v>4002</v>
      </c>
      <c r="C158" s="21" t="s">
        <v>198</v>
      </c>
      <c r="D158" s="21" t="s">
        <v>375</v>
      </c>
      <c r="E158" s="13">
        <v>42960.039849537039</v>
      </c>
      <c r="F158" s="13">
        <v>42960.042175925926</v>
      </c>
      <c r="G158" s="7">
        <v>1</v>
      </c>
      <c r="H158" s="21" t="s">
        <v>980</v>
      </c>
      <c r="I158" s="13">
        <v>42960.066458333335</v>
      </c>
      <c r="J158" s="7">
        <v>0</v>
      </c>
      <c r="K158" s="89" t="str">
        <f t="shared" ref="K158:K189" si="98">IF(ISEVEN(B158),(B158-1)&amp;"/"&amp;B158,B158&amp;"/"&amp;(B158+1))</f>
        <v>4001/4002</v>
      </c>
      <c r="L158" s="21" t="str">
        <f>VLOOKUP(A158,'Trips&amp;Operators'!$C$1:$G$99999,5,FALSE)</f>
        <v>LAMAR NEKESHA</v>
      </c>
      <c r="M158" s="6">
        <f t="shared" ref="M158:M189" si="99">I158-F158</f>
        <v>2.4282407408463769E-2</v>
      </c>
      <c r="N158" s="7">
        <f t="shared" ref="N158:N189" si="100">24*60*SUM($M158:$M158)</f>
        <v>34.966666668187827</v>
      </c>
      <c r="O158" s="7"/>
      <c r="P158" s="7"/>
      <c r="Q158" s="22"/>
      <c r="R158" s="170"/>
      <c r="S158" s="213">
        <f t="shared" ref="S158:S189" si="101">1/IF(AG158="EC",12,1)*SUM(U158:U158)</f>
        <v>1</v>
      </c>
      <c r="T158" s="195" t="str">
        <f t="shared" ref="T158:T189" si="102">IF(ISEVEN(LEFT(AD158,4)),"Southbound","NorthBound")</f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91"/>
        <v>https://d0f6bd738d7f1b3e5a7ca70fe4ff75f0.us-east-1.aws.found.io/app/kibana#/discover/Steve-Slow-Train-Analysis-(2080s-and-2083s)?_g=(refreshInterval:(display:Off,pause:!f,section:0,value:0),time:(from:'2017-08-12T23:57:23-0600',mode:absolute,to:'2017-08-13T02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8" s="197" t="str">
        <f>IF(AA158&lt;VLOOKUP(AG158,Variables!$AC$3:$AD$8,2,FALSE),"Y","N")</f>
        <v>N</v>
      </c>
      <c r="X158" s="197">
        <f t="shared" ref="X158:X163" si="103">VALUE(LEFT(AD158,4))-VALUE(LEFT(AD157,4))</f>
        <v>1</v>
      </c>
      <c r="Y158" s="197">
        <f t="shared" ref="Y158:Y174" si="104">RIGHT(D158,LEN(D158)-4)/10000</f>
        <v>4.6199999999999998E-2</v>
      </c>
      <c r="Z158" s="197">
        <f t="shared" ref="Z158:Z174" si="105">RIGHT(H158,LEN(H158)-4)/10000</f>
        <v>23.328900000000001</v>
      </c>
      <c r="AA158" s="197">
        <f t="shared" ref="AA158:AA189" si="106">ABS(Z158-Y158)</f>
        <v>23.282700000000002</v>
      </c>
      <c r="AB158" s="54" t="e">
        <f>VLOOKUP(A158,Enforcements!$C$7:$K$12,8,0)</f>
        <v>#N/A</v>
      </c>
      <c r="AC158" s="51" t="e">
        <f>VLOOKUP(A158,Enforcements!$C$7:$E$12,3,0)</f>
        <v>#N/A</v>
      </c>
      <c r="AD158" s="206">
        <f t="shared" ref="AD158:AD189" si="107">VALUE(LEFT(A158,LEN(A158)-3))</f>
        <v>245</v>
      </c>
      <c r="AE158" s="77" t="str">
        <f t="shared" si="92"/>
        <v>aws s3 cp s3://rtdc.mdm.uploadarchive.raw/RTDC4002/ "%USERPROFILE%\AppData\Local\Temp\OnboardLogs"\RTDC4002\2017-08-13 --exclude "*" --recursive --include "*20170813*" &amp; "%USERPROFILE%\Documents\GitHub\mrs-test-scripts\Headless Mode &amp; Sideloading\WalkAndUnGZ.bat" "%USERPROFILE%\AppData\Local\Temp\OnboardLogs"\RTDC4002\2017-08-13 &amp; aws s3 cp s3://rtdc.mdm.uploadarchive.raw/RTDC4002/ "%USERPROFILE%\AppData\Local\Temp\OnboardLogs"\RTDC4002\2017-08-14 --exclude "*" --recursive --include "*20170814*" &amp; "%USERPROFILE%\Documents\GitHub\mrs-test-scripts\Headless Mode &amp; Sideloading\WalkAndUnGZ.bat" "%USERPROFILE%\AppData\Local\Temp\OnboardLogs"\RTDC4002\2017-08-14</v>
      </c>
      <c r="AF158" s="74" t="str">
        <f t="shared" si="93"/>
        <v>"C:\Program Files (x86)\AstroGrep\AstroGrep.exe" /e /r /s /spath="%USERPROFILE%\AppData\Local\Temp\OnboardLogs" /stypes="app*4002*20170813*" /stext=" 07:.+((SYSTEM_STATE.+slice.+state.+changed )|(ment ac)|(multiple cpu faults)|(system.+state.+changed )|(\[timeout)|(PRM\|1\|D)|(kpr)|(kdp)|(train st.+moving)|(\|lc)|(penalty))"</v>
      </c>
      <c r="AG158" s="209" t="str">
        <f t="shared" ref="AG158:AG189" si="108">DetSubdiv(A158)</f>
        <v>EC</v>
      </c>
      <c r="AH158" s="78" t="str">
        <f t="shared" si="94"/>
        <v>"%USERPROFILE%\Documents\GitHub\eaglep3\Utilities\RefineRTDCRunTimes.py" --tripid 245-12 --locoid 4002 --swversion DE.1.0.9.0 --startMP 204:462 --initTime 2017-08-13T00:57:23 --startdatetime 2017-08-13T01:00:44 --delay 1 --endMP 204:233289 --enddatetime 2017-08-13T01:35:42 --enforcementcount 0 &gt;&gt;C:\Users\stu\Documents\GitHub\eaglep3-reporting\EC\2017-08-12-refined-times.txt</v>
      </c>
      <c r="AI158" s="96" t="str">
        <f t="shared" si="95"/>
        <v>echo {"issue":{"subject":"","project_id":79,"tracker_id":40,"status_id":1,"priority_id":2,"assigned_to_id":23,"start_date":"2017-08-13","description":"","custom_fields":[{"id":1,"name":"Subdivision","value":"EC"},{"id":4,"name":"Milepost","value":"23.3289"},{"id":17,"name":"Train ID","value":"245-12"},{"id":16,"name":"Locomotive ID","value":"4002"},{"id":130,"name":"Impact","value":""},{"id":150,"name":"Time of Event (Mountain Time)","value":"01:35:42"},{"id":151,"name":"Denver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96"/>
        <v>start /low /b %USERPROFILE%\Documents\GitHub\eaglep3\Utilities\DownloadLogsFromS3.py --loco 4002 --day 2017-08-13</v>
      </c>
      <c r="AN158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07:35:42"},{"id":29,"name":"Sharepoint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660</v>
      </c>
      <c r="B159" s="7">
        <v>4001</v>
      </c>
      <c r="C159" s="21" t="s">
        <v>198</v>
      </c>
      <c r="D159" s="21" t="s">
        <v>499</v>
      </c>
      <c r="E159" s="13">
        <v>42960.078055555554</v>
      </c>
      <c r="F159" s="13">
        <v>42960.081446759257</v>
      </c>
      <c r="G159" s="7">
        <v>1</v>
      </c>
      <c r="H159" s="21" t="s">
        <v>468</v>
      </c>
      <c r="I159" s="13">
        <v>42960.107997685183</v>
      </c>
      <c r="J159" s="7">
        <v>0</v>
      </c>
      <c r="K159" s="89" t="str">
        <f t="shared" si="98"/>
        <v>4001/4002</v>
      </c>
      <c r="L159" s="21" t="str">
        <f>VLOOKUP(A159,'Trips&amp;Operators'!$C$1:$G$99999,5,FALSE)</f>
        <v>LAMAR NEKESHA</v>
      </c>
      <c r="M159" s="6">
        <f t="shared" si="99"/>
        <v>2.6550925926130731E-2</v>
      </c>
      <c r="N159" s="7">
        <f t="shared" si="100"/>
        <v>38.233333333628252</v>
      </c>
      <c r="O159" s="7"/>
      <c r="P159" s="7"/>
      <c r="Q159" s="22"/>
      <c r="R159" s="170"/>
      <c r="S159" s="213">
        <f t="shared" si="101"/>
        <v>1</v>
      </c>
      <c r="T159" s="195" t="str">
        <f t="shared" si="102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91"/>
        <v>https://d0f6bd738d7f1b3e5a7ca70fe4ff75f0.us-east-1.aws.found.io/app/kibana#/discover/Steve-Slow-Train-Analysis-(2080s-and-2083s)?_g=(refreshInterval:(display:Off,pause:!f,section:0,value:0),time:(from:'2017-08-13T00:52:24-0600',mode:absolute,to:'2017-08-13T03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9" s="197" t="str">
        <f>IF(AA159&lt;VLOOKUP(AG159,Variables!$AC$3:$AD$8,2,FALSE),"Y","N")</f>
        <v>N</v>
      </c>
      <c r="X159" s="197">
        <f t="shared" si="103"/>
        <v>1</v>
      </c>
      <c r="Y159" s="197">
        <f t="shared" si="104"/>
        <v>23.297799999999999</v>
      </c>
      <c r="Z159" s="197">
        <f t="shared" si="105"/>
        <v>1.5599999999999999E-2</v>
      </c>
      <c r="AA159" s="197">
        <f t="shared" si="106"/>
        <v>23.2822</v>
      </c>
      <c r="AB159" s="54" t="e">
        <f>VLOOKUP(A159,Enforcements!$C$7:$K$12,8,0)</f>
        <v>#N/A</v>
      </c>
      <c r="AC159" s="51" t="e">
        <f>VLOOKUP(A159,Enforcements!$C$7:$E$12,3,0)</f>
        <v>#N/A</v>
      </c>
      <c r="AD159" s="206">
        <f t="shared" si="107"/>
        <v>246</v>
      </c>
      <c r="AE159" s="77" t="str">
        <f t="shared" si="92"/>
        <v>aws s3 cp s3://rtdc.mdm.uploadarchive.raw/RTDC4001/ "%USERPROFILE%\AppData\Local\Temp\OnboardLogs"\RTDC4001\2017-08-13 --exclude "*" --recursive --include "*20170813*" &amp; "%USERPROFILE%\Documents\GitHub\mrs-test-scripts\Headless Mode &amp; Sideloading\WalkAndUnGZ.bat" "%USERPROFILE%\AppData\Local\Temp\OnboardLogs"\RTDC4001\2017-08-13 &amp; aws s3 cp s3://rtdc.mdm.uploadarchive.raw/RTDC4001/ "%USERPROFILE%\AppData\Local\Temp\OnboardLogs"\RTDC4001\2017-08-14 --exclude "*" --recursive --include "*20170814*" &amp; "%USERPROFILE%\Documents\GitHub\mrs-test-scripts\Headless Mode &amp; Sideloading\WalkAndUnGZ.bat" "%USERPROFILE%\AppData\Local\Temp\OnboardLogs"\RTDC4001\2017-08-14</v>
      </c>
      <c r="AF159" s="74" t="str">
        <f t="shared" si="93"/>
        <v>"C:\Program Files (x86)\AstroGrep\AstroGrep.exe" /e /r /s /spath="%USERPROFILE%\AppData\Local\Temp\OnboardLogs" /stypes="app*4001*20170813*" /stext=" 08:.+((SYSTEM_STATE.+slice.+state.+changed )|(ment ac)|(multiple cpu faults)|(system.+state.+changed )|(\[timeout)|(PRM\|1\|D)|(kpr)|(kdp)|(train st.+moving)|(\|lc)|(penalty))"</v>
      </c>
      <c r="AG159" s="209" t="str">
        <f t="shared" si="108"/>
        <v>EC</v>
      </c>
      <c r="AH159" s="78" t="str">
        <f t="shared" si="94"/>
        <v>"%USERPROFILE%\Documents\GitHub\eaglep3\Utilities\RefineRTDCRunTimes.py" --tripid 246-12 --locoid 4001 --swversion DE.1.0.9.0 --startMP 204:232978 --initTime 2017-08-13T01:52:24 --startdatetime 2017-08-13T01:57:17 --delay 1 --endMP 204:156 --enddatetime 2017-08-13T02:35:31 --enforcementcount 0 &gt;&gt;C:\Users\stu\Documents\GitHub\eaglep3-reporting\EC\2017-08-12-refined-times.txt</v>
      </c>
      <c r="AI159" s="96" t="str">
        <f t="shared" si="95"/>
        <v>echo {"issue":{"subject":"","project_id":79,"tracker_id":40,"status_id":1,"priority_id":2,"assigned_to_id":23,"start_date":"2017-08-13","description":"","custom_fields":[{"id":1,"name":"Subdivision","value":"EC"},{"id":4,"name":"Milepost","value":"0.0156"},{"id":17,"name":"Train ID","value":"246-12"},{"id":16,"name":"Locomotive ID","value":"4001"},{"id":130,"name":"Impact","value":""},{"id":150,"name":"Time of Event (Mountain Time)","value":"02:35:31"},{"id":151,"name":"Denver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96"/>
        <v>start /low /b %USERPROFILE%\Documents\GitHub\eaglep3\Utilities\DownloadLogsFromS3.py --loco 4001 --day 2017-08-13</v>
      </c>
      <c r="AN159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08:35:31"},{"id":29,"name":"Sharepoint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s="20" customFormat="1" x14ac:dyDescent="0.25">
      <c r="A160" s="32" t="s">
        <v>706</v>
      </c>
      <c r="B160" s="7">
        <v>4055</v>
      </c>
      <c r="C160" s="21" t="s">
        <v>198</v>
      </c>
      <c r="D160" s="21" t="s">
        <v>576</v>
      </c>
      <c r="E160" s="13">
        <v>42959.233877314815</v>
      </c>
      <c r="F160" s="13">
        <v>42959.235590277778</v>
      </c>
      <c r="G160" s="7">
        <v>1</v>
      </c>
      <c r="H160" s="21" t="s">
        <v>914</v>
      </c>
      <c r="I160" s="13">
        <v>42959.246979166666</v>
      </c>
      <c r="J160" s="7">
        <v>0</v>
      </c>
      <c r="K160" s="89" t="str">
        <f t="shared" si="98"/>
        <v>4055/4056</v>
      </c>
      <c r="L160" s="21" t="str">
        <f>VLOOKUP(A160,'Trips&amp;Operators'!$C$1:$G$99999,5,FALSE)</f>
        <v>MACDONALD THOMAS</v>
      </c>
      <c r="M160" s="6">
        <f t="shared" si="99"/>
        <v>1.1388888888177462E-2</v>
      </c>
      <c r="N160" s="7">
        <f t="shared" si="100"/>
        <v>16.399999998975545</v>
      </c>
      <c r="O160" s="7"/>
      <c r="P160" s="7"/>
      <c r="Q160" s="22"/>
      <c r="R160" s="170"/>
      <c r="S160" s="213">
        <f t="shared" si="101"/>
        <v>1</v>
      </c>
      <c r="T160" s="195" t="str">
        <f t="shared" si="102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91"/>
        <v>https://d0f6bd738d7f1b3e5a7ca70fe4ff75f0.us-east-1.aws.found.io/app/kibana#/discover/Steve-Slow-Train-Analysis-(2080s-and-2083s)?_g=(refreshInterval:(display:Off,pause:!f,section:0,value:0),time:(from:'2017-08-12T04:36:47-0600',mode:absolute,to:'2017-08-12T06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0" s="197" t="str">
        <f>IF(AA160&lt;VLOOKUP(AG160,Variables!$AC$3:$AD$8,2,FALSE),"Y","N")</f>
        <v>N</v>
      </c>
      <c r="X160" s="197">
        <f t="shared" si="103"/>
        <v>1554</v>
      </c>
      <c r="Y160" s="197">
        <f t="shared" si="104"/>
        <v>5.8605999999999998</v>
      </c>
      <c r="Z160" s="197">
        <f t="shared" si="105"/>
        <v>7.6399999999999996E-2</v>
      </c>
      <c r="AA160" s="197">
        <f t="shared" si="106"/>
        <v>5.7842000000000002</v>
      </c>
      <c r="AB160" s="54" t="e">
        <f>VLOOKUP(A160,Enforcements!$C$7:$K$12,8,0)</f>
        <v>#N/A</v>
      </c>
      <c r="AC160" s="51" t="e">
        <f>VLOOKUP(A160,Enforcements!$C$7:$E$12,3,0)</f>
        <v>#N/A</v>
      </c>
      <c r="AD160" s="206">
        <f t="shared" si="107"/>
        <v>1800</v>
      </c>
      <c r="AE160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60" s="74" t="str">
        <f t="shared" si="93"/>
        <v>"C:\Program Files (x86)\AstroGrep\AstroGrep.exe" /e /r /s /spath="%USERPROFILE%\AppData\Local\Temp\OnboardLogs" /stypes="app*4055*20170812*" /stext=" 11:.+((SYSTEM_STATE.+slice.+state.+changed )|(ment ac)|(multiple cpu faults)|(system.+state.+changed )|(\[timeout)|(PRM\|1\|D)|(kpr)|(kdp)|(train st.+moving)|(\|lc)|(penalty))"</v>
      </c>
      <c r="AG160" s="209" t="str">
        <f t="shared" si="108"/>
        <v>NW</v>
      </c>
      <c r="AH160" s="78" t="str">
        <f t="shared" si="94"/>
        <v>"%USERPROFILE%\Documents\GitHub\eaglep3\Utilities\RefineRTDCRunTimes.py" --tripid 1800-12 --locoid 4055 --swversion DE.1.0.9.0 --startMP 300:58606 --initTime 2017-08-12T05:36:47 --startdatetime 2017-08-12T05:39:15 --delay 1 --endMP 204:764 --enddatetime 2017-08-12T05:55:39 --enforcementcount 0 &gt;&gt;C:\Users\stu\Documents\GitHub\eaglep3-reporting\EC\2017-08-12-refined-times.txt</v>
      </c>
      <c r="AI160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{"issue":{"subject":"","project_id":79,"tracker_id":40,"status_id":1,"priority_id":2,"assigned_to_id":23,"start_date":"2017-08-12","description":"","custom_fields":[{"id":1,"name":"Subdivision","value":"NW"},{"id":4,"name":"Milepost","value":"0.0764"},{"id":17,"name":"Train ID","value":"1800-12"},{"id":16,"name":"Locomotive ID","value":"4055"},{"id":130,"name":"Impact","value":""},{"id":150,"name":"Time of Event (Mountain Time)","value":"05:55:39"},{"id":151,"name":"Denver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96"/>
        <v>start /low /b %USERPROFILE%\Documents\GitHub\eaglep3\Utilities\DownloadLogsFromS3.py --loco 4055 --day 2017-08-12</v>
      </c>
      <c r="AN160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11:55:39"},{"id":29,"name":"Sharepoint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632</v>
      </c>
      <c r="B161" s="7">
        <v>4056</v>
      </c>
      <c r="C161" s="21" t="s">
        <v>198</v>
      </c>
      <c r="D161" s="21" t="s">
        <v>915</v>
      </c>
      <c r="E161" s="13">
        <v>42959.248842592591</v>
      </c>
      <c r="F161" s="13">
        <v>42959.265405092592</v>
      </c>
      <c r="G161" s="7">
        <v>0</v>
      </c>
      <c r="H161" s="21" t="s">
        <v>570</v>
      </c>
      <c r="I161" s="13">
        <v>42959.275358796294</v>
      </c>
      <c r="J161" s="7">
        <v>0</v>
      </c>
      <c r="K161" s="89" t="str">
        <f t="shared" si="98"/>
        <v>4055/4056</v>
      </c>
      <c r="L161" s="21" t="str">
        <f>VLOOKUP(A161,'Trips&amp;Operators'!$C$1:$G$99999,5,FALSE)</f>
        <v>MACDONALD THOMAS</v>
      </c>
      <c r="M161" s="6">
        <f t="shared" si="99"/>
        <v>9.9537037021946162E-3</v>
      </c>
      <c r="N161" s="7">
        <f t="shared" si="100"/>
        <v>14.333333331160247</v>
      </c>
      <c r="O161" s="7"/>
      <c r="P161" s="7"/>
      <c r="Q161" s="22"/>
      <c r="R161" s="170"/>
      <c r="S161" s="213">
        <f t="shared" si="101"/>
        <v>1</v>
      </c>
      <c r="T161" s="195" t="str">
        <f t="shared" si="102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91"/>
        <v>https://d0f6bd738d7f1b3e5a7ca70fe4ff75f0.us-east-1.aws.found.io/app/kibana#/discover/Steve-Slow-Train-Analysis-(2080s-and-2083s)?_g=(refreshInterval:(display:Off,pause:!f,section:0,value:0),time:(from:'2017-08-12T04:58:20-0600',mode:absolute,to:'2017-08-12T07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1" s="197" t="str">
        <f>IF(AA161&lt;VLOOKUP(AG161,Variables!$AC$3:$AD$8,2,FALSE),"Y","N")</f>
        <v>N</v>
      </c>
      <c r="X161" s="197">
        <f t="shared" si="103"/>
        <v>1</v>
      </c>
      <c r="Y161" s="197">
        <f t="shared" si="104"/>
        <v>0.1055</v>
      </c>
      <c r="Z161" s="197">
        <f t="shared" si="105"/>
        <v>5.8924000000000003</v>
      </c>
      <c r="AA161" s="197">
        <f t="shared" si="106"/>
        <v>5.7869000000000002</v>
      </c>
      <c r="AB161" s="54" t="e">
        <f>VLOOKUP(A161,Enforcements!$C$7:$K$12,8,0)</f>
        <v>#N/A</v>
      </c>
      <c r="AC161" s="51" t="e">
        <f>VLOOKUP(A161,Enforcements!$C$7:$E$12,3,0)</f>
        <v>#N/A</v>
      </c>
      <c r="AD161" s="206">
        <f t="shared" si="107"/>
        <v>1801</v>
      </c>
      <c r="AE161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61" s="74" t="str">
        <f t="shared" si="93"/>
        <v>"C:\Program Files (x86)\AstroGrep\AstroGrep.exe" /e /r /s /spath="%USERPROFILE%\AppData\Local\Temp\OnboardLogs" /stypes="app*4056*20170812*" /stext=" 12:.+((SYSTEM_STATE.+slice.+state.+changed )|(ment ac)|(multiple cpu faults)|(system.+state.+changed )|(\[timeout)|(PRM\|1\|D)|(kpr)|(kdp)|(train st.+moving)|(\|lc)|(penalty))"</v>
      </c>
      <c r="AG161" s="209" t="str">
        <f t="shared" si="108"/>
        <v>NW</v>
      </c>
      <c r="AH161" s="78" t="str">
        <f t="shared" si="94"/>
        <v>"%USERPROFILE%\Documents\GitHub\eaglep3\Utilities\RefineRTDCRunTimes.py" --tripid 1801-12 --locoid 4056 --swversion DE.1.0.9.0 --startMP 204:1055 --initTime 2017-08-12T05:58:20 --startdatetime 2017-08-12T06:22:11 --delay 0 --endMP 300:58924 --enddatetime 2017-08-12T06:36:31 --enforcementcount 0 &gt;&gt;C:\Users\stu\Documents\GitHub\eaglep3-reporting\EC\2017-08-12-refined-times.txt</v>
      </c>
      <c r="AI161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{"issue":{"subject":"","project_id":79,"tracker_id":40,"status_id":1,"priority_id":2,"assigned_to_id":23,"start_date":"2017-08-12","description":"","custom_fields":[{"id":1,"name":"Subdivision","value":"NW"},{"id":4,"name":"Milepost","value":"5.8924"},{"id":17,"name":"Train ID","value":"1801-12"},{"id":16,"name":"Locomotive ID","value":"4056"},{"id":130,"name":"Impact","value":""},{"id":150,"name":"Time of Event (Mountain Time)","value":"06:36:31"},{"id":151,"name":"Denver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96"/>
        <v>start /low /b %USERPROFILE%\Documents\GitHub\eaglep3\Utilities\DownloadLogsFromS3.py --loco 4056 --day 2017-08-12</v>
      </c>
      <c r="AN161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12:36:31"},{"id":29,"name":"Sharepoint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713</v>
      </c>
      <c r="B162" s="7">
        <v>4055</v>
      </c>
      <c r="C162" s="21" t="s">
        <v>198</v>
      </c>
      <c r="D162" s="21" t="s">
        <v>580</v>
      </c>
      <c r="E162" s="13">
        <v>42959.276574074072</v>
      </c>
      <c r="F162" s="13">
        <v>42959.27888888889</v>
      </c>
      <c r="G162" s="7">
        <v>2</v>
      </c>
      <c r="H162" s="21" t="s">
        <v>916</v>
      </c>
      <c r="I162" s="13">
        <v>42959.288159722222</v>
      </c>
      <c r="J162" s="7">
        <v>0</v>
      </c>
      <c r="K162" s="89" t="str">
        <f t="shared" si="98"/>
        <v>4055/4056</v>
      </c>
      <c r="L162" s="21" t="str">
        <f>VLOOKUP(A162,'Trips&amp;Operators'!$C$1:$G$99999,5,FALSE)</f>
        <v>MACDONALD THOMAS</v>
      </c>
      <c r="M162" s="6">
        <f t="shared" si="99"/>
        <v>9.2708333322661929E-3</v>
      </c>
      <c r="N162" s="7">
        <f t="shared" si="100"/>
        <v>13.349999998463318</v>
      </c>
      <c r="O162" s="7"/>
      <c r="P162" s="7"/>
      <c r="Q162" s="22"/>
      <c r="R162" s="170"/>
      <c r="S162" s="213">
        <f t="shared" si="101"/>
        <v>1</v>
      </c>
      <c r="T162" s="195" t="str">
        <f t="shared" si="102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91"/>
        <v>https://d0f6bd738d7f1b3e5a7ca70fe4ff75f0.us-east-1.aws.found.io/app/kibana#/discover/Steve-Slow-Train-Analysis-(2080s-and-2083s)?_g=(refreshInterval:(display:Off,pause:!f,section:0,value:0),time:(from:'2017-08-12T05:38:16-0600',mode:absolute,to:'2017-08-12T07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2" s="197" t="str">
        <f>IF(AA162&lt;VLOOKUP(AG162,Variables!$AC$3:$AD$8,2,FALSE),"Y","N")</f>
        <v>N</v>
      </c>
      <c r="X162" s="197">
        <f t="shared" si="103"/>
        <v>1</v>
      </c>
      <c r="Y162" s="197">
        <f t="shared" si="104"/>
        <v>5.8604000000000003</v>
      </c>
      <c r="Z162" s="197">
        <f t="shared" si="105"/>
        <v>7.3400000000000007E-2</v>
      </c>
      <c r="AA162" s="197">
        <f t="shared" si="106"/>
        <v>5.7869999999999999</v>
      </c>
      <c r="AB162" s="54" t="e">
        <f>VLOOKUP(A162,Enforcements!$C$7:$K$12,8,0)</f>
        <v>#N/A</v>
      </c>
      <c r="AC162" s="51" t="e">
        <f>VLOOKUP(A162,Enforcements!$C$7:$E$12,3,0)</f>
        <v>#N/A</v>
      </c>
      <c r="AD162" s="206">
        <f t="shared" si="107"/>
        <v>1802</v>
      </c>
      <c r="AE162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62" s="74" t="str">
        <f t="shared" si="93"/>
        <v>"C:\Program Files (x86)\AstroGrep\AstroGrep.exe" /e /r /s /spath="%USERPROFILE%\AppData\Local\Temp\OnboardLogs" /stypes="app*4055*20170812*" /stext=" 12:.+((SYSTEM_STATE.+slice.+state.+changed )|(ment ac)|(multiple cpu faults)|(system.+state.+changed )|(\[timeout)|(PRM\|1\|D)|(kpr)|(kdp)|(train st.+moving)|(\|lc)|(penalty))"</v>
      </c>
      <c r="AG162" s="209" t="str">
        <f t="shared" si="108"/>
        <v>NW</v>
      </c>
      <c r="AH162" s="78" t="str">
        <f t="shared" si="94"/>
        <v>"%USERPROFILE%\Documents\GitHub\eaglep3\Utilities\RefineRTDCRunTimes.py" --tripid 1802-12 --locoid 4055 --swversion DE.1.0.9.0 --startMP 300:58604 --initTime 2017-08-12T06:38:16 --startdatetime 2017-08-12T06:41:36 --delay 2 --endMP 204:734 --enddatetime 2017-08-12T06:54:57 --enforcementcount 0 &gt;&gt;C:\Users\stu\Documents\GitHub\eaglep3-reporting\EC\2017-08-12-refined-times.txt</v>
      </c>
      <c r="AI162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{"issue":{"subject":"","project_id":79,"tracker_id":40,"status_id":1,"priority_id":2,"assigned_to_id":23,"start_date":"2017-08-12","description":"","custom_fields":[{"id":1,"name":"Subdivision","value":"NW"},{"id":4,"name":"Milepost","value":"0.0734"},{"id":17,"name":"Train ID","value":"1802-12"},{"id":16,"name":"Locomotive ID","value":"4055"},{"id":130,"name":"Impact","value":""},{"id":150,"name":"Time of Event (Mountain Time)","value":"06:54:57"},{"id":151,"name":"Denver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96"/>
        <v>start /low /b %USERPROFILE%\Documents\GitHub\eaglep3\Utilities\DownloadLogsFromS3.py --loco 4055 --day 2017-08-12</v>
      </c>
      <c r="AN162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12:54:57"},{"id":29,"name":"Sharepoint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718</v>
      </c>
      <c r="B163" s="7">
        <v>4056</v>
      </c>
      <c r="C163" s="21" t="s">
        <v>198</v>
      </c>
      <c r="D163" s="21" t="s">
        <v>917</v>
      </c>
      <c r="E163" s="13">
        <v>42959.289097222223</v>
      </c>
      <c r="F163" s="13">
        <v>42959.306886574072</v>
      </c>
      <c r="G163" s="7">
        <v>1</v>
      </c>
      <c r="H163" s="21" t="s">
        <v>578</v>
      </c>
      <c r="I163" s="13">
        <v>42959.316458333335</v>
      </c>
      <c r="J163" s="7">
        <v>0</v>
      </c>
      <c r="K163" s="89" t="str">
        <f t="shared" si="98"/>
        <v>4055/4056</v>
      </c>
      <c r="L163" s="21" t="str">
        <f>VLOOKUP(A163,'Trips&amp;Operators'!$C$1:$G$99999,5,FALSE)</f>
        <v>MACDONALD THOMAS</v>
      </c>
      <c r="M163" s="6">
        <f t="shared" si="99"/>
        <v>9.5717592630535364E-3</v>
      </c>
      <c r="N163" s="7">
        <f t="shared" si="100"/>
        <v>13.783333338797092</v>
      </c>
      <c r="O163" s="7"/>
      <c r="P163" s="7"/>
      <c r="Q163" s="22"/>
      <c r="R163" s="170"/>
      <c r="S163" s="213">
        <f t="shared" si="101"/>
        <v>1</v>
      </c>
      <c r="T163" s="195" t="str">
        <f t="shared" si="102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91"/>
        <v>https://d0f6bd738d7f1b3e5a7ca70fe4ff75f0.us-east-1.aws.found.io/app/kibana#/discover/Steve-Slow-Train-Analysis-(2080s-and-2083s)?_g=(refreshInterval:(display:Off,pause:!f,section:0,value:0),time:(from:'2017-08-12T05:56:18-0600',mode:absolute,to:'2017-08-12T08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3" s="197" t="str">
        <f>IF(AA163&lt;VLOOKUP(AG163,Variables!$AC$3:$AD$8,2,FALSE),"Y","N")</f>
        <v>N</v>
      </c>
      <c r="X163" s="197">
        <f t="shared" si="103"/>
        <v>1</v>
      </c>
      <c r="Y163" s="197">
        <f t="shared" si="104"/>
        <v>0.1016</v>
      </c>
      <c r="Z163" s="197">
        <f t="shared" si="105"/>
        <v>5.8929</v>
      </c>
      <c r="AA163" s="197">
        <f t="shared" si="106"/>
        <v>5.7912999999999997</v>
      </c>
      <c r="AB163" s="54" t="e">
        <f>VLOOKUP(A163,Enforcements!$C$7:$K$12,8,0)</f>
        <v>#N/A</v>
      </c>
      <c r="AC163" s="51" t="e">
        <f>VLOOKUP(A163,Enforcements!$C$7:$E$12,3,0)</f>
        <v>#N/A</v>
      </c>
      <c r="AD163" s="206">
        <f t="shared" si="107"/>
        <v>1803</v>
      </c>
      <c r="AE163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63" s="74" t="str">
        <f t="shared" si="93"/>
        <v>"C:\Program Files (x86)\AstroGrep\AstroGrep.exe" /e /r /s /spath="%USERPROFILE%\AppData\Local\Temp\OnboardLogs" /stypes="app*4056*20170812*" /stext=" 13:.+((SYSTEM_STATE.+slice.+state.+changed )|(ment ac)|(multiple cpu faults)|(system.+state.+changed )|(\[timeout)|(PRM\|1\|D)|(kpr)|(kdp)|(train st.+moving)|(\|lc)|(penalty))"</v>
      </c>
      <c r="AG163" s="209" t="str">
        <f t="shared" si="108"/>
        <v>NW</v>
      </c>
      <c r="AH163" s="78" t="str">
        <f t="shared" si="94"/>
        <v>"%USERPROFILE%\Documents\GitHub\eaglep3\Utilities\RefineRTDCRunTimes.py" --tripid 1803-12 --locoid 4056 --swversion DE.1.0.9.0 --startMP 204:1016 --initTime 2017-08-12T06:56:18 --startdatetime 2017-08-12T07:21:55 --delay 1 --endMP 300:58929 --enddatetime 2017-08-12T07:35:42 --enforcementcount 0 &gt;&gt;C:\Users\stu\Documents\GitHub\eaglep3-reporting\EC\2017-08-12-refined-times.txt</v>
      </c>
      <c r="AI163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{"issue":{"subject":"","project_id":79,"tracker_id":40,"status_id":1,"priority_id":2,"assigned_to_id":23,"start_date":"2017-08-12","description":"","custom_fields":[{"id":1,"name":"Subdivision","value":"NW"},{"id":4,"name":"Milepost","value":"5.8929"},{"id":17,"name":"Train ID","value":"1803-12"},{"id":16,"name":"Locomotive ID","value":"4056"},{"id":130,"name":"Impact","value":""},{"id":150,"name":"Time of Event (Mountain Time)","value":"07:35:42"},{"id":151,"name":"Denver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96"/>
        <v>start /low /b %USERPROFILE%\Documents\GitHub\eaglep3\Utilities\DownloadLogsFromS3.py --loco 4056 --day 2017-08-12</v>
      </c>
      <c r="AN163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13:35:42"},{"id":29,"name":"Sharepoint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634</v>
      </c>
      <c r="B164" s="7">
        <v>4055</v>
      </c>
      <c r="C164" s="21" t="s">
        <v>198</v>
      </c>
      <c r="D164" s="21" t="s">
        <v>576</v>
      </c>
      <c r="E164" s="13">
        <v>42959.317511574074</v>
      </c>
      <c r="F164" s="13">
        <v>42959.31894675926</v>
      </c>
      <c r="G164" s="7">
        <v>1</v>
      </c>
      <c r="H164" s="21" t="s">
        <v>918</v>
      </c>
      <c r="I164" s="13">
        <v>42959.330578703702</v>
      </c>
      <c r="J164" s="7">
        <v>0</v>
      </c>
      <c r="K164" s="89" t="str">
        <f t="shared" si="98"/>
        <v>4055/4056</v>
      </c>
      <c r="L164" s="21" t="str">
        <f>VLOOKUP(A164,'Trips&amp;Operators'!$C$1:$G$99999,5,FALSE)</f>
        <v>MACDONALD THOMAS</v>
      </c>
      <c r="M164" s="6">
        <f t="shared" si="99"/>
        <v>1.1631944442342501E-2</v>
      </c>
      <c r="N164" s="7">
        <f t="shared" si="100"/>
        <v>16.749999996973202</v>
      </c>
      <c r="O164" s="7"/>
      <c r="P164" s="7"/>
      <c r="Q164" s="22"/>
      <c r="R164" s="170"/>
      <c r="S164" s="213">
        <f t="shared" si="101"/>
        <v>1</v>
      </c>
      <c r="T164" s="195" t="str">
        <f t="shared" si="102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91"/>
        <v>https://d0f6bd738d7f1b3e5a7ca70fe4ff75f0.us-east-1.aws.found.io/app/kibana#/discover/Steve-Slow-Train-Analysis-(2080s-and-2083s)?_g=(refreshInterval:(display:Off,pause:!f,section:0,value:0),time:(from:'2017-08-12T06:37:13-0600',mode:absolute,to:'2017-08-12T08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4" s="197" t="str">
        <f>IF(AA164&lt;VLOOKUP(AG164,Variables!$AC$3:$AD$8,2,FALSE),"Y","N")</f>
        <v>N</v>
      </c>
      <c r="X164" s="197">
        <f t="shared" ref="X164:X195" si="109">VALUE(LEFT(AD164,4))-VALUE(LEFT(AD163,4))</f>
        <v>1</v>
      </c>
      <c r="Y164" s="197">
        <f t="shared" si="104"/>
        <v>5.8605999999999998</v>
      </c>
      <c r="Z164" s="197">
        <f t="shared" si="105"/>
        <v>7.0099999999999996E-2</v>
      </c>
      <c r="AA164" s="197">
        <f t="shared" si="106"/>
        <v>5.7904999999999998</v>
      </c>
      <c r="AB164" s="54" t="e">
        <f>VLOOKUP(A164,Enforcements!$C$7:$K$12,8,0)</f>
        <v>#N/A</v>
      </c>
      <c r="AC164" s="51" t="e">
        <f>VLOOKUP(A164,Enforcements!$C$7:$E$12,3,0)</f>
        <v>#N/A</v>
      </c>
      <c r="AD164" s="206">
        <f t="shared" si="107"/>
        <v>1804</v>
      </c>
      <c r="AE164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64" s="74" t="str">
        <f t="shared" si="93"/>
        <v>"C:\Program Files (x86)\AstroGrep\AstroGrep.exe" /e /r /s /spath="%USERPROFILE%\AppData\Local\Temp\OnboardLogs" /stypes="app*4055*20170812*" /stext=" 13:.+((SYSTEM_STATE.+slice.+state.+changed )|(ment ac)|(multiple cpu faults)|(system.+state.+changed )|(\[timeout)|(PRM\|1\|D)|(kpr)|(kdp)|(train st.+moving)|(\|lc)|(penalty))"</v>
      </c>
      <c r="AG164" s="209" t="str">
        <f t="shared" si="108"/>
        <v>NW</v>
      </c>
      <c r="AH164" s="78" t="str">
        <f t="shared" si="94"/>
        <v>"%USERPROFILE%\Documents\GitHub\eaglep3\Utilities\RefineRTDCRunTimes.py" --tripid 1804-12 --locoid 4055 --swversion DE.1.0.9.0 --startMP 300:58606 --initTime 2017-08-12T07:37:13 --startdatetime 2017-08-12T07:39:17 --delay 1 --endMP 204:701 --enddatetime 2017-08-12T07:56:02 --enforcementcount 0 &gt;&gt;C:\Users\stu\Documents\GitHub\eaglep3-reporting\EC\2017-08-12-refined-times.txt</v>
      </c>
      <c r="AI164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{"issue":{"subject":"","project_id":79,"tracker_id":40,"status_id":1,"priority_id":2,"assigned_to_id":23,"start_date":"2017-08-12","description":"","custom_fields":[{"id":1,"name":"Subdivision","value":"NW"},{"id":4,"name":"Milepost","value":"0.0701"},{"id":17,"name":"Train ID","value":"1804-12"},{"id":16,"name":"Locomotive ID","value":"4055"},{"id":130,"name":"Impact","value":""},{"id":150,"name":"Time of Event (Mountain Time)","value":"07:56:02"},{"id":151,"name":"Denver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96"/>
        <v>start /low /b %USERPROFILE%\Documents\GitHub\eaglep3\Utilities\DownloadLogsFromS3.py --loco 4055 --day 2017-08-12</v>
      </c>
      <c r="AN164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13:56:02"},{"id":29,"name":"Sharepoint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726</v>
      </c>
      <c r="B165" s="7">
        <v>4056</v>
      </c>
      <c r="C165" s="21" t="s">
        <v>198</v>
      </c>
      <c r="D165" s="21" t="s">
        <v>919</v>
      </c>
      <c r="E165" s="13">
        <v>42959.332349537035</v>
      </c>
      <c r="F165" s="13">
        <v>42959.348391203705</v>
      </c>
      <c r="G165" s="7">
        <v>1</v>
      </c>
      <c r="H165" s="21" t="s">
        <v>480</v>
      </c>
      <c r="I165" s="13">
        <v>42959.358124999999</v>
      </c>
      <c r="J165" s="7">
        <v>0</v>
      </c>
      <c r="K165" s="89" t="str">
        <f t="shared" si="98"/>
        <v>4055/4056</v>
      </c>
      <c r="L165" s="21" t="str">
        <f>VLOOKUP(A165,'Trips&amp;Operators'!$C$1:$G$99999,5,FALSE)</f>
        <v>MACDONALD THOMAS</v>
      </c>
      <c r="M165" s="6">
        <f t="shared" si="99"/>
        <v>9.7337962943129241E-3</v>
      </c>
      <c r="N165" s="7">
        <f t="shared" si="100"/>
        <v>14.016666663810611</v>
      </c>
      <c r="O165" s="7"/>
      <c r="P165" s="7"/>
      <c r="Q165" s="22"/>
      <c r="R165" s="170"/>
      <c r="S165" s="213">
        <f t="shared" si="101"/>
        <v>1</v>
      </c>
      <c r="T165" s="195" t="str">
        <f t="shared" si="102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91"/>
        <v>https://d0f6bd738d7f1b3e5a7ca70fe4ff75f0.us-east-1.aws.found.io/app/kibana#/discover/Steve-Slow-Train-Analysis-(2080s-and-2083s)?_g=(refreshInterval:(display:Off,pause:!f,section:0,value:0),time:(from:'2017-08-12T06:58:35-0600',mode:absolute,to:'2017-08-12T09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5" s="197" t="str">
        <f>IF(AA165&lt;VLOOKUP(AG165,Variables!$AC$3:$AD$8,2,FALSE),"Y","N")</f>
        <v>N</v>
      </c>
      <c r="X165" s="197">
        <f t="shared" si="109"/>
        <v>1</v>
      </c>
      <c r="Y165" s="197">
        <f t="shared" si="104"/>
        <v>9.9900000000000003E-2</v>
      </c>
      <c r="Z165" s="197">
        <f t="shared" si="105"/>
        <v>5.8933</v>
      </c>
      <c r="AA165" s="197">
        <f t="shared" si="106"/>
        <v>5.7934000000000001</v>
      </c>
      <c r="AB165" s="54" t="e">
        <f>VLOOKUP(A165,Enforcements!$C$7:$K$12,8,0)</f>
        <v>#N/A</v>
      </c>
      <c r="AC165" s="51" t="e">
        <f>VLOOKUP(A165,Enforcements!$C$7:$E$12,3,0)</f>
        <v>#N/A</v>
      </c>
      <c r="AD165" s="206">
        <f t="shared" si="107"/>
        <v>1805</v>
      </c>
      <c r="AE165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65" s="74" t="str">
        <f t="shared" si="93"/>
        <v>"C:\Program Files (x86)\AstroGrep\AstroGrep.exe" /e /r /s /spath="%USERPROFILE%\AppData\Local\Temp\OnboardLogs" /stypes="app*4056*20170812*" /stext=" 14:.+((SYSTEM_STATE.+slice.+state.+changed )|(ment ac)|(multiple cpu faults)|(system.+state.+changed )|(\[timeout)|(PRM\|1\|D)|(kpr)|(kdp)|(train st.+moving)|(\|lc)|(penalty))"</v>
      </c>
      <c r="AG165" s="209" t="str">
        <f t="shared" si="108"/>
        <v>NW</v>
      </c>
      <c r="AH165" s="78" t="str">
        <f t="shared" si="94"/>
        <v>"%USERPROFILE%\Documents\GitHub\eaglep3\Utilities\RefineRTDCRunTimes.py" --tripid 1805-12 --locoid 4056 --swversion DE.1.0.9.0 --startMP 204:999 --initTime 2017-08-12T07:58:35 --startdatetime 2017-08-12T08:21:41 --delay 1 --endMP 300:58933 --enddatetime 2017-08-12T08:35:42 --enforcementcount 0 &gt;&gt;C:\Users\stu\Documents\GitHub\eaglep3-reporting\EC\2017-08-12-refined-times.txt</v>
      </c>
      <c r="AI165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{"issue":{"subject":"","project_id":79,"tracker_id":40,"status_id":1,"priority_id":2,"assigned_to_id":23,"start_date":"2017-08-12","description":"","custom_fields":[{"id":1,"name":"Subdivision","value":"NW"},{"id":4,"name":"Milepost","value":"5.8933"},{"id":17,"name":"Train ID","value":"1805-12"},{"id":16,"name":"Locomotive ID","value":"4056"},{"id":130,"name":"Impact","value":""},{"id":150,"name":"Time of Event (Mountain Time)","value":"08:35:42"},{"id":151,"name":"Denver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96"/>
        <v>start /low /b %USERPROFILE%\Documents\GitHub\eaglep3\Utilities\DownloadLogsFromS3.py --loco 4056 --day 2017-08-12</v>
      </c>
      <c r="AN165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14:35:42"},{"id":29,"name":"Sharepoint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731</v>
      </c>
      <c r="B166" s="7">
        <v>4055</v>
      </c>
      <c r="C166" s="21" t="s">
        <v>198</v>
      </c>
      <c r="D166" s="21" t="s">
        <v>920</v>
      </c>
      <c r="E166" s="13">
        <v>42959.359247685185</v>
      </c>
      <c r="F166" s="13">
        <v>42959.360381944447</v>
      </c>
      <c r="G166" s="7">
        <v>1</v>
      </c>
      <c r="H166" s="21" t="s">
        <v>921</v>
      </c>
      <c r="I166" s="13">
        <v>42959.371435185189</v>
      </c>
      <c r="J166" s="7">
        <v>0</v>
      </c>
      <c r="K166" s="89" t="str">
        <f t="shared" si="98"/>
        <v>4055/4056</v>
      </c>
      <c r="L166" s="21" t="str">
        <f>VLOOKUP(A166,'Trips&amp;Operators'!$C$1:$G$99999,5,FALSE)</f>
        <v>MACDONALD THOMAS</v>
      </c>
      <c r="M166" s="6">
        <f t="shared" si="99"/>
        <v>1.1053240741603076E-2</v>
      </c>
      <c r="N166" s="7">
        <f t="shared" si="100"/>
        <v>15.91666666790843</v>
      </c>
      <c r="O166" s="7"/>
      <c r="P166" s="7"/>
      <c r="Q166" s="22"/>
      <c r="R166" s="170"/>
      <c r="S166" s="213">
        <f t="shared" si="101"/>
        <v>1</v>
      </c>
      <c r="T166" s="195" t="str">
        <f t="shared" si="102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91"/>
        <v>https://d0f6bd738d7f1b3e5a7ca70fe4ff75f0.us-east-1.aws.found.io/app/kibana#/discover/Steve-Slow-Train-Analysis-(2080s-and-2083s)?_g=(refreshInterval:(display:Off,pause:!f,section:0,value:0),time:(from:'2017-08-12T07:37:19-0600',mode:absolute,to:'2017-08-12T09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6" s="197" t="str">
        <f>IF(AA166&lt;VLOOKUP(AG166,Variables!$AC$3:$AD$8,2,FALSE),"Y","N")</f>
        <v>N</v>
      </c>
      <c r="X166" s="197">
        <f t="shared" si="109"/>
        <v>1</v>
      </c>
      <c r="Y166" s="197">
        <f t="shared" si="104"/>
        <v>5.8619000000000003</v>
      </c>
      <c r="Z166" s="197">
        <f t="shared" si="105"/>
        <v>7.6200000000000004E-2</v>
      </c>
      <c r="AA166" s="197">
        <f t="shared" si="106"/>
        <v>5.7857000000000003</v>
      </c>
      <c r="AB166" s="54" t="e">
        <f>VLOOKUP(A166,Enforcements!$C$7:$K$12,8,0)</f>
        <v>#N/A</v>
      </c>
      <c r="AC166" s="51" t="e">
        <f>VLOOKUP(A166,Enforcements!$C$7:$E$12,3,0)</f>
        <v>#N/A</v>
      </c>
      <c r="AD166" s="206">
        <f t="shared" si="107"/>
        <v>1806</v>
      </c>
      <c r="AE166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66" s="74" t="str">
        <f t="shared" si="93"/>
        <v>"C:\Program Files (x86)\AstroGrep\AstroGrep.exe" /e /r /s /spath="%USERPROFILE%\AppData\Local\Temp\OnboardLogs" /stypes="app*4055*20170812*" /stext=" 14:.+((SYSTEM_STATE.+slice.+state.+changed )|(ment ac)|(multiple cpu faults)|(system.+state.+changed )|(\[timeout)|(PRM\|1\|D)|(kpr)|(kdp)|(train st.+moving)|(\|lc)|(penalty))"</v>
      </c>
      <c r="AG166" s="209" t="str">
        <f t="shared" si="108"/>
        <v>NW</v>
      </c>
      <c r="AH166" s="78" t="str">
        <f t="shared" si="94"/>
        <v>"%USERPROFILE%\Documents\GitHub\eaglep3\Utilities\RefineRTDCRunTimes.py" --tripid 1806-12 --locoid 4055 --swversion DE.1.0.9.0 --startMP 300:58619 --initTime 2017-08-12T08:37:19 --startdatetime 2017-08-12T08:38:57 --delay 1 --endMP 204:762 --enddatetime 2017-08-12T08:54:52 --enforcementcount 0 &gt;&gt;C:\Users\stu\Documents\GitHub\eaglep3-reporting\EC\2017-08-12-refined-times.txt</v>
      </c>
      <c r="AI166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{"issue":{"subject":"","project_id":79,"tracker_id":40,"status_id":1,"priority_id":2,"assigned_to_id":23,"start_date":"2017-08-12","description":"","custom_fields":[{"id":1,"name":"Subdivision","value":"NW"},{"id":4,"name":"Milepost","value":"0.0762"},{"id":17,"name":"Train ID","value":"1806-12"},{"id":16,"name":"Locomotive ID","value":"4055"},{"id":130,"name":"Impact","value":""},{"id":150,"name":"Time of Event (Mountain Time)","value":"08:54:52"},{"id":151,"name":"Denver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96"/>
        <v>start /low /b %USERPROFILE%\Documents\GitHub\eaglep3\Utilities\DownloadLogsFromS3.py --loco 4055 --day 2017-08-12</v>
      </c>
      <c r="AN166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14:54:52"},{"id":29,"name":"Sharepoint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735</v>
      </c>
      <c r="B167" s="7">
        <v>4056</v>
      </c>
      <c r="C167" s="21" t="s">
        <v>198</v>
      </c>
      <c r="D167" s="21" t="s">
        <v>922</v>
      </c>
      <c r="E167" s="13">
        <v>42959.372118055559</v>
      </c>
      <c r="F167" s="13">
        <v>42959.38989583333</v>
      </c>
      <c r="G167" s="7">
        <v>0</v>
      </c>
      <c r="H167" s="21" t="s">
        <v>923</v>
      </c>
      <c r="I167" s="13">
        <v>42959.399236111109</v>
      </c>
      <c r="J167" s="7">
        <v>0</v>
      </c>
      <c r="K167" s="89" t="str">
        <f t="shared" si="98"/>
        <v>4055/4056</v>
      </c>
      <c r="L167" s="21" t="str">
        <f>VLOOKUP(A167,'Trips&amp;Operators'!$C$1:$G$99999,5,FALSE)</f>
        <v>MACDONALD THOMAS</v>
      </c>
      <c r="M167" s="6">
        <f t="shared" si="99"/>
        <v>9.340277778392192E-3</v>
      </c>
      <c r="N167" s="7">
        <f t="shared" si="100"/>
        <v>13.450000000884756</v>
      </c>
      <c r="O167" s="7"/>
      <c r="P167" s="7"/>
      <c r="Q167" s="22"/>
      <c r="R167" s="170"/>
      <c r="S167" s="213">
        <f t="shared" si="101"/>
        <v>1</v>
      </c>
      <c r="T167" s="195" t="str">
        <f t="shared" si="102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91"/>
        <v>https://d0f6bd738d7f1b3e5a7ca70fe4ff75f0.us-east-1.aws.found.io/app/kibana#/discover/Steve-Slow-Train-Analysis-(2080s-and-2083s)?_g=(refreshInterval:(display:Off,pause:!f,section:0,value:0),time:(from:'2017-08-12T07:55:51-0600',mode:absolute,to:'2017-08-12T10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7" s="197" t="str">
        <f>IF(AA167&lt;VLOOKUP(AG167,Variables!$AC$3:$AD$8,2,FALSE),"Y","N")</f>
        <v>N</v>
      </c>
      <c r="X167" s="197">
        <f t="shared" si="109"/>
        <v>1</v>
      </c>
      <c r="Y167" s="197">
        <f t="shared" si="104"/>
        <v>0.10440000000000001</v>
      </c>
      <c r="Z167" s="197">
        <f t="shared" si="105"/>
        <v>5.8912000000000004</v>
      </c>
      <c r="AA167" s="197">
        <f t="shared" si="106"/>
        <v>5.7868000000000004</v>
      </c>
      <c r="AB167" s="54" t="e">
        <f>VLOOKUP(A167,Enforcements!$C$7:$K$12,8,0)</f>
        <v>#N/A</v>
      </c>
      <c r="AC167" s="51" t="e">
        <f>VLOOKUP(A167,Enforcements!$C$7:$E$12,3,0)</f>
        <v>#N/A</v>
      </c>
      <c r="AD167" s="206">
        <f t="shared" si="107"/>
        <v>1807</v>
      </c>
      <c r="AE167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67" s="74" t="str">
        <f t="shared" si="93"/>
        <v>"C:\Program Files (x86)\AstroGrep\AstroGrep.exe" /e /r /s /spath="%USERPROFILE%\AppData\Local\Temp\OnboardLogs" /stypes="app*4056*20170812*" /stext=" 15:.+((SYSTEM_STATE.+slice.+state.+changed )|(ment ac)|(multiple cpu faults)|(system.+state.+changed )|(\[timeout)|(PRM\|1\|D)|(kpr)|(kdp)|(train st.+moving)|(\|lc)|(penalty))"</v>
      </c>
      <c r="AG167" s="209" t="str">
        <f t="shared" si="108"/>
        <v>NW</v>
      </c>
      <c r="AH167" s="78" t="str">
        <f t="shared" si="94"/>
        <v>"%USERPROFILE%\Documents\GitHub\eaglep3\Utilities\RefineRTDCRunTimes.py" --tripid 1807-12 --locoid 4056 --swversion DE.1.0.9.0 --startMP 204:1044 --initTime 2017-08-12T08:55:51 --startdatetime 2017-08-12T09:21:27 --delay 0 --endMP 300:58912 --enddatetime 2017-08-12T09:34:54 --enforcementcount 0 &gt;&gt;C:\Users\stu\Documents\GitHub\eaglep3-reporting\EC\2017-08-12-refined-times.txt</v>
      </c>
      <c r="AI167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{"issue":{"subject":"","project_id":79,"tracker_id":40,"status_id":1,"priority_id":2,"assigned_to_id":23,"start_date":"2017-08-12","description":"","custom_fields":[{"id":1,"name":"Subdivision","value":"NW"},{"id":4,"name":"Milepost","value":"5.8912"},{"id":17,"name":"Train ID","value":"1807-12"},{"id":16,"name":"Locomotive ID","value":"4056"},{"id":130,"name":"Impact","value":""},{"id":150,"name":"Time of Event (Mountain Time)","value":"09:34:54"},{"id":151,"name":"Denver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96"/>
        <v>start /low /b %USERPROFILE%\Documents\GitHub\eaglep3\Utilities\DownloadLogsFromS3.py --loco 4056 --day 2017-08-12</v>
      </c>
      <c r="AN167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15:34:54"},{"id":29,"name":"Sharepoint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636</v>
      </c>
      <c r="B168" s="7">
        <v>4055</v>
      </c>
      <c r="C168" s="21" t="s">
        <v>198</v>
      </c>
      <c r="D168" s="21" t="s">
        <v>924</v>
      </c>
      <c r="E168" s="13">
        <v>42959.400173611109</v>
      </c>
      <c r="F168" s="13">
        <v>42959.401331018518</v>
      </c>
      <c r="G168" s="7">
        <v>1</v>
      </c>
      <c r="H168" s="21" t="s">
        <v>925</v>
      </c>
      <c r="I168" s="13">
        <v>42959.414074074077</v>
      </c>
      <c r="J168" s="7">
        <v>0</v>
      </c>
      <c r="K168" s="89" t="str">
        <f t="shared" si="98"/>
        <v>4055/4056</v>
      </c>
      <c r="L168" s="21" t="str">
        <f>VLOOKUP(A168,'Trips&amp;Operators'!$C$1:$G$99999,5,FALSE)</f>
        <v>MACDONALD THOMAS</v>
      </c>
      <c r="M168" s="6">
        <f t="shared" si="99"/>
        <v>1.2743055558530614E-2</v>
      </c>
      <c r="N168" s="7">
        <f t="shared" si="100"/>
        <v>18.350000004284084</v>
      </c>
      <c r="O168" s="7"/>
      <c r="P168" s="7"/>
      <c r="Q168" s="22"/>
      <c r="R168" s="170"/>
      <c r="S168" s="213">
        <f t="shared" si="101"/>
        <v>1</v>
      </c>
      <c r="T168" s="195" t="str">
        <f t="shared" si="102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91"/>
        <v>https://d0f6bd738d7f1b3e5a7ca70fe4ff75f0.us-east-1.aws.found.io/app/kibana#/discover/Steve-Slow-Train-Analysis-(2080s-and-2083s)?_g=(refreshInterval:(display:Off,pause:!f,section:0,value:0),time:(from:'2017-08-12T08:36:15-0600',mode:absolute,to:'2017-08-12T10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8" s="197" t="str">
        <f>IF(AA168&lt;VLOOKUP(AG168,Variables!$AC$3:$AD$8,2,FALSE),"Y","N")</f>
        <v>N</v>
      </c>
      <c r="X168" s="197">
        <f t="shared" si="109"/>
        <v>1</v>
      </c>
      <c r="Y168" s="197">
        <f t="shared" si="104"/>
        <v>5.8592000000000004</v>
      </c>
      <c r="Z168" s="197">
        <f t="shared" si="105"/>
        <v>6.9900000000000004E-2</v>
      </c>
      <c r="AA168" s="197">
        <f t="shared" si="106"/>
        <v>5.7893000000000008</v>
      </c>
      <c r="AB168" s="54" t="e">
        <f>VLOOKUP(A168,Enforcements!$C$7:$K$12,8,0)</f>
        <v>#N/A</v>
      </c>
      <c r="AC168" s="51" t="e">
        <f>VLOOKUP(A168,Enforcements!$C$7:$E$12,3,0)</f>
        <v>#N/A</v>
      </c>
      <c r="AD168" s="206">
        <f t="shared" si="107"/>
        <v>1808</v>
      </c>
      <c r="AE168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68" s="74" t="str">
        <f t="shared" si="93"/>
        <v>"C:\Program Files (x86)\AstroGrep\AstroGrep.exe" /e /r /s /spath="%USERPROFILE%\AppData\Local\Temp\OnboardLogs" /stypes="app*4055*20170812*" /stext=" 15:.+((SYSTEM_STATE.+slice.+state.+changed )|(ment ac)|(multiple cpu faults)|(system.+state.+changed )|(\[timeout)|(PRM\|1\|D)|(kpr)|(kdp)|(train st.+moving)|(\|lc)|(penalty))"</v>
      </c>
      <c r="AG168" s="209" t="str">
        <f t="shared" si="108"/>
        <v>NW</v>
      </c>
      <c r="AH168" s="78" t="str">
        <f t="shared" si="94"/>
        <v>"%USERPROFILE%\Documents\GitHub\eaglep3\Utilities\RefineRTDCRunTimes.py" --tripid 1808-12 --locoid 4055 --swversion DE.1.0.9.0 --startMP 300:58592 --initTime 2017-08-12T09:36:15 --startdatetime 2017-08-12T09:37:55 --delay 1 --endMP 204:699 --enddatetime 2017-08-12T09:56:16 --enforcementcount 0 &gt;&gt;C:\Users\stu\Documents\GitHub\eaglep3-reporting\EC\2017-08-12-refined-times.txt</v>
      </c>
      <c r="AI168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{"issue":{"subject":"","project_id":79,"tracker_id":40,"status_id":1,"priority_id":2,"assigned_to_id":23,"start_date":"2017-08-12","description":"","custom_fields":[{"id":1,"name":"Subdivision","value":"NW"},{"id":4,"name":"Milepost","value":"0.0699"},{"id":17,"name":"Train ID","value":"1808-12"},{"id":16,"name":"Locomotive ID","value":"4055"},{"id":130,"name":"Impact","value":""},{"id":150,"name":"Time of Event (Mountain Time)","value":"09:56:16"},{"id":151,"name":"Denver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96"/>
        <v>start /low /b %USERPROFILE%\Documents\GitHub\eaglep3\Utilities\DownloadLogsFromS3.py --loco 4055 --day 2017-08-12</v>
      </c>
      <c r="AN168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15:56:16"},{"id":29,"name":"Sharepoint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743</v>
      </c>
      <c r="B169" s="7">
        <v>4056</v>
      </c>
      <c r="C169" s="21" t="s">
        <v>198</v>
      </c>
      <c r="D169" s="21" t="s">
        <v>926</v>
      </c>
      <c r="E169" s="13">
        <v>42959.415196759262</v>
      </c>
      <c r="F169" s="13">
        <v>42959.431620370371</v>
      </c>
      <c r="G169" s="7">
        <v>1</v>
      </c>
      <c r="H169" s="21" t="s">
        <v>625</v>
      </c>
      <c r="I169" s="13">
        <v>42959.441516203704</v>
      </c>
      <c r="J169" s="7">
        <v>0</v>
      </c>
      <c r="K169" s="89" t="str">
        <f t="shared" si="98"/>
        <v>4055/4056</v>
      </c>
      <c r="L169" s="21" t="str">
        <f>VLOOKUP(A169,'Trips&amp;Operators'!$C$1:$G$99999,5,FALSE)</f>
        <v>MACDONALD THOMAS</v>
      </c>
      <c r="M169" s="6">
        <f t="shared" si="99"/>
        <v>9.8958333328482695E-3</v>
      </c>
      <c r="N169" s="7">
        <f t="shared" si="100"/>
        <v>14.249999999301508</v>
      </c>
      <c r="O169" s="7"/>
      <c r="P169" s="7"/>
      <c r="Q169" s="22"/>
      <c r="R169" s="170"/>
      <c r="S169" s="213">
        <f t="shared" si="101"/>
        <v>1</v>
      </c>
      <c r="T169" s="195" t="str">
        <f t="shared" si="102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91"/>
        <v>https://d0f6bd738d7f1b3e5a7ca70fe4ff75f0.us-east-1.aws.found.io/app/kibana#/discover/Steve-Slow-Train-Analysis-(2080s-and-2083s)?_g=(refreshInterval:(display:Off,pause:!f,section:0,value:0),time:(from:'2017-08-12T08:57:53-0600',mode:absolute,to:'2017-08-12T11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9" s="197" t="str">
        <f>IF(AA169&lt;VLOOKUP(AG169,Variables!$AC$3:$AD$8,2,FALSE),"Y","N")</f>
        <v>N</v>
      </c>
      <c r="X169" s="197">
        <f t="shared" si="109"/>
        <v>1</v>
      </c>
      <c r="Y169" s="197">
        <f t="shared" si="104"/>
        <v>9.9500000000000005E-2</v>
      </c>
      <c r="Z169" s="197">
        <f t="shared" si="105"/>
        <v>5.8925999999999998</v>
      </c>
      <c r="AA169" s="197">
        <f t="shared" si="106"/>
        <v>5.7930999999999999</v>
      </c>
      <c r="AB169" s="54" t="e">
        <f>VLOOKUP(A169,Enforcements!$C$7:$K$12,8,0)</f>
        <v>#N/A</v>
      </c>
      <c r="AC169" s="51" t="e">
        <f>VLOOKUP(A169,Enforcements!$C$7:$E$12,3,0)</f>
        <v>#N/A</v>
      </c>
      <c r="AD169" s="206">
        <f t="shared" si="107"/>
        <v>1809</v>
      </c>
      <c r="AE169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69" s="74" t="str">
        <f t="shared" si="93"/>
        <v>"C:\Program Files (x86)\AstroGrep\AstroGrep.exe" /e /r /s /spath="%USERPROFILE%\AppData\Local\Temp\OnboardLogs" /stypes="app*4056*20170812*" /stext=" 16:.+((SYSTEM_STATE.+slice.+state.+changed )|(ment ac)|(multiple cpu faults)|(system.+state.+changed )|(\[timeout)|(PRM\|1\|D)|(kpr)|(kdp)|(train st.+moving)|(\|lc)|(penalty))"</v>
      </c>
      <c r="AG169" s="209" t="str">
        <f t="shared" si="108"/>
        <v>NW</v>
      </c>
      <c r="AH169" s="78" t="str">
        <f t="shared" si="94"/>
        <v>"%USERPROFILE%\Documents\GitHub\eaglep3\Utilities\RefineRTDCRunTimes.py" --tripid 1809-12 --locoid 4056 --swversion DE.1.0.9.0 --startMP 204:995 --initTime 2017-08-12T09:57:53 --startdatetime 2017-08-12T10:21:32 --delay 1 --endMP 300:58926 --enddatetime 2017-08-12T10:35:47 --enforcementcount 0 &gt;&gt;C:\Users\stu\Documents\GitHub\eaglep3-reporting\EC\2017-08-12-refined-times.txt</v>
      </c>
      <c r="AI169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{"issue":{"subject":"","project_id":79,"tracker_id":40,"status_id":1,"priority_id":2,"assigned_to_id":23,"start_date":"2017-08-12","description":"","custom_fields":[{"id":1,"name":"Subdivision","value":"NW"},{"id":4,"name":"Milepost","value":"5.8926"},{"id":17,"name":"Train ID","value":"1809-12"},{"id":16,"name":"Locomotive ID","value":"4056"},{"id":130,"name":"Impact","value":""},{"id":150,"name":"Time of Event (Mountain Time)","value":"10:35:47"},{"id":151,"name":"Denver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96"/>
        <v>start /low /b %USERPROFILE%\Documents\GitHub\eaglep3\Utilities\DownloadLogsFromS3.py --loco 4056 --day 2017-08-12</v>
      </c>
      <c r="AN169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16:35:47"},{"id":29,"name":"Sharepoint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748</v>
      </c>
      <c r="B170" s="7">
        <v>4055</v>
      </c>
      <c r="C170" s="21" t="s">
        <v>198</v>
      </c>
      <c r="D170" s="21" t="s">
        <v>579</v>
      </c>
      <c r="E170" s="13">
        <v>42959.442569444444</v>
      </c>
      <c r="F170" s="13">
        <v>42959.443842592591</v>
      </c>
      <c r="G170" s="7">
        <v>1</v>
      </c>
      <c r="H170" s="21" t="s">
        <v>921</v>
      </c>
      <c r="I170" s="13">
        <v>42959.45484953704</v>
      </c>
      <c r="J170" s="7">
        <v>0</v>
      </c>
      <c r="K170" s="89" t="str">
        <f t="shared" si="98"/>
        <v>4055/4056</v>
      </c>
      <c r="L170" s="21" t="str">
        <f>VLOOKUP(A170,'Trips&amp;Operators'!$C$1:$G$99999,5,FALSE)</f>
        <v>MACDONALD THOMAS</v>
      </c>
      <c r="M170" s="6">
        <f t="shared" si="99"/>
        <v>1.1006944449036382E-2</v>
      </c>
      <c r="N170" s="7">
        <f t="shared" si="100"/>
        <v>15.85000000661239</v>
      </c>
      <c r="O170" s="7"/>
      <c r="P170" s="7"/>
      <c r="Q170" s="22"/>
      <c r="R170" s="170"/>
      <c r="S170" s="213">
        <f t="shared" si="101"/>
        <v>1</v>
      </c>
      <c r="T170" s="195" t="str">
        <f t="shared" si="102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91"/>
        <v>https://d0f6bd738d7f1b3e5a7ca70fe4ff75f0.us-east-1.aws.found.io/app/kibana#/discover/Steve-Slow-Train-Analysis-(2080s-and-2083s)?_g=(refreshInterval:(display:Off,pause:!f,section:0,value:0),time:(from:'2017-08-12T09:37:18-0600',mode:absolute,to:'2017-08-12T11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0" s="197" t="str">
        <f>IF(AA170&lt;VLOOKUP(AG170,Variables!$AC$3:$AD$8,2,FALSE),"Y","N")</f>
        <v>N</v>
      </c>
      <c r="X170" s="197">
        <f t="shared" si="109"/>
        <v>1</v>
      </c>
      <c r="Y170" s="197">
        <f t="shared" si="104"/>
        <v>5.8611000000000004</v>
      </c>
      <c r="Z170" s="197">
        <f t="shared" si="105"/>
        <v>7.6200000000000004E-2</v>
      </c>
      <c r="AA170" s="197">
        <f t="shared" si="106"/>
        <v>5.7849000000000004</v>
      </c>
      <c r="AB170" s="54" t="e">
        <f>VLOOKUP(A170,Enforcements!$C$7:$K$12,8,0)</f>
        <v>#N/A</v>
      </c>
      <c r="AC170" s="51" t="e">
        <f>VLOOKUP(A170,Enforcements!$C$7:$E$12,3,0)</f>
        <v>#N/A</v>
      </c>
      <c r="AD170" s="206">
        <f t="shared" si="107"/>
        <v>1810</v>
      </c>
      <c r="AE170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70" s="74" t="str">
        <f t="shared" si="93"/>
        <v>"C:\Program Files (x86)\AstroGrep\AstroGrep.exe" /e /r /s /spath="%USERPROFILE%\AppData\Local\Temp\OnboardLogs" /stypes="app*4055*20170812*" /stext=" 16:.+((SYSTEM_STATE.+slice.+state.+changed )|(ment ac)|(multiple cpu faults)|(system.+state.+changed )|(\[timeout)|(PRM\|1\|D)|(kpr)|(kdp)|(train st.+moving)|(\|lc)|(penalty))"</v>
      </c>
      <c r="AG170" s="209" t="str">
        <f t="shared" si="108"/>
        <v>NW</v>
      </c>
      <c r="AH170" s="78" t="str">
        <f t="shared" si="94"/>
        <v>"%USERPROFILE%\Documents\GitHub\eaglep3\Utilities\RefineRTDCRunTimes.py" --tripid 1810-12 --locoid 4055 --swversion DE.1.0.9.0 --startMP 300:58611 --initTime 2017-08-12T10:37:18 --startdatetime 2017-08-12T10:39:08 --delay 1 --endMP 204:762 --enddatetime 2017-08-12T10:54:59 --enforcementcount 0 &gt;&gt;C:\Users\stu\Documents\GitHub\eaglep3-reporting\EC\2017-08-12-refined-times.txt</v>
      </c>
      <c r="AI170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{"issue":{"subject":"","project_id":79,"tracker_id":40,"status_id":1,"priority_id":2,"assigned_to_id":23,"start_date":"2017-08-12","description":"","custom_fields":[{"id":1,"name":"Subdivision","value":"NW"},{"id":4,"name":"Milepost","value":"0.0762"},{"id":17,"name":"Train ID","value":"1810-12"},{"id":16,"name":"Locomotive ID","value":"4055"},{"id":130,"name":"Impact","value":""},{"id":150,"name":"Time of Event (Mountain Time)","value":"10:54:59"},{"id":151,"name":"Denver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96"/>
        <v>start /low /b %USERPROFILE%\Documents\GitHub\eaglep3\Utilities\DownloadLogsFromS3.py --loco 4055 --day 2017-08-12</v>
      </c>
      <c r="AN170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16:54:59"},{"id":29,"name":"Sharepoint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754</v>
      </c>
      <c r="B171" s="7">
        <v>4056</v>
      </c>
      <c r="C171" s="21" t="s">
        <v>198</v>
      </c>
      <c r="D171" s="21" t="s">
        <v>928</v>
      </c>
      <c r="E171" s="13">
        <v>42959.455763888887</v>
      </c>
      <c r="F171" s="13">
        <v>42959.473564814813</v>
      </c>
      <c r="G171" s="7">
        <v>0</v>
      </c>
      <c r="H171" s="21" t="s">
        <v>929</v>
      </c>
      <c r="I171" s="13">
        <v>42959.483946759261</v>
      </c>
      <c r="J171" s="7">
        <v>0</v>
      </c>
      <c r="K171" s="89" t="str">
        <f t="shared" si="98"/>
        <v>4055/4056</v>
      </c>
      <c r="L171" s="21" t="str">
        <f>VLOOKUP(A171,'Trips&amp;Operators'!$C$1:$G$99999,5,FALSE)</f>
        <v>MACDONALD THOMAS</v>
      </c>
      <c r="M171" s="6">
        <f t="shared" si="99"/>
        <v>1.0381944448454306E-2</v>
      </c>
      <c r="N171" s="7">
        <f t="shared" si="100"/>
        <v>14.9500000057742</v>
      </c>
      <c r="O171" s="7"/>
      <c r="P171" s="7"/>
      <c r="Q171" s="22"/>
      <c r="R171" s="170"/>
      <c r="S171" s="213">
        <f t="shared" si="101"/>
        <v>1</v>
      </c>
      <c r="T171" s="195" t="str">
        <f t="shared" si="102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91"/>
        <v>https://d0f6bd738d7f1b3e5a7ca70fe4ff75f0.us-east-1.aws.found.io/app/kibana#/discover/Steve-Slow-Train-Analysis-(2080s-and-2083s)?_g=(refreshInterval:(display:Off,pause:!f,section:0,value:0),time:(from:'2017-08-12T09:56:18-0600',mode:absolute,to:'2017-08-12T12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1" s="197" t="str">
        <f>IF(AA171&lt;VLOOKUP(AG171,Variables!$AC$3:$AD$8,2,FALSE),"Y","N")</f>
        <v>N</v>
      </c>
      <c r="X171" s="197">
        <f t="shared" si="109"/>
        <v>1</v>
      </c>
      <c r="Y171" s="197">
        <f t="shared" si="104"/>
        <v>0.10489999999999999</v>
      </c>
      <c r="Z171" s="197">
        <f t="shared" si="105"/>
        <v>5.8921999999999999</v>
      </c>
      <c r="AA171" s="197">
        <f t="shared" si="106"/>
        <v>5.7873000000000001</v>
      </c>
      <c r="AB171" s="54" t="e">
        <f>VLOOKUP(A171,Enforcements!$C$7:$K$12,8,0)</f>
        <v>#N/A</v>
      </c>
      <c r="AC171" s="51" t="e">
        <f>VLOOKUP(A171,Enforcements!$C$7:$E$12,3,0)</f>
        <v>#N/A</v>
      </c>
      <c r="AD171" s="206">
        <f t="shared" si="107"/>
        <v>1811</v>
      </c>
      <c r="AE171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71" s="74" t="str">
        <f t="shared" si="93"/>
        <v>"C:\Program Files (x86)\AstroGrep\AstroGrep.exe" /e /r /s /spath="%USERPROFILE%\AppData\Local\Temp\OnboardLogs" /stypes="app*4056*20170812*" /stext=" 17:.+((SYSTEM_STATE.+slice.+state.+changed )|(ment ac)|(multiple cpu faults)|(system.+state.+changed )|(\[timeout)|(PRM\|1\|D)|(kpr)|(kdp)|(train st.+moving)|(\|lc)|(penalty))"</v>
      </c>
      <c r="AG171" s="209" t="str">
        <f t="shared" si="108"/>
        <v>NW</v>
      </c>
      <c r="AH171" s="78" t="str">
        <f t="shared" si="94"/>
        <v>"%USERPROFILE%\Documents\GitHub\eaglep3\Utilities\RefineRTDCRunTimes.py" --tripid 1811-12 --locoid 4056 --swversion DE.1.0.9.0 --startMP 204:1049 --initTime 2017-08-12T10:56:18 --startdatetime 2017-08-12T11:21:56 --delay 0 --endMP 300:58922 --enddatetime 2017-08-12T11:36:53 --enforcementcount 0 &gt;&gt;C:\Users\stu\Documents\GitHub\eaglep3-reporting\EC\2017-08-12-refined-times.txt</v>
      </c>
      <c r="AI171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{"issue":{"subject":"","project_id":79,"tracker_id":40,"status_id":1,"priority_id":2,"assigned_to_id":23,"start_date":"2017-08-12","description":"","custom_fields":[{"id":1,"name":"Subdivision","value":"NW"},{"id":4,"name":"Milepost","value":"5.8922"},{"id":17,"name":"Train ID","value":"1811-12"},{"id":16,"name":"Locomotive ID","value":"4056"},{"id":130,"name":"Impact","value":""},{"id":150,"name":"Time of Event (Mountain Time)","value":"11:36:53"},{"id":151,"name":"Denver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96"/>
        <v>start /low /b %USERPROFILE%\Documents\GitHub\eaglep3\Utilities\DownloadLogsFromS3.py --loco 4056 --day 2017-08-12</v>
      </c>
      <c r="AN171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17:36:53"},{"id":29,"name":"Sharepoint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761</v>
      </c>
      <c r="B172" s="7">
        <v>4055</v>
      </c>
      <c r="C172" s="21" t="s">
        <v>198</v>
      </c>
      <c r="D172" s="21" t="s">
        <v>626</v>
      </c>
      <c r="E172" s="13">
        <v>42959.484942129631</v>
      </c>
      <c r="F172" s="13">
        <v>42959.486840277779</v>
      </c>
      <c r="G172" s="7">
        <v>2</v>
      </c>
      <c r="H172" s="21" t="s">
        <v>577</v>
      </c>
      <c r="I172" s="13">
        <v>42959.496412037035</v>
      </c>
      <c r="J172" s="7">
        <v>0</v>
      </c>
      <c r="K172" s="89" t="str">
        <f t="shared" si="98"/>
        <v>4055/4056</v>
      </c>
      <c r="L172" s="21" t="str">
        <f>VLOOKUP(A172,'Trips&amp;Operators'!$C$1:$G$99999,5,FALSE)</f>
        <v>MACDONALD THOMAS</v>
      </c>
      <c r="M172" s="6">
        <f t="shared" si="99"/>
        <v>9.5717592557775788E-3</v>
      </c>
      <c r="N172" s="7">
        <f t="shared" si="100"/>
        <v>13.783333328319713</v>
      </c>
      <c r="O172" s="7"/>
      <c r="P172" s="7"/>
      <c r="Q172" s="22"/>
      <c r="R172" s="170"/>
      <c r="S172" s="213">
        <f t="shared" si="101"/>
        <v>1</v>
      </c>
      <c r="T172" s="195" t="str">
        <f t="shared" si="102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91"/>
        <v>https://d0f6bd738d7f1b3e5a7ca70fe4ff75f0.us-east-1.aws.found.io/app/kibana#/discover/Steve-Slow-Train-Analysis-(2080s-and-2083s)?_g=(refreshInterval:(display:Off,pause:!f,section:0,value:0),time:(from:'2017-08-12T10:38:19-0600',mode:absolute,to:'2017-08-12T12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2" s="197" t="str">
        <f>IF(AA172&lt;VLOOKUP(AG172,Variables!$AC$3:$AD$8,2,FALSE),"Y","N")</f>
        <v>N</v>
      </c>
      <c r="X172" s="197">
        <f t="shared" si="109"/>
        <v>1</v>
      </c>
      <c r="Y172" s="197">
        <f t="shared" si="104"/>
        <v>5.8609</v>
      </c>
      <c r="Z172" s="197">
        <f t="shared" si="105"/>
        <v>6.8400000000000002E-2</v>
      </c>
      <c r="AA172" s="197">
        <f t="shared" si="106"/>
        <v>5.7925000000000004</v>
      </c>
      <c r="AB172" s="54" t="e">
        <f>VLOOKUP(A172,Enforcements!$C$7:$K$12,8,0)</f>
        <v>#N/A</v>
      </c>
      <c r="AC172" s="51" t="e">
        <f>VLOOKUP(A172,Enforcements!$C$7:$E$12,3,0)</f>
        <v>#N/A</v>
      </c>
      <c r="AD172" s="206">
        <f t="shared" si="107"/>
        <v>1812</v>
      </c>
      <c r="AE172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72" s="74" t="str">
        <f t="shared" si="93"/>
        <v>"C:\Program Files (x86)\AstroGrep\AstroGrep.exe" /e /r /s /spath="%USERPROFILE%\AppData\Local\Temp\OnboardLogs" /stypes="app*4055*20170812*" /stext=" 17:.+((SYSTEM_STATE.+slice.+state.+changed )|(ment ac)|(multiple cpu faults)|(system.+state.+changed )|(\[timeout)|(PRM\|1\|D)|(kpr)|(kdp)|(train st.+moving)|(\|lc)|(penalty))"</v>
      </c>
      <c r="AG172" s="209" t="str">
        <f t="shared" si="108"/>
        <v>NW</v>
      </c>
      <c r="AH172" s="78" t="str">
        <f t="shared" si="94"/>
        <v>"%USERPROFILE%\Documents\GitHub\eaglep3\Utilities\RefineRTDCRunTimes.py" --tripid 1812-12 --locoid 4055 --swversion DE.1.0.9.0 --startMP 300:58609 --initTime 2017-08-12T11:38:19 --startdatetime 2017-08-12T11:41:03 --delay 2 --endMP 204:684 --enddatetime 2017-08-12T11:54:50 --enforcementcount 0 &gt;&gt;C:\Users\stu\Documents\GitHub\eaglep3-reporting\EC\2017-08-12-refined-times.txt</v>
      </c>
      <c r="AI172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{"issue":{"subject":"","project_id":79,"tracker_id":40,"status_id":1,"priority_id":2,"assigned_to_id":23,"start_date":"2017-08-12","description":"","custom_fields":[{"id":1,"name":"Subdivision","value":"NW"},{"id":4,"name":"Milepost","value":"0.0684"},{"id":17,"name":"Train ID","value":"1812-12"},{"id":16,"name":"Locomotive ID","value":"4055"},{"id":130,"name":"Impact","value":""},{"id":150,"name":"Time of Event (Mountain Time)","value":"11:54:50"},{"id":151,"name":"Denver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96"/>
        <v>start /low /b %USERPROFILE%\Documents\GitHub\eaglep3\Utilities\DownloadLogsFromS3.py --loco 4055 --day 2017-08-12</v>
      </c>
      <c r="AN172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17:54:50"},{"id":29,"name":"Sharepoint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767</v>
      </c>
      <c r="B173" s="7">
        <v>4056</v>
      </c>
      <c r="C173" s="21" t="s">
        <v>198</v>
      </c>
      <c r="D173" s="21" t="s">
        <v>930</v>
      </c>
      <c r="E173" s="13">
        <v>42959.49722222222</v>
      </c>
      <c r="F173" s="13">
        <v>42959.514837962961</v>
      </c>
      <c r="G173" s="7">
        <v>1</v>
      </c>
      <c r="H173" s="21" t="s">
        <v>929</v>
      </c>
      <c r="I173" s="13">
        <v>42959.524050925924</v>
      </c>
      <c r="J173" s="7">
        <v>0</v>
      </c>
      <c r="K173" s="89" t="str">
        <f t="shared" si="98"/>
        <v>4055/4056</v>
      </c>
      <c r="L173" s="21" t="str">
        <f>VLOOKUP(A173,'Trips&amp;Operators'!$C$1:$G$99999,5,FALSE)</f>
        <v>MACDONALD THOMAS</v>
      </c>
      <c r="M173" s="6">
        <f t="shared" si="99"/>
        <v>9.2129629629198462E-3</v>
      </c>
      <c r="N173" s="7">
        <f t="shared" si="100"/>
        <v>13.266666666604578</v>
      </c>
      <c r="O173" s="7"/>
      <c r="P173" s="7"/>
      <c r="Q173" s="22"/>
      <c r="R173" s="170"/>
      <c r="S173" s="213">
        <f t="shared" si="101"/>
        <v>1</v>
      </c>
      <c r="T173" s="195" t="str">
        <f t="shared" si="102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91"/>
        <v>https://d0f6bd738d7f1b3e5a7ca70fe4ff75f0.us-east-1.aws.found.io/app/kibana#/discover/Steve-Slow-Train-Analysis-(2080s-and-2083s)?_g=(refreshInterval:(display:Off,pause:!f,section:0,value:0),time:(from:'2017-08-12T10:56:00-0600',mode:absolute,to:'2017-08-12T13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3" s="197" t="str">
        <f>IF(AA173&lt;VLOOKUP(AG173,Variables!$AC$3:$AD$8,2,FALSE),"Y","N")</f>
        <v>N</v>
      </c>
      <c r="X173" s="197">
        <f t="shared" si="109"/>
        <v>1</v>
      </c>
      <c r="Y173" s="197">
        <f t="shared" si="104"/>
        <v>9.5500000000000002E-2</v>
      </c>
      <c r="Z173" s="197">
        <f t="shared" si="105"/>
        <v>5.8921999999999999</v>
      </c>
      <c r="AA173" s="197">
        <f t="shared" si="106"/>
        <v>5.7966999999999995</v>
      </c>
      <c r="AB173" s="54" t="e">
        <f>VLOOKUP(A173,Enforcements!$C$7:$K$12,8,0)</f>
        <v>#N/A</v>
      </c>
      <c r="AC173" s="51" t="e">
        <f>VLOOKUP(A173,Enforcements!$C$7:$E$12,3,0)</f>
        <v>#N/A</v>
      </c>
      <c r="AD173" s="206">
        <f t="shared" si="107"/>
        <v>1813</v>
      </c>
      <c r="AE173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73" s="74" t="str">
        <f t="shared" si="93"/>
        <v>"C:\Program Files (x86)\AstroGrep\AstroGrep.exe" /e /r /s /spath="%USERPROFILE%\AppData\Local\Temp\OnboardLogs" /stypes="app*4056*20170812*" /stext=" 18:.+((SYSTEM_STATE.+slice.+state.+changed )|(ment ac)|(multiple cpu faults)|(system.+state.+changed )|(\[timeout)|(PRM\|1\|D)|(kpr)|(kdp)|(train st.+moving)|(\|lc)|(penalty))"</v>
      </c>
      <c r="AG173" s="209" t="str">
        <f t="shared" si="108"/>
        <v>NW</v>
      </c>
      <c r="AH173" s="78" t="str">
        <f t="shared" si="94"/>
        <v>"%USERPROFILE%\Documents\GitHub\eaglep3\Utilities\RefineRTDCRunTimes.py" --tripid 1813-12 --locoid 4056 --swversion DE.1.0.9.0 --startMP 204:955 --initTime 2017-08-12T11:56:00 --startdatetime 2017-08-12T12:21:22 --delay 1 --endMP 300:58922 --enddatetime 2017-08-12T12:34:38 --enforcementcount 0 &gt;&gt;C:\Users\stu\Documents\GitHub\eaglep3-reporting\EC\2017-08-12-refined-times.txt</v>
      </c>
      <c r="AI173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{"issue":{"subject":"","project_id":79,"tracker_id":40,"status_id":1,"priority_id":2,"assigned_to_id":23,"start_date":"2017-08-12","description":"","custom_fields":[{"id":1,"name":"Subdivision","value":"NW"},{"id":4,"name":"Milepost","value":"5.8922"},{"id":17,"name":"Train ID","value":"1813-12"},{"id":16,"name":"Locomotive ID","value":"4056"},{"id":130,"name":"Impact","value":""},{"id":150,"name":"Time of Event (Mountain Time)","value":"12:34:38"},{"id":151,"name":"Denver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96"/>
        <v>start /low /b %USERPROFILE%\Documents\GitHub\eaglep3\Utilities\DownloadLogsFromS3.py --loco 4056 --day 2017-08-12</v>
      </c>
      <c r="AN173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18:34:38"},{"id":29,"name":"Sharepoint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773</v>
      </c>
      <c r="B174" s="7">
        <v>4055</v>
      </c>
      <c r="C174" s="21" t="s">
        <v>198</v>
      </c>
      <c r="D174" s="21" t="s">
        <v>931</v>
      </c>
      <c r="E174" s="13">
        <v>42959.525057870371</v>
      </c>
      <c r="F174" s="13">
        <v>42959.526759259257</v>
      </c>
      <c r="G174" s="7">
        <v>1</v>
      </c>
      <c r="H174" s="21" t="s">
        <v>932</v>
      </c>
      <c r="I174" s="13">
        <v>42959.538877314815</v>
      </c>
      <c r="J174" s="7">
        <v>0</v>
      </c>
      <c r="K174" s="89" t="str">
        <f t="shared" si="98"/>
        <v>4055/4056</v>
      </c>
      <c r="L174" s="21" t="str">
        <f>VLOOKUP(A174,'Trips&amp;Operators'!$C$1:$G$99999,5,FALSE)</f>
        <v>MACDONALD THOMAS</v>
      </c>
      <c r="M174" s="6">
        <f t="shared" si="99"/>
        <v>1.2118055557948537E-2</v>
      </c>
      <c r="N174" s="7">
        <f t="shared" si="100"/>
        <v>17.450000003445894</v>
      </c>
      <c r="O174" s="7"/>
      <c r="P174" s="7"/>
      <c r="Q174" s="22"/>
      <c r="R174" s="170"/>
      <c r="S174" s="213">
        <f t="shared" si="101"/>
        <v>1</v>
      </c>
      <c r="T174" s="195" t="str">
        <f t="shared" si="102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91"/>
        <v>https://d0f6bd738d7f1b3e5a7ca70fe4ff75f0.us-east-1.aws.found.io/app/kibana#/discover/Steve-Slow-Train-Analysis-(2080s-and-2083s)?_g=(refreshInterval:(display:Off,pause:!f,section:0,value:0),time:(from:'2017-08-12T11:36:05-0600',mode:absolute,to:'2017-08-12T13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4" s="197" t="str">
        <f>IF(AA174&lt;VLOOKUP(AG174,Variables!$AC$3:$AD$8,2,FALSE),"Y","N")</f>
        <v>N</v>
      </c>
      <c r="X174" s="197">
        <f t="shared" si="109"/>
        <v>1</v>
      </c>
      <c r="Y174" s="197">
        <f t="shared" si="104"/>
        <v>5.8608000000000002</v>
      </c>
      <c r="Z174" s="197">
        <f t="shared" si="105"/>
        <v>7.3099999999999998E-2</v>
      </c>
      <c r="AA174" s="197">
        <f t="shared" si="106"/>
        <v>5.7877000000000001</v>
      </c>
      <c r="AB174" s="54" t="e">
        <f>VLOOKUP(A174,Enforcements!$C$7:$K$12,8,0)</f>
        <v>#N/A</v>
      </c>
      <c r="AC174" s="51" t="e">
        <f>VLOOKUP(A174,Enforcements!$C$7:$E$12,3,0)</f>
        <v>#N/A</v>
      </c>
      <c r="AD174" s="206">
        <f t="shared" si="107"/>
        <v>1814</v>
      </c>
      <c r="AE174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74" s="74" t="str">
        <f t="shared" si="93"/>
        <v>"C:\Program Files (x86)\AstroGrep\AstroGrep.exe" /e /r /s /spath="%USERPROFILE%\AppData\Local\Temp\OnboardLogs" /stypes="app*4055*20170812*" /stext=" 18:.+((SYSTEM_STATE.+slice.+state.+changed )|(ment ac)|(multiple cpu faults)|(system.+state.+changed )|(\[timeout)|(PRM\|1\|D)|(kpr)|(kdp)|(train st.+moving)|(\|lc)|(penalty))"</v>
      </c>
      <c r="AG174" s="209" t="str">
        <f t="shared" si="108"/>
        <v>NW</v>
      </c>
      <c r="AH174" s="78" t="str">
        <f t="shared" si="94"/>
        <v>"%USERPROFILE%\Documents\GitHub\eaglep3\Utilities\RefineRTDCRunTimes.py" --tripid 1814-12 --locoid 4055 --swversion DE.1.0.9.0 --startMP 300:58608 --initTime 2017-08-12T12:36:05 --startdatetime 2017-08-12T12:38:32 --delay 1 --endMP 204:731 --enddatetime 2017-08-12T12:55:59 --enforcementcount 0 &gt;&gt;C:\Users\stu\Documents\GitHub\eaglep3-reporting\EC\2017-08-12-refined-times.txt</v>
      </c>
      <c r="AI174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{"issue":{"subject":"","project_id":79,"tracker_id":40,"status_id":1,"priority_id":2,"assigned_to_id":23,"start_date":"2017-08-12","description":"","custom_fields":[{"id":1,"name":"Subdivision","value":"NW"},{"id":4,"name":"Milepost","value":"0.0731"},{"id":17,"name":"Train ID","value":"1814-12"},{"id":16,"name":"Locomotive ID","value":"4055"},{"id":130,"name":"Impact","value":""},{"id":150,"name":"Time of Event (Mountain Time)","value":"12:55:59"},{"id":151,"name":"Denver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96"/>
        <v>start /low /b %USERPROFILE%\Documents\GitHub\eaglep3\Utilities\DownloadLogsFromS3.py --loco 4055 --day 2017-08-12</v>
      </c>
      <c r="AN174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18:55:59"},{"id":29,"name":"Sharepoint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776</v>
      </c>
      <c r="B175" s="7">
        <v>4056</v>
      </c>
      <c r="C175" s="21" t="s">
        <v>198</v>
      </c>
      <c r="D175" s="21" t="s">
        <v>931</v>
      </c>
      <c r="E175" s="13">
        <v>42959.525057870371</v>
      </c>
      <c r="F175" s="13">
        <v>42959.556469907409</v>
      </c>
      <c r="G175" s="7">
        <v>1</v>
      </c>
      <c r="H175" s="21" t="s">
        <v>932</v>
      </c>
      <c r="I175" s="13">
        <v>42959.565821759257</v>
      </c>
      <c r="J175" s="7">
        <v>0</v>
      </c>
      <c r="K175" s="89" t="str">
        <f t="shared" si="98"/>
        <v>4055/4056</v>
      </c>
      <c r="L175" s="21" t="str">
        <f>VLOOKUP(A175,'Trips&amp;Operators'!$C$1:$G$99999,5,FALSE)</f>
        <v>MACDONALD THOMAS</v>
      </c>
      <c r="M175" s="6">
        <f t="shared" si="99"/>
        <v>9.3518518478958867E-3</v>
      </c>
      <c r="N175" s="7">
        <f t="shared" si="100"/>
        <v>13.466666660970077</v>
      </c>
      <c r="O175" s="7"/>
      <c r="P175" s="7"/>
      <c r="Q175" s="22"/>
      <c r="R175" s="170"/>
      <c r="S175" s="213">
        <f t="shared" si="101"/>
        <v>1</v>
      </c>
      <c r="T175" s="195" t="str">
        <f t="shared" si="102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91"/>
        <v>https://d0f6bd738d7f1b3e5a7ca70fe4ff75f0.us-east-1.aws.found.io/app/kibana#/discover/Steve-Slow-Train-Analysis-(2080s-and-2083s)?_g=(refreshInterval:(display:Off,pause:!f,section:0,value:0),time:(from:'2017-08-12T11:36:05-0600',mode:absolute,to:'2017-08-12T14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5" s="197" t="str">
        <f>IF(AA175&lt;VLOOKUP(AG175,Variables!$AC$3:$AD$8,2,FALSE),"Y","N")</f>
        <v>N</v>
      </c>
      <c r="X175" s="197">
        <f t="shared" si="109"/>
        <v>1</v>
      </c>
      <c r="Y175" s="197">
        <v>9.5500000000000002E-2</v>
      </c>
      <c r="Z175" s="197">
        <v>5.8921999999999999</v>
      </c>
      <c r="AA175" s="197">
        <f t="shared" si="106"/>
        <v>5.7966999999999995</v>
      </c>
      <c r="AB175" s="54" t="e">
        <f>VLOOKUP(A175,Enforcements!$C$7:$K$12,8,0)</f>
        <v>#N/A</v>
      </c>
      <c r="AC175" s="51" t="e">
        <f>VLOOKUP(A175,Enforcements!$C$7:$E$12,3,0)</f>
        <v>#N/A</v>
      </c>
      <c r="AD175" s="206">
        <f t="shared" si="107"/>
        <v>1815</v>
      </c>
      <c r="AE175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75" s="74" t="str">
        <f t="shared" si="93"/>
        <v>"C:\Program Files (x86)\AstroGrep\AstroGrep.exe" /e /r /s /spath="%USERPROFILE%\AppData\Local\Temp\OnboardLogs" /stypes="app*4056*20170812*" /stext=" 19:.+((SYSTEM_STATE.+slice.+state.+changed )|(ment ac)|(multiple cpu faults)|(system.+state.+changed )|(\[timeout)|(PRM\|1\|D)|(kpr)|(kdp)|(train st.+moving)|(\|lc)|(penalty))"</v>
      </c>
      <c r="AG175" s="209" t="str">
        <f t="shared" si="108"/>
        <v>NW</v>
      </c>
      <c r="AH175" s="78" t="str">
        <f t="shared" ref="AH175" si="110">refinertdcruntimes&amp;" --tripid "&amp;A175&amp;" --locoid "&amp;B175&amp;" --swversion "&amp;C175&amp;" --startMP "&amp;D175&amp;" --initTime "&amp;TEXT(E175,"yyyy-mm-ddTHH:MM:SS")&amp;" --startdatetime "&amp;TEXT(F175,"yyyy-mm-ddTHH:MM:SS")&amp;" --delay "&amp;G175&amp;" --endMP "&amp;H175&amp;" --enddatetime "&amp;TEXT(I175,"yyyy-mm-ddTHH:MM:SS")&amp;" --enforcementcount "&amp;J175&amp;IF(outputrefinedruntimes," &gt;&gt;"&amp;RefinedRTDCRunTimesOutputFile,"")</f>
        <v>"%USERPROFILE%\Documents\GitHub\eaglep3\Utilities\RefineRTDCRunTimes.py" --tripid 1815-12 --locoid 4056 --swversion DE.1.0.9.0 --startMP 300:58608 --initTime 2017-08-12T12:36:05 --startdatetime 2017-08-12T13:21:19 --delay 1 --endMP 204:731 --enddatetime 2017-08-12T13:34:47 --enforcementcount 0 &gt;&gt;C:\Users\stu\Documents\GitHub\eaglep3-reporting\EC\2017-08-12-refined-times.txt</v>
      </c>
      <c r="AI175" s="96" t="str">
        <f t="shared" ref="AI175" si="111">"echo {""issue"":{""subject"":"""&amp;R175&amp;""",""project_id"":79,""tracker_id"":40,""status_id"":"&amp;redmine_status&amp;",""priority_id"":"&amp;redmine_priority&amp;",""assigned_to_id"":"&amp;redmine_assignee&amp;",""start_date"":"""&amp;TEXT(I175,"YYYY-mm-dd")&amp;""",""description"":"""&amp;AJ175&amp;""",""custom_fields"":[{""id"":1,""name"":""Subdivision"",""value"":"""&amp;AG175&amp;"""},{""id"":4,""name"":""Milepost"",""value"":"""&amp;Z175&amp;"""},{""id"":17,""name"":""Train ID"",""value"":"""&amp;A175&amp;"""},{""id"":16,""name"":""Locomotive ID"",""value"":"""&amp;B175&amp;"""},{""id"":130,""name"":""Impact"",""value"":"""&amp;AK175&amp;"""},{""id"":150,""name"":""Time of Event (Mountain Time)"",""value"":"""&amp;TEXT(I175,"hh:mm:ss")&amp;"""},{""id"":151,""name"":""Denver Issue ID"",""value"":"""&amp;"""},{""id"":178,""name"":""Operational Impact"",""value"":"""&amp;redmine_op_impact&amp;"""},{""id"":179,""name"":""Denver Segment Assigned"",""value"":"""&amp;AL175&amp;"""}]}}"&amp;"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{"issue":{"subject":"","project_id":79,"tracker_id":40,"status_id":1,"priority_id":2,"assigned_to_id":23,"start_date":"2017-08-12","description":"","custom_fields":[{"id":1,"name":"Subdivision","value":"NW"},{"id":4,"name":"Milepost","value":"5.8922"},{"id":17,"name":"Train ID","value":"1815-12"},{"id":16,"name":"Locomotive ID","value":"4056"},{"id":130,"name":"Impact","value":""},{"id":150,"name":"Time of Event (Mountain Time)","value":"13:34:47"},{"id":151,"name":"Denver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ref="AM175" si="112">"start /low /b "&amp;dls3logs&amp;" --loco "&amp;B175&amp;" --day "&amp;TEXT(F175,"YYYY-MM-DD")</f>
        <v>start /low /b %USERPROFILE%\Documents\GitHub\eaglep3\Utilities\DownloadLogsFromS3.py --loco 4056 --day 2017-08-12</v>
      </c>
      <c r="AN175" s="151" t="str">
        <f t="shared" ref="AN175" si="113">"echo {""issue"":{""subject"":"""&amp;R175&amp;""",""project_id"":30,""tracker_id"":4,""status_id"":"&amp;redmine_status_wcr&amp;",""priority_id"":"&amp;redmine_priority_wcr&amp;",""assigned_to_id"":"&amp;redmine_assignee_wcr&amp;",""start_date"":"""&amp;TEXT(I175-utc_offset/24,"YYYY-mm-dd")&amp;""",""description"":"""&amp;AJ175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19:34:47"},{"id":29,"name":"Sharepoint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781</v>
      </c>
      <c r="B176" s="7">
        <v>4055</v>
      </c>
      <c r="C176" s="21" t="s">
        <v>198</v>
      </c>
      <c r="D176" s="21" t="s">
        <v>626</v>
      </c>
      <c r="E176" s="13">
        <v>42959.56658564815</v>
      </c>
      <c r="F176" s="13">
        <v>42959.567708333336</v>
      </c>
      <c r="G176" s="7">
        <v>1</v>
      </c>
      <c r="H176" s="21" t="s">
        <v>933</v>
      </c>
      <c r="I176" s="13">
        <v>42959.579953703702</v>
      </c>
      <c r="J176" s="7">
        <v>0</v>
      </c>
      <c r="K176" s="89" t="str">
        <f t="shared" si="98"/>
        <v>4055/4056</v>
      </c>
      <c r="L176" s="21" t="str">
        <f>VLOOKUP(A176,'Trips&amp;Operators'!$C$1:$G$99999,5,FALSE)</f>
        <v>MACDONALD THOMAS</v>
      </c>
      <c r="M176" s="6">
        <f t="shared" si="99"/>
        <v>1.2245370366144925E-2</v>
      </c>
      <c r="N176" s="7">
        <f t="shared" si="100"/>
        <v>17.633333327248693</v>
      </c>
      <c r="O176" s="7"/>
      <c r="P176" s="7"/>
      <c r="Q176" s="22"/>
      <c r="R176" s="170"/>
      <c r="S176" s="213">
        <f t="shared" si="101"/>
        <v>1</v>
      </c>
      <c r="T176" s="195" t="str">
        <f t="shared" si="102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91"/>
        <v>https://d0f6bd738d7f1b3e5a7ca70fe4ff75f0.us-east-1.aws.found.io/app/kibana#/discover/Steve-Slow-Train-Analysis-(2080s-and-2083s)?_g=(refreshInterval:(display:Off,pause:!f,section:0,value:0),time:(from:'2017-08-12T12:35:53-0600',mode:absolute,to:'2017-08-12T14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6" s="197" t="str">
        <f>IF(AA176&lt;VLOOKUP(AG176,Variables!$AC$3:$AD$8,2,FALSE),"Y","N")</f>
        <v>N</v>
      </c>
      <c r="X176" s="197">
        <f t="shared" si="109"/>
        <v>1</v>
      </c>
      <c r="Y176" s="197">
        <f t="shared" ref="Y176:Y219" si="114">RIGHT(D176,LEN(D176)-4)/10000</f>
        <v>5.8609</v>
      </c>
      <c r="Z176" s="197">
        <f t="shared" ref="Z176:Z219" si="115">RIGHT(H176,LEN(H176)-4)/10000</f>
        <v>7.1999999999999995E-2</v>
      </c>
      <c r="AA176" s="197">
        <f t="shared" si="106"/>
        <v>5.7888999999999999</v>
      </c>
      <c r="AB176" s="54" t="e">
        <f>VLOOKUP(A176,Enforcements!$C$7:$K$12,8,0)</f>
        <v>#N/A</v>
      </c>
      <c r="AC176" s="51" t="e">
        <f>VLOOKUP(A176,Enforcements!$C$7:$E$12,3,0)</f>
        <v>#N/A</v>
      </c>
      <c r="AD176" s="206">
        <f t="shared" si="107"/>
        <v>1816</v>
      </c>
      <c r="AE176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76" s="74" t="str">
        <f t="shared" si="93"/>
        <v>"C:\Program Files (x86)\AstroGrep\AstroGrep.exe" /e /r /s /spath="%USERPROFILE%\AppData\Local\Temp\OnboardLogs" /stypes="app*4055*20170812*" /stext=" 19:.+((SYSTEM_STATE.+slice.+state.+changed )|(ment ac)|(multiple cpu faults)|(system.+state.+changed )|(\[timeout)|(PRM\|1\|D)|(kpr)|(kdp)|(train st.+moving)|(\|lc)|(penalty))"</v>
      </c>
      <c r="AG176" s="209" t="str">
        <f t="shared" si="108"/>
        <v>NW</v>
      </c>
      <c r="AH176" s="78" t="str">
        <f t="shared" si="94"/>
        <v>"%USERPROFILE%\Documents\GitHub\eaglep3\Utilities\RefineRTDCRunTimes.py" --tripid 1816-12 --locoid 4055 --swversion DE.1.0.9.0 --startMP 300:58609 --initTime 2017-08-12T13:35:53 --startdatetime 2017-08-12T13:37:30 --delay 1 --endMP 204:720 --enddatetime 2017-08-12T13:55:08 --enforcementcount 0 &gt;&gt;C:\Users\stu\Documents\GitHub\eaglep3-reporting\EC\2017-08-12-refined-times.txt</v>
      </c>
      <c r="AI176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{"issue":{"subject":"","project_id":79,"tracker_id":40,"status_id":1,"priority_id":2,"assigned_to_id":23,"start_date":"2017-08-12","description":"","custom_fields":[{"id":1,"name":"Subdivision","value":"NW"},{"id":4,"name":"Milepost","value":"0.072"},{"id":17,"name":"Train ID","value":"1816-12"},{"id":16,"name":"Locomotive ID","value":"4055"},{"id":130,"name":"Impact","value":""},{"id":150,"name":"Time of Event (Mountain Time)","value":"13:55:08"},{"id":151,"name":"Denver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96"/>
        <v>start /low /b %USERPROFILE%\Documents\GitHub\eaglep3\Utilities\DownloadLogsFromS3.py --loco 4055 --day 2017-08-12</v>
      </c>
      <c r="AN176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19:55:08"},{"id":29,"name":"Sharepoint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784</v>
      </c>
      <c r="B177" s="7">
        <v>4056</v>
      </c>
      <c r="C177" s="21" t="s">
        <v>198</v>
      </c>
      <c r="D177" s="21" t="s">
        <v>934</v>
      </c>
      <c r="E177" s="13">
        <v>42959.584166666667</v>
      </c>
      <c r="F177" s="13">
        <v>42959.598113425927</v>
      </c>
      <c r="G177" s="7">
        <v>1</v>
      </c>
      <c r="H177" s="21" t="s">
        <v>935</v>
      </c>
      <c r="I177" s="13">
        <v>42959.608275462961</v>
      </c>
      <c r="J177" s="7">
        <v>0</v>
      </c>
      <c r="K177" s="89" t="str">
        <f t="shared" si="98"/>
        <v>4055/4056</v>
      </c>
      <c r="L177" s="21" t="str">
        <f>VLOOKUP(A177,'Trips&amp;Operators'!$C$1:$G$99999,5,FALSE)</f>
        <v>MCREYNOLDS KYLE</v>
      </c>
      <c r="M177" s="6">
        <f t="shared" si="99"/>
        <v>1.0162037033296656E-2</v>
      </c>
      <c r="N177" s="7">
        <f t="shared" si="100"/>
        <v>14.633333327947184</v>
      </c>
      <c r="O177" s="7"/>
      <c r="P177" s="7"/>
      <c r="Q177" s="22"/>
      <c r="R177" s="170"/>
      <c r="S177" s="213">
        <f t="shared" si="101"/>
        <v>1</v>
      </c>
      <c r="T177" s="195" t="str">
        <f t="shared" si="102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91"/>
        <v>https://d0f6bd738d7f1b3e5a7ca70fe4ff75f0.us-east-1.aws.found.io/app/kibana#/discover/Steve-Slow-Train-Analysis-(2080s-and-2083s)?_g=(refreshInterval:(display:Off,pause:!f,section:0,value:0),time:(from:'2017-08-12T13:01:12-0600',mode:absolute,to:'2017-08-12T15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7" s="197" t="str">
        <f>IF(AA177&lt;VLOOKUP(AG177,Variables!$AC$3:$AD$8,2,FALSE),"Y","N")</f>
        <v>N</v>
      </c>
      <c r="X177" s="197">
        <f t="shared" si="109"/>
        <v>1</v>
      </c>
      <c r="Y177" s="197">
        <f t="shared" si="114"/>
        <v>0.10349999999999999</v>
      </c>
      <c r="Z177" s="197">
        <f t="shared" si="115"/>
        <v>5.8954000000000004</v>
      </c>
      <c r="AA177" s="197">
        <f t="shared" si="106"/>
        <v>5.7919</v>
      </c>
      <c r="AB177" s="54" t="e">
        <f>VLOOKUP(A177,Enforcements!$C$7:$K$12,8,0)</f>
        <v>#N/A</v>
      </c>
      <c r="AC177" s="51" t="e">
        <f>VLOOKUP(A177,Enforcements!$C$7:$E$12,3,0)</f>
        <v>#N/A</v>
      </c>
      <c r="AD177" s="206">
        <f t="shared" si="107"/>
        <v>1817</v>
      </c>
      <c r="AE177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77" s="74" t="str">
        <f t="shared" si="93"/>
        <v>"C:\Program Files (x86)\AstroGrep\AstroGrep.exe" /e /r /s /spath="%USERPROFILE%\AppData\Local\Temp\OnboardLogs" /stypes="app*4056*20170812*" /stext=" 20:.+((SYSTEM_STATE.+slice.+state.+changed )|(ment ac)|(multiple cpu faults)|(system.+state.+changed )|(\[timeout)|(PRM\|1\|D)|(kpr)|(kdp)|(train st.+moving)|(\|lc)|(penalty))"</v>
      </c>
      <c r="AG177" s="209" t="str">
        <f t="shared" si="108"/>
        <v>NW</v>
      </c>
      <c r="AH177" s="78" t="str">
        <f t="shared" si="94"/>
        <v>"%USERPROFILE%\Documents\GitHub\eaglep3\Utilities\RefineRTDCRunTimes.py" --tripid 1817-12 --locoid 4056 --swversion DE.1.0.9.0 --startMP 204:1035 --initTime 2017-08-12T14:01:12 --startdatetime 2017-08-12T14:21:17 --delay 1 --endMP 300:58954 --enddatetime 2017-08-12T14:35:55 --enforcementcount 0 &gt;&gt;C:\Users\stu\Documents\GitHub\eaglep3-reporting\EC\2017-08-12-refined-times.txt</v>
      </c>
      <c r="AI177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{"issue":{"subject":"","project_id":79,"tracker_id":40,"status_id":1,"priority_id":2,"assigned_to_id":23,"start_date":"2017-08-12","description":"","custom_fields":[{"id":1,"name":"Subdivision","value":"NW"},{"id":4,"name":"Milepost","value":"5.8954"},{"id":17,"name":"Train ID","value":"1817-12"},{"id":16,"name":"Locomotive ID","value":"4056"},{"id":130,"name":"Impact","value":""},{"id":150,"name":"Time of Event (Mountain Time)","value":"14:35:55"},{"id":151,"name":"Denver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96"/>
        <v>start /low /b %USERPROFILE%\Documents\GitHub\eaglep3\Utilities\DownloadLogsFromS3.py --loco 4056 --day 2017-08-12</v>
      </c>
      <c r="AN177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20:35:55"},{"id":29,"name":"Sharepoint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789</v>
      </c>
      <c r="B178" s="7">
        <v>4055</v>
      </c>
      <c r="C178" s="21" t="s">
        <v>198</v>
      </c>
      <c r="D178" s="21" t="s">
        <v>575</v>
      </c>
      <c r="E178" s="13">
        <v>42959.61010416667</v>
      </c>
      <c r="F178" s="13">
        <v>42959.611875000002</v>
      </c>
      <c r="G178" s="7">
        <v>1</v>
      </c>
      <c r="H178" s="21" t="s">
        <v>925</v>
      </c>
      <c r="I178" s="13">
        <v>42959.621412037035</v>
      </c>
      <c r="J178" s="7">
        <v>0</v>
      </c>
      <c r="K178" s="89" t="str">
        <f t="shared" si="98"/>
        <v>4055/4056</v>
      </c>
      <c r="L178" s="21" t="str">
        <f>VLOOKUP(A178,'Trips&amp;Operators'!$C$1:$G$99999,5,FALSE)</f>
        <v>MCREYNOLDS KYLE</v>
      </c>
      <c r="M178" s="6">
        <f t="shared" si="99"/>
        <v>9.5370370327145793E-3</v>
      </c>
      <c r="N178" s="7">
        <f t="shared" si="100"/>
        <v>13.733333327108994</v>
      </c>
      <c r="O178" s="7"/>
      <c r="P178" s="7"/>
      <c r="Q178" s="22"/>
      <c r="R178" s="170"/>
      <c r="S178" s="213">
        <f t="shared" si="101"/>
        <v>1</v>
      </c>
      <c r="T178" s="195" t="str">
        <f t="shared" si="102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91"/>
        <v>https://d0f6bd738d7f1b3e5a7ca70fe4ff75f0.us-east-1.aws.found.io/app/kibana#/discover/Steve-Slow-Train-Analysis-(2080s-and-2083s)?_g=(refreshInterval:(display:Off,pause:!f,section:0,value:0),time:(from:'2017-08-12T13:38:33-0600',mode:absolute,to:'2017-08-12T15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8" s="197" t="str">
        <f>IF(AA178&lt;VLOOKUP(AG178,Variables!$AC$3:$AD$8,2,FALSE),"Y","N")</f>
        <v>N</v>
      </c>
      <c r="X178" s="197">
        <f t="shared" si="109"/>
        <v>1</v>
      </c>
      <c r="Y178" s="197">
        <f t="shared" si="114"/>
        <v>5.8624000000000001</v>
      </c>
      <c r="Z178" s="197">
        <f t="shared" si="115"/>
        <v>6.9900000000000004E-2</v>
      </c>
      <c r="AA178" s="197">
        <f t="shared" si="106"/>
        <v>5.7925000000000004</v>
      </c>
      <c r="AB178" s="54" t="e">
        <f>VLOOKUP(A178,Enforcements!$C$7:$K$12,8,0)</f>
        <v>#N/A</v>
      </c>
      <c r="AC178" s="51" t="e">
        <f>VLOOKUP(A178,Enforcements!$C$7:$E$12,3,0)</f>
        <v>#N/A</v>
      </c>
      <c r="AD178" s="206">
        <f t="shared" si="107"/>
        <v>1818</v>
      </c>
      <c r="AE178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78" s="74" t="str">
        <f t="shared" si="93"/>
        <v>"C:\Program Files (x86)\AstroGrep\AstroGrep.exe" /e /r /s /spath="%USERPROFILE%\AppData\Local\Temp\OnboardLogs" /stypes="app*4055*20170812*" /stext=" 20:.+((SYSTEM_STATE.+slice.+state.+changed )|(ment ac)|(multiple cpu faults)|(system.+state.+changed )|(\[timeout)|(PRM\|1\|D)|(kpr)|(kdp)|(train st.+moving)|(\|lc)|(penalty))"</v>
      </c>
      <c r="AG178" s="209" t="str">
        <f t="shared" si="108"/>
        <v>NW</v>
      </c>
      <c r="AH178" s="78" t="str">
        <f t="shared" si="94"/>
        <v>"%USERPROFILE%\Documents\GitHub\eaglep3\Utilities\RefineRTDCRunTimes.py" --tripid 1818-12 --locoid 4055 --swversion DE.1.0.9.0 --startMP 300:58624 --initTime 2017-08-12T14:38:33 --startdatetime 2017-08-12T14:41:06 --delay 1 --endMP 204:699 --enddatetime 2017-08-12T14:54:50 --enforcementcount 0 &gt;&gt;C:\Users\stu\Documents\GitHub\eaglep3-reporting\EC\2017-08-12-refined-times.txt</v>
      </c>
      <c r="AI178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{"issue":{"subject":"","project_id":79,"tracker_id":40,"status_id":1,"priority_id":2,"assigned_to_id":23,"start_date":"2017-08-12","description":"","custom_fields":[{"id":1,"name":"Subdivision","value":"NW"},{"id":4,"name":"Milepost","value":"0.0699"},{"id":17,"name":"Train ID","value":"1818-12"},{"id":16,"name":"Locomotive ID","value":"4055"},{"id":130,"name":"Impact","value":""},{"id":150,"name":"Time of Event (Mountain Time)","value":"14:54:50"},{"id":151,"name":"Denver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96"/>
        <v>start /low /b %USERPROFILE%\Documents\GitHub\eaglep3\Utilities\DownloadLogsFromS3.py --loco 4055 --day 2017-08-12</v>
      </c>
      <c r="AN178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20:54:50"},{"id":29,"name":"Sharepoint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792</v>
      </c>
      <c r="B179" s="7">
        <v>4056</v>
      </c>
      <c r="C179" s="21" t="s">
        <v>198</v>
      </c>
      <c r="D179" s="21" t="s">
        <v>936</v>
      </c>
      <c r="E179" s="13">
        <v>42959.624386574076</v>
      </c>
      <c r="F179" s="13">
        <v>42959.639988425923</v>
      </c>
      <c r="G179" s="7">
        <v>3</v>
      </c>
      <c r="H179" s="21" t="s">
        <v>937</v>
      </c>
      <c r="I179" s="13">
        <v>42959.653090277781</v>
      </c>
      <c r="J179" s="7">
        <v>0</v>
      </c>
      <c r="K179" s="89" t="str">
        <f t="shared" si="98"/>
        <v>4055/4056</v>
      </c>
      <c r="L179" s="21" t="str">
        <f>VLOOKUP(A179,'Trips&amp;Operators'!$C$1:$G$99999,5,FALSE)</f>
        <v>MCREYNOLDS KYLE</v>
      </c>
      <c r="M179" s="6">
        <f t="shared" si="99"/>
        <v>1.3101851858664304E-2</v>
      </c>
      <c r="N179" s="7">
        <f t="shared" si="100"/>
        <v>18.866666676476598</v>
      </c>
      <c r="O179" s="7"/>
      <c r="P179" s="7"/>
      <c r="Q179" s="22"/>
      <c r="R179" s="170"/>
      <c r="S179" s="213">
        <f t="shared" si="101"/>
        <v>1</v>
      </c>
      <c r="T179" s="195" t="str">
        <f t="shared" si="102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91"/>
        <v>https://d0f6bd738d7f1b3e5a7ca70fe4ff75f0.us-east-1.aws.found.io/app/kibana#/discover/Steve-Slow-Train-Analysis-(2080s-and-2083s)?_g=(refreshInterval:(display:Off,pause:!f,section:0,value:0),time:(from:'2017-08-12T13:59:07-0600',mode:absolute,to:'2017-08-12T16:40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9" s="197" t="str">
        <f>IF(AA179&lt;VLOOKUP(AG179,Variables!$AC$3:$AD$8,2,FALSE),"Y","N")</f>
        <v>N</v>
      </c>
      <c r="X179" s="197">
        <f t="shared" si="109"/>
        <v>1</v>
      </c>
      <c r="Y179" s="197">
        <f t="shared" si="114"/>
        <v>9.9199999999999997E-2</v>
      </c>
      <c r="Z179" s="197">
        <f t="shared" si="115"/>
        <v>5.8939000000000004</v>
      </c>
      <c r="AA179" s="197">
        <f t="shared" si="106"/>
        <v>5.7947000000000006</v>
      </c>
      <c r="AB179" s="54" t="e">
        <f>VLOOKUP(A179,Enforcements!$C$7:$K$12,8,0)</f>
        <v>#N/A</v>
      </c>
      <c r="AC179" s="51" t="e">
        <f>VLOOKUP(A179,Enforcements!$C$7:$E$12,3,0)</f>
        <v>#N/A</v>
      </c>
      <c r="AD179" s="206">
        <f t="shared" si="107"/>
        <v>1819</v>
      </c>
      <c r="AE179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79" s="74" t="str">
        <f t="shared" si="93"/>
        <v>"C:\Program Files (x86)\AstroGrep\AstroGrep.exe" /e /r /s /spath="%USERPROFILE%\AppData\Local\Temp\OnboardLogs" /stypes="app*4056*20170812*" /stext=" 21:.+((SYSTEM_STATE.+slice.+state.+changed )|(ment ac)|(multiple cpu faults)|(system.+state.+changed )|(\[timeout)|(PRM\|1\|D)|(kpr)|(kdp)|(train st.+moving)|(\|lc)|(penalty))"</v>
      </c>
      <c r="AG179" s="209" t="str">
        <f t="shared" si="108"/>
        <v>NW</v>
      </c>
      <c r="AH179" s="78" t="str">
        <f t="shared" si="94"/>
        <v>"%USERPROFILE%\Documents\GitHub\eaglep3\Utilities\RefineRTDCRunTimes.py" --tripid 1819-12 --locoid 4056 --swversion DE.1.0.9.0 --startMP 204:992 --initTime 2017-08-12T14:59:07 --startdatetime 2017-08-12T15:21:35 --delay 3 --endMP 300:58939 --enddatetime 2017-08-12T15:40:27 --enforcementcount 0 &gt;&gt;C:\Users\stu\Documents\GitHub\eaglep3-reporting\EC\2017-08-12-refined-times.txt</v>
      </c>
      <c r="AI179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{"issue":{"subject":"","project_id":79,"tracker_id":40,"status_id":1,"priority_id":2,"assigned_to_id":23,"start_date":"2017-08-12","description":"","custom_fields":[{"id":1,"name":"Subdivision","value":"NW"},{"id":4,"name":"Milepost","value":"5.8939"},{"id":17,"name":"Train ID","value":"1819-12"},{"id":16,"name":"Locomotive ID","value":"4056"},{"id":130,"name":"Impact","value":""},{"id":150,"name":"Time of Event (Mountain Time)","value":"15:40:27"},{"id":151,"name":"Denver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96"/>
        <v>start /low /b %USERPROFILE%\Documents\GitHub\eaglep3\Utilities\DownloadLogsFromS3.py --loco 4056 --day 2017-08-12</v>
      </c>
      <c r="AN179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21:40:27"},{"id":29,"name":"Sharepoint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799</v>
      </c>
      <c r="B180" s="7">
        <v>4055</v>
      </c>
      <c r="C180" s="21" t="s">
        <v>198</v>
      </c>
      <c r="D180" s="21" t="s">
        <v>939</v>
      </c>
      <c r="E180" s="13">
        <v>42959.654641203706</v>
      </c>
      <c r="F180" s="13">
        <v>42959.655821759261</v>
      </c>
      <c r="G180" s="7">
        <v>0</v>
      </c>
      <c r="H180" s="21" t="s">
        <v>918</v>
      </c>
      <c r="I180" s="13">
        <v>42959.664849537039</v>
      </c>
      <c r="J180" s="7">
        <v>0</v>
      </c>
      <c r="K180" s="89" t="str">
        <f t="shared" si="98"/>
        <v>4055/4056</v>
      </c>
      <c r="L180" s="21" t="str">
        <f>VLOOKUP(A180,'Trips&amp;Operators'!$C$1:$G$99999,5,FALSE)</f>
        <v>MCREYNOLDS KYLE</v>
      </c>
      <c r="M180" s="6">
        <f t="shared" si="99"/>
        <v>9.0277777781011537E-3</v>
      </c>
      <c r="N180" s="7">
        <f t="shared" si="100"/>
        <v>13.000000000465661</v>
      </c>
      <c r="O180" s="7"/>
      <c r="P180" s="7"/>
      <c r="Q180" s="22"/>
      <c r="R180" s="170"/>
      <c r="S180" s="213">
        <f t="shared" si="101"/>
        <v>1</v>
      </c>
      <c r="T180" s="195" t="str">
        <f t="shared" si="102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91"/>
        <v>https://d0f6bd738d7f1b3e5a7ca70fe4ff75f0.us-east-1.aws.found.io/app/kibana#/discover/Steve-Slow-Train-Analysis-(2080s-and-2083s)?_g=(refreshInterval:(display:Off,pause:!f,section:0,value:0),time:(from:'2017-08-12T14:42:41-0600',mode:absolute,to:'2017-08-12T16:57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0" s="197" t="str">
        <f>IF(AA180&lt;VLOOKUP(AG180,Variables!$AC$3:$AD$8,2,FALSE),"Y","N")</f>
        <v>N</v>
      </c>
      <c r="X180" s="197">
        <f t="shared" si="109"/>
        <v>1</v>
      </c>
      <c r="Y180" s="197">
        <f t="shared" si="114"/>
        <v>5.8623000000000003</v>
      </c>
      <c r="Z180" s="197">
        <f t="shared" si="115"/>
        <v>7.0099999999999996E-2</v>
      </c>
      <c r="AA180" s="197">
        <f t="shared" si="106"/>
        <v>5.7922000000000002</v>
      </c>
      <c r="AB180" s="54" t="e">
        <f>VLOOKUP(A180,Enforcements!$C$7:$K$12,8,0)</f>
        <v>#N/A</v>
      </c>
      <c r="AC180" s="51" t="e">
        <f>VLOOKUP(A180,Enforcements!$C$7:$E$12,3,0)</f>
        <v>#N/A</v>
      </c>
      <c r="AD180" s="206">
        <f t="shared" si="107"/>
        <v>1820</v>
      </c>
      <c r="AE180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80" s="74" t="str">
        <f t="shared" si="93"/>
        <v>"C:\Program Files (x86)\AstroGrep\AstroGrep.exe" /e /r /s /spath="%USERPROFILE%\AppData\Local\Temp\OnboardLogs" /stypes="app*4055*20170812*" /stext=" 21:.+((SYSTEM_STATE.+slice.+state.+changed )|(ment ac)|(multiple cpu faults)|(system.+state.+changed )|(\[timeout)|(PRM\|1\|D)|(kpr)|(kdp)|(train st.+moving)|(\|lc)|(penalty))"</v>
      </c>
      <c r="AG180" s="209" t="str">
        <f t="shared" si="108"/>
        <v>NW</v>
      </c>
      <c r="AH180" s="78" t="str">
        <f t="shared" si="94"/>
        <v>"%USERPROFILE%\Documents\GitHub\eaglep3\Utilities\RefineRTDCRunTimes.py" --tripid 1820-12 --locoid 4055 --swversion DE.1.0.9.0 --startMP 300:58623 --initTime 2017-08-12T15:42:41 --startdatetime 2017-08-12T15:44:23 --delay 0 --endMP 204:701 --enddatetime 2017-08-12T15:57:23 --enforcementcount 0 &gt;&gt;C:\Users\stu\Documents\GitHub\eaglep3-reporting\EC\2017-08-12-refined-times.txt</v>
      </c>
      <c r="AI180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{"issue":{"subject":"","project_id":79,"tracker_id":40,"status_id":1,"priority_id":2,"assigned_to_id":23,"start_date":"2017-08-12","description":"","custom_fields":[{"id":1,"name":"Subdivision","value":"NW"},{"id":4,"name":"Milepost","value":"0.0701"},{"id":17,"name":"Train ID","value":"1820-12"},{"id":16,"name":"Locomotive ID","value":"4055"},{"id":130,"name":"Impact","value":""},{"id":150,"name":"Time of Event (Mountain Time)","value":"15:57:23"},{"id":151,"name":"Denver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96"/>
        <v>start /low /b %USERPROFILE%\Documents\GitHub\eaglep3\Utilities\DownloadLogsFromS3.py --loco 4055 --day 2017-08-12</v>
      </c>
      <c r="AN180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21:57:23"},{"id":29,"name":"Sharepoint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802</v>
      </c>
      <c r="B181" s="7">
        <v>4056</v>
      </c>
      <c r="C181" s="21" t="s">
        <v>198</v>
      </c>
      <c r="D181" s="21" t="s">
        <v>940</v>
      </c>
      <c r="E181" s="13">
        <v>42959.673460648148</v>
      </c>
      <c r="F181" s="13">
        <v>42959.681400462963</v>
      </c>
      <c r="G181" s="7">
        <v>1</v>
      </c>
      <c r="H181" s="21" t="s">
        <v>941</v>
      </c>
      <c r="I181" s="13">
        <v>42959.690891203703</v>
      </c>
      <c r="J181" s="7">
        <v>0</v>
      </c>
      <c r="K181" s="89" t="str">
        <f t="shared" si="98"/>
        <v>4055/4056</v>
      </c>
      <c r="L181" s="21" t="str">
        <f>VLOOKUP(A181,'Trips&amp;Operators'!$C$1:$G$99999,5,FALSE)</f>
        <v>MCREYNOLDS KYLE</v>
      </c>
      <c r="M181" s="6">
        <f t="shared" si="99"/>
        <v>9.4907407401478849E-3</v>
      </c>
      <c r="N181" s="7">
        <f t="shared" si="100"/>
        <v>13.666666665812954</v>
      </c>
      <c r="O181" s="7"/>
      <c r="P181" s="7"/>
      <c r="Q181" s="22"/>
      <c r="R181" s="170"/>
      <c r="S181" s="213">
        <f t="shared" si="101"/>
        <v>1</v>
      </c>
      <c r="T181" s="195" t="str">
        <f t="shared" si="102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91"/>
        <v>https://d0f6bd738d7f1b3e5a7ca70fe4ff75f0.us-east-1.aws.found.io/app/kibana#/discover/Steve-Slow-Train-Analysis-(2080s-and-2083s)?_g=(refreshInterval:(display:Off,pause:!f,section:0,value:0),time:(from:'2017-08-12T15:09:47-0600',mode:absolute,to:'2017-08-12T17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1" s="197" t="str">
        <f>IF(AA181&lt;VLOOKUP(AG181,Variables!$AC$3:$AD$8,2,FALSE),"Y","N")</f>
        <v>N</v>
      </c>
      <c r="X181" s="197">
        <f t="shared" si="109"/>
        <v>1</v>
      </c>
      <c r="Y181" s="197">
        <f t="shared" si="114"/>
        <v>0.1</v>
      </c>
      <c r="Z181" s="197">
        <f t="shared" si="115"/>
        <v>5.8945999999999996</v>
      </c>
      <c r="AA181" s="197">
        <f t="shared" si="106"/>
        <v>5.7946</v>
      </c>
      <c r="AB181" s="54" t="e">
        <f>VLOOKUP(A181,Enforcements!$C$7:$K$12,8,0)</f>
        <v>#N/A</v>
      </c>
      <c r="AC181" s="51" t="e">
        <f>VLOOKUP(A181,Enforcements!$C$7:$E$12,3,0)</f>
        <v>#N/A</v>
      </c>
      <c r="AD181" s="206">
        <f t="shared" si="107"/>
        <v>1821</v>
      </c>
      <c r="AE181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81" s="74" t="str">
        <f t="shared" si="93"/>
        <v>"C:\Program Files (x86)\AstroGrep\AstroGrep.exe" /e /r /s /spath="%USERPROFILE%\AppData\Local\Temp\OnboardLogs" /stypes="app*4056*20170812*" /stext=" 22:.+((SYSTEM_STATE.+slice.+state.+changed )|(ment ac)|(multiple cpu faults)|(system.+state.+changed )|(\[timeout)|(PRM\|1\|D)|(kpr)|(kdp)|(train st.+moving)|(\|lc)|(penalty))"</v>
      </c>
      <c r="AG181" s="209" t="str">
        <f t="shared" si="108"/>
        <v>NW</v>
      </c>
      <c r="AH181" s="78" t="str">
        <f t="shared" si="94"/>
        <v>"%USERPROFILE%\Documents\GitHub\eaglep3\Utilities\RefineRTDCRunTimes.py" --tripid 1821-12 --locoid 4056 --swversion DE.1.0.9.0 --startMP 204:1000 --initTime 2017-08-12T16:09:47 --startdatetime 2017-08-12T16:21:13 --delay 1 --endMP 300:58946 --enddatetime 2017-08-12T16:34:53 --enforcementcount 0 &gt;&gt;C:\Users\stu\Documents\GitHub\eaglep3-reporting\EC\2017-08-12-refined-times.txt</v>
      </c>
      <c r="AI181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{"issue":{"subject":"","project_id":79,"tracker_id":40,"status_id":1,"priority_id":2,"assigned_to_id":23,"start_date":"2017-08-12","description":"","custom_fields":[{"id":1,"name":"Subdivision","value":"NW"},{"id":4,"name":"Milepost","value":"5.8946"},{"id":17,"name":"Train ID","value":"1821-12"},{"id":16,"name":"Locomotive ID","value":"4056"},{"id":130,"name":"Impact","value":""},{"id":150,"name":"Time of Event (Mountain Time)","value":"16:34:53"},{"id":151,"name":"Denver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96"/>
        <v>start /low /b %USERPROFILE%\Documents\GitHub\eaglep3\Utilities\DownloadLogsFromS3.py --loco 4056 --day 2017-08-12</v>
      </c>
      <c r="AN181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22:34:53"},{"id":29,"name":"Sharepoint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806</v>
      </c>
      <c r="B182" s="7">
        <v>4055</v>
      </c>
      <c r="C182" s="21" t="s">
        <v>198</v>
      </c>
      <c r="D182" s="21" t="s">
        <v>629</v>
      </c>
      <c r="E182" s="13">
        <v>42959.692337962966</v>
      </c>
      <c r="F182" s="13">
        <v>42959.694120370368</v>
      </c>
      <c r="G182" s="7">
        <v>1</v>
      </c>
      <c r="H182" s="21" t="s">
        <v>942</v>
      </c>
      <c r="I182" s="13">
        <v>42959.704710648148</v>
      </c>
      <c r="J182" s="7">
        <v>0</v>
      </c>
      <c r="K182" s="89" t="str">
        <f t="shared" si="98"/>
        <v>4055/4056</v>
      </c>
      <c r="L182" s="21" t="str">
        <f>VLOOKUP(A182,'Trips&amp;Operators'!$C$1:$G$99999,5,FALSE)</f>
        <v>MCREYNOLDS KYLE</v>
      </c>
      <c r="M182" s="6">
        <f t="shared" si="99"/>
        <v>1.0590277779556345E-2</v>
      </c>
      <c r="N182" s="7">
        <f t="shared" si="100"/>
        <v>15.250000002561137</v>
      </c>
      <c r="O182" s="7"/>
      <c r="P182" s="7"/>
      <c r="Q182" s="22"/>
      <c r="R182" s="170"/>
      <c r="S182" s="213">
        <f t="shared" si="101"/>
        <v>1</v>
      </c>
      <c r="T182" s="195" t="str">
        <f t="shared" si="102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91"/>
        <v>https://d0f6bd738d7f1b3e5a7ca70fe4ff75f0.us-east-1.aws.found.io/app/kibana#/discover/Steve-Slow-Train-Analysis-(2080s-and-2083s)?_g=(refreshInterval:(display:Off,pause:!f,section:0,value:0),time:(from:'2017-08-12T15:36:58-0600',mode:absolute,to:'2017-08-12T17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2" s="197" t="str">
        <f>IF(AA182&lt;VLOOKUP(AG182,Variables!$AC$3:$AD$8,2,FALSE),"Y","N")</f>
        <v>N</v>
      </c>
      <c r="X182" s="197">
        <f t="shared" si="109"/>
        <v>1</v>
      </c>
      <c r="Y182" s="197">
        <f t="shared" si="114"/>
        <v>5.8635999999999999</v>
      </c>
      <c r="Z182" s="197">
        <f t="shared" si="115"/>
        <v>6.6799999999999998E-2</v>
      </c>
      <c r="AA182" s="197">
        <f t="shared" si="106"/>
        <v>5.7968000000000002</v>
      </c>
      <c r="AB182" s="54" t="e">
        <f>VLOOKUP(A182,Enforcements!$C$7:$K$12,8,0)</f>
        <v>#N/A</v>
      </c>
      <c r="AC182" s="51" t="e">
        <f>VLOOKUP(A182,Enforcements!$C$7:$E$12,3,0)</f>
        <v>#N/A</v>
      </c>
      <c r="AD182" s="206">
        <f t="shared" si="107"/>
        <v>1822</v>
      </c>
      <c r="AE182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82" s="74" t="str">
        <f t="shared" si="93"/>
        <v>"C:\Program Files (x86)\AstroGrep\AstroGrep.exe" /e /r /s /spath="%USERPROFILE%\AppData\Local\Temp\OnboardLogs" /stypes="app*4055*20170812*" /stext=" 22:.+((SYSTEM_STATE.+slice.+state.+changed )|(ment ac)|(multiple cpu faults)|(system.+state.+changed )|(\[timeout)|(PRM\|1\|D)|(kpr)|(kdp)|(train st.+moving)|(\|lc)|(penalty))"</v>
      </c>
      <c r="AG182" s="209" t="str">
        <f t="shared" si="108"/>
        <v>NW</v>
      </c>
      <c r="AH182" s="78" t="str">
        <f t="shared" si="94"/>
        <v>"%USERPROFILE%\Documents\GitHub\eaglep3\Utilities\RefineRTDCRunTimes.py" --tripid 1822-12 --locoid 4055 --swversion DE.1.0.9.0 --startMP 300:58636 --initTime 2017-08-12T16:36:58 --startdatetime 2017-08-12T16:39:32 --delay 1 --endMP 204:668 --enddatetime 2017-08-12T16:54:47 --enforcementcount 0 &gt;&gt;C:\Users\stu\Documents\GitHub\eaglep3-reporting\EC\2017-08-12-refined-times.txt</v>
      </c>
      <c r="AI182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{"issue":{"subject":"","project_id":79,"tracker_id":40,"status_id":1,"priority_id":2,"assigned_to_id":23,"start_date":"2017-08-12","description":"","custom_fields":[{"id":1,"name":"Subdivision","value":"NW"},{"id":4,"name":"Milepost","value":"0.0668"},{"id":17,"name":"Train ID","value":"1822-12"},{"id":16,"name":"Locomotive ID","value":"4055"},{"id":130,"name":"Impact","value":""},{"id":150,"name":"Time of Event (Mountain Time)","value":"16:54:47"},{"id":151,"name":"Denver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96"/>
        <v>start /low /b %USERPROFILE%\Documents\GitHub\eaglep3\Utilities\DownloadLogsFromS3.py --loco 4055 --day 2017-08-12</v>
      </c>
      <c r="AN182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22:54:47"},{"id":29,"name":"Sharepoint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812</v>
      </c>
      <c r="B183" s="7">
        <v>4056</v>
      </c>
      <c r="C183" s="21" t="s">
        <v>198</v>
      </c>
      <c r="D183" s="21" t="s">
        <v>630</v>
      </c>
      <c r="E183" s="13">
        <v>42959.706250000003</v>
      </c>
      <c r="F183" s="13">
        <v>42959.723101851851</v>
      </c>
      <c r="G183" s="7">
        <v>1</v>
      </c>
      <c r="H183" s="21" t="s">
        <v>943</v>
      </c>
      <c r="I183" s="13">
        <v>42959.732361111113</v>
      </c>
      <c r="J183" s="7">
        <v>0</v>
      </c>
      <c r="K183" s="89" t="str">
        <f t="shared" si="98"/>
        <v>4055/4056</v>
      </c>
      <c r="L183" s="21" t="str">
        <f>VLOOKUP(A183,'Trips&amp;Operators'!$C$1:$G$99999,5,FALSE)</f>
        <v>MCREYNOLDS KYLE</v>
      </c>
      <c r="M183" s="6">
        <f t="shared" si="99"/>
        <v>9.2592592627624981E-3</v>
      </c>
      <c r="N183" s="7">
        <f t="shared" si="100"/>
        <v>13.333333338377997</v>
      </c>
      <c r="O183" s="7"/>
      <c r="P183" s="7"/>
      <c r="Q183" s="22"/>
      <c r="R183" s="170"/>
      <c r="S183" s="213">
        <f t="shared" si="101"/>
        <v>1</v>
      </c>
      <c r="T183" s="195" t="str">
        <f t="shared" si="102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91"/>
        <v>https://d0f6bd738d7f1b3e5a7ca70fe4ff75f0.us-east-1.aws.found.io/app/kibana#/discover/Steve-Slow-Train-Analysis-(2080s-and-2083s)?_g=(refreshInterval:(display:Off,pause:!f,section:0,value:0),time:(from:'2017-08-12T15:57:00-0600',mode:absolute,to:'2017-08-12T18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3" s="197" t="str">
        <f>IF(AA183&lt;VLOOKUP(AG183,Variables!$AC$3:$AD$8,2,FALSE),"Y","N")</f>
        <v>N</v>
      </c>
      <c r="X183" s="197">
        <f t="shared" si="109"/>
        <v>1</v>
      </c>
      <c r="Y183" s="197">
        <f t="shared" si="114"/>
        <v>9.64E-2</v>
      </c>
      <c r="Z183" s="197">
        <f t="shared" si="115"/>
        <v>5.8960999999999997</v>
      </c>
      <c r="AA183" s="197">
        <f t="shared" si="106"/>
        <v>5.7996999999999996</v>
      </c>
      <c r="AB183" s="54" t="e">
        <f>VLOOKUP(A183,Enforcements!$C$7:$K$12,8,0)</f>
        <v>#N/A</v>
      </c>
      <c r="AC183" s="51" t="e">
        <f>VLOOKUP(A183,Enforcements!$C$7:$E$12,3,0)</f>
        <v>#N/A</v>
      </c>
      <c r="AD183" s="206">
        <f t="shared" si="107"/>
        <v>1823</v>
      </c>
      <c r="AE183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83" s="74" t="str">
        <f t="shared" si="93"/>
        <v>"C:\Program Files (x86)\AstroGrep\AstroGrep.exe" /e /r /s /spath="%USERPROFILE%\AppData\Local\Temp\OnboardLogs" /stypes="app*4056*20170812*" /stext=" 23:.+((SYSTEM_STATE.+slice.+state.+changed )|(ment ac)|(multiple cpu faults)|(system.+state.+changed )|(\[timeout)|(PRM\|1\|D)|(kpr)|(kdp)|(train st.+moving)|(\|lc)|(penalty))"</v>
      </c>
      <c r="AG183" s="209" t="str">
        <f t="shared" si="108"/>
        <v>NW</v>
      </c>
      <c r="AH183" s="78" t="str">
        <f t="shared" si="94"/>
        <v>"%USERPROFILE%\Documents\GitHub\eaglep3\Utilities\RefineRTDCRunTimes.py" --tripid 1823-12 --locoid 4056 --swversion DE.1.0.9.0 --startMP 204:964 --initTime 2017-08-12T16:57:00 --startdatetime 2017-08-12T17:21:16 --delay 1 --endMP 300:58961 --enddatetime 2017-08-12T17:34:36 --enforcementcount 0 &gt;&gt;C:\Users\stu\Documents\GitHub\eaglep3-reporting\EC\2017-08-12-refined-times.txt</v>
      </c>
      <c r="AI183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{"issue":{"subject":"","project_id":79,"tracker_id":40,"status_id":1,"priority_id":2,"assigned_to_id":23,"start_date":"2017-08-12","description":"","custom_fields":[{"id":1,"name":"Subdivision","value":"NW"},{"id":4,"name":"Milepost","value":"5.8961"},{"id":17,"name":"Train ID","value":"1823-12"},{"id":16,"name":"Locomotive ID","value":"4056"},{"id":130,"name":"Impact","value":""},{"id":150,"name":"Time of Event (Mountain Time)","value":"17:34:36"},{"id":151,"name":"Denver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96"/>
        <v>start /low /b %USERPROFILE%\Documents\GitHub\eaglep3\Utilities\DownloadLogsFromS3.py --loco 4056 --day 2017-08-12</v>
      </c>
      <c r="AN183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23:34:36"},{"id":29,"name":"Sharepoint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817</v>
      </c>
      <c r="B184" s="7">
        <v>4055</v>
      </c>
      <c r="C184" s="21" t="s">
        <v>198</v>
      </c>
      <c r="D184" s="21" t="s">
        <v>944</v>
      </c>
      <c r="E184" s="13">
        <v>42959.733854166669</v>
      </c>
      <c r="F184" s="13">
        <v>42959.736805555556</v>
      </c>
      <c r="G184" s="7">
        <v>1</v>
      </c>
      <c r="H184" s="21" t="s">
        <v>918</v>
      </c>
      <c r="I184" s="13">
        <v>42959.746412037035</v>
      </c>
      <c r="J184" s="7">
        <v>0</v>
      </c>
      <c r="K184" s="89" t="str">
        <f t="shared" si="98"/>
        <v>4055/4056</v>
      </c>
      <c r="L184" s="21" t="str">
        <f>VLOOKUP(A184,'Trips&amp;Operators'!$C$1:$G$99999,5,FALSE)</f>
        <v>MCREYNOLDS KYLE</v>
      </c>
      <c r="M184" s="6">
        <f t="shared" si="99"/>
        <v>9.6064814788405783E-3</v>
      </c>
      <c r="N184" s="7">
        <f t="shared" si="100"/>
        <v>13.833333329530433</v>
      </c>
      <c r="O184" s="7"/>
      <c r="P184" s="7"/>
      <c r="Q184" s="22"/>
      <c r="R184" s="170"/>
      <c r="S184" s="213">
        <f t="shared" si="101"/>
        <v>1</v>
      </c>
      <c r="T184" s="195" t="str">
        <f t="shared" si="102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91"/>
        <v>https://d0f6bd738d7f1b3e5a7ca70fe4ff75f0.us-east-1.aws.found.io/app/kibana#/discover/Steve-Slow-Train-Analysis-(2080s-and-2083s)?_g=(refreshInterval:(display:Off,pause:!f,section:0,value:0),time:(from:'2017-08-12T16:36:45-0600',mode:absolute,to:'2017-08-12T18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4" s="197" t="str">
        <f>IF(AA184&lt;VLOOKUP(AG184,Variables!$AC$3:$AD$8,2,FALSE),"Y","N")</f>
        <v>N</v>
      </c>
      <c r="X184" s="197">
        <f t="shared" si="109"/>
        <v>1</v>
      </c>
      <c r="Y184" s="197">
        <f t="shared" si="114"/>
        <v>5.8639999999999999</v>
      </c>
      <c r="Z184" s="197">
        <f t="shared" si="115"/>
        <v>7.0099999999999996E-2</v>
      </c>
      <c r="AA184" s="197">
        <f t="shared" si="106"/>
        <v>5.7938999999999998</v>
      </c>
      <c r="AB184" s="54" t="e">
        <f>VLOOKUP(A184,Enforcements!$C$7:$K$12,8,0)</f>
        <v>#N/A</v>
      </c>
      <c r="AC184" s="51" t="e">
        <f>VLOOKUP(A184,Enforcements!$C$7:$E$12,3,0)</f>
        <v>#N/A</v>
      </c>
      <c r="AD184" s="206">
        <f t="shared" si="107"/>
        <v>1824</v>
      </c>
      <c r="AE184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84" s="74" t="str">
        <f t="shared" si="93"/>
        <v>"C:\Program Files (x86)\AstroGrep\AstroGrep.exe" /e /r /s /spath="%USERPROFILE%\AppData\Local\Temp\OnboardLogs" /stypes="app*4055*20170812*" /stext=" 23:.+((SYSTEM_STATE.+slice.+state.+changed )|(ment ac)|(multiple cpu faults)|(system.+state.+changed )|(\[timeout)|(PRM\|1\|D)|(kpr)|(kdp)|(train st.+moving)|(\|lc)|(penalty))"</v>
      </c>
      <c r="AG184" s="209" t="str">
        <f t="shared" si="108"/>
        <v>NW</v>
      </c>
      <c r="AH184" s="78" t="str">
        <f t="shared" si="94"/>
        <v>"%USERPROFILE%\Documents\GitHub\eaglep3\Utilities\RefineRTDCRunTimes.py" --tripid 1824-12 --locoid 4055 --swversion DE.1.0.9.0 --startMP 300:58640 --initTime 2017-08-12T17:36:45 --startdatetime 2017-08-12T17:41:00 --delay 1 --endMP 204:701 --enddatetime 2017-08-12T17:54:50 --enforcementcount 0 &gt;&gt;C:\Users\stu\Documents\GitHub\eaglep3-reporting\EC\2017-08-12-refined-times.txt</v>
      </c>
      <c r="AI184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{"issue":{"subject":"","project_id":79,"tracker_id":40,"status_id":1,"priority_id":2,"assigned_to_id":23,"start_date":"2017-08-12","description":"","custom_fields":[{"id":1,"name":"Subdivision","value":"NW"},{"id":4,"name":"Milepost","value":"0.0701"},{"id":17,"name":"Train ID","value":"1824-12"},{"id":16,"name":"Locomotive ID","value":"4055"},{"id":130,"name":"Impact","value":""},{"id":150,"name":"Time of Event (Mountain Time)","value":"17:54:50"},{"id":151,"name":"Denver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96"/>
        <v>start /low /b %USERPROFILE%\Documents\GitHub\eaglep3\Utilities\DownloadLogsFromS3.py --loco 4055 --day 2017-08-12</v>
      </c>
      <c r="AN184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23:54:50"},{"id":29,"name":"Sharepoint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825</v>
      </c>
      <c r="B185" s="7">
        <v>4056</v>
      </c>
      <c r="C185" s="21" t="s">
        <v>198</v>
      </c>
      <c r="D185" s="21" t="s">
        <v>571</v>
      </c>
      <c r="E185" s="13">
        <v>42959.760925925926</v>
      </c>
      <c r="F185" s="13">
        <v>42959.764745370368</v>
      </c>
      <c r="G185" s="7">
        <v>1</v>
      </c>
      <c r="H185" s="21" t="s">
        <v>574</v>
      </c>
      <c r="I185" s="13">
        <v>42959.77443287037</v>
      </c>
      <c r="J185" s="7">
        <v>0</v>
      </c>
      <c r="K185" s="89" t="str">
        <f t="shared" si="98"/>
        <v>4055/4056</v>
      </c>
      <c r="L185" s="21" t="str">
        <f>VLOOKUP(A185,'Trips&amp;Operators'!$C$1:$G$99999,5,FALSE)</f>
        <v>MCREYNOLDS KYLE</v>
      </c>
      <c r="M185" s="6">
        <f t="shared" si="99"/>
        <v>9.6875000017462298E-3</v>
      </c>
      <c r="N185" s="7">
        <f t="shared" si="100"/>
        <v>13.950000002514571</v>
      </c>
      <c r="O185" s="7"/>
      <c r="P185" s="7"/>
      <c r="Q185" s="22"/>
      <c r="R185" s="170"/>
      <c r="S185" s="213">
        <f t="shared" si="101"/>
        <v>1</v>
      </c>
      <c r="T185" s="195" t="str">
        <f t="shared" si="102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91"/>
        <v>https://d0f6bd738d7f1b3e5a7ca70fe4ff75f0.us-east-1.aws.found.io/app/kibana#/discover/Steve-Slow-Train-Analysis-(2080s-and-2083s)?_g=(refreshInterval:(display:Off,pause:!f,section:0,value:0),time:(from:'2017-08-12T17:15:44-0600',mode:absolute,to:'2017-08-12T19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5" s="197" t="str">
        <f>IF(AA185&lt;VLOOKUP(AG185,Variables!$AC$3:$AD$8,2,FALSE),"Y","N")</f>
        <v>N</v>
      </c>
      <c r="X185" s="197">
        <f t="shared" si="109"/>
        <v>1</v>
      </c>
      <c r="Y185" s="197">
        <f t="shared" si="114"/>
        <v>9.8599999999999993E-2</v>
      </c>
      <c r="Z185" s="197">
        <f t="shared" si="115"/>
        <v>5.8944000000000001</v>
      </c>
      <c r="AA185" s="197">
        <f t="shared" si="106"/>
        <v>5.7957999999999998</v>
      </c>
      <c r="AB185" s="54" t="e">
        <f>VLOOKUP(A185,Enforcements!$C$7:$K$12,8,0)</f>
        <v>#N/A</v>
      </c>
      <c r="AC185" s="51" t="e">
        <f>VLOOKUP(A185,Enforcements!$C$7:$E$12,3,0)</f>
        <v>#N/A</v>
      </c>
      <c r="AD185" s="206">
        <f t="shared" si="107"/>
        <v>1825</v>
      </c>
      <c r="AE185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85" s="74" t="str">
        <f t="shared" si="93"/>
        <v>"C:\Program Files (x86)\AstroGrep\AstroGrep.exe" /e /r /s /spath="%USERPROFILE%\AppData\Local\Temp\OnboardLogs" /stypes="app*4056*20170813*" /stext=" 00:.+((SYSTEM_STATE.+slice.+state.+changed )|(ment ac)|(multiple cpu faults)|(system.+state.+changed )|(\[timeout)|(PRM\|1\|D)|(kpr)|(kdp)|(train st.+moving)|(\|lc)|(penalty))"</v>
      </c>
      <c r="AG185" s="209" t="str">
        <f t="shared" si="108"/>
        <v>NW</v>
      </c>
      <c r="AH185" s="78" t="str">
        <f t="shared" si="94"/>
        <v>"%USERPROFILE%\Documents\GitHub\eaglep3\Utilities\RefineRTDCRunTimes.py" --tripid 1825-12 --locoid 4056 --swversion DE.1.0.9.0 --startMP 204:986 --initTime 2017-08-12T18:15:44 --startdatetime 2017-08-12T18:21:14 --delay 1 --endMP 300:58944 --enddatetime 2017-08-12T18:35:11 --enforcementcount 0 &gt;&gt;C:\Users\stu\Documents\GitHub\eaglep3-reporting\EC\2017-08-12-refined-times.txt</v>
      </c>
      <c r="AI185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{"issue":{"subject":"","project_id":79,"tracker_id":40,"status_id":1,"priority_id":2,"assigned_to_id":23,"start_date":"2017-08-12","description":"","custom_fields":[{"id":1,"name":"Subdivision","value":"NW"},{"id":4,"name":"Milepost","value":"5.8944"},{"id":17,"name":"Train ID","value":"1825-12"},{"id":16,"name":"Locomotive ID","value":"4056"},{"id":130,"name":"Impact","value":""},{"id":150,"name":"Time of Event (Mountain Time)","value":"18:35:11"},{"id":151,"name":"Denver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96"/>
        <v>start /low /b %USERPROFILE%\Documents\GitHub\eaglep3\Utilities\DownloadLogsFromS3.py --loco 4056 --day 2017-08-12</v>
      </c>
      <c r="AN185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00:35:11"},{"id":29,"name":"Sharepoint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829</v>
      </c>
      <c r="B186" s="7">
        <v>4055</v>
      </c>
      <c r="C186" s="21" t="s">
        <v>198</v>
      </c>
      <c r="D186" s="21" t="s">
        <v>629</v>
      </c>
      <c r="E186" s="13">
        <v>42959.775787037041</v>
      </c>
      <c r="F186" s="13">
        <v>42959.777951388889</v>
      </c>
      <c r="G186" s="7">
        <v>0</v>
      </c>
      <c r="H186" s="21" t="s">
        <v>945</v>
      </c>
      <c r="I186" s="13">
        <v>42959.788287037038</v>
      </c>
      <c r="J186" s="7">
        <v>0</v>
      </c>
      <c r="K186" s="89" t="str">
        <f t="shared" si="98"/>
        <v>4055/4056</v>
      </c>
      <c r="L186" s="21" t="str">
        <f>VLOOKUP(A186,'Trips&amp;Operators'!$C$1:$G$99999,5,FALSE)</f>
        <v>MCREYNOLDS KYLE</v>
      </c>
      <c r="M186" s="6">
        <f t="shared" si="99"/>
        <v>1.0335648148611654E-2</v>
      </c>
      <c r="N186" s="7">
        <f t="shared" si="100"/>
        <v>14.883333334000781</v>
      </c>
      <c r="O186" s="7"/>
      <c r="P186" s="7"/>
      <c r="Q186" s="22"/>
      <c r="R186" s="170"/>
      <c r="S186" s="213">
        <f t="shared" si="101"/>
        <v>1</v>
      </c>
      <c r="T186" s="195" t="str">
        <f t="shared" si="102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91"/>
        <v>https://d0f6bd738d7f1b3e5a7ca70fe4ff75f0.us-east-1.aws.found.io/app/kibana#/discover/Steve-Slow-Train-Analysis-(2080s-and-2083s)?_g=(refreshInterval:(display:Off,pause:!f,section:0,value:0),time:(from:'2017-08-12T17:37:08-0600',mode:absolute,to:'2017-08-12T19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6" s="197" t="str">
        <f>IF(AA186&lt;VLOOKUP(AG186,Variables!$AC$3:$AD$8,2,FALSE),"Y","N")</f>
        <v>N</v>
      </c>
      <c r="X186" s="197">
        <f t="shared" si="109"/>
        <v>1</v>
      </c>
      <c r="Y186" s="197">
        <f t="shared" si="114"/>
        <v>5.8635999999999999</v>
      </c>
      <c r="Z186" s="197">
        <f t="shared" si="115"/>
        <v>7.1300000000000002E-2</v>
      </c>
      <c r="AA186" s="197">
        <f t="shared" si="106"/>
        <v>5.7923</v>
      </c>
      <c r="AB186" s="54" t="e">
        <f>VLOOKUP(A186,Enforcements!$C$7:$K$12,8,0)</f>
        <v>#N/A</v>
      </c>
      <c r="AC186" s="51" t="e">
        <f>VLOOKUP(A186,Enforcements!$C$7:$E$12,3,0)</f>
        <v>#N/A</v>
      </c>
      <c r="AD186" s="206">
        <f t="shared" si="107"/>
        <v>1826</v>
      </c>
      <c r="AE186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86" s="74" t="str">
        <f t="shared" si="93"/>
        <v>"C:\Program Files (x86)\AstroGrep\AstroGrep.exe" /e /r /s /spath="%USERPROFILE%\AppData\Local\Temp\OnboardLogs" /stypes="app*4055*20170813*" /stext=" 00:.+((SYSTEM_STATE.+slice.+state.+changed )|(ment ac)|(multiple cpu faults)|(system.+state.+changed )|(\[timeout)|(PRM\|1\|D)|(kpr)|(kdp)|(train st.+moving)|(\|lc)|(penalty))"</v>
      </c>
      <c r="AG186" s="209" t="str">
        <f t="shared" si="108"/>
        <v>NW</v>
      </c>
      <c r="AH186" s="78" t="str">
        <f t="shared" si="94"/>
        <v>"%USERPROFILE%\Documents\GitHub\eaglep3\Utilities\RefineRTDCRunTimes.py" --tripid 1826-12 --locoid 4055 --swversion DE.1.0.9.0 --startMP 300:58636 --initTime 2017-08-12T18:37:08 --startdatetime 2017-08-12T18:40:15 --delay 0 --endMP 204:713 --enddatetime 2017-08-12T18:55:08 --enforcementcount 0 &gt;&gt;C:\Users\stu\Documents\GitHub\eaglep3-reporting\EC\2017-08-12-refined-times.txt</v>
      </c>
      <c r="AI186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{"issue":{"subject":"","project_id":79,"tracker_id":40,"status_id":1,"priority_id":2,"assigned_to_id":23,"start_date":"2017-08-12","description":"","custom_fields":[{"id":1,"name":"Subdivision","value":"NW"},{"id":4,"name":"Milepost","value":"0.0713"},{"id":17,"name":"Train ID","value":"1826-12"},{"id":16,"name":"Locomotive ID","value":"4055"},{"id":130,"name":"Impact","value":""},{"id":150,"name":"Time of Event (Mountain Time)","value":"18:55:08"},{"id":151,"name":"Denver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96"/>
        <v>start /low /b %USERPROFILE%\Documents\GitHub\eaglep3\Utilities\DownloadLogsFromS3.py --loco 4055 --day 2017-08-12</v>
      </c>
      <c r="AN186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00:55:08"},{"id":29,"name":"Sharepoint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832</v>
      </c>
      <c r="B187" s="7">
        <v>4056</v>
      </c>
      <c r="C187" s="21" t="s">
        <v>198</v>
      </c>
      <c r="D187" s="21" t="s">
        <v>946</v>
      </c>
      <c r="E187" s="13">
        <v>42959.789386574077</v>
      </c>
      <c r="F187" s="13">
        <v>42959.806423611109</v>
      </c>
      <c r="G187" s="7">
        <v>1</v>
      </c>
      <c r="H187" s="21" t="s">
        <v>947</v>
      </c>
      <c r="I187" s="13">
        <v>42959.816331018519</v>
      </c>
      <c r="J187" s="7">
        <v>0</v>
      </c>
      <c r="K187" s="89" t="str">
        <f t="shared" si="98"/>
        <v>4055/4056</v>
      </c>
      <c r="L187" s="21" t="str">
        <f>VLOOKUP(A187,'Trips&amp;Operators'!$C$1:$G$99999,5,FALSE)</f>
        <v>MCREYNOLDS KYLE</v>
      </c>
      <c r="M187" s="6">
        <f t="shared" si="99"/>
        <v>9.9074074096279219E-3</v>
      </c>
      <c r="N187" s="7">
        <f t="shared" si="100"/>
        <v>14.266666669864208</v>
      </c>
      <c r="O187" s="7"/>
      <c r="P187" s="7"/>
      <c r="Q187" s="22"/>
      <c r="R187" s="170"/>
      <c r="S187" s="213">
        <f t="shared" si="101"/>
        <v>1</v>
      </c>
      <c r="T187" s="195" t="str">
        <f t="shared" si="102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91"/>
        <v>https://d0f6bd738d7f1b3e5a7ca70fe4ff75f0.us-east-1.aws.found.io/app/kibana#/discover/Steve-Slow-Train-Analysis-(2080s-and-2083s)?_g=(refreshInterval:(display:Off,pause:!f,section:0,value:0),time:(from:'2017-08-12T17:56:43-0600',mode:absolute,to:'2017-08-12T20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7" s="197" t="str">
        <f>IF(AA187&lt;VLOOKUP(AG187,Variables!$AC$3:$AD$8,2,FALSE),"Y","N")</f>
        <v>N</v>
      </c>
      <c r="X187" s="197">
        <f t="shared" si="109"/>
        <v>1</v>
      </c>
      <c r="Y187" s="197">
        <f t="shared" si="114"/>
        <v>0.1014</v>
      </c>
      <c r="Z187" s="197">
        <f t="shared" si="115"/>
        <v>5.8943000000000003</v>
      </c>
      <c r="AA187" s="197">
        <f t="shared" si="106"/>
        <v>5.7929000000000004</v>
      </c>
      <c r="AB187" s="54" t="e">
        <f>VLOOKUP(A187,Enforcements!$C$7:$K$12,8,0)</f>
        <v>#N/A</v>
      </c>
      <c r="AC187" s="51" t="e">
        <f>VLOOKUP(A187,Enforcements!$C$7:$E$12,3,0)</f>
        <v>#N/A</v>
      </c>
      <c r="AD187" s="206">
        <f t="shared" si="107"/>
        <v>1827</v>
      </c>
      <c r="AE187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87" s="74" t="str">
        <f t="shared" si="93"/>
        <v>"C:\Program Files (x86)\AstroGrep\AstroGrep.exe" /e /r /s /spath="%USERPROFILE%\AppData\Local\Temp\OnboardLogs" /stypes="app*4056*20170813*" /stext=" 01:.+((SYSTEM_STATE.+slice.+state.+changed )|(ment ac)|(multiple cpu faults)|(system.+state.+changed )|(\[timeout)|(PRM\|1\|D)|(kpr)|(kdp)|(train st.+moving)|(\|lc)|(penalty))"</v>
      </c>
      <c r="AG187" s="209" t="str">
        <f t="shared" si="108"/>
        <v>NW</v>
      </c>
      <c r="AH187" s="78" t="str">
        <f t="shared" si="94"/>
        <v>"%USERPROFILE%\Documents\GitHub\eaglep3\Utilities\RefineRTDCRunTimes.py" --tripid 1827-12 --locoid 4056 --swversion DE.1.0.9.0 --startMP 204:1014 --initTime 2017-08-12T18:56:43 --startdatetime 2017-08-12T19:21:15 --delay 1 --endMP 300:58943 --enddatetime 2017-08-12T19:35:31 --enforcementcount 0 &gt;&gt;C:\Users\stu\Documents\GitHub\eaglep3-reporting\EC\2017-08-12-refined-times.txt</v>
      </c>
      <c r="AI187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{"issue":{"subject":"","project_id":79,"tracker_id":40,"status_id":1,"priority_id":2,"assigned_to_id":23,"start_date":"2017-08-12","description":"","custom_fields":[{"id":1,"name":"Subdivision","value":"NW"},{"id":4,"name":"Milepost","value":"5.8943"},{"id":17,"name":"Train ID","value":"1827-12"},{"id":16,"name":"Locomotive ID","value":"4056"},{"id":130,"name":"Impact","value":""},{"id":150,"name":"Time of Event (Mountain Time)","value":"19:35:31"},{"id":151,"name":"Denver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96"/>
        <v>start /low /b %USERPROFILE%\Documents\GitHub\eaglep3\Utilities\DownloadLogsFromS3.py --loco 4056 --day 2017-08-12</v>
      </c>
      <c r="AN187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01:35:31"},{"id":29,"name":"Sharepoint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835</v>
      </c>
      <c r="B188" s="7">
        <v>4055</v>
      </c>
      <c r="C188" s="21" t="s">
        <v>198</v>
      </c>
      <c r="D188" s="21" t="s">
        <v>529</v>
      </c>
      <c r="E188" s="13">
        <v>42959.81790509259</v>
      </c>
      <c r="F188" s="13">
        <v>42959.819918981484</v>
      </c>
      <c r="G188" s="7">
        <v>1</v>
      </c>
      <c r="H188" s="21" t="s">
        <v>628</v>
      </c>
      <c r="I188" s="13">
        <v>42959.830358796295</v>
      </c>
      <c r="J188" s="7">
        <v>0</v>
      </c>
      <c r="K188" s="89" t="str">
        <f t="shared" si="98"/>
        <v>4055/4056</v>
      </c>
      <c r="L188" s="21" t="str">
        <f>VLOOKUP(A188,'Trips&amp;Operators'!$C$1:$G$99999,5,FALSE)</f>
        <v>MCREYNOLDS KYLE</v>
      </c>
      <c r="M188" s="6">
        <f t="shared" si="99"/>
        <v>1.0439814810524695E-2</v>
      </c>
      <c r="N188" s="7">
        <f t="shared" si="100"/>
        <v>15.03333332715556</v>
      </c>
      <c r="O188" s="7"/>
      <c r="P188" s="7"/>
      <c r="Q188" s="22"/>
      <c r="R188" s="170"/>
      <c r="S188" s="213">
        <f t="shared" si="101"/>
        <v>1</v>
      </c>
      <c r="T188" s="195" t="str">
        <f t="shared" si="102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91"/>
        <v>https://d0f6bd738d7f1b3e5a7ca70fe4ff75f0.us-east-1.aws.found.io/app/kibana#/discover/Steve-Slow-Train-Analysis-(2080s-and-2083s)?_g=(refreshInterval:(display:Off,pause:!f,section:0,value:0),time:(from:'2017-08-12T18:37:47-0600',mode:absolute,to:'2017-08-12T20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8" s="197" t="str">
        <f>IF(AA188&lt;VLOOKUP(AG188,Variables!$AC$3:$AD$8,2,FALSE),"Y","N")</f>
        <v>N</v>
      </c>
      <c r="X188" s="197">
        <f t="shared" si="109"/>
        <v>1</v>
      </c>
      <c r="Y188" s="197">
        <f t="shared" si="114"/>
        <v>5.8638000000000003</v>
      </c>
      <c r="Z188" s="197">
        <f t="shared" si="115"/>
        <v>6.7299999999999999E-2</v>
      </c>
      <c r="AA188" s="197">
        <f t="shared" si="106"/>
        <v>5.7965</v>
      </c>
      <c r="AB188" s="54" t="e">
        <f>VLOOKUP(A188,Enforcements!$C$7:$K$12,8,0)</f>
        <v>#N/A</v>
      </c>
      <c r="AC188" s="51" t="e">
        <f>VLOOKUP(A188,Enforcements!$C$7:$E$12,3,0)</f>
        <v>#N/A</v>
      </c>
      <c r="AD188" s="206">
        <f t="shared" si="107"/>
        <v>1828</v>
      </c>
      <c r="AE188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88" s="74" t="str">
        <f t="shared" si="93"/>
        <v>"C:\Program Files (x86)\AstroGrep\AstroGrep.exe" /e /r /s /spath="%USERPROFILE%\AppData\Local\Temp\OnboardLogs" /stypes="app*4055*20170813*" /stext=" 01:.+((SYSTEM_STATE.+slice.+state.+changed )|(ment ac)|(multiple cpu faults)|(system.+state.+changed )|(\[timeout)|(PRM\|1\|D)|(kpr)|(kdp)|(train st.+moving)|(\|lc)|(penalty))"</v>
      </c>
      <c r="AG188" s="209" t="str">
        <f t="shared" si="108"/>
        <v>NW</v>
      </c>
      <c r="AH188" s="78" t="str">
        <f t="shared" si="94"/>
        <v>"%USERPROFILE%\Documents\GitHub\eaglep3\Utilities\RefineRTDCRunTimes.py" --tripid 1828-12 --locoid 4055 --swversion DE.1.0.9.0 --startMP 300:58638 --initTime 2017-08-12T19:37:47 --startdatetime 2017-08-12T19:40:41 --delay 1 --endMP 204:673 --enddatetime 2017-08-12T19:55:43 --enforcementcount 0 &gt;&gt;C:\Users\stu\Documents\GitHub\eaglep3-reporting\EC\2017-08-12-refined-times.txt</v>
      </c>
      <c r="AI188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{"issue":{"subject":"","project_id":79,"tracker_id":40,"status_id":1,"priority_id":2,"assigned_to_id":23,"start_date":"2017-08-12","description":"","custom_fields":[{"id":1,"name":"Subdivision","value":"NW"},{"id":4,"name":"Milepost","value":"0.0673"},{"id":17,"name":"Train ID","value":"1828-12"},{"id":16,"name":"Locomotive ID","value":"4055"},{"id":130,"name":"Impact","value":""},{"id":150,"name":"Time of Event (Mountain Time)","value":"19:55:43"},{"id":151,"name":"Denver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96"/>
        <v>start /low /b %USERPROFILE%\Documents\GitHub\eaglep3\Utilities\DownloadLogsFromS3.py --loco 4055 --day 2017-08-12</v>
      </c>
      <c r="AN188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01:55:43"},{"id":29,"name":"Sharepoint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838</v>
      </c>
      <c r="B189" s="7">
        <v>4056</v>
      </c>
      <c r="C189" s="21" t="s">
        <v>198</v>
      </c>
      <c r="D189" s="21" t="s">
        <v>930</v>
      </c>
      <c r="E189" s="13">
        <v>42959.83865740741</v>
      </c>
      <c r="F189" s="13">
        <v>42959.848067129627</v>
      </c>
      <c r="G189" s="7">
        <v>2</v>
      </c>
      <c r="H189" s="21" t="s">
        <v>574</v>
      </c>
      <c r="I189" s="13">
        <v>42959.857974537037</v>
      </c>
      <c r="J189" s="7">
        <v>0</v>
      </c>
      <c r="K189" s="89" t="str">
        <f t="shared" si="98"/>
        <v>4055/4056</v>
      </c>
      <c r="L189" s="21" t="str">
        <f>VLOOKUP(A189,'Trips&amp;Operators'!$C$1:$G$99999,5,FALSE)</f>
        <v>MCREYNOLDS KYLE</v>
      </c>
      <c r="M189" s="6">
        <f t="shared" si="99"/>
        <v>9.9074074096279219E-3</v>
      </c>
      <c r="N189" s="7">
        <f t="shared" si="100"/>
        <v>14.266666669864208</v>
      </c>
      <c r="O189" s="7"/>
      <c r="P189" s="7"/>
      <c r="Q189" s="22"/>
      <c r="R189" s="170"/>
      <c r="S189" s="213">
        <f t="shared" si="101"/>
        <v>1</v>
      </c>
      <c r="T189" s="195" t="str">
        <f t="shared" si="102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91"/>
        <v>https://d0f6bd738d7f1b3e5a7ca70fe4ff75f0.us-east-1.aws.found.io/app/kibana#/discover/Steve-Slow-Train-Analysis-(2080s-and-2083s)?_g=(refreshInterval:(display:Off,pause:!f,section:0,value:0),time:(from:'2017-08-12T19:07:40-0600',mode:absolute,to:'2017-08-12T21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9" s="197" t="str">
        <f>IF(AA189&lt;VLOOKUP(AG189,Variables!$AC$3:$AD$8,2,FALSE),"Y","N")</f>
        <v>N</v>
      </c>
      <c r="X189" s="197">
        <f t="shared" si="109"/>
        <v>1</v>
      </c>
      <c r="Y189" s="197">
        <f t="shared" si="114"/>
        <v>9.5500000000000002E-2</v>
      </c>
      <c r="Z189" s="197">
        <f t="shared" si="115"/>
        <v>5.8944000000000001</v>
      </c>
      <c r="AA189" s="197">
        <f t="shared" si="106"/>
        <v>5.7988999999999997</v>
      </c>
      <c r="AB189" s="54" t="e">
        <f>VLOOKUP(A189,Enforcements!$C$7:$K$12,8,0)</f>
        <v>#N/A</v>
      </c>
      <c r="AC189" s="51" t="e">
        <f>VLOOKUP(A189,Enforcements!$C$7:$E$12,3,0)</f>
        <v>#N/A</v>
      </c>
      <c r="AD189" s="206">
        <f t="shared" si="107"/>
        <v>1829</v>
      </c>
      <c r="AE189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89" s="74" t="str">
        <f t="shared" si="93"/>
        <v>"C:\Program Files (x86)\AstroGrep\AstroGrep.exe" /e /r /s /spath="%USERPROFILE%\AppData\Local\Temp\OnboardLogs" /stypes="app*4056*20170813*" /stext=" 02:.+((SYSTEM_STATE.+slice.+state.+changed )|(ment ac)|(multiple cpu faults)|(system.+state.+changed )|(\[timeout)|(PRM\|1\|D)|(kpr)|(kdp)|(train st.+moving)|(\|lc)|(penalty))"</v>
      </c>
      <c r="AG189" s="209" t="str">
        <f t="shared" si="108"/>
        <v>NW</v>
      </c>
      <c r="AH189" s="78" t="str">
        <f t="shared" si="94"/>
        <v>"%USERPROFILE%\Documents\GitHub\eaglep3\Utilities\RefineRTDCRunTimes.py" --tripid 1829-12 --locoid 4056 --swversion DE.1.0.9.0 --startMP 204:955 --initTime 2017-08-12T20:07:40 --startdatetime 2017-08-12T20:21:13 --delay 2 --endMP 300:58944 --enddatetime 2017-08-12T20:35:29 --enforcementcount 0 &gt;&gt;C:\Users\stu\Documents\GitHub\eaglep3-reporting\EC\2017-08-12-refined-times.txt</v>
      </c>
      <c r="AI189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{"issue":{"subject":"","project_id":79,"tracker_id":40,"status_id":1,"priority_id":2,"assigned_to_id":23,"start_date":"2017-08-12","description":"","custom_fields":[{"id":1,"name":"Subdivision","value":"NW"},{"id":4,"name":"Milepost","value":"5.8944"},{"id":17,"name":"Train ID","value":"1829-12"},{"id":16,"name":"Locomotive ID","value":"4056"},{"id":130,"name":"Impact","value":""},{"id":150,"name":"Time of Event (Mountain Time)","value":"20:35:29"},{"id":151,"name":"Denver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96"/>
        <v>start /low /b %USERPROFILE%\Documents\GitHub\eaglep3\Utilities\DownloadLogsFromS3.py --loco 4056 --day 2017-08-12</v>
      </c>
      <c r="AN189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02:35:29"},{"id":29,"name":"Sharepoint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841</v>
      </c>
      <c r="B190" s="7">
        <v>4055</v>
      </c>
      <c r="C190" s="21" t="s">
        <v>198</v>
      </c>
      <c r="D190" s="21" t="s">
        <v>624</v>
      </c>
      <c r="E190" s="13">
        <v>42959.859525462962</v>
      </c>
      <c r="F190" s="13">
        <v>42959.861574074072</v>
      </c>
      <c r="G190" s="7">
        <v>1</v>
      </c>
      <c r="H190" s="21" t="s">
        <v>627</v>
      </c>
      <c r="I190" s="13">
        <v>42959.871678240743</v>
      </c>
      <c r="J190" s="7">
        <v>0</v>
      </c>
      <c r="K190" s="89" t="str">
        <f t="shared" ref="K190:K219" si="116">IF(ISEVEN(B190),(B190-1)&amp;"/"&amp;B190,B190&amp;"/"&amp;(B190+1))</f>
        <v>4055/4056</v>
      </c>
      <c r="L190" s="21" t="str">
        <f>VLOOKUP(A190,'Trips&amp;Operators'!$C$1:$G$99999,5,FALSE)</f>
        <v>MCREYNOLDS KYLE</v>
      </c>
      <c r="M190" s="6">
        <f t="shared" ref="M190:M219" si="117">I190-F190</f>
        <v>1.0104166671226267E-2</v>
      </c>
      <c r="N190" s="7">
        <f t="shared" ref="N190:N219" si="118">24*60*SUM($M190:$M190)</f>
        <v>14.550000006565824</v>
      </c>
      <c r="O190" s="7"/>
      <c r="P190" s="7"/>
      <c r="Q190" s="22"/>
      <c r="R190" s="170"/>
      <c r="S190" s="213">
        <f t="shared" ref="S190:S219" si="119">1/IF(AG190="EC",12,1)*SUM(U190:U190)</f>
        <v>1</v>
      </c>
      <c r="T190" s="195" t="str">
        <f t="shared" ref="T190:T219" si="120">IF(ISEVEN(LEFT(AD190,4)),"Southbound","NorthBound")</f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91"/>
        <v>https://d0f6bd738d7f1b3e5a7ca70fe4ff75f0.us-east-1.aws.found.io/app/kibana#/discover/Steve-Slow-Train-Analysis-(2080s-and-2083s)?_g=(refreshInterval:(display:Off,pause:!f,section:0,value:0),time:(from:'2017-08-12T19:37:43-0600',mode:absolute,to:'2017-08-12T21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0" s="197" t="str">
        <f>IF(AA190&lt;VLOOKUP(AG190,Variables!$AC$3:$AD$8,2,FALSE),"Y","N")</f>
        <v>N</v>
      </c>
      <c r="X190" s="197">
        <f t="shared" si="109"/>
        <v>1</v>
      </c>
      <c r="Y190" s="197">
        <f t="shared" si="114"/>
        <v>5.8625999999999996</v>
      </c>
      <c r="Z190" s="197">
        <f t="shared" si="115"/>
        <v>7.0599999999999996E-2</v>
      </c>
      <c r="AA190" s="197">
        <f t="shared" ref="AA190:AA221" si="121">ABS(Z190-Y190)</f>
        <v>5.7919999999999998</v>
      </c>
      <c r="AB190" s="54" t="e">
        <f>VLOOKUP(A190,Enforcements!$C$7:$K$12,8,0)</f>
        <v>#N/A</v>
      </c>
      <c r="AC190" s="51" t="e">
        <f>VLOOKUP(A190,Enforcements!$C$7:$E$12,3,0)</f>
        <v>#N/A</v>
      </c>
      <c r="AD190" s="206">
        <f t="shared" ref="AD190:AD219" si="122">VALUE(LEFT(A190,LEN(A190)-3))</f>
        <v>1830</v>
      </c>
      <c r="AE190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90" s="74" t="str">
        <f t="shared" si="93"/>
        <v>"C:\Program Files (x86)\AstroGrep\AstroGrep.exe" /e /r /s /spath="%USERPROFILE%\AppData\Local\Temp\OnboardLogs" /stypes="app*4055*20170813*" /stext=" 02:.+((SYSTEM_STATE.+slice.+state.+changed )|(ment ac)|(multiple cpu faults)|(system.+state.+changed )|(\[timeout)|(PRM\|1\|D)|(kpr)|(kdp)|(train st.+moving)|(\|lc)|(penalty))"</v>
      </c>
      <c r="AG190" s="209" t="str">
        <f t="shared" ref="AG190:AG219" si="123">DetSubdiv(A190)</f>
        <v>NW</v>
      </c>
      <c r="AH190" s="78" t="str">
        <f t="shared" si="94"/>
        <v>"%USERPROFILE%\Documents\GitHub\eaglep3\Utilities\RefineRTDCRunTimes.py" --tripid 1830-12 --locoid 4055 --swversion DE.1.0.9.0 --startMP 300:58626 --initTime 2017-08-12T20:37:43 --startdatetime 2017-08-12T20:40:40 --delay 1 --endMP 204:706 --enddatetime 2017-08-12T20:55:13 --enforcementcount 0 &gt;&gt;C:\Users\stu\Documents\GitHub\eaglep3-reporting\EC\2017-08-12-refined-times.txt</v>
      </c>
      <c r="AI190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{"issue":{"subject":"","project_id":79,"tracker_id":40,"status_id":1,"priority_id":2,"assigned_to_id":23,"start_date":"2017-08-12","description":"","custom_fields":[{"id":1,"name":"Subdivision","value":"NW"},{"id":4,"name":"Milepost","value":"0.0706"},{"id":17,"name":"Train ID","value":"1830-12"},{"id":16,"name":"Locomotive ID","value":"4055"},{"id":130,"name":"Impact","value":""},{"id":150,"name":"Time of Event (Mountain Time)","value":"20:55:13"},{"id":151,"name":"Denver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96"/>
        <v>start /low /b %USERPROFILE%\Documents\GitHub\eaglep3\Utilities\DownloadLogsFromS3.py --loco 4055 --day 2017-08-12</v>
      </c>
      <c r="AN190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02:55:13"},{"id":29,"name":"Sharepoint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848</v>
      </c>
      <c r="B191" s="7">
        <v>4056</v>
      </c>
      <c r="C191" s="21" t="s">
        <v>198</v>
      </c>
      <c r="D191" s="21" t="s">
        <v>573</v>
      </c>
      <c r="E191" s="13">
        <v>42959.886736111112</v>
      </c>
      <c r="F191" s="13">
        <v>42959.889756944445</v>
      </c>
      <c r="G191" s="7">
        <v>2</v>
      </c>
      <c r="H191" s="21" t="s">
        <v>937</v>
      </c>
      <c r="I191" s="13">
        <v>42959.899641203701</v>
      </c>
      <c r="J191" s="7">
        <v>0</v>
      </c>
      <c r="K191" s="89" t="str">
        <f t="shared" si="116"/>
        <v>4055/4056</v>
      </c>
      <c r="L191" s="21" t="str">
        <f>VLOOKUP(A191,'Trips&amp;Operators'!$C$1:$G$99999,5,FALSE)</f>
        <v>MCREYNOLDS KYLE</v>
      </c>
      <c r="M191" s="6">
        <f t="shared" si="117"/>
        <v>9.8842592560686171E-3</v>
      </c>
      <c r="N191" s="7">
        <f t="shared" si="118"/>
        <v>14.233333328738809</v>
      </c>
      <c r="O191" s="7"/>
      <c r="P191" s="7"/>
      <c r="Q191" s="22"/>
      <c r="R191" s="170"/>
      <c r="S191" s="213">
        <f t="shared" si="119"/>
        <v>1</v>
      </c>
      <c r="T191" s="195" t="str">
        <f t="shared" si="120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91"/>
        <v>https://d0f6bd738d7f1b3e5a7ca70fe4ff75f0.us-east-1.aws.found.io/app/kibana#/discover/Steve-Slow-Train-Analysis-(2080s-and-2083s)?_g=(refreshInterval:(display:Off,pause:!f,section:0,value:0),time:(from:'2017-08-12T20:16:54-0600',mode:absolute,to:'2017-08-12T22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1" s="197" t="str">
        <f>IF(AA191&lt;VLOOKUP(AG191,Variables!$AC$3:$AD$8,2,FALSE),"Y","N")</f>
        <v>N</v>
      </c>
      <c r="X191" s="197">
        <f t="shared" si="109"/>
        <v>1</v>
      </c>
      <c r="Y191" s="197">
        <f t="shared" si="114"/>
        <v>9.7799999999999998E-2</v>
      </c>
      <c r="Z191" s="197">
        <f t="shared" si="115"/>
        <v>5.8939000000000004</v>
      </c>
      <c r="AA191" s="197">
        <f t="shared" si="121"/>
        <v>5.7961</v>
      </c>
      <c r="AB191" s="54" t="e">
        <f>VLOOKUP(A191,Enforcements!$C$7:$K$12,8,0)</f>
        <v>#N/A</v>
      </c>
      <c r="AC191" s="51" t="e">
        <f>VLOOKUP(A191,Enforcements!$C$7:$E$12,3,0)</f>
        <v>#N/A</v>
      </c>
      <c r="AD191" s="206">
        <f t="shared" si="122"/>
        <v>1831</v>
      </c>
      <c r="AE191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91" s="74" t="str">
        <f t="shared" si="93"/>
        <v>"C:\Program Files (x86)\AstroGrep\AstroGrep.exe" /e /r /s /spath="%USERPROFILE%\AppData\Local\Temp\OnboardLogs" /stypes="app*4056*20170813*" /stext=" 03:.+((SYSTEM_STATE.+slice.+state.+changed )|(ment ac)|(multiple cpu faults)|(system.+state.+changed )|(\[timeout)|(PRM\|1\|D)|(kpr)|(kdp)|(train st.+moving)|(\|lc)|(penalty))"</v>
      </c>
      <c r="AG191" s="209" t="str">
        <f t="shared" si="123"/>
        <v>NW</v>
      </c>
      <c r="AH191" s="78" t="str">
        <f t="shared" si="94"/>
        <v>"%USERPROFILE%\Documents\GitHub\eaglep3\Utilities\RefineRTDCRunTimes.py" --tripid 1831-12 --locoid 4056 --swversion DE.1.0.9.0 --startMP 204:978 --initTime 2017-08-12T21:16:54 --startdatetime 2017-08-12T21:21:15 --delay 2 --endMP 300:58939 --enddatetime 2017-08-12T21:35:29 --enforcementcount 0 &gt;&gt;C:\Users\stu\Documents\GitHub\eaglep3-reporting\EC\2017-08-12-refined-times.txt</v>
      </c>
      <c r="AI191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{"issue":{"subject":"","project_id":79,"tracker_id":40,"status_id":1,"priority_id":2,"assigned_to_id":23,"start_date":"2017-08-12","description":"","custom_fields":[{"id":1,"name":"Subdivision","value":"NW"},{"id":4,"name":"Milepost","value":"5.8939"},{"id":17,"name":"Train ID","value":"1831-12"},{"id":16,"name":"Locomotive ID","value":"4056"},{"id":130,"name":"Impact","value":""},{"id":150,"name":"Time of Event (Mountain Time)","value":"21:35:29"},{"id":151,"name":"Denver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96"/>
        <v>start /low /b %USERPROFILE%\Documents\GitHub\eaglep3\Utilities\DownloadLogsFromS3.py --loco 4056 --day 2017-08-12</v>
      </c>
      <c r="AN191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849</v>
      </c>
      <c r="B192" s="7">
        <v>4055</v>
      </c>
      <c r="C192" s="21" t="s">
        <v>198</v>
      </c>
      <c r="D192" s="21" t="s">
        <v>920</v>
      </c>
      <c r="E192" s="13">
        <v>42959.901388888888</v>
      </c>
      <c r="F192" s="13">
        <v>42959.903298611112</v>
      </c>
      <c r="G192" s="7">
        <v>1</v>
      </c>
      <c r="H192" s="21" t="s">
        <v>948</v>
      </c>
      <c r="I192" s="13">
        <v>42959.913124999999</v>
      </c>
      <c r="J192" s="7">
        <v>0</v>
      </c>
      <c r="K192" s="89" t="str">
        <f t="shared" si="116"/>
        <v>4055/4056</v>
      </c>
      <c r="L192" s="21" t="str">
        <f>VLOOKUP(A192,'Trips&amp;Operators'!$C$1:$G$99999,5,FALSE)</f>
        <v>MCREYNOLDS KYLE</v>
      </c>
      <c r="M192" s="6">
        <f t="shared" si="117"/>
        <v>9.8263888867222704E-3</v>
      </c>
      <c r="N192" s="7">
        <f t="shared" si="118"/>
        <v>14.149999996880069</v>
      </c>
      <c r="O192" s="7"/>
      <c r="P192" s="7"/>
      <c r="Q192" s="22"/>
      <c r="R192" s="170"/>
      <c r="S192" s="213">
        <f t="shared" si="119"/>
        <v>1</v>
      </c>
      <c r="T192" s="195" t="str">
        <f t="shared" si="120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91"/>
        <v>https://d0f6bd738d7f1b3e5a7ca70fe4ff75f0.us-east-1.aws.found.io/app/kibana#/discover/Steve-Slow-Train-Analysis-(2080s-and-2083s)?_g=(refreshInterval:(display:Off,pause:!f,section:0,value:0),time:(from:'2017-08-12T20:38:00-0600',mode:absolute,to:'2017-08-12T22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2" s="197" t="str">
        <f>IF(AA192&lt;VLOOKUP(AG192,Variables!$AC$3:$AD$8,2,FALSE),"Y","N")</f>
        <v>N</v>
      </c>
      <c r="X192" s="197">
        <f t="shared" si="109"/>
        <v>1</v>
      </c>
      <c r="Y192" s="197">
        <f t="shared" si="114"/>
        <v>5.8619000000000003</v>
      </c>
      <c r="Z192" s="197">
        <f t="shared" si="115"/>
        <v>7.2400000000000006E-2</v>
      </c>
      <c r="AA192" s="197">
        <f t="shared" si="121"/>
        <v>5.7895000000000003</v>
      </c>
      <c r="AB192" s="54" t="e">
        <f>VLOOKUP(A192,Enforcements!$C$7:$K$12,8,0)</f>
        <v>#N/A</v>
      </c>
      <c r="AC192" s="51" t="e">
        <f>VLOOKUP(A192,Enforcements!$C$7:$E$12,3,0)</f>
        <v>#N/A</v>
      </c>
      <c r="AD192" s="206">
        <f t="shared" si="122"/>
        <v>1832</v>
      </c>
      <c r="AE192" s="77" t="str">
        <f t="shared" si="92"/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AF192" s="74" t="str">
        <f t="shared" si="93"/>
        <v>"C:\Program Files (x86)\AstroGrep\AstroGrep.exe" /e /r /s /spath="%USERPROFILE%\AppData\Local\Temp\OnboardLogs" /stypes="app*4055*20170813*" /stext=" 03:.+((SYSTEM_STATE.+slice.+state.+changed )|(ment ac)|(multiple cpu faults)|(system.+state.+changed )|(\[timeout)|(PRM\|1\|D)|(kpr)|(kdp)|(train st.+moving)|(\|lc)|(penalty))"</v>
      </c>
      <c r="AG192" s="209" t="str">
        <f t="shared" si="123"/>
        <v>NW</v>
      </c>
      <c r="AH192" s="78" t="str">
        <f t="shared" si="94"/>
        <v>"%USERPROFILE%\Documents\GitHub\eaglep3\Utilities\RefineRTDCRunTimes.py" --tripid 1832-12 --locoid 4055 --swversion DE.1.0.9.0 --startMP 300:58619 --initTime 2017-08-12T21:38:00 --startdatetime 2017-08-12T21:40:45 --delay 1 --endMP 204:724 --enddatetime 2017-08-12T21:54:54 --enforcementcount 0 &gt;&gt;C:\Users\stu\Documents\GitHub\eaglep3-reporting\EC\2017-08-12-refined-times.txt</v>
      </c>
      <c r="AI192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{"issue":{"subject":"","project_id":79,"tracker_id":40,"status_id":1,"priority_id":2,"assigned_to_id":23,"start_date":"2017-08-12","description":"","custom_fields":[{"id":1,"name":"Subdivision","value":"NW"},{"id":4,"name":"Milepost","value":"0.0724"},{"id":17,"name":"Train ID","value":"1832-12"},{"id":16,"name":"Locomotive ID","value":"4055"},{"id":130,"name":"Impact","value":""},{"id":150,"name":"Time of Event (Mountain Time)","value":"21:54:54"},{"id":151,"name":"Denver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96"/>
        <v>start /low /b %USERPROFILE%\Documents\GitHub\eaglep3\Utilities\DownloadLogsFromS3.py --loco 4055 --day 2017-08-12</v>
      </c>
      <c r="AN192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03:54:54"},{"id":29,"name":"Sharepoint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851</v>
      </c>
      <c r="B193" s="7">
        <v>4056</v>
      </c>
      <c r="C193" s="21" t="s">
        <v>198</v>
      </c>
      <c r="D193" s="21" t="s">
        <v>940</v>
      </c>
      <c r="E193" s="13">
        <v>42959.914155092592</v>
      </c>
      <c r="F193" s="13">
        <v>42959.93141203704</v>
      </c>
      <c r="G193" s="7">
        <v>1</v>
      </c>
      <c r="H193" s="21" t="s">
        <v>572</v>
      </c>
      <c r="I193" s="13">
        <v>42959.941064814811</v>
      </c>
      <c r="J193" s="7">
        <v>0</v>
      </c>
      <c r="K193" s="89" t="str">
        <f t="shared" si="116"/>
        <v>4055/4056</v>
      </c>
      <c r="L193" s="21" t="str">
        <f>VLOOKUP(A193,'Trips&amp;Operators'!$C$1:$G$99999,5,FALSE)</f>
        <v>MCREYNOLDS KYLE</v>
      </c>
      <c r="M193" s="6">
        <f t="shared" si="117"/>
        <v>9.6527777714072727E-3</v>
      </c>
      <c r="N193" s="7">
        <f t="shared" si="118"/>
        <v>13.899999990826473</v>
      </c>
      <c r="O193" s="7"/>
      <c r="P193" s="7"/>
      <c r="Q193" s="22"/>
      <c r="R193" s="170"/>
      <c r="S193" s="213">
        <f t="shared" si="119"/>
        <v>1</v>
      </c>
      <c r="T193" s="195" t="str">
        <f t="shared" si="120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91"/>
        <v>https://d0f6bd738d7f1b3e5a7ca70fe4ff75f0.us-east-1.aws.found.io/app/kibana#/discover/Steve-Slow-Train-Analysis-(2080s-and-2083s)?_g=(refreshInterval:(display:Off,pause:!f,section:0,value:0),time:(from:'2017-08-12T20:56:23-0600',mode:absolute,to:'2017-08-12T23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3" s="197" t="str">
        <f>IF(AA193&lt;VLOOKUP(AG193,Variables!$AC$3:$AD$8,2,FALSE),"Y","N")</f>
        <v>N</v>
      </c>
      <c r="X193" s="197">
        <f t="shared" si="109"/>
        <v>1</v>
      </c>
      <c r="Y193" s="197">
        <f t="shared" si="114"/>
        <v>0.1</v>
      </c>
      <c r="Z193" s="197">
        <f t="shared" si="115"/>
        <v>5.8968999999999996</v>
      </c>
      <c r="AA193" s="197">
        <f t="shared" si="121"/>
        <v>5.7968999999999999</v>
      </c>
      <c r="AB193" s="54" t="e">
        <f>VLOOKUP(A193,Enforcements!$C$7:$K$12,8,0)</f>
        <v>#N/A</v>
      </c>
      <c r="AC193" s="51" t="e">
        <f>VLOOKUP(A193,Enforcements!$C$7:$E$12,3,0)</f>
        <v>#N/A</v>
      </c>
      <c r="AD193" s="206">
        <f t="shared" si="122"/>
        <v>1833</v>
      </c>
      <c r="AE193" s="77" t="str">
        <f t="shared" si="92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193" s="74" t="str">
        <f t="shared" si="93"/>
        <v>"C:\Program Files (x86)\AstroGrep\AstroGrep.exe" /e /r /s /spath="%USERPROFILE%\AppData\Local\Temp\OnboardLogs" /stypes="app*4056*20170813*" /stext=" 04:.+((SYSTEM_STATE.+slice.+state.+changed )|(ment ac)|(multiple cpu faults)|(system.+state.+changed )|(\[timeout)|(PRM\|1\|D)|(kpr)|(kdp)|(train st.+moving)|(\|lc)|(penalty))"</v>
      </c>
      <c r="AG193" s="209" t="str">
        <f t="shared" si="123"/>
        <v>NW</v>
      </c>
      <c r="AH193" s="78" t="str">
        <f t="shared" si="94"/>
        <v>"%USERPROFILE%\Documents\GitHub\eaglep3\Utilities\RefineRTDCRunTimes.py" --tripid 1833-12 --locoid 4056 --swversion DE.1.0.9.0 --startMP 204:1000 --initTime 2017-08-12T21:56:23 --startdatetime 2017-08-12T22:21:14 --delay 1 --endMP 300:58969 --enddatetime 2017-08-12T22:35:08 --enforcementcount 0 &gt;&gt;C:\Users\stu\Documents\GitHub\eaglep3-reporting\EC\2017-08-12-refined-times.txt</v>
      </c>
      <c r="AI193" s="96" t="str">
        <f t="shared" si="95"/>
        <v>echo {"issue":{"subject":"","project_id":79,"tracker_id":40,"status_id":1,"priority_id":2,"assigned_to_id":23,"start_date":"2017-08-12","description":"","custom_fields":[{"id":1,"name":"Subdivision","value":"NW"},{"id":4,"name":"Milepost","value":"5.8969"},{"id":17,"name":"Train ID","value":"1833-12"},{"id":16,"name":"Locomotive ID","value":"4056"},{"id":130,"name":"Impact","value":""},{"id":150,"name":"Time of Event (Mountain Time)","value":"22:35:08"},{"id":151,"name":"Denver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96"/>
        <v>start /low /b %USERPROFILE%\Documents\GitHub\eaglep3\Utilities\DownloadLogsFromS3.py --loco 4056 --day 2017-08-12</v>
      </c>
      <c r="AN193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04:35:08"},{"id":29,"name":"Sharepoint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668</v>
      </c>
      <c r="B194" s="7">
        <v>4041</v>
      </c>
      <c r="C194" s="21" t="s">
        <v>198</v>
      </c>
      <c r="D194" s="21" t="s">
        <v>981</v>
      </c>
      <c r="E194" s="13">
        <v>42959.11377314815</v>
      </c>
      <c r="F194" s="13">
        <v>42959.121655092589</v>
      </c>
      <c r="G194" s="7">
        <v>11</v>
      </c>
      <c r="H194" s="21" t="s">
        <v>474</v>
      </c>
      <c r="I194" s="13">
        <v>42959.127280092594</v>
      </c>
      <c r="J194" s="7">
        <v>0</v>
      </c>
      <c r="K194" s="89" t="str">
        <f t="shared" si="116"/>
        <v>4041/4042</v>
      </c>
      <c r="L194" s="21" t="str">
        <f>VLOOKUP(A194,'Trips&amp;Operators'!$C$1:$G$99999,5,FALSE)</f>
        <v>MAELZER KURT</v>
      </c>
      <c r="M194" s="6">
        <f t="shared" si="117"/>
        <v>5.6250000052386895E-3</v>
      </c>
      <c r="N194" s="7">
        <f t="shared" si="118"/>
        <v>8.1000000075437129</v>
      </c>
      <c r="O194" s="7"/>
      <c r="P194" s="7"/>
      <c r="Q194" s="22"/>
      <c r="R194" s="170"/>
      <c r="S194" s="213">
        <f t="shared" si="119"/>
        <v>1</v>
      </c>
      <c r="T194" s="195" t="str">
        <f t="shared" si="120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91"/>
        <v>https://d0f6bd738d7f1b3e5a7ca70fe4ff75f0.us-east-1.aws.found.io/app/kibana#/discover/Steve-Slow-Train-Analysis-(2080s-and-2083s)?_g=(refreshInterval:(display:Off,pause:!f,section:0,value:0),time:(from:'2017-08-12T01:43:50-0600',mode:absolute,to:'2017-08-12T04:03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4" s="197" t="str">
        <f>IF(AA194&lt;VLOOKUP(AG194,Variables!$AC$3:$AD$8,2,FALSE),"Y","N")</f>
        <v>Y</v>
      </c>
      <c r="X194" s="197">
        <f t="shared" si="109"/>
        <v>-1533</v>
      </c>
      <c r="Y194" s="197">
        <f t="shared" si="114"/>
        <v>2.2052999999999998</v>
      </c>
      <c r="Z194" s="197">
        <f t="shared" si="115"/>
        <v>1.32E-2</v>
      </c>
      <c r="AA194" s="197">
        <f t="shared" si="121"/>
        <v>2.1920999999999999</v>
      </c>
      <c r="AB194" s="54" t="e">
        <f>VLOOKUP(A194,Enforcements!$C$7:$K$12,8,0)</f>
        <v>#N/A</v>
      </c>
      <c r="AC194" s="51" t="e">
        <f>VLOOKUP(A194,Enforcements!$C$7:$E$12,3,0)</f>
        <v>#N/A</v>
      </c>
      <c r="AD194" s="206">
        <f t="shared" si="122"/>
        <v>300</v>
      </c>
      <c r="AE194" s="77" t="str">
        <f t="shared" si="92"/>
        <v>aws s3 cp s3://rtdc.mdm.uploadarchive.raw/RTDC4041/ "%USERPROFILE%\AppData\Local\Temp\OnboardLogs"\RTDC4041\2017-08-12 --exclude "*" --recursive --include "*20170812*" &amp; "%USERPROFILE%\Documents\GitHub\mrs-test-scripts\Headless Mode &amp; Sideloading\WalkAndUnGZ.bat" "%USERPROFILE%\AppData\Local\Temp\OnboardLogs"\RTDC4041\2017-08-12 &amp; 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</v>
      </c>
      <c r="AF194" s="74" t="str">
        <f t="shared" si="93"/>
        <v>"C:\Program Files (x86)\AstroGrep\AstroGrep.exe" /e /r /s /spath="%USERPROFILE%\AppData\Local\Temp\OnboardLogs" /stypes="app*4041*20170812*" /stext=" 09:.+((SYSTEM_STATE.+slice.+state.+changed )|(ment ac)|(multiple cpu faults)|(system.+state.+changed )|(\[timeout)|(PRM\|1\|D)|(kpr)|(kdp)|(train st.+moving)|(\|lc)|(penalty))"</v>
      </c>
      <c r="AG194" s="209" t="str">
        <f t="shared" si="123"/>
        <v>Other</v>
      </c>
      <c r="AH194" s="78" t="str">
        <f t="shared" si="94"/>
        <v>"%USERPROFILE%\Documents\GitHub\eaglep3\Utilities\RefineRTDCRunTimes.py" --tripid 300-12 --locoid 4041 --swversion DE.1.0.9.0 --startMP 300:22053 --initTime 2017-08-12T02:43:50 --startdatetime 2017-08-12T02:55:11 --delay 11 --endMP 204:132 --enddatetime 2017-08-12T03:03:17 --enforcementcount 0 &gt;&gt;C:\Users\stu\Documents\GitHub\eaglep3-reporting\EC\2017-08-12-refined-times.txt</v>
      </c>
      <c r="AI194" s="96" t="str">
        <f t="shared" si="95"/>
        <v>echo {"issue":{"subject":"","project_id":79,"tracker_id":40,"status_id":1,"priority_id":2,"assigned_to_id":23,"start_date":"2017-08-12","description":"","custom_fields":[{"id":1,"name":"Subdivision","value":"Other"},{"id":4,"name":"Milepost","value":"0.0132"},{"id":17,"name":"Train ID","value":"300-12"},{"id":16,"name":"Locomotive ID","value":"4041"},{"id":130,"name":"Impact","value":""},{"id":150,"name":"Time of Event (Mountain Time)","value":"03:03:17"},{"id":151,"name":"Denver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96"/>
        <v>start /low /b %USERPROFILE%\Documents\GitHub\eaglep3\Utilities\DownloadLogsFromS3.py --loco 4041 --day 2017-08-12</v>
      </c>
      <c r="AN194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09:03:17"},{"id":29,"name":"Sharepoint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869</v>
      </c>
      <c r="B195" s="7">
        <v>4007</v>
      </c>
      <c r="C195" s="21" t="s">
        <v>198</v>
      </c>
      <c r="D195" s="21" t="s">
        <v>982</v>
      </c>
      <c r="E195" s="13">
        <v>42960.113240740742</v>
      </c>
      <c r="F195" s="13">
        <v>42960.117407407408</v>
      </c>
      <c r="G195" s="7">
        <v>5</v>
      </c>
      <c r="H195" s="21" t="s">
        <v>348</v>
      </c>
      <c r="I195" s="13">
        <v>42960.122511574074</v>
      </c>
      <c r="J195" s="7">
        <v>0</v>
      </c>
      <c r="K195" s="89" t="str">
        <f t="shared" si="116"/>
        <v>4007/4008</v>
      </c>
      <c r="L195" s="21" t="str">
        <f>VLOOKUP(A195,'Trips&amp;Operators'!$C$1:$G$99999,5,FALSE)</f>
        <v>MAELZER KURT</v>
      </c>
      <c r="M195" s="6">
        <f t="shared" si="117"/>
        <v>5.1041666665696539E-3</v>
      </c>
      <c r="N195" s="7">
        <f t="shared" si="118"/>
        <v>7.3499999998603016</v>
      </c>
      <c r="O195" s="7"/>
      <c r="P195" s="7"/>
      <c r="Q195" s="22"/>
      <c r="R195" s="170"/>
      <c r="S195" s="213">
        <f t="shared" si="119"/>
        <v>1</v>
      </c>
      <c r="T195" s="195" t="str">
        <f t="shared" si="120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91"/>
        <v>https://d0f6bd738d7f1b3e5a7ca70fe4ff75f0.us-east-1.aws.found.io/app/kibana#/discover/Steve-Slow-Train-Analysis-(2080s-and-2083s)?_g=(refreshInterval:(display:Off,pause:!f,section:0,value:0),time:(from:'2017-08-13T01:43:04-0600',mode:absolute,to:'2017-08-13T03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5" s="197" t="str">
        <f>IF(AA195&lt;VLOOKUP(AG195,Variables!$AC$3:$AD$8,2,FALSE),"Y","N")</f>
        <v>Y</v>
      </c>
      <c r="X195" s="197">
        <f t="shared" si="109"/>
        <v>0</v>
      </c>
      <c r="Y195" s="197">
        <f t="shared" si="114"/>
        <v>1.9554</v>
      </c>
      <c r="Z195" s="197">
        <f t="shared" si="115"/>
        <v>1.3899999999999999E-2</v>
      </c>
      <c r="AA195" s="197">
        <f t="shared" si="121"/>
        <v>1.9415</v>
      </c>
      <c r="AB195" s="54" t="e">
        <f>VLOOKUP(A195,Enforcements!$C$7:$K$12,8,0)</f>
        <v>#N/A</v>
      </c>
      <c r="AC195" s="51" t="e">
        <f>VLOOKUP(A195,Enforcements!$C$7:$E$12,3,0)</f>
        <v>#N/A</v>
      </c>
      <c r="AD195" s="206">
        <f t="shared" si="122"/>
        <v>300</v>
      </c>
      <c r="AE195" s="77" t="str">
        <f t="shared" si="92"/>
        <v>aws s3 cp s3://rtdc.mdm.uploadarchive.raw/RTDC4007/ "%USERPROFILE%\AppData\Local\Temp\OnboardLogs"\RTDC4007\2017-08-13 --exclude "*" --recursive --include "*20170813*" &amp; "%USERPROFILE%\Documents\GitHub\mrs-test-scripts\Headless Mode &amp; Sideloading\WalkAndUnGZ.bat" "%USERPROFILE%\AppData\Local\Temp\OnboardLogs"\RTDC4007\2017-08-13 &amp; aws s3 cp s3://rtdc.mdm.uploadarchive.raw/RTDC4007/ "%USERPROFILE%\AppData\Local\Temp\OnboardLogs"\RTDC4007\2017-08-14 --exclude "*" --recursive --include "*20170814*" &amp; "%USERPROFILE%\Documents\GitHub\mrs-test-scripts\Headless Mode &amp; Sideloading\WalkAndUnGZ.bat" "%USERPROFILE%\AppData\Local\Temp\OnboardLogs"\RTDC4007\2017-08-14</v>
      </c>
      <c r="AF195" s="74" t="str">
        <f t="shared" si="93"/>
        <v>"C:\Program Files (x86)\AstroGrep\AstroGrep.exe" /e /r /s /spath="%USERPROFILE%\AppData\Local\Temp\OnboardLogs" /stypes="app*4007*20170813*" /stext=" 08:.+((SYSTEM_STATE.+slice.+state.+changed )|(ment ac)|(multiple cpu faults)|(system.+state.+changed )|(\[timeout)|(PRM\|1\|D)|(kpr)|(kdp)|(train st.+moving)|(\|lc)|(penalty))"</v>
      </c>
      <c r="AG195" s="209" t="str">
        <f t="shared" si="123"/>
        <v>Other</v>
      </c>
      <c r="AH195" s="78" t="str">
        <f t="shared" si="94"/>
        <v>"%USERPROFILE%\Documents\GitHub\eaglep3\Utilities\RefineRTDCRunTimes.py" --tripid 300-13 --locoid 4007 --swversion DE.1.0.9.0 --startMP 300:19554 --initTime 2017-08-13T02:43:04 --startdatetime 2017-08-13T02:49:04 --delay 5 --endMP 204:139 --enddatetime 2017-08-13T02:56:25 --enforcementcount 0 &gt;&gt;C:\Users\stu\Documents\GitHub\eaglep3-reporting\EC\2017-08-12-refined-times.txt</v>
      </c>
      <c r="AI195" s="96" t="str">
        <f t="shared" si="95"/>
        <v>echo {"issue":{"subject":"","project_id":79,"tracker_id":40,"status_id":1,"priority_id":2,"assigned_to_id":23,"start_date":"2017-08-13","description":"","custom_fields":[{"id":1,"name":"Subdivision","value":"Other"},{"id":4,"name":"Milepost","value":"0.0139"},{"id":17,"name":"Train ID","value":"300-13"},{"id":16,"name":"Locomotive ID","value":"4007"},{"id":130,"name":"Impact","value":""},{"id":150,"name":"Time of Event (Mountain Time)","value":"02:56:25"},{"id":151,"name":"Denver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96"/>
        <v>start /low /b %USERPROFILE%\Documents\GitHub\eaglep3\Utilities\DownloadLogsFromS3.py --loco 4007 --day 2017-08-13</v>
      </c>
      <c r="AN195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08:56:25"},{"id":29,"name":"Sharepoint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830</v>
      </c>
      <c r="B196" s="7">
        <v>4042</v>
      </c>
      <c r="C196" s="21" t="s">
        <v>198</v>
      </c>
      <c r="D196" s="21" t="s">
        <v>569</v>
      </c>
      <c r="E196" s="13">
        <v>42959.775925925926</v>
      </c>
      <c r="F196" s="13">
        <v>42959.777731481481</v>
      </c>
      <c r="G196" s="7">
        <v>1</v>
      </c>
      <c r="H196" s="21" t="s">
        <v>475</v>
      </c>
      <c r="I196" s="13">
        <v>42959.786192129628</v>
      </c>
      <c r="J196" s="7">
        <v>0</v>
      </c>
      <c r="K196" s="89" t="str">
        <f t="shared" si="116"/>
        <v>4041/4042</v>
      </c>
      <c r="L196" s="21" t="str">
        <f>VLOOKUP(A196,'Trips&amp;Operators'!$C$1:$G$99999,5,FALSE)</f>
        <v>BRUDER RICHARD</v>
      </c>
      <c r="M196" s="6">
        <f t="shared" si="117"/>
        <v>8.4606481468654238E-3</v>
      </c>
      <c r="N196" s="7">
        <f t="shared" si="118"/>
        <v>12.18333333148621</v>
      </c>
      <c r="O196" s="7"/>
      <c r="P196" s="7"/>
      <c r="Q196" s="22"/>
      <c r="R196" s="170"/>
      <c r="S196" s="213">
        <f t="shared" si="119"/>
        <v>1</v>
      </c>
      <c r="T196" s="195" t="str">
        <f t="shared" si="120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91"/>
        <v>https://d0f6bd738d7f1b3e5a7ca70fe4ff75f0.us-east-1.aws.found.io/app/kibana#/discover/Steve-Slow-Train-Analysis-(2080s-and-2083s)?_g=(refreshInterval:(display:Off,pause:!f,section:0,value:0),time:(from:'2017-08-12T17:37:20-0600',mode:absolute,to:'2017-08-12T19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6" s="197" t="str">
        <f>IF(AA196&lt;VLOOKUP(AG196,Variables!$AC$3:$AD$8,2,FALSE),"Y","N")</f>
        <v>Y</v>
      </c>
      <c r="X196" s="197">
        <f t="shared" ref="X196:X219" si="124">VALUE(LEFT(AD196,4))-VALUE(LEFT(AD195,4))</f>
        <v>1</v>
      </c>
      <c r="Y196" s="197">
        <f t="shared" si="114"/>
        <v>4.7800000000000002E-2</v>
      </c>
      <c r="Z196" s="197">
        <f t="shared" si="115"/>
        <v>2.3302</v>
      </c>
      <c r="AA196" s="197">
        <f t="shared" si="121"/>
        <v>2.2824</v>
      </c>
      <c r="AB196" s="54" t="e">
        <f>VLOOKUP(A196,Enforcements!$C$7:$K$12,8,0)</f>
        <v>#N/A</v>
      </c>
      <c r="AC196" s="51" t="e">
        <f>VLOOKUP(A196,Enforcements!$C$7:$E$12,3,0)</f>
        <v>#N/A</v>
      </c>
      <c r="AD196" s="206">
        <f t="shared" si="122"/>
        <v>301</v>
      </c>
      <c r="AE196" s="77" t="str">
        <f t="shared" si="92"/>
        <v>aws s3 cp s3://rtdc.mdm.uploadarchive.raw/RTDC4042/ "%USERPROFILE%\AppData\Local\Temp\OnboardLogs"\RTDC4042\2017-08-12 --exclude "*" --recursive --include "*20170812*" &amp; "%USERPROFILE%\Documents\GitHub\mrs-test-scripts\Headless Mode &amp; Sideloading\WalkAndUnGZ.bat" "%USERPROFILE%\AppData\Local\Temp\OnboardLogs"\RTDC4042\2017-08-12 &amp; 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</v>
      </c>
      <c r="AF196" s="74" t="str">
        <f t="shared" si="93"/>
        <v>"C:\Program Files (x86)\AstroGrep\AstroGrep.exe" /e /r /s /spath="%USERPROFILE%\AppData\Local\Temp\OnboardLogs" /stypes="app*4042*20170813*" /stext=" 00:.+((SYSTEM_STATE.+slice.+state.+changed )|(ment ac)|(multiple cpu faults)|(system.+state.+changed )|(\[timeout)|(PRM\|1\|D)|(kpr)|(kdp)|(train st.+moving)|(\|lc)|(penalty))"</v>
      </c>
      <c r="AG196" s="209" t="str">
        <f t="shared" si="123"/>
        <v>Other</v>
      </c>
      <c r="AH196" s="78" t="str">
        <f t="shared" si="94"/>
        <v>"%USERPROFILE%\Documents\GitHub\eaglep3\Utilities\RefineRTDCRunTimes.py" --tripid 301-12 --locoid 4042 --swversion DE.1.0.9.0 --startMP 204:478 --initTime 2017-08-12T18:37:20 --startdatetime 2017-08-12T18:39:56 --delay 1 --endMP 300:23302 --enddatetime 2017-08-12T18:52:07 --enforcementcount 0 &gt;&gt;C:\Users\stu\Documents\GitHub\eaglep3-reporting\EC\2017-08-12-refined-times.txt</v>
      </c>
      <c r="AI196" s="96" t="str">
        <f t="shared" si="95"/>
        <v>echo {"issue":{"subject":"","project_id":79,"tracker_id":40,"status_id":1,"priority_id":2,"assigned_to_id":23,"start_date":"2017-08-12","description":"","custom_fields":[{"id":1,"name":"Subdivision","value":"Other"},{"id":4,"name":"Milepost","value":"2.3302"},{"id":17,"name":"Train ID","value":"301-12"},{"id":16,"name":"Locomotive ID","value":"4042"},{"id":130,"name":"Impact","value":""},{"id":150,"name":"Time of Event (Mountain Time)","value":"18:52:07"},{"id":151,"name":"Denver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96"/>
        <v>start /low /b %USERPROFILE%\Documents\GitHub\eaglep3\Utilities\DownloadLogsFromS3.py --loco 4042 --day 2017-08-12</v>
      </c>
      <c r="AN196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00:52:07"},{"id":29,"name":"Sharepoint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675</v>
      </c>
      <c r="B197" s="7">
        <v>4031</v>
      </c>
      <c r="C197" s="21" t="s">
        <v>198</v>
      </c>
      <c r="D197" s="21" t="s">
        <v>983</v>
      </c>
      <c r="E197" s="13">
        <v>42959.134826388887</v>
      </c>
      <c r="F197" s="13">
        <v>42959.138807870368</v>
      </c>
      <c r="G197" s="7">
        <v>5</v>
      </c>
      <c r="H197" s="21" t="s">
        <v>351</v>
      </c>
      <c r="I197" s="13">
        <v>42959.144861111112</v>
      </c>
      <c r="J197" s="7">
        <v>0</v>
      </c>
      <c r="K197" s="89" t="str">
        <f t="shared" si="116"/>
        <v>4031/4032</v>
      </c>
      <c r="L197" s="21" t="str">
        <f>VLOOKUP(A197,'Trips&amp;Operators'!$C$1:$G$99999,5,FALSE)</f>
        <v>WILLIAMS DONTE</v>
      </c>
      <c r="M197" s="6">
        <f t="shared" si="117"/>
        <v>6.0532407442224212E-3</v>
      </c>
      <c r="N197" s="7">
        <f t="shared" si="118"/>
        <v>8.7166666716802865</v>
      </c>
      <c r="O197" s="7"/>
      <c r="P197" s="7"/>
      <c r="Q197" s="22"/>
      <c r="R197" s="170"/>
      <c r="S197" s="213">
        <f t="shared" si="119"/>
        <v>1</v>
      </c>
      <c r="T197" s="195" t="str">
        <f t="shared" si="120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91"/>
        <v>https://d0f6bd738d7f1b3e5a7ca70fe4ff75f0.us-east-1.aws.found.io/app/kibana#/discover/Steve-Slow-Train-Analysis-(2080s-and-2083s)?_g=(refreshInterval:(display:Off,pause:!f,section:0,value:0),time:(from:'2017-08-12T02:14:09-0600',mode:absolute,to:'2017-08-12T04:28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7" s="197" t="str">
        <f>IF(AA197&lt;VLOOKUP(AG197,Variables!$AC$3:$AD$8,2,FALSE),"Y","N")</f>
        <v>Y</v>
      </c>
      <c r="X197" s="197">
        <f t="shared" si="124"/>
        <v>1</v>
      </c>
      <c r="Y197" s="197">
        <f t="shared" si="114"/>
        <v>2.3576000000000001</v>
      </c>
      <c r="Z197" s="197">
        <f t="shared" si="115"/>
        <v>1.47E-2</v>
      </c>
      <c r="AA197" s="197">
        <f t="shared" si="121"/>
        <v>2.3429000000000002</v>
      </c>
      <c r="AB197" s="54" t="e">
        <f>VLOOKUP(A197,Enforcements!$C$7:$K$12,8,0)</f>
        <v>#N/A</v>
      </c>
      <c r="AC197" s="51" t="e">
        <f>VLOOKUP(A197,Enforcements!$C$7:$E$12,3,0)</f>
        <v>#N/A</v>
      </c>
      <c r="AD197" s="206">
        <f t="shared" si="122"/>
        <v>302</v>
      </c>
      <c r="AE197" s="77" t="str">
        <f t="shared" si="92"/>
        <v>aws s3 cp s3://rtdc.mdm.uploadarchive.raw/RTDC4031/ "%USERPROFILE%\AppData\Local\Temp\OnboardLogs"\RTDC4031\2017-08-12 --exclude "*" --recursive --include "*20170812*" &amp; "%USERPROFILE%\Documents\GitHub\mrs-test-scripts\Headless Mode &amp; Sideloading\WalkAndUnGZ.bat" "%USERPROFILE%\AppData\Local\Temp\OnboardLogs"\RTDC4031\2017-08-12 &amp; aws s3 cp s3://rtdc.mdm.uploadarchive.raw/RTDC4031/ "%USERPROFILE%\AppData\Local\Temp\OnboardLogs"\RTDC4031\2017-08-13 --exclude "*" --recursive --include "*20170813*" &amp; "%USERPROFILE%\Documents\GitHub\mrs-test-scripts\Headless Mode &amp; Sideloading\WalkAndUnGZ.bat" "%USERPROFILE%\AppData\Local\Temp\OnboardLogs"\RTDC4031\2017-08-13</v>
      </c>
      <c r="AF197" s="74" t="str">
        <f t="shared" si="93"/>
        <v>"C:\Program Files (x86)\AstroGrep\AstroGrep.exe" /e /r /s /spath="%USERPROFILE%\AppData\Local\Temp\OnboardLogs" /stypes="app*4031*20170812*" /stext=" 09:.+((SYSTEM_STATE.+slice.+state.+changed )|(ment ac)|(multiple cpu faults)|(system.+state.+changed )|(\[timeout)|(PRM\|1\|D)|(kpr)|(kdp)|(train st.+moving)|(\|lc)|(penalty))"</v>
      </c>
      <c r="AG197" s="209" t="str">
        <f t="shared" si="123"/>
        <v>Other</v>
      </c>
      <c r="AH197" s="78" t="str">
        <f t="shared" si="94"/>
        <v>"%USERPROFILE%\Documents\GitHub\eaglep3\Utilities\RefineRTDCRunTimes.py" --tripid 302-12 --locoid 4031 --swversion DE.1.0.9.0 --startMP 300:23576 --initTime 2017-08-12T03:14:09 --startdatetime 2017-08-12T03:19:53 --delay 5 --endMP 204:147 --enddatetime 2017-08-12T03:28:36 --enforcementcount 0 &gt;&gt;C:\Users\stu\Documents\GitHub\eaglep3-reporting\EC\2017-08-12-refined-times.txt</v>
      </c>
      <c r="AI197" s="96" t="str">
        <f t="shared" si="95"/>
        <v>echo {"issue":{"subject":"","project_id":79,"tracker_id":40,"status_id":1,"priority_id":2,"assigned_to_id":23,"start_date":"2017-08-12","description":"","custom_fields":[{"id":1,"name":"Subdivision","value":"Other"},{"id":4,"name":"Milepost","value":"0.0147"},{"id":17,"name":"Train ID","value":"302-12"},{"id":16,"name":"Locomotive ID","value":"4031"},{"id":130,"name":"Impact","value":""},{"id":150,"name":"Time of Event (Mountain Time)","value":"03:28:36"},{"id":151,"name":"Denver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96"/>
        <v>start /low /b %USERPROFILE%\Documents\GitHub\eaglep3\Utilities\DownloadLogsFromS3.py --loco 4031 --day 2017-08-12</v>
      </c>
      <c r="AN197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09:28:36"},{"id":29,"name":"Sharepoint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677</v>
      </c>
      <c r="B198" s="7">
        <v>4049</v>
      </c>
      <c r="C198" s="21" t="s">
        <v>198</v>
      </c>
      <c r="D198" s="21" t="s">
        <v>984</v>
      </c>
      <c r="E198" s="13">
        <v>42959.150891203702</v>
      </c>
      <c r="F198" s="13">
        <v>42959.15457175926</v>
      </c>
      <c r="G198" s="7">
        <v>5</v>
      </c>
      <c r="H198" s="21" t="s">
        <v>342</v>
      </c>
      <c r="I198" s="13">
        <v>42959.161249999997</v>
      </c>
      <c r="J198" s="7">
        <v>0</v>
      </c>
      <c r="K198" s="89" t="str">
        <f t="shared" si="116"/>
        <v>4049/4050</v>
      </c>
      <c r="L198" s="21" t="str">
        <f>VLOOKUP(A198,'Trips&amp;Operators'!$C$1:$G$99999,5,FALSE)</f>
        <v>DAVIS WENDY</v>
      </c>
      <c r="M198" s="6">
        <f t="shared" si="117"/>
        <v>6.6782407375285402E-3</v>
      </c>
      <c r="N198" s="7">
        <f t="shared" si="118"/>
        <v>9.6166666620410979</v>
      </c>
      <c r="O198" s="7"/>
      <c r="P198" s="7"/>
      <c r="Q198" s="22"/>
      <c r="R198" s="170"/>
      <c r="S198" s="213">
        <f t="shared" si="119"/>
        <v>1</v>
      </c>
      <c r="T198" s="195" t="str">
        <f t="shared" si="120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91"/>
        <v>https://d0f6bd738d7f1b3e5a7ca70fe4ff75f0.us-east-1.aws.found.io/app/kibana#/discover/Steve-Slow-Train-Analysis-(2080s-and-2083s)?_g=(refreshInterval:(display:Off,pause:!f,section:0,value:0),time:(from:'2017-08-12T02:37:17-0600',mode:absolute,to:'2017-08-12T04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8" s="197" t="str">
        <f>IF(AA198&lt;VLOOKUP(AG198,Variables!$AC$3:$AD$8,2,FALSE),"Y","N")</f>
        <v>Y</v>
      </c>
      <c r="X198" s="197">
        <f t="shared" si="124"/>
        <v>2</v>
      </c>
      <c r="Y198" s="197">
        <f t="shared" si="114"/>
        <v>2.351</v>
      </c>
      <c r="Z198" s="197">
        <f t="shared" si="115"/>
        <v>1.49E-2</v>
      </c>
      <c r="AA198" s="197">
        <f t="shared" si="121"/>
        <v>2.3361000000000001</v>
      </c>
      <c r="AB198" s="54" t="e">
        <f>VLOOKUP(A198,Enforcements!$C$7:$K$12,8,0)</f>
        <v>#N/A</v>
      </c>
      <c r="AC198" s="51" t="e">
        <f>VLOOKUP(A198,Enforcements!$C$7:$E$12,3,0)</f>
        <v>#N/A</v>
      </c>
      <c r="AD198" s="206">
        <f t="shared" si="122"/>
        <v>304</v>
      </c>
      <c r="AE198" s="77" t="str">
        <f t="shared" si="92"/>
        <v>aws s3 cp s3://rtdc.mdm.uploadarchive.raw/RTDC4049/ "%USERPROFILE%\AppData\Local\Temp\OnboardLogs"\RTDC4049\2017-08-12 --exclude "*" --recursive --include "*20170812*" &amp; "%USERPROFILE%\Documents\GitHub\mrs-test-scripts\Headless Mode &amp; Sideloading\WalkAndUnGZ.bat" "%USERPROFILE%\AppData\Local\Temp\OnboardLogs"\RTDC4049\2017-08-12 &amp; aws s3 cp s3://rtdc.mdm.uploadarchive.raw/RTDC4049/ "%USERPROFILE%\AppData\Local\Temp\OnboardLogs"\RTDC4049\2017-08-13 --exclude "*" --recursive --include "*20170813*" &amp; "%USERPROFILE%\Documents\GitHub\mrs-test-scripts\Headless Mode &amp; Sideloading\WalkAndUnGZ.bat" "%USERPROFILE%\AppData\Local\Temp\OnboardLogs"\RTDC4049\2017-08-13</v>
      </c>
      <c r="AF198" s="74" t="str">
        <f t="shared" si="93"/>
        <v>"C:\Program Files (x86)\AstroGrep\AstroGrep.exe" /e /r /s /spath="%USERPROFILE%\AppData\Local\Temp\OnboardLogs" /stypes="app*4049*20170812*" /stext=" 09:.+((SYSTEM_STATE.+slice.+state.+changed )|(ment ac)|(multiple cpu faults)|(system.+state.+changed )|(\[timeout)|(PRM\|1\|D)|(kpr)|(kdp)|(train st.+moving)|(\|lc)|(penalty))"</v>
      </c>
      <c r="AG198" s="209" t="str">
        <f t="shared" si="123"/>
        <v>Other</v>
      </c>
      <c r="AH198" s="78" t="str">
        <f t="shared" si="94"/>
        <v>"%USERPROFILE%\Documents\GitHub\eaglep3\Utilities\RefineRTDCRunTimes.py" --tripid 304-12 --locoid 4049 --swversion DE.1.0.9.0 --startMP 300:23510 --initTime 2017-08-12T03:37:17 --startdatetime 2017-08-12T03:42:35 --delay 5 --endMP 204:149 --enddatetime 2017-08-12T03:52:12 --enforcementcount 0 &gt;&gt;C:\Users\stu\Documents\GitHub\eaglep3-reporting\EC\2017-08-12-refined-times.txt</v>
      </c>
      <c r="AI198" s="96" t="str">
        <f t="shared" si="95"/>
        <v>echo {"issue":{"subject":"","project_id":79,"tracker_id":40,"status_id":1,"priority_id":2,"assigned_to_id":23,"start_date":"2017-08-12","description":"","custom_fields":[{"id":1,"name":"Subdivision","value":"Other"},{"id":4,"name":"Milepost","value":"0.0149"},{"id":17,"name":"Train ID","value":"304-12"},{"id":16,"name":"Locomotive ID","value":"4049"},{"id":130,"name":"Impact","value":""},{"id":150,"name":"Time of Event (Mountain Time)","value":"03:52:12"},{"id":151,"name":"Denver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96"/>
        <v>start /low /b %USERPROFILE%\Documents\GitHub\eaglep3\Utilities\DownloadLogsFromS3.py --loco 4049 --day 2017-08-12</v>
      </c>
      <c r="AN198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09:52:12"},{"id":29,"name":"Sharepoint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836</v>
      </c>
      <c r="B199" s="7">
        <v>4064</v>
      </c>
      <c r="C199" s="21" t="s">
        <v>198</v>
      </c>
      <c r="D199" s="21" t="s">
        <v>443</v>
      </c>
      <c r="E199" s="13">
        <v>42959.818773148145</v>
      </c>
      <c r="F199" s="13">
        <v>42959.820150462961</v>
      </c>
      <c r="G199" s="7">
        <v>1</v>
      </c>
      <c r="H199" s="21" t="s">
        <v>985</v>
      </c>
      <c r="I199" s="13">
        <v>42959.826041666667</v>
      </c>
      <c r="J199" s="7">
        <v>0</v>
      </c>
      <c r="K199" s="89" t="str">
        <f t="shared" si="116"/>
        <v>4063/4064</v>
      </c>
      <c r="L199" s="21" t="str">
        <f>VLOOKUP(A199,'Trips&amp;Operators'!$C$1:$G$99999,5,FALSE)</f>
        <v>HOLCOMB KAMDEN</v>
      </c>
      <c r="M199" s="6">
        <f t="shared" si="117"/>
        <v>5.8912037056870759E-3</v>
      </c>
      <c r="N199" s="7">
        <f t="shared" si="118"/>
        <v>8.4833333361893892</v>
      </c>
      <c r="O199" s="7"/>
      <c r="P199" s="7"/>
      <c r="Q199" s="22"/>
      <c r="R199" s="170"/>
      <c r="S199" s="213">
        <f t="shared" si="119"/>
        <v>1</v>
      </c>
      <c r="T199" s="195" t="str">
        <f t="shared" si="120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91"/>
        <v>https://d0f6bd738d7f1b3e5a7ca70fe4ff75f0.us-east-1.aws.found.io/app/kibana#/discover/Steve-Slow-Train-Analysis-(2080s-and-2083s)?_g=(refreshInterval:(display:Off,pause:!f,section:0,value:0),time:(from:'2017-08-12T18:39:02-0600',mode:absolute,to:'2017-08-12T20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9" s="197" t="str">
        <f>IF(AA199&lt;VLOOKUP(AG199,Variables!$AC$3:$AD$8,2,FALSE),"Y","N")</f>
        <v>Y</v>
      </c>
      <c r="X199" s="197">
        <f t="shared" si="124"/>
        <v>1</v>
      </c>
      <c r="Y199" s="197">
        <f t="shared" si="114"/>
        <v>4.4900000000000002E-2</v>
      </c>
      <c r="Z199" s="197">
        <f t="shared" si="115"/>
        <v>2.3294999999999999</v>
      </c>
      <c r="AA199" s="197">
        <f t="shared" si="121"/>
        <v>2.2845999999999997</v>
      </c>
      <c r="AB199" s="54" t="e">
        <f>VLOOKUP(A199,Enforcements!$C$7:$K$12,8,0)</f>
        <v>#N/A</v>
      </c>
      <c r="AC199" s="51" t="e">
        <f>VLOOKUP(A199,Enforcements!$C$7:$E$12,3,0)</f>
        <v>#N/A</v>
      </c>
      <c r="AD199" s="206">
        <f t="shared" si="122"/>
        <v>305</v>
      </c>
      <c r="AE199" s="77" t="str">
        <f t="shared" si="92"/>
        <v>aws s3 cp s3://rtdc.mdm.uploadarchive.raw/RTDC4064/ "%USERPROFILE%\AppData\Local\Temp\OnboardLogs"\RTDC4064\2017-08-12 --exclude "*" --recursive --include "*20170812*" &amp; "%USERPROFILE%\Documents\GitHub\mrs-test-scripts\Headless Mode &amp; Sideloading\WalkAndUnGZ.bat" "%USERPROFILE%\AppData\Local\Temp\OnboardLogs"\RTDC4064\2017-08-12 &amp; aws s3 cp s3://rtdc.mdm.uploadarchive.raw/RTDC4064/ "%USERPROFILE%\AppData\Local\Temp\OnboardLogs"\RTDC4064\2017-08-13 --exclude "*" --recursive --include "*20170813*" &amp; "%USERPROFILE%\Documents\GitHub\mrs-test-scripts\Headless Mode &amp; Sideloading\WalkAndUnGZ.bat" "%USERPROFILE%\AppData\Local\Temp\OnboardLogs"\RTDC4064\2017-08-13</v>
      </c>
      <c r="AF199" s="74" t="str">
        <f t="shared" si="93"/>
        <v>"C:\Program Files (x86)\AstroGrep\AstroGrep.exe" /e /r /s /spath="%USERPROFILE%\AppData\Local\Temp\OnboardLogs" /stypes="app*4064*20170813*" /stext=" 01:.+((SYSTEM_STATE.+slice.+state.+changed )|(ment ac)|(multiple cpu faults)|(system.+state.+changed )|(\[timeout)|(PRM\|1\|D)|(kpr)|(kdp)|(train st.+moving)|(\|lc)|(penalty))"</v>
      </c>
      <c r="AG199" s="209" t="str">
        <f t="shared" si="123"/>
        <v>Other</v>
      </c>
      <c r="AH199" s="78" t="str">
        <f t="shared" si="94"/>
        <v>"%USERPROFILE%\Documents\GitHub\eaglep3\Utilities\RefineRTDCRunTimes.py" --tripid 305-12 --locoid 4064 --swversion DE.1.0.9.0 --startMP 204:449 --initTime 2017-08-12T19:39:02 --startdatetime 2017-08-12T19:41:01 --delay 1 --endMP 300:23295 --enddatetime 2017-08-12T19:49:30 --enforcementcount 0 &gt;&gt;C:\Users\stu\Documents\GitHub\eaglep3-reporting\EC\2017-08-12-refined-times.txt</v>
      </c>
      <c r="AI199" s="96" t="str">
        <f t="shared" si="95"/>
        <v>echo {"issue":{"subject":"","project_id":79,"tracker_id":40,"status_id":1,"priority_id":2,"assigned_to_id":23,"start_date":"2017-08-12","description":"","custom_fields":[{"id":1,"name":"Subdivision","value":"Other"},{"id":4,"name":"Milepost","value":"2.3295"},{"id":17,"name":"Train ID","value":"305-12"},{"id":16,"name":"Locomotive ID","value":"4064"},{"id":130,"name":"Impact","value":""},{"id":150,"name":"Time of Event (Mountain Time)","value":"19:49:30"},{"id":151,"name":"Denver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96"/>
        <v>start /low /b %USERPROFILE%\Documents\GitHub\eaglep3\Utilities\DownloadLogsFromS3.py --loco 4064 --day 2017-08-12</v>
      </c>
      <c r="AN199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01:49:30"},{"id":29,"name":"Sharepoint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682</v>
      </c>
      <c r="B200" s="7">
        <v>4015</v>
      </c>
      <c r="C200" s="21" t="s">
        <v>198</v>
      </c>
      <c r="D200" s="21" t="s">
        <v>986</v>
      </c>
      <c r="E200" s="13">
        <v>42959.171412037038</v>
      </c>
      <c r="F200" s="13">
        <v>42959.174768518518</v>
      </c>
      <c r="G200" s="7">
        <v>4</v>
      </c>
      <c r="H200" s="21" t="s">
        <v>479</v>
      </c>
      <c r="I200" s="13">
        <v>42959.181354166663</v>
      </c>
      <c r="J200" s="7">
        <v>0</v>
      </c>
      <c r="K200" s="89" t="str">
        <f t="shared" si="116"/>
        <v>4015/4016</v>
      </c>
      <c r="L200" s="21" t="str">
        <f>VLOOKUP(A200,'Trips&amp;Operators'!$C$1:$G$99999,5,FALSE)</f>
        <v>GEBRETEKLE DAGNEW</v>
      </c>
      <c r="M200" s="6">
        <f t="shared" si="117"/>
        <v>6.5856481451191939E-3</v>
      </c>
      <c r="N200" s="7">
        <f t="shared" si="118"/>
        <v>9.4833333289716393</v>
      </c>
      <c r="O200" s="7"/>
      <c r="P200" s="7"/>
      <c r="Q200" s="22"/>
      <c r="R200" s="170"/>
      <c r="S200" s="213">
        <f t="shared" si="119"/>
        <v>1</v>
      </c>
      <c r="T200" s="195" t="str">
        <f t="shared" si="120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91"/>
        <v>https://d0f6bd738d7f1b3e5a7ca70fe4ff75f0.us-east-1.aws.found.io/app/kibana#/discover/Steve-Slow-Train-Analysis-(2080s-and-2083s)?_g=(refreshInterval:(display:Off,pause:!f,section:0,value:0),time:(from:'2017-08-12T03:06:50-0600',mode:absolute,to:'2017-08-12T05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0" s="197" t="str">
        <f>IF(AA200&lt;VLOOKUP(AG200,Variables!$AC$3:$AD$8,2,FALSE),"Y","N")</f>
        <v>Y</v>
      </c>
      <c r="X200" s="197">
        <f t="shared" si="124"/>
        <v>1</v>
      </c>
      <c r="Y200" s="197">
        <f t="shared" si="114"/>
        <v>2.3574000000000002</v>
      </c>
      <c r="Z200" s="197">
        <f t="shared" si="115"/>
        <v>1.6299999999999999E-2</v>
      </c>
      <c r="AA200" s="197">
        <f t="shared" si="121"/>
        <v>2.3411</v>
      </c>
      <c r="AB200" s="54" t="e">
        <f>VLOOKUP(A200,Enforcements!$C$7:$K$12,8,0)</f>
        <v>#N/A</v>
      </c>
      <c r="AC200" s="51" t="e">
        <f>VLOOKUP(A200,Enforcements!$C$7:$E$12,3,0)</f>
        <v>#N/A</v>
      </c>
      <c r="AD200" s="206">
        <f t="shared" si="122"/>
        <v>306</v>
      </c>
      <c r="AE200" s="77" t="str">
        <f t="shared" si="92"/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AF200" s="74" t="str">
        <f t="shared" si="93"/>
        <v>"C:\Program Files (x86)\AstroGrep\AstroGrep.exe" /e /r /s /spath="%USERPROFILE%\AppData\Local\Temp\OnboardLogs" /stypes="app*4015*20170812*" /stext=" 10:.+((SYSTEM_STATE.+slice.+state.+changed )|(ment ac)|(multiple cpu faults)|(system.+state.+changed )|(\[timeout)|(PRM\|1\|D)|(kpr)|(kdp)|(train st.+moving)|(\|lc)|(penalty))"</v>
      </c>
      <c r="AG200" s="209" t="str">
        <f t="shared" si="123"/>
        <v>Other</v>
      </c>
      <c r="AH200" s="78" t="str">
        <f t="shared" si="94"/>
        <v>"%USERPROFILE%\Documents\GitHub\eaglep3\Utilities\RefineRTDCRunTimes.py" --tripid 306-12 --locoid 4015 --swversion DE.1.0.9.0 --startMP 300:23574 --initTime 2017-08-12T04:06:50 --startdatetime 2017-08-12T04:11:40 --delay 4 --endMP 204:163 --enddatetime 2017-08-12T04:21:09 --enforcementcount 0 &gt;&gt;C:\Users\stu\Documents\GitHub\eaglep3-reporting\EC\2017-08-12-refined-times.txt</v>
      </c>
      <c r="AI200" s="96" t="str">
        <f t="shared" si="95"/>
        <v>echo {"issue":{"subject":"","project_id":79,"tracker_id":40,"status_id":1,"priority_id":2,"assigned_to_id":23,"start_date":"2017-08-12","description":"","custom_fields":[{"id":1,"name":"Subdivision","value":"Other"},{"id":4,"name":"Milepost","value":"0.0163"},{"id":17,"name":"Train ID","value":"306-12"},{"id":16,"name":"Locomotive ID","value":"4015"},{"id":130,"name":"Impact","value":""},{"id":150,"name":"Time of Event (Mountain Time)","value":"04:21:09"},{"id":151,"name":"Denver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96"/>
        <v>start /low /b %USERPROFILE%\Documents\GitHub\eaglep3\Utilities\DownloadLogsFromS3.py --loco 4015 --day 2017-08-12</v>
      </c>
      <c r="AN200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10:21:09"},{"id":29,"name":"Sharepoint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864</v>
      </c>
      <c r="B201" s="7">
        <v>4032</v>
      </c>
      <c r="C201" s="21" t="s">
        <v>198</v>
      </c>
      <c r="D201" s="21" t="s">
        <v>451</v>
      </c>
      <c r="E201" s="13">
        <v>42960.048113425924</v>
      </c>
      <c r="F201" s="13">
        <v>42960.049571759257</v>
      </c>
      <c r="G201" s="7">
        <v>1</v>
      </c>
      <c r="H201" s="21" t="s">
        <v>345</v>
      </c>
      <c r="I201" s="13">
        <v>42960.05809027778</v>
      </c>
      <c r="J201" s="7">
        <v>0</v>
      </c>
      <c r="K201" s="89" t="str">
        <f t="shared" si="116"/>
        <v>4031/4032</v>
      </c>
      <c r="L201" s="21" t="str">
        <f>VLOOKUP(A201,'Trips&amp;Operators'!$C$1:$G$99999,5,FALSE)</f>
        <v>BIRENBAUM THOMAS</v>
      </c>
      <c r="M201" s="6">
        <f t="shared" si="117"/>
        <v>8.5185185234877281E-3</v>
      </c>
      <c r="N201" s="7">
        <f t="shared" si="118"/>
        <v>12.266666673822328</v>
      </c>
      <c r="O201" s="7"/>
      <c r="P201" s="7"/>
      <c r="Q201" s="22"/>
      <c r="R201" s="170"/>
      <c r="S201" s="213">
        <f t="shared" si="119"/>
        <v>1</v>
      </c>
      <c r="T201" s="195" t="str">
        <f t="shared" si="120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91"/>
        <v>https://d0f6bd738d7f1b3e5a7ca70fe4ff75f0.us-east-1.aws.found.io/app/kibana#/discover/Steve-Slow-Train-Analysis-(2080s-and-2083s)?_g=(refreshInterval:(display:Off,pause:!f,section:0,value:0),time:(from:'2017-08-13T00:09:17-0600',mode:absolute,to:'2017-08-13T02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1" s="197" t="str">
        <f>IF(AA201&lt;VLOOKUP(AG201,Variables!$AC$3:$AD$8,2,FALSE),"Y","N")</f>
        <v>Y</v>
      </c>
      <c r="X201" s="197">
        <f t="shared" si="124"/>
        <v>1</v>
      </c>
      <c r="Y201" s="197">
        <f t="shared" si="114"/>
        <v>4.6899999999999997E-2</v>
      </c>
      <c r="Z201" s="197">
        <f t="shared" si="115"/>
        <v>2.3346</v>
      </c>
      <c r="AA201" s="197">
        <f t="shared" si="121"/>
        <v>2.2877000000000001</v>
      </c>
      <c r="AB201" s="54" t="e">
        <f>VLOOKUP(A201,Enforcements!$C$7:$K$12,8,0)</f>
        <v>#N/A</v>
      </c>
      <c r="AC201" s="51" t="e">
        <f>VLOOKUP(A201,Enforcements!$C$7:$E$12,3,0)</f>
        <v>#N/A</v>
      </c>
      <c r="AD201" s="206">
        <f t="shared" si="122"/>
        <v>307</v>
      </c>
      <c r="AE201" s="77" t="str">
        <f t="shared" si="92"/>
        <v>aws s3 cp s3://rtdc.mdm.uploadarchive.raw/RTDC4032/ "%USERPROFILE%\AppData\Local\Temp\OnboardLogs"\RTDC4032\2017-08-13 --exclude "*" --recursive --include "*20170813*" &amp; "%USERPROFILE%\Documents\GitHub\mrs-test-scripts\Headless Mode &amp; Sideloading\WalkAndUnGZ.bat" "%USERPROFILE%\AppData\Local\Temp\OnboardLogs"\RTDC4032\2017-08-13 &amp; aws s3 cp s3://rtdc.mdm.uploadarchive.raw/RTDC4032/ "%USERPROFILE%\AppData\Local\Temp\OnboardLogs"\RTDC4032\2017-08-14 --exclude "*" --recursive --include "*20170814*" &amp; "%USERPROFILE%\Documents\GitHub\mrs-test-scripts\Headless Mode &amp; Sideloading\WalkAndUnGZ.bat" "%USERPROFILE%\AppData\Local\Temp\OnboardLogs"\RTDC4032\2017-08-14</v>
      </c>
      <c r="AF201" s="74" t="str">
        <f t="shared" si="93"/>
        <v>"C:\Program Files (x86)\AstroGrep\AstroGrep.exe" /e /r /s /spath="%USERPROFILE%\AppData\Local\Temp\OnboardLogs" /stypes="app*4032*20170813*" /stext=" 07:.+((SYSTEM_STATE.+slice.+state.+changed )|(ment ac)|(multiple cpu faults)|(system.+state.+changed )|(\[timeout)|(PRM\|1\|D)|(kpr)|(kdp)|(train st.+moving)|(\|lc)|(penalty))"</v>
      </c>
      <c r="AG201" s="209" t="str">
        <f t="shared" si="123"/>
        <v>Other</v>
      </c>
      <c r="AH201" s="78" t="str">
        <f t="shared" si="94"/>
        <v>"%USERPROFILE%\Documents\GitHub\eaglep3\Utilities\RefineRTDCRunTimes.py" --tripid 307-12 --locoid 4032 --swversion DE.1.0.9.0 --startMP 204:469 --initTime 2017-08-13T01:09:17 --startdatetime 2017-08-13T01:11:23 --delay 1 --endMP 300:23346 --enddatetime 2017-08-13T01:23:39 --enforcementcount 0 &gt;&gt;C:\Users\stu\Documents\GitHub\eaglep3-reporting\EC\2017-08-12-refined-times.txt</v>
      </c>
      <c r="AI201" s="96" t="str">
        <f t="shared" si="95"/>
        <v>echo {"issue":{"subject":"","project_id":79,"tracker_id":40,"status_id":1,"priority_id":2,"assigned_to_id":23,"start_date":"2017-08-13","description":"","custom_fields":[{"id":1,"name":"Subdivision","value":"Other"},{"id":4,"name":"Milepost","value":"2.3346"},{"id":17,"name":"Train ID","value":"307-12"},{"id":16,"name":"Locomotive ID","value":"4032"},{"id":130,"name":"Impact","value":""},{"id":150,"name":"Time of Event (Mountain Time)","value":"01:23:39"},{"id":151,"name":"Denver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96"/>
        <v>start /low /b %USERPROFILE%\Documents\GitHub\eaglep3\Utilities\DownloadLogsFromS3.py --loco 4032 --day 2017-08-13</v>
      </c>
      <c r="AN201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07:23:39"},{"id":29,"name":"Sharepoint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692</v>
      </c>
      <c r="B202" s="7">
        <v>4001</v>
      </c>
      <c r="C202" s="21" t="s">
        <v>198</v>
      </c>
      <c r="D202" s="21" t="s">
        <v>987</v>
      </c>
      <c r="E202" s="13">
        <v>42959.201886574076</v>
      </c>
      <c r="F202" s="13">
        <v>42959.204780092594</v>
      </c>
      <c r="G202" s="7">
        <v>4</v>
      </c>
      <c r="H202" s="21" t="s">
        <v>623</v>
      </c>
      <c r="I202" s="13">
        <v>42959.212037037039</v>
      </c>
      <c r="J202" s="7">
        <v>0</v>
      </c>
      <c r="K202" s="89" t="str">
        <f t="shared" si="116"/>
        <v>4001/4002</v>
      </c>
      <c r="L202" s="21" t="str">
        <f>VLOOKUP(A202,'Trips&amp;Operators'!$C$1:$G$99999,5,FALSE)</f>
        <v>LALONDE GREGORY</v>
      </c>
      <c r="M202" s="6">
        <f t="shared" si="117"/>
        <v>7.2569444455439225E-3</v>
      </c>
      <c r="N202" s="7">
        <f t="shared" si="118"/>
        <v>10.450000001583248</v>
      </c>
      <c r="O202" s="7"/>
      <c r="P202" s="7"/>
      <c r="Q202" s="22"/>
      <c r="R202" s="170"/>
      <c r="S202" s="213">
        <f t="shared" si="119"/>
        <v>1</v>
      </c>
      <c r="T202" s="195" t="str">
        <f t="shared" si="120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91"/>
        <v>https://d0f6bd738d7f1b3e5a7ca70fe4ff75f0.us-east-1.aws.found.io/app/kibana#/discover/Steve-Slow-Train-Analysis-(2080s-and-2083s)?_g=(refreshInterval:(display:Off,pause:!f,section:0,value:0),time:(from:'2017-08-12T03:50:43-0600',mode:absolute,to:'2017-08-12T06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2" s="197" t="str">
        <f>IF(AA202&lt;VLOOKUP(AG202,Variables!$AC$3:$AD$8,2,FALSE),"Y","N")</f>
        <v>Y</v>
      </c>
      <c r="X202" s="197">
        <f t="shared" si="124"/>
        <v>1</v>
      </c>
      <c r="Y202" s="197">
        <f t="shared" si="114"/>
        <v>2.6585999999999999</v>
      </c>
      <c r="Z202" s="197">
        <f t="shared" si="115"/>
        <v>0.1154</v>
      </c>
      <c r="AA202" s="197">
        <f t="shared" si="121"/>
        <v>2.5431999999999997</v>
      </c>
      <c r="AB202" s="54" t="e">
        <f>VLOOKUP(A202,Enforcements!$C$7:$K$12,8,0)</f>
        <v>#N/A</v>
      </c>
      <c r="AC202" s="51" t="e">
        <f>VLOOKUP(A202,Enforcements!$C$7:$E$12,3,0)</f>
        <v>#N/A</v>
      </c>
      <c r="AD202" s="206">
        <f t="shared" si="122"/>
        <v>308</v>
      </c>
      <c r="AE202" s="77" t="str">
        <f t="shared" si="92"/>
        <v>aws s3 cp s3://rtdc.mdm.uploadarchive.raw/RTDC4001/ "%USERPROFILE%\AppData\Local\Temp\OnboardLogs"\RTDC4001\2017-08-12 --exclude "*" --recursive --include "*20170812*" &amp; "%USERPROFILE%\Documents\GitHub\mrs-test-scripts\Headless Mode &amp; Sideloading\WalkAndUnGZ.bat" "%USERPROFILE%\AppData\Local\Temp\OnboardLogs"\RTDC4001\2017-08-12 &amp; aws s3 cp s3://rtdc.mdm.uploadarchive.raw/RTDC4001/ "%USERPROFILE%\AppData\Local\Temp\OnboardLogs"\RTDC4001\2017-08-13 --exclude "*" --recursive --include "*20170813*" &amp; "%USERPROFILE%\Documents\GitHub\mrs-test-scripts\Headless Mode &amp; Sideloading\WalkAndUnGZ.bat" "%USERPROFILE%\AppData\Local\Temp\OnboardLogs"\RTDC4001\2017-08-13</v>
      </c>
      <c r="AF202" s="74" t="str">
        <f t="shared" si="93"/>
        <v>"C:\Program Files (x86)\AstroGrep\AstroGrep.exe" /e /r /s /spath="%USERPROFILE%\AppData\Local\Temp\OnboardLogs" /stypes="app*4001*20170812*" /stext=" 11:.+((SYSTEM_STATE.+slice.+state.+changed )|(ment ac)|(multiple cpu faults)|(system.+state.+changed )|(\[timeout)|(PRM\|1\|D)|(kpr)|(kdp)|(train st.+moving)|(\|lc)|(penalty))"</v>
      </c>
      <c r="AG202" s="209" t="str">
        <f t="shared" si="123"/>
        <v>Other</v>
      </c>
      <c r="AH202" s="78" t="str">
        <f t="shared" si="94"/>
        <v>"%USERPROFILE%\Documents\GitHub\eaglep3\Utilities\RefineRTDCRunTimes.py" --tripid 308-12 --locoid 4001 --swversion DE.1.0.9.0 --startMP 300:26586 --initTime 2017-08-12T04:50:43 --startdatetime 2017-08-12T04:54:53 --delay 4 --endMP 204:1154 --enddatetime 2017-08-12T05:05:20 --enforcementcount 0 &gt;&gt;C:\Users\stu\Documents\GitHub\eaglep3-reporting\EC\2017-08-12-refined-times.txt</v>
      </c>
      <c r="AI202" s="96" t="str">
        <f t="shared" si="95"/>
        <v>echo {"issue":{"subject":"","project_id":79,"tracker_id":40,"status_id":1,"priority_id":2,"assigned_to_id":23,"start_date":"2017-08-12","description":"","custom_fields":[{"id":1,"name":"Subdivision","value":"Other"},{"id":4,"name":"Milepost","value":"0.1154"},{"id":17,"name":"Train ID","value":"308-12"},{"id":16,"name":"Locomotive ID","value":"4001"},{"id":130,"name":"Impact","value":""},{"id":150,"name":"Time of Event (Mountain Time)","value":"05:05:20"},{"id":151,"name":"Denver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96"/>
        <v>start /low /b %USERPROFILE%\Documents\GitHub\eaglep3\Utilities\DownloadLogsFromS3.py --loco 4001 --day 2017-08-12</v>
      </c>
      <c r="AN202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11:05:20"},{"id":29,"name":"Sharepoint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866</v>
      </c>
      <c r="B203" s="7">
        <v>4050</v>
      </c>
      <c r="C203" s="21" t="s">
        <v>198</v>
      </c>
      <c r="D203" s="21" t="s">
        <v>988</v>
      </c>
      <c r="E203" s="13">
        <v>42960.068379629629</v>
      </c>
      <c r="F203" s="13">
        <v>42960.069687499999</v>
      </c>
      <c r="G203" s="7">
        <v>1</v>
      </c>
      <c r="H203" s="21" t="s">
        <v>989</v>
      </c>
      <c r="I203" s="13">
        <v>42960.078518518516</v>
      </c>
      <c r="J203" s="7">
        <v>0</v>
      </c>
      <c r="K203" s="89" t="str">
        <f t="shared" si="116"/>
        <v>4049/4050</v>
      </c>
      <c r="L203" s="21" t="str">
        <f>VLOOKUP(A203,'Trips&amp;Operators'!$C$1:$G$99999,5,FALSE)</f>
        <v>PERKINS DARREN</v>
      </c>
      <c r="M203" s="6">
        <f t="shared" si="117"/>
        <v>8.8310185165028088E-3</v>
      </c>
      <c r="N203" s="7">
        <f t="shared" si="118"/>
        <v>12.716666663764045</v>
      </c>
      <c r="O203" s="7"/>
      <c r="P203" s="7"/>
      <c r="Q203" s="22"/>
      <c r="R203" s="170"/>
      <c r="S203" s="213">
        <f t="shared" si="119"/>
        <v>1</v>
      </c>
      <c r="T203" s="195" t="str">
        <f t="shared" si="120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91"/>
        <v>https://d0f6bd738d7f1b3e5a7ca70fe4ff75f0.us-east-1.aws.found.io/app/kibana#/discover/Steve-Slow-Train-Analysis-(2080s-and-2083s)?_g=(refreshInterval:(display:Off,pause:!f,section:0,value:0),time:(from:'2017-08-13T00:38:28-0600',mode:absolute,to:'2017-08-13T02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3" s="197" t="str">
        <f>IF(AA203&lt;VLOOKUP(AG203,Variables!$AC$3:$AD$8,2,FALSE),"Y","N")</f>
        <v>Y</v>
      </c>
      <c r="X203" s="197">
        <f t="shared" si="124"/>
        <v>1</v>
      </c>
      <c r="Y203" s="197">
        <f t="shared" si="114"/>
        <v>4.07E-2</v>
      </c>
      <c r="Z203" s="197">
        <f t="shared" si="115"/>
        <v>2.3306</v>
      </c>
      <c r="AA203" s="197">
        <f t="shared" si="121"/>
        <v>2.2898999999999998</v>
      </c>
      <c r="AB203" s="54" t="e">
        <f>VLOOKUP(A203,Enforcements!$C$7:$K$12,8,0)</f>
        <v>#N/A</v>
      </c>
      <c r="AC203" s="51" t="e">
        <f>VLOOKUP(A203,Enforcements!$C$7:$E$12,3,0)</f>
        <v>#N/A</v>
      </c>
      <c r="AD203" s="206">
        <f t="shared" si="122"/>
        <v>309</v>
      </c>
      <c r="AE203" s="77" t="str">
        <f t="shared" si="92"/>
        <v>aws s3 cp s3://rtdc.mdm.uploadarchive.raw/RTDC4050/ "%USERPROFILE%\AppData\Local\Temp\OnboardLogs"\RTDC4050\2017-08-13 --exclude "*" --recursive --include "*20170813*" &amp; "%USERPROFILE%\Documents\GitHub\mrs-test-scripts\Headless Mode &amp; Sideloading\WalkAndUnGZ.bat" "%USERPROFILE%\AppData\Local\Temp\OnboardLogs"\RTDC4050\2017-08-13 &amp; aws s3 cp s3://rtdc.mdm.uploadarchive.raw/RTDC4050/ "%USERPROFILE%\AppData\Local\Temp\OnboardLogs"\RTDC4050\2017-08-14 --exclude "*" --recursive --include "*20170814*" &amp; "%USERPROFILE%\Documents\GitHub\mrs-test-scripts\Headless Mode &amp; Sideloading\WalkAndUnGZ.bat" "%USERPROFILE%\AppData\Local\Temp\OnboardLogs"\RTDC4050\2017-08-14</v>
      </c>
      <c r="AF203" s="74" t="str">
        <f t="shared" si="93"/>
        <v>"C:\Program Files (x86)\AstroGrep\AstroGrep.exe" /e /r /s /spath="%USERPROFILE%\AppData\Local\Temp\OnboardLogs" /stypes="app*4050*20170813*" /stext=" 07:.+((SYSTEM_STATE.+slice.+state.+changed )|(ment ac)|(multiple cpu faults)|(system.+state.+changed )|(\[timeout)|(PRM\|1\|D)|(kpr)|(kdp)|(train st.+moving)|(\|lc)|(penalty))"</v>
      </c>
      <c r="AG203" s="209" t="str">
        <f t="shared" si="123"/>
        <v>Other</v>
      </c>
      <c r="AH203" s="78" t="str">
        <f t="shared" si="94"/>
        <v>"%USERPROFILE%\Documents\GitHub\eaglep3\Utilities\RefineRTDCRunTimes.py" --tripid 309-12 --locoid 4050 --swversion DE.1.0.9.0 --startMP 204:407 --initTime 2017-08-13T01:38:28 --startdatetime 2017-08-13T01:40:21 --delay 1 --endMP 300:23306 --enddatetime 2017-08-13T01:53:04 --enforcementcount 0 &gt;&gt;C:\Users\stu\Documents\GitHub\eaglep3-reporting\EC\2017-08-12-refined-times.txt</v>
      </c>
      <c r="AI203" s="96" t="str">
        <f t="shared" si="95"/>
        <v>echo {"issue":{"subject":"","project_id":79,"tracker_id":40,"status_id":1,"priority_id":2,"assigned_to_id":23,"start_date":"2017-08-13","description":"","custom_fields":[{"id":1,"name":"Subdivision","value":"Other"},{"id":4,"name":"Milepost","value":"2.3306"},{"id":17,"name":"Train ID","value":"309-12"},{"id":16,"name":"Locomotive ID","value":"4050"},{"id":130,"name":"Impact","value":""},{"id":150,"name":"Time of Event (Mountain Time)","value":"01:53:04"},{"id":151,"name":"Denver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96"/>
        <v>start /low /b %USERPROFILE%\Documents\GitHub\eaglep3\Utilities\DownloadLogsFromS3.py --loco 4050 --day 2017-08-13</v>
      </c>
      <c r="AN203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07:53:04"},{"id":29,"name":"Sharepoint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689</v>
      </c>
      <c r="B204" s="7">
        <v>4013</v>
      </c>
      <c r="C204" s="21" t="s">
        <v>198</v>
      </c>
      <c r="D204" s="21" t="s">
        <v>990</v>
      </c>
      <c r="E204" s="13">
        <v>42959.195092592592</v>
      </c>
      <c r="F204" s="13">
        <v>42959.202233796299</v>
      </c>
      <c r="G204" s="7">
        <v>10</v>
      </c>
      <c r="H204" s="21" t="s">
        <v>351</v>
      </c>
      <c r="I204" s="13">
        <v>42959.207870370374</v>
      </c>
      <c r="J204" s="7">
        <v>0</v>
      </c>
      <c r="K204" s="89" t="str">
        <f t="shared" si="116"/>
        <v>4013/4014</v>
      </c>
      <c r="L204" s="21" t="str">
        <f>VLOOKUP(A204,'Trips&amp;Operators'!$C$1:$G$99999,5,FALSE)</f>
        <v>DAVIDSON DAVID</v>
      </c>
      <c r="M204" s="6">
        <f t="shared" si="117"/>
        <v>5.6365740747423843E-3</v>
      </c>
      <c r="N204" s="7">
        <f t="shared" si="118"/>
        <v>8.1166666676290333</v>
      </c>
      <c r="O204" s="7"/>
      <c r="P204" s="7"/>
      <c r="Q204" s="22"/>
      <c r="R204" s="170"/>
      <c r="S204" s="213">
        <f t="shared" si="119"/>
        <v>1</v>
      </c>
      <c r="T204" s="195" t="str">
        <f t="shared" si="120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91"/>
        <v>https://d0f6bd738d7f1b3e5a7ca70fe4ff75f0.us-east-1.aws.found.io/app/kibana#/discover/Steve-Slow-Train-Analysis-(2080s-and-2083s)?_g=(refreshInterval:(display:Off,pause:!f,section:0,value:0),time:(from:'2017-08-12T03:40:56-0600',mode:absolute,to:'2017-08-12T05:59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4" s="197" t="str">
        <f>IF(AA204&lt;VLOOKUP(AG204,Variables!$AC$3:$AD$8,2,FALSE),"Y","N")</f>
        <v>Y</v>
      </c>
      <c r="X204" s="197">
        <f t="shared" si="124"/>
        <v>1</v>
      </c>
      <c r="Y204" s="197">
        <f t="shared" si="114"/>
        <v>2.2092000000000001</v>
      </c>
      <c r="Z204" s="197">
        <f t="shared" si="115"/>
        <v>1.47E-2</v>
      </c>
      <c r="AA204" s="197">
        <f t="shared" si="121"/>
        <v>2.1945000000000001</v>
      </c>
      <c r="AB204" s="54" t="e">
        <f>VLOOKUP(A204,Enforcements!$C$7:$K$12,8,0)</f>
        <v>#N/A</v>
      </c>
      <c r="AC204" s="51" t="e">
        <f>VLOOKUP(A204,Enforcements!$C$7:$E$12,3,0)</f>
        <v>#N/A</v>
      </c>
      <c r="AD204" s="206">
        <f t="shared" si="122"/>
        <v>310</v>
      </c>
      <c r="AE204" s="77" t="str">
        <f t="shared" si="92"/>
        <v>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 &amp; aws s3 cp s3://rtdc.mdm.uploadarchive.raw/RTDC4013/ "%USERPROFILE%\AppData\Local\Temp\OnboardLogs"\RTDC4013\2017-08-13 --exclude "*" --recursive --include "*20170813*" &amp; "%USERPROFILE%\Documents\GitHub\mrs-test-scripts\Headless Mode &amp; Sideloading\WalkAndUnGZ.bat" "%USERPROFILE%\AppData\Local\Temp\OnboardLogs"\RTDC4013\2017-08-13</v>
      </c>
      <c r="AF204" s="74" t="str">
        <f t="shared" si="93"/>
        <v>"C:\Program Files (x86)\AstroGrep\AstroGrep.exe" /e /r /s /spath="%USERPROFILE%\AppData\Local\Temp\OnboardLogs" /stypes="app*4013*20170812*" /stext=" 10:.+((SYSTEM_STATE.+slice.+state.+changed )|(ment ac)|(multiple cpu faults)|(system.+state.+changed )|(\[timeout)|(PRM\|1\|D)|(kpr)|(kdp)|(train st.+moving)|(\|lc)|(penalty))"</v>
      </c>
      <c r="AG204" s="209" t="str">
        <f t="shared" si="123"/>
        <v>Other</v>
      </c>
      <c r="AH204" s="78" t="str">
        <f t="shared" si="94"/>
        <v>"%USERPROFILE%\Documents\GitHub\eaglep3\Utilities\RefineRTDCRunTimes.py" --tripid 310-12 --locoid 4013 --swversion DE.1.0.9.0 --startMP 300:22092 --initTime 2017-08-12T04:40:56 --startdatetime 2017-08-12T04:51:13 --delay 10 --endMP 204:147 --enddatetime 2017-08-12T04:59:20 --enforcementcount 0 &gt;&gt;C:\Users\stu\Documents\GitHub\eaglep3-reporting\EC\2017-08-12-refined-times.txt</v>
      </c>
      <c r="AI204" s="96" t="str">
        <f t="shared" si="95"/>
        <v>echo {"issue":{"subject":"","project_id":79,"tracker_id":40,"status_id":1,"priority_id":2,"assigned_to_id":23,"start_date":"2017-08-12","description":"","custom_fields":[{"id":1,"name":"Subdivision","value":"Other"},{"id":4,"name":"Milepost","value":"0.0147"},{"id":17,"name":"Train ID","value":"310-12"},{"id":16,"name":"Locomotive ID","value":"4013"},{"id":130,"name":"Impact","value":""},{"id":150,"name":"Time of Event (Mountain Time)","value":"04:59:20"},{"id":151,"name":"Denver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96"/>
        <v>start /low /b %USERPROFILE%\Documents\GitHub\eaglep3\Utilities\DownloadLogsFromS3.py --loco 4013 --day 2017-08-12</v>
      </c>
      <c r="AN204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10:59:20"},{"id":29,"name":"Sharepoint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666</v>
      </c>
      <c r="B205" s="7">
        <v>4020</v>
      </c>
      <c r="C205" s="21" t="s">
        <v>198</v>
      </c>
      <c r="D205" s="21" t="s">
        <v>991</v>
      </c>
      <c r="E205" s="13">
        <v>42959.089062500003</v>
      </c>
      <c r="F205" s="13">
        <v>42959.09134259259</v>
      </c>
      <c r="G205" s="7">
        <v>1</v>
      </c>
      <c r="H205" s="21" t="s">
        <v>622</v>
      </c>
      <c r="I205" s="13">
        <v>42959.100983796299</v>
      </c>
      <c r="J205" s="7">
        <v>0</v>
      </c>
      <c r="K205" s="89" t="str">
        <f t="shared" si="116"/>
        <v>4019/4020</v>
      </c>
      <c r="L205" s="21" t="str">
        <f>VLOOKUP(A205,'Trips&amp;Operators'!$C$1:$G$99999,5,FALSE)</f>
        <v>FORTUNATO FRANK</v>
      </c>
      <c r="M205" s="6">
        <f t="shared" si="117"/>
        <v>9.6412037091795355E-3</v>
      </c>
      <c r="N205" s="7">
        <f t="shared" si="118"/>
        <v>13.883333341218531</v>
      </c>
      <c r="O205" s="7"/>
      <c r="P205" s="7"/>
      <c r="Q205" s="22"/>
      <c r="R205" s="170"/>
      <c r="S205" s="213">
        <f t="shared" si="119"/>
        <v>1</v>
      </c>
      <c r="T205" s="195" t="str">
        <f t="shared" si="120"/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19" si="12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-12T01:08:15-0600',mode:absolute,to:'2017-08-12T03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5" s="197" t="str">
        <f>IF(AA205&lt;VLOOKUP(AG205,Variables!$AC$3:$AD$8,2,FALSE),"Y","N")</f>
        <v>Y</v>
      </c>
      <c r="X205" s="197">
        <f t="shared" si="124"/>
        <v>1</v>
      </c>
      <c r="Y205" s="197">
        <f t="shared" si="114"/>
        <v>4.2000000000000003E-2</v>
      </c>
      <c r="Z205" s="197">
        <f t="shared" si="115"/>
        <v>2.331</v>
      </c>
      <c r="AA205" s="197">
        <f t="shared" si="121"/>
        <v>2.2890000000000001</v>
      </c>
      <c r="AB205" s="54" t="e">
        <f>VLOOKUP(A205,Enforcements!$C$7:$K$12,8,0)</f>
        <v>#N/A</v>
      </c>
      <c r="AC205" s="51" t="e">
        <f>VLOOKUP(A205,Enforcements!$C$7:$E$12,3,0)</f>
        <v>#N/A</v>
      </c>
      <c r="AD205" s="206">
        <f t="shared" si="122"/>
        <v>311</v>
      </c>
      <c r="AE205" s="77" t="str">
        <f t="shared" ref="AE205:AE219" si="12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s3://rtdc.mdm.uploadarchive.raw/RTDC4020/ "%USERPROFILE%\AppData\Local\Temp\OnboardLogs"\RTDC4020\2017-08-12 --exclude "*" --recursive --include "*20170812*" &amp; "%USERPROFILE%\Documents\GitHub\mrs-test-scripts\Headless Mode &amp; Sideloading\WalkAndUnGZ.bat" "%USERPROFILE%\AppData\Local\Temp\OnboardLogs"\RTDC4020\2017-08-12 &amp; aws s3 cp s3://rtdc.mdm.uploadarchive.raw/RTDC4020/ "%USERPROFILE%\AppData\Local\Temp\OnboardLogs"\RTDC4020\2017-08-13 --exclude "*" --recursive --include "*20170813*" &amp; "%USERPROFILE%\Documents\GitHub\mrs-test-scripts\Headless Mode &amp; Sideloading\WalkAndUnGZ.bat" "%USERPROFILE%\AppData\Local\Temp\OnboardLogs"\RTDC4020\2017-08-13</v>
      </c>
      <c r="AF205" s="74" t="str">
        <f t="shared" ref="AF205:AF219" si="12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/stypes="app*4020*20170812*" /stext=" 08:.+((SYSTEM_STATE.+slice.+state.+changed )|(ment ac)|(multiple cpu faults)|(system.+state.+changed )|(\[timeout)|(PRM\|1\|D)|(kpr)|(kdp)|(train st.+moving)|(\|lc)|(penalty))"</v>
      </c>
      <c r="AG205" s="209" t="str">
        <f t="shared" si="123"/>
        <v>Other</v>
      </c>
      <c r="AH205" s="78" t="str">
        <f t="shared" si="94"/>
        <v>"%USERPROFILE%\Documents\GitHub\eaglep3\Utilities\RefineRTDCRunTimes.py" --tripid 311-11 --locoid 4020 --swversion DE.1.0.9.0 --startMP 204:420 --initTime 2017-08-12T02:08:15 --startdatetime 2017-08-12T02:11:32 --delay 1 --endMP 300:23310 --enddatetime 2017-08-12T02:25:25 --enforcementcount 0 &gt;&gt;C:\Users\stu\Documents\GitHub\eaglep3-reporting\EC\2017-08-12-refined-times.txt</v>
      </c>
      <c r="AI205" s="96" t="str">
        <f t="shared" si="95"/>
        <v>echo {"issue":{"subject":"","project_id":79,"tracker_id":40,"status_id":1,"priority_id":2,"assigned_to_id":23,"start_date":"2017-08-12","description":"","custom_fields":[{"id":1,"name":"Subdivision","value":"Other"},{"id":4,"name":"Milepost","value":"2.331"},{"id":17,"name":"Train ID","value":"311-11"},{"id":16,"name":"Locomotive ID","value":"4020"},{"id":130,"name":"Impact","value":""},{"id":150,"name":"Time of Event (Mountain Time)","value":"02:25:25"},{"id":151,"name":"Denver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96"/>
        <v>start /low /b %USERPROFILE%\Documents\GitHub\eaglep3\Utilities\DownloadLogsFromS3.py --loco 4020 --day 2017-08-12</v>
      </c>
      <c r="AN205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08:25:25"},{"id":29,"name":"Sharepoint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867</v>
      </c>
      <c r="B206" s="7">
        <v>4016</v>
      </c>
      <c r="C206" s="21" t="s">
        <v>198</v>
      </c>
      <c r="D206" s="21" t="s">
        <v>394</v>
      </c>
      <c r="E206" s="13">
        <v>42960.088750000003</v>
      </c>
      <c r="F206" s="13">
        <v>42960.090219907404</v>
      </c>
      <c r="G206" s="7">
        <v>1</v>
      </c>
      <c r="H206" s="21" t="s">
        <v>345</v>
      </c>
      <c r="I206" s="13">
        <v>42960.101354166669</v>
      </c>
      <c r="J206" s="7">
        <v>0</v>
      </c>
      <c r="K206" s="89" t="str">
        <f t="shared" si="116"/>
        <v>4015/4016</v>
      </c>
      <c r="L206" s="21" t="str">
        <f>VLOOKUP(A206,'Trips&amp;Operators'!$C$1:$G$99999,5,FALSE)</f>
        <v>FORTUNATO FRANK</v>
      </c>
      <c r="M206" s="6">
        <f t="shared" si="117"/>
        <v>1.1134259264508728E-2</v>
      </c>
      <c r="N206" s="7">
        <f t="shared" si="118"/>
        <v>16.033333340892568</v>
      </c>
      <c r="O206" s="7"/>
      <c r="P206" s="7"/>
      <c r="Q206" s="22"/>
      <c r="R206" s="170"/>
      <c r="S206" s="213">
        <f t="shared" si="119"/>
        <v>1</v>
      </c>
      <c r="T206" s="195" t="str">
        <f t="shared" si="120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125"/>
        <v>https://d0f6bd738d7f1b3e5a7ca70fe4ff75f0.us-east-1.aws.found.io/app/kibana#/discover/Steve-Slow-Train-Analysis-(2080s-and-2083s)?_g=(refreshInterval:(display:Off,pause:!f,section:0,value:0),time:(from:'2017-08-13T01:07:48-0600',mode:absolute,to:'2017-08-13T03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6" s="197" t="str">
        <f>IF(AA206&lt;VLOOKUP(AG206,Variables!$AC$3:$AD$8,2,FALSE),"Y","N")</f>
        <v>Y</v>
      </c>
      <c r="X206" s="197">
        <f t="shared" si="124"/>
        <v>0</v>
      </c>
      <c r="Y206" s="197">
        <f t="shared" si="114"/>
        <v>4.5499999999999999E-2</v>
      </c>
      <c r="Z206" s="197">
        <f t="shared" si="115"/>
        <v>2.3346</v>
      </c>
      <c r="AA206" s="197">
        <f t="shared" si="121"/>
        <v>2.2890999999999999</v>
      </c>
      <c r="AB206" s="54" t="e">
        <f>VLOOKUP(A206,Enforcements!$C$7:$K$12,8,0)</f>
        <v>#N/A</v>
      </c>
      <c r="AC206" s="51" t="e">
        <f>VLOOKUP(A206,Enforcements!$C$7:$E$12,3,0)</f>
        <v>#N/A</v>
      </c>
      <c r="AD206" s="206">
        <f t="shared" si="122"/>
        <v>311</v>
      </c>
      <c r="AE206" s="77" t="str">
        <f t="shared" si="126"/>
        <v>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 &amp; aws s3 cp s3://rtdc.mdm.uploadarchive.raw/RTDC4016/ "%USERPROFILE%\AppData\Local\Temp\OnboardLogs"\RTDC4016\2017-08-14 --exclude "*" --recursive --include "*20170814*" &amp; "%USERPROFILE%\Documents\GitHub\mrs-test-scripts\Headless Mode &amp; Sideloading\WalkAndUnGZ.bat" "%USERPROFILE%\AppData\Local\Temp\OnboardLogs"\RTDC4016\2017-08-14</v>
      </c>
      <c r="AF206" s="74" t="str">
        <f t="shared" si="127"/>
        <v>"C:\Program Files (x86)\AstroGrep\AstroGrep.exe" /e /r /s /spath="%USERPROFILE%\AppData\Local\Temp\OnboardLogs" /stypes="app*4016*20170813*" /stext=" 08:.+((SYSTEM_STATE.+slice.+state.+changed )|(ment ac)|(multiple cpu faults)|(system.+state.+changed )|(\[timeout)|(PRM\|1\|D)|(kpr)|(kdp)|(train st.+moving)|(\|lc)|(penalty))"</v>
      </c>
      <c r="AG206" s="209" t="str">
        <f t="shared" si="123"/>
        <v>Other</v>
      </c>
      <c r="AH206" s="78" t="str">
        <f t="shared" si="94"/>
        <v>"%USERPROFILE%\Documents\GitHub\eaglep3\Utilities\RefineRTDCRunTimes.py" --tripid 311-12 --locoid 4016 --swversion DE.1.0.9.0 --startMP 204:455 --initTime 2017-08-13T02:07:48 --startdatetime 2017-08-13T02:09:55 --delay 1 --endMP 300:23346 --enddatetime 2017-08-13T02:25:57 --enforcementcount 0 &gt;&gt;C:\Users\stu\Documents\GitHub\eaglep3-reporting\EC\2017-08-12-refined-times.txt</v>
      </c>
      <c r="AI206" s="96" t="str">
        <f t="shared" si="95"/>
        <v>echo {"issue":{"subject":"","project_id":79,"tracker_id":40,"status_id":1,"priority_id":2,"assigned_to_id":23,"start_date":"2017-08-13","description":"","custom_fields":[{"id":1,"name":"Subdivision","value":"Other"},{"id":4,"name":"Milepost","value":"2.3346"},{"id":17,"name":"Train ID","value":"311-12"},{"id":16,"name":"Locomotive ID","value":"4016"},{"id":130,"name":"Impact","value":""},{"id":150,"name":"Time of Event (Mountain Time)","value":"02:25:57"},{"id":151,"name":"Denver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96"/>
        <v>start /low /b %USERPROFILE%\Documents\GitHub\eaglep3\Utilities\DownloadLogsFromS3.py --loco 4016 --day 2017-08-13</v>
      </c>
      <c r="AN206" s="151" t="str">
        <f t="shared" si="97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08:25:57"},{"id":29,"name":"Sharepoint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699</v>
      </c>
      <c r="B207" s="7">
        <v>4063</v>
      </c>
      <c r="C207" s="21" t="s">
        <v>198</v>
      </c>
      <c r="D207" s="21" t="s">
        <v>992</v>
      </c>
      <c r="E207" s="13">
        <v>42959.215081018519</v>
      </c>
      <c r="F207" s="13">
        <v>42959.219699074078</v>
      </c>
      <c r="G207" s="7">
        <v>6</v>
      </c>
      <c r="H207" s="21" t="s">
        <v>993</v>
      </c>
      <c r="I207" s="13">
        <v>42959.22583333333</v>
      </c>
      <c r="J207" s="7">
        <v>0</v>
      </c>
      <c r="K207" s="89" t="str">
        <f t="shared" si="116"/>
        <v>4063/4064</v>
      </c>
      <c r="L207" s="21" t="str">
        <f>VLOOKUP(A207,'Trips&amp;Operators'!$C$1:$G$99999,5,FALSE)</f>
        <v>GUZMAN DANNY</v>
      </c>
      <c r="M207" s="6">
        <f t="shared" si="117"/>
        <v>6.1342592525761575E-3</v>
      </c>
      <c r="N207" s="7">
        <f t="shared" si="118"/>
        <v>8.8333333237096667</v>
      </c>
      <c r="O207" s="7"/>
      <c r="P207" s="7"/>
      <c r="Q207" s="22"/>
      <c r="R207" s="170"/>
      <c r="S207" s="213">
        <f t="shared" si="119"/>
        <v>1</v>
      </c>
      <c r="T207" s="195" t="str">
        <f t="shared" si="120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125"/>
        <v>https://d0f6bd738d7f1b3e5a7ca70fe4ff75f0.us-east-1.aws.found.io/app/kibana#/discover/Steve-Slow-Train-Analysis-(2080s-and-2083s)?_g=(refreshInterval:(display:Off,pause:!f,section:0,value:0),time:(from:'2017-08-12T04:09:43-0600',mode:absolute,to:'2017-08-12T06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7" s="197" t="str">
        <f>IF(AA207&lt;VLOOKUP(AG207,Variables!$AC$3:$AD$8,2,FALSE),"Y","N")</f>
        <v>Y</v>
      </c>
      <c r="X207" s="197">
        <f t="shared" si="124"/>
        <v>1</v>
      </c>
      <c r="Y207" s="197">
        <f t="shared" si="114"/>
        <v>2.3614000000000002</v>
      </c>
      <c r="Z207" s="197">
        <f t="shared" si="115"/>
        <v>7.7999999999999996E-3</v>
      </c>
      <c r="AA207" s="197">
        <f t="shared" si="121"/>
        <v>2.3536000000000001</v>
      </c>
      <c r="AB207" s="54" t="e">
        <f>VLOOKUP(A207,Enforcements!$C$7:$K$12,8,0)</f>
        <v>#N/A</v>
      </c>
      <c r="AC207" s="51" t="e">
        <f>VLOOKUP(A207,Enforcements!$C$7:$E$12,3,0)</f>
        <v>#N/A</v>
      </c>
      <c r="AD207" s="206">
        <f t="shared" si="122"/>
        <v>312</v>
      </c>
      <c r="AE207" s="77" t="str">
        <f t="shared" si="126"/>
        <v>aws s3 cp s3://rtdc.mdm.uploadarchive.raw/RTDC4063/ "%USERPROFILE%\AppData\Local\Temp\OnboardLogs"\RTDC4063\2017-08-12 --exclude "*" --recursive --include "*20170812*" &amp; "%USERPROFILE%\Documents\GitHub\mrs-test-scripts\Headless Mode &amp; Sideloading\WalkAndUnGZ.bat" "%USERPROFILE%\AppData\Local\Temp\OnboardLogs"\RTDC4063\2017-08-12 &amp; aws s3 cp s3://rtdc.mdm.uploadarchive.raw/RTDC4063/ "%USERPROFILE%\AppData\Local\Temp\OnboardLogs"\RTDC4063\2017-08-13 --exclude "*" --recursive --include "*20170813*" &amp; "%USERPROFILE%\Documents\GitHub\mrs-test-scripts\Headless Mode &amp; Sideloading\WalkAndUnGZ.bat" "%USERPROFILE%\AppData\Local\Temp\OnboardLogs"\RTDC4063\2017-08-13</v>
      </c>
      <c r="AF207" s="74" t="str">
        <f t="shared" si="127"/>
        <v>"C:\Program Files (x86)\AstroGrep\AstroGrep.exe" /e /r /s /spath="%USERPROFILE%\AppData\Local\Temp\OnboardLogs" /stypes="app*4063*20170812*" /stext=" 11:.+((SYSTEM_STATE.+slice.+state.+changed )|(ment ac)|(multiple cpu faults)|(system.+state.+changed )|(\[timeout)|(PRM\|1\|D)|(kpr)|(kdp)|(train st.+moving)|(\|lc)|(penalty))"</v>
      </c>
      <c r="AG207" s="209" t="str">
        <f t="shared" si="123"/>
        <v>Other</v>
      </c>
      <c r="AH207" s="78" t="str">
        <f t="shared" si="94"/>
        <v>"%USERPROFILE%\Documents\GitHub\eaglep3\Utilities\RefineRTDCRunTimes.py" --tripid 312-12 --locoid 4063 --swversion DE.1.0.9.0 --startMP 300:23614 --initTime 2017-08-12T05:09:43 --startdatetime 2017-08-12T05:16:22 --delay 6 --endMP 204:78 --enddatetime 2017-08-12T05:25:12 --enforcementcount 0 &gt;&gt;C:\Users\stu\Documents\GitHub\eaglep3-reporting\EC\2017-08-12-refined-times.txt</v>
      </c>
      <c r="AI207" s="96" t="str">
        <f t="shared" si="95"/>
        <v>echo {"issue":{"subject":"","project_id":79,"tracker_id":40,"status_id":1,"priority_id":2,"assigned_to_id":23,"start_date":"2017-08-12","description":"","custom_fields":[{"id":1,"name":"Subdivision","value":"Other"},{"id":4,"name":"Milepost","value":"0.0078"},{"id":17,"name":"Train ID","value":"312-12"},{"id":16,"name":"Locomotive ID","value":"4063"},{"id":130,"name":"Impact","value":""},{"id":150,"name":"Time of Event (Mountain Time)","value":"05:25:12"},{"id":151,"name":"Denver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96"/>
        <v>start /low /b %USERPROFILE%\Documents\GitHub\eaglep3\Utilities\DownloadLogsFromS3.py --loco 4063 --day 2017-08-12</v>
      </c>
      <c r="AN207" s="151" t="str">
        <f t="shared" si="97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11:25:12"},{"id":29,"name":"Sharepoint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667</v>
      </c>
      <c r="B208" s="7">
        <v>4040</v>
      </c>
      <c r="C208" s="21" t="s">
        <v>198</v>
      </c>
      <c r="D208" s="21" t="s">
        <v>452</v>
      </c>
      <c r="E208" s="13">
        <v>42959.109675925924</v>
      </c>
      <c r="F208" s="13">
        <v>42959.111493055556</v>
      </c>
      <c r="G208" s="7">
        <v>2</v>
      </c>
      <c r="H208" s="21" t="s">
        <v>994</v>
      </c>
      <c r="I208" s="13">
        <v>42959.119409722225</v>
      </c>
      <c r="J208" s="7">
        <v>0</v>
      </c>
      <c r="K208" s="89" t="str">
        <f t="shared" si="116"/>
        <v>4039/4040</v>
      </c>
      <c r="L208" s="21" t="str">
        <f>VLOOKUP(A208,'Trips&amp;Operators'!$C$1:$G$99999,5,FALSE)</f>
        <v>LAMAR NEKESHA</v>
      </c>
      <c r="M208" s="6">
        <f t="shared" si="117"/>
        <v>7.9166666691889986E-3</v>
      </c>
      <c r="N208" s="7">
        <f t="shared" si="118"/>
        <v>11.400000003632158</v>
      </c>
      <c r="O208" s="7"/>
      <c r="P208" s="7"/>
      <c r="Q208" s="22"/>
      <c r="R208" s="170"/>
      <c r="S208" s="213">
        <f t="shared" si="119"/>
        <v>1</v>
      </c>
      <c r="T208" s="195" t="str">
        <f t="shared" si="120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125"/>
        <v>https://d0f6bd738d7f1b3e5a7ca70fe4ff75f0.us-east-1.aws.found.io/app/kibana#/discover/Steve-Slow-Train-Analysis-(2080s-and-2083s)?_g=(refreshInterval:(display:Off,pause:!f,section:0,value:0),time:(from:'2017-08-12T01:37:56-0600',mode:absolute,to:'2017-08-12T03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8" s="197" t="str">
        <f>IF(AA208&lt;VLOOKUP(AG208,Variables!$AC$3:$AD$8,2,FALSE),"Y","N")</f>
        <v>Y</v>
      </c>
      <c r="X208" s="197">
        <f t="shared" si="124"/>
        <v>1</v>
      </c>
      <c r="Y208" s="197">
        <f t="shared" si="114"/>
        <v>4.7300000000000002E-2</v>
      </c>
      <c r="Z208" s="197">
        <f t="shared" si="115"/>
        <v>2.3311999999999999</v>
      </c>
      <c r="AA208" s="197">
        <f t="shared" si="121"/>
        <v>2.2839</v>
      </c>
      <c r="AB208" s="54" t="e">
        <f>VLOOKUP(A208,Enforcements!$C$7:$K$12,8,0)</f>
        <v>#N/A</v>
      </c>
      <c r="AC208" s="51" t="e">
        <f>VLOOKUP(A208,Enforcements!$C$7:$E$12,3,0)</f>
        <v>#N/A</v>
      </c>
      <c r="AD208" s="206">
        <f t="shared" si="122"/>
        <v>313</v>
      </c>
      <c r="AE208" s="77" t="str">
        <f t="shared" si="126"/>
        <v>aws s3 cp s3://rtdc.mdm.uploadarchive.raw/RTDC4040/ "%USERPROFILE%\AppData\Local\Temp\OnboardLogs"\RTDC4040\2017-08-12 --exclude "*" --recursive --include "*20170812*" &amp; "%USERPROFILE%\Documents\GitHub\mrs-test-scripts\Headless Mode &amp; Sideloading\WalkAndUnGZ.bat" "%USERPROFILE%\AppData\Local\Temp\OnboardLogs"\RTDC4040\2017-08-12 &amp; aws s3 cp s3://rtdc.mdm.uploadarchive.raw/RTDC4040/ "%USERPROFILE%\AppData\Local\Temp\OnboardLogs"\RTDC4040\2017-08-13 --exclude "*" --recursive --include "*20170813*" &amp; "%USERPROFILE%\Documents\GitHub\mrs-test-scripts\Headless Mode &amp; Sideloading\WalkAndUnGZ.bat" "%USERPROFILE%\AppData\Local\Temp\OnboardLogs"\RTDC4040\2017-08-13</v>
      </c>
      <c r="AF208" s="74" t="str">
        <f t="shared" si="127"/>
        <v>"C:\Program Files (x86)\AstroGrep\AstroGrep.exe" /e /r /s /spath="%USERPROFILE%\AppData\Local\Temp\OnboardLogs" /stypes="app*4040*20170812*" /stext=" 08:.+((SYSTEM_STATE.+slice.+state.+changed )|(ment ac)|(multiple cpu faults)|(system.+state.+changed )|(\[timeout)|(PRM\|1\|D)|(kpr)|(kdp)|(train st.+moving)|(\|lc)|(penalty))"</v>
      </c>
      <c r="AG208" s="209" t="str">
        <f t="shared" si="123"/>
        <v>Other</v>
      </c>
      <c r="AH208" s="78" t="str">
        <f t="shared" ref="AH208:AH219" si="128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313-11 --locoid 4040 --swversion DE.1.0.9.0 --startMP 204:473 --initTime 2017-08-12T02:37:56 --startdatetime 2017-08-12T02:40:33 --delay 2 --endMP 300:23312 --enddatetime 2017-08-12T02:51:57 --enforcementcount 0 &gt;&gt;C:\Users\stu\Documents\GitHub\eaglep3-reporting\EC\2017-08-12-refined-times.txt</v>
      </c>
      <c r="AI208" s="96" t="str">
        <f t="shared" ref="AI208:AI219" si="129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{"issue":{"subject":"","project_id":79,"tracker_id":40,"status_id":1,"priority_id":2,"assigned_to_id":23,"start_date":"2017-08-12","description":"","custom_fields":[{"id":1,"name":"Subdivision","value":"Other"},{"id":4,"name":"Milepost","value":"2.3312"},{"id":17,"name":"Train ID","value":"313-11"},{"id":16,"name":"Locomotive ID","value":"4040"},{"id":130,"name":"Impact","value":""},{"id":150,"name":"Time of Event (Mountain Time)","value":"02:51:57"},{"id":151,"name":"Denver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ref="AM208:AM219" si="130">"start /low /b "&amp;dls3logs&amp;" --loco "&amp;B208&amp;" --day "&amp;TEXT(F208,"YYYY-MM-DD")</f>
        <v>start /low /b %USERPROFILE%\Documents\GitHub\eaglep3\Utilities\DownloadLogsFromS3.py --loco 4040 --day 2017-08-12</v>
      </c>
      <c r="AN208" s="151" t="str">
        <f t="shared" ref="AN208:AN219" si="131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08:51:57"},{"id":29,"name":"Sharepoint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868</v>
      </c>
      <c r="B209" s="7">
        <v>4002</v>
      </c>
      <c r="C209" s="21" t="s">
        <v>198</v>
      </c>
      <c r="D209" s="21" t="s">
        <v>466</v>
      </c>
      <c r="E209" s="13">
        <v>42960.110081018516</v>
      </c>
      <c r="F209" s="13">
        <v>42960.111666666664</v>
      </c>
      <c r="G209" s="7">
        <v>1</v>
      </c>
      <c r="H209" s="21" t="s">
        <v>345</v>
      </c>
      <c r="I209" s="13">
        <v>42960.121261574073</v>
      </c>
      <c r="J209" s="7">
        <v>0</v>
      </c>
      <c r="K209" s="89" t="str">
        <f t="shared" si="116"/>
        <v>4001/4002</v>
      </c>
      <c r="L209" s="21" t="str">
        <f>VLOOKUP(A209,'Trips&amp;Operators'!$C$1:$G$99999,5,FALSE)</f>
        <v>LAMAR NEKESHA</v>
      </c>
      <c r="M209" s="6">
        <f t="shared" si="117"/>
        <v>9.5949074093368836E-3</v>
      </c>
      <c r="N209" s="7">
        <f t="shared" si="118"/>
        <v>13.816666669445112</v>
      </c>
      <c r="O209" s="7"/>
      <c r="P209" s="7"/>
      <c r="Q209" s="22"/>
      <c r="R209" s="170"/>
      <c r="S209" s="213">
        <f t="shared" si="119"/>
        <v>1</v>
      </c>
      <c r="T209" s="195" t="str">
        <f t="shared" si="120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125"/>
        <v>https://d0f6bd738d7f1b3e5a7ca70fe4ff75f0.us-east-1.aws.found.io/app/kibana#/discover/Steve-Slow-Train-Analysis-(2080s-and-2083s)?_g=(refreshInterval:(display:Off,pause:!f,section:0,value:0),time:(from:'2017-08-13T01:38:31-0600',mode:absolute,to:'2017-08-13T03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9" s="197" t="str">
        <f>IF(AA209&lt;VLOOKUP(AG209,Variables!$AC$3:$AD$8,2,FALSE),"Y","N")</f>
        <v>Y</v>
      </c>
      <c r="X209" s="197">
        <f t="shared" si="124"/>
        <v>0</v>
      </c>
      <c r="Y209" s="197">
        <f t="shared" si="114"/>
        <v>4.6399999999999997E-2</v>
      </c>
      <c r="Z209" s="197">
        <f t="shared" si="115"/>
        <v>2.3346</v>
      </c>
      <c r="AA209" s="197">
        <f t="shared" si="121"/>
        <v>2.2881999999999998</v>
      </c>
      <c r="AB209" s="54" t="e">
        <f>VLOOKUP(A209,Enforcements!$C$7:$K$12,8,0)</f>
        <v>#N/A</v>
      </c>
      <c r="AC209" s="51" t="e">
        <f>VLOOKUP(A209,Enforcements!$C$7:$E$12,3,0)</f>
        <v>#N/A</v>
      </c>
      <c r="AD209" s="206">
        <f t="shared" si="122"/>
        <v>313</v>
      </c>
      <c r="AE209" s="77" t="str">
        <f t="shared" si="126"/>
        <v>aws s3 cp s3://rtdc.mdm.uploadarchive.raw/RTDC4002/ "%USERPROFILE%\AppData\Local\Temp\OnboardLogs"\RTDC4002\2017-08-13 --exclude "*" --recursive --include "*20170813*" &amp; "%USERPROFILE%\Documents\GitHub\mrs-test-scripts\Headless Mode &amp; Sideloading\WalkAndUnGZ.bat" "%USERPROFILE%\AppData\Local\Temp\OnboardLogs"\RTDC4002\2017-08-13 &amp; aws s3 cp s3://rtdc.mdm.uploadarchive.raw/RTDC4002/ "%USERPROFILE%\AppData\Local\Temp\OnboardLogs"\RTDC4002\2017-08-14 --exclude "*" --recursive --include "*20170814*" &amp; "%USERPROFILE%\Documents\GitHub\mrs-test-scripts\Headless Mode &amp; Sideloading\WalkAndUnGZ.bat" "%USERPROFILE%\AppData\Local\Temp\OnboardLogs"\RTDC4002\2017-08-14</v>
      </c>
      <c r="AF209" s="74" t="str">
        <f t="shared" si="127"/>
        <v>"C:\Program Files (x86)\AstroGrep\AstroGrep.exe" /e /r /s /spath="%USERPROFILE%\AppData\Local\Temp\OnboardLogs" /stypes="app*4002*20170813*" /stext=" 08:.+((SYSTEM_STATE.+slice.+state.+changed )|(ment ac)|(multiple cpu faults)|(system.+state.+changed )|(\[timeout)|(PRM\|1\|D)|(kpr)|(kdp)|(train st.+moving)|(\|lc)|(penalty))"</v>
      </c>
      <c r="AG209" s="209" t="str">
        <f t="shared" si="123"/>
        <v>Other</v>
      </c>
      <c r="AH209" s="78" t="str">
        <f t="shared" si="128"/>
        <v>"%USERPROFILE%\Documents\GitHub\eaglep3\Utilities\RefineRTDCRunTimes.py" --tripid 313-12 --locoid 4002 --swversion DE.1.0.9.0 --startMP 204:464 --initTime 2017-08-13T02:38:31 --startdatetime 2017-08-13T02:40:48 --delay 1 --endMP 300:23346 --enddatetime 2017-08-13T02:54:37 --enforcementcount 0 &gt;&gt;C:\Users\stu\Documents\GitHub\eaglep3-reporting\EC\2017-08-12-refined-times.txt</v>
      </c>
      <c r="AI209" s="96" t="str">
        <f t="shared" si="129"/>
        <v>echo {"issue":{"subject":"","project_id":79,"tracker_id":40,"status_id":1,"priority_id":2,"assigned_to_id":23,"start_date":"2017-08-13","description":"","custom_fields":[{"id":1,"name":"Subdivision","value":"Other"},{"id":4,"name":"Milepost","value":"2.3346"},{"id":17,"name":"Train ID","value":"313-12"},{"id":16,"name":"Locomotive ID","value":"4002"},{"id":130,"name":"Impact","value":""},{"id":150,"name":"Time of Event (Mountain Time)","value":"02:54:37"},{"id":151,"name":"Denver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130"/>
        <v>start /low /b %USERPROFILE%\Documents\GitHub\eaglep3\Utilities\DownloadLogsFromS3.py --loco 4002 --day 2017-08-13</v>
      </c>
      <c r="AN209" s="151" t="str">
        <f t="shared" si="13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08:54:37"},{"id":29,"name":"Sharepoint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700</v>
      </c>
      <c r="B210" s="7">
        <v>4056</v>
      </c>
      <c r="C210" s="21" t="s">
        <v>198</v>
      </c>
      <c r="D210" s="21" t="s">
        <v>954</v>
      </c>
      <c r="E210" s="13">
        <v>42959.223414351851</v>
      </c>
      <c r="F210" s="13">
        <v>42959.227280092593</v>
      </c>
      <c r="G210" s="7">
        <v>5</v>
      </c>
      <c r="H210" s="21" t="s">
        <v>631</v>
      </c>
      <c r="I210" s="13">
        <v>42959.23269675926</v>
      </c>
      <c r="J210" s="7">
        <v>0</v>
      </c>
      <c r="K210" s="89" t="str">
        <f t="shared" si="116"/>
        <v>4055/4056</v>
      </c>
      <c r="L210" s="21" t="str">
        <f>VLOOKUP(A210,'Trips&amp;Operators'!$C$1:$G$99999,5,FALSE)</f>
        <v>MACDONALD THOMAS</v>
      </c>
      <c r="M210" s="6">
        <f t="shared" si="117"/>
        <v>5.4166666668606922E-3</v>
      </c>
      <c r="N210" s="7">
        <f t="shared" si="118"/>
        <v>7.8000000002793968</v>
      </c>
      <c r="O210" s="7"/>
      <c r="P210" s="7"/>
      <c r="Q210" s="22"/>
      <c r="R210" s="170"/>
      <c r="S210" s="213">
        <f t="shared" si="119"/>
        <v>0</v>
      </c>
      <c r="T210" s="195" t="str">
        <f t="shared" si="120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6" t="str">
        <f t="shared" si="125"/>
        <v>https://d0f6bd738d7f1b3e5a7ca70fe4ff75f0.us-east-1.aws.found.io/app/kibana#/discover/Steve-Slow-Train-Analysis-(2080s-and-2083s)?_g=(refreshInterval:(display:Off,pause:!f,section:0,value:0),time:(from:'2017-08-12T04:21:43-0600',mode:absolute,to:'2017-08-12T06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0" s="197" t="str">
        <f>IF(AA210&lt;VLOOKUP(AG210,Variables!$AC$3:$AD$8,2,FALSE),"Y","N")</f>
        <v>Y</v>
      </c>
      <c r="X210" s="197">
        <f t="shared" si="124"/>
        <v>1588</v>
      </c>
      <c r="Y210" s="197">
        <f t="shared" si="114"/>
        <v>3.0059</v>
      </c>
      <c r="Z210" s="197">
        <f t="shared" si="115"/>
        <v>5.8916000000000004</v>
      </c>
      <c r="AA210" s="197">
        <f t="shared" si="121"/>
        <v>2.8857000000000004</v>
      </c>
      <c r="AB210" s="54" t="e">
        <f>VLOOKUP(A210,Enforcements!$C$7:$K$12,8,0)</f>
        <v>#N/A</v>
      </c>
      <c r="AC210" s="51" t="e">
        <f>VLOOKUP(A210,Enforcements!$C$7:$E$12,3,0)</f>
        <v>#N/A</v>
      </c>
      <c r="AD210" s="206">
        <f t="shared" si="122"/>
        <v>1901</v>
      </c>
      <c r="AE210" s="77" t="str">
        <f t="shared" si="126"/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AF210" s="74" t="str">
        <f t="shared" si="127"/>
        <v>"C:\Program Files (x86)\AstroGrep\AstroGrep.exe" /e /r /s /spath="%USERPROFILE%\AppData\Local\Temp\OnboardLogs" /stypes="app*4056*20170812*" /stext=" 11:.+((SYSTEM_STATE.+slice.+state.+changed )|(ment ac)|(multiple cpu faults)|(system.+state.+changed )|(\[timeout)|(PRM\|1\|D)|(kpr)|(kdp)|(train st.+moving)|(\|lc)|(penalty))"</v>
      </c>
      <c r="AG210" s="209" t="str">
        <f t="shared" si="123"/>
        <v>Other</v>
      </c>
      <c r="AH210" s="78" t="str">
        <f t="shared" si="128"/>
        <v>"%USERPROFILE%\Documents\GitHub\eaglep3\Utilities\RefineRTDCRunTimes.py" --tripid 1901-12 --locoid 4056 --swversion DE.1.0.9.0 --startMP 300:30059 --initTime 2017-08-12T05:21:43 --startdatetime 2017-08-12T05:27:17 --delay 5 --endMP 300:58916 --enddatetime 2017-08-12T05:35:05 --enforcementcount 0 &gt;&gt;C:\Users\stu\Documents\GitHub\eaglep3-reporting\EC\2017-08-12-refined-times.txt</v>
      </c>
      <c r="AI210" s="96" t="str">
        <f t="shared" si="129"/>
        <v>echo {"issue":{"subject":"","project_id":79,"tracker_id":40,"status_id":1,"priority_id":2,"assigned_to_id":23,"start_date":"2017-08-12","description":"","custom_fields":[{"id":1,"name":"Subdivision","value":"Other"},{"id":4,"name":"Milepost","value":"5.8916"},{"id":17,"name":"Train ID","value":"1901-12"},{"id":16,"name":"Locomotive ID","value":"4056"},{"id":130,"name":"Impact","value":""},{"id":150,"name":"Time of Event (Mountain Time)","value":"05:35:05"},{"id":151,"name":"Denver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30"/>
        <v>start /low /b %USERPROFILE%\Documents\GitHub\eaglep3\Utilities\DownloadLogsFromS3.py --loco 4056 --day 2017-08-12</v>
      </c>
      <c r="AN210" s="151" t="str">
        <f t="shared" si="13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11:35:05"},{"id":29,"name":"Sharepoint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672</v>
      </c>
      <c r="B211" s="7">
        <v>4042</v>
      </c>
      <c r="C211" s="21" t="s">
        <v>198</v>
      </c>
      <c r="D211" s="21" t="s">
        <v>556</v>
      </c>
      <c r="E211" s="13">
        <v>42959.135208333333</v>
      </c>
      <c r="F211" s="13">
        <v>42959.137384259258</v>
      </c>
      <c r="G211" s="7">
        <v>1</v>
      </c>
      <c r="H211" s="21" t="s">
        <v>995</v>
      </c>
      <c r="I211" s="13">
        <v>42959.138761574075</v>
      </c>
      <c r="J211" s="7">
        <v>0</v>
      </c>
      <c r="K211" s="89" t="str">
        <f t="shared" si="116"/>
        <v>4041/4042</v>
      </c>
      <c r="L211" s="21" t="str">
        <f>VLOOKUP(A211,'Trips&amp;Operators'!$C$1:$G$99999,5,FALSE)</f>
        <v>BEAM ROSS</v>
      </c>
      <c r="M211" s="6">
        <f t="shared" si="117"/>
        <v>1.377314816636499E-3</v>
      </c>
      <c r="N211" s="7">
        <f t="shared" si="118"/>
        <v>1.9833333359565586</v>
      </c>
      <c r="O211" s="7"/>
      <c r="P211" s="7"/>
      <c r="Q211" s="22"/>
      <c r="R211" s="170"/>
      <c r="S211" s="213">
        <f t="shared" si="119"/>
        <v>0</v>
      </c>
      <c r="T211" s="195" t="str">
        <f t="shared" si="120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125"/>
        <v>https://d0f6bd738d7f1b3e5a7ca70fe4ff75f0.us-east-1.aws.found.io/app/kibana#/discover/Steve-Slow-Train-Analysis-(2080s-and-2083s)?_g=(refreshInterval:(display:Off,pause:!f,section:0,value:0),time:(from:'2017-08-12T02:14:42-0600',mode:absolute,to:'2017-08-12T04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1" s="197" t="str">
        <f>IF(AA211&lt;VLOOKUP(AG211,Variables!$AC$3:$AD$8,2,FALSE),"Y","N")</f>
        <v>Y</v>
      </c>
      <c r="X211" s="197">
        <f t="shared" si="124"/>
        <v>-1850</v>
      </c>
      <c r="Y211" s="197">
        <f t="shared" si="114"/>
        <v>4.4400000000000002E-2</v>
      </c>
      <c r="Z211" s="197">
        <f t="shared" si="115"/>
        <v>0.33950000000000002</v>
      </c>
      <c r="AA211" s="197">
        <f t="shared" si="121"/>
        <v>0.29510000000000003</v>
      </c>
      <c r="AB211" s="54" t="e">
        <f>VLOOKUP(A211,Enforcements!$C$7:$K$12,8,0)</f>
        <v>#N/A</v>
      </c>
      <c r="AC211" s="51" t="e">
        <f>VLOOKUP(A211,Enforcements!$C$7:$E$12,3,0)</f>
        <v>#N/A</v>
      </c>
      <c r="AD211" s="206">
        <f t="shared" si="122"/>
        <v>51</v>
      </c>
      <c r="AE211" s="77" t="str">
        <f t="shared" si="126"/>
        <v>aws s3 cp s3://rtdc.mdm.uploadarchive.raw/RTDC4042/ "%USERPROFILE%\AppData\Local\Temp\OnboardLogs"\RTDC4042\2017-08-12 --exclude "*" --recursive --include "*20170812*" &amp; "%USERPROFILE%\Documents\GitHub\mrs-test-scripts\Headless Mode &amp; Sideloading\WalkAndUnGZ.bat" "%USERPROFILE%\AppData\Local\Temp\OnboardLogs"\RTDC4042\2017-08-12 &amp; 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</v>
      </c>
      <c r="AF211" s="74" t="str">
        <f t="shared" si="127"/>
        <v>"C:\Program Files (x86)\AstroGrep\AstroGrep.exe" /e /r /s /spath="%USERPROFILE%\AppData\Local\Temp\OnboardLogs" /stypes="app*4042*20170812*" /stext=" 09:.+((SYSTEM_STATE.+slice.+state.+changed )|(ment ac)|(multiple cpu faults)|(system.+state.+changed )|(\[timeout)|(PRM\|1\|D)|(kpr)|(kdp)|(train st.+moving)|(\|lc)|(penalty))"</v>
      </c>
      <c r="AG211" s="209" t="str">
        <f t="shared" si="123"/>
        <v>Shuttle/Test</v>
      </c>
      <c r="AH211" s="78" t="str">
        <f t="shared" si="128"/>
        <v>"%USERPROFILE%\Documents\GitHub\eaglep3\Utilities\RefineRTDCRunTimes.py" --tripid 51-12 --locoid 4042 --swversion DE.1.0.9.0 --startMP 204:444 --initTime 2017-08-12T03:14:42 --startdatetime 2017-08-12T03:17:50 --delay 1 --endMP 204:3395 --enddatetime 2017-08-12T03:19:49 --enforcementcount 0 &gt;&gt;C:\Users\stu\Documents\GitHub\eaglep3-reporting\EC\2017-08-12-refined-times.txt</v>
      </c>
      <c r="AI211" s="96" t="str">
        <f t="shared" si="129"/>
        <v>echo {"issue":{"subject":"","project_id":79,"tracker_id":40,"status_id":1,"priority_id":2,"assigned_to_id":23,"start_date":"2017-08-12","description":"","custom_fields":[{"id":1,"name":"Subdivision","value":"Shuttle/Test"},{"id":4,"name":"Milepost","value":"0.3395"},{"id":17,"name":"Train ID","value":"51-12"},{"id":16,"name":"Locomotive ID","value":"4042"},{"id":130,"name":"Impact","value":""},{"id":150,"name":"Time of Event (Mountain Time)","value":"03:19:49"},{"id":151,"name":"Denver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30"/>
        <v>start /low /b %USERPROFILE%\Documents\GitHub\eaglep3\Utilities\DownloadLogsFromS3.py --loco 4042 --day 2017-08-12</v>
      </c>
      <c r="AN211" s="151" t="str">
        <f t="shared" si="13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09:19:49"},{"id":29,"name":"Sharepoint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676</v>
      </c>
      <c r="B212" s="7">
        <v>4041</v>
      </c>
      <c r="C212" s="21" t="s">
        <v>198</v>
      </c>
      <c r="D212" s="21" t="s">
        <v>996</v>
      </c>
      <c r="E212" s="13">
        <v>42959.139560185184</v>
      </c>
      <c r="F212" s="13">
        <v>42959.140833333331</v>
      </c>
      <c r="G212" s="7">
        <v>1</v>
      </c>
      <c r="H212" s="21" t="s">
        <v>997</v>
      </c>
      <c r="I212" s="13">
        <v>42959.141770833332</v>
      </c>
      <c r="J212" s="7">
        <v>0</v>
      </c>
      <c r="K212" s="89" t="str">
        <f t="shared" si="116"/>
        <v>4041/4042</v>
      </c>
      <c r="L212" s="21" t="str">
        <f>VLOOKUP(A212,'Trips&amp;Operators'!$C$1:$G$99999,5,FALSE)</f>
        <v>BEAM ROSS</v>
      </c>
      <c r="M212" s="6">
        <f t="shared" si="117"/>
        <v>9.3750000087311491E-4</v>
      </c>
      <c r="N212" s="7">
        <f t="shared" si="118"/>
        <v>1.3500000012572855</v>
      </c>
      <c r="O212" s="7"/>
      <c r="P212" s="7"/>
      <c r="Q212" s="22"/>
      <c r="R212" s="170"/>
      <c r="S212" s="213">
        <f t="shared" si="119"/>
        <v>0</v>
      </c>
      <c r="T212" s="195" t="str">
        <f t="shared" si="120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125"/>
        <v>https://d0f6bd738d7f1b3e5a7ca70fe4ff75f0.us-east-1.aws.found.io/app/kibana#/discover/Steve-Slow-Train-Analysis-(2080s-and-2083s)?_g=(refreshInterval:(display:Off,pause:!f,section:0,value:0),time:(from:'2017-08-12T02:20:58-0600',mode:absolute,to:'2017-08-12T04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2" s="197" t="str">
        <f>IF(AA212&lt;VLOOKUP(AG212,Variables!$AC$3:$AD$8,2,FALSE),"Y","N")</f>
        <v>Y</v>
      </c>
      <c r="X212" s="197">
        <f t="shared" si="124"/>
        <v>1</v>
      </c>
      <c r="Y212" s="197">
        <f t="shared" si="114"/>
        <v>0.3034</v>
      </c>
      <c r="Z212" s="197">
        <f t="shared" si="115"/>
        <v>0.11559999999999999</v>
      </c>
      <c r="AA212" s="197">
        <f t="shared" si="121"/>
        <v>0.18780000000000002</v>
      </c>
      <c r="AB212" s="54" t="e">
        <f>VLOOKUP(A212,Enforcements!$C$7:$K$12,8,0)</f>
        <v>#N/A</v>
      </c>
      <c r="AC212" s="51" t="e">
        <f>VLOOKUP(A212,Enforcements!$C$7:$E$12,3,0)</f>
        <v>#N/A</v>
      </c>
      <c r="AD212" s="206">
        <f t="shared" si="122"/>
        <v>52</v>
      </c>
      <c r="AE212" s="77" t="str">
        <f t="shared" si="126"/>
        <v>aws s3 cp s3://rtdc.mdm.uploadarchive.raw/RTDC4041/ "%USERPROFILE%\AppData\Local\Temp\OnboardLogs"\RTDC4041\2017-08-12 --exclude "*" --recursive --include "*20170812*" &amp; "%USERPROFILE%\Documents\GitHub\mrs-test-scripts\Headless Mode &amp; Sideloading\WalkAndUnGZ.bat" "%USERPROFILE%\AppData\Local\Temp\OnboardLogs"\RTDC4041\2017-08-12 &amp; 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</v>
      </c>
      <c r="AF212" s="74" t="str">
        <f t="shared" si="127"/>
        <v>"C:\Program Files (x86)\AstroGrep\AstroGrep.exe" /e /r /s /spath="%USERPROFILE%\AppData\Local\Temp\OnboardLogs" /stypes="app*4041*20170812*" /stext=" 09:.+((SYSTEM_STATE.+slice.+state.+changed )|(ment ac)|(multiple cpu faults)|(system.+state.+changed )|(\[timeout)|(PRM\|1\|D)|(kpr)|(kdp)|(train st.+moving)|(\|lc)|(penalty))"</v>
      </c>
      <c r="AG212" s="209" t="str">
        <f t="shared" si="123"/>
        <v>Shuttle/Test</v>
      </c>
      <c r="AH212" s="78" t="str">
        <f t="shared" si="128"/>
        <v>"%USERPROFILE%\Documents\GitHub\eaglep3\Utilities\RefineRTDCRunTimes.py" --tripid 52-12 --locoid 4041 --swversion DE.1.0.9.0 --startMP 204:3034 --initTime 2017-08-12T03:20:58 --startdatetime 2017-08-12T03:22:48 --delay 1 --endMP 204:1156 --enddatetime 2017-08-12T03:24:09 --enforcementcount 0 &gt;&gt;C:\Users\stu\Documents\GitHub\eaglep3-reporting\EC\2017-08-12-refined-times.txt</v>
      </c>
      <c r="AI212" s="96" t="str">
        <f t="shared" si="129"/>
        <v>echo {"issue":{"subject":"","project_id":79,"tracker_id":40,"status_id":1,"priority_id":2,"assigned_to_id":23,"start_date":"2017-08-12","description":"","custom_fields":[{"id":1,"name":"Subdivision","value":"Shuttle/Test"},{"id":4,"name":"Milepost","value":"0.1156"},{"id":17,"name":"Train ID","value":"52-12"},{"id":16,"name":"Locomotive ID","value":"4041"},{"id":130,"name":"Impact","value":""},{"id":150,"name":"Time of Event (Mountain Time)","value":"03:24:09"},{"id":151,"name":"Denver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30"/>
        <v>start /low /b %USERPROFILE%\Documents\GitHub\eaglep3\Utilities\DownloadLogsFromS3.py --loco 4041 --day 2017-08-12</v>
      </c>
      <c r="AN212" s="151" t="str">
        <f t="shared" si="13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09:24:09"},{"id":29,"name":"Sharepoint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686</v>
      </c>
      <c r="B213" s="7">
        <v>4041</v>
      </c>
      <c r="C213" s="21" t="s">
        <v>198</v>
      </c>
      <c r="D213" s="21" t="s">
        <v>998</v>
      </c>
      <c r="E213" s="13">
        <v>42959.192303240743</v>
      </c>
      <c r="F213" s="13">
        <v>42959.193344907406</v>
      </c>
      <c r="G213" s="7">
        <v>0</v>
      </c>
      <c r="H213" s="21" t="s">
        <v>562</v>
      </c>
      <c r="I213" s="13">
        <v>42959.194479166668</v>
      </c>
      <c r="J213" s="7">
        <v>0</v>
      </c>
      <c r="K213" s="89" t="str">
        <f t="shared" si="116"/>
        <v>4041/4042</v>
      </c>
      <c r="L213" s="21" t="str">
        <f>VLOOKUP(A213,'Trips&amp;Operators'!$C$1:$G$99999,5,FALSE)</f>
        <v>BEAM ROSS</v>
      </c>
      <c r="M213" s="6">
        <f t="shared" si="117"/>
        <v>1.1342592624714598E-3</v>
      </c>
      <c r="N213" s="7">
        <f t="shared" si="118"/>
        <v>1.6333333379589021</v>
      </c>
      <c r="O213" s="7"/>
      <c r="P213" s="7"/>
      <c r="Q213" s="22"/>
      <c r="R213" s="170"/>
      <c r="S213" s="213">
        <f t="shared" si="119"/>
        <v>0</v>
      </c>
      <c r="T213" s="195" t="str">
        <f t="shared" si="120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125"/>
        <v>https://d0f6bd738d7f1b3e5a7ca70fe4ff75f0.us-east-1.aws.found.io/app/kibana#/discover/Steve-Slow-Train-Analysis-(2080s-and-2083s)?_g=(refreshInterval:(display:Off,pause:!f,section:0,value:0),time:(from:'2017-08-12T03:36:55-0600',mode:absolute,to:'2017-08-12T05:40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3" s="197" t="str">
        <f>IF(AA213&lt;VLOOKUP(AG213,Variables!$AC$3:$AD$8,2,FALSE),"Y","N")</f>
        <v>Y</v>
      </c>
      <c r="X213" s="197">
        <f t="shared" si="124"/>
        <v>1</v>
      </c>
      <c r="Y213" s="197">
        <f t="shared" si="114"/>
        <v>0.30120000000000002</v>
      </c>
      <c r="Z213" s="197">
        <f t="shared" si="115"/>
        <v>1.3599999999999999E-2</v>
      </c>
      <c r="AA213" s="197">
        <f t="shared" si="121"/>
        <v>0.28760000000000002</v>
      </c>
      <c r="AB213" s="54" t="e">
        <f>VLOOKUP(A213,Enforcements!$C$7:$K$12,8,0)</f>
        <v>#N/A</v>
      </c>
      <c r="AC213" s="51" t="e">
        <f>VLOOKUP(A213,Enforcements!$C$7:$E$12,3,0)</f>
        <v>#N/A</v>
      </c>
      <c r="AD213" s="206">
        <f t="shared" si="122"/>
        <v>53</v>
      </c>
      <c r="AE213" s="77" t="str">
        <f t="shared" si="126"/>
        <v>aws s3 cp s3://rtdc.mdm.uploadarchive.raw/RTDC4041/ "%USERPROFILE%\AppData\Local\Temp\OnboardLogs"\RTDC4041\2017-08-12 --exclude "*" --recursive --include "*20170812*" &amp; "%USERPROFILE%\Documents\GitHub\mrs-test-scripts\Headless Mode &amp; Sideloading\WalkAndUnGZ.bat" "%USERPROFILE%\AppData\Local\Temp\OnboardLogs"\RTDC4041\2017-08-12 &amp; 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</v>
      </c>
      <c r="AF213" s="74" t="str">
        <f t="shared" si="127"/>
        <v>"C:\Program Files (x86)\AstroGrep\AstroGrep.exe" /e /r /s /spath="%USERPROFILE%\AppData\Local\Temp\OnboardLogs" /stypes="app*4041*20170812*" /stext=" 10:.+((SYSTEM_STATE.+slice.+state.+changed )|(ment ac)|(multiple cpu faults)|(system.+state.+changed )|(\[timeout)|(PRM\|1\|D)|(kpr)|(kdp)|(train st.+moving)|(\|lc)|(penalty))"</v>
      </c>
      <c r="AG213" s="209" t="str">
        <f t="shared" si="123"/>
        <v>Shuttle/Test</v>
      </c>
      <c r="AH213" s="78" t="str">
        <f t="shared" si="128"/>
        <v>"%USERPROFILE%\Documents\GitHub\eaglep3\Utilities\RefineRTDCRunTimes.py" --tripid 53-12 --locoid 4041 --swversion DE.1.0.9.0 --startMP 204:3012 --initTime 2017-08-12T04:36:55 --startdatetime 2017-08-12T04:38:25 --delay 0 --endMP 204:136 --enddatetime 2017-08-12T04:40:03 --enforcementcount 0 &gt;&gt;C:\Users\stu\Documents\GitHub\eaglep3-reporting\EC\2017-08-12-refined-times.txt</v>
      </c>
      <c r="AI213" s="96" t="str">
        <f t="shared" si="129"/>
        <v>echo {"issue":{"subject":"","project_id":79,"tracker_id":40,"status_id":1,"priority_id":2,"assigned_to_id":23,"start_date":"2017-08-12","description":"","custom_fields":[{"id":1,"name":"Subdivision","value":"Shuttle/Test"},{"id":4,"name":"Milepost","value":"0.0136"},{"id":17,"name":"Train ID","value":"53-12"},{"id":16,"name":"Locomotive ID","value":"4041"},{"id":130,"name":"Impact","value":""},{"id":150,"name":"Time of Event (Mountain Time)","value":"04:40:03"},{"id":151,"name":"Denver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30"/>
        <v>start /low /b %USERPROFILE%\Documents\GitHub\eaglep3\Utilities\DownloadLogsFromS3.py --loco 4041 --day 2017-08-12</v>
      </c>
      <c r="AN213" s="151" t="str">
        <f t="shared" si="13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10:40:03"},{"id":29,"name":"Sharepoint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s="20" customFormat="1" x14ac:dyDescent="0.25">
      <c r="A214" s="32" t="s">
        <v>686</v>
      </c>
      <c r="B214" s="7">
        <v>4042</v>
      </c>
      <c r="C214" s="21" t="s">
        <v>198</v>
      </c>
      <c r="D214" s="21" t="s">
        <v>999</v>
      </c>
      <c r="E214" s="13">
        <v>42959.18959490741</v>
      </c>
      <c r="F214" s="13">
        <v>42959.193344907406</v>
      </c>
      <c r="G214" s="7">
        <v>1</v>
      </c>
      <c r="H214" s="21" t="s">
        <v>1000</v>
      </c>
      <c r="I214" s="13">
        <v>42959.194479166668</v>
      </c>
      <c r="J214" s="7">
        <v>0</v>
      </c>
      <c r="K214" s="89" t="str">
        <f t="shared" si="116"/>
        <v>4041/4042</v>
      </c>
      <c r="L214" s="21" t="str">
        <f>VLOOKUP(A214,'Trips&amp;Operators'!$C$1:$G$99999,5,FALSE)</f>
        <v>BEAM ROSS</v>
      </c>
      <c r="M214" s="6">
        <f t="shared" si="117"/>
        <v>1.1342592624714598E-3</v>
      </c>
      <c r="N214" s="7">
        <f t="shared" si="118"/>
        <v>1.6333333379589021</v>
      </c>
      <c r="O214" s="7"/>
      <c r="P214" s="7"/>
      <c r="Q214" s="22"/>
      <c r="R214" s="170"/>
      <c r="S214" s="213">
        <f t="shared" si="119"/>
        <v>0</v>
      </c>
      <c r="T214" s="195" t="str">
        <f t="shared" si="120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125"/>
        <v>https://d0f6bd738d7f1b3e5a7ca70fe4ff75f0.us-east-1.aws.found.io/app/kibana#/discover/Steve-Slow-Train-Analysis-(2080s-and-2083s)?_g=(refreshInterval:(display:Off,pause:!f,section:0,value:0),time:(from:'2017-08-12T03:33:01-0600',mode:absolute,to:'2017-08-12T05:40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4" s="197" t="str">
        <f>IF(AA214&lt;VLOOKUP(AG214,Variables!$AC$3:$AD$8,2,FALSE),"Y","N")</f>
        <v>Y</v>
      </c>
      <c r="X214" s="197">
        <f t="shared" si="124"/>
        <v>0</v>
      </c>
      <c r="Y214" s="197">
        <f t="shared" si="114"/>
        <v>0.14710000000000001</v>
      </c>
      <c r="Z214" s="197">
        <f t="shared" si="115"/>
        <v>0.3332</v>
      </c>
      <c r="AA214" s="197">
        <f t="shared" si="121"/>
        <v>0.18609999999999999</v>
      </c>
      <c r="AB214" s="54" t="e">
        <f>VLOOKUP(A214,Enforcements!$C$7:$K$12,8,0)</f>
        <v>#N/A</v>
      </c>
      <c r="AC214" s="51" t="e">
        <f>VLOOKUP(A214,Enforcements!$C$7:$E$12,3,0)</f>
        <v>#N/A</v>
      </c>
      <c r="AD214" s="206">
        <f t="shared" si="122"/>
        <v>53</v>
      </c>
      <c r="AE214" s="77" t="str">
        <f t="shared" si="126"/>
        <v>aws s3 cp s3://rtdc.mdm.uploadarchive.raw/RTDC4042/ "%USERPROFILE%\AppData\Local\Temp\OnboardLogs"\RTDC4042\2017-08-12 --exclude "*" --recursive --include "*20170812*" &amp; "%USERPROFILE%\Documents\GitHub\mrs-test-scripts\Headless Mode &amp; Sideloading\WalkAndUnGZ.bat" "%USERPROFILE%\AppData\Local\Temp\OnboardLogs"\RTDC4042\2017-08-12 &amp; 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</v>
      </c>
      <c r="AF214" s="74" t="str">
        <f t="shared" si="127"/>
        <v>"C:\Program Files (x86)\AstroGrep\AstroGrep.exe" /e /r /s /spath="%USERPROFILE%\AppData\Local\Temp\OnboardLogs" /stypes="app*4042*20170812*" /stext=" 10:.+((SYSTEM_STATE.+slice.+state.+changed )|(ment ac)|(multiple cpu faults)|(system.+state.+changed )|(\[timeout)|(PRM\|1\|D)|(kpr)|(kdp)|(train st.+moving)|(\|lc)|(penalty))"</v>
      </c>
      <c r="AG214" s="209" t="str">
        <f t="shared" si="123"/>
        <v>Shuttle/Test</v>
      </c>
      <c r="AH214" s="78" t="str">
        <f t="shared" si="128"/>
        <v>"%USERPROFILE%\Documents\GitHub\eaglep3\Utilities\RefineRTDCRunTimes.py" --tripid 53-12 --locoid 4042 --swversion DE.1.0.9.0 --startMP 204:1471 --initTime 2017-08-12T04:33:01 --startdatetime 2017-08-12T04:38:25 --delay 1 --endMP 204:3332 --enddatetime 2017-08-12T04:40:03 --enforcementcount 0 &gt;&gt;C:\Users\stu\Documents\GitHub\eaglep3-reporting\EC\2017-08-12-refined-times.txt</v>
      </c>
      <c r="AI214" s="96" t="str">
        <f t="shared" si="129"/>
        <v>echo {"issue":{"subject":"","project_id":79,"tracker_id":40,"status_id":1,"priority_id":2,"assigned_to_id":23,"start_date":"2017-08-12","description":"","custom_fields":[{"id":1,"name":"Subdivision","value":"Shuttle/Test"},{"id":4,"name":"Milepost","value":"0.3332"},{"id":17,"name":"Train ID","value":"53-12"},{"id":16,"name":"Locomotive ID","value":"4042"},{"id":130,"name":"Impact","value":""},{"id":150,"name":"Time of Event (Mountain Time)","value":"04:40:03"},{"id":151,"name":"Denver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30"/>
        <v>start /low /b %USERPROFILE%\Documents\GitHub\eaglep3\Utilities\DownloadLogsFromS3.py --loco 4042 --day 2017-08-12</v>
      </c>
      <c r="AN214" s="151" t="str">
        <f t="shared" si="13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10:40:03"},{"id":29,"name":"Sharepoint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744</v>
      </c>
      <c r="B215" s="7">
        <v>4001</v>
      </c>
      <c r="C215" s="21" t="s">
        <v>198</v>
      </c>
      <c r="D215" s="21" t="s">
        <v>1001</v>
      </c>
      <c r="E215" s="13">
        <v>42959.424247685187</v>
      </c>
      <c r="F215" s="13">
        <v>42959.425462962965</v>
      </c>
      <c r="G215" s="7">
        <v>1</v>
      </c>
      <c r="H215" s="21" t="s">
        <v>889</v>
      </c>
      <c r="I215" s="13">
        <v>42959.427141203705</v>
      </c>
      <c r="J215" s="7">
        <v>0</v>
      </c>
      <c r="K215" s="89" t="str">
        <f t="shared" si="116"/>
        <v>4001/4002</v>
      </c>
      <c r="L215" s="21" t="str">
        <f>VLOOKUP(A215,'Trips&amp;Operators'!$C$1:$G$99999,5,FALSE)</f>
        <v>SULLIVAN BRANDON</v>
      </c>
      <c r="M215" s="6">
        <f t="shared" si="117"/>
        <v>1.6782407401478849E-3</v>
      </c>
      <c r="N215" s="7">
        <f t="shared" si="118"/>
        <v>2.4166666658129543</v>
      </c>
      <c r="O215" s="7"/>
      <c r="P215" s="7"/>
      <c r="Q215" s="22"/>
      <c r="R215" s="170"/>
      <c r="S215" s="213">
        <f t="shared" si="119"/>
        <v>0</v>
      </c>
      <c r="T215" s="195" t="str">
        <f t="shared" si="120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125"/>
        <v>https://d0f6bd738d7f1b3e5a7ca70fe4ff75f0.us-east-1.aws.found.io/app/kibana#/discover/Steve-Slow-Train-Analysis-(2080s-and-2083s)?_g=(refreshInterval:(display:Off,pause:!f,section:0,value:0),time:(from:'2017-08-12T09:10:55-0600',mode:absolute,to:'2017-08-12T11:15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5" s="197" t="str">
        <f>IF(AA215&lt;VLOOKUP(AG215,Variables!$AC$3:$AD$8,2,FALSE),"Y","N")</f>
        <v>Y</v>
      </c>
      <c r="X215" s="197">
        <f t="shared" si="124"/>
        <v>2</v>
      </c>
      <c r="Y215" s="197">
        <f t="shared" si="114"/>
        <v>0.49459999999999998</v>
      </c>
      <c r="Z215" s="197">
        <f t="shared" si="115"/>
        <v>1.6899999999999998E-2</v>
      </c>
      <c r="AA215" s="197">
        <f t="shared" si="121"/>
        <v>0.47770000000000001</v>
      </c>
      <c r="AB215" s="54" t="e">
        <f>VLOOKUP(A215,Enforcements!$C$7:$K$12,8,0)</f>
        <v>#N/A</v>
      </c>
      <c r="AC215" s="51" t="e">
        <f>VLOOKUP(A215,Enforcements!$C$7:$E$12,3,0)</f>
        <v>#N/A</v>
      </c>
      <c r="AD215" s="206">
        <f t="shared" si="122"/>
        <v>55</v>
      </c>
      <c r="AE215" s="77" t="str">
        <f t="shared" si="126"/>
        <v>aws s3 cp s3://rtdc.mdm.uploadarchive.raw/RTDC4001/ "%USERPROFILE%\AppData\Local\Temp\OnboardLogs"\RTDC4001\2017-08-12 --exclude "*" --recursive --include "*20170812*" &amp; "%USERPROFILE%\Documents\GitHub\mrs-test-scripts\Headless Mode &amp; Sideloading\WalkAndUnGZ.bat" "%USERPROFILE%\AppData\Local\Temp\OnboardLogs"\RTDC4001\2017-08-12 &amp; aws s3 cp s3://rtdc.mdm.uploadarchive.raw/RTDC4001/ "%USERPROFILE%\AppData\Local\Temp\OnboardLogs"\RTDC4001\2017-08-13 --exclude "*" --recursive --include "*20170813*" &amp; "%USERPROFILE%\Documents\GitHub\mrs-test-scripts\Headless Mode &amp; Sideloading\WalkAndUnGZ.bat" "%USERPROFILE%\AppData\Local\Temp\OnboardLogs"\RTDC4001\2017-08-13</v>
      </c>
      <c r="AF215" s="74" t="str">
        <f t="shared" si="127"/>
        <v>"C:\Program Files (x86)\AstroGrep\AstroGrep.exe" /e /r /s /spath="%USERPROFILE%\AppData\Local\Temp\OnboardLogs" /stypes="app*4001*20170812*" /stext=" 16:.+((SYSTEM_STATE.+slice.+state.+changed )|(ment ac)|(multiple cpu faults)|(system.+state.+changed )|(\[timeout)|(PRM\|1\|D)|(kpr)|(kdp)|(train st.+moving)|(\|lc)|(penalty))"</v>
      </c>
      <c r="AG215" s="209" t="str">
        <f t="shared" si="123"/>
        <v>Shuttle/Test</v>
      </c>
      <c r="AH215" s="78" t="str">
        <f t="shared" si="128"/>
        <v>"%USERPROFILE%\Documents\GitHub\eaglep3\Utilities\RefineRTDCRunTimes.py" --tripid 55-12 --locoid 4001 --swversion DE.1.0.9.0 --startMP 204:4946 --initTime 2017-08-12T10:10:55 --startdatetime 2017-08-12T10:12:40 --delay 1 --endMP 204:169 --enddatetime 2017-08-12T10:15:05 --enforcementcount 0 &gt;&gt;C:\Users\stu\Documents\GitHub\eaglep3-reporting\EC\2017-08-12-refined-times.txt</v>
      </c>
      <c r="AI215" s="96" t="str">
        <f t="shared" si="129"/>
        <v>echo {"issue":{"subject":"","project_id":79,"tracker_id":40,"status_id":1,"priority_id":2,"assigned_to_id":23,"start_date":"2017-08-12","description":"","custom_fields":[{"id":1,"name":"Subdivision","value":"Shuttle/Test"},{"id":4,"name":"Milepost","value":"0.0169"},{"id":17,"name":"Train ID","value":"55-12"},{"id":16,"name":"Locomotive ID","value":"4001"},{"id":130,"name":"Impact","value":""},{"id":150,"name":"Time of Event (Mountain Time)","value":"10:15:05"},{"id":151,"name":"Denver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30"/>
        <v>start /low /b %USERPROFILE%\Documents\GitHub\eaglep3\Utilities\DownloadLogsFromS3.py --loco 4001 --day 2017-08-12</v>
      </c>
      <c r="AN215" s="151" t="str">
        <f t="shared" si="13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16:15:05"},{"id":29,"name":"Sharepoint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744</v>
      </c>
      <c r="B216" s="7">
        <v>4002</v>
      </c>
      <c r="C216" s="21" t="s">
        <v>198</v>
      </c>
      <c r="D216" s="21" t="s">
        <v>1002</v>
      </c>
      <c r="E216" s="13">
        <v>42959.421018518522</v>
      </c>
      <c r="F216" s="13">
        <v>42959.425462962965</v>
      </c>
      <c r="G216" s="7">
        <v>1</v>
      </c>
      <c r="H216" s="21" t="s">
        <v>1003</v>
      </c>
      <c r="I216" s="13">
        <v>42959.427141203705</v>
      </c>
      <c r="J216" s="7">
        <v>0</v>
      </c>
      <c r="K216" s="89" t="str">
        <f t="shared" si="116"/>
        <v>4001/4002</v>
      </c>
      <c r="L216" s="21" t="str">
        <f>VLOOKUP(A216,'Trips&amp;Operators'!$C$1:$G$99999,5,FALSE)</f>
        <v>SULLIVAN BRANDON</v>
      </c>
      <c r="M216" s="6">
        <f t="shared" si="117"/>
        <v>1.6782407401478849E-3</v>
      </c>
      <c r="N216" s="7">
        <f t="shared" si="118"/>
        <v>2.4166666658129543</v>
      </c>
      <c r="O216" s="7"/>
      <c r="P216" s="7"/>
      <c r="Q216" s="22"/>
      <c r="R216" s="170"/>
      <c r="S216" s="213">
        <f t="shared" si="119"/>
        <v>0</v>
      </c>
      <c r="T216" s="195" t="str">
        <f t="shared" si="120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 t="shared" si="125"/>
        <v>https://d0f6bd738d7f1b3e5a7ca70fe4ff75f0.us-east-1.aws.found.io/app/kibana#/discover/Steve-Slow-Train-Analysis-(2080s-and-2083s)?_g=(refreshInterval:(display:Off,pause:!f,section:0,value:0),time:(from:'2017-08-12T09:06:16-0600',mode:absolute,to:'2017-08-12T11:15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6" s="197" t="str">
        <f>IF(AA216&lt;VLOOKUP(AG216,Variables!$AC$3:$AD$8,2,FALSE),"Y","N")</f>
        <v>Y</v>
      </c>
      <c r="X216" s="197">
        <f t="shared" si="124"/>
        <v>0</v>
      </c>
      <c r="Y216" s="197">
        <f t="shared" si="114"/>
        <v>0.14749999999999999</v>
      </c>
      <c r="Z216" s="197">
        <f t="shared" si="115"/>
        <v>0.52590000000000003</v>
      </c>
      <c r="AA216" s="197">
        <f t="shared" si="121"/>
        <v>0.37840000000000007</v>
      </c>
      <c r="AB216" s="54" t="e">
        <f>VLOOKUP(A216,Enforcements!$C$7:$K$12,8,0)</f>
        <v>#N/A</v>
      </c>
      <c r="AC216" s="51" t="e">
        <f>VLOOKUP(A216,Enforcements!$C$7:$E$12,3,0)</f>
        <v>#N/A</v>
      </c>
      <c r="AD216" s="206">
        <f t="shared" si="122"/>
        <v>55</v>
      </c>
      <c r="AE216" s="77" t="str">
        <f t="shared" si="126"/>
        <v>aws s3 cp s3://rtdc.mdm.uploadarchive.raw/RTDC4002/ "%USERPROFILE%\AppData\Local\Temp\OnboardLogs"\RTDC4002\2017-08-12 --exclude "*" --recursive --include "*20170812*" &amp; "%USERPROFILE%\Documents\GitHub\mrs-test-scripts\Headless Mode &amp; Sideloading\WalkAndUnGZ.bat" "%USERPROFILE%\AppData\Local\Temp\OnboardLogs"\RTDC4002\2017-08-12 &amp; aws s3 cp s3://rtdc.mdm.uploadarchive.raw/RTDC4002/ "%USERPROFILE%\AppData\Local\Temp\OnboardLogs"\RTDC4002\2017-08-13 --exclude "*" --recursive --include "*20170813*" &amp; "%USERPROFILE%\Documents\GitHub\mrs-test-scripts\Headless Mode &amp; Sideloading\WalkAndUnGZ.bat" "%USERPROFILE%\AppData\Local\Temp\OnboardLogs"\RTDC4002\2017-08-13</v>
      </c>
      <c r="AF216" s="74" t="str">
        <f t="shared" si="127"/>
        <v>"C:\Program Files (x86)\AstroGrep\AstroGrep.exe" /e /r /s /spath="%USERPROFILE%\AppData\Local\Temp\OnboardLogs" /stypes="app*4002*20170812*" /stext=" 16:.+((SYSTEM_STATE.+slice.+state.+changed )|(ment ac)|(multiple cpu faults)|(system.+state.+changed )|(\[timeout)|(PRM\|1\|D)|(kpr)|(kdp)|(train st.+moving)|(\|lc)|(penalty))"</v>
      </c>
      <c r="AG216" s="209" t="str">
        <f t="shared" si="123"/>
        <v>Shuttle/Test</v>
      </c>
      <c r="AH216" s="78" t="str">
        <f t="shared" si="128"/>
        <v>"%USERPROFILE%\Documents\GitHub\eaglep3\Utilities\RefineRTDCRunTimes.py" --tripid 55-12 --locoid 4002 --swversion DE.1.0.9.0 --startMP 204:1475 --initTime 2017-08-12T10:06:16 --startdatetime 2017-08-12T10:12:40 --delay 1 --endMP 204:5259 --enddatetime 2017-08-12T10:15:05 --enforcementcount 0 &gt;&gt;C:\Users\stu\Documents\GitHub\eaglep3-reporting\EC\2017-08-12-refined-times.txt</v>
      </c>
      <c r="AI216" s="96" t="str">
        <f t="shared" si="129"/>
        <v>echo {"issue":{"subject":"","project_id":79,"tracker_id":40,"status_id":1,"priority_id":2,"assigned_to_id":23,"start_date":"2017-08-12","description":"","custom_fields":[{"id":1,"name":"Subdivision","value":"Shuttle/Test"},{"id":4,"name":"Milepost","value":"0.5259"},{"id":17,"name":"Train ID","value":"55-12"},{"id":16,"name":"Locomotive ID","value":"4002"},{"id":130,"name":"Impact","value":""},{"id":150,"name":"Time of Event (Mountain Time)","value":"10:15:05"},{"id":151,"name":"Denver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30"/>
        <v>start /low /b %USERPROFILE%\Documents\GitHub\eaglep3\Utilities\DownloadLogsFromS3.py --loco 4002 --day 2017-08-12</v>
      </c>
      <c r="AN216" s="151" t="str">
        <f t="shared" si="13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16:15:05"},{"id":29,"name":"Sharepoint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807</v>
      </c>
      <c r="B217" s="7">
        <v>4018</v>
      </c>
      <c r="C217" s="21" t="s">
        <v>198</v>
      </c>
      <c r="D217" s="21" t="s">
        <v>1004</v>
      </c>
      <c r="E217" s="13">
        <v>42959.697974537034</v>
      </c>
      <c r="F217" s="13">
        <v>25568.708333333332</v>
      </c>
      <c r="G217" s="7">
        <v>2</v>
      </c>
      <c r="H217" s="21" t="s">
        <v>1005</v>
      </c>
      <c r="I217" s="13">
        <v>25568.708333333332</v>
      </c>
      <c r="J217" s="7">
        <v>0</v>
      </c>
      <c r="K217" s="89" t="str">
        <f t="shared" si="116"/>
        <v>4017/4018</v>
      </c>
      <c r="L217" s="21" t="str">
        <f>VLOOKUP(A217,'Trips&amp;Operators'!$C$1:$G$99999,5,FALSE)</f>
        <v>NELSON ARIANE</v>
      </c>
      <c r="M217" s="6">
        <f t="shared" si="117"/>
        <v>0</v>
      </c>
      <c r="N217" s="7">
        <f t="shared" si="118"/>
        <v>0</v>
      </c>
      <c r="O217" s="7"/>
      <c r="P217" s="7"/>
      <c r="Q217" s="22"/>
      <c r="R217" s="170"/>
      <c r="S217" s="213">
        <f t="shared" si="119"/>
        <v>0</v>
      </c>
      <c r="T217" s="195" t="str">
        <f t="shared" si="120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125"/>
        <v>https://d0f6bd738d7f1b3e5a7ca70fe4ff75f0.us-east-1.aws.found.io/app/kibana#/discover/Steve-Slow-Train-Analysis-(2080s-and-2083s)?_g=(refreshInterval:(display:Off,pause:!f,section:0,value:0),time:(from:'2017-08-12T15:45:05-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7" s="197" t="str">
        <f>IF(AA217&lt;VLOOKUP(AG217,Variables!$AC$3:$AD$8,2,FALSE),"Y","N")</f>
        <v>Y</v>
      </c>
      <c r="X217" s="197">
        <f t="shared" si="124"/>
        <v>20</v>
      </c>
      <c r="Y217" s="197">
        <f t="shared" si="114"/>
        <v>0.1479</v>
      </c>
      <c r="Z217" s="197">
        <f t="shared" si="115"/>
        <v>0.16619999999999999</v>
      </c>
      <c r="AA217" s="197">
        <f t="shared" si="121"/>
        <v>1.8299999999999983E-2</v>
      </c>
      <c r="AB217" s="54" t="e">
        <f>VLOOKUP(A217,Enforcements!$C$7:$K$12,8,0)</f>
        <v>#N/A</v>
      </c>
      <c r="AC217" s="51" t="e">
        <f>VLOOKUP(A217,Enforcements!$C$7:$E$12,3,0)</f>
        <v>#N/A</v>
      </c>
      <c r="AD217" s="206">
        <f t="shared" si="122"/>
        <v>75</v>
      </c>
      <c r="AE217" s="77" t="str">
        <f t="shared" si="126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7" s="74" t="str">
        <f t="shared" si="127"/>
        <v>"C:\Program Files (x86)\AstroGrep\AstroGrep.exe" /e /r /s /spath="%USERPROFILE%\AppData\Local\Temp\OnboardLogs" /stypes="app*4018*19691231*" /stext=" 23:.+((SYSTEM_STATE.+slice.+state.+changed )|(ment ac)|(multiple cpu faults)|(system.+state.+changed )|(\[timeout)|(PRM\|1\|D)|(kpr)|(kdp)|(train st.+moving)|(\|lc)|(penalty))"</v>
      </c>
      <c r="AG217" s="209" t="str">
        <f t="shared" si="123"/>
        <v>Shuttle/Test</v>
      </c>
      <c r="AH217" s="78" t="str">
        <f t="shared" si="128"/>
        <v>"%USERPROFILE%\Documents\GitHub\eaglep3\Utilities\RefineRTDCRunTimes.py" --tripid 75-12 --locoid 4018 --swversion DE.1.0.9.0 --startMP 204:1479 --initTime 2017-08-12T16:45:05 --startdatetime 1969-12-31T17:00:00 --delay 2 --endMP 204:1662 --enddatetime 1969-12-31T17:00:00 --enforcementcount 0 &gt;&gt;C:\Users\stu\Documents\GitHub\eaglep3-reporting\EC\2017-08-12-refined-times.txt</v>
      </c>
      <c r="AI217" s="96" t="str">
        <f t="shared" si="129"/>
        <v>echo {"issue":{"subject":"","project_id":79,"tracker_id":40,"status_id":1,"priority_id":2,"assigned_to_id":23,"start_date":"1969-12-31","description":"","custom_fields":[{"id":1,"name":"Subdivision","value":"Shuttle/Test"},{"id":4,"name":"Milepost","value":"0.1662"},{"id":17,"name":"Train ID","value":"75-12"},{"id":16,"name":"Locomotive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30"/>
        <v>start /low /b %USERPROFILE%\Documents\GitHub\eaglep3\Utilities\DownloadLogsFromS3.py --loco 4018 --day 1969-12-31</v>
      </c>
      <c r="AN217" s="151" t="str">
        <f t="shared" si="131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819</v>
      </c>
      <c r="B218" s="7">
        <v>4029</v>
      </c>
      <c r="C218" s="21" t="s">
        <v>198</v>
      </c>
      <c r="D218" s="21" t="s">
        <v>1006</v>
      </c>
      <c r="E218" s="13">
        <v>42959.743773148148</v>
      </c>
      <c r="F218" s="13">
        <v>42959.746608796297</v>
      </c>
      <c r="G218" s="7">
        <v>3</v>
      </c>
      <c r="H218" s="21" t="s">
        <v>1007</v>
      </c>
      <c r="I218" s="13">
        <v>42959.756192129629</v>
      </c>
      <c r="J218" s="7">
        <v>0</v>
      </c>
      <c r="K218" s="89" t="str">
        <f t="shared" si="116"/>
        <v>4029/4030</v>
      </c>
      <c r="L218" s="21" t="str">
        <f>VLOOKUP(A218,'Trips&amp;Operators'!$C$1:$G$99999,5,FALSE)</f>
        <v>HUFFSMITH MONTY</v>
      </c>
      <c r="M218" s="6">
        <f t="shared" si="117"/>
        <v>9.5833333325572312E-3</v>
      </c>
      <c r="N218" s="7">
        <f t="shared" si="118"/>
        <v>13.799999998882413</v>
      </c>
      <c r="O218" s="7"/>
      <c r="P218" s="7"/>
      <c r="Q218" s="22"/>
      <c r="R218" s="170"/>
      <c r="S218" s="213">
        <f t="shared" si="119"/>
        <v>1</v>
      </c>
      <c r="T218" s="195" t="str">
        <f t="shared" si="120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125"/>
        <v>https://d0f6bd738d7f1b3e5a7ca70fe4ff75f0.us-east-1.aws.found.io/app/kibana#/discover/Steve-Slow-Train-Analysis-(2080s-and-2083s)?_g=(refreshInterval:(display:Off,pause:!f,section:0,value:0),time:(from:'2017-08-12T16:51:02-0600',mode:absolute,to:'2017-08-12T19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8" s="197" t="str">
        <f>IF(AA218&lt;VLOOKUP(AG218,Variables!$AC$3:$AD$8,2,FALSE),"Y","N")</f>
        <v>Y</v>
      </c>
      <c r="X218" s="197">
        <f t="shared" si="124"/>
        <v>1</v>
      </c>
      <c r="Y218" s="197">
        <f t="shared" si="114"/>
        <v>2.2944</v>
      </c>
      <c r="Z218" s="197">
        <f t="shared" si="115"/>
        <v>0.18909999999999999</v>
      </c>
      <c r="AA218" s="197">
        <f t="shared" si="121"/>
        <v>2.1053000000000002</v>
      </c>
      <c r="AB218" s="54" t="e">
        <f>VLOOKUP(A218,Enforcements!$C$7:$K$12,8,0)</f>
        <v>#N/A</v>
      </c>
      <c r="AC218" s="51" t="e">
        <f>VLOOKUP(A218,Enforcements!$C$7:$E$12,3,0)</f>
        <v>#N/A</v>
      </c>
      <c r="AD218" s="206">
        <f t="shared" si="122"/>
        <v>76</v>
      </c>
      <c r="AE218" s="77" t="str">
        <f t="shared" si="126"/>
        <v>aws s3 cp s3://rtdc.mdm.uploadarchive.raw/RTDC4029/ "%USERPROFILE%\AppData\Local\Temp\OnboardLogs"\RTDC4029\2017-08-12 --exclude "*" --recursive --include "*20170812*" &amp; "%USERPROFILE%\Documents\GitHub\mrs-test-scripts\Headless Mode &amp; Sideloading\WalkAndUnGZ.bat" "%USERPROFILE%\AppData\Local\Temp\OnboardLogs"\RTDC4029\2017-08-12 &amp; aws s3 cp s3://rtdc.mdm.uploadarchive.raw/RTDC4029/ "%USERPROFILE%\AppData\Local\Temp\OnboardLogs"\RTDC4029\2017-08-13 --exclude "*" --recursive --include "*20170813*" &amp; "%USERPROFILE%\Documents\GitHub\mrs-test-scripts\Headless Mode &amp; Sideloading\WalkAndUnGZ.bat" "%USERPROFILE%\AppData\Local\Temp\OnboardLogs"\RTDC4029\2017-08-13</v>
      </c>
      <c r="AF218" s="74" t="str">
        <f t="shared" si="127"/>
        <v>"C:\Program Files (x86)\AstroGrep\AstroGrep.exe" /e /r /s /spath="%USERPROFILE%\AppData\Local\Temp\OnboardLogs" /stypes="app*4029*20170813*" /stext=" 00:.+((SYSTEM_STATE.+slice.+state.+changed )|(ment ac)|(multiple cpu faults)|(system.+state.+changed )|(\[timeout)|(PRM\|1\|D)|(kpr)|(kdp)|(train st.+moving)|(\|lc)|(penalty))"</v>
      </c>
      <c r="AG218" s="209" t="str">
        <f t="shared" si="123"/>
        <v>Shuttle/Test</v>
      </c>
      <c r="AH218" s="78" t="str">
        <f t="shared" si="128"/>
        <v>"%USERPROFILE%\Documents\GitHub\eaglep3\Utilities\RefineRTDCRunTimes.py" --tripid 76-12 --locoid 4029 --swversion DE.1.0.9.0 --startMP 300:22944 --initTime 2017-08-12T17:51:02 --startdatetime 2017-08-12T17:55:07 --delay 3 --endMP 204:1891 --enddatetime 2017-08-12T18:08:55 --enforcementcount 0 &gt;&gt;C:\Users\stu\Documents\GitHub\eaglep3-reporting\EC\2017-08-12-refined-times.txt</v>
      </c>
      <c r="AI218" s="96" t="str">
        <f t="shared" si="129"/>
        <v>echo {"issue":{"subject":"","project_id":79,"tracker_id":40,"status_id":1,"priority_id":2,"assigned_to_id":23,"start_date":"2017-08-12","description":"","custom_fields":[{"id":1,"name":"Subdivision","value":"Shuttle/Test"},{"id":4,"name":"Milepost","value":"0.1891"},{"id":17,"name":"Train ID","value":"76-12"},{"id":16,"name":"Locomotive ID","value":"4029"},{"id":130,"name":"Impact","value":""},{"id":150,"name":"Time of Event (Mountain Time)","value":"18:08:55"},{"id":151,"name":"Denver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30"/>
        <v>start /low /b %USERPROFILE%\Documents\GitHub\eaglep3\Utilities\DownloadLogsFromS3.py --loco 4029 --day 2017-08-12</v>
      </c>
      <c r="AN218" s="151" t="str">
        <f t="shared" si="131"/>
        <v>echo {"issue":{"subject":"","project_id":30,"tracker_id":4,"status_id":1,"priority_id":1,"assigned_to_id":10,"start_date":"2017-08-13","description":"","custom_fields":[{"id":30,"name":"Category","value":"Issue"},{"id":3,"name":"Functional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UTC","value":"2017-08-13 00:08:55"},{"id":29,"name":"Sharepoint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816</v>
      </c>
      <c r="B219" s="7">
        <v>4004</v>
      </c>
      <c r="C219" s="21" t="s">
        <v>198</v>
      </c>
      <c r="D219" s="21" t="s">
        <v>1008</v>
      </c>
      <c r="E219" s="13">
        <v>42959.733703703707</v>
      </c>
      <c r="F219" s="13">
        <v>42959.735289351855</v>
      </c>
      <c r="G219" s="7">
        <v>1</v>
      </c>
      <c r="H219" s="21" t="s">
        <v>985</v>
      </c>
      <c r="I219" s="13">
        <v>42959.742881944447</v>
      </c>
      <c r="J219" s="7">
        <v>0</v>
      </c>
      <c r="K219" s="89" t="str">
        <f t="shared" si="116"/>
        <v>4003/4004</v>
      </c>
      <c r="L219" s="21" t="str">
        <f>VLOOKUP(A219,'Trips&amp;Operators'!$C$1:$G$99999,5,FALSE)</f>
        <v>SAFIEF AEIMEN</v>
      </c>
      <c r="M219" s="6">
        <f t="shared" si="117"/>
        <v>7.5925925921183079E-3</v>
      </c>
      <c r="N219" s="7">
        <f t="shared" si="118"/>
        <v>10.933333332650363</v>
      </c>
      <c r="O219" s="7"/>
      <c r="P219" s="7"/>
      <c r="Q219" s="22"/>
      <c r="R219" s="170"/>
      <c r="S219" s="213">
        <f t="shared" si="119"/>
        <v>1</v>
      </c>
      <c r="T219" s="195" t="str">
        <f t="shared" si="120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125"/>
        <v>https://d0f6bd738d7f1b3e5a7ca70fe4ff75f0.us-east-1.aws.found.io/app/kibana#/discover/Steve-Slow-Train-Analysis-(2080s-and-2083s)?_g=(refreshInterval:(display:Off,pause:!f,section:0,value:0),time:(from:'2017-08-12T16:36:32-0600',mode:absolute,to:'2017-08-12T18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9" s="197" t="str">
        <f>IF(AA219&lt;VLOOKUP(AG219,Variables!$AC$3:$AD$8,2,FALSE),"Y","N")</f>
        <v>Y</v>
      </c>
      <c r="X219" s="197">
        <f t="shared" si="124"/>
        <v>1</v>
      </c>
      <c r="Y219" s="197">
        <f t="shared" si="114"/>
        <v>0.1158</v>
      </c>
      <c r="Z219" s="197">
        <f t="shared" si="115"/>
        <v>2.3294999999999999</v>
      </c>
      <c r="AA219" s="197">
        <f t="shared" si="121"/>
        <v>2.2136999999999998</v>
      </c>
      <c r="AB219" s="54" t="e">
        <f>VLOOKUP(A219,Enforcements!$C$7:$K$12,8,0)</f>
        <v>#N/A</v>
      </c>
      <c r="AC219" s="51" t="e">
        <f>VLOOKUP(A219,Enforcements!$C$7:$E$12,3,0)</f>
        <v>#N/A</v>
      </c>
      <c r="AD219" s="206">
        <f t="shared" si="122"/>
        <v>77</v>
      </c>
      <c r="AE219" s="77" t="str">
        <f t="shared" si="126"/>
        <v>aws s3 cp s3://rtdc.mdm.uploadarchive.raw/RTDC4004/ "%USERPROFILE%\AppData\Local\Temp\OnboardLogs"\RTDC4004\2017-08-12 --exclude "*" --recursive --include "*20170812*" &amp; "%USERPROFILE%\Documents\GitHub\mrs-test-scripts\Headless Mode &amp; Sideloading\WalkAndUnGZ.bat" "%USERPROFILE%\AppData\Local\Temp\OnboardLogs"\RTDC4004\2017-08-12 &amp; aws s3 cp s3://rtdc.mdm.uploadarchive.raw/RTDC4004/ "%USERPROFILE%\AppData\Local\Temp\OnboardLogs"\RTDC4004\2017-08-13 --exclude "*" --recursive --include "*20170813*" &amp; "%USERPROFILE%\Documents\GitHub\mrs-test-scripts\Headless Mode &amp; Sideloading\WalkAndUnGZ.bat" "%USERPROFILE%\AppData\Local\Temp\OnboardLogs"\RTDC4004\2017-08-13</v>
      </c>
      <c r="AF219" s="74" t="str">
        <f t="shared" si="127"/>
        <v>"C:\Program Files (x86)\AstroGrep\AstroGrep.exe" /e /r /s /spath="%USERPROFILE%\AppData\Local\Temp\OnboardLogs" /stypes="app*4004*20170812*" /stext=" 23:.+((SYSTEM_STATE.+slice.+state.+changed )|(ment ac)|(multiple cpu faults)|(system.+state.+changed )|(\[timeout)|(PRM\|1\|D)|(kpr)|(kdp)|(train st.+moving)|(\|lc)|(penalty))"</v>
      </c>
      <c r="AG219" s="209" t="str">
        <f t="shared" si="123"/>
        <v>Shuttle/Test</v>
      </c>
      <c r="AH219" s="78" t="str">
        <f t="shared" si="128"/>
        <v>"%USERPROFILE%\Documents\GitHub\eaglep3\Utilities\RefineRTDCRunTimes.py" --tripid 77-12 --locoid 4004 --swversion DE.1.0.9.0 --startMP 204:1158 --initTime 2017-08-12T17:36:32 --startdatetime 2017-08-12T17:38:49 --delay 1 --endMP 300:23295 --enddatetime 2017-08-12T17:49:45 --enforcementcount 0 &gt;&gt;C:\Users\stu\Documents\GitHub\eaglep3-reporting\EC\2017-08-12-refined-times.txt</v>
      </c>
      <c r="AI219" s="96" t="str">
        <f t="shared" si="129"/>
        <v>echo {"issue":{"subject":"","project_id":79,"tracker_id":40,"status_id":1,"priority_id":2,"assigned_to_id":23,"start_date":"2017-08-12","description":"","custom_fields":[{"id":1,"name":"Subdivision","value":"Shuttle/Test"},{"id":4,"name":"Milepost","value":"2.3295"},{"id":17,"name":"Train ID","value":"77-12"},{"id":16,"name":"Locomotive ID","value":"4004"},{"id":130,"name":"Impact","value":""},{"id":150,"name":"Time of Event (Mountain Time)","value":"17:49:45"},{"id":151,"name":"Denver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30"/>
        <v>start /low /b %USERPROFILE%\Documents\GitHub\eaglep3\Utilities\DownloadLogsFromS3.py --loco 4004 --day 2017-08-12</v>
      </c>
      <c r="AN219" s="151" t="str">
        <f t="shared" si="131"/>
        <v>echo {"issue":{"subject":"","project_id":30,"tracker_id":4,"status_id":1,"priority_id":1,"assigned_to_id":10,"start_date":"2017-08-12","description":"","custom_fields":[{"id":30,"name":"Category","value":"Issue"},{"id":3,"name":"Functional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UTC","value":"2017-08-12 23:49:45"},{"id":29,"name":"Sharepoint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s="2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</sheetData>
  <autoFilter ref="A12:AG256">
    <sortState ref="A13:AG256">
      <sortCondition ref="AG13:AG219"/>
      <sortCondition ref="AD13:AD219"/>
    </sortState>
  </autoFilter>
  <sortState ref="A13:AN212">
    <sortCondition ref="AG13:AG212"/>
    <sortCondition ref="AD13:AD212"/>
  </sortState>
  <mergeCells count="1">
    <mergeCell ref="A11:P11"/>
  </mergeCells>
  <conditionalFormatting sqref="W11:W12 W262:X1048576 W13:X219">
    <cfRule type="cellIs" dxfId="10" priority="415" operator="equal">
      <formula>"Y"</formula>
    </cfRule>
  </conditionalFormatting>
  <conditionalFormatting sqref="X262:X1048576 X13:X219">
    <cfRule type="cellIs" dxfId="9" priority="398" operator="greaterThan">
      <formula>1</formula>
    </cfRule>
  </conditionalFormatting>
  <conditionalFormatting sqref="X262:X1048576 X12:X219">
    <cfRule type="cellIs" dxfId="8" priority="395" operator="equal">
      <formula>0</formula>
    </cfRule>
  </conditionalFormatting>
  <conditionalFormatting sqref="A13:S219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4"/>
  <sheetViews>
    <sheetView topLeftCell="A2" workbookViewId="0">
      <selection activeCell="P14" sqref="P14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COUNTIF($O$7:$O$261,"=Y")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COUNTA($O$7:$O$261)-O2</f>
        <v>30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- 2017-08-12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402</v>
      </c>
      <c r="X6" s="208" t="s">
        <v>395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42959.682534722226</v>
      </c>
      <c r="B7" s="30" t="s">
        <v>481</v>
      </c>
      <c r="C7" s="30" t="s">
        <v>650</v>
      </c>
      <c r="D7" s="30" t="s">
        <v>96</v>
      </c>
      <c r="E7" s="30" t="s">
        <v>187</v>
      </c>
      <c r="F7" s="42">
        <v>230</v>
      </c>
      <c r="G7" s="42">
        <v>283</v>
      </c>
      <c r="H7" s="42">
        <v>30957</v>
      </c>
      <c r="I7" s="42">
        <v>31858</v>
      </c>
      <c r="J7" s="30" t="s">
        <v>188</v>
      </c>
      <c r="K7" s="42">
        <v>30830</v>
      </c>
      <c r="L7" s="131" t="s">
        <v>50</v>
      </c>
      <c r="M7" s="132">
        <f t="shared" ref="M7:M37" si="0">CONVERT((I7-K7)/10000,"mi","ft")*IF(L7="Increasing Mileposts (1)",-1,1)</f>
        <v>-542.78399999999999</v>
      </c>
      <c r="N7" s="133" t="str">
        <f>VLOOKUP(C7,'Trips&amp;Operators'!$C$1:$G$99999,5,FALSE)</f>
        <v>HOLCOMB KAMDEN</v>
      </c>
      <c r="O7" s="203" t="s">
        <v>180</v>
      </c>
      <c r="P7" s="134" t="s">
        <v>585</v>
      </c>
      <c r="Q7" s="30"/>
      <c r="R7" s="81" t="str">
        <f>VLOOKUP(C7,'Train Runs'!$A$13:$AE$9915,31,0)</f>
        <v>aws s3 cp s3://rtdc.mdm.uploadarchive.raw/RTDC4064/ "%USERPROFILE%\AppData\Local\Temp\OnboardLogs"\RTDC4064\2017-08-12 --exclude "*" --recursive --include "*20170812*" &amp; "%USERPROFILE%\Documents\GitHub\mrs-test-scripts\Headless Mode &amp; Sideloading\WalkAndUnGZ.bat" "%USERPROFILE%\AppData\Local\Temp\OnboardLogs"\RTDC4064\2017-08-12 &amp; aws s3 cp s3://rtdc.mdm.uploadarchive.raw/RTDC4064/ "%USERPROFILE%\AppData\Local\Temp\OnboardLogs"\RTDC4064\2017-08-13 --exclude "*" --recursive --include "*20170813*" &amp; "%USERPROFILE%\Documents\GitHub\mrs-test-scripts\Headless Mode &amp; Sideloading\WalkAndUnGZ.bat" "%USERPROFILE%\AppData\Local\Temp\OnboardLogs"\RTDC4064\2017-08-13</v>
      </c>
      <c r="S7" s="84" t="str">
        <f>VLOOKUP(C7,'Train Runs'!$A$13:$AE$9915,22,0)</f>
        <v>https://d0f6bd738d7f1b3e5a7ca70fe4ff75f0.us-east-1.aws.found.io/app/kibana#/discover/Steve-Slow-Train-Analysis-(2080s-and-2083s)?_g=(refreshInterval:(display:Off,pause:!f,section:0,value:0),time:(from:'2017-08-12T15:12:09-0600',mode:absolute,to:'2017-08-12T17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7" s="86" t="str">
        <f t="shared" ref="T7:T3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/stypes="*4064*201708122*" /stext=" 22:.+((SYSTEM_STATE.+slice.+state.+changed )|(ment ac)|(multiple cpu faults)|(system.+state.+changed )|(\[timeout)|(PRM\|1\|D)|(kpr)|(kdp)|(train st.+moving)|(\|lc)|(penalty))"</v>
      </c>
      <c r="U7" s="9" t="str">
        <f t="shared" ref="U7:U37" si="2">MID(B7,13,4)</f>
        <v>4064</v>
      </c>
      <c r="V7" s="31">
        <f t="shared" ref="V7:V37" si="3">A7-utc_offset/24</f>
        <v>42959.932534722226</v>
      </c>
      <c r="W7" s="45" t="str">
        <f t="shared" ref="W7:W37" si="4">DetSubdiv(C7)</f>
        <v>EC</v>
      </c>
      <c r="X7" s="22">
        <f t="shared" ref="X7:X37" si="5">VALUE(LEFT(C7,LEN(C7)-3))</f>
        <v>201</v>
      </c>
      <c r="Y7" s="96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Arrival","project_id":79,"tracker_id":40,"status_id":1,"priority_id":2,"assigned_to_id":23,"start_date":"2017-08-12","description":"","custom_fields":[{"id":1,"name":"Subdivision","value":"EC"},{"id":4,"name":"Milepost","value":"3.083"},{"id":17,"name":"Train ID","value":"201-12"},{"id":16,"name":"Locomotive ID","value":"4064"},{"id":130,"name":"Impact","value":""},{"id":150,"name":"Time of Event (Mountain Time)","value":"16:22:51"},{"id":151,"name":"Denver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7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/c/Users/stu/AppData/Local/Temp/OnboardLogs/RTDC4064 --include="*4064*201708122*"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"%USERPROFILE%\AppData\Local\Temp\OnboardLogs"\RTDC4064\*4064*201708122* &gt;&gt; 2017-08-12-SliceDisagreementCheck.txt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4064 --day 2017-08-12</v>
      </c>
    </row>
    <row r="8" spans="1:32" s="1" customFormat="1" x14ac:dyDescent="0.25">
      <c r="A8" s="31">
        <v>42959.437314814815</v>
      </c>
      <c r="B8" s="30" t="s">
        <v>386</v>
      </c>
      <c r="C8" s="30" t="s">
        <v>639</v>
      </c>
      <c r="D8" s="30" t="s">
        <v>96</v>
      </c>
      <c r="E8" s="30" t="s">
        <v>187</v>
      </c>
      <c r="F8" s="42">
        <v>350</v>
      </c>
      <c r="G8" s="42">
        <v>406</v>
      </c>
      <c r="H8" s="42">
        <v>33216</v>
      </c>
      <c r="I8" s="42">
        <v>34445</v>
      </c>
      <c r="J8" s="30" t="s">
        <v>188</v>
      </c>
      <c r="K8" s="42">
        <v>33137</v>
      </c>
      <c r="L8" s="131" t="s">
        <v>50</v>
      </c>
      <c r="M8" s="132">
        <f t="shared" si="0"/>
        <v>-690.62400000000002</v>
      </c>
      <c r="N8" s="133" t="str">
        <f>VLOOKUP(C8,'Trips&amp;Operators'!$C$1:$G$99999,5,FALSE)</f>
        <v>SULLIVAN BRANDON</v>
      </c>
      <c r="O8" s="203" t="s">
        <v>180</v>
      </c>
      <c r="P8" s="134" t="s">
        <v>585</v>
      </c>
      <c r="Q8" s="30"/>
      <c r="R8" s="81" t="str">
        <f>VLOOKUP(C8,'Train Runs'!$A$13:$AE$9915,31,0)</f>
        <v>aws s3 cp s3://rtdc.mdm.uploadarchive.raw/RTDC4002/ "%USERPROFILE%\AppData\Local\Temp\OnboardLogs"\RTDC4002\2017-08-12 --exclude "*" --recursive --include "*20170812*" &amp; "%USERPROFILE%\Documents\GitHub\mrs-test-scripts\Headless Mode &amp; Sideloading\WalkAndUnGZ.bat" "%USERPROFILE%\AppData\Local\Temp\OnboardLogs"\RTDC4002\2017-08-12 &amp; aws s3 cp s3://rtdc.mdm.uploadarchive.raw/RTDC4002/ "%USERPROFILE%\AppData\Local\Temp\OnboardLogs"\RTDC4002\2017-08-13 --exclude "*" --recursive --include "*20170813*" &amp; "%USERPROFILE%\Documents\GitHub\mrs-test-scripts\Headless Mode &amp; Sideloading\WalkAndUnGZ.bat" "%USERPROFILE%\AppData\Local\Temp\OnboardLogs"\RTDC4002\2017-08-13</v>
      </c>
      <c r="S8" s="84" t="str">
        <f>VLOOKUP(C8,'Train Runs'!$A$13:$AE$9915,22,0)</f>
        <v>https://d0f6bd738d7f1b3e5a7ca70fe4ff75f0.us-east-1.aws.found.io/app/kibana#/discover/Steve-Slow-Train-Analysis-(2080s-and-2083s)?_g=(refreshInterval:(display:Off,pause:!f,section:0,value:0),time:(from:'2017-08-12T09:16:02-0600',mode:absolute,to:'2017-08-12T12:01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8" s="86" t="str">
        <f t="shared" si="1"/>
        <v>"C:\Program Files (x86)\AstroGrep\AstroGrep.exe" /e /r /s /spath="%USERPROFILE%\AppData\Local\Temp\OnboardLogs" /stypes="*4002*201708121*" /stext=" 16:.+((SYSTEM_STATE.+slice.+state.+changed )|(ment ac)|(multiple cpu faults)|(system.+state.+changed )|(\[timeout)|(PRM\|1\|D)|(kpr)|(kdp)|(train st.+moving)|(\|lc)|(penalty))"</v>
      </c>
      <c r="U8" s="9" t="str">
        <f t="shared" si="2"/>
        <v>4002</v>
      </c>
      <c r="V8" s="31">
        <f t="shared" si="3"/>
        <v>42959.687314814815</v>
      </c>
      <c r="W8" s="45" t="str">
        <f t="shared" si="4"/>
        <v>EC</v>
      </c>
      <c r="X8" s="22">
        <f t="shared" si="5"/>
        <v>153</v>
      </c>
      <c r="Y8" s="96" t="str">
        <f t="shared" si="6"/>
        <v>echo {"issue":{"subject":"Early Arrival","project_id":79,"tracker_id":40,"status_id":1,"priority_id":2,"assigned_to_id":23,"start_date":"2017-08-12","description":"","custom_fields":[{"id":1,"name":"Subdivision","value":"EC"},{"id":4,"name":"Milepost","value":"3.3137"},{"id":17,"name":"Train ID","value":"153-12"},{"id":16,"name":"Locomotive ID","value":"4002"},{"id":130,"name":"Impact","value":""},{"id":150,"name":"Time of Event (Mountain Time)","value":"10:29:44"},{"id":151,"name":"Denver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/c/Users/stu/AppData/Local/Temp/OnboardLogs/RTDC4002 --include="*4002*201708121*"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"%USERPROFILE%\AppData\Local\Temp\OnboardLogs"\RTDC4002\*4002*201708121* &gt;&gt; 2017-08-12-SliceDisagreementCheck.txt</v>
      </c>
      <c r="AE8" s="145" t="str">
        <f t="shared" ref="AE8:AE37" si="9">"start /low /b "&amp;dls3logs&amp;" --loco "&amp;U8&amp;" --day "&amp;TEXT(V8,"YYYY-MM-DD")</f>
        <v>start /low /b %USERPROFILE%\Documents\GitHub\eaglep3\Utilities\DownloadLogsFromS3.py --loco 4002 --day 2017-08-12</v>
      </c>
    </row>
    <row r="9" spans="1:32" s="1" customFormat="1" x14ac:dyDescent="0.25">
      <c r="A9" s="31">
        <v>42959.41915509259</v>
      </c>
      <c r="B9" s="30" t="s">
        <v>405</v>
      </c>
      <c r="C9" s="30" t="s">
        <v>638</v>
      </c>
      <c r="D9" s="30" t="s">
        <v>49</v>
      </c>
      <c r="E9" s="30" t="s">
        <v>187</v>
      </c>
      <c r="F9" s="42">
        <v>0</v>
      </c>
      <c r="G9" s="42">
        <v>556</v>
      </c>
      <c r="H9" s="42">
        <v>48093</v>
      </c>
      <c r="I9" s="42">
        <v>45837</v>
      </c>
      <c r="J9" s="30" t="s">
        <v>188</v>
      </c>
      <c r="K9" s="42">
        <v>48048</v>
      </c>
      <c r="L9" s="131" t="s">
        <v>51</v>
      </c>
      <c r="M9" s="132">
        <f t="shared" si="0"/>
        <v>-1167.4079999999999</v>
      </c>
      <c r="N9" s="133" t="str">
        <f>VLOOKUP(C9,'Trips&amp;Operators'!$C$1:$G$99999,5,FALSE)</f>
        <v>MAELZER KURT</v>
      </c>
      <c r="O9" s="203" t="s">
        <v>180</v>
      </c>
      <c r="P9" s="134" t="s">
        <v>585</v>
      </c>
      <c r="Q9" s="30"/>
      <c r="R9" s="81" t="str">
        <f>VLOOKUP(C9,'Train Runs'!$A$13:$AE$9915,31,0)</f>
        <v>aws s3 cp s3://rtdc.mdm.uploadarchive.raw/RTDC4017/ "%USERPROFILE%\AppData\Local\Temp\OnboardLogs"\RTDC4017\2017-08-12 --exclude "*" --recursive --include "*20170812*" &amp; "%USERPROFILE%\Documents\GitHub\mrs-test-scripts\Headless Mode &amp; Sideloading\WalkAndUnGZ.bat" "%USERPROFILE%\AppData\Local\Temp\OnboardLogs"\RTDC4017\2017-08-12 &amp; aws s3 cp s3://rtdc.mdm.uploadarchive.raw/RTDC4017/ "%USERPROFILE%\AppData\Local\Temp\OnboardLogs"\RTDC4017\2017-08-13 --exclude "*" --recursive --include "*20170813*" &amp; "%USERPROFILE%\Documents\GitHub\mrs-test-scripts\Headless Mode &amp; Sideloading\WalkAndUnGZ.bat" "%USERPROFILE%\AppData\Local\Temp\OnboardLogs"\RTDC4017\2017-08-13</v>
      </c>
      <c r="S9" s="84" t="str">
        <f>VLOOKUP(C9,'Train Runs'!$A$13:$AE$9915,22,0)</f>
        <v>https://d0f6bd738d7f1b3e5a7ca70fe4ff75f0.us-east-1.aws.found.io/app/kibana#/discover/Steve-Slow-Train-Analysis-(2080s-and-2083s)?_g=(refreshInterval:(display:Off,pause:!f,section:0,value:0),time:(from:'2017-08-12T08:15:25-0600',mode:absolute,to:'2017-08-12T10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86" t="str">
        <f t="shared" si="1"/>
        <v>"C:\Program Files (x86)\AstroGrep\AstroGrep.exe" /e /r /s /spath="%USERPROFILE%\AppData\Local\Temp\OnboardLogs" /stypes="*4017*201708121*" /stext=" 16:.+((SYSTEM_STATE.+slice.+state.+changed )|(ment ac)|(multiple cpu faults)|(system.+state.+changed )|(\[timeout)|(PRM\|1\|D)|(kpr)|(kdp)|(train st.+moving)|(\|lc)|(penalty))"</v>
      </c>
      <c r="U9" s="9" t="str">
        <f t="shared" si="2"/>
        <v>4017</v>
      </c>
      <c r="V9" s="31">
        <f t="shared" si="3"/>
        <v>42959.66915509259</v>
      </c>
      <c r="W9" s="45" t="str">
        <f t="shared" si="4"/>
        <v>EC</v>
      </c>
      <c r="X9" s="22">
        <f t="shared" si="5"/>
        <v>140</v>
      </c>
      <c r="Y9" s="96" t="str">
        <f t="shared" si="6"/>
        <v>echo {"issue":{"subject":"Early Arrival","project_id":79,"tracker_id":40,"status_id":1,"priority_id":2,"assigned_to_id":23,"start_date":"2017-08-12","description":"","custom_fields":[{"id":1,"name":"Subdivision","value":"EC"},{"id":4,"name":"Milepost","value":"4.8048"},{"id":17,"name":"Train ID","value":"140-12"},{"id":16,"name":"Locomotive ID","value":"4017"},{"id":130,"name":"Impact","value":""},{"id":150,"name":"Time of Event (Mountain Time)","value":"10:03:35"},{"id":151,"name":"Denver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/c/Users/stu/AppData/Local/Temp/OnboardLogs/RTDC4017 --include="*4017*201708121*"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"%USERPROFILE%\AppData\Local\Temp\OnboardLogs"\RTDC4017\*4017*201708121* &gt;&gt; 2017-08-12-SliceDisagreementCheck.txt</v>
      </c>
      <c r="AE9" s="145" t="str">
        <f t="shared" si="9"/>
        <v>start /low /b %USERPROFILE%\Documents\GitHub\eaglep3\Utilities\DownloadLogsFromS3.py --loco 4017 --day 2017-08-12</v>
      </c>
    </row>
    <row r="10" spans="1:32" s="1" customFormat="1" x14ac:dyDescent="0.25">
      <c r="A10" s="31">
        <v>42959.681805555556</v>
      </c>
      <c r="B10" s="30" t="s">
        <v>533</v>
      </c>
      <c r="C10" s="30" t="s">
        <v>649</v>
      </c>
      <c r="D10" s="30" t="s">
        <v>49</v>
      </c>
      <c r="E10" s="30" t="s">
        <v>187</v>
      </c>
      <c r="F10" s="42">
        <v>200</v>
      </c>
      <c r="G10" s="42">
        <v>262</v>
      </c>
      <c r="H10" s="42">
        <v>63480</v>
      </c>
      <c r="I10" s="42">
        <v>63091</v>
      </c>
      <c r="J10" s="30" t="s">
        <v>188</v>
      </c>
      <c r="K10" s="42">
        <v>63309</v>
      </c>
      <c r="L10" s="131" t="s">
        <v>51</v>
      </c>
      <c r="M10" s="132">
        <f t="shared" si="0"/>
        <v>-115.104</v>
      </c>
      <c r="N10" s="133" t="str">
        <f>VLOOKUP(C10,'Trips&amp;Operators'!$C$1:$G$99999,5,FALSE)</f>
        <v>THOMPSON LESTER</v>
      </c>
      <c r="O10" s="203" t="s">
        <v>180</v>
      </c>
      <c r="P10" s="134" t="s">
        <v>585</v>
      </c>
      <c r="Q10" s="30"/>
      <c r="R10" s="81" t="str">
        <f>VLOOKUP(C10,'Train Runs'!$A$13:$AE$9915,31,0)</f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S10" s="84" t="str">
        <f>VLOOKUP(C10,'Train Runs'!$A$13:$AE$9915,22,0)</f>
        <v>https://d0f6bd738d7f1b3e5a7ca70fe4ff75f0.us-east-1.aws.found.io/app/kibana#/discover/Steve-Slow-Train-Analysis-(2080s-and-2083s)?_g=(refreshInterval:(display:Off,pause:!f,section:0,value:0),time:(from:'2017-08-12T14:53:44-0600',mode:absolute,to:'2017-08-12T17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0" s="86" t="str">
        <f t="shared" si="1"/>
        <v>"C:\Program Files (x86)\AstroGrep\AstroGrep.exe" /e /r /s /spath="%USERPROFILE%\AppData\Local\Temp\OnboardLogs" /stypes="*4015*201708122*" /stext=" 22:.+((SYSTEM_STATE.+slice.+state.+changed )|(ment ac)|(multiple cpu faults)|(system.+state.+changed )|(\[timeout)|(PRM\|1\|D)|(kpr)|(kdp)|(train st.+moving)|(\|lc)|(penalty))"</v>
      </c>
      <c r="U10" s="9" t="str">
        <f t="shared" si="2"/>
        <v>4015</v>
      </c>
      <c r="V10" s="31">
        <f t="shared" si="3"/>
        <v>42959.931805555556</v>
      </c>
      <c r="W10" s="45" t="str">
        <f t="shared" si="4"/>
        <v>EC</v>
      </c>
      <c r="X10" s="22">
        <f t="shared" si="5"/>
        <v>192</v>
      </c>
      <c r="Y10" s="96" t="str">
        <f t="shared" si="6"/>
        <v>echo {"issue":{"subject":"Early Arrival","project_id":79,"tracker_id":40,"status_id":1,"priority_id":2,"assigned_to_id":23,"start_date":"2017-08-12","description":"","custom_fields":[{"id":1,"name":"Subdivision","value":"EC"},{"id":4,"name":"Milepost","value":"6.3309"},{"id":17,"name":"Train ID","value":"192-12"},{"id":16,"name":"Locomotive ID","value":"4015"},{"id":130,"name":"Impact","value":""},{"id":150,"name":"Time of Event (Mountain Time)","value":"16:21:48"},{"id":151,"name":"Denver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/c/Users/stu/AppData/Local/Temp/OnboardLogs/RTDC4015 --include="*4015*201708122*"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"%USERPROFILE%\AppData\Local\Temp\OnboardLogs"\RTDC4015\*4015*201708122* &gt;&gt; 2017-08-12-SliceDisagreementCheck.txt</v>
      </c>
      <c r="AE10" s="145" t="str">
        <f t="shared" si="9"/>
        <v>start /low /b %USERPROFILE%\Documents\GitHub\eaglep3\Utilities\DownloadLogsFromS3.py --loco 4015 --day 2017-08-12</v>
      </c>
    </row>
    <row r="11" spans="1:32" s="1" customFormat="1" x14ac:dyDescent="0.25">
      <c r="A11" s="31">
        <v>42959.749444444446</v>
      </c>
      <c r="B11" s="30" t="s">
        <v>533</v>
      </c>
      <c r="C11" s="30" t="s">
        <v>653</v>
      </c>
      <c r="D11" s="30" t="s">
        <v>49</v>
      </c>
      <c r="E11" s="30" t="s">
        <v>187</v>
      </c>
      <c r="F11" s="42">
        <v>340</v>
      </c>
      <c r="G11" s="42">
        <v>410</v>
      </c>
      <c r="H11" s="42">
        <v>110052</v>
      </c>
      <c r="I11" s="42">
        <v>108809</v>
      </c>
      <c r="J11" s="30" t="s">
        <v>188</v>
      </c>
      <c r="K11" s="42">
        <v>109135</v>
      </c>
      <c r="L11" s="131" t="s">
        <v>51</v>
      </c>
      <c r="M11" s="132">
        <f t="shared" si="0"/>
        <v>-172.12799999999999</v>
      </c>
      <c r="N11" s="133" t="str">
        <f>VLOOKUP(C11,'Trips&amp;Operators'!$C$1:$G$99999,5,FALSE)</f>
        <v>THOMPSON LESTER</v>
      </c>
      <c r="O11" s="203" t="s">
        <v>180</v>
      </c>
      <c r="P11" s="134" t="s">
        <v>585</v>
      </c>
      <c r="Q11" s="30"/>
      <c r="R11" s="81" t="str">
        <f>VLOOKUP(C11,'Train Runs'!$A$13:$AE$9915,31,0)</f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S11" s="84" t="str">
        <f>VLOOKUP(C11,'Train Runs'!$A$13:$AE$9915,22,0)</f>
        <v>https://d0f6bd738d7f1b3e5a7ca70fe4ff75f0.us-east-1.aws.found.io/app/kibana#/discover/Steve-Slow-Train-Analysis-(2080s-and-2083s)?_g=(refreshInterval:(display:Off,pause:!f,section:0,value:0),time:(from:'2017-08-12T16:38:33-0600',mode:absolute,to:'2017-08-12T19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1" s="86" t="str">
        <f t="shared" si="1"/>
        <v>"C:\Program Files (x86)\AstroGrep\AstroGrep.exe" /e /r /s /spath="%USERPROFILE%\AppData\Local\Temp\OnboardLogs" /stypes="*4015*201708122*" /stext=" 23:.+((SYSTEM_STATE.+slice.+state.+changed )|(ment ac)|(multiple cpu faults)|(system.+state.+changed )|(\[timeout)|(PRM\|1\|D)|(kpr)|(kdp)|(train st.+moving)|(\|lc)|(penalty))"</v>
      </c>
      <c r="U11" s="9" t="str">
        <f t="shared" si="2"/>
        <v>4015</v>
      </c>
      <c r="V11" s="31">
        <f t="shared" si="3"/>
        <v>42959.999444444446</v>
      </c>
      <c r="W11" s="45" t="str">
        <f t="shared" si="4"/>
        <v>EC</v>
      </c>
      <c r="X11" s="22">
        <f t="shared" si="5"/>
        <v>206</v>
      </c>
      <c r="Y11" s="96" t="str">
        <f t="shared" si="6"/>
        <v>echo {"issue":{"subject":"Early Arrival","project_id":79,"tracker_id":40,"status_id":1,"priority_id":2,"assigned_to_id":23,"start_date":"2017-08-12","description":"","custom_fields":[{"id":1,"name":"Subdivision","value":"EC"},{"id":4,"name":"Milepost","value":"10.9135"},{"id":17,"name":"Train ID","value":"206-12"},{"id":16,"name":"Locomotive ID","value":"4015"},{"id":130,"name":"Impact","value":""},{"id":150,"name":"Time of Event (Mountain Time)","value":"17:59:12"},{"id":151,"name":"Denver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/c/Users/stu/AppData/Local/Temp/OnboardLogs/RTDC4015 --include="*4015*201708122*"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"%USERPROFILE%\AppData\Local\Temp\OnboardLogs"\RTDC4015\*4015*201708122* &gt;&gt; 2017-08-12-SliceDisagreementCheck.txt</v>
      </c>
      <c r="AE11" s="145" t="str">
        <f t="shared" si="9"/>
        <v>start /low /b %USERPROFILE%\Documents\GitHub\eaglep3\Utilities\DownloadLogsFromS3.py --loco 4015 --day 2017-08-12</v>
      </c>
    </row>
    <row r="12" spans="1:32" s="1" customFormat="1" x14ac:dyDescent="0.25">
      <c r="A12" s="31">
        <v>42959.615937499999</v>
      </c>
      <c r="B12" s="30" t="s">
        <v>533</v>
      </c>
      <c r="C12" s="30" t="s">
        <v>646</v>
      </c>
      <c r="D12" s="30" t="s">
        <v>49</v>
      </c>
      <c r="E12" s="30" t="s">
        <v>196</v>
      </c>
      <c r="F12" s="42">
        <v>450</v>
      </c>
      <c r="G12" s="42">
        <v>506</v>
      </c>
      <c r="H12" s="42">
        <v>17335</v>
      </c>
      <c r="I12" s="42">
        <v>14193</v>
      </c>
      <c r="J12" s="30" t="s">
        <v>197</v>
      </c>
      <c r="K12" s="42">
        <v>15167</v>
      </c>
      <c r="L12" s="131" t="s">
        <v>51</v>
      </c>
      <c r="M12" s="132">
        <f t="shared" si="0"/>
        <v>-514.27200000000005</v>
      </c>
      <c r="N12" s="133" t="str">
        <f>VLOOKUP(C12,'Trips&amp;Operators'!$C$1:$G$99999,5,FALSE)</f>
        <v>THOMPSON LESTER</v>
      </c>
      <c r="O12" s="203" t="s">
        <v>180</v>
      </c>
      <c r="P12" s="134"/>
      <c r="Q12" s="30"/>
      <c r="R12" s="81" t="str">
        <f>VLOOKUP(C12,'Train Runs'!$A$13:$AE$9915,31,0)</f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S12" s="84" t="str">
        <f>VLOOKUP(C12,'Train Runs'!$A$13:$AE$9915,22,0)</f>
        <v>https://d0f6bd738d7f1b3e5a7ca70fe4ff75f0.us-east-1.aws.found.io/app/kibana#/discover/Steve-Slow-Train-Analysis-(2080s-and-2083s)?_g=(refreshInterval:(display:Off,pause:!f,section:0,value:0),time:(from:'2017-08-12T13:07:14-0600',mode:absolute,to:'2017-08-12T15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2" s="86" t="str">
        <f t="shared" si="1"/>
        <v>"C:\Program Files (x86)\AstroGrep\AstroGrep.exe" /e /r /s /spath="%USERPROFILE%\AppData\Local\Temp\OnboardLogs" /stypes="*4015*201708122*"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4015</v>
      </c>
      <c r="V12" s="31">
        <f t="shared" si="3"/>
        <v>42959.865937499999</v>
      </c>
      <c r="W12" s="45" t="str">
        <f t="shared" si="4"/>
        <v>EC</v>
      </c>
      <c r="X12" s="22">
        <f t="shared" si="5"/>
        <v>178</v>
      </c>
      <c r="Y12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{"issue":{"subject":"","project_id":79,"tracker_id":40,"status_id":1,"priority_id":2,"assigned_to_id":23,"start_date":"2017-08-12","description":"","custom_fields":[{"id":1,"name":"Subdivision","value":"EC"},{"id":4,"name":"Milepost","value":"1.5167"},{"id":17,"name":"Train ID","value":"178-12"},{"id":16,"name":"Locomotive ID","value":"4015"},{"id":130,"name":"Impact","value":""},{"id":150,"name":"Time of Event (Mountain Time)","value":"14:46:57"},{"id":151,"name":"Denver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/c/Users/stu/AppData/Local/Temp/OnboardLogs/RTDC4015 --include="*4015*201708122*"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"%USERPROFILE%\AppData\Local\Temp\OnboardLogs"\RTDC4015\*4015*201708122* &gt;&gt; 2017-08-12-SliceDisagreementCheck.txt</v>
      </c>
      <c r="AE12" s="145" t="str">
        <f t="shared" si="9"/>
        <v>start /low /b %USERPROFILE%\Documents\GitHub\eaglep3\Utilities\DownloadLogsFromS3.py --loco 4015 --day 2017-08-12</v>
      </c>
    </row>
    <row r="13" spans="1:32" x14ac:dyDescent="0.25">
      <c r="A13" s="31">
        <v>42959.607025462959</v>
      </c>
      <c r="B13" s="30" t="s">
        <v>481</v>
      </c>
      <c r="C13" s="30" t="s">
        <v>644</v>
      </c>
      <c r="D13" s="30" t="s">
        <v>49</v>
      </c>
      <c r="E13" s="30" t="s">
        <v>196</v>
      </c>
      <c r="F13" s="42">
        <v>400</v>
      </c>
      <c r="G13" s="42">
        <v>506</v>
      </c>
      <c r="H13" s="42">
        <v>17238</v>
      </c>
      <c r="I13" s="42">
        <v>18027</v>
      </c>
      <c r="J13" s="30" t="s">
        <v>197</v>
      </c>
      <c r="K13" s="42">
        <v>17867</v>
      </c>
      <c r="L13" s="131" t="s">
        <v>50</v>
      </c>
      <c r="M13" s="132">
        <f t="shared" si="0"/>
        <v>-84.48</v>
      </c>
      <c r="N13" s="133" t="str">
        <f>VLOOKUP(C13,'Trips&amp;Operators'!$C$1:$G$99999,5,FALSE)</f>
        <v>HOLCOMB KAMDEN</v>
      </c>
      <c r="O13" s="203" t="s">
        <v>180</v>
      </c>
      <c r="P13" s="134"/>
      <c r="Q13" s="30"/>
      <c r="R13" s="81" t="str">
        <f>VLOOKUP(C13,'Train Runs'!$A$13:$AE$9915,31,0)</f>
        <v>aws s3 cp s3://rtdc.mdm.uploadarchive.raw/RTDC4064/ "%USERPROFILE%\AppData\Local\Temp\OnboardLogs"\RTDC4064\2017-08-12 --exclude "*" --recursive --include "*20170812*" &amp; "%USERPROFILE%\Documents\GitHub\mrs-test-scripts\Headless Mode &amp; Sideloading\WalkAndUnGZ.bat" "%USERPROFILE%\AppData\Local\Temp\OnboardLogs"\RTDC4064\2017-08-12 &amp; aws s3 cp s3://rtdc.mdm.uploadarchive.raw/RTDC4064/ "%USERPROFILE%\AppData\Local\Temp\OnboardLogs"\RTDC4064\2017-08-13 --exclude "*" --recursive --include "*20170813*" &amp; "%USERPROFILE%\Documents\GitHub\mrs-test-scripts\Headless Mode &amp; Sideloading\WalkAndUnGZ.bat" "%USERPROFILE%\AppData\Local\Temp\OnboardLogs"\RTDC4064\2017-08-13</v>
      </c>
      <c r="S13" s="84" t="str">
        <f>VLOOKUP(C13,'Train Runs'!$A$13:$AE$9915,22,0)</f>
        <v>https://d0f6bd738d7f1b3e5a7ca70fe4ff75f0.us-east-1.aws.found.io/app/kibana#/discover/Steve-Slow-Train-Analysis-(2080s-and-2083s)?_g=(refreshInterval:(display:Off,pause:!f,section:0,value:0),time:(from:'2017-08-12T13:28:50-0600',mode:absolute,to:'2017-08-12T16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3" s="86" t="str">
        <f t="shared" si="1"/>
        <v>"C:\Program Files (x86)\AstroGrep\AstroGrep.exe" /e /r /s /spath="%USERPROFILE%\AppData\Local\Temp\OnboardLogs" /stypes="*4064*201708122*" /stext=" 20:.+((SYSTEM_STATE.+slice.+state.+changed )|(ment ac)|(multiple cpu faults)|(system.+state.+changed )|(\[timeout)|(PRM\|1\|D)|(kpr)|(kdp)|(train st.+moving)|(\|lc)|(penalty))"</v>
      </c>
      <c r="U13" s="9" t="str">
        <f t="shared" si="2"/>
        <v>4064</v>
      </c>
      <c r="V13" s="31">
        <f t="shared" si="3"/>
        <v>42959.857025462959</v>
      </c>
      <c r="W13" s="45" t="str">
        <f t="shared" si="4"/>
        <v>EC</v>
      </c>
      <c r="X13" s="22">
        <f t="shared" si="5"/>
        <v>187</v>
      </c>
      <c r="Y13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{"issue":{"subject":"","project_id":79,"tracker_id":40,"status_id":1,"priority_id":2,"assigned_to_id":23,"start_date":"2017-08-12","description":"","custom_fields":[{"id":1,"name":"Subdivision","value":"EC"},{"id":4,"name":"Milepost","value":"1.7867"},{"id":17,"name":"Train ID","value":"187-12"},{"id":16,"name":"Locomotive ID","value":"4064"},{"id":130,"name":"Impact","value":""},{"id":150,"name":"Time of Event (Mountain Time)","value":"14:34:07"},{"id":151,"name":"Denver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/c/Users/stu/AppData/Local/Temp/OnboardLogs/RTDC4064 --include="*4064*201708122*"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"%USERPROFILE%\AppData\Local\Temp\OnboardLogs"\RTDC4064\*4064*201708122* &gt;&gt; 2017-08-12-SliceDisagreementCheck.txt</v>
      </c>
      <c r="AE13" s="145" t="str">
        <f t="shared" si="9"/>
        <v>start /low /b %USERPROFILE%\Documents\GitHub\eaglep3\Utilities\DownloadLogsFromS3.py --loco 4064 --day 2017-08-12</v>
      </c>
      <c r="AF13" s="1"/>
    </row>
    <row r="14" spans="1:32" x14ac:dyDescent="0.25">
      <c r="A14" s="31">
        <v>42959.714270833334</v>
      </c>
      <c r="B14" s="30" t="s">
        <v>640</v>
      </c>
      <c r="C14" s="30" t="s">
        <v>651</v>
      </c>
      <c r="D14" s="30" t="s">
        <v>96</v>
      </c>
      <c r="E14" s="30" t="s">
        <v>196</v>
      </c>
      <c r="F14" s="42">
        <v>400</v>
      </c>
      <c r="G14" s="42">
        <v>456</v>
      </c>
      <c r="H14" s="42">
        <v>119589</v>
      </c>
      <c r="I14" s="42">
        <v>120880</v>
      </c>
      <c r="J14" s="30" t="s">
        <v>197</v>
      </c>
      <c r="K14" s="42">
        <v>116838</v>
      </c>
      <c r="L14" s="131" t="s">
        <v>50</v>
      </c>
      <c r="M14" s="132">
        <f t="shared" si="0"/>
        <v>-2134.1759999999999</v>
      </c>
      <c r="N14" s="133" t="str">
        <f>VLOOKUP(C14,'Trips&amp;Operators'!$C$1:$G$99999,5,FALSE)</f>
        <v>THOMPSON LESTER</v>
      </c>
      <c r="O14" s="203" t="s">
        <v>180</v>
      </c>
      <c r="P14" s="134"/>
      <c r="Q14" s="30"/>
      <c r="R14" s="81" t="str">
        <f>VLOOKUP(C14,'Train Runs'!$A$13:$AE$9915,31,0)</f>
        <v>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 &amp; 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</v>
      </c>
      <c r="S14" s="84" t="str">
        <f>VLOOKUP(C14,'Train Runs'!$A$13:$AE$9915,22,0)</f>
        <v>https://d0f6bd738d7f1b3e5a7ca70fe4ff75f0.us-east-1.aws.found.io/app/kibana#/discover/Steve-Slow-Train-Analysis-(2080s-and-2083s)?_g=(refreshInterval:(display:Off,pause:!f,section:0,value:0),time:(from:'2017-08-12T15:42:01-0600',mode:absolute,to:'2017-08-12T18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4" s="86" t="str">
        <f t="shared" si="1"/>
        <v>"C:\Program Files (x86)\AstroGrep\AstroGrep.exe" /e /r /s /spath="%USERPROFILE%\AppData\Local\Temp\OnboardLogs" /stypes="*4016*201708122*" /stext=" 23:.+((SYSTEM_STATE.+slice.+state.+changed )|(ment ac)|(multiple cpu faults)|(system.+state.+changed )|(\[timeout)|(PRM\|1\|D)|(kpr)|(kdp)|(train st.+moving)|(\|lc)|(penalty))"</v>
      </c>
      <c r="U14" s="9" t="str">
        <f t="shared" si="2"/>
        <v>4016</v>
      </c>
      <c r="V14" s="31">
        <f t="shared" si="3"/>
        <v>42959.964270833334</v>
      </c>
      <c r="W14" s="45" t="str">
        <f t="shared" si="4"/>
        <v>EC</v>
      </c>
      <c r="X14" s="22">
        <f t="shared" si="5"/>
        <v>205</v>
      </c>
      <c r="Y14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{"issue":{"subject":"","project_id":79,"tracker_id":40,"status_id":1,"priority_id":2,"assigned_to_id":23,"start_date":"2017-08-12","description":"","custom_fields":[{"id":1,"name":"Subdivision","value":"EC"},{"id":4,"name":"Milepost","value":"11.6838"},{"id":17,"name":"Train ID","value":"205-12"},{"id":16,"name":"Locomotive ID","value":"4016"},{"id":130,"name":"Impact","value":""},{"id":150,"name":"Time of Event (Mountain Time)","value":"17:08:33"},{"id":151,"name":"Denver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/c/Users/stu/AppData/Local/Temp/OnboardLogs/RTDC4016 --include="*4016*201708122*"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"%USERPROFILE%\AppData\Local\Temp\OnboardLogs"\RTDC4016\*4016*201708122* &gt;&gt; 2017-08-12-SliceDisagreementCheck.txt</v>
      </c>
      <c r="AE14" s="145" t="str">
        <f t="shared" si="9"/>
        <v>start /low /b %USERPROFILE%\Documents\GitHub\eaglep3\Utilities\DownloadLogsFromS3.py --loco 4016 --day 2017-08-12</v>
      </c>
      <c r="AF14" s="1"/>
    </row>
    <row r="15" spans="1:32" x14ac:dyDescent="0.25">
      <c r="A15" s="31">
        <v>42959.417094907411</v>
      </c>
      <c r="B15" s="30" t="s">
        <v>506</v>
      </c>
      <c r="C15" s="30" t="s">
        <v>637</v>
      </c>
      <c r="D15" s="30" t="s">
        <v>96</v>
      </c>
      <c r="E15" s="30" t="s">
        <v>196</v>
      </c>
      <c r="F15" s="42">
        <v>600</v>
      </c>
      <c r="G15" s="42">
        <v>655</v>
      </c>
      <c r="H15" s="42">
        <v>186515</v>
      </c>
      <c r="I15" s="42">
        <v>189777</v>
      </c>
      <c r="J15" s="30" t="s">
        <v>197</v>
      </c>
      <c r="K15" s="42">
        <v>183829</v>
      </c>
      <c r="L15" s="131" t="s">
        <v>50</v>
      </c>
      <c r="M15" s="132">
        <f t="shared" si="0"/>
        <v>-3140.5439999999999</v>
      </c>
      <c r="N15" s="133" t="str">
        <f>VLOOKUP(C15,'Trips&amp;Operators'!$C$1:$G$99999,5,FALSE)</f>
        <v>DAVIS WENDY</v>
      </c>
      <c r="O15" s="203" t="s">
        <v>180</v>
      </c>
      <c r="P15" s="134"/>
      <c r="Q15" s="30"/>
      <c r="R15" s="81" t="str">
        <f>VLOOKUP(C15,'Train Runs'!$A$13:$AE$9915,31,0)</f>
        <v>aws s3 cp s3://rtdc.mdm.uploadarchive.raw/RTDC4050/ "%USERPROFILE%\AppData\Local\Temp\OnboardLogs"\RTDC4050\2017-08-12 --exclude "*" --recursive --include "*20170812*" &amp; "%USERPROFILE%\Documents\GitHub\mrs-test-scripts\Headless Mode &amp; Sideloading\WalkAndUnGZ.bat" "%USERPROFILE%\AppData\Local\Temp\OnboardLogs"\RTDC4050\2017-08-12 &amp; aws s3 cp s3://rtdc.mdm.uploadarchive.raw/RTDC4050/ "%USERPROFILE%\AppData\Local\Temp\OnboardLogs"\RTDC4050\2017-08-13 --exclude "*" --recursive --include "*20170813*" &amp; "%USERPROFILE%\Documents\GitHub\mrs-test-scripts\Headless Mode &amp; Sideloading\WalkAndUnGZ.bat" "%USERPROFILE%\AppData\Local\Temp\OnboardLogs"\RTDC4050\2017-08-13</v>
      </c>
      <c r="S15" s="84" t="str">
        <f>VLOOKUP(C15,'Train Runs'!$A$13:$AE$9915,22,0)</f>
        <v>https://d0f6bd738d7f1b3e5a7ca70fe4ff75f0.us-east-1.aws.found.io/app/kibana#/discover/Steve-Slow-Train-Analysis-(2080s-and-2083s)?_g=(refreshInterval:(display:Off,pause:!f,section:0,value:0),time:(from:'2017-08-12T08:24:08-0600',mode:absolute,to:'2017-08-12T11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5" s="86" t="str">
        <f t="shared" si="1"/>
        <v>"C:\Program Files (x86)\AstroGrep\AstroGrep.exe" /e /r /s /spath="%USERPROFILE%\AppData\Local\Temp\OnboardLogs" /stypes="*4050*201708121*" /stext=" 16:.+((SYSTEM_STATE.+slice.+state.+changed )|(ment ac)|(multiple cpu faults)|(system.+state.+changed )|(\[timeout)|(PRM\|1\|D)|(kpr)|(kdp)|(train st.+moving)|(\|lc)|(penalty))"</v>
      </c>
      <c r="U15" s="9" t="str">
        <f t="shared" si="2"/>
        <v>4050</v>
      </c>
      <c r="V15" s="31">
        <f t="shared" si="3"/>
        <v>42959.667094907411</v>
      </c>
      <c r="W15" s="45" t="str">
        <f t="shared" si="4"/>
        <v>EC</v>
      </c>
      <c r="X15" s="22">
        <f t="shared" si="5"/>
        <v>147</v>
      </c>
      <c r="Y15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{"issue":{"subject":"","project_id":79,"tracker_id":40,"status_id":1,"priority_id":2,"assigned_to_id":23,"start_date":"2017-08-12","description":"","custom_fields":[{"id":1,"name":"Subdivision","value":"EC"},{"id":4,"name":"Milepost","value":"18.3829"},{"id":17,"name":"Train ID","value":"147-12"},{"id":16,"name":"Locomotive ID","value":"4050"},{"id":130,"name":"Impact","value":""},{"id":150,"name":"Time of Event (Mountain Time)","value":"10:00:37"},{"id":151,"name":"Denver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/c/Users/stu/AppData/Local/Temp/OnboardLogs/RTDC4050 --include="*4050*201708121*"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"%USERPROFILE%\AppData\Local\Temp\OnboardLogs"\RTDC4050\*4050*201708121* &gt;&gt; 2017-08-12-SliceDisagreementCheck.txt</v>
      </c>
      <c r="AE15" s="145" t="str">
        <f t="shared" si="9"/>
        <v>start /low /b %USERPROFILE%\Documents\GitHub\eaglep3\Utilities\DownloadLogsFromS3.py --loco 4050 --day 2017-08-12</v>
      </c>
      <c r="AF15" s="1"/>
    </row>
    <row r="16" spans="1:32" x14ac:dyDescent="0.25">
      <c r="A16" s="31">
        <v>42959.62672453704</v>
      </c>
      <c r="B16" s="30" t="s">
        <v>356</v>
      </c>
      <c r="C16" s="30" t="s">
        <v>647</v>
      </c>
      <c r="D16" s="30" t="s">
        <v>49</v>
      </c>
      <c r="E16" s="30" t="s">
        <v>196</v>
      </c>
      <c r="F16" s="42">
        <v>600</v>
      </c>
      <c r="G16" s="42">
        <v>650</v>
      </c>
      <c r="H16" s="42">
        <v>191799</v>
      </c>
      <c r="I16" s="42">
        <v>189583</v>
      </c>
      <c r="J16" s="30" t="s">
        <v>197</v>
      </c>
      <c r="K16" s="42">
        <v>191104</v>
      </c>
      <c r="L16" s="131" t="s">
        <v>51</v>
      </c>
      <c r="M16" s="132">
        <f t="shared" si="0"/>
        <v>-803.08799999999997</v>
      </c>
      <c r="N16" s="133" t="str">
        <f>VLOOKUP(C16,'Trips&amp;Operators'!$C$1:$G$99999,5,FALSE)</f>
        <v>DELGADO DIANAH</v>
      </c>
      <c r="O16" s="203" t="s">
        <v>180</v>
      </c>
      <c r="P16" s="134"/>
      <c r="Q16" s="30"/>
      <c r="R16" s="81" t="str">
        <f>VLOOKUP(C16,'Train Runs'!$A$13:$AE$9915,31,0)</f>
        <v>aws s3 cp s3://rtdc.mdm.uploadarchive.raw/RTDC4013/ "%USERPROFILE%\AppData\Local\Temp\OnboardLogs"\RTDC4013\2017-08-12 --exclude "*" --recursive --include "*20170812*" &amp; "%USERPROFILE%\Documents\GitHub\mrs-test-scripts\Headless Mode &amp; Sideloading\WalkAndUnGZ.bat" "%USERPROFILE%\AppData\Local\Temp\OnboardLogs"\RTDC4013\2017-08-12 &amp; aws s3 cp s3://rtdc.mdm.uploadarchive.raw/RTDC4013/ "%USERPROFILE%\AppData\Local\Temp\OnboardLogs"\RTDC4013\2017-08-13 --exclude "*" --recursive --include "*20170813*" &amp; "%USERPROFILE%\Documents\GitHub\mrs-test-scripts\Headless Mode &amp; Sideloading\WalkAndUnGZ.bat" "%USERPROFILE%\AppData\Local\Temp\OnboardLogs"\RTDC4013\2017-08-13</v>
      </c>
      <c r="S16" s="84" t="str">
        <f>VLOOKUP(C16,'Train Runs'!$A$13:$AE$9915,22,0)</f>
        <v>https://d0f6bd738d7f1b3e5a7ca70fe4ff75f0.us-east-1.aws.found.io/app/kibana#/discover/Steve-Slow-Train-Analysis-(2080s-and-2083s)?_g=(refreshInterval:(display:Off,pause:!f,section:0,value:0),time:(from:'2017-08-12T13:50:51-0600',mode:absolute,to:'2017-08-12T16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6" s="86" t="str">
        <f t="shared" si="1"/>
        <v>"C:\Program Files (x86)\AstroGrep\AstroGrep.exe" /e /r /s /spath="%USERPROFILE%\AppData\Local\Temp\OnboardLogs" /stypes="*4013*201708122*"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4013</v>
      </c>
      <c r="V16" s="31">
        <f t="shared" si="3"/>
        <v>42959.87672453704</v>
      </c>
      <c r="W16" s="45" t="str">
        <f t="shared" si="4"/>
        <v>EC</v>
      </c>
      <c r="X16" s="22">
        <f t="shared" si="5"/>
        <v>184</v>
      </c>
      <c r="Y16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{"issue":{"subject":"","project_id":79,"tracker_id":40,"status_id":1,"priority_id":2,"assigned_to_id":23,"start_date":"2017-08-12","description":"","custom_fields":[{"id":1,"name":"Subdivision","value":"EC"},{"id":4,"name":"Milepost","value":"19.1104"},{"id":17,"name":"Train ID","value":"184-12"},{"id":16,"name":"Locomotive ID","value":"4013"},{"id":130,"name":"Impact","value":""},{"id":150,"name":"Time of Event (Mountain Time)","value":"15:02:29"},{"id":151,"name":"Denver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/c/Users/stu/AppData/Local/Temp/OnboardLogs/RTDC4013 --include="*4013*201708122*"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"%USERPROFILE%\AppData\Local\Temp\OnboardLogs"\RTDC4013\*4013*201708122* &gt;&gt; 2017-08-12-SliceDisagreementCheck.txt</v>
      </c>
      <c r="AE16" s="145" t="str">
        <f t="shared" si="9"/>
        <v>start /low /b %USERPROFILE%\Documents\GitHub\eaglep3\Utilities\DownloadLogsFromS3.py --loco 4013 --day 2017-08-12</v>
      </c>
      <c r="AF16" s="1"/>
    </row>
    <row r="17" spans="1:32" x14ac:dyDescent="0.25">
      <c r="A17" s="31">
        <v>42959.364583333336</v>
      </c>
      <c r="B17" s="30" t="s">
        <v>505</v>
      </c>
      <c r="C17" s="30" t="s">
        <v>635</v>
      </c>
      <c r="D17" s="30" t="s">
        <v>96</v>
      </c>
      <c r="E17" s="30" t="s">
        <v>196</v>
      </c>
      <c r="F17" s="42">
        <v>350</v>
      </c>
      <c r="G17" s="42">
        <v>400</v>
      </c>
      <c r="H17" s="42">
        <v>225452</v>
      </c>
      <c r="I17" s="42">
        <v>224330</v>
      </c>
      <c r="J17" s="30" t="s">
        <v>197</v>
      </c>
      <c r="K17" s="42">
        <v>228668</v>
      </c>
      <c r="L17" s="131" t="s">
        <v>51</v>
      </c>
      <c r="M17" s="132">
        <f t="shared" si="0"/>
        <v>-2290.4639999999999</v>
      </c>
      <c r="N17" s="133" t="str">
        <f>VLOOKUP(C17,'Trips&amp;Operators'!$C$1:$G$99999,5,FALSE)</f>
        <v>DAVIS WENDY</v>
      </c>
      <c r="O17" s="203" t="s">
        <v>180</v>
      </c>
      <c r="P17" s="134"/>
      <c r="Q17" s="30"/>
      <c r="R17" s="81" t="str">
        <f>VLOOKUP(C17,'Train Runs'!$A$13:$AE$9915,31,0)</f>
        <v>aws s3 cp s3://rtdc.mdm.uploadarchive.raw/RTDC4049/ "%USERPROFILE%\AppData\Local\Temp\OnboardLogs"\RTDC4049\2017-08-12 --exclude "*" --recursive --include "*20170812*" &amp; "%USERPROFILE%\Documents\GitHub\mrs-test-scripts\Headless Mode &amp; Sideloading\WalkAndUnGZ.bat" "%USERPROFILE%\AppData\Local\Temp\OnboardLogs"\RTDC4049\2017-08-12 &amp; aws s3 cp s3://rtdc.mdm.uploadarchive.raw/RTDC4049/ "%USERPROFILE%\AppData\Local\Temp\OnboardLogs"\RTDC4049\2017-08-13 --exclude "*" --recursive --include "*20170813*" &amp; "%USERPROFILE%\Documents\GitHub\mrs-test-scripts\Headless Mode &amp; Sideloading\WalkAndUnGZ.bat" "%USERPROFILE%\AppData\Local\Temp\OnboardLogs"\RTDC4049\2017-08-13</v>
      </c>
      <c r="S17" s="84" t="str">
        <f>VLOOKUP(C17,'Train Runs'!$A$13:$AE$9915,22,0)</f>
        <v>https://d0f6bd738d7f1b3e5a7ca70fe4ff75f0.us-east-1.aws.found.io/app/kibana#/discover/Steve-Slow-Train-Analysis-(2080s-and-2083s)?_g=(refreshInterval:(display:Off,pause:!f,section:0,value:0),time:(from:'2017-08-12T07:36:28-0600',mode:absolute,to:'2017-08-12T10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7" s="86" t="str">
        <f t="shared" si="1"/>
        <v>"C:\Program Files (x86)\AstroGrep\AstroGrep.exe" /e /r /s /spath="%USERPROFILE%\AppData\Local\Temp\OnboardLogs" /stypes="*4049*201708121*" /stext=" 14:.+((SYSTEM_STATE.+slice.+state.+changed )|(ment ac)|(multiple cpu faults)|(system.+state.+changed )|(\[timeout)|(PRM\|1\|D)|(kpr)|(kdp)|(train st.+moving)|(\|lc)|(penalty))"</v>
      </c>
      <c r="U17" s="9" t="str">
        <f t="shared" si="2"/>
        <v>4049</v>
      </c>
      <c r="V17" s="31">
        <f t="shared" si="3"/>
        <v>42959.614583333336</v>
      </c>
      <c r="W17" s="45" t="str">
        <f t="shared" si="4"/>
        <v>EC</v>
      </c>
      <c r="X17" s="22">
        <f t="shared" si="5"/>
        <v>134</v>
      </c>
      <c r="Y17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{"issue":{"subject":"","project_id":79,"tracker_id":40,"status_id":1,"priority_id":2,"assigned_to_id":23,"start_date":"2017-08-12","description":"","custom_fields":[{"id":1,"name":"Subdivision","value":"EC"},{"id":4,"name":"Milepost","value":"22.8668"},{"id":17,"name":"Train ID","value":"134-12"},{"id":16,"name":"Locomotive ID","value":"4049"},{"id":130,"name":"Impact","value":""},{"id":150,"name":"Time of Event (Mountain Time)","value":"08:45:00"},{"id":151,"name":"Denver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/c/Users/stu/AppData/Local/Temp/OnboardLogs/RTDC4049 --include="*4049*201708121*"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"%USERPROFILE%\AppData\Local\Temp\OnboardLogs"\RTDC4049\*4049*201708121* &gt;&gt; 2017-08-12-SliceDisagreementCheck.txt</v>
      </c>
      <c r="AE17" s="145" t="str">
        <f t="shared" si="9"/>
        <v>start /low /b %USERPROFILE%\Documents\GitHub\eaglep3\Utilities\DownloadLogsFromS3.py --loco 4049 --day 2017-08-12</v>
      </c>
      <c r="AF17" s="1"/>
    </row>
    <row r="18" spans="1:32" x14ac:dyDescent="0.25">
      <c r="A18" s="31">
        <v>42960.083784722221</v>
      </c>
      <c r="B18" s="30" t="s">
        <v>385</v>
      </c>
      <c r="C18" s="30" t="s">
        <v>660</v>
      </c>
      <c r="D18" s="30" t="s">
        <v>96</v>
      </c>
      <c r="E18" s="30" t="s">
        <v>196</v>
      </c>
      <c r="F18" s="42">
        <v>350</v>
      </c>
      <c r="G18" s="42">
        <v>403</v>
      </c>
      <c r="H18" s="42">
        <v>224702</v>
      </c>
      <c r="I18" s="42">
        <v>223518</v>
      </c>
      <c r="J18" s="30" t="s">
        <v>197</v>
      </c>
      <c r="K18" s="42">
        <v>232080</v>
      </c>
      <c r="L18" s="131" t="s">
        <v>51</v>
      </c>
      <c r="M18" s="132">
        <f t="shared" si="0"/>
        <v>-4520.7359999999999</v>
      </c>
      <c r="N18" s="133" t="str">
        <f>VLOOKUP(C18,'Trips&amp;Operators'!$C$1:$G$99999,5,FALSE)</f>
        <v>LAMAR NEKESHA</v>
      </c>
      <c r="O18" s="203" t="s">
        <v>180</v>
      </c>
      <c r="P18" s="134"/>
      <c r="Q18" s="30"/>
      <c r="R18" s="81" t="str">
        <f>VLOOKUP(C18,'Train Runs'!$A$13:$AE$9915,31,0)</f>
        <v>aws s3 cp s3://rtdc.mdm.uploadarchive.raw/RTDC4001/ "%USERPROFILE%\AppData\Local\Temp\OnboardLogs"\RTDC4001\2017-08-13 --exclude "*" --recursive --include "*20170813*" &amp; "%USERPROFILE%\Documents\GitHub\mrs-test-scripts\Headless Mode &amp; Sideloading\WalkAndUnGZ.bat" "%USERPROFILE%\AppData\Local\Temp\OnboardLogs"\RTDC4001\2017-08-13 &amp; aws s3 cp s3://rtdc.mdm.uploadarchive.raw/RTDC4001/ "%USERPROFILE%\AppData\Local\Temp\OnboardLogs"\RTDC4001\2017-08-14 --exclude "*" --recursive --include "*20170814*" &amp; "%USERPROFILE%\Documents\GitHub\mrs-test-scripts\Headless Mode &amp; Sideloading\WalkAndUnGZ.bat" "%USERPROFILE%\AppData\Local\Temp\OnboardLogs"\RTDC4001\2017-08-14</v>
      </c>
      <c r="S18" s="84" t="str">
        <f>VLOOKUP(C18,'Train Runs'!$A$13:$AE$9915,22,0)</f>
        <v>https://d0f6bd738d7f1b3e5a7ca70fe4ff75f0.us-east-1.aws.found.io/app/kibana#/discover/Steve-Slow-Train-Analysis-(2080s-and-2083s)?_g=(refreshInterval:(display:Off,pause:!f,section:0,value:0),time:(from:'2017-08-13T00:52:24-0600',mode:absolute,to:'2017-08-13T03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8" s="86" t="str">
        <f t="shared" si="1"/>
        <v>"C:\Program Files (x86)\AstroGrep\AstroGrep.exe" /e /r /s /spath="%USERPROFILE%\AppData\Local\Temp\OnboardLogs" /stypes="*4001*201708130*" /stext=" 08:.+((SYSTEM_STATE.+slice.+state.+changed )|(ment ac)|(multiple cpu faults)|(system.+state.+changed )|(\[timeout)|(PRM\|1\|D)|(kpr)|(kdp)|(train st.+moving)|(\|lc)|(penalty))"</v>
      </c>
      <c r="U18" s="9" t="str">
        <f t="shared" si="2"/>
        <v>4001</v>
      </c>
      <c r="V18" s="31">
        <f t="shared" si="3"/>
        <v>42960.333784722221</v>
      </c>
      <c r="W18" s="45" t="str">
        <f t="shared" si="4"/>
        <v>EC</v>
      </c>
      <c r="X18" s="22">
        <f t="shared" si="5"/>
        <v>246</v>
      </c>
      <c r="Y18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{"issue":{"subject":"","project_id":79,"tracker_id":40,"status_id":1,"priority_id":2,"assigned_to_id":23,"start_date":"2017-08-13","description":"","custom_fields":[{"id":1,"name":"Subdivision","value":"EC"},{"id":4,"name":"Milepost","value":"23.208"},{"id":17,"name":"Train ID","value":"246-12"},{"id":16,"name":"Locomotive ID","value":"4001"},{"id":130,"name":"Impact","value":""},{"id":150,"name":"Time of Event (Mountain Time)","value":"02:00:39"},{"id":151,"name":"Denver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/c/Users/stu/AppData/Local/Temp/OnboardLogs/RTDC4001 --include="*4001*201708130*"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"%USERPROFILE%\AppData\Local\Temp\OnboardLogs"\RTDC4001\*4001*201708130* &gt;&gt; 2017-08-12-SliceDisagreementCheck.txt</v>
      </c>
      <c r="AE18" s="145" t="str">
        <f t="shared" si="9"/>
        <v>start /low /b %USERPROFILE%\Documents\GitHub\eaglep3\Utilities\DownloadLogsFromS3.py --loco 4001 --day 2017-08-13</v>
      </c>
      <c r="AF18" s="1"/>
    </row>
    <row r="19" spans="1:32" x14ac:dyDescent="0.25">
      <c r="A19" s="31">
        <v>42959.292025462964</v>
      </c>
      <c r="B19" s="30" t="s">
        <v>349</v>
      </c>
      <c r="C19" s="30" t="s">
        <v>633</v>
      </c>
      <c r="D19" s="30" t="s">
        <v>49</v>
      </c>
      <c r="E19" s="30" t="s">
        <v>454</v>
      </c>
      <c r="F19" s="42">
        <v>0</v>
      </c>
      <c r="G19" s="42">
        <v>661</v>
      </c>
      <c r="H19" s="42">
        <v>192834</v>
      </c>
      <c r="I19" s="42">
        <v>196238</v>
      </c>
      <c r="J19" s="30" t="s">
        <v>455</v>
      </c>
      <c r="K19" s="42">
        <v>198242</v>
      </c>
      <c r="L19" s="131" t="s">
        <v>50</v>
      </c>
      <c r="M19" s="132">
        <f t="shared" si="0"/>
        <v>1058.1120000000001</v>
      </c>
      <c r="N19" s="133" t="str">
        <f>VLOOKUP(C19,'Trips&amp;Operators'!$C$1:$G$99999,5,FALSE)</f>
        <v>LALONDE GREGORY</v>
      </c>
      <c r="O19" s="203" t="s">
        <v>469</v>
      </c>
      <c r="P19" s="134" t="s">
        <v>581</v>
      </c>
      <c r="Q19" s="30"/>
      <c r="R19" s="81" t="str">
        <f>VLOOKUP(C19,'Train Runs'!$A$13:$AE$9915,31,0)</f>
        <v>aws s3 cp s3://rtdc.mdm.uploadarchive.raw/RTDC4042/ "%USERPROFILE%\AppData\Local\Temp\OnboardLogs"\RTDC4042\2017-08-12 --exclude "*" --recursive --include "*20170812*" &amp; "%USERPROFILE%\Documents\GitHub\mrs-test-scripts\Headless Mode &amp; Sideloading\WalkAndUnGZ.bat" "%USERPROFILE%\AppData\Local\Temp\OnboardLogs"\RTDC4042\2017-08-12 &amp; aws s3 cp s3://rtdc.mdm.uploadarchive.raw/RTDC4042/ "%USERPROFILE%\AppData\Local\Temp\OnboardLogs"\RTDC4042\2017-08-13 --exclude "*" --recursive --include "*20170813*" &amp; "%USERPROFILE%\Documents\GitHub\mrs-test-scripts\Headless Mode &amp; Sideloading\WalkAndUnGZ.bat" "%USERPROFILE%\AppData\Local\Temp\OnboardLogs"\RTDC4042\2017-08-13</v>
      </c>
      <c r="S19" s="84" t="str">
        <f>VLOOKUP(C19,'Train Runs'!$A$13:$AE$9915,22,0)</f>
        <v>https://d0f6bd738d7f1b3e5a7ca70fe4ff75f0.us-east-1.aws.found.io/app/kibana#/discover/Steve-Slow-Train-Analysis-(2080s-and-2083s)?_g=(refreshInterval:(display:Off,pause:!f,section:0,value:0),time:(from:'2017-08-12T05:22:58-0600',mode:absolute,to:'2017-08-12T08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9" s="86" t="str">
        <f t="shared" si="1"/>
        <v>"C:\Program Files (x86)\AstroGrep\AstroGrep.exe" /e /r /s /spath="%USERPROFILE%\AppData\Local\Temp\OnboardLogs" /stypes="*4042*201708121*" /stext=" 13:.+((SYSTEM_STATE.+slice.+state.+changed )|(ment ac)|(multiple cpu faults)|(system.+state.+changed )|(\[timeout)|(PRM\|1\|D)|(kpr)|(kdp)|(train st.+moving)|(\|lc)|(penalty))"</v>
      </c>
      <c r="U19" s="9" t="str">
        <f t="shared" si="2"/>
        <v>4042</v>
      </c>
      <c r="V19" s="31">
        <f t="shared" si="3"/>
        <v>42959.542025462964</v>
      </c>
      <c r="W19" s="45" t="str">
        <f t="shared" si="4"/>
        <v>EC</v>
      </c>
      <c r="X19" s="22">
        <f t="shared" si="5"/>
        <v>123</v>
      </c>
      <c r="Y19" s="96" t="str">
        <f t="shared" si="6"/>
        <v>echo {"issue":{"subject":"Wi-MAX data drop","project_id":79,"tracker_id":40,"status_id":1,"priority_id":2,"assigned_to_id":23,"start_date":"2017-08-12","description":"","custom_fields":[{"id":1,"name":"Subdivision","value":"EC"},{"id":4,"name":"Milepost","value":"19.8242"},{"id":17,"name":"Train ID","value":"123-12"},{"id":16,"name":"Locomotive ID","value":"4042"},{"id":130,"name":"Impact","value":""},{"id":150,"name":"Time of Event (Mountain Time)","value":"07:00:31"},{"id":151,"name":"Denver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/c/Users/stu/AppData/Local/Temp/OnboardLogs/RTDC4042 --include="*4042*201708121*"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"%USERPROFILE%\AppData\Local\Temp\OnboardLogs"\RTDC4042\*4042*201708121* &gt;&gt; 2017-08-12-SliceDisagreementCheck.txt</v>
      </c>
      <c r="AE19" s="145" t="str">
        <f t="shared" si="9"/>
        <v>start /low /b %USERPROFILE%\Documents\GitHub\eaglep3\Utilities\DownloadLogsFromS3.py --loco 4042 --day 2017-08-12</v>
      </c>
      <c r="AF19" s="1"/>
    </row>
    <row r="20" spans="1:32" x14ac:dyDescent="0.25">
      <c r="A20" s="31">
        <v>42959.598310185182</v>
      </c>
      <c r="B20" s="30" t="s">
        <v>495</v>
      </c>
      <c r="C20" s="30" t="s">
        <v>643</v>
      </c>
      <c r="D20" s="30" t="s">
        <v>49</v>
      </c>
      <c r="E20" s="30" t="s">
        <v>181</v>
      </c>
      <c r="F20" s="42">
        <v>0</v>
      </c>
      <c r="G20" s="42">
        <v>53</v>
      </c>
      <c r="H20" s="42">
        <v>174</v>
      </c>
      <c r="I20" s="42">
        <v>139</v>
      </c>
      <c r="J20" s="30" t="s">
        <v>182</v>
      </c>
      <c r="K20" s="42">
        <v>1</v>
      </c>
      <c r="L20" s="131" t="s">
        <v>51</v>
      </c>
      <c r="M20" s="132">
        <f t="shared" si="0"/>
        <v>72.864000000000004</v>
      </c>
      <c r="N20" s="133" t="str">
        <f>VLOOKUP(C20,'Trips&amp;Operators'!$C$1:$G$99999,5,FALSE)</f>
        <v>HOLCOMB KAMDEN</v>
      </c>
      <c r="O20" s="203" t="s">
        <v>180</v>
      </c>
      <c r="P20" s="134"/>
      <c r="Q20" s="30"/>
      <c r="R20" s="81" t="str">
        <f>VLOOKUP(C20,'Train Runs'!$A$13:$AE$9915,31,0)</f>
        <v>aws s3 cp s3://rtdc.mdm.uploadarchive.raw/RTDC4063/ "%USERPROFILE%\AppData\Local\Temp\OnboardLogs"\RTDC4063\2017-08-12 --exclude "*" --recursive --include "*20170812*" &amp; "%USERPROFILE%\Documents\GitHub\mrs-test-scripts\Headless Mode &amp; Sideloading\WalkAndUnGZ.bat" "%USERPROFILE%\AppData\Local\Temp\OnboardLogs"\RTDC4063\2017-08-12 &amp; aws s3 cp s3://rtdc.mdm.uploadarchive.raw/RTDC4063/ "%USERPROFILE%\AppData\Local\Temp\OnboardLogs"\RTDC4063\2017-08-13 --exclude "*" --recursive --include "*20170813*" &amp; "%USERPROFILE%\Documents\GitHub\mrs-test-scripts\Headless Mode &amp; Sideloading\WalkAndUnGZ.bat" "%USERPROFILE%\AppData\Local\Temp\OnboardLogs"\RTDC4063\2017-08-13</v>
      </c>
      <c r="S20" s="84" t="str">
        <f>VLOOKUP(C20,'Train Runs'!$A$13:$AE$9915,22,0)</f>
        <v>https://d0f6bd738d7f1b3e5a7ca70fe4ff75f0.us-east-1.aws.found.io/app/kibana#/discover/Steve-Slow-Train-Analysis-(2080s-and-2083s)?_g=(refreshInterval:(display:Off,pause:!f,section:0,value:0),time:(from:'2017-08-12T12:33:12-0600',mode:absolute,to:'2017-08-12T15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0" s="86" t="str">
        <f t="shared" si="1"/>
        <v>"C:\Program Files (x86)\AstroGrep\AstroGrep.exe" /e /r /s /spath="%USERPROFILE%\AppData\Local\Temp\OnboardLogs" /stypes="*4063*201708122*"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4063</v>
      </c>
      <c r="V20" s="31">
        <f t="shared" si="3"/>
        <v>42959.848310185182</v>
      </c>
      <c r="W20" s="45" t="str">
        <f t="shared" si="4"/>
        <v>EC</v>
      </c>
      <c r="X20" s="22">
        <f t="shared" si="5"/>
        <v>174</v>
      </c>
      <c r="Y20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{"issue":{"subject":"","project_id":79,"tracker_id":40,"status_id":1,"priority_id":2,"assigned_to_id":23,"start_date":"2017-08-12","description":"","custom_fields":[{"id":1,"name":"Subdivision","value":"EC"},{"id":4,"name":"Milepost","value":"0.0001"},{"id":17,"name":"Train ID","value":"174-12"},{"id":16,"name":"Locomotive ID","value":"4063"},{"id":130,"name":"Impact","value":""},{"id":150,"name":"Time of Event (Mountain Time)","value":"14:21:34"},{"id":151,"name":"Denver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/c/Users/stu/AppData/Local/Temp/OnboardLogs/RTDC4063 --include="*4063*201708122*"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"%USERPROFILE%\AppData\Local\Temp\OnboardLogs"\RTDC4063\*4063*201708122* &gt;&gt; 2017-08-12-SliceDisagreementCheck.txt</v>
      </c>
      <c r="AE20" s="145" t="str">
        <f t="shared" si="9"/>
        <v>start /low /b %USERPROFILE%\Documents\GitHub\eaglep3\Utilities\DownloadLogsFromS3.py --loco 4063 --day 2017-08-12</v>
      </c>
      <c r="AF20" s="1"/>
    </row>
    <row r="21" spans="1:32" x14ac:dyDescent="0.25">
      <c r="A21" s="31">
        <v>42959.628263888888</v>
      </c>
      <c r="B21" s="30" t="s">
        <v>409</v>
      </c>
      <c r="C21" s="30" t="s">
        <v>648</v>
      </c>
      <c r="D21" s="30" t="s">
        <v>49</v>
      </c>
      <c r="E21" s="30" t="s">
        <v>181</v>
      </c>
      <c r="F21" s="42">
        <v>0</v>
      </c>
      <c r="G21" s="42">
        <v>42</v>
      </c>
      <c r="H21" s="42">
        <v>150</v>
      </c>
      <c r="I21" s="42">
        <v>123</v>
      </c>
      <c r="J21" s="30" t="s">
        <v>182</v>
      </c>
      <c r="K21" s="42">
        <v>1</v>
      </c>
      <c r="L21" s="131" t="s">
        <v>51</v>
      </c>
      <c r="M21" s="132">
        <f t="shared" si="0"/>
        <v>64.415999999999997</v>
      </c>
      <c r="N21" s="133" t="str">
        <f>VLOOKUP(C21,'Trips&amp;Operators'!$C$1:$G$99999,5,FALSE)</f>
        <v>BRUDER RICHARD</v>
      </c>
      <c r="O21" s="203" t="s">
        <v>180</v>
      </c>
      <c r="P21" s="134"/>
      <c r="Q21" s="30"/>
      <c r="R21" s="81" t="str">
        <f>VLOOKUP(C21,'Train Runs'!$A$13:$AE$9915,31,0)</f>
        <v>aws s3 cp s3://rtdc.mdm.uploadarchive.raw/RTDC4041/ "%USERPROFILE%\AppData\Local\Temp\OnboardLogs"\RTDC4041\2017-08-12 --exclude "*" --recursive --include "*20170812*" &amp; "%USERPROFILE%\Documents\GitHub\mrs-test-scripts\Headless Mode &amp; Sideloading\WalkAndUnGZ.bat" "%USERPROFILE%\AppData\Local\Temp\OnboardLogs"\RTDC4041\2017-08-12 &amp; aws s3 cp s3://rtdc.mdm.uploadarchive.raw/RTDC4041/ "%USERPROFILE%\AppData\Local\Temp\OnboardLogs"\RTDC4041\2017-08-13 --exclude "*" --recursive --include "*20170813*" &amp; "%USERPROFILE%\Documents\GitHub\mrs-test-scripts\Headless Mode &amp; Sideloading\WalkAndUnGZ.bat" "%USERPROFILE%\AppData\Local\Temp\OnboardLogs"\RTDC4041\2017-08-13</v>
      </c>
      <c r="S21" s="84" t="str">
        <f>VLOOKUP(C21,'Train Runs'!$A$13:$AE$9915,22,0)</f>
        <v>https://d0f6bd738d7f1b3e5a7ca70fe4ff75f0.us-east-1.aws.found.io/app/kibana#/discover/Steve-Slow-Train-Analysis-(2080s-and-2083s)?_g=(refreshInterval:(display:Off,pause:!f,section:0,value:0),time:(from:'2017-08-12T13:22:01-0600',mode:absolute,to:'2017-08-12T16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1" s="86" t="str">
        <f t="shared" si="1"/>
        <v>"C:\Program Files (x86)\AstroGrep\AstroGrep.exe" /e /r /s /spath="%USERPROFILE%\AppData\Local\Temp\OnboardLogs" /stypes="*4041*201708122*" /stext=" 21:.+((SYSTEM_STATE.+slice.+state.+changed )|(ment ac)|(multiple cpu faults)|(system.+state.+changed )|(\[timeout)|(PRM\|1\|D)|(kpr)|(kdp)|(train st.+moving)|(\|lc)|(penalty))"</v>
      </c>
      <c r="U21" s="9" t="str">
        <f t="shared" si="2"/>
        <v>4041</v>
      </c>
      <c r="V21" s="31">
        <f t="shared" si="3"/>
        <v>42959.878263888888</v>
      </c>
      <c r="W21" s="45" t="str">
        <f t="shared" si="4"/>
        <v>EC</v>
      </c>
      <c r="X21" s="22">
        <f t="shared" si="5"/>
        <v>180</v>
      </c>
      <c r="Y21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{"issue":{"subject":"","project_id":79,"tracker_id":40,"status_id":1,"priority_id":2,"assigned_to_id":23,"start_date":"2017-08-12","description":"","custom_fields":[{"id":1,"name":"Subdivision","value":"EC"},{"id":4,"name":"Milepost","value":"0.0001"},{"id":17,"name":"Train ID","value":"180-12"},{"id":16,"name":"Locomotive ID","value":"4041"},{"id":130,"name":"Impact","value":""},{"id":150,"name":"Time of Event (Mountain Time)","value":"15:04:42"},{"id":151,"name":"Denver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/c/Users/stu/AppData/Local/Temp/OnboardLogs/RTDC4041 --include="*4041*201708122*"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"%USERPROFILE%\AppData\Local\Temp\OnboardLogs"\RTDC4041\*4041*201708122* &gt;&gt; 2017-08-12-SliceDisagreementCheck.txt</v>
      </c>
      <c r="AE21" s="145" t="str">
        <f t="shared" si="9"/>
        <v>start /low /b %USERPROFILE%\Documents\GitHub\eaglep3\Utilities\DownloadLogsFromS3.py --loco 4041 --day 2017-08-12</v>
      </c>
      <c r="AF21" s="1"/>
    </row>
    <row r="22" spans="1:32" x14ac:dyDescent="0.25">
      <c r="A22" s="31">
        <v>42959.693553240744</v>
      </c>
      <c r="B22" s="30" t="s">
        <v>533</v>
      </c>
      <c r="C22" s="30" t="s">
        <v>649</v>
      </c>
      <c r="D22" s="30" t="s">
        <v>49</v>
      </c>
      <c r="E22" s="30" t="s">
        <v>181</v>
      </c>
      <c r="F22" s="42">
        <v>0</v>
      </c>
      <c r="G22" s="42">
        <v>47</v>
      </c>
      <c r="H22" s="42">
        <v>167</v>
      </c>
      <c r="I22" s="42">
        <v>139</v>
      </c>
      <c r="J22" s="30" t="s">
        <v>182</v>
      </c>
      <c r="K22" s="42">
        <v>1</v>
      </c>
      <c r="L22" s="131" t="s">
        <v>51</v>
      </c>
      <c r="M22" s="132">
        <f t="shared" si="0"/>
        <v>72.864000000000004</v>
      </c>
      <c r="N22" s="133" t="str">
        <f>VLOOKUP(C22,'Trips&amp;Operators'!$C$1:$G$99999,5,FALSE)</f>
        <v>THOMPSON LESTER</v>
      </c>
      <c r="O22" s="203" t="s">
        <v>180</v>
      </c>
      <c r="P22" s="134"/>
      <c r="Q22" s="30"/>
      <c r="R22" s="81" t="str">
        <f>VLOOKUP(C22,'Train Runs'!$A$13:$AE$9915,31,0)</f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S22" s="84" t="str">
        <f>VLOOKUP(C22,'Train Runs'!$A$13:$AE$9915,22,0)</f>
        <v>https://d0f6bd738d7f1b3e5a7ca70fe4ff75f0.us-east-1.aws.found.io/app/kibana#/discover/Steve-Slow-Train-Analysis-(2080s-and-2083s)?_g=(refreshInterval:(display:Off,pause:!f,section:0,value:0),time:(from:'2017-08-12T14:53:44-0600',mode:absolute,to:'2017-08-12T17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2" s="86" t="str">
        <f t="shared" si="1"/>
        <v>"C:\Program Files (x86)\AstroGrep\AstroGrep.exe" /e /r /s /spath="%USERPROFILE%\AppData\Local\Temp\OnboardLogs" /stypes="*4015*201708122*" /stext=" 22:.+((SYSTEM_STATE.+slice.+state.+changed )|(ment ac)|(multiple cpu faults)|(system.+state.+changed )|(\[timeout)|(PRM\|1\|D)|(kpr)|(kdp)|(train st.+moving)|(\|lc)|(penalty))"</v>
      </c>
      <c r="U22" s="9" t="str">
        <f t="shared" si="2"/>
        <v>4015</v>
      </c>
      <c r="V22" s="31">
        <f t="shared" si="3"/>
        <v>42959.943553240744</v>
      </c>
      <c r="W22" s="45" t="str">
        <f t="shared" si="4"/>
        <v>EC</v>
      </c>
      <c r="X22" s="22">
        <f t="shared" si="5"/>
        <v>192</v>
      </c>
      <c r="Y22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{"issue":{"subject":"","project_id":79,"tracker_id":40,"status_id":1,"priority_id":2,"assigned_to_id":23,"start_date":"2017-08-12","description":"","custom_fields":[{"id":1,"name":"Subdivision","value":"EC"},{"id":4,"name":"Milepost","value":"0.0001"},{"id":17,"name":"Train ID","value":"192-12"},{"id":16,"name":"Locomotive ID","value":"4015"},{"id":130,"name":"Impact","value":""},{"id":150,"name":"Time of Event (Mountain Time)","value":"16:38:43"},{"id":151,"name":"Denver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/c/Users/stu/AppData/Local/Temp/OnboardLogs/RTDC4015 --include="*4015*201708122*"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"%USERPROFILE%\AppData\Local\Temp\OnboardLogs"\RTDC4015\*4015*201708122* &gt;&gt; 2017-08-12-SliceDisagreementCheck.txt</v>
      </c>
      <c r="AE22" s="145" t="str">
        <f t="shared" si="9"/>
        <v>start /low /b %USERPROFILE%\Documents\GitHub\eaglep3\Utilities\DownloadLogsFromS3.py --loco 4015 --day 2017-08-12</v>
      </c>
      <c r="AF22" s="1"/>
    </row>
    <row r="23" spans="1:32" x14ac:dyDescent="0.25">
      <c r="A23" s="31">
        <v>42959.743622685186</v>
      </c>
      <c r="B23" s="30" t="s">
        <v>495</v>
      </c>
      <c r="C23" s="30" t="s">
        <v>652</v>
      </c>
      <c r="D23" s="30" t="s">
        <v>49</v>
      </c>
      <c r="E23" s="30" t="s">
        <v>181</v>
      </c>
      <c r="F23" s="42">
        <v>0</v>
      </c>
      <c r="G23" s="42">
        <v>32</v>
      </c>
      <c r="H23" s="42">
        <v>112</v>
      </c>
      <c r="I23" s="42">
        <v>98</v>
      </c>
      <c r="J23" s="30" t="s">
        <v>182</v>
      </c>
      <c r="K23" s="42">
        <v>1</v>
      </c>
      <c r="L23" s="131" t="s">
        <v>51</v>
      </c>
      <c r="M23" s="132">
        <f t="shared" si="0"/>
        <v>51.216000000000001</v>
      </c>
      <c r="N23" s="133" t="str">
        <f>VLOOKUP(C23,'Trips&amp;Operators'!$C$1:$G$99999,5,FALSE)</f>
        <v>HOLCOMB KAMDEN</v>
      </c>
      <c r="O23" s="203" t="s">
        <v>180</v>
      </c>
      <c r="P23" s="134"/>
      <c r="Q23" s="30"/>
      <c r="R23" s="81" t="str">
        <f>VLOOKUP(C23,'Train Runs'!$A$13:$AE$9915,31,0)</f>
        <v>aws s3 cp s3://rtdc.mdm.uploadarchive.raw/RTDC4063/ "%USERPROFILE%\AppData\Local\Temp\OnboardLogs"\RTDC4063\2017-08-12 --exclude "*" --recursive --include "*20170812*" &amp; "%USERPROFILE%\Documents\GitHub\mrs-test-scripts\Headless Mode &amp; Sideloading\WalkAndUnGZ.bat" "%USERPROFILE%\AppData\Local\Temp\OnboardLogs"\RTDC4063\2017-08-12 &amp; aws s3 cp s3://rtdc.mdm.uploadarchive.raw/RTDC4063/ "%USERPROFILE%\AppData\Local\Temp\OnboardLogs"\RTDC4063\2017-08-13 --exclude "*" --recursive --include "*20170813*" &amp; "%USERPROFILE%\Documents\GitHub\mrs-test-scripts\Headless Mode &amp; Sideloading\WalkAndUnGZ.bat" "%USERPROFILE%\AppData\Local\Temp\OnboardLogs"\RTDC4063\2017-08-13</v>
      </c>
      <c r="S23" s="84" t="str">
        <f>VLOOKUP(C23,'Train Runs'!$A$13:$AE$9915,22,0)</f>
        <v>https://d0f6bd738d7f1b3e5a7ca70fe4ff75f0.us-east-1.aws.found.io/app/kibana#/discover/Steve-Slow-Train-Analysis-(2080s-and-2083s)?_g=(refreshInterval:(display:Off,pause:!f,section:0,value:0),time:(from:'2017-08-12T16:07:52-0600',mode:absolute,to:'2017-08-12T18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3" s="86" t="str">
        <f t="shared" si="1"/>
        <v>"C:\Program Files (x86)\AstroGrep\AstroGrep.exe" /e /r /s /spath="%USERPROFILE%\AppData\Local\Temp\OnboardLogs" /stypes="*4063*201708122*"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4063</v>
      </c>
      <c r="V23" s="31">
        <f t="shared" si="3"/>
        <v>42959.993622685186</v>
      </c>
      <c r="W23" s="45" t="str">
        <f t="shared" si="4"/>
        <v>EC</v>
      </c>
      <c r="X23" s="22">
        <f t="shared" si="5"/>
        <v>202</v>
      </c>
      <c r="Y23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{"issue":{"subject":"","project_id":79,"tracker_id":40,"status_id":1,"priority_id":2,"assigned_to_id":23,"start_date":"2017-08-12","description":"","custom_fields":[{"id":1,"name":"Subdivision","value":"EC"},{"id":4,"name":"Milepost","value":"0.0001"},{"id":17,"name":"Train ID","value":"202-12"},{"id":16,"name":"Locomotive ID","value":"4063"},{"id":130,"name":"Impact","value":""},{"id":150,"name":"Time of Event (Mountain Time)","value":"17:50:49"},{"id":151,"name":"Denver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/c/Users/stu/AppData/Local/Temp/OnboardLogs/RTDC4063 --include="*4063*201708122*"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"%USERPROFILE%\AppData\Local\Temp\OnboardLogs"\RTDC4063\*4063*201708122* &gt;&gt; 2017-08-12-SliceDisagreementCheck.txt</v>
      </c>
      <c r="AE23" s="145" t="str">
        <f t="shared" si="9"/>
        <v>start /low /b %USERPROFILE%\Documents\GitHub\eaglep3\Utilities\DownloadLogsFromS3.py --loco 4063 --day 2017-08-12</v>
      </c>
      <c r="AF23" s="1"/>
    </row>
    <row r="24" spans="1:32" x14ac:dyDescent="0.25">
      <c r="A24" s="31">
        <v>42959.815844907411</v>
      </c>
      <c r="B24" s="30" t="s">
        <v>495</v>
      </c>
      <c r="C24" s="30" t="s">
        <v>655</v>
      </c>
      <c r="D24" s="30" t="s">
        <v>49</v>
      </c>
      <c r="E24" s="30" t="s">
        <v>181</v>
      </c>
      <c r="F24" s="42">
        <v>0</v>
      </c>
      <c r="G24" s="42">
        <v>40</v>
      </c>
      <c r="H24" s="42">
        <v>132</v>
      </c>
      <c r="I24" s="42">
        <v>105</v>
      </c>
      <c r="J24" s="30" t="s">
        <v>182</v>
      </c>
      <c r="K24" s="42">
        <v>1</v>
      </c>
      <c r="L24" s="131" t="s">
        <v>51</v>
      </c>
      <c r="M24" s="132">
        <f t="shared" si="0"/>
        <v>54.911999999999999</v>
      </c>
      <c r="N24" s="133" t="str">
        <f>VLOOKUP(C24,'Trips&amp;Operators'!$C$1:$G$99999,5,FALSE)</f>
        <v>HOLCOMB KAMDEN</v>
      </c>
      <c r="O24" s="203" t="s">
        <v>180</v>
      </c>
      <c r="P24" s="134"/>
      <c r="Q24" s="30"/>
      <c r="R24" s="81" t="str">
        <f>VLOOKUP(C24,'Train Runs'!$A$13:$AE$9915,31,0)</f>
        <v>aws s3 cp s3://rtdc.mdm.uploadarchive.raw/RTDC4063/ "%USERPROFILE%\AppData\Local\Temp\OnboardLogs"\RTDC4063\2017-08-12 --exclude "*" --recursive --include "*20170812*" &amp; "%USERPROFILE%\Documents\GitHub\mrs-test-scripts\Headless Mode &amp; Sideloading\WalkAndUnGZ.bat" "%USERPROFILE%\AppData\Local\Temp\OnboardLogs"\RTDC4063\2017-08-12 &amp; aws s3 cp s3://rtdc.mdm.uploadarchive.raw/RTDC4063/ "%USERPROFILE%\AppData\Local\Temp\OnboardLogs"\RTDC4063\2017-08-13 --exclude "*" --recursive --include "*20170813*" &amp; "%USERPROFILE%\Documents\GitHub\mrs-test-scripts\Headless Mode &amp; Sideloading\WalkAndUnGZ.bat" "%USERPROFILE%\AppData\Local\Temp\OnboardLogs"\RTDC4063\2017-08-13</v>
      </c>
      <c r="S24" s="84" t="str">
        <f>VLOOKUP(C24,'Train Runs'!$A$13:$AE$9915,22,0)</f>
        <v>https://d0f6bd738d7f1b3e5a7ca70fe4ff75f0.us-east-1.aws.found.io/app/kibana#/discover/Steve-Slow-Train-Analysis-(2080s-and-2083s)?_g=(refreshInterval:(display:Off,pause:!f,section:0,value:0),time:(from:'2017-08-12T17:49:51-0600',mode:absolute,to:'2017-08-12T20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4" s="86" t="str">
        <f t="shared" si="1"/>
        <v>"C:\Program Files (x86)\AstroGrep\AstroGrep.exe" /e /r /s /spath="%USERPROFILE%\AppData\Local\Temp\OnboardLogs" /stypes="*4063*201708130*" /stext=" 01:.+((SYSTEM_STATE.+slice.+state.+changed )|(ment ac)|(multiple cpu faults)|(system.+state.+changed )|(\[timeout)|(PRM\|1\|D)|(kpr)|(kdp)|(train st.+moving)|(\|lc)|(penalty))"</v>
      </c>
      <c r="U24" s="9" t="str">
        <f t="shared" si="2"/>
        <v>4063</v>
      </c>
      <c r="V24" s="31">
        <f t="shared" si="3"/>
        <v>42960.065844907411</v>
      </c>
      <c r="W24" s="45" t="str">
        <f t="shared" si="4"/>
        <v>EC</v>
      </c>
      <c r="X24" s="22">
        <f t="shared" si="5"/>
        <v>216</v>
      </c>
      <c r="Y24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{"issue":{"subject":"","project_id":79,"tracker_id":40,"status_id":1,"priority_id":2,"assigned_to_id":23,"start_date":"2017-08-12","description":"","custom_fields":[{"id":1,"name":"Subdivision","value":"EC"},{"id":4,"name":"Milepost","value":"0.0001"},{"id":17,"name":"Train ID","value":"216-12"},{"id":16,"name":"Locomotive ID","value":"4063"},{"id":130,"name":"Impact","value":""},{"id":150,"name":"Time of Event (Mountain Time)","value":"19:34:49"},{"id":151,"name":"Denver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/c/Users/stu/AppData/Local/Temp/OnboardLogs/RTDC4063 --include="*4063*201708130*"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"%USERPROFILE%\AppData\Local\Temp\OnboardLogs"\RTDC4063\*4063*201708130* &gt;&gt; 2017-08-12-SliceDisagreementCheck.txt</v>
      </c>
      <c r="AE24" s="145" t="str">
        <f t="shared" si="9"/>
        <v>start /low /b %USERPROFILE%\Documents\GitHub\eaglep3\Utilities\DownloadLogsFromS3.py --loco 4063 --day 2017-08-13</v>
      </c>
      <c r="AF24" s="1"/>
    </row>
    <row r="25" spans="1:32" x14ac:dyDescent="0.25">
      <c r="A25" s="31">
        <v>42959.836608796293</v>
      </c>
      <c r="B25" s="30" t="s">
        <v>533</v>
      </c>
      <c r="C25" s="30" t="s">
        <v>656</v>
      </c>
      <c r="D25" s="30" t="s">
        <v>49</v>
      </c>
      <c r="E25" s="30" t="s">
        <v>181</v>
      </c>
      <c r="F25" s="42">
        <v>0</v>
      </c>
      <c r="G25" s="42">
        <v>58</v>
      </c>
      <c r="H25" s="42">
        <v>198</v>
      </c>
      <c r="I25" s="42">
        <v>116</v>
      </c>
      <c r="J25" s="30" t="s">
        <v>182</v>
      </c>
      <c r="K25" s="42">
        <v>1</v>
      </c>
      <c r="L25" s="131" t="s">
        <v>51</v>
      </c>
      <c r="M25" s="132">
        <f t="shared" si="0"/>
        <v>60.72</v>
      </c>
      <c r="N25" s="133" t="str">
        <f>VLOOKUP(C25,'Trips&amp;Operators'!$C$1:$G$99999,5,FALSE)</f>
        <v>FORTUNATO FRANK</v>
      </c>
      <c r="O25" s="203" t="s">
        <v>180</v>
      </c>
      <c r="P25" s="134"/>
      <c r="Q25" s="30"/>
      <c r="R25" s="81" t="str">
        <f>VLOOKUP(C25,'Train Runs'!$A$13:$AE$9915,31,0)</f>
        <v>aws s3 cp s3://rtdc.mdm.uploadarchive.raw/RTDC4015/ "%USERPROFILE%\AppData\Local\Temp\OnboardLogs"\RTDC4015\2017-08-12 --exclude "*" --recursive --include "*20170812*" &amp; "%USERPROFILE%\Documents\GitHub\mrs-test-scripts\Headless Mode &amp; Sideloading\WalkAndUnGZ.bat" "%USERPROFILE%\AppData\Local\Temp\OnboardLogs"\RTDC4015\2017-08-12 &amp; aws s3 cp s3://rtdc.mdm.uploadarchive.raw/RTDC4015/ "%USERPROFILE%\AppData\Local\Temp\OnboardLogs"\RTDC4015\2017-08-13 --exclude "*" --recursive --include "*20170813*" &amp; "%USERPROFILE%\Documents\GitHub\mrs-test-scripts\Headless Mode &amp; Sideloading\WalkAndUnGZ.bat" "%USERPROFILE%\AppData\Local\Temp\OnboardLogs"\RTDC4015\2017-08-13</v>
      </c>
      <c r="S25" s="84" t="str">
        <f>VLOOKUP(C25,'Train Runs'!$A$13:$AE$9915,22,0)</f>
        <v>https://d0f6bd738d7f1b3e5a7ca70fe4ff75f0.us-east-1.aws.found.io/app/kibana#/discover/Steve-Slow-Train-Analysis-(2080s-and-2083s)?_g=(refreshInterval:(display:Off,pause:!f,section:0,value:0),time:(from:'2017-08-12T18:13:25-0600',mode:absolute,to:'2017-08-12T21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5" s="86" t="str">
        <f t="shared" si="1"/>
        <v>"C:\Program Files (x86)\AstroGrep\AstroGrep.exe" /e /r /s /spath="%USERPROFILE%\AppData\Local\Temp\OnboardLogs" /stypes="*4015*201708130*" /stext=" 02:.+((SYSTEM_STATE.+slice.+state.+changed )|(ment ac)|(multiple cpu faults)|(system.+state.+changed )|(\[timeout)|(PRM\|1\|D)|(kpr)|(kdp)|(train st.+moving)|(\|lc)|(penalty))"</v>
      </c>
      <c r="U25" s="9" t="str">
        <f t="shared" si="2"/>
        <v>4015</v>
      </c>
      <c r="V25" s="31">
        <f t="shared" si="3"/>
        <v>42960.086608796293</v>
      </c>
      <c r="W25" s="45" t="str">
        <f t="shared" si="4"/>
        <v>EC</v>
      </c>
      <c r="X25" s="22">
        <f t="shared" si="5"/>
        <v>220</v>
      </c>
      <c r="Y25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{"issue":{"subject":"","project_id":79,"tracker_id":40,"status_id":1,"priority_id":2,"assigned_to_id":23,"start_date":"2017-08-12","description":"","custom_fields":[{"id":1,"name":"Subdivision","value":"EC"},{"id":4,"name":"Milepost","value":"0.0001"},{"id":17,"name":"Train ID","value":"220-12"},{"id":16,"name":"Locomotive ID","value":"4015"},{"id":130,"name":"Impact","value":""},{"id":150,"name":"Time of Event (Mountain Time)","value":"20:04:43"},{"id":151,"name":"Denver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/c/Users/stu/AppData/Local/Temp/OnboardLogs/RTDC4015 --include="*4015*201708130*"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"%USERPROFILE%\AppData\Local\Temp\OnboardLogs"\RTDC4015\*4015*201708130* &gt;&gt; 2017-08-12-SliceDisagreementCheck.txt</v>
      </c>
      <c r="AE25" s="145" t="str">
        <f t="shared" si="9"/>
        <v>start /low /b %USERPROFILE%\Documents\GitHub\eaglep3\Utilities\DownloadLogsFromS3.py --loco 4015 --day 2017-08-13</v>
      </c>
      <c r="AF25" s="1"/>
    </row>
    <row r="26" spans="1:32" x14ac:dyDescent="0.25">
      <c r="A26" s="31">
        <v>42959.507384259261</v>
      </c>
      <c r="B26" s="30" t="s">
        <v>640</v>
      </c>
      <c r="C26" s="30" t="s">
        <v>641</v>
      </c>
      <c r="D26" s="30" t="s">
        <v>49</v>
      </c>
      <c r="E26" s="30" t="s">
        <v>181</v>
      </c>
      <c r="F26" s="42">
        <v>0</v>
      </c>
      <c r="G26" s="42">
        <v>76</v>
      </c>
      <c r="H26" s="42">
        <v>233223</v>
      </c>
      <c r="I26" s="42">
        <v>233314</v>
      </c>
      <c r="J26" s="30" t="s">
        <v>182</v>
      </c>
      <c r="K26" s="42">
        <v>233491</v>
      </c>
      <c r="L26" s="131" t="s">
        <v>50</v>
      </c>
      <c r="M26" s="132">
        <f t="shared" si="0"/>
        <v>93.456000000000003</v>
      </c>
      <c r="N26" s="133" t="str">
        <f>VLOOKUP(C26,'Trips&amp;Operators'!$C$1:$G$99999,5,FALSE)</f>
        <v>THOMPSON LESTER</v>
      </c>
      <c r="O26" s="203" t="s">
        <v>180</v>
      </c>
      <c r="P26" s="134"/>
      <c r="Q26" s="30"/>
      <c r="R26" s="81" t="str">
        <f>VLOOKUP(C26,'Train Runs'!$A$13:$AE$9915,31,0)</f>
        <v>aws s3 cp s3://rtdc.mdm.uploadarchive.raw/RTDC4016/ "%USERPROFILE%\AppData\Local\Temp\OnboardLogs"\RTDC4016\2017-08-12 --exclude "*" --recursive --include "*20170812*" &amp; "%USERPROFILE%\Documents\GitHub\mrs-test-scripts\Headless Mode &amp; Sideloading\WalkAndUnGZ.bat" "%USERPROFILE%\AppData\Local\Temp\OnboardLogs"\RTDC4016\2017-08-12 &amp; 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</v>
      </c>
      <c r="S26" s="84" t="str">
        <f>VLOOKUP(C26,'Train Runs'!$A$13:$AE$9915,22,0)</f>
        <v>https://d0f6bd738d7f1b3e5a7ca70fe4ff75f0.us-east-1.aws.found.io/app/kibana#/discover/Steve-Slow-Train-Analysis-(2080s-and-2083s)?_g=(refreshInterval:(display:Off,pause:!f,section:0,value:0),time:(from:'2017-08-12T10:24:24-0600',mode:absolute,to:'2017-08-12T13:10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6" s="86" t="str">
        <f t="shared" si="1"/>
        <v>"C:\Program Files (x86)\AstroGrep\AstroGrep.exe" /e /r /s /spath="%USERPROFILE%\AppData\Local\Temp\OnboardLogs" /stypes="*4016*201708121*" /stext=" 18:.+((SYSTEM_STATE.+slice.+state.+changed )|(ment ac)|(multiple cpu faults)|(system.+state.+changed )|(\[timeout)|(PRM\|1\|D)|(kpr)|(kdp)|(train st.+moving)|(\|lc)|(penalty))"</v>
      </c>
      <c r="U26" s="9" t="str">
        <f t="shared" si="2"/>
        <v>4016</v>
      </c>
      <c r="V26" s="31">
        <f t="shared" si="3"/>
        <v>42959.757384259261</v>
      </c>
      <c r="W26" s="45" t="str">
        <f t="shared" si="4"/>
        <v>EC</v>
      </c>
      <c r="X26" s="22">
        <f t="shared" si="5"/>
        <v>163</v>
      </c>
      <c r="Y26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{"issue":{"subject":"","project_id":79,"tracker_id":40,"status_id":1,"priority_id":2,"assigned_to_id":23,"start_date":"2017-08-12","description":"","custom_fields":[{"id":1,"name":"Subdivision","value":"EC"},{"id":4,"name":"Milepost","value":"23.3491"},{"id":17,"name":"Train ID","value":"163-12"},{"id":16,"name":"Locomotive ID","value":"4016"},{"id":130,"name":"Impact","value":""},{"id":150,"name":"Time of Event (Mountain Time)","value":"12:10:38"},{"id":151,"name":"Denver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/c/Users/stu/AppData/Local/Temp/OnboardLogs/RTDC4016 --include="*4016*201708121*"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"%USERPROFILE%\AppData\Local\Temp\OnboardLogs"\RTDC4016\*4016*201708121* &gt;&gt; 2017-08-12-SliceDisagreementCheck.txt</v>
      </c>
      <c r="AE26" s="145" t="str">
        <f t="shared" si="9"/>
        <v>start /low /b %USERPROFILE%\Documents\GitHub\eaglep3\Utilities\DownloadLogsFromS3.py --loco 4016 --day 2017-08-12</v>
      </c>
      <c r="AF26" s="1"/>
    </row>
    <row r="27" spans="1:32" x14ac:dyDescent="0.25">
      <c r="A27" s="31">
        <v>42959.555625000001</v>
      </c>
      <c r="B27" s="30" t="s">
        <v>481</v>
      </c>
      <c r="C27" s="30" t="s">
        <v>642</v>
      </c>
      <c r="D27" s="30" t="s">
        <v>49</v>
      </c>
      <c r="E27" s="30" t="s">
        <v>181</v>
      </c>
      <c r="F27" s="42">
        <v>0</v>
      </c>
      <c r="G27" s="42">
        <v>40</v>
      </c>
      <c r="H27" s="42">
        <v>233418</v>
      </c>
      <c r="I27" s="42">
        <v>233437</v>
      </c>
      <c r="J27" s="30" t="s">
        <v>182</v>
      </c>
      <c r="K27" s="42">
        <v>233491</v>
      </c>
      <c r="L27" s="131" t="s">
        <v>50</v>
      </c>
      <c r="M27" s="132">
        <f t="shared" si="0"/>
        <v>28.512</v>
      </c>
      <c r="N27" s="133" t="str">
        <f>VLOOKUP(C27,'Trips&amp;Operators'!$C$1:$G$99999,5,FALSE)</f>
        <v>HOLCOMB KAMDEN</v>
      </c>
      <c r="O27" s="203" t="s">
        <v>180</v>
      </c>
      <c r="P27" s="134"/>
      <c r="Q27" s="30"/>
      <c r="R27" s="81" t="str">
        <f>VLOOKUP(C27,'Train Runs'!$A$13:$AE$9915,31,0)</f>
        <v>aws s3 cp s3://rtdc.mdm.uploadarchive.raw/RTDC4064/ "%USERPROFILE%\AppData\Local\Temp\OnboardLogs"\RTDC4064\2017-08-12 --exclude "*" --recursive --include "*20170812*" &amp; "%USERPROFILE%\Documents\GitHub\mrs-test-scripts\Headless Mode &amp; Sideloading\WalkAndUnGZ.bat" "%USERPROFILE%\AppData\Local\Temp\OnboardLogs"\RTDC4064\2017-08-12 &amp; aws s3 cp s3://rtdc.mdm.uploadarchive.raw/RTDC4064/ "%USERPROFILE%\AppData\Local\Temp\OnboardLogs"\RTDC4064\2017-08-13 --exclude "*" --recursive --include "*20170813*" &amp; "%USERPROFILE%\Documents\GitHub\mrs-test-scripts\Headless Mode &amp; Sideloading\WalkAndUnGZ.bat" "%USERPROFILE%\AppData\Local\Temp\OnboardLogs"\RTDC4064\2017-08-13</v>
      </c>
      <c r="S27" s="84" t="str">
        <f>VLOOKUP(C27,'Train Runs'!$A$13:$AE$9915,22,0)</f>
        <v>https://d0f6bd738d7f1b3e5a7ca70fe4ff75f0.us-east-1.aws.found.io/app/kibana#/discover/Steve-Slow-Train-Analysis-(2080s-and-2083s)?_g=(refreshInterval:(display:Off,pause:!f,section:0,value:0),time:(from:'2017-08-12T11:41:35-0600',mode:absolute,to:'2017-08-12T14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7" s="86" t="str">
        <f t="shared" si="1"/>
        <v>"C:\Program Files (x86)\AstroGrep\AstroGrep.exe" /e /r /s /spath="%USERPROFILE%\AppData\Local\Temp\OnboardLogs" /stypes="*4064*201708121*" /stext=" 19:.+((SYSTEM_STATE.+slice.+state.+changed )|(ment ac)|(multiple cpu faults)|(system.+state.+changed )|(\[timeout)|(PRM\|1\|D)|(kpr)|(kdp)|(train st.+moving)|(\|lc)|(penalty))"</v>
      </c>
      <c r="U27" s="9" t="str">
        <f t="shared" si="2"/>
        <v>4064</v>
      </c>
      <c r="V27" s="31">
        <f t="shared" si="3"/>
        <v>42959.805625000001</v>
      </c>
      <c r="W27" s="45" t="str">
        <f t="shared" si="4"/>
        <v>EC</v>
      </c>
      <c r="X27" s="22">
        <f t="shared" si="5"/>
        <v>173</v>
      </c>
      <c r="Y27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{"issue":{"subject":"","project_id":79,"tracker_id":40,"status_id":1,"priority_id":2,"assigned_to_id":23,"start_date":"2017-08-12","description":"","custom_fields":[{"id":1,"name":"Subdivision","value":"EC"},{"id":4,"name":"Milepost","value":"23.3491"},{"id":17,"name":"Train ID","value":"173-12"},{"id":16,"name":"Locomotive ID","value":"4064"},{"id":130,"name":"Impact","value":""},{"id":150,"name":"Time of Event (Mountain Time)","value":"13:20:06"},{"id":151,"name":"Denver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/c/Users/stu/AppData/Local/Temp/OnboardLogs/RTDC4064 --include="*4064*201708121*"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"%USERPROFILE%\AppData\Local\Temp\OnboardLogs"\RTDC4064\*4064*201708121* &gt;&gt; 2017-08-12-SliceDisagreementCheck.txt</v>
      </c>
      <c r="AE27" s="145" t="str">
        <f t="shared" si="9"/>
        <v>start /low /b %USERPROFILE%\Documents\GitHub\eaglep3\Utilities\DownloadLogsFromS3.py --loco 4064 --day 2017-08-12</v>
      </c>
      <c r="AF27" s="1"/>
    </row>
    <row r="28" spans="1:32" x14ac:dyDescent="0.25">
      <c r="A28" s="31">
        <v>42959.60796296296</v>
      </c>
      <c r="B28" s="30" t="s">
        <v>362</v>
      </c>
      <c r="C28" s="30" t="s">
        <v>645</v>
      </c>
      <c r="D28" s="30" t="s">
        <v>49</v>
      </c>
      <c r="E28" s="30" t="s">
        <v>181</v>
      </c>
      <c r="F28" s="42">
        <v>0</v>
      </c>
      <c r="G28" s="42">
        <v>163</v>
      </c>
      <c r="H28" s="42">
        <v>232847</v>
      </c>
      <c r="I28" s="42">
        <v>233117</v>
      </c>
      <c r="J28" s="30" t="s">
        <v>182</v>
      </c>
      <c r="K28" s="42">
        <v>233491</v>
      </c>
      <c r="L28" s="131" t="s">
        <v>50</v>
      </c>
      <c r="M28" s="132">
        <f t="shared" si="0"/>
        <v>197.47200000000001</v>
      </c>
      <c r="N28" s="133" t="str">
        <f>VLOOKUP(C28,'Trips&amp;Operators'!$C$1:$G$99999,5,FALSE)</f>
        <v>DELGADO DIANAH</v>
      </c>
      <c r="O28" s="203" t="s">
        <v>180</v>
      </c>
      <c r="P28" s="134"/>
      <c r="Q28" s="30"/>
      <c r="R28" s="81" t="str">
        <f>VLOOKUP(C28,'Train Runs'!$A$13:$AE$9915,31,0)</f>
        <v>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 &amp; aws s3 cp s3://rtdc.mdm.uploadarchive.raw/RTDC4014/ "%USERPROFILE%\AppData\Local\Temp\OnboardLogs"\RTDC4014\2017-08-13 --exclude "*" --recursive --include "*20170813*" &amp; "%USERPROFILE%\Documents\GitHub\mrs-test-scripts\Headless Mode &amp; Sideloading\WalkAndUnGZ.bat" "%USERPROFILE%\AppData\Local\Temp\OnboardLogs"\RTDC4014\2017-08-13</v>
      </c>
      <c r="S28" s="84" t="str">
        <f>VLOOKUP(C28,'Train Runs'!$A$13:$AE$9915,22,0)</f>
        <v>https://d0f6bd738d7f1b3e5a7ca70fe4ff75f0.us-east-1.aws.found.io/app/kibana#/discover/Steve-Slow-Train-Analysis-(2080s-and-2083s)?_g=(refreshInterval:(display:Off,pause:!f,section:0,value:0),time:(from:'2017-08-12T12:53:09-0600',mode:absolute,to:'2017-08-12T15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8" s="86" t="str">
        <f t="shared" si="1"/>
        <v>"C:\Program Files (x86)\AstroGrep\AstroGrep.exe" /e /r /s /spath="%USERPROFILE%\AppData\Local\Temp\OnboardLogs" /stypes="*4014*201708122*" /stext=" 20:.+((SYSTEM_STATE.+slice.+state.+changed )|(ment ac)|(multiple cpu faults)|(system.+state.+changed )|(\[timeout)|(PRM\|1\|D)|(kpr)|(kdp)|(train st.+moving)|(\|lc)|(penalty))"</v>
      </c>
      <c r="U28" s="9" t="str">
        <f t="shared" si="2"/>
        <v>4014</v>
      </c>
      <c r="V28" s="31">
        <f t="shared" si="3"/>
        <v>42959.85796296296</v>
      </c>
      <c r="W28" s="45" t="str">
        <f t="shared" si="4"/>
        <v>EC</v>
      </c>
      <c r="X28" s="22">
        <f t="shared" si="5"/>
        <v>183</v>
      </c>
      <c r="Y28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{"issue":{"subject":"","project_id":79,"tracker_id":40,"status_id":1,"priority_id":2,"assigned_to_id":23,"start_date":"2017-08-12","description":"","custom_fields":[{"id":1,"name":"Subdivision","value":"EC"},{"id":4,"name":"Milepost","value":"23.3491"},{"id":17,"name":"Train ID","value":"183-12"},{"id":16,"name":"Locomotive ID","value":"4014"},{"id":130,"name":"Impact","value":""},{"id":150,"name":"Time of Event (Mountain Time)","value":"14:35:28"},{"id":151,"name":"Denver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/c/Users/stu/AppData/Local/Temp/OnboardLogs/RTDC4014 --include="*4014*201708122*"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"%USERPROFILE%\AppData\Local\Temp\OnboardLogs"\RTDC4014\*4014*201708122* &gt;&gt; 2017-08-12-SliceDisagreementCheck.txt</v>
      </c>
      <c r="AE28" s="145" t="str">
        <f t="shared" si="9"/>
        <v>start /low /b %USERPROFILE%\Documents\GitHub\eaglep3\Utilities\DownloadLogsFromS3.py --loco 4014 --day 2017-08-12</v>
      </c>
      <c r="AF28" s="1"/>
    </row>
    <row r="29" spans="1:32" x14ac:dyDescent="0.25">
      <c r="A29" s="31">
        <v>42959.608564814815</v>
      </c>
      <c r="B29" s="30" t="s">
        <v>362</v>
      </c>
      <c r="C29" s="30" t="s">
        <v>645</v>
      </c>
      <c r="D29" s="30" t="s">
        <v>49</v>
      </c>
      <c r="E29" s="30" t="s">
        <v>181</v>
      </c>
      <c r="F29" s="42">
        <v>0</v>
      </c>
      <c r="G29" s="42">
        <v>59</v>
      </c>
      <c r="H29" s="42">
        <v>233336</v>
      </c>
      <c r="I29" s="42">
        <v>233376</v>
      </c>
      <c r="J29" s="30" t="s">
        <v>182</v>
      </c>
      <c r="K29" s="42">
        <v>233491</v>
      </c>
      <c r="L29" s="131" t="s">
        <v>50</v>
      </c>
      <c r="M29" s="132">
        <f t="shared" si="0"/>
        <v>60.72</v>
      </c>
      <c r="N29" s="133" t="str">
        <f>VLOOKUP(C29,'Trips&amp;Operators'!$C$1:$G$99999,5,FALSE)</f>
        <v>DELGADO DIANAH</v>
      </c>
      <c r="O29" s="203" t="s">
        <v>180</v>
      </c>
      <c r="P29" s="134"/>
      <c r="Q29" s="30"/>
      <c r="R29" s="81" t="str">
        <f>VLOOKUP(C29,'Train Runs'!$A$13:$AE$9915,31,0)</f>
        <v>aws s3 cp s3://rtdc.mdm.uploadarchive.raw/RTDC4014/ "%USERPROFILE%\AppData\Local\Temp\OnboardLogs"\RTDC4014\2017-08-12 --exclude "*" --recursive --include "*20170812*" &amp; "%USERPROFILE%\Documents\GitHub\mrs-test-scripts\Headless Mode &amp; Sideloading\WalkAndUnGZ.bat" "%USERPROFILE%\AppData\Local\Temp\OnboardLogs"\RTDC4014\2017-08-12 &amp; aws s3 cp s3://rtdc.mdm.uploadarchive.raw/RTDC4014/ "%USERPROFILE%\AppData\Local\Temp\OnboardLogs"\RTDC4014\2017-08-13 --exclude "*" --recursive --include "*20170813*" &amp; "%USERPROFILE%\Documents\GitHub\mrs-test-scripts\Headless Mode &amp; Sideloading\WalkAndUnGZ.bat" "%USERPROFILE%\AppData\Local\Temp\OnboardLogs"\RTDC4014\2017-08-13</v>
      </c>
      <c r="S29" s="84" t="str">
        <f>VLOOKUP(C29,'Train Runs'!$A$13:$AE$9915,22,0)</f>
        <v>https://d0f6bd738d7f1b3e5a7ca70fe4ff75f0.us-east-1.aws.found.io/app/kibana#/discover/Steve-Slow-Train-Analysis-(2080s-and-2083s)?_g=(refreshInterval:(display:Off,pause:!f,section:0,value:0),time:(from:'2017-08-12T12:53:09-0600',mode:absolute,to:'2017-08-12T15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9" s="86" t="str">
        <f t="shared" si="1"/>
        <v>"C:\Program Files (x86)\AstroGrep\AstroGrep.exe" /e /r /s /spath="%USERPROFILE%\AppData\Local\Temp\OnboardLogs" /stypes="*4014*201708122*" /stext=" 20:.+((SYSTEM_STATE.+slice.+state.+changed )|(ment ac)|(multiple cpu faults)|(system.+state.+changed )|(\[timeout)|(PRM\|1\|D)|(kpr)|(kdp)|(train st.+moving)|(\|lc)|(penalty))"</v>
      </c>
      <c r="U29" s="9" t="str">
        <f t="shared" si="2"/>
        <v>4014</v>
      </c>
      <c r="V29" s="31">
        <f t="shared" si="3"/>
        <v>42959.858564814815</v>
      </c>
      <c r="W29" s="45" t="str">
        <f t="shared" si="4"/>
        <v>EC</v>
      </c>
      <c r="X29" s="22">
        <f t="shared" si="5"/>
        <v>183</v>
      </c>
      <c r="Y29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{"issue":{"subject":"","project_id":79,"tracker_id":40,"status_id":1,"priority_id":2,"assigned_to_id":23,"start_date":"2017-08-12","description":"","custom_fields":[{"id":1,"name":"Subdivision","value":"EC"},{"id":4,"name":"Milepost","value":"23.3491"},{"id":17,"name":"Train ID","value":"183-12"},{"id":16,"name":"Locomotive ID","value":"4014"},{"id":130,"name":"Impact","value":""},{"id":150,"name":"Time of Event (Mountain Time)","value":"14:36:20"},{"id":151,"name":"Denver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/c/Users/stu/AppData/Local/Temp/OnboardLogs/RTDC4014 --include="*4014*201708122*"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"%USERPROFILE%\AppData\Local\Temp\OnboardLogs"\RTDC4014\*4014*201708122* &gt;&gt; 2017-08-12-SliceDisagreementCheck.txt</v>
      </c>
      <c r="AE29" s="145" t="str">
        <f t="shared" si="9"/>
        <v>start /low /b %USERPROFILE%\Documents\GitHub\eaglep3\Utilities\DownloadLogsFromS3.py --loco 4014 --day 2017-08-12</v>
      </c>
      <c r="AF29" s="1"/>
    </row>
    <row r="30" spans="1:32" x14ac:dyDescent="0.25">
      <c r="A30" s="31">
        <v>42959.702256944445</v>
      </c>
      <c r="B30" s="30" t="s">
        <v>481</v>
      </c>
      <c r="C30" s="30" t="s">
        <v>650</v>
      </c>
      <c r="D30" s="30" t="s">
        <v>49</v>
      </c>
      <c r="E30" s="30" t="s">
        <v>181</v>
      </c>
      <c r="F30" s="42">
        <v>0</v>
      </c>
      <c r="G30" s="42">
        <v>29</v>
      </c>
      <c r="H30" s="42">
        <v>233412</v>
      </c>
      <c r="I30" s="42">
        <v>233428</v>
      </c>
      <c r="J30" s="30" t="s">
        <v>182</v>
      </c>
      <c r="K30" s="42">
        <v>233491</v>
      </c>
      <c r="L30" s="131" t="s">
        <v>50</v>
      </c>
      <c r="M30" s="132">
        <f t="shared" si="0"/>
        <v>33.264000000000003</v>
      </c>
      <c r="N30" s="133" t="str">
        <f>VLOOKUP(C30,'Trips&amp;Operators'!$C$1:$G$99999,5,FALSE)</f>
        <v>HOLCOMB KAMDEN</v>
      </c>
      <c r="O30" s="203" t="s">
        <v>180</v>
      </c>
      <c r="P30" s="134"/>
      <c r="Q30" s="30"/>
      <c r="R30" s="81" t="str">
        <f>VLOOKUP(C30,'Train Runs'!$A$13:$AE$9915,31,0)</f>
        <v>aws s3 cp s3://rtdc.mdm.uploadarchive.raw/RTDC4064/ "%USERPROFILE%\AppData\Local\Temp\OnboardLogs"\RTDC4064\2017-08-12 --exclude "*" --recursive --include "*20170812*" &amp; "%USERPROFILE%\Documents\GitHub\mrs-test-scripts\Headless Mode &amp; Sideloading\WalkAndUnGZ.bat" "%USERPROFILE%\AppData\Local\Temp\OnboardLogs"\RTDC4064\2017-08-12 &amp; aws s3 cp s3://rtdc.mdm.uploadarchive.raw/RTDC4064/ "%USERPROFILE%\AppData\Local\Temp\OnboardLogs"\RTDC4064\2017-08-13 --exclude "*" --recursive --include "*20170813*" &amp; "%USERPROFILE%\Documents\GitHub\mrs-test-scripts\Headless Mode &amp; Sideloading\WalkAndUnGZ.bat" "%USERPROFILE%\AppData\Local\Temp\OnboardLogs"\RTDC4064\2017-08-13</v>
      </c>
      <c r="S30" s="84" t="str">
        <f>VLOOKUP(C30,'Train Runs'!$A$13:$AE$9915,22,0)</f>
        <v>https://d0f6bd738d7f1b3e5a7ca70fe4ff75f0.us-east-1.aws.found.io/app/kibana#/discover/Steve-Slow-Train-Analysis-(2080s-and-2083s)?_g=(refreshInterval:(display:Off,pause:!f,section:0,value:0),time:(from:'2017-08-12T15:12:09-0600',mode:absolute,to:'2017-08-12T17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0" s="86" t="str">
        <f t="shared" si="1"/>
        <v>"C:\Program Files (x86)\AstroGrep\AstroGrep.exe" /e /r /s /spath="%USERPROFILE%\AppData\Local\Temp\OnboardLogs" /stypes="*4064*201708122*" /stext=" 22:.+((SYSTEM_STATE.+slice.+state.+changed )|(ment ac)|(multiple cpu faults)|(system.+state.+changed )|(\[timeout)|(PRM\|1\|D)|(kpr)|(kdp)|(train st.+moving)|(\|lc)|(penalty))"</v>
      </c>
      <c r="U30" s="9" t="str">
        <f t="shared" si="2"/>
        <v>4064</v>
      </c>
      <c r="V30" s="31">
        <f t="shared" si="3"/>
        <v>42959.952256944445</v>
      </c>
      <c r="W30" s="45" t="str">
        <f t="shared" si="4"/>
        <v>EC</v>
      </c>
      <c r="X30" s="22">
        <f t="shared" si="5"/>
        <v>201</v>
      </c>
      <c r="Y30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{"issue":{"subject":"","project_id":79,"tracker_id":40,"status_id":1,"priority_id":2,"assigned_to_id":23,"start_date":"2017-08-12","description":"","custom_fields":[{"id":1,"name":"Subdivision","value":"EC"},{"id":4,"name":"Milepost","value":"23.3491"},{"id":17,"name":"Train ID","value":"201-12"},{"id":16,"name":"Locomotive ID","value":"4064"},{"id":130,"name":"Impact","value":""},{"id":150,"name":"Time of Event (Mountain Time)","value":"16:51:15"},{"id":151,"name":"Denver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/c/Users/stu/AppData/Local/Temp/OnboardLogs/RTDC4064 --include="*4064*201708122*"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"%USERPROFILE%\AppData\Local\Temp\OnboardLogs"\RTDC4064\*4064*201708122* &gt;&gt; 2017-08-12-SliceDisagreementCheck.txt</v>
      </c>
      <c r="AE30" s="145" t="str">
        <f t="shared" si="9"/>
        <v>start /low /b %USERPROFILE%\Documents\GitHub\eaglep3\Utilities\DownloadLogsFromS3.py --loco 4064 --day 2017-08-12</v>
      </c>
      <c r="AF30" s="1"/>
    </row>
    <row r="31" spans="1:32" x14ac:dyDescent="0.25">
      <c r="A31" s="31">
        <v>42959.775254629632</v>
      </c>
      <c r="B31" s="30" t="s">
        <v>481</v>
      </c>
      <c r="C31" s="30" t="s">
        <v>654</v>
      </c>
      <c r="D31" s="30" t="s">
        <v>49</v>
      </c>
      <c r="E31" s="30" t="s">
        <v>181</v>
      </c>
      <c r="F31" s="42">
        <v>0</v>
      </c>
      <c r="G31" s="42">
        <v>34</v>
      </c>
      <c r="H31" s="42">
        <v>233406</v>
      </c>
      <c r="I31" s="42">
        <v>233429</v>
      </c>
      <c r="J31" s="30" t="s">
        <v>182</v>
      </c>
      <c r="K31" s="42">
        <v>233491</v>
      </c>
      <c r="L31" s="131" t="s">
        <v>50</v>
      </c>
      <c r="M31" s="132">
        <f t="shared" si="0"/>
        <v>32.735999999999997</v>
      </c>
      <c r="N31" s="133" t="str">
        <f>VLOOKUP(C31,'Trips&amp;Operators'!$C$1:$G$99999,5,FALSE)</f>
        <v>HOLCOMB KAMDEN</v>
      </c>
      <c r="O31" s="203" t="s">
        <v>180</v>
      </c>
      <c r="P31" s="134"/>
      <c r="Q31" s="30"/>
      <c r="R31" s="81" t="str">
        <f>VLOOKUP(C31,'Train Runs'!$A$13:$AE$9915,31,0)</f>
        <v>aws s3 cp s3://rtdc.mdm.uploadarchive.raw/RTDC4064/ "%USERPROFILE%\AppData\Local\Temp\OnboardLogs"\RTDC4064\2017-08-12 --exclude "*" --recursive --include "*20170812*" &amp; "%USERPROFILE%\Documents\GitHub\mrs-test-scripts\Headless Mode &amp; Sideloading\WalkAndUnGZ.bat" "%USERPROFILE%\AppData\Local\Temp\OnboardLogs"\RTDC4064\2017-08-12 &amp; aws s3 cp s3://rtdc.mdm.uploadarchive.raw/RTDC4064/ "%USERPROFILE%\AppData\Local\Temp\OnboardLogs"\RTDC4064\2017-08-13 --exclude "*" --recursive --include "*20170813*" &amp; "%USERPROFILE%\Documents\GitHub\mrs-test-scripts\Headless Mode &amp; Sideloading\WalkAndUnGZ.bat" "%USERPROFILE%\AppData\Local\Temp\OnboardLogs"\RTDC4064\2017-08-13</v>
      </c>
      <c r="S31" s="84" t="str">
        <f>VLOOKUP(C31,'Train Runs'!$A$13:$AE$9915,22,0)</f>
        <v>https://d0f6bd738d7f1b3e5a7ca70fe4ff75f0.us-east-1.aws.found.io/app/kibana#/discover/Steve-Slow-Train-Analysis-(2080s-and-2083s)?_g=(refreshInterval:(display:Off,pause:!f,section:0,value:0),time:(from:'2017-08-12T16:56:08-0600',mode:absolute,to:'2017-08-12T19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1" s="86" t="str">
        <f t="shared" si="1"/>
        <v>"C:\Program Files (x86)\AstroGrep\AstroGrep.exe" /e /r /s /spath="%USERPROFILE%\AppData\Local\Temp\OnboardLogs" /stypes="*4064*201708130*" /stext=" 00:.+((SYSTEM_STATE.+slice.+state.+changed )|(ment ac)|(multiple cpu faults)|(system.+state.+changed )|(\[timeout)|(PRM\|1\|D)|(kpr)|(kdp)|(train st.+moving)|(\|lc)|(penalty))"</v>
      </c>
      <c r="U31" s="9" t="str">
        <f t="shared" si="2"/>
        <v>4064</v>
      </c>
      <c r="V31" s="31">
        <f t="shared" si="3"/>
        <v>42960.025254629632</v>
      </c>
      <c r="W31" s="45" t="str">
        <f t="shared" si="4"/>
        <v>EC</v>
      </c>
      <c r="X31" s="22">
        <f t="shared" si="5"/>
        <v>215</v>
      </c>
      <c r="Y31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{"issue":{"subject":"","project_id":79,"tracker_id":40,"status_id":1,"priority_id":2,"assigned_to_id":23,"start_date":"2017-08-12","description":"","custom_fields":[{"id":1,"name":"Subdivision","value":"EC"},{"id":4,"name":"Milepost","value":"23.3491"},{"id":17,"name":"Train ID","value":"215-12"},{"id":16,"name":"Locomotive ID","value":"4064"},{"id":130,"name":"Impact","value":""},{"id":150,"name":"Time of Event (Mountain Time)","value":"18:36:22"},{"id":151,"name":"Denver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/c/Users/stu/AppData/Local/Temp/OnboardLogs/RTDC4064 --include="*4064*201708130*"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"%USERPROFILE%\AppData\Local\Temp\OnboardLogs"\RTDC4064\*4064*201708130* &gt;&gt; 2017-08-12-SliceDisagreementCheck.txt</v>
      </c>
      <c r="AE31" s="145" t="str">
        <f t="shared" si="9"/>
        <v>start /low /b %USERPROFILE%\Documents\GitHub\eaglep3\Utilities\DownloadLogsFromS3.py --loco 4064 --day 2017-08-13</v>
      </c>
      <c r="AF31" s="1"/>
    </row>
    <row r="32" spans="1:32" x14ac:dyDescent="0.25">
      <c r="A32" s="31">
        <v>42959.859236111108</v>
      </c>
      <c r="B32" s="30" t="s">
        <v>506</v>
      </c>
      <c r="C32" s="30" t="s">
        <v>657</v>
      </c>
      <c r="D32" s="30" t="s">
        <v>49</v>
      </c>
      <c r="E32" s="30" t="s">
        <v>181</v>
      </c>
      <c r="F32" s="42">
        <v>0</v>
      </c>
      <c r="G32" s="42">
        <v>43</v>
      </c>
      <c r="H32" s="42">
        <v>233397</v>
      </c>
      <c r="I32" s="42">
        <v>233433</v>
      </c>
      <c r="J32" s="30" t="s">
        <v>182</v>
      </c>
      <c r="K32" s="42">
        <v>233491</v>
      </c>
      <c r="L32" s="131" t="s">
        <v>50</v>
      </c>
      <c r="M32" s="132">
        <f t="shared" si="0"/>
        <v>30.623999999999999</v>
      </c>
      <c r="N32" s="133" t="str">
        <f>VLOOKUP(C32,'Trips&amp;Operators'!$C$1:$G$99999,5,FALSE)</f>
        <v>PERKINS DARREN</v>
      </c>
      <c r="O32" s="203" t="s">
        <v>180</v>
      </c>
      <c r="P32" s="134"/>
      <c r="Q32" s="30"/>
      <c r="R32" s="81" t="str">
        <f>VLOOKUP(C32,'Train Runs'!$A$13:$AE$9915,31,0)</f>
        <v>aws s3 cp s3://rtdc.mdm.uploadarchive.raw/RTDC4050/ "%USERPROFILE%\AppData\Local\Temp\OnboardLogs"\RTDC4050\2017-08-12 --exclude "*" --recursive --include "*20170812*" &amp; "%USERPROFILE%\Documents\GitHub\mrs-test-scripts\Headless Mode &amp; Sideloading\WalkAndUnGZ.bat" "%USERPROFILE%\AppData\Local\Temp\OnboardLogs"\RTDC4050\2017-08-12 &amp; aws s3 cp s3://rtdc.mdm.uploadarchive.raw/RTDC4050/ "%USERPROFILE%\AppData\Local\Temp\OnboardLogs"\RTDC4050\2017-08-13 --exclude "*" --recursive --include "*20170813*" &amp; "%USERPROFILE%\Documents\GitHub\mrs-test-scripts\Headless Mode &amp; Sideloading\WalkAndUnGZ.bat" "%USERPROFILE%\AppData\Local\Temp\OnboardLogs"\RTDC4050\2017-08-13</v>
      </c>
      <c r="S32" s="84" t="str">
        <f>VLOOKUP(C32,'Train Runs'!$A$13:$AE$9915,22,0)</f>
        <v>https://d0f6bd738d7f1b3e5a7ca70fe4ff75f0.us-east-1.aws.found.io/app/kibana#/discover/Steve-Slow-Train-Analysis-(2080s-and-2083s)?_g=(refreshInterval:(display:Off,pause:!f,section:0,value:0),time:(from:'2017-08-12T18:52:59-0600',mode:absolute,to:'2017-08-12T21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2" s="86" t="str">
        <f t="shared" si="1"/>
        <v>"C:\Program Files (x86)\AstroGrep\AstroGrep.exe" /e /r /s /spath="%USERPROFILE%\AppData\Local\Temp\OnboardLogs" /stypes="*4050*201708130*" /stext=" 02:.+((SYSTEM_STATE.+slice.+state.+changed )|(ment ac)|(multiple cpu faults)|(system.+state.+changed )|(\[timeout)|(PRM\|1\|D)|(kpr)|(kdp)|(train st.+moving)|(\|lc)|(penalty))"</v>
      </c>
      <c r="U32" s="9" t="str">
        <f t="shared" si="2"/>
        <v>4050</v>
      </c>
      <c r="V32" s="31">
        <f t="shared" si="3"/>
        <v>42960.109236111108</v>
      </c>
      <c r="W32" s="45" t="str">
        <f t="shared" si="4"/>
        <v>EC</v>
      </c>
      <c r="X32" s="22">
        <f t="shared" si="5"/>
        <v>225</v>
      </c>
      <c r="Y32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{"issue":{"subject":"","project_id":79,"tracker_id":40,"status_id":1,"priority_id":2,"assigned_to_id":23,"start_date":"2017-08-12","description":"","custom_fields":[{"id":1,"name":"Subdivision","value":"EC"},{"id":4,"name":"Milepost","value":"23.3491"},{"id":17,"name":"Train ID","value":"225-12"},{"id":16,"name":"Locomotive ID","value":"4050"},{"id":130,"name":"Impact","value":""},{"id":150,"name":"Time of Event (Mountain Time)","value":"20:37:18"},{"id":151,"name":"Denver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/c/Users/stu/AppData/Local/Temp/OnboardLogs/RTDC4050 --include="*4050*201708130*"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"%USERPROFILE%\AppData\Local\Temp\OnboardLogs"\RTDC4050\*4050*201708130* &gt;&gt; 2017-08-12-SliceDisagreementCheck.txt</v>
      </c>
      <c r="AE32" s="145" t="str">
        <f t="shared" si="9"/>
        <v>start /low /b %USERPROFILE%\Documents\GitHub\eaglep3\Utilities\DownloadLogsFromS3.py --loco 4050 --day 2017-08-13</v>
      </c>
      <c r="AF32" s="1"/>
    </row>
    <row r="33" spans="1:32" x14ac:dyDescent="0.25">
      <c r="A33" s="31">
        <v>42959.941736111112</v>
      </c>
      <c r="B33" s="30" t="s">
        <v>506</v>
      </c>
      <c r="C33" s="30" t="s">
        <v>658</v>
      </c>
      <c r="D33" s="30" t="s">
        <v>49</v>
      </c>
      <c r="E33" s="30" t="s">
        <v>181</v>
      </c>
      <c r="F33" s="42">
        <v>0</v>
      </c>
      <c r="G33" s="42">
        <v>83</v>
      </c>
      <c r="H33" s="42">
        <v>233272</v>
      </c>
      <c r="I33" s="42">
        <v>233370</v>
      </c>
      <c r="J33" s="30" t="s">
        <v>182</v>
      </c>
      <c r="K33" s="42">
        <v>233491</v>
      </c>
      <c r="L33" s="131" t="s">
        <v>50</v>
      </c>
      <c r="M33" s="132">
        <f t="shared" si="0"/>
        <v>63.887999999999998</v>
      </c>
      <c r="N33" s="133" t="str">
        <f>VLOOKUP(C33,'Trips&amp;Operators'!$C$1:$G$99999,5,FALSE)</f>
        <v>PERKINS DARREN</v>
      </c>
      <c r="O33" s="203" t="s">
        <v>180</v>
      </c>
      <c r="P33" s="134"/>
      <c r="Q33" s="30"/>
      <c r="R33" s="81" t="str">
        <f>VLOOKUP(C33,'Train Runs'!$A$13:$AE$9915,31,0)</f>
        <v>aws s3 cp s3://rtdc.mdm.uploadarchive.raw/RTDC4050/ "%USERPROFILE%\AppData\Local\Temp\OnboardLogs"\RTDC4050\2017-08-12 --exclude "*" --recursive --include "*20170812*" &amp; "%USERPROFILE%\Documents\GitHub\mrs-test-scripts\Headless Mode &amp; Sideloading\WalkAndUnGZ.bat" "%USERPROFILE%\AppData\Local\Temp\OnboardLogs"\RTDC4050\2017-08-12 &amp; aws s3 cp s3://rtdc.mdm.uploadarchive.raw/RTDC4050/ "%USERPROFILE%\AppData\Local\Temp\OnboardLogs"\RTDC4050\2017-08-13 --exclude "*" --recursive --include "*20170813*" &amp; "%USERPROFILE%\Documents\GitHub\mrs-test-scripts\Headless Mode &amp; Sideloading\WalkAndUnGZ.bat" "%USERPROFILE%\AppData\Local\Temp\OnboardLogs"\RTDC4050\2017-08-13</v>
      </c>
      <c r="S33" s="84" t="str">
        <f>VLOOKUP(C33,'Train Runs'!$A$13:$AE$9915,22,0)</f>
        <v>https://d0f6bd738d7f1b3e5a7ca70fe4ff75f0.us-east-1.aws.found.io/app/kibana#/discover/Steve-Slow-Train-Analysis-(2080s-and-2083s)?_g=(refreshInterval:(display:Off,pause:!f,section:0,value:0),time:(from:'2017-08-12T20:41:54-0600',mode:absolute,to:'2017-08-12T23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3" s="86" t="str">
        <f t="shared" si="1"/>
        <v>"C:\Program Files (x86)\AstroGrep\AstroGrep.exe" /e /r /s /spath="%USERPROFILE%\AppData\Local\Temp\OnboardLogs" /stypes="*4050*201708130*" /stext=" 04:.+((SYSTEM_STATE.+slice.+state.+changed )|(ment ac)|(multiple cpu faults)|(system.+state.+changed )|(\[timeout)|(PRM\|1\|D)|(kpr)|(kdp)|(train st.+moving)|(\|lc)|(penalty))"</v>
      </c>
      <c r="U33" s="9" t="str">
        <f t="shared" si="2"/>
        <v>4050</v>
      </c>
      <c r="V33" s="31">
        <f t="shared" si="3"/>
        <v>42960.191736111112</v>
      </c>
      <c r="W33" s="45" t="str">
        <f t="shared" si="4"/>
        <v>EC</v>
      </c>
      <c r="X33" s="22">
        <f t="shared" si="5"/>
        <v>233</v>
      </c>
      <c r="Y33" s="96" t="str">
        <f t="shared" si="6"/>
        <v>echo {"issue":{"subject":"","project_id":79,"tracker_id":40,"status_id":1,"priority_id":2,"assigned_to_id":23,"start_date":"2017-08-12","description":"","custom_fields":[{"id":1,"name":"Subdivision","value":"EC"},{"id":4,"name":"Milepost","value":"23.3491"},{"id":17,"name":"Train ID","value":"233-12"},{"id":16,"name":"Locomotive ID","value":"4050"},{"id":130,"name":"Impact","value":""},{"id":150,"name":"Time of Event (Mountain Time)","value":"22:36:06"},{"id":151,"name":"Denver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/c/Users/stu/AppData/Local/Temp/OnboardLogs/RTDC4050 --include="*4050*201708130*"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"%USERPROFILE%\AppData\Local\Temp\OnboardLogs"\RTDC4050\*4050*201708130* &gt;&gt; 2017-08-12-SliceDisagreementCheck.txt</v>
      </c>
      <c r="AE33" s="145" t="str">
        <f t="shared" si="9"/>
        <v>start /low /b %USERPROFILE%\Documents\GitHub\eaglep3\Utilities\DownloadLogsFromS3.py --loco 4050 --day 2017-08-13</v>
      </c>
      <c r="AF33" s="1"/>
    </row>
    <row r="34" spans="1:32" x14ac:dyDescent="0.25">
      <c r="A34" s="31">
        <v>42960.046215277776</v>
      </c>
      <c r="B34" s="30" t="s">
        <v>640</v>
      </c>
      <c r="C34" s="30" t="s">
        <v>659</v>
      </c>
      <c r="D34" s="30" t="s">
        <v>49</v>
      </c>
      <c r="E34" s="30" t="s">
        <v>181</v>
      </c>
      <c r="F34" s="42">
        <v>0</v>
      </c>
      <c r="G34" s="42">
        <v>45</v>
      </c>
      <c r="H34" s="42">
        <v>233314</v>
      </c>
      <c r="I34" s="42">
        <v>233357</v>
      </c>
      <c r="J34" s="30" t="s">
        <v>182</v>
      </c>
      <c r="K34" s="42">
        <v>233491</v>
      </c>
      <c r="L34" s="131" t="s">
        <v>50</v>
      </c>
      <c r="M34" s="132">
        <f t="shared" si="0"/>
        <v>70.751999999999995</v>
      </c>
      <c r="N34" s="133" t="str">
        <f>VLOOKUP(C34,'Trips&amp;Operators'!$C$1:$G$99999,5,FALSE)</f>
        <v>FORTUNATO FRANK</v>
      </c>
      <c r="O34" s="203" t="s">
        <v>180</v>
      </c>
      <c r="P34" s="134"/>
      <c r="Q34" s="30"/>
      <c r="R34" s="81" t="str">
        <f>VLOOKUP(C34,'Train Runs'!$A$13:$AE$9915,31,0)</f>
        <v>aws s3 cp s3://rtdc.mdm.uploadarchive.raw/RTDC4016/ "%USERPROFILE%\AppData\Local\Temp\OnboardLogs"\RTDC4016\2017-08-13 --exclude "*" --recursive --include "*20170813*" &amp; "%USERPROFILE%\Documents\GitHub\mrs-test-scripts\Headless Mode &amp; Sideloading\WalkAndUnGZ.bat" "%USERPROFILE%\AppData\Local\Temp\OnboardLogs"\RTDC4016\2017-08-13 &amp; aws s3 cp s3://rtdc.mdm.uploadarchive.raw/RTDC4016/ "%USERPROFILE%\AppData\Local\Temp\OnboardLogs"\RTDC4016\2017-08-14 --exclude "*" --recursive --include "*20170814*" &amp; "%USERPROFILE%\Documents\GitHub\mrs-test-scripts\Headless Mode &amp; Sideloading\WalkAndUnGZ.bat" "%USERPROFILE%\AppData\Local\Temp\OnboardLogs"\RTDC4016\2017-08-14</v>
      </c>
      <c r="S34" s="84" t="str">
        <f>VLOOKUP(C34,'Train Runs'!$A$13:$AE$9915,22,0)</f>
        <v>https://d0f6bd738d7f1b3e5a7ca70fe4ff75f0.us-east-1.aws.found.io/app/kibana#/discover/Steve-Slow-Train-Analysis-(2080s-and-2083s)?_g=(refreshInterval:(display:Off,pause:!f,section:0,value:0),time:(from:'2017-08-12T23:06:33-0600',mode:absolute,to:'2017-08-13T02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4" s="86" t="str">
        <f t="shared" si="1"/>
        <v>"C:\Program Files (x86)\AstroGrep\AstroGrep.exe" /e /r /s /spath="%USERPROFILE%\AppData\Local\Temp\OnboardLogs" /stypes="*4016*201708130*" /stext=" 07:.+((SYSTEM_STATE.+slice.+state.+changed )|(ment ac)|(multiple cpu faults)|(system.+state.+changed )|(\[timeout)|(PRM\|1\|D)|(kpr)|(kdp)|(train st.+moving)|(\|lc)|(penalty))"</v>
      </c>
      <c r="U34" s="9" t="str">
        <f t="shared" si="2"/>
        <v>4016</v>
      </c>
      <c r="V34" s="31">
        <f t="shared" si="3"/>
        <v>42960.296215277776</v>
      </c>
      <c r="W34" s="45" t="str">
        <f t="shared" si="4"/>
        <v>EC</v>
      </c>
      <c r="X34" s="22">
        <f t="shared" si="5"/>
        <v>243</v>
      </c>
      <c r="Y34" s="96" t="str">
        <f t="shared" si="6"/>
        <v>echo {"issue":{"subject":"","project_id":79,"tracker_id":40,"status_id":1,"priority_id":2,"assigned_to_id":23,"start_date":"2017-08-13","description":"","custom_fields":[{"id":1,"name":"Subdivision","value":"EC"},{"id":4,"name":"Milepost","value":"23.3491"},{"id":17,"name":"Train ID","value":"243-12"},{"id":16,"name":"Locomotive ID","value":"4016"},{"id":130,"name":"Impact","value":""},{"id":150,"name":"Time of Event (Mountain Time)","value":"01:06:33"},{"id":151,"name":"Denver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/c/Users/stu/AppData/Local/Temp/OnboardLogs/RTDC4016 --include="*4016*201708130*"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"%USERPROFILE%\AppData\Local\Temp\OnboardLogs"\RTDC4016\*4016*201708130* &gt;&gt; 2017-08-12-SliceDisagreementCheck.txt</v>
      </c>
      <c r="AE34" s="145" t="str">
        <f t="shared" si="9"/>
        <v>start /low /b %USERPROFILE%\Documents\GitHub\eaglep3\Utilities\DownloadLogsFromS3.py --loco 4016 --day 2017-08-13</v>
      </c>
      <c r="AF34" s="1"/>
    </row>
    <row r="35" spans="1:32" x14ac:dyDescent="0.25">
      <c r="A35" s="31">
        <v>42959.325891203705</v>
      </c>
      <c r="B35" s="30" t="s">
        <v>536</v>
      </c>
      <c r="C35" s="30" t="s">
        <v>634</v>
      </c>
      <c r="D35" s="30" t="s">
        <v>49</v>
      </c>
      <c r="E35" s="30" t="s">
        <v>196</v>
      </c>
      <c r="F35" s="42">
        <v>300</v>
      </c>
      <c r="G35" s="42">
        <v>546</v>
      </c>
      <c r="H35" s="42">
        <v>25628</v>
      </c>
      <c r="I35" s="42">
        <v>23663</v>
      </c>
      <c r="J35" s="30" t="s">
        <v>197</v>
      </c>
      <c r="K35" s="42">
        <v>23561</v>
      </c>
      <c r="L35" s="131" t="s">
        <v>51</v>
      </c>
      <c r="M35" s="132">
        <f t="shared" si="0"/>
        <v>53.856000000000002</v>
      </c>
      <c r="N35" s="133" t="str">
        <f>VLOOKUP(C35,'Trips&amp;Operators'!$C$1:$G$99999,5,FALSE)</f>
        <v>MACDONALD THOMAS</v>
      </c>
      <c r="O35" s="203" t="s">
        <v>180</v>
      </c>
      <c r="P35" s="134"/>
      <c r="Q35" s="30"/>
      <c r="R35" s="81" t="str">
        <f>VLOOKUP(C35,'Train Runs'!$A$13:$AE$9915,31,0)</f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S35" s="84" t="str">
        <f>VLOOKUP(C35,'Train Runs'!$A$13:$AE$9915,22,0)</f>
        <v>https://d0f6bd738d7f1b3e5a7ca70fe4ff75f0.us-east-1.aws.found.io/app/kibana#/discover/Steve-Slow-Train-Analysis-(2080s-and-2083s)?_g=(refreshInterval:(display:Off,pause:!f,section:0,value:0),time:(from:'2017-08-12T06:37:13-0600',mode:absolute,to:'2017-08-12T08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5" s="86" t="str">
        <f t="shared" si="1"/>
        <v>"C:\Program Files (x86)\AstroGrep\AstroGrep.exe" /e /r /s /spath="%USERPROFILE%\AppData\Local\Temp\OnboardLogs" /stypes="*4055*201708121*" /stext=" 13:.+((SYSTEM_STATE.+slice.+state.+changed )|(ment ac)|(multiple cpu faults)|(system.+state.+changed )|(\[timeout)|(PRM\|1\|D)|(kpr)|(kdp)|(train st.+moving)|(\|lc)|(penalty))"</v>
      </c>
      <c r="U35" s="9" t="str">
        <f t="shared" si="2"/>
        <v>4055</v>
      </c>
      <c r="V35" s="31">
        <f t="shared" si="3"/>
        <v>42959.575891203705</v>
      </c>
      <c r="W35" s="45" t="str">
        <f t="shared" si="4"/>
        <v>NW</v>
      </c>
      <c r="X35" s="22">
        <f t="shared" si="5"/>
        <v>1804</v>
      </c>
      <c r="Y35" s="96" t="str">
        <f t="shared" si="6"/>
        <v>echo {"issue":{"subject":"","project_id":79,"tracker_id":40,"status_id":1,"priority_id":2,"assigned_to_id":23,"start_date":"2017-08-12","description":"","custom_fields":[{"id":1,"name":"Subdivision","value":"NW"},{"id":4,"name":"Milepost","value":"2.3561"},{"id":17,"name":"Train ID","value":"1804-12"},{"id":16,"name":"Locomotive ID","value":"4055"},{"id":130,"name":"Impact","value":""},{"id":150,"name":"Time of Event (Mountain Time)","value":"07:49:17"},{"id":151,"name":"Denver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/c/Users/stu/AppData/Local/Temp/OnboardLogs/RTDC4055 --include="*4055*201708121*"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"%USERPROFILE%\AppData\Local\Temp\OnboardLogs"\RTDC4055\*4055*201708121* &gt;&gt; 2017-08-12-SliceDisagreementCheck.txt</v>
      </c>
      <c r="AE35" s="145" t="str">
        <f t="shared" si="9"/>
        <v>start /low /b %USERPROFILE%\Documents\GitHub\eaglep3\Utilities\DownloadLogsFromS3.py --loco 4055 --day 2017-08-12</v>
      </c>
      <c r="AF35" s="1"/>
    </row>
    <row r="36" spans="1:32" x14ac:dyDescent="0.25">
      <c r="A36" s="31">
        <v>42959.271597222221</v>
      </c>
      <c r="B36" s="30" t="s">
        <v>530</v>
      </c>
      <c r="C36" s="30" t="s">
        <v>632</v>
      </c>
      <c r="D36" s="30" t="s">
        <v>49</v>
      </c>
      <c r="E36" s="30" t="s">
        <v>196</v>
      </c>
      <c r="F36" s="42">
        <v>400</v>
      </c>
      <c r="G36" s="42">
        <v>501</v>
      </c>
      <c r="H36" s="42">
        <v>45393</v>
      </c>
      <c r="I36" s="42">
        <v>46961</v>
      </c>
      <c r="J36" s="30" t="s">
        <v>197</v>
      </c>
      <c r="K36" s="42">
        <v>47810</v>
      </c>
      <c r="L36" s="131" t="s">
        <v>50</v>
      </c>
      <c r="M36" s="132">
        <f t="shared" si="0"/>
        <v>448.27199999999999</v>
      </c>
      <c r="N36" s="133" t="str">
        <f>VLOOKUP(C36,'Trips&amp;Operators'!$C$1:$G$99999,5,FALSE)</f>
        <v>MACDONALD THOMAS</v>
      </c>
      <c r="O36" s="203" t="s">
        <v>180</v>
      </c>
      <c r="P36" s="134"/>
      <c r="Q36" s="30"/>
      <c r="R36" s="81" t="str">
        <f>VLOOKUP(C36,'Train Runs'!$A$13:$AE$9915,31,0)</f>
        <v>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 &amp; aws s3 cp s3://rtdc.mdm.uploadarchive.raw/RTDC4056/ "%USERPROFILE%\AppData\Local\Temp\OnboardLogs"\RTDC4056\2017-08-13 --exclude "*" --recursive --include "*20170813*" &amp; "%USERPROFILE%\Documents\GitHub\mrs-test-scripts\Headless Mode &amp; Sideloading\WalkAndUnGZ.bat" "%USERPROFILE%\AppData\Local\Temp\OnboardLogs"\RTDC4056\2017-08-13</v>
      </c>
      <c r="S36" s="84" t="str">
        <f>VLOOKUP(C36,'Train Runs'!$A$13:$AE$9915,22,0)</f>
        <v>https://d0f6bd738d7f1b3e5a7ca70fe4ff75f0.us-east-1.aws.found.io/app/kibana#/discover/Steve-Slow-Train-Analysis-(2080s-and-2083s)?_g=(refreshInterval:(display:Off,pause:!f,section:0,value:0),time:(from:'2017-08-12T04:58:20-0600',mode:absolute,to:'2017-08-12T07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6" s="86" t="str">
        <f t="shared" si="1"/>
        <v>"C:\Program Files (x86)\AstroGrep\AstroGrep.exe" /e /r /s /spath="%USERPROFILE%\AppData\Local\Temp\OnboardLogs" /stypes="*4056*201708121*" /stext=" 12:.+((SYSTEM_STATE.+slice.+state.+changed )|(ment ac)|(multiple cpu faults)|(system.+state.+changed )|(\[timeout)|(PRM\|1\|D)|(kpr)|(kdp)|(train st.+moving)|(\|lc)|(penalty))"</v>
      </c>
      <c r="U36" s="9" t="str">
        <f t="shared" si="2"/>
        <v>4056</v>
      </c>
      <c r="V36" s="31">
        <f t="shared" si="3"/>
        <v>42959.521597222221</v>
      </c>
      <c r="W36" s="45" t="str">
        <f t="shared" si="4"/>
        <v>NW</v>
      </c>
      <c r="X36" s="22">
        <f t="shared" si="5"/>
        <v>1801</v>
      </c>
      <c r="Y36" s="96" t="str">
        <f t="shared" si="6"/>
        <v>echo {"issue":{"subject":"","project_id":79,"tracker_id":40,"status_id":1,"priority_id":2,"assigned_to_id":23,"start_date":"2017-08-12","description":"","custom_fields":[{"id":1,"name":"Subdivision","value":"NW"},{"id":4,"name":"Milepost","value":"4.781"},{"id":17,"name":"Train ID","value":"1801-12"},{"id":16,"name":"Locomotive ID","value":"4056"},{"id":130,"name":"Impact","value":""},{"id":150,"name":"Time of Event (Mountain Time)","value":"06:31:06"},{"id":151,"name":"Denver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/c/Users/stu/AppData/Local/Temp/OnboardLogs/RTDC4056 --include="*4056*201708121*"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"%USERPROFILE%\AppData\Local\Temp\OnboardLogs"\RTDC4056\*4056*201708121* &gt;&gt; 2017-08-12-SliceDisagreementCheck.txt</v>
      </c>
      <c r="AE36" s="145" t="str">
        <f t="shared" si="9"/>
        <v>start /low /b %USERPROFILE%\Documents\GitHub\eaglep3\Utilities\DownloadLogsFromS3.py --loco 4056 --day 2017-08-12</v>
      </c>
      <c r="AF36" s="1"/>
    </row>
    <row r="37" spans="1:32" x14ac:dyDescent="0.25">
      <c r="A37" s="31">
        <v>42959.405231481483</v>
      </c>
      <c r="B37" s="30" t="s">
        <v>536</v>
      </c>
      <c r="C37" s="30" t="s">
        <v>636</v>
      </c>
      <c r="D37" s="30" t="s">
        <v>96</v>
      </c>
      <c r="E37" s="30" t="s">
        <v>196</v>
      </c>
      <c r="F37" s="42">
        <v>150</v>
      </c>
      <c r="G37" s="42">
        <v>200</v>
      </c>
      <c r="H37" s="42">
        <v>56944</v>
      </c>
      <c r="I37" s="42">
        <v>56690</v>
      </c>
      <c r="J37" s="30" t="s">
        <v>197</v>
      </c>
      <c r="K37" s="42">
        <v>59050</v>
      </c>
      <c r="L37" s="131" t="s">
        <v>51</v>
      </c>
      <c r="M37" s="132">
        <f t="shared" si="0"/>
        <v>-1246.08</v>
      </c>
      <c r="N37" s="133" t="str">
        <f>VLOOKUP(C37,'Trips&amp;Operators'!$C$1:$G$99999,5,FALSE)</f>
        <v>MACDONALD THOMAS</v>
      </c>
      <c r="O37" s="203" t="s">
        <v>180</v>
      </c>
      <c r="P37" s="134"/>
      <c r="Q37" s="30"/>
      <c r="R37" s="81" t="str">
        <f>VLOOKUP(C37,'Train Runs'!$A$13:$AE$9915,31,0)</f>
        <v>aws s3 cp s3://rtdc.mdm.uploadarchive.raw/RTDC4055/ "%USERPROFILE%\AppData\Local\Temp\OnboardLogs"\RTDC4055\2017-08-12 --exclude "*" --recursive --include "*20170812*" &amp; "%USERPROFILE%\Documents\GitHub\mrs-test-scripts\Headless Mode &amp; Sideloading\WalkAndUnGZ.bat" "%USERPROFILE%\AppData\Local\Temp\OnboardLogs"\RTDC4055\2017-08-12 &amp; aws s3 cp s3://rtdc.mdm.uploadarchive.raw/RTDC4055/ "%USERPROFILE%\AppData\Local\Temp\OnboardLogs"\RTDC4055\2017-08-13 --exclude "*" --recursive --include "*20170813*" &amp; "%USERPROFILE%\Documents\GitHub\mrs-test-scripts\Headless Mode &amp; Sideloading\WalkAndUnGZ.bat" "%USERPROFILE%\AppData\Local\Temp\OnboardLogs"\RTDC4055\2017-08-13</v>
      </c>
      <c r="S37" s="84" t="str">
        <f>VLOOKUP(C37,'Train Runs'!$A$13:$AE$9915,22,0)</f>
        <v>https://d0f6bd738d7f1b3e5a7ca70fe4ff75f0.us-east-1.aws.found.io/app/kibana#/discover/Steve-Slow-Train-Analysis-(2080s-and-2083s)?_g=(refreshInterval:(display:Off,pause:!f,section:0,value:0),time:(from:'2017-08-12T08:36:15-0600',mode:absolute,to:'2017-08-12T10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7" s="86" t="str">
        <f t="shared" si="1"/>
        <v>"C:\Program Files (x86)\AstroGrep\AstroGrep.exe" /e /r /s /spath="%USERPROFILE%\AppData\Local\Temp\OnboardLogs" /stypes="*4055*201708121*" /stext=" 15:.+((SYSTEM_STATE.+slice.+state.+changed )|(ment ac)|(multiple cpu faults)|(system.+state.+changed )|(\[timeout)|(PRM\|1\|D)|(kpr)|(kdp)|(train st.+moving)|(\|lc)|(penalty))"</v>
      </c>
      <c r="U37" s="9" t="str">
        <f t="shared" si="2"/>
        <v>4055</v>
      </c>
      <c r="V37" s="31">
        <f t="shared" si="3"/>
        <v>42959.655231481483</v>
      </c>
      <c r="W37" s="45" t="str">
        <f t="shared" si="4"/>
        <v>NW</v>
      </c>
      <c r="X37" s="22">
        <f t="shared" si="5"/>
        <v>1808</v>
      </c>
      <c r="Y37" s="96" t="str">
        <f t="shared" si="6"/>
        <v>echo {"issue":{"subject":"","project_id":79,"tracker_id":40,"status_id":1,"priority_id":2,"assigned_to_id":23,"start_date":"2017-08-12","description":"","custom_fields":[{"id":1,"name":"Subdivision","value":"NW"},{"id":4,"name":"Milepost","value":"5.905"},{"id":17,"name":"Train ID","value":"1808-12"},{"id":16,"name":"Locomotive ID","value":"4055"},{"id":130,"name":"Impact","value":""},{"id":150,"name":"Time of Event (Mountain Time)","value":"09:43:32"},{"id":151,"name":"Denver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/c/Users/stu/AppData/Local/Temp/OnboardLogs/RTDC4055 --include="*4055*201708121*"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"%USERPROFILE%\AppData\Local\Temp\OnboardLogs"\RTDC4055\*4055*201708121* &gt;&gt; 2017-08-12-SliceDisagreementCheck.txt</v>
      </c>
      <c r="AE37" s="145" t="str">
        <f t="shared" si="9"/>
        <v>start /low /b %USERPROFILE%\Documents\GitHub\eaglep3\Utilities\DownloadLogsFromS3.py --loco 4055 --day 2017-08-12</v>
      </c>
      <c r="AF37" s="1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</sheetData>
  <autoFilter ref="A6:AC59">
    <sortState ref="A7:AC59">
      <sortCondition ref="W7:W37"/>
      <sortCondition ref="E7:E37"/>
      <sortCondition ref="K7:K37"/>
      <sortCondition ref="F7:F37"/>
    </sortState>
  </autoFilter>
  <sortState ref="A7:AE39">
    <sortCondition ref="W7:W39"/>
    <sortCondition ref="E7:E39"/>
    <sortCondition ref="K7:K39"/>
    <sortCondition ref="C7:C39"/>
    <sortCondition ref="F7:F39"/>
  </sortState>
  <mergeCells count="1">
    <mergeCell ref="A5:O5"/>
  </mergeCells>
  <conditionalFormatting sqref="O6:P6 R6 O65:O1048576 O7:O3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7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1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2017-08-12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-12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" s="30" t="e">
        <f>VLOOKUP(B3,'Train Runs'!$A$13:$A$99912,1,FALSE)</f>
        <v>#N/A</v>
      </c>
    </row>
    <row r="4" spans="1:10" x14ac:dyDescent="0.25">
      <c r="A4" s="195"/>
      <c r="B4" s="42" t="str">
        <f>A4&amp;"-"&amp;IF(DAY(Variables!$A$2)&lt;10,0,"")&amp;DAY(Variables!$A$2)</f>
        <v>-12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" s="30" t="e">
        <f>VLOOKUP(B4,'Train Runs'!$A$13:$A$99912,1,FALSE)</f>
        <v>#N/A</v>
      </c>
    </row>
    <row r="5" spans="1:10" x14ac:dyDescent="0.25">
      <c r="A5" s="195"/>
      <c r="B5" s="42" t="str">
        <f>A5&amp;"-"&amp;IF(DAY(Variables!$A$2)&lt;10,0,"")&amp;DAY(Variables!$A$2)</f>
        <v>-12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ref="I5:I2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" s="30" t="e">
        <f>VLOOKUP(B5,'Train Runs'!$A$13:$A$99912,1,FALSE)</f>
        <v>#N/A</v>
      </c>
    </row>
    <row r="6" spans="1:10" x14ac:dyDescent="0.25">
      <c r="A6" s="195"/>
      <c r="B6" s="42" t="str">
        <f>A6&amp;"-"&amp;IF(DAY(Variables!$A$2)&lt;10,0,"")&amp;DAY(Variables!$A$2)</f>
        <v>-12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" s="30" t="e">
        <f>VLOOKUP(B6,'Train Runs'!$A$13:$A$99912,1,FALSE)</f>
        <v>#N/A</v>
      </c>
    </row>
    <row r="7" spans="1:10" x14ac:dyDescent="0.25">
      <c r="A7" s="195"/>
      <c r="B7" s="42" t="str">
        <f>A7&amp;"-"&amp;IF(DAY(Variables!$A$2)&lt;10,0,"")&amp;DAY(Variables!$A$2)</f>
        <v>-12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" s="30" t="e">
        <f>VLOOKUP(B7,'Train Runs'!$A$13:$A$99912,1,FALSE)</f>
        <v>#N/A</v>
      </c>
    </row>
    <row r="8" spans="1:10" x14ac:dyDescent="0.25">
      <c r="A8" s="195"/>
      <c r="B8" s="42" t="str">
        <f>A8&amp;"-"&amp;IF(DAY(Variables!$A$2)&lt;10,0,"")&amp;DAY(Variables!$A$2)</f>
        <v>-12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" s="30" t="e">
        <f>VLOOKUP(B8,'Train Runs'!$A$13:$A$99912,1,FALSE)</f>
        <v>#N/A</v>
      </c>
    </row>
    <row r="9" spans="1:10" x14ac:dyDescent="0.25">
      <c r="A9" s="195"/>
      <c r="B9" s="42" t="str">
        <f>A9&amp;"-"&amp;IF(DAY(Variables!$A$2)&lt;10,0,"")&amp;DAY(Variables!$A$2)</f>
        <v>-12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" s="30" t="e">
        <f>VLOOKUP(B9,'Train Runs'!$A$13:$A$99912,1,FALSE)</f>
        <v>#N/A</v>
      </c>
    </row>
    <row r="10" spans="1:10" x14ac:dyDescent="0.25">
      <c r="A10" s="195"/>
      <c r="B10" s="42" t="str">
        <f>A10&amp;"-"&amp;IF(DAY(Variables!$A$2)&lt;10,0,"")&amp;DAY(Variables!$A$2)</f>
        <v>-12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" s="30" t="e">
        <f>VLOOKUP(B10,'Train Runs'!$A$13:$A$99912,1,FALSE)</f>
        <v>#N/A</v>
      </c>
    </row>
    <row r="11" spans="1:10" x14ac:dyDescent="0.25">
      <c r="A11" s="195"/>
      <c r="B11" s="42" t="str">
        <f>A11&amp;"-"&amp;IF(DAY(Variables!$A$2)&lt;10,0,"")&amp;DAY(Variables!$A$2)</f>
        <v>-12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" s="30" t="e">
        <f>VLOOKUP(B11,'Train Runs'!$A$13:$A$99912,1,FALSE)</f>
        <v>#N/A</v>
      </c>
    </row>
    <row r="12" spans="1:10" x14ac:dyDescent="0.25">
      <c r="A12" s="195"/>
      <c r="B12" s="42" t="str">
        <f>A12&amp;"-"&amp;IF(DAY(Variables!$A$2)&lt;10,0,"")&amp;DAY(Variables!$A$2)</f>
        <v>-12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2" s="30" t="e">
        <f>VLOOKUP(B12,'Train Runs'!$A$13:$A$99912,1,FALSE)</f>
        <v>#N/A</v>
      </c>
    </row>
    <row r="13" spans="1:10" x14ac:dyDescent="0.25">
      <c r="A13" s="195"/>
      <c r="B13" s="42" t="str">
        <f>A13&amp;"-"&amp;IF(DAY(Variables!$A$2)&lt;10,0,"")&amp;DAY(Variables!$A$2)</f>
        <v>-12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3" s="30" t="e">
        <f>VLOOKUP(B13,'Train Runs'!$A$13:$A$99912,1,FALSE)</f>
        <v>#N/A</v>
      </c>
    </row>
    <row r="14" spans="1:10" x14ac:dyDescent="0.25">
      <c r="A14" s="195"/>
      <c r="B14" s="42" t="str">
        <f>A14&amp;"-"&amp;IF(DAY(Variables!$A$2)&lt;10,0,"")&amp;DAY(Variables!$A$2)</f>
        <v>-12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4" s="30" t="e">
        <f>VLOOKUP(B14,'Train Runs'!$A$13:$A$99912,1,FALSE)</f>
        <v>#N/A</v>
      </c>
    </row>
    <row r="15" spans="1:10" x14ac:dyDescent="0.25">
      <c r="A15" s="195"/>
      <c r="B15" s="42" t="str">
        <f>A15&amp;"-"&amp;IF(DAY(Variables!$A$2)&lt;10,0,"")&amp;DAY(Variables!$A$2)</f>
        <v>-12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5" s="30" t="e">
        <f>VLOOKUP(B15,'Train Runs'!$A$13:$A$99912,1,FALSE)</f>
        <v>#N/A</v>
      </c>
    </row>
    <row r="16" spans="1:10" x14ac:dyDescent="0.25">
      <c r="A16" s="195"/>
      <c r="B16" s="42" t="str">
        <f>A16&amp;"-"&amp;IF(DAY(Variables!$A$2)&lt;10,0,"")&amp;DAY(Variables!$A$2)</f>
        <v>-12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6" s="30" t="e">
        <f>VLOOKUP(B16,'Train Runs'!$A$13:$A$99912,1,FALSE)</f>
        <v>#N/A</v>
      </c>
    </row>
    <row r="17" spans="1:10" x14ac:dyDescent="0.25">
      <c r="A17" s="195"/>
      <c r="B17" s="42" t="str">
        <f>A17&amp;"-"&amp;IF(DAY(Variables!$A$2)&lt;10,0,"")&amp;DAY(Variables!$A$2)</f>
        <v>-12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7" s="30" t="e">
        <f>VLOOKUP(B17,'Train Runs'!$A$13:$A$99912,1,FALSE)</f>
        <v>#N/A</v>
      </c>
    </row>
    <row r="18" spans="1:10" x14ac:dyDescent="0.25">
      <c r="A18" s="195"/>
      <c r="B18" s="42" t="str">
        <f>A18&amp;"-"&amp;IF(DAY(Variables!$A$2)&lt;10,0,"")&amp;DAY(Variables!$A$2)</f>
        <v>-12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8" s="30" t="e">
        <f>VLOOKUP(B18,'Train Runs'!$A$13:$A$99912,1,FALSE)</f>
        <v>#N/A</v>
      </c>
    </row>
    <row r="19" spans="1:10" x14ac:dyDescent="0.25">
      <c r="A19" s="195"/>
      <c r="B19" s="42" t="str">
        <f>A19&amp;"-"&amp;IF(DAY(Variables!$A$2)&lt;10,0,"")&amp;DAY(Variables!$A$2)</f>
        <v>-12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9" s="30" t="e">
        <f>VLOOKUP(B19,'Train Runs'!$A$13:$A$99912,1,FALSE)</f>
        <v>#N/A</v>
      </c>
    </row>
    <row r="20" spans="1:10" x14ac:dyDescent="0.25">
      <c r="A20" s="195"/>
      <c r="B20" s="42" t="str">
        <f>A20&amp;"-"&amp;IF(DAY(Variables!$A$2)&lt;10,0,"")&amp;DAY(Variables!$A$2)</f>
        <v>-12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0" s="30" t="e">
        <f>VLOOKUP(B20,'Train Runs'!$A$13:$A$99912,1,FALSE)</f>
        <v>#N/A</v>
      </c>
    </row>
    <row r="21" spans="1:10" x14ac:dyDescent="0.25">
      <c r="A21" s="195"/>
      <c r="B21" s="42" t="str">
        <f>A21&amp;"-"&amp;IF(DAY(Variables!$A$2)&lt;10,0,"")&amp;DAY(Variables!$A$2)</f>
        <v>-12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1" s="30" t="e">
        <f>VLOOKUP(B21,'Train Runs'!$A$13:$A$99912,1,FALSE)</f>
        <v>#N/A</v>
      </c>
    </row>
    <row r="22" spans="1:10" x14ac:dyDescent="0.25">
      <c r="A22" s="195"/>
      <c r="B22" s="42" t="str">
        <f>A22&amp;"-"&amp;IF(DAY(Variables!$A$2)&lt;10,0,"")&amp;DAY(Variables!$A$2)</f>
        <v>-12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2" s="30" t="e">
        <f>VLOOKUP(B22,'Train Runs'!$A$13:$A$99912,1,FALSE)</f>
        <v>#N/A</v>
      </c>
    </row>
    <row r="23" spans="1:10" x14ac:dyDescent="0.25">
      <c r="A23" s="195"/>
      <c r="B23" s="42" t="str">
        <f>A23&amp;"-"&amp;IF(DAY(Variables!$A$2)&lt;10,0,"")&amp;DAY(Variables!$A$2)</f>
        <v>-12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3" s="30" t="e">
        <f>VLOOKUP(B23,'Train Runs'!$A$13:$A$99912,1,FALSE)</f>
        <v>#N/A</v>
      </c>
    </row>
    <row r="24" spans="1:10" x14ac:dyDescent="0.25">
      <c r="A24" s="195"/>
      <c r="B24" s="42" t="str">
        <f>A24&amp;"-"&amp;IF(DAY(Variables!$A$2)&lt;10,0,"")&amp;DAY(Variables!$A$2)</f>
        <v>-12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4" s="30" t="e">
        <f>VLOOKUP(B24,'Train Runs'!$A$13:$A$99912,1,FALSE)</f>
        <v>#N/A</v>
      </c>
    </row>
    <row r="25" spans="1:10" x14ac:dyDescent="0.25">
      <c r="A25" s="195"/>
      <c r="B25" s="42" t="str">
        <f>A25&amp;"-"&amp;IF(DAY(Variables!$A$2)&lt;10,0,"")&amp;DAY(Variables!$A$2)</f>
        <v>-12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5" s="30" t="e">
        <f>VLOOKUP(B25,'Train Runs'!$A$13:$A$99912,1,FALSE)</f>
        <v>#N/A</v>
      </c>
    </row>
    <row r="26" spans="1:10" x14ac:dyDescent="0.25">
      <c r="A26" s="195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5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</sheetData>
  <autoFilter ref="A2:J33"/>
  <sortState ref="A3:J112">
    <sortCondition ref="A3:A112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42959.040162037039</v>
      </c>
      <c r="B2" s="20" t="s">
        <v>360</v>
      </c>
      <c r="C2" s="20" t="s">
        <v>661</v>
      </c>
      <c r="D2" s="138">
        <v>3090000</v>
      </c>
      <c r="E2" s="20" t="s">
        <v>363</v>
      </c>
      <c r="F2" s="20" t="s">
        <v>364</v>
      </c>
      <c r="G2" s="8" t="str">
        <f>E2&amp;" "&amp;F2</f>
        <v>LAMAR NEKESHA</v>
      </c>
    </row>
    <row r="3" spans="1:7" x14ac:dyDescent="0.25">
      <c r="A3" s="8">
        <v>42959.047361111108</v>
      </c>
      <c r="B3" s="20" t="s">
        <v>531</v>
      </c>
      <c r="C3" s="20" t="s">
        <v>662</v>
      </c>
      <c r="D3" s="138">
        <v>1540000</v>
      </c>
      <c r="E3" s="20" t="s">
        <v>507</v>
      </c>
      <c r="F3" s="20" t="s">
        <v>508</v>
      </c>
      <c r="G3" s="8" t="str">
        <f t="shared" ref="G3:G66" si="0">E3&amp;" "&amp;F3</f>
        <v>HELVIE ADAM</v>
      </c>
    </row>
    <row r="4" spans="1:7" x14ac:dyDescent="0.25">
      <c r="A4" s="8">
        <v>42959.049212962964</v>
      </c>
      <c r="B4" s="20" t="s">
        <v>532</v>
      </c>
      <c r="C4" s="20" t="s">
        <v>663</v>
      </c>
      <c r="D4" s="138">
        <v>3000000</v>
      </c>
      <c r="E4" s="20" t="s">
        <v>381</v>
      </c>
      <c r="F4" s="20" t="s">
        <v>382</v>
      </c>
      <c r="G4" s="8" t="str">
        <f t="shared" si="0"/>
        <v>FORTUNATO FRANK</v>
      </c>
    </row>
    <row r="5" spans="1:7" x14ac:dyDescent="0.25">
      <c r="A5" s="8">
        <v>42959.068518518521</v>
      </c>
      <c r="B5" s="20" t="s">
        <v>584</v>
      </c>
      <c r="C5" s="20" t="s">
        <v>664</v>
      </c>
      <c r="D5" s="138">
        <v>2620000</v>
      </c>
      <c r="E5" s="20" t="s">
        <v>589</v>
      </c>
      <c r="F5" s="20" t="s">
        <v>590</v>
      </c>
      <c r="G5" s="8" t="str">
        <f t="shared" si="0"/>
        <v>PERKINS DARREN</v>
      </c>
    </row>
    <row r="6" spans="1:7" x14ac:dyDescent="0.25">
      <c r="A6" s="8">
        <v>42959.078622685185</v>
      </c>
      <c r="B6" s="20" t="s">
        <v>357</v>
      </c>
      <c r="C6" s="20" t="s">
        <v>665</v>
      </c>
      <c r="D6" s="138">
        <v>3090000</v>
      </c>
      <c r="E6" s="20" t="s">
        <v>363</v>
      </c>
      <c r="F6" s="20" t="s">
        <v>364</v>
      </c>
      <c r="G6" s="8" t="str">
        <f t="shared" si="0"/>
        <v>LAMAR NEKESHA</v>
      </c>
    </row>
    <row r="7" spans="1:7" x14ac:dyDescent="0.25">
      <c r="A7" s="8">
        <v>42959.089513888888</v>
      </c>
      <c r="B7" s="20" t="s">
        <v>537</v>
      </c>
      <c r="C7" s="20" t="s">
        <v>666</v>
      </c>
      <c r="D7" s="138">
        <v>3000000</v>
      </c>
      <c r="E7" s="20" t="s">
        <v>381</v>
      </c>
      <c r="F7" s="20" t="s">
        <v>382</v>
      </c>
      <c r="G7" s="8" t="str">
        <f t="shared" si="0"/>
        <v>FORTUNATO FRANK</v>
      </c>
    </row>
    <row r="8" spans="1:7" x14ac:dyDescent="0.25">
      <c r="A8" s="8">
        <v>42959.110532407409</v>
      </c>
      <c r="B8" s="20" t="s">
        <v>360</v>
      </c>
      <c r="C8" s="20" t="s">
        <v>667</v>
      </c>
      <c r="D8" s="138">
        <v>3090000</v>
      </c>
      <c r="E8" s="20" t="s">
        <v>363</v>
      </c>
      <c r="F8" s="20" t="s">
        <v>364</v>
      </c>
      <c r="G8" s="8" t="str">
        <f t="shared" si="0"/>
        <v>LAMAR NEKESHA</v>
      </c>
    </row>
    <row r="9" spans="1:7" ht="15.75" thickBot="1" x14ac:dyDescent="0.3">
      <c r="A9" s="24">
        <v>42959.114212962966</v>
      </c>
      <c r="B9" s="20" t="s">
        <v>409</v>
      </c>
      <c r="C9" s="20" t="s">
        <v>668</v>
      </c>
      <c r="D9" s="138">
        <v>2010000</v>
      </c>
      <c r="E9" s="20" t="s">
        <v>669</v>
      </c>
      <c r="F9" s="20" t="s">
        <v>670</v>
      </c>
      <c r="G9" s="8" t="str">
        <f t="shared" si="0"/>
        <v>MAELZER KURT</v>
      </c>
    </row>
    <row r="10" spans="1:7" x14ac:dyDescent="0.25">
      <c r="A10" s="8">
        <v>42959.131736111114</v>
      </c>
      <c r="B10" s="20" t="s">
        <v>403</v>
      </c>
      <c r="C10" s="20" t="s">
        <v>671</v>
      </c>
      <c r="D10" s="138">
        <v>2010000</v>
      </c>
      <c r="E10" s="20" t="s">
        <v>669</v>
      </c>
      <c r="F10" s="20" t="s">
        <v>670</v>
      </c>
      <c r="G10" s="8" t="str">
        <f t="shared" si="0"/>
        <v>MAELZER KURT</v>
      </c>
    </row>
    <row r="11" spans="1:7" x14ac:dyDescent="0.25">
      <c r="A11" s="8">
        <v>42959.131793981483</v>
      </c>
      <c r="B11" s="20" t="s">
        <v>349</v>
      </c>
      <c r="C11" s="20" t="s">
        <v>672</v>
      </c>
      <c r="D11" s="138">
        <v>1340000</v>
      </c>
      <c r="E11" s="20" t="s">
        <v>673</v>
      </c>
      <c r="F11" s="20" t="s">
        <v>674</v>
      </c>
      <c r="G11" s="8" t="str">
        <f t="shared" si="0"/>
        <v>BEAM ROSS</v>
      </c>
    </row>
    <row r="12" spans="1:7" x14ac:dyDescent="0.25">
      <c r="A12" s="8">
        <v>42959.13244212963</v>
      </c>
      <c r="B12" s="20" t="s">
        <v>349</v>
      </c>
      <c r="C12" s="20" t="s">
        <v>672</v>
      </c>
      <c r="D12" s="138">
        <v>1340000</v>
      </c>
      <c r="E12" s="20" t="s">
        <v>673</v>
      </c>
      <c r="F12" s="20" t="s">
        <v>674</v>
      </c>
      <c r="G12" s="8" t="str">
        <f t="shared" si="0"/>
        <v>BEAM ROSS</v>
      </c>
    </row>
    <row r="13" spans="1:7" x14ac:dyDescent="0.25">
      <c r="A13" s="8">
        <v>42959.13449074074</v>
      </c>
      <c r="B13" s="20" t="s">
        <v>349</v>
      </c>
      <c r="C13" s="20" t="s">
        <v>672</v>
      </c>
      <c r="D13" s="138">
        <v>1340000</v>
      </c>
      <c r="E13" s="20" t="s">
        <v>673</v>
      </c>
      <c r="F13" s="20" t="s">
        <v>674</v>
      </c>
      <c r="G13" s="8" t="str">
        <f t="shared" si="0"/>
        <v>BEAM ROSS</v>
      </c>
    </row>
    <row r="14" spans="1:7" x14ac:dyDescent="0.25">
      <c r="A14" s="8">
        <v>42959.135509259257</v>
      </c>
      <c r="B14" s="20" t="s">
        <v>349</v>
      </c>
      <c r="C14" s="20" t="s">
        <v>672</v>
      </c>
      <c r="D14" s="138">
        <v>1340000</v>
      </c>
      <c r="E14" s="20" t="s">
        <v>673</v>
      </c>
      <c r="F14" s="20" t="s">
        <v>674</v>
      </c>
      <c r="G14" s="8" t="str">
        <f t="shared" si="0"/>
        <v>BEAM ROSS</v>
      </c>
    </row>
    <row r="15" spans="1:7" x14ac:dyDescent="0.25">
      <c r="A15" s="8">
        <v>42959.135925925926</v>
      </c>
      <c r="B15" s="20" t="s">
        <v>438</v>
      </c>
      <c r="C15" s="20" t="s">
        <v>675</v>
      </c>
      <c r="D15" s="138">
        <v>3040000</v>
      </c>
      <c r="E15" s="20" t="s">
        <v>368</v>
      </c>
      <c r="F15" s="20" t="s">
        <v>369</v>
      </c>
      <c r="G15" s="8" t="str">
        <f t="shared" si="0"/>
        <v>WILLIAMS DONTE</v>
      </c>
    </row>
    <row r="16" spans="1:7" x14ac:dyDescent="0.25">
      <c r="A16" s="8">
        <v>42959.13994212963</v>
      </c>
      <c r="B16" s="20" t="s">
        <v>409</v>
      </c>
      <c r="C16" s="20" t="s">
        <v>676</v>
      </c>
      <c r="D16" s="138">
        <v>1340000</v>
      </c>
      <c r="E16" s="20" t="s">
        <v>673</v>
      </c>
      <c r="F16" s="20" t="s">
        <v>674</v>
      </c>
      <c r="G16" s="8" t="str">
        <f t="shared" si="0"/>
        <v>BEAM ROSS</v>
      </c>
    </row>
    <row r="17" spans="1:7" x14ac:dyDescent="0.25">
      <c r="A17" s="8">
        <v>42959.151400462964</v>
      </c>
      <c r="B17" s="20" t="s">
        <v>505</v>
      </c>
      <c r="C17" s="20" t="s">
        <v>677</v>
      </c>
      <c r="D17" s="138">
        <v>1990000</v>
      </c>
      <c r="E17" s="20" t="s">
        <v>378</v>
      </c>
      <c r="F17" s="20" t="s">
        <v>586</v>
      </c>
      <c r="G17" s="8" t="str">
        <f t="shared" si="0"/>
        <v>DAVIS WENDY</v>
      </c>
    </row>
    <row r="18" spans="1:7" x14ac:dyDescent="0.25">
      <c r="A18" s="8">
        <v>42959.152812499997</v>
      </c>
      <c r="B18" s="20" t="s">
        <v>678</v>
      </c>
      <c r="C18" s="20" t="s">
        <v>679</v>
      </c>
      <c r="D18" s="138">
        <v>3040000</v>
      </c>
      <c r="E18" s="20" t="s">
        <v>368</v>
      </c>
      <c r="F18" s="20" t="s">
        <v>369</v>
      </c>
      <c r="G18" s="8" t="str">
        <f t="shared" si="0"/>
        <v>WILLIAMS DONTE</v>
      </c>
    </row>
    <row r="19" spans="1:7" x14ac:dyDescent="0.25">
      <c r="A19" s="8">
        <v>42959.165266203701</v>
      </c>
      <c r="B19" s="20" t="s">
        <v>506</v>
      </c>
      <c r="C19" s="20" t="s">
        <v>680</v>
      </c>
      <c r="D19" s="138">
        <v>1990000</v>
      </c>
      <c r="E19" s="20" t="s">
        <v>378</v>
      </c>
      <c r="F19" s="20" t="s">
        <v>586</v>
      </c>
      <c r="G19" s="8" t="str">
        <f t="shared" si="0"/>
        <v>DAVIS WENDY</v>
      </c>
    </row>
    <row r="20" spans="1:7" x14ac:dyDescent="0.25">
      <c r="A20" s="8">
        <v>42959.166701388887</v>
      </c>
      <c r="B20" s="20" t="s">
        <v>405</v>
      </c>
      <c r="C20" s="20" t="s">
        <v>681</v>
      </c>
      <c r="D20" s="138">
        <v>2010000</v>
      </c>
      <c r="E20" s="20" t="s">
        <v>669</v>
      </c>
      <c r="F20" s="20" t="s">
        <v>670</v>
      </c>
      <c r="G20" s="8" t="str">
        <f t="shared" si="0"/>
        <v>MAELZER KURT</v>
      </c>
    </row>
    <row r="21" spans="1:7" x14ac:dyDescent="0.25">
      <c r="A21" s="8">
        <v>42959.171851851854</v>
      </c>
      <c r="B21" s="20" t="s">
        <v>533</v>
      </c>
      <c r="C21" s="20" t="s">
        <v>682</v>
      </c>
      <c r="D21" s="138">
        <v>1100000</v>
      </c>
      <c r="E21" s="20" t="s">
        <v>683</v>
      </c>
      <c r="F21" s="20" t="s">
        <v>684</v>
      </c>
      <c r="G21" s="8" t="str">
        <f t="shared" si="0"/>
        <v>GEBRETEKLE DAGNEW</v>
      </c>
    </row>
    <row r="22" spans="1:7" x14ac:dyDescent="0.25">
      <c r="A22" s="26">
        <v>42959.185358796298</v>
      </c>
      <c r="B22" s="20" t="s">
        <v>640</v>
      </c>
      <c r="C22" s="20" t="s">
        <v>685</v>
      </c>
      <c r="D22" s="138">
        <v>1100000</v>
      </c>
      <c r="E22" s="20" t="s">
        <v>683</v>
      </c>
      <c r="F22" s="20" t="s">
        <v>684</v>
      </c>
      <c r="G22" s="8" t="str">
        <f t="shared" si="0"/>
        <v>GEBRETEKLE DAGNEW</v>
      </c>
    </row>
    <row r="23" spans="1:7" x14ac:dyDescent="0.25">
      <c r="A23" s="8">
        <v>42959.189930555556</v>
      </c>
      <c r="B23" s="20" t="s">
        <v>349</v>
      </c>
      <c r="C23" s="20" t="s">
        <v>686</v>
      </c>
      <c r="D23" s="138">
        <v>1340000</v>
      </c>
      <c r="E23" s="20" t="s">
        <v>673</v>
      </c>
      <c r="F23" s="20" t="s">
        <v>674</v>
      </c>
      <c r="G23" s="8" t="str">
        <f t="shared" si="0"/>
        <v>BEAM ROSS</v>
      </c>
    </row>
    <row r="24" spans="1:7" x14ac:dyDescent="0.25">
      <c r="A24" s="8">
        <v>42959.192442129628</v>
      </c>
      <c r="B24" s="20" t="s">
        <v>438</v>
      </c>
      <c r="C24" s="20" t="s">
        <v>687</v>
      </c>
      <c r="D24" s="138">
        <v>3040000</v>
      </c>
      <c r="E24" s="20" t="s">
        <v>368</v>
      </c>
      <c r="F24" s="20" t="s">
        <v>369</v>
      </c>
      <c r="G24" s="8" t="str">
        <f t="shared" si="0"/>
        <v>WILLIAMS DONTE</v>
      </c>
    </row>
    <row r="25" spans="1:7" x14ac:dyDescent="0.25">
      <c r="A25" s="8">
        <v>42959.192569444444</v>
      </c>
      <c r="B25" s="20" t="s">
        <v>409</v>
      </c>
      <c r="C25" s="20" t="s">
        <v>686</v>
      </c>
      <c r="D25" s="138">
        <v>1340000</v>
      </c>
      <c r="E25" s="20" t="s">
        <v>673</v>
      </c>
      <c r="F25" s="20" t="s">
        <v>674</v>
      </c>
      <c r="G25" s="8" t="str">
        <f t="shared" si="0"/>
        <v>BEAM ROSS</v>
      </c>
    </row>
    <row r="26" spans="1:7" x14ac:dyDescent="0.25">
      <c r="A26" s="8">
        <v>42959.19636574074</v>
      </c>
      <c r="B26" s="20" t="s">
        <v>349</v>
      </c>
      <c r="C26" s="20" t="s">
        <v>688</v>
      </c>
      <c r="D26" s="138">
        <v>1340000</v>
      </c>
      <c r="E26" s="20" t="s">
        <v>673</v>
      </c>
      <c r="F26" s="20" t="s">
        <v>674</v>
      </c>
      <c r="G26" s="8" t="str">
        <f t="shared" si="0"/>
        <v>BEAM ROSS</v>
      </c>
    </row>
    <row r="27" spans="1:7" x14ac:dyDescent="0.25">
      <c r="A27" s="8">
        <v>42959.196585648147</v>
      </c>
      <c r="B27" s="20" t="s">
        <v>356</v>
      </c>
      <c r="C27" s="20" t="s">
        <v>689</v>
      </c>
      <c r="D27" s="138">
        <v>2600000</v>
      </c>
      <c r="E27" s="20" t="s">
        <v>690</v>
      </c>
      <c r="F27" s="20" t="s">
        <v>691</v>
      </c>
      <c r="G27" s="8" t="str">
        <f t="shared" si="0"/>
        <v>DAVIDSON DAVID</v>
      </c>
    </row>
    <row r="28" spans="1:7" x14ac:dyDescent="0.25">
      <c r="A28" s="8">
        <v>42959.202291666668</v>
      </c>
      <c r="B28" s="20" t="s">
        <v>385</v>
      </c>
      <c r="C28" s="20" t="s">
        <v>692</v>
      </c>
      <c r="D28" s="138">
        <v>2530000</v>
      </c>
      <c r="E28" s="20" t="s">
        <v>693</v>
      </c>
      <c r="F28" s="20" t="s">
        <v>694</v>
      </c>
      <c r="G28" s="8" t="str">
        <f t="shared" si="0"/>
        <v>LALONDE GREGORY</v>
      </c>
    </row>
    <row r="29" spans="1:7" x14ac:dyDescent="0.25">
      <c r="A29" s="8">
        <v>42959.203564814816</v>
      </c>
      <c r="B29" s="20" t="s">
        <v>403</v>
      </c>
      <c r="C29" s="20" t="s">
        <v>695</v>
      </c>
      <c r="D29" s="138">
        <v>2010000</v>
      </c>
      <c r="E29" s="20" t="s">
        <v>669</v>
      </c>
      <c r="F29" s="20" t="s">
        <v>670</v>
      </c>
      <c r="G29" s="8" t="str">
        <f t="shared" si="0"/>
        <v>MAELZER KURT</v>
      </c>
    </row>
    <row r="30" spans="1:7" x14ac:dyDescent="0.25">
      <c r="A30" s="8">
        <v>42959.210127314815</v>
      </c>
      <c r="B30" s="20" t="s">
        <v>362</v>
      </c>
      <c r="C30" s="20" t="s">
        <v>696</v>
      </c>
      <c r="D30" s="138">
        <v>2600000</v>
      </c>
      <c r="E30" s="20" t="s">
        <v>690</v>
      </c>
      <c r="F30" s="20" t="s">
        <v>691</v>
      </c>
      <c r="G30" s="8" t="str">
        <f t="shared" si="0"/>
        <v>DAVIDSON DAVID</v>
      </c>
    </row>
    <row r="31" spans="1:7" x14ac:dyDescent="0.25">
      <c r="A31" s="8">
        <v>42959.213726851849</v>
      </c>
      <c r="B31" s="20" t="s">
        <v>505</v>
      </c>
      <c r="C31" s="20" t="s">
        <v>697</v>
      </c>
      <c r="D31" s="138">
        <v>1990000</v>
      </c>
      <c r="E31" s="20" t="s">
        <v>378</v>
      </c>
      <c r="F31" s="20" t="s">
        <v>586</v>
      </c>
      <c r="G31" s="8" t="str">
        <f t="shared" si="0"/>
        <v>DAVIS WENDY</v>
      </c>
    </row>
    <row r="32" spans="1:7" x14ac:dyDescent="0.25">
      <c r="A32" s="8">
        <v>42959.214062500003</v>
      </c>
      <c r="B32" s="20" t="s">
        <v>533</v>
      </c>
      <c r="C32" s="20" t="s">
        <v>698</v>
      </c>
      <c r="D32" s="138">
        <v>1100000</v>
      </c>
      <c r="E32" s="20" t="s">
        <v>683</v>
      </c>
      <c r="F32" s="20" t="s">
        <v>684</v>
      </c>
      <c r="G32" s="8" t="str">
        <f t="shared" si="0"/>
        <v>GEBRETEKLE DAGNEW</v>
      </c>
    </row>
    <row r="33" spans="1:7" x14ac:dyDescent="0.25">
      <c r="A33" s="8">
        <v>42959.215879629628</v>
      </c>
      <c r="B33" s="20" t="s">
        <v>495</v>
      </c>
      <c r="C33" s="20" t="s">
        <v>699</v>
      </c>
      <c r="D33" s="138">
        <v>2970000</v>
      </c>
      <c r="E33" s="20" t="s">
        <v>365</v>
      </c>
      <c r="F33" s="20" t="s">
        <v>366</v>
      </c>
      <c r="G33" s="8" t="str">
        <f t="shared" si="0"/>
        <v>GUZMAN DANNY</v>
      </c>
    </row>
    <row r="34" spans="1:7" x14ac:dyDescent="0.25">
      <c r="A34" s="8">
        <v>42959.224016203705</v>
      </c>
      <c r="B34" s="20" t="s">
        <v>530</v>
      </c>
      <c r="C34" s="20" t="s">
        <v>700</v>
      </c>
      <c r="D34" s="138">
        <v>2560000</v>
      </c>
      <c r="E34" s="20" t="s">
        <v>701</v>
      </c>
      <c r="F34" s="20" t="s">
        <v>355</v>
      </c>
      <c r="G34" s="8" t="str">
        <f t="shared" si="0"/>
        <v>MACDONALD THOMAS</v>
      </c>
    </row>
    <row r="35" spans="1:7" x14ac:dyDescent="0.25">
      <c r="A35" s="8">
        <v>42959.226666666669</v>
      </c>
      <c r="B35" s="20" t="s">
        <v>678</v>
      </c>
      <c r="C35" s="20" t="s">
        <v>702</v>
      </c>
      <c r="D35" s="138">
        <v>3040000</v>
      </c>
      <c r="E35" s="20" t="s">
        <v>368</v>
      </c>
      <c r="F35" s="20" t="s">
        <v>369</v>
      </c>
      <c r="G35" s="8" t="str">
        <f t="shared" si="0"/>
        <v>WILLIAMS DONTE</v>
      </c>
    </row>
    <row r="36" spans="1:7" x14ac:dyDescent="0.25">
      <c r="A36" s="8">
        <v>42959.227731481478</v>
      </c>
      <c r="B36" s="20" t="s">
        <v>409</v>
      </c>
      <c r="C36" s="20" t="s">
        <v>703</v>
      </c>
      <c r="D36" s="138">
        <v>1340000</v>
      </c>
      <c r="E36" s="20" t="s">
        <v>673</v>
      </c>
      <c r="F36" s="20" t="s">
        <v>674</v>
      </c>
      <c r="G36" s="8" t="str">
        <f t="shared" si="0"/>
        <v>BEAM ROSS</v>
      </c>
    </row>
    <row r="37" spans="1:7" x14ac:dyDescent="0.25">
      <c r="A37" s="8">
        <v>42959.228877314818</v>
      </c>
      <c r="B37" s="20" t="s">
        <v>409</v>
      </c>
      <c r="C37" s="20" t="s">
        <v>703</v>
      </c>
      <c r="D37" s="138">
        <v>1340000</v>
      </c>
      <c r="E37" s="20" t="s">
        <v>673</v>
      </c>
      <c r="F37" s="20" t="s">
        <v>674</v>
      </c>
      <c r="G37" s="8" t="str">
        <f t="shared" si="0"/>
        <v>BEAM ROSS</v>
      </c>
    </row>
    <row r="38" spans="1:7" x14ac:dyDescent="0.25">
      <c r="A38" s="8">
        <v>42959.231168981481</v>
      </c>
      <c r="B38" s="20" t="s">
        <v>481</v>
      </c>
      <c r="C38" s="20" t="s">
        <v>704</v>
      </c>
      <c r="D38" s="138">
        <v>1810000</v>
      </c>
      <c r="E38" s="20" t="s">
        <v>705</v>
      </c>
      <c r="F38" s="20" t="s">
        <v>189</v>
      </c>
      <c r="G38" s="8" t="str">
        <f t="shared" si="0"/>
        <v>NEWELL JAMES</v>
      </c>
    </row>
    <row r="39" spans="1:7" x14ac:dyDescent="0.25">
      <c r="A39" s="8">
        <v>42959.232523148145</v>
      </c>
      <c r="B39" s="20" t="s">
        <v>481</v>
      </c>
      <c r="C39" s="20" t="s">
        <v>704</v>
      </c>
      <c r="D39" s="138">
        <v>1810000</v>
      </c>
      <c r="E39" s="20" t="s">
        <v>705</v>
      </c>
      <c r="F39" s="20" t="s">
        <v>189</v>
      </c>
      <c r="G39" s="8" t="str">
        <f t="shared" si="0"/>
        <v>NEWELL JAMES</v>
      </c>
    </row>
    <row r="40" spans="1:7" x14ac:dyDescent="0.25">
      <c r="A40" s="8">
        <v>42959.234571759262</v>
      </c>
      <c r="B40" s="25" t="s">
        <v>536</v>
      </c>
      <c r="C40" s="20" t="s">
        <v>706</v>
      </c>
      <c r="D40" s="138">
        <v>2560000</v>
      </c>
      <c r="E40" s="20" t="s">
        <v>701</v>
      </c>
      <c r="F40" s="20" t="s">
        <v>355</v>
      </c>
      <c r="G40" s="8" t="str">
        <f t="shared" si="0"/>
        <v>MACDONALD THOMAS</v>
      </c>
    </row>
    <row r="41" spans="1:7" x14ac:dyDescent="0.25">
      <c r="A41" s="8">
        <v>42959.244131944448</v>
      </c>
      <c r="B41" s="20" t="s">
        <v>405</v>
      </c>
      <c r="C41" s="20" t="s">
        <v>707</v>
      </c>
      <c r="D41" s="138">
        <v>2010000</v>
      </c>
      <c r="E41" s="20" t="s">
        <v>669</v>
      </c>
      <c r="F41" s="20" t="s">
        <v>670</v>
      </c>
      <c r="G41" s="8" t="str">
        <f t="shared" si="0"/>
        <v>MAELZER KURT</v>
      </c>
    </row>
    <row r="42" spans="1:7" x14ac:dyDescent="0.25">
      <c r="A42" s="8">
        <v>42959.247453703705</v>
      </c>
      <c r="B42" s="20" t="s">
        <v>506</v>
      </c>
      <c r="C42" s="20" t="s">
        <v>708</v>
      </c>
      <c r="D42" s="138">
        <v>1990000</v>
      </c>
      <c r="E42" s="20" t="s">
        <v>378</v>
      </c>
      <c r="F42" s="20" t="s">
        <v>586</v>
      </c>
      <c r="G42" s="8" t="str">
        <f t="shared" si="0"/>
        <v>DAVIS WENDY</v>
      </c>
    </row>
    <row r="43" spans="1:7" x14ac:dyDescent="0.25">
      <c r="A43" s="8">
        <v>42959.249143518522</v>
      </c>
      <c r="B43" s="20" t="s">
        <v>530</v>
      </c>
      <c r="C43" s="20" t="s">
        <v>632</v>
      </c>
      <c r="D43" s="138">
        <v>2560000</v>
      </c>
      <c r="E43" s="20" t="s">
        <v>701</v>
      </c>
      <c r="F43" s="20" t="s">
        <v>355</v>
      </c>
      <c r="G43" s="8" t="str">
        <f t="shared" si="0"/>
        <v>MACDONALD THOMAS</v>
      </c>
    </row>
    <row r="44" spans="1:7" x14ac:dyDescent="0.25">
      <c r="A44" s="8">
        <v>42959.25644675926</v>
      </c>
      <c r="B44" s="20" t="s">
        <v>356</v>
      </c>
      <c r="C44" s="20" t="s">
        <v>709</v>
      </c>
      <c r="D44" s="138">
        <v>2600000</v>
      </c>
      <c r="E44" s="20" t="s">
        <v>690</v>
      </c>
      <c r="F44" s="20" t="s">
        <v>691</v>
      </c>
      <c r="G44" s="8" t="str">
        <f t="shared" si="0"/>
        <v>DAVIDSON DAVID</v>
      </c>
    </row>
    <row r="45" spans="1:7" x14ac:dyDescent="0.25">
      <c r="A45" s="8">
        <v>42959.257708333331</v>
      </c>
      <c r="B45" s="20" t="s">
        <v>640</v>
      </c>
      <c r="C45" s="20" t="s">
        <v>710</v>
      </c>
      <c r="D45" s="138">
        <v>1100000</v>
      </c>
      <c r="E45" s="20" t="s">
        <v>683</v>
      </c>
      <c r="F45" s="20" t="s">
        <v>684</v>
      </c>
      <c r="G45" s="8" t="str">
        <f t="shared" si="0"/>
        <v>GEBRETEKLE DAGNEW</v>
      </c>
    </row>
    <row r="46" spans="1:7" x14ac:dyDescent="0.25">
      <c r="A46" s="8">
        <v>42959.266319444447</v>
      </c>
      <c r="B46" s="20" t="s">
        <v>495</v>
      </c>
      <c r="C46" s="20" t="s">
        <v>711</v>
      </c>
      <c r="D46" s="138">
        <v>1810000</v>
      </c>
      <c r="E46" s="20" t="s">
        <v>705</v>
      </c>
      <c r="F46" s="20" t="s">
        <v>189</v>
      </c>
      <c r="G46" s="8" t="str">
        <f t="shared" si="0"/>
        <v>NEWELL JAMES</v>
      </c>
    </row>
    <row r="47" spans="1:7" x14ac:dyDescent="0.25">
      <c r="A47" s="8">
        <v>42959.266331018516</v>
      </c>
      <c r="B47" s="20" t="s">
        <v>349</v>
      </c>
      <c r="C47" s="20" t="s">
        <v>633</v>
      </c>
      <c r="D47" s="138">
        <v>2530000</v>
      </c>
      <c r="E47" s="20" t="s">
        <v>693</v>
      </c>
      <c r="F47" s="20" t="s">
        <v>694</v>
      </c>
      <c r="G47" s="8" t="str">
        <f t="shared" si="0"/>
        <v>LALONDE GREGORY</v>
      </c>
    </row>
    <row r="48" spans="1:7" x14ac:dyDescent="0.25">
      <c r="A48" s="8">
        <v>42959.267326388886</v>
      </c>
      <c r="B48" s="20" t="s">
        <v>438</v>
      </c>
      <c r="C48" s="20" t="s">
        <v>712</v>
      </c>
      <c r="D48" s="138">
        <v>3040000</v>
      </c>
      <c r="E48" s="20" t="s">
        <v>368</v>
      </c>
      <c r="F48" s="20" t="s">
        <v>369</v>
      </c>
      <c r="G48" s="8" t="str">
        <f t="shared" si="0"/>
        <v>WILLIAMS DONTE</v>
      </c>
    </row>
    <row r="49" spans="1:7" x14ac:dyDescent="0.25">
      <c r="A49" s="8">
        <v>42959.277002314811</v>
      </c>
      <c r="B49" s="20" t="s">
        <v>536</v>
      </c>
      <c r="C49" s="20" t="s">
        <v>713</v>
      </c>
      <c r="D49" s="138">
        <v>2560000</v>
      </c>
      <c r="E49" s="20" t="s">
        <v>701</v>
      </c>
      <c r="F49" s="20" t="s">
        <v>355</v>
      </c>
      <c r="G49" s="8" t="str">
        <f t="shared" si="0"/>
        <v>MACDONALD THOMAS</v>
      </c>
    </row>
    <row r="50" spans="1:7" x14ac:dyDescent="0.25">
      <c r="A50" s="8">
        <v>42959.277187500003</v>
      </c>
      <c r="B50" s="20" t="s">
        <v>403</v>
      </c>
      <c r="C50" s="20" t="s">
        <v>714</v>
      </c>
      <c r="D50" s="138">
        <v>2010000</v>
      </c>
      <c r="E50" s="20" t="s">
        <v>669</v>
      </c>
      <c r="F50" s="20" t="s">
        <v>670</v>
      </c>
      <c r="G50" s="8" t="str">
        <f t="shared" si="0"/>
        <v>MAELZER KURT</v>
      </c>
    </row>
    <row r="51" spans="1:7" x14ac:dyDescent="0.25">
      <c r="A51" s="8">
        <v>42959.286377314813</v>
      </c>
      <c r="B51" s="20" t="s">
        <v>533</v>
      </c>
      <c r="C51" s="20" t="s">
        <v>715</v>
      </c>
      <c r="D51" s="138">
        <v>1100000</v>
      </c>
      <c r="E51" s="20" t="s">
        <v>683</v>
      </c>
      <c r="F51" s="20" t="s">
        <v>684</v>
      </c>
      <c r="G51" s="8" t="str">
        <f t="shared" si="0"/>
        <v>GEBRETEKLE DAGNEW</v>
      </c>
    </row>
    <row r="52" spans="1:7" x14ac:dyDescent="0.25">
      <c r="A52" s="8">
        <v>42959.287800925929</v>
      </c>
      <c r="B52" s="20" t="s">
        <v>362</v>
      </c>
      <c r="C52" s="20" t="s">
        <v>716</v>
      </c>
      <c r="D52" s="138">
        <v>2600000</v>
      </c>
      <c r="E52" s="20" t="s">
        <v>690</v>
      </c>
      <c r="F52" s="20" t="s">
        <v>691</v>
      </c>
      <c r="G52" s="8" t="str">
        <f t="shared" si="0"/>
        <v>DAVIDSON DAVID</v>
      </c>
    </row>
    <row r="53" spans="1:7" x14ac:dyDescent="0.25">
      <c r="A53" s="8">
        <v>42959.288206018522</v>
      </c>
      <c r="B53" s="20" t="s">
        <v>505</v>
      </c>
      <c r="C53" s="20" t="s">
        <v>717</v>
      </c>
      <c r="D53" s="138">
        <v>1990000</v>
      </c>
      <c r="E53" s="20" t="s">
        <v>378</v>
      </c>
      <c r="F53" s="20" t="s">
        <v>586</v>
      </c>
      <c r="G53" s="8" t="str">
        <f t="shared" si="0"/>
        <v>DAVIS WENDY</v>
      </c>
    </row>
    <row r="54" spans="1:7" x14ac:dyDescent="0.25">
      <c r="A54" s="8">
        <v>42959.289467592593</v>
      </c>
      <c r="B54" s="20" t="s">
        <v>530</v>
      </c>
      <c r="C54" s="20" t="s">
        <v>718</v>
      </c>
      <c r="D54" s="138">
        <v>2560000</v>
      </c>
      <c r="E54" s="20" t="s">
        <v>701</v>
      </c>
      <c r="F54" s="20" t="s">
        <v>355</v>
      </c>
      <c r="G54" s="8" t="str">
        <f t="shared" si="0"/>
        <v>MACDONALD THOMAS</v>
      </c>
    </row>
    <row r="55" spans="1:7" x14ac:dyDescent="0.25">
      <c r="A55" s="8">
        <v>42959.298483796294</v>
      </c>
      <c r="B55" s="20" t="s">
        <v>678</v>
      </c>
      <c r="C55" s="20" t="s">
        <v>719</v>
      </c>
      <c r="D55" s="138">
        <v>3040000</v>
      </c>
      <c r="E55" s="20" t="s">
        <v>368</v>
      </c>
      <c r="F55" s="20" t="s">
        <v>369</v>
      </c>
      <c r="G55" s="8" t="str">
        <f t="shared" si="0"/>
        <v>WILLIAMS DONTE</v>
      </c>
    </row>
    <row r="56" spans="1:7" x14ac:dyDescent="0.25">
      <c r="A56" s="8">
        <v>42959.301157407404</v>
      </c>
      <c r="B56" s="20" t="s">
        <v>409</v>
      </c>
      <c r="C56" s="20" t="s">
        <v>720</v>
      </c>
      <c r="D56" s="138">
        <v>2530000</v>
      </c>
      <c r="E56" s="20" t="s">
        <v>693</v>
      </c>
      <c r="F56" s="20" t="s">
        <v>694</v>
      </c>
      <c r="G56" s="8" t="str">
        <f t="shared" si="0"/>
        <v>LALONDE GREGORY</v>
      </c>
    </row>
    <row r="57" spans="1:7" x14ac:dyDescent="0.25">
      <c r="A57" s="8">
        <v>42959.308935185189</v>
      </c>
      <c r="B57" s="20" t="s">
        <v>481</v>
      </c>
      <c r="C57" s="20" t="s">
        <v>721</v>
      </c>
      <c r="D57" s="138">
        <v>2970000</v>
      </c>
      <c r="E57" s="20" t="s">
        <v>365</v>
      </c>
      <c r="F57" s="20" t="s">
        <v>366</v>
      </c>
      <c r="G57" s="8" t="str">
        <f t="shared" si="0"/>
        <v>GUZMAN DANNY</v>
      </c>
    </row>
    <row r="58" spans="1:7" x14ac:dyDescent="0.25">
      <c r="A58" s="8">
        <v>42959.312523148146</v>
      </c>
      <c r="B58" s="20" t="s">
        <v>405</v>
      </c>
      <c r="C58" s="20" t="s">
        <v>722</v>
      </c>
      <c r="D58" s="138">
        <v>2010000</v>
      </c>
      <c r="E58" s="20" t="s">
        <v>669</v>
      </c>
      <c r="F58" s="20" t="s">
        <v>670</v>
      </c>
      <c r="G58" s="8" t="str">
        <f t="shared" si="0"/>
        <v>MAELZER KURT</v>
      </c>
    </row>
    <row r="59" spans="1:7" x14ac:dyDescent="0.25">
      <c r="A59" s="8">
        <v>42959.317858796298</v>
      </c>
      <c r="B59" s="20" t="s">
        <v>536</v>
      </c>
      <c r="C59" s="20" t="s">
        <v>634</v>
      </c>
      <c r="D59" s="138">
        <v>2560000</v>
      </c>
      <c r="E59" s="20" t="s">
        <v>701</v>
      </c>
      <c r="F59" s="20" t="s">
        <v>355</v>
      </c>
      <c r="G59" s="8" t="str">
        <f t="shared" si="0"/>
        <v>MACDONALD THOMAS</v>
      </c>
    </row>
    <row r="60" spans="1:7" x14ac:dyDescent="0.25">
      <c r="A60" s="8">
        <v>42959.318784722222</v>
      </c>
      <c r="B60" s="20" t="s">
        <v>506</v>
      </c>
      <c r="C60" s="20" t="s">
        <v>723</v>
      </c>
      <c r="D60" s="138">
        <v>1990000</v>
      </c>
      <c r="E60" s="20" t="s">
        <v>378</v>
      </c>
      <c r="F60" s="20" t="s">
        <v>586</v>
      </c>
      <c r="G60" s="8" t="str">
        <f t="shared" si="0"/>
        <v>DAVIS WENDY</v>
      </c>
    </row>
    <row r="61" spans="1:7" x14ac:dyDescent="0.25">
      <c r="A61" s="8">
        <v>42959.31958333333</v>
      </c>
      <c r="B61" s="20" t="s">
        <v>356</v>
      </c>
      <c r="C61" s="20" t="s">
        <v>724</v>
      </c>
      <c r="D61" s="138">
        <v>2600000</v>
      </c>
      <c r="E61" s="20" t="s">
        <v>690</v>
      </c>
      <c r="F61" s="20" t="s">
        <v>691</v>
      </c>
      <c r="G61" s="8" t="str">
        <f t="shared" si="0"/>
        <v>DAVIDSON DAVID</v>
      </c>
    </row>
    <row r="62" spans="1:7" x14ac:dyDescent="0.25">
      <c r="A62" s="8">
        <v>42959.328831018516</v>
      </c>
      <c r="B62" s="20" t="s">
        <v>640</v>
      </c>
      <c r="C62" s="20" t="s">
        <v>725</v>
      </c>
      <c r="D62" s="138">
        <v>1100000</v>
      </c>
      <c r="E62" s="20" t="s">
        <v>683</v>
      </c>
      <c r="F62" s="20" t="s">
        <v>684</v>
      </c>
      <c r="G62" s="8" t="str">
        <f t="shared" si="0"/>
        <v>GEBRETEKLE DAGNEW</v>
      </c>
    </row>
    <row r="63" spans="1:7" x14ac:dyDescent="0.25">
      <c r="A63" s="8">
        <v>42959.332743055558</v>
      </c>
      <c r="B63" s="20" t="s">
        <v>530</v>
      </c>
      <c r="C63" s="20" t="s">
        <v>726</v>
      </c>
      <c r="D63" s="138">
        <v>2560000</v>
      </c>
      <c r="E63" s="20" t="s">
        <v>701</v>
      </c>
      <c r="F63" s="20" t="s">
        <v>355</v>
      </c>
      <c r="G63" s="8" t="str">
        <f t="shared" si="0"/>
        <v>MACDONALD THOMAS</v>
      </c>
    </row>
    <row r="64" spans="1:7" x14ac:dyDescent="0.25">
      <c r="A64" s="26">
        <v>42959.338541666664</v>
      </c>
      <c r="B64" s="20" t="s">
        <v>438</v>
      </c>
      <c r="C64" s="20" t="s">
        <v>727</v>
      </c>
      <c r="D64" s="138">
        <v>3040000</v>
      </c>
      <c r="E64" s="20" t="s">
        <v>368</v>
      </c>
      <c r="F64" s="20" t="s">
        <v>369</v>
      </c>
      <c r="G64" s="8" t="str">
        <f t="shared" si="0"/>
        <v>WILLIAMS DONTE</v>
      </c>
    </row>
    <row r="65" spans="1:7" x14ac:dyDescent="0.25">
      <c r="A65" s="8">
        <v>42959.338576388887</v>
      </c>
      <c r="B65" s="20" t="s">
        <v>349</v>
      </c>
      <c r="C65" s="20" t="s">
        <v>728</v>
      </c>
      <c r="D65" s="138">
        <v>1810000</v>
      </c>
      <c r="E65" s="20" t="s">
        <v>705</v>
      </c>
      <c r="F65" s="20" t="s">
        <v>189</v>
      </c>
      <c r="G65" s="8" t="str">
        <f t="shared" si="0"/>
        <v>NEWELL JAMES</v>
      </c>
    </row>
    <row r="66" spans="1:7" x14ac:dyDescent="0.25">
      <c r="A66" s="8">
        <v>42959.341469907406</v>
      </c>
      <c r="B66" s="20" t="s">
        <v>495</v>
      </c>
      <c r="C66" s="20" t="s">
        <v>729</v>
      </c>
      <c r="D66" s="138">
        <v>2970000</v>
      </c>
      <c r="E66" s="20" t="s">
        <v>365</v>
      </c>
      <c r="F66" s="20" t="s">
        <v>366</v>
      </c>
      <c r="G66" s="8" t="str">
        <f t="shared" si="0"/>
        <v>GUZMAN DANNY</v>
      </c>
    </row>
    <row r="67" spans="1:7" x14ac:dyDescent="0.25">
      <c r="A67" s="8">
        <v>42959.351527777777</v>
      </c>
      <c r="B67" s="20" t="s">
        <v>403</v>
      </c>
      <c r="C67" s="20" t="s">
        <v>730</v>
      </c>
      <c r="D67" s="138">
        <v>2010000</v>
      </c>
      <c r="E67" s="20" t="s">
        <v>669</v>
      </c>
      <c r="F67" s="20" t="s">
        <v>670</v>
      </c>
      <c r="G67" s="8" t="str">
        <f t="shared" ref="G67:G130" si="1">E67&amp;" "&amp;F67</f>
        <v>MAELZER KURT</v>
      </c>
    </row>
    <row r="68" spans="1:7" x14ac:dyDescent="0.25">
      <c r="A68" s="8">
        <v>42959.35900462963</v>
      </c>
      <c r="B68" s="20" t="s">
        <v>505</v>
      </c>
      <c r="C68" s="20" t="s">
        <v>635</v>
      </c>
      <c r="D68" s="138">
        <v>1990000</v>
      </c>
      <c r="E68" s="20" t="s">
        <v>378</v>
      </c>
      <c r="F68" s="20" t="s">
        <v>586</v>
      </c>
      <c r="G68" s="8" t="str">
        <f t="shared" si="1"/>
        <v>DAVIS WENDY</v>
      </c>
    </row>
    <row r="69" spans="1:7" x14ac:dyDescent="0.25">
      <c r="A69" s="8">
        <v>42959.359652777777</v>
      </c>
      <c r="B69" s="20" t="s">
        <v>536</v>
      </c>
      <c r="C69" s="20" t="s">
        <v>731</v>
      </c>
      <c r="D69" s="138">
        <v>2560000</v>
      </c>
      <c r="E69" s="20" t="s">
        <v>701</v>
      </c>
      <c r="F69" s="20" t="s">
        <v>355</v>
      </c>
      <c r="G69" s="8" t="str">
        <f t="shared" si="1"/>
        <v>MACDONALD THOMAS</v>
      </c>
    </row>
    <row r="70" spans="1:7" x14ac:dyDescent="0.25">
      <c r="A70" s="8">
        <v>42959.359780092593</v>
      </c>
      <c r="B70" s="20" t="s">
        <v>533</v>
      </c>
      <c r="C70" s="20" t="s">
        <v>732</v>
      </c>
      <c r="D70" s="138">
        <v>1100000</v>
      </c>
      <c r="E70" s="20" t="s">
        <v>683</v>
      </c>
      <c r="F70" s="20" t="s">
        <v>684</v>
      </c>
      <c r="G70" s="8" t="str">
        <f t="shared" si="1"/>
        <v>GEBRETEKLE DAGNEW</v>
      </c>
    </row>
    <row r="71" spans="1:7" x14ac:dyDescent="0.25">
      <c r="A71" s="8">
        <v>42959.360300925924</v>
      </c>
      <c r="B71" s="20" t="s">
        <v>362</v>
      </c>
      <c r="C71" s="20" t="s">
        <v>733</v>
      </c>
      <c r="D71" s="138">
        <v>2600000</v>
      </c>
      <c r="E71" s="20" t="s">
        <v>690</v>
      </c>
      <c r="F71" s="20" t="s">
        <v>691</v>
      </c>
      <c r="G71" s="8" t="str">
        <f t="shared" si="1"/>
        <v>DAVIDSON DAVID</v>
      </c>
    </row>
    <row r="72" spans="1:7" x14ac:dyDescent="0.25">
      <c r="A72" s="8">
        <v>42959.370949074073</v>
      </c>
      <c r="B72" s="20" t="s">
        <v>678</v>
      </c>
      <c r="C72" s="20" t="s">
        <v>734</v>
      </c>
      <c r="D72" s="138">
        <v>3040000</v>
      </c>
      <c r="E72" s="20" t="s">
        <v>368</v>
      </c>
      <c r="F72" s="20" t="s">
        <v>369</v>
      </c>
      <c r="G72" s="8" t="str">
        <f t="shared" si="1"/>
        <v>WILLIAMS DONTE</v>
      </c>
    </row>
    <row r="73" spans="1:7" x14ac:dyDescent="0.25">
      <c r="A73" s="8">
        <v>42959.372418981482</v>
      </c>
      <c r="B73" s="20" t="s">
        <v>530</v>
      </c>
      <c r="C73" s="20" t="s">
        <v>735</v>
      </c>
      <c r="D73" s="138">
        <v>2560000</v>
      </c>
      <c r="E73" s="20" t="s">
        <v>701</v>
      </c>
      <c r="F73" s="20" t="s">
        <v>355</v>
      </c>
      <c r="G73" s="8" t="str">
        <f t="shared" si="1"/>
        <v>MACDONALD THOMAS</v>
      </c>
    </row>
    <row r="74" spans="1:7" x14ac:dyDescent="0.25">
      <c r="A74" s="8">
        <v>42959.37872685185</v>
      </c>
      <c r="B74" s="20" t="s">
        <v>409</v>
      </c>
      <c r="C74" s="20" t="s">
        <v>736</v>
      </c>
      <c r="D74" s="138">
        <v>2530000</v>
      </c>
      <c r="E74" s="20" t="s">
        <v>693</v>
      </c>
      <c r="F74" s="20" t="s">
        <v>694</v>
      </c>
      <c r="G74" s="8" t="str">
        <f t="shared" si="1"/>
        <v>LALONDE GREGORY</v>
      </c>
    </row>
    <row r="75" spans="1:7" x14ac:dyDescent="0.25">
      <c r="A75" s="8">
        <v>42959.380694444444</v>
      </c>
      <c r="B75" s="20" t="s">
        <v>481</v>
      </c>
      <c r="C75" s="20" t="s">
        <v>737</v>
      </c>
      <c r="D75" s="138">
        <v>2970000</v>
      </c>
      <c r="E75" s="20" t="s">
        <v>365</v>
      </c>
      <c r="F75" s="20" t="s">
        <v>366</v>
      </c>
      <c r="G75" s="8" t="str">
        <f t="shared" si="1"/>
        <v>GUZMAN DANNY</v>
      </c>
    </row>
    <row r="76" spans="1:7" x14ac:dyDescent="0.25">
      <c r="A76" s="8">
        <v>42959.385972222219</v>
      </c>
      <c r="B76" s="20" t="s">
        <v>405</v>
      </c>
      <c r="C76" s="20" t="s">
        <v>638</v>
      </c>
      <c r="D76" s="138">
        <v>2010000</v>
      </c>
      <c r="E76" s="20" t="s">
        <v>669</v>
      </c>
      <c r="F76" s="20" t="s">
        <v>670</v>
      </c>
      <c r="G76" s="8" t="str">
        <f t="shared" si="1"/>
        <v>MAELZER KURT</v>
      </c>
    </row>
    <row r="77" spans="1:7" x14ac:dyDescent="0.25">
      <c r="A77" s="8">
        <v>42959.392152777778</v>
      </c>
      <c r="B77" s="20" t="s">
        <v>356</v>
      </c>
      <c r="C77" s="20" t="s">
        <v>738</v>
      </c>
      <c r="D77" s="138">
        <v>2600000</v>
      </c>
      <c r="E77" s="20" t="s">
        <v>690</v>
      </c>
      <c r="F77" s="20" t="s">
        <v>691</v>
      </c>
      <c r="G77" s="8" t="str">
        <f t="shared" si="1"/>
        <v>DAVIDSON DAVID</v>
      </c>
    </row>
    <row r="78" spans="1:7" x14ac:dyDescent="0.25">
      <c r="A78" s="8">
        <v>42959.392164351855</v>
      </c>
      <c r="B78" s="20" t="s">
        <v>506</v>
      </c>
      <c r="C78" s="20" t="s">
        <v>637</v>
      </c>
      <c r="D78" s="138">
        <v>1990000</v>
      </c>
      <c r="E78" s="20" t="s">
        <v>378</v>
      </c>
      <c r="F78" s="20" t="s">
        <v>586</v>
      </c>
      <c r="G78" s="8" t="str">
        <f t="shared" si="1"/>
        <v>DAVIS WENDY</v>
      </c>
    </row>
    <row r="79" spans="1:7" x14ac:dyDescent="0.25">
      <c r="A79" s="8">
        <v>42959.400567129633</v>
      </c>
      <c r="B79" s="20" t="s">
        <v>536</v>
      </c>
      <c r="C79" s="20" t="s">
        <v>636</v>
      </c>
      <c r="D79" s="138">
        <v>2560000</v>
      </c>
      <c r="E79" s="20" t="s">
        <v>701</v>
      </c>
      <c r="F79" s="20" t="s">
        <v>355</v>
      </c>
      <c r="G79" s="8" t="str">
        <f t="shared" si="1"/>
        <v>MACDONALD THOMAS</v>
      </c>
    </row>
    <row r="80" spans="1:7" x14ac:dyDescent="0.25">
      <c r="A80" s="8">
        <v>42959.401689814818</v>
      </c>
      <c r="B80" s="20" t="s">
        <v>640</v>
      </c>
      <c r="C80" s="20" t="s">
        <v>739</v>
      </c>
      <c r="D80" s="138">
        <v>1100000</v>
      </c>
      <c r="E80" s="20" t="s">
        <v>683</v>
      </c>
      <c r="F80" s="20" t="s">
        <v>684</v>
      </c>
      <c r="G80" s="8" t="str">
        <f t="shared" si="1"/>
        <v>GEBRETEKLE DAGNEW</v>
      </c>
    </row>
    <row r="81" spans="1:7" x14ac:dyDescent="0.25">
      <c r="A81" s="8">
        <v>42959.409502314818</v>
      </c>
      <c r="B81" s="20" t="s">
        <v>403</v>
      </c>
      <c r="C81" s="20" t="s">
        <v>638</v>
      </c>
      <c r="D81" s="138">
        <v>2010000</v>
      </c>
      <c r="E81" s="20" t="s">
        <v>669</v>
      </c>
      <c r="F81" s="20" t="s">
        <v>670</v>
      </c>
      <c r="G81" s="8" t="str">
        <f t="shared" si="1"/>
        <v>MAELZER KURT</v>
      </c>
    </row>
    <row r="82" spans="1:7" x14ac:dyDescent="0.25">
      <c r="A82" s="8">
        <v>42959.411770833336</v>
      </c>
      <c r="B82" s="20" t="s">
        <v>438</v>
      </c>
      <c r="C82" s="20" t="s">
        <v>740</v>
      </c>
      <c r="D82" s="138">
        <v>3040000</v>
      </c>
      <c r="E82" s="20" t="s">
        <v>368</v>
      </c>
      <c r="F82" s="20" t="s">
        <v>369</v>
      </c>
      <c r="G82" s="8" t="str">
        <f t="shared" si="1"/>
        <v>WILLIAMS DONTE</v>
      </c>
    </row>
    <row r="83" spans="1:7" x14ac:dyDescent="0.25">
      <c r="A83" s="8">
        <v>42959.41202546296</v>
      </c>
      <c r="B83" s="20" t="s">
        <v>405</v>
      </c>
      <c r="C83" s="20" t="s">
        <v>638</v>
      </c>
      <c r="D83" s="138">
        <v>2010000</v>
      </c>
      <c r="E83" s="20" t="s">
        <v>669</v>
      </c>
      <c r="F83" s="20" t="s">
        <v>670</v>
      </c>
      <c r="G83" s="8" t="str">
        <f t="shared" si="1"/>
        <v>MAELZER KURT</v>
      </c>
    </row>
    <row r="84" spans="1:7" x14ac:dyDescent="0.25">
      <c r="A84" s="8">
        <v>42959.412858796299</v>
      </c>
      <c r="B84" s="20" t="s">
        <v>495</v>
      </c>
      <c r="C84" s="20" t="s">
        <v>741</v>
      </c>
      <c r="D84" s="138">
        <v>2970000</v>
      </c>
      <c r="E84" s="20" t="s">
        <v>365</v>
      </c>
      <c r="F84" s="20" t="s">
        <v>366</v>
      </c>
      <c r="G84" s="8" t="str">
        <f t="shared" si="1"/>
        <v>GUZMAN DANNY</v>
      </c>
    </row>
    <row r="85" spans="1:7" x14ac:dyDescent="0.25">
      <c r="A85" s="8">
        <v>42959.414305555554</v>
      </c>
      <c r="B85" s="20" t="s">
        <v>349</v>
      </c>
      <c r="C85" s="20" t="s">
        <v>742</v>
      </c>
      <c r="D85" s="138">
        <v>2530000</v>
      </c>
      <c r="E85" s="20" t="s">
        <v>693</v>
      </c>
      <c r="F85" s="20" t="s">
        <v>694</v>
      </c>
      <c r="G85" s="8" t="str">
        <f t="shared" si="1"/>
        <v>LALONDE GREGORY</v>
      </c>
    </row>
    <row r="86" spans="1:7" x14ac:dyDescent="0.25">
      <c r="A86" s="8">
        <v>42959.415659722225</v>
      </c>
      <c r="B86" s="20" t="s">
        <v>530</v>
      </c>
      <c r="C86" s="20" t="s">
        <v>743</v>
      </c>
      <c r="D86" s="138">
        <v>2560000</v>
      </c>
      <c r="E86" s="20" t="s">
        <v>701</v>
      </c>
      <c r="F86" s="20" t="s">
        <v>355</v>
      </c>
      <c r="G86" s="8" t="str">
        <f t="shared" si="1"/>
        <v>MACDONALD THOMAS</v>
      </c>
    </row>
    <row r="87" spans="1:7" x14ac:dyDescent="0.25">
      <c r="A87" s="8">
        <v>42959.421435185184</v>
      </c>
      <c r="B87" s="20" t="s">
        <v>386</v>
      </c>
      <c r="C87" s="20" t="s">
        <v>744</v>
      </c>
      <c r="D87" s="138">
        <v>3010000</v>
      </c>
      <c r="E87" s="20" t="s">
        <v>587</v>
      </c>
      <c r="F87" s="20" t="s">
        <v>588</v>
      </c>
      <c r="G87" s="8" t="str">
        <f t="shared" si="1"/>
        <v>SULLIVAN BRANDON</v>
      </c>
    </row>
    <row r="88" spans="1:7" x14ac:dyDescent="0.25">
      <c r="A88" s="8">
        <v>42959.424641203703</v>
      </c>
      <c r="B88" s="20" t="s">
        <v>385</v>
      </c>
      <c r="C88" s="20" t="s">
        <v>744</v>
      </c>
      <c r="D88" s="138">
        <v>3010000</v>
      </c>
      <c r="E88" s="20" t="s">
        <v>587</v>
      </c>
      <c r="F88" s="20" t="s">
        <v>588</v>
      </c>
      <c r="G88" s="8" t="str">
        <f t="shared" si="1"/>
        <v>SULLIVAN BRANDON</v>
      </c>
    </row>
    <row r="89" spans="1:7" x14ac:dyDescent="0.25">
      <c r="A89" s="8">
        <v>42959.428472222222</v>
      </c>
      <c r="B89" s="20" t="s">
        <v>386</v>
      </c>
      <c r="C89" s="20" t="s">
        <v>639</v>
      </c>
      <c r="D89" s="138">
        <v>3010000</v>
      </c>
      <c r="E89" s="20" t="s">
        <v>587</v>
      </c>
      <c r="F89" s="20" t="s">
        <v>588</v>
      </c>
      <c r="G89" s="8" t="str">
        <f t="shared" si="1"/>
        <v>SULLIVAN BRANDON</v>
      </c>
    </row>
    <row r="90" spans="1:7" x14ac:dyDescent="0.25">
      <c r="A90" s="8">
        <v>42959.432847222219</v>
      </c>
      <c r="B90" s="20" t="s">
        <v>533</v>
      </c>
      <c r="C90" s="20" t="s">
        <v>745</v>
      </c>
      <c r="D90" s="138">
        <v>1100000</v>
      </c>
      <c r="E90" s="20" t="s">
        <v>683</v>
      </c>
      <c r="F90" s="20" t="s">
        <v>684</v>
      </c>
      <c r="G90" s="8" t="str">
        <f t="shared" si="1"/>
        <v>GEBRETEKLE DAGNEW</v>
      </c>
    </row>
    <row r="91" spans="1:7" x14ac:dyDescent="0.25">
      <c r="A91" s="8">
        <v>42959.432951388888</v>
      </c>
      <c r="B91" s="20" t="s">
        <v>505</v>
      </c>
      <c r="C91" s="20" t="s">
        <v>746</v>
      </c>
      <c r="D91" s="138">
        <v>1990000</v>
      </c>
      <c r="E91" s="20" t="s">
        <v>378</v>
      </c>
      <c r="F91" s="20" t="s">
        <v>586</v>
      </c>
      <c r="G91" s="8" t="str">
        <f t="shared" si="1"/>
        <v>DAVIS WENDY</v>
      </c>
    </row>
    <row r="92" spans="1:7" x14ac:dyDescent="0.25">
      <c r="A92" s="8">
        <v>42959.43478009259</v>
      </c>
      <c r="B92" s="20" t="s">
        <v>362</v>
      </c>
      <c r="C92" s="20" t="s">
        <v>747</v>
      </c>
      <c r="D92" s="138">
        <v>2600000</v>
      </c>
      <c r="E92" s="20" t="s">
        <v>690</v>
      </c>
      <c r="F92" s="20" t="s">
        <v>691</v>
      </c>
      <c r="G92" s="8" t="str">
        <f t="shared" si="1"/>
        <v>DAVIDSON DAVID</v>
      </c>
    </row>
    <row r="93" spans="1:7" x14ac:dyDescent="0.25">
      <c r="A93" s="8">
        <v>42959.442997685182</v>
      </c>
      <c r="B93" s="20" t="s">
        <v>536</v>
      </c>
      <c r="C93" s="20" t="s">
        <v>748</v>
      </c>
      <c r="D93" s="138">
        <v>2560000</v>
      </c>
      <c r="E93" s="20" t="s">
        <v>701</v>
      </c>
      <c r="F93" s="20" t="s">
        <v>355</v>
      </c>
      <c r="G93" s="8" t="str">
        <f t="shared" si="1"/>
        <v>MACDONALD THOMAS</v>
      </c>
    </row>
    <row r="94" spans="1:7" x14ac:dyDescent="0.25">
      <c r="A94" s="8">
        <v>42959.446076388886</v>
      </c>
      <c r="B94" s="20" t="s">
        <v>678</v>
      </c>
      <c r="C94" s="20" t="s">
        <v>749</v>
      </c>
      <c r="D94" s="138">
        <v>2440000</v>
      </c>
      <c r="E94" s="20" t="s">
        <v>750</v>
      </c>
      <c r="F94" s="20" t="s">
        <v>751</v>
      </c>
      <c r="G94" s="8" t="str">
        <f t="shared" si="1"/>
        <v>LOPES KIMBERLY</v>
      </c>
    </row>
    <row r="95" spans="1:7" x14ac:dyDescent="0.25">
      <c r="A95" s="8">
        <v>42959.446805555555</v>
      </c>
      <c r="B95" s="20" t="s">
        <v>409</v>
      </c>
      <c r="C95" s="20" t="s">
        <v>752</v>
      </c>
      <c r="D95" s="138">
        <v>2530000</v>
      </c>
      <c r="E95" s="20" t="s">
        <v>693</v>
      </c>
      <c r="F95" s="20" t="s">
        <v>694</v>
      </c>
      <c r="G95" s="8" t="str">
        <f t="shared" si="1"/>
        <v>LALONDE GREGORY</v>
      </c>
    </row>
    <row r="96" spans="1:7" x14ac:dyDescent="0.25">
      <c r="A96" s="8">
        <v>42959.455185185187</v>
      </c>
      <c r="B96" s="20" t="s">
        <v>481</v>
      </c>
      <c r="C96" s="20" t="s">
        <v>753</v>
      </c>
      <c r="D96" s="138">
        <v>2970000</v>
      </c>
      <c r="E96" s="20" t="s">
        <v>365</v>
      </c>
      <c r="F96" s="20" t="s">
        <v>366</v>
      </c>
      <c r="G96" s="8" t="str">
        <f t="shared" si="1"/>
        <v>GUZMAN DANNY</v>
      </c>
    </row>
    <row r="97" spans="1:7" x14ac:dyDescent="0.25">
      <c r="A97" s="8">
        <v>42959.456006944441</v>
      </c>
      <c r="B97" s="20" t="s">
        <v>530</v>
      </c>
      <c r="C97" s="20" t="s">
        <v>754</v>
      </c>
      <c r="D97" s="138">
        <v>2560000</v>
      </c>
      <c r="E97" s="20" t="s">
        <v>701</v>
      </c>
      <c r="F97" s="20" t="s">
        <v>355</v>
      </c>
      <c r="G97" s="8" t="str">
        <f t="shared" si="1"/>
        <v>MACDONALD THOMAS</v>
      </c>
    </row>
    <row r="98" spans="1:7" x14ac:dyDescent="0.25">
      <c r="A98" s="8">
        <v>42959.463101851848</v>
      </c>
      <c r="B98" s="20" t="s">
        <v>385</v>
      </c>
      <c r="C98" s="20" t="s">
        <v>755</v>
      </c>
      <c r="D98" s="138">
        <v>3010000</v>
      </c>
      <c r="E98" s="20" t="s">
        <v>587</v>
      </c>
      <c r="F98" s="20" t="s">
        <v>588</v>
      </c>
      <c r="G98" s="8" t="str">
        <f t="shared" si="1"/>
        <v>SULLIVAN BRANDON</v>
      </c>
    </row>
    <row r="99" spans="1:7" x14ac:dyDescent="0.25">
      <c r="A99" s="8">
        <v>42959.465104166666</v>
      </c>
      <c r="B99" s="20" t="s">
        <v>356</v>
      </c>
      <c r="C99" s="20" t="s">
        <v>756</v>
      </c>
      <c r="D99" s="138">
        <v>2600000</v>
      </c>
      <c r="E99" s="20" t="s">
        <v>690</v>
      </c>
      <c r="F99" s="20" t="s">
        <v>691</v>
      </c>
      <c r="G99" s="8" t="str">
        <f t="shared" si="1"/>
        <v>DAVIDSON DAVID</v>
      </c>
    </row>
    <row r="100" spans="1:7" x14ac:dyDescent="0.25">
      <c r="A100" s="8">
        <v>42959.470636574071</v>
      </c>
      <c r="B100" s="20" t="s">
        <v>506</v>
      </c>
      <c r="C100" s="20" t="s">
        <v>757</v>
      </c>
      <c r="D100" s="138">
        <v>920000</v>
      </c>
      <c r="E100" s="20" t="s">
        <v>378</v>
      </c>
      <c r="F100" s="20" t="s">
        <v>192</v>
      </c>
      <c r="G100" s="8" t="str">
        <f t="shared" si="1"/>
        <v>DAVIS MICHAEL</v>
      </c>
    </row>
    <row r="101" spans="1:7" x14ac:dyDescent="0.25">
      <c r="A101" s="8">
        <v>42959.476064814815</v>
      </c>
      <c r="B101" s="20" t="s">
        <v>640</v>
      </c>
      <c r="C101" s="20" t="s">
        <v>641</v>
      </c>
      <c r="D101" s="138">
        <v>3120000</v>
      </c>
      <c r="E101" s="20" t="s">
        <v>758</v>
      </c>
      <c r="F101" s="20" t="s">
        <v>759</v>
      </c>
      <c r="G101" s="8" t="str">
        <f t="shared" si="1"/>
        <v>THOMPSON LESTER</v>
      </c>
    </row>
    <row r="102" spans="1:7" x14ac:dyDescent="0.25">
      <c r="A102" s="8">
        <v>42959.48196759259</v>
      </c>
      <c r="B102" s="20" t="s">
        <v>438</v>
      </c>
      <c r="C102" s="20" t="s">
        <v>760</v>
      </c>
      <c r="D102" s="138">
        <v>2440000</v>
      </c>
      <c r="E102" s="20" t="s">
        <v>750</v>
      </c>
      <c r="F102" s="20" t="s">
        <v>751</v>
      </c>
      <c r="G102" s="8" t="str">
        <f t="shared" si="1"/>
        <v>LOPES KIMBERLY</v>
      </c>
    </row>
    <row r="103" spans="1:7" x14ac:dyDescent="0.25">
      <c r="A103" s="8">
        <v>42959.485300925924</v>
      </c>
      <c r="B103" s="20" t="s">
        <v>536</v>
      </c>
      <c r="C103" s="20" t="s">
        <v>761</v>
      </c>
      <c r="D103" s="138">
        <v>2560000</v>
      </c>
      <c r="E103" s="20" t="s">
        <v>701</v>
      </c>
      <c r="F103" s="20" t="s">
        <v>355</v>
      </c>
      <c r="G103" s="8" t="str">
        <f t="shared" si="1"/>
        <v>MACDONALD THOMAS</v>
      </c>
    </row>
    <row r="104" spans="1:7" x14ac:dyDescent="0.25">
      <c r="A104" s="8">
        <v>42959.485983796294</v>
      </c>
      <c r="B104" s="20" t="s">
        <v>495</v>
      </c>
      <c r="C104" s="20" t="s">
        <v>762</v>
      </c>
      <c r="D104" s="138">
        <v>2970000</v>
      </c>
      <c r="E104" s="20" t="s">
        <v>365</v>
      </c>
      <c r="F104" s="20" t="s">
        <v>366</v>
      </c>
      <c r="G104" s="8" t="str">
        <f t="shared" si="1"/>
        <v>GUZMAN DANNY</v>
      </c>
    </row>
    <row r="105" spans="1:7" x14ac:dyDescent="0.25">
      <c r="A105" s="8">
        <v>42959.487615740742</v>
      </c>
      <c r="B105" s="20" t="s">
        <v>349</v>
      </c>
      <c r="C105" s="20" t="s">
        <v>763</v>
      </c>
      <c r="D105" s="138">
        <v>1770000</v>
      </c>
      <c r="E105" s="20" t="s">
        <v>764</v>
      </c>
      <c r="F105" s="20" t="s">
        <v>765</v>
      </c>
      <c r="G105" s="8" t="str">
        <f t="shared" si="1"/>
        <v>BRUDER RICHARD</v>
      </c>
    </row>
    <row r="106" spans="1:7" x14ac:dyDescent="0.25">
      <c r="A106" s="8">
        <v>42959.495266203703</v>
      </c>
      <c r="B106" s="20" t="s">
        <v>386</v>
      </c>
      <c r="C106" s="20" t="s">
        <v>766</v>
      </c>
      <c r="D106" s="138">
        <v>3010000</v>
      </c>
      <c r="E106" s="20" t="s">
        <v>587</v>
      </c>
      <c r="F106" s="20" t="s">
        <v>588</v>
      </c>
      <c r="G106" s="8" t="str">
        <f t="shared" si="1"/>
        <v>SULLIVAN BRANDON</v>
      </c>
    </row>
    <row r="107" spans="1:7" x14ac:dyDescent="0.25">
      <c r="A107" s="8">
        <v>42959.497650462959</v>
      </c>
      <c r="B107" s="20" t="s">
        <v>530</v>
      </c>
      <c r="C107" s="20" t="s">
        <v>767</v>
      </c>
      <c r="D107" s="138">
        <v>2560000</v>
      </c>
      <c r="E107" s="20" t="s">
        <v>701</v>
      </c>
      <c r="F107" s="20" t="s">
        <v>355</v>
      </c>
      <c r="G107" s="8" t="str">
        <f t="shared" si="1"/>
        <v>MACDONALD THOMAS</v>
      </c>
    </row>
    <row r="108" spans="1:7" x14ac:dyDescent="0.25">
      <c r="A108" s="8">
        <v>42959.506782407407</v>
      </c>
      <c r="B108" s="20" t="s">
        <v>362</v>
      </c>
      <c r="C108" s="20" t="s">
        <v>768</v>
      </c>
      <c r="D108" s="138">
        <v>2370000</v>
      </c>
      <c r="E108" s="20" t="s">
        <v>540</v>
      </c>
      <c r="F108" s="20" t="s">
        <v>541</v>
      </c>
      <c r="G108" s="8" t="str">
        <f t="shared" si="1"/>
        <v>DELGADO DIANAH</v>
      </c>
    </row>
    <row r="109" spans="1:7" x14ac:dyDescent="0.25">
      <c r="A109" s="8">
        <v>42959.5075</v>
      </c>
      <c r="B109" s="20" t="s">
        <v>505</v>
      </c>
      <c r="C109" s="20" t="s">
        <v>769</v>
      </c>
      <c r="D109" s="138">
        <v>920000</v>
      </c>
      <c r="E109" s="20" t="s">
        <v>378</v>
      </c>
      <c r="F109" s="20" t="s">
        <v>192</v>
      </c>
      <c r="G109" s="8" t="str">
        <f t="shared" si="1"/>
        <v>DAVIS MICHAEL</v>
      </c>
    </row>
    <row r="110" spans="1:7" x14ac:dyDescent="0.25">
      <c r="A110" s="8">
        <v>42959.517175925925</v>
      </c>
      <c r="B110" s="20" t="s">
        <v>678</v>
      </c>
      <c r="C110" s="20" t="s">
        <v>770</v>
      </c>
      <c r="D110" s="138">
        <v>2440000</v>
      </c>
      <c r="E110" s="20" t="s">
        <v>750</v>
      </c>
      <c r="F110" s="20" t="s">
        <v>751</v>
      </c>
      <c r="G110" s="8" t="str">
        <f t="shared" si="1"/>
        <v>LOPES KIMBERLY</v>
      </c>
    </row>
    <row r="111" spans="1:7" x14ac:dyDescent="0.25">
      <c r="A111" s="8">
        <v>42959.517800925925</v>
      </c>
      <c r="B111" s="20" t="s">
        <v>533</v>
      </c>
      <c r="C111" s="20" t="s">
        <v>771</v>
      </c>
      <c r="D111" s="138">
        <v>3120000</v>
      </c>
      <c r="E111" s="20" t="s">
        <v>758</v>
      </c>
      <c r="F111" s="20" t="s">
        <v>759</v>
      </c>
      <c r="G111" s="8" t="str">
        <f t="shared" si="1"/>
        <v>THOMPSON LESTER</v>
      </c>
    </row>
    <row r="112" spans="1:7" x14ac:dyDescent="0.25">
      <c r="A112" s="8">
        <v>42959.518182870372</v>
      </c>
      <c r="B112" s="20" t="s">
        <v>678</v>
      </c>
      <c r="C112" s="20" t="s">
        <v>770</v>
      </c>
      <c r="D112" s="138">
        <v>2440000</v>
      </c>
      <c r="E112" s="20" t="s">
        <v>750</v>
      </c>
      <c r="F112" s="20" t="s">
        <v>751</v>
      </c>
      <c r="G112" s="8" t="str">
        <f t="shared" si="1"/>
        <v>LOPES KIMBERLY</v>
      </c>
    </row>
    <row r="113" spans="1:7" x14ac:dyDescent="0.25">
      <c r="A113" s="8">
        <v>42959.524363425924</v>
      </c>
      <c r="B113" s="20" t="s">
        <v>409</v>
      </c>
      <c r="C113" s="20" t="s">
        <v>772</v>
      </c>
      <c r="D113" s="138">
        <v>1770000</v>
      </c>
      <c r="E113" s="20" t="s">
        <v>764</v>
      </c>
      <c r="F113" s="20" t="s">
        <v>765</v>
      </c>
      <c r="G113" s="8" t="str">
        <f t="shared" si="1"/>
        <v>BRUDER RICHARD</v>
      </c>
    </row>
    <row r="114" spans="1:7" x14ac:dyDescent="0.25">
      <c r="A114" s="8">
        <v>42959.525451388887</v>
      </c>
      <c r="B114" s="20" t="s">
        <v>536</v>
      </c>
      <c r="C114" s="20" t="s">
        <v>773</v>
      </c>
      <c r="D114" s="138">
        <v>2560000</v>
      </c>
      <c r="E114" s="20" t="s">
        <v>701</v>
      </c>
      <c r="F114" s="20" t="s">
        <v>355</v>
      </c>
      <c r="G114" s="8" t="str">
        <f t="shared" si="1"/>
        <v>MACDONALD THOMAS</v>
      </c>
    </row>
    <row r="115" spans="1:7" x14ac:dyDescent="0.25">
      <c r="A115" s="8">
        <v>42959.529398148145</v>
      </c>
      <c r="B115" s="20" t="s">
        <v>481</v>
      </c>
      <c r="C115" s="20" t="s">
        <v>642</v>
      </c>
      <c r="D115" s="138">
        <v>2420000</v>
      </c>
      <c r="E115" s="20" t="s">
        <v>542</v>
      </c>
      <c r="F115" s="20" t="s">
        <v>543</v>
      </c>
      <c r="G115" s="8" t="str">
        <f t="shared" si="1"/>
        <v>HOLCOMB KAMDEN</v>
      </c>
    </row>
    <row r="116" spans="1:7" x14ac:dyDescent="0.25">
      <c r="A116" s="8">
        <v>42959.535590277781</v>
      </c>
      <c r="B116" s="20" t="s">
        <v>385</v>
      </c>
      <c r="C116" s="20" t="s">
        <v>774</v>
      </c>
      <c r="D116" s="138">
        <v>3010000</v>
      </c>
      <c r="E116" s="20" t="s">
        <v>587</v>
      </c>
      <c r="F116" s="20" t="s">
        <v>588</v>
      </c>
      <c r="G116" s="8" t="str">
        <f t="shared" si="1"/>
        <v>SULLIVAN BRANDON</v>
      </c>
    </row>
    <row r="117" spans="1:7" x14ac:dyDescent="0.25">
      <c r="A117" s="8">
        <v>42959.54005787037</v>
      </c>
      <c r="B117" s="20" t="s">
        <v>506</v>
      </c>
      <c r="C117" s="20" t="s">
        <v>775</v>
      </c>
      <c r="D117" s="138">
        <v>920000</v>
      </c>
      <c r="E117" s="20" t="s">
        <v>378</v>
      </c>
      <c r="F117" s="20" t="s">
        <v>192</v>
      </c>
      <c r="G117" s="8" t="str">
        <f t="shared" si="1"/>
        <v>DAVIS MICHAEL</v>
      </c>
    </row>
    <row r="118" spans="1:7" x14ac:dyDescent="0.25">
      <c r="A118" s="8">
        <v>42959.540231481478</v>
      </c>
      <c r="B118" s="20" t="s">
        <v>530</v>
      </c>
      <c r="C118" s="20" t="s">
        <v>776</v>
      </c>
      <c r="D118" s="138">
        <v>2560000</v>
      </c>
      <c r="E118" s="20" t="s">
        <v>701</v>
      </c>
      <c r="F118" s="20" t="s">
        <v>355</v>
      </c>
      <c r="G118" s="8" t="str">
        <f t="shared" si="1"/>
        <v>MACDONALD THOMAS</v>
      </c>
    </row>
    <row r="119" spans="1:7" x14ac:dyDescent="0.25">
      <c r="A119" s="8">
        <v>42959.546805555554</v>
      </c>
      <c r="B119" s="20" t="s">
        <v>356</v>
      </c>
      <c r="C119" s="20" t="s">
        <v>777</v>
      </c>
      <c r="D119" s="138">
        <v>2370000</v>
      </c>
      <c r="E119" s="20" t="s">
        <v>540</v>
      </c>
      <c r="F119" s="20" t="s">
        <v>541</v>
      </c>
      <c r="G119" s="8" t="str">
        <f t="shared" si="1"/>
        <v>DELGADO DIANAH</v>
      </c>
    </row>
    <row r="120" spans="1:7" x14ac:dyDescent="0.25">
      <c r="A120" s="8">
        <v>42959.549988425926</v>
      </c>
      <c r="B120" s="20" t="s">
        <v>640</v>
      </c>
      <c r="C120" s="20" t="s">
        <v>778</v>
      </c>
      <c r="D120" s="138">
        <v>3120000</v>
      </c>
      <c r="E120" s="20" t="s">
        <v>758</v>
      </c>
      <c r="F120" s="20" t="s">
        <v>759</v>
      </c>
      <c r="G120" s="8" t="str">
        <f t="shared" si="1"/>
        <v>THOMPSON LESTER</v>
      </c>
    </row>
    <row r="121" spans="1:7" x14ac:dyDescent="0.25">
      <c r="A121" s="8">
        <v>42959.557453703703</v>
      </c>
      <c r="B121" s="20" t="s">
        <v>438</v>
      </c>
      <c r="C121" s="20" t="s">
        <v>779</v>
      </c>
      <c r="D121" s="138">
        <v>2440000</v>
      </c>
      <c r="E121" s="20" t="s">
        <v>750</v>
      </c>
      <c r="F121" s="20" t="s">
        <v>751</v>
      </c>
      <c r="G121" s="8" t="str">
        <f t="shared" si="1"/>
        <v>LOPES KIMBERLY</v>
      </c>
    </row>
    <row r="122" spans="1:7" x14ac:dyDescent="0.25">
      <c r="A122" s="8">
        <v>42959.56</v>
      </c>
      <c r="B122" s="25" t="s">
        <v>349</v>
      </c>
      <c r="C122" s="20" t="s">
        <v>780</v>
      </c>
      <c r="D122" s="138">
        <v>1770000</v>
      </c>
      <c r="E122" s="20" t="s">
        <v>764</v>
      </c>
      <c r="F122" s="20" t="s">
        <v>765</v>
      </c>
      <c r="G122" s="8" t="str">
        <f t="shared" si="1"/>
        <v>BRUDER RICHARD</v>
      </c>
    </row>
    <row r="123" spans="1:7" x14ac:dyDescent="0.25">
      <c r="A123" s="8">
        <v>42959.560381944444</v>
      </c>
      <c r="B123" s="20" t="s">
        <v>438</v>
      </c>
      <c r="C123" s="20" t="s">
        <v>779</v>
      </c>
      <c r="D123" s="138">
        <v>2440000</v>
      </c>
      <c r="E123" s="20" t="s">
        <v>750</v>
      </c>
      <c r="F123" s="20" t="s">
        <v>751</v>
      </c>
      <c r="G123" s="8" t="str">
        <f t="shared" si="1"/>
        <v>LOPES KIMBERLY</v>
      </c>
    </row>
    <row r="124" spans="1:7" x14ac:dyDescent="0.25">
      <c r="A124" s="8">
        <v>42959.565243055556</v>
      </c>
      <c r="B124" s="20" t="s">
        <v>495</v>
      </c>
      <c r="C124" s="20" t="s">
        <v>643</v>
      </c>
      <c r="D124" s="138">
        <v>2420000</v>
      </c>
      <c r="E124" s="20" t="s">
        <v>542</v>
      </c>
      <c r="F124" s="20" t="s">
        <v>543</v>
      </c>
      <c r="G124" s="8" t="str">
        <f t="shared" si="1"/>
        <v>HOLCOMB KAMDEN</v>
      </c>
    </row>
    <row r="125" spans="1:7" x14ac:dyDescent="0.25">
      <c r="A125" s="8">
        <v>42959.566944444443</v>
      </c>
      <c r="B125" s="20" t="s">
        <v>536</v>
      </c>
      <c r="C125" s="20" t="s">
        <v>781</v>
      </c>
      <c r="D125" s="138">
        <v>2560000</v>
      </c>
      <c r="E125" s="20" t="s">
        <v>701</v>
      </c>
      <c r="F125" s="20" t="s">
        <v>355</v>
      </c>
      <c r="G125" s="8" t="str">
        <f t="shared" si="1"/>
        <v>MACDONALD THOMAS</v>
      </c>
    </row>
    <row r="126" spans="1:7" x14ac:dyDescent="0.25">
      <c r="A126" s="8">
        <v>42959.567847222221</v>
      </c>
      <c r="B126" s="20" t="s">
        <v>386</v>
      </c>
      <c r="C126" s="20" t="s">
        <v>782</v>
      </c>
      <c r="D126" s="138">
        <v>3010000</v>
      </c>
      <c r="E126" s="20" t="s">
        <v>587</v>
      </c>
      <c r="F126" s="20" t="s">
        <v>588</v>
      </c>
      <c r="G126" s="8" t="str">
        <f t="shared" si="1"/>
        <v>SULLIVAN BRANDON</v>
      </c>
    </row>
    <row r="127" spans="1:7" x14ac:dyDescent="0.25">
      <c r="A127" s="8">
        <v>42959.578333333331</v>
      </c>
      <c r="B127" s="20" t="s">
        <v>505</v>
      </c>
      <c r="C127" s="20" t="s">
        <v>783</v>
      </c>
      <c r="D127" s="138">
        <v>920000</v>
      </c>
      <c r="E127" s="20" t="s">
        <v>378</v>
      </c>
      <c r="F127" s="20" t="s">
        <v>192</v>
      </c>
      <c r="G127" s="8" t="str">
        <f t="shared" si="1"/>
        <v>DAVIS MICHAEL</v>
      </c>
    </row>
    <row r="128" spans="1:7" x14ac:dyDescent="0.25">
      <c r="A128" s="8">
        <v>42959.579108796293</v>
      </c>
      <c r="B128" s="20" t="s">
        <v>362</v>
      </c>
      <c r="C128" s="20" t="s">
        <v>645</v>
      </c>
      <c r="D128" s="138">
        <v>2370000</v>
      </c>
      <c r="E128" s="20" t="s">
        <v>540</v>
      </c>
      <c r="F128" s="20" t="s">
        <v>541</v>
      </c>
      <c r="G128" s="8" t="str">
        <f t="shared" si="1"/>
        <v>DELGADO DIANAH</v>
      </c>
    </row>
    <row r="129" spans="1:7" x14ac:dyDescent="0.25">
      <c r="A129" s="8">
        <v>42959.584907407407</v>
      </c>
      <c r="B129" s="20" t="s">
        <v>530</v>
      </c>
      <c r="C129" s="20" t="s">
        <v>784</v>
      </c>
      <c r="D129" s="138">
        <v>2540000</v>
      </c>
      <c r="E129" s="20" t="s">
        <v>785</v>
      </c>
      <c r="F129" s="20" t="s">
        <v>786</v>
      </c>
      <c r="G129" s="8" t="str">
        <f t="shared" si="1"/>
        <v>MCREYNOLDS KYLE</v>
      </c>
    </row>
    <row r="130" spans="1:7" x14ac:dyDescent="0.25">
      <c r="A130" s="8">
        <v>42959.58871527778</v>
      </c>
      <c r="B130" s="20" t="s">
        <v>533</v>
      </c>
      <c r="C130" s="20" t="s">
        <v>646</v>
      </c>
      <c r="D130" s="138">
        <v>3120000</v>
      </c>
      <c r="E130" s="20" t="s">
        <v>758</v>
      </c>
      <c r="F130" s="20" t="s">
        <v>759</v>
      </c>
      <c r="G130" s="8" t="str">
        <f t="shared" si="1"/>
        <v>THOMPSON LESTER</v>
      </c>
    </row>
    <row r="131" spans="1:7" x14ac:dyDescent="0.25">
      <c r="A131" s="8">
        <v>42959.589513888888</v>
      </c>
      <c r="B131" s="20" t="s">
        <v>678</v>
      </c>
      <c r="C131" s="20" t="s">
        <v>787</v>
      </c>
      <c r="D131" s="138">
        <v>2440000</v>
      </c>
      <c r="E131" s="20" t="s">
        <v>750</v>
      </c>
      <c r="F131" s="20" t="s">
        <v>751</v>
      </c>
      <c r="G131" s="8" t="str">
        <f t="shared" ref="G131:G194" si="2">E131&amp;" "&amp;F131</f>
        <v>LOPES KIMBERLY</v>
      </c>
    </row>
    <row r="132" spans="1:7" x14ac:dyDescent="0.25">
      <c r="A132" s="8">
        <v>42959.59952546296</v>
      </c>
      <c r="B132" s="20" t="s">
        <v>409</v>
      </c>
      <c r="C132" s="20" t="s">
        <v>648</v>
      </c>
      <c r="D132" s="138">
        <v>1770000</v>
      </c>
      <c r="E132" s="20" t="s">
        <v>764</v>
      </c>
      <c r="F132" s="20" t="s">
        <v>765</v>
      </c>
      <c r="G132" s="8" t="str">
        <f t="shared" si="2"/>
        <v>BRUDER RICHARD</v>
      </c>
    </row>
    <row r="133" spans="1:7" x14ac:dyDescent="0.25">
      <c r="A133" s="8">
        <v>42959.603680555556</v>
      </c>
      <c r="B133" s="20" t="s">
        <v>481</v>
      </c>
      <c r="C133" s="20" t="s">
        <v>644</v>
      </c>
      <c r="D133" s="138">
        <v>2420000</v>
      </c>
      <c r="E133" s="20" t="s">
        <v>542</v>
      </c>
      <c r="F133" s="20" t="s">
        <v>543</v>
      </c>
      <c r="G133" s="8" t="str">
        <f t="shared" si="2"/>
        <v>HOLCOMB KAMDEN</v>
      </c>
    </row>
    <row r="134" spans="1:7" x14ac:dyDescent="0.25">
      <c r="A134" s="8">
        <v>42959.606249999997</v>
      </c>
      <c r="B134" s="20" t="s">
        <v>385</v>
      </c>
      <c r="C134" s="20" t="s">
        <v>788</v>
      </c>
      <c r="D134" s="138">
        <v>3010000</v>
      </c>
      <c r="E134" s="20" t="s">
        <v>587</v>
      </c>
      <c r="F134" s="20" t="s">
        <v>588</v>
      </c>
      <c r="G134" s="8" t="str">
        <f t="shared" si="2"/>
        <v>SULLIVAN BRANDON</v>
      </c>
    </row>
    <row r="135" spans="1:7" x14ac:dyDescent="0.25">
      <c r="A135" s="8">
        <v>42959.610752314817</v>
      </c>
      <c r="B135" s="20" t="s">
        <v>536</v>
      </c>
      <c r="C135" s="20" t="s">
        <v>789</v>
      </c>
      <c r="D135" s="138">
        <v>2540000</v>
      </c>
      <c r="E135" s="20" t="s">
        <v>785</v>
      </c>
      <c r="F135" s="20" t="s">
        <v>786</v>
      </c>
      <c r="G135" s="8" t="str">
        <f t="shared" si="2"/>
        <v>MCREYNOLDS KYLE</v>
      </c>
    </row>
    <row r="136" spans="1:7" x14ac:dyDescent="0.25">
      <c r="A136" s="8">
        <v>42959.612962962965</v>
      </c>
      <c r="B136" s="20" t="s">
        <v>506</v>
      </c>
      <c r="C136" s="20" t="s">
        <v>790</v>
      </c>
      <c r="D136" s="138">
        <v>920000</v>
      </c>
      <c r="E136" s="20" t="s">
        <v>378</v>
      </c>
      <c r="F136" s="20" t="s">
        <v>192</v>
      </c>
      <c r="G136" s="8" t="str">
        <f t="shared" si="2"/>
        <v>DAVIS MICHAEL</v>
      </c>
    </row>
    <row r="137" spans="1:7" x14ac:dyDescent="0.25">
      <c r="A137" s="8">
        <v>42959.619722222225</v>
      </c>
      <c r="B137" s="20" t="s">
        <v>356</v>
      </c>
      <c r="C137" s="20" t="s">
        <v>647</v>
      </c>
      <c r="D137" s="138">
        <v>2370000</v>
      </c>
      <c r="E137" s="20" t="s">
        <v>540</v>
      </c>
      <c r="F137" s="20" t="s">
        <v>541</v>
      </c>
      <c r="G137" s="8" t="str">
        <f t="shared" si="2"/>
        <v>DELGADO DIANAH</v>
      </c>
    </row>
    <row r="138" spans="1:7" x14ac:dyDescent="0.25">
      <c r="A138" s="8">
        <v>42959.623333333337</v>
      </c>
      <c r="B138" s="20" t="s">
        <v>640</v>
      </c>
      <c r="C138" s="20" t="s">
        <v>791</v>
      </c>
      <c r="D138" s="138">
        <v>3120000</v>
      </c>
      <c r="E138" s="20" t="s">
        <v>758</v>
      </c>
      <c r="F138" s="20" t="s">
        <v>759</v>
      </c>
      <c r="G138" s="8" t="str">
        <f t="shared" si="2"/>
        <v>THOMPSON LESTER</v>
      </c>
    </row>
    <row r="139" spans="1:7" x14ac:dyDescent="0.25">
      <c r="A139" s="8">
        <v>42959.624768518515</v>
      </c>
      <c r="B139" s="20" t="s">
        <v>530</v>
      </c>
      <c r="C139" s="20" t="s">
        <v>792</v>
      </c>
      <c r="D139" s="138">
        <v>2540000</v>
      </c>
      <c r="E139" s="20" t="s">
        <v>785</v>
      </c>
      <c r="F139" s="20" t="s">
        <v>786</v>
      </c>
      <c r="G139" s="8" t="str">
        <f t="shared" si="2"/>
        <v>MCREYNOLDS KYLE</v>
      </c>
    </row>
    <row r="140" spans="1:7" x14ac:dyDescent="0.25">
      <c r="A140" s="8">
        <v>42959.629201388889</v>
      </c>
      <c r="B140" s="20" t="s">
        <v>438</v>
      </c>
      <c r="C140" s="20" t="s">
        <v>793</v>
      </c>
      <c r="D140" s="138">
        <v>2440000</v>
      </c>
      <c r="E140" s="20" t="s">
        <v>750</v>
      </c>
      <c r="F140" s="20" t="s">
        <v>751</v>
      </c>
      <c r="G140" s="8" t="str">
        <f t="shared" si="2"/>
        <v>LOPES KIMBERLY</v>
      </c>
    </row>
    <row r="141" spans="1:7" x14ac:dyDescent="0.25">
      <c r="A141" s="8">
        <v>42959.631168981483</v>
      </c>
      <c r="B141" s="20" t="s">
        <v>349</v>
      </c>
      <c r="C141" s="20" t="s">
        <v>794</v>
      </c>
      <c r="D141" s="138">
        <v>1770000</v>
      </c>
      <c r="E141" s="20" t="s">
        <v>764</v>
      </c>
      <c r="F141" s="20" t="s">
        <v>765</v>
      </c>
      <c r="G141" s="8" t="str">
        <f t="shared" si="2"/>
        <v>BRUDER RICHARD</v>
      </c>
    </row>
    <row r="142" spans="1:7" x14ac:dyDescent="0.25">
      <c r="A142" s="8">
        <v>42959.639907407407</v>
      </c>
      <c r="B142" s="20" t="s">
        <v>495</v>
      </c>
      <c r="C142" s="20" t="s">
        <v>795</v>
      </c>
      <c r="D142" s="138">
        <v>2420000</v>
      </c>
      <c r="E142" s="20" t="s">
        <v>542</v>
      </c>
      <c r="F142" s="20" t="s">
        <v>543</v>
      </c>
      <c r="G142" s="8" t="str">
        <f t="shared" si="2"/>
        <v>HOLCOMB KAMDEN</v>
      </c>
    </row>
    <row r="143" spans="1:7" x14ac:dyDescent="0.25">
      <c r="A143" s="8">
        <v>42959.642395833333</v>
      </c>
      <c r="B143" s="20" t="s">
        <v>386</v>
      </c>
      <c r="C143" s="20" t="s">
        <v>796</v>
      </c>
      <c r="D143" s="138">
        <v>3010000</v>
      </c>
      <c r="E143" s="20" t="s">
        <v>587</v>
      </c>
      <c r="F143" s="20" t="s">
        <v>588</v>
      </c>
      <c r="G143" s="8" t="str">
        <f t="shared" si="2"/>
        <v>SULLIVAN BRANDON</v>
      </c>
    </row>
    <row r="144" spans="1:7" x14ac:dyDescent="0.25">
      <c r="A144" s="8">
        <v>42959.653414351851</v>
      </c>
      <c r="B144" s="20" t="s">
        <v>362</v>
      </c>
      <c r="C144" s="20" t="s">
        <v>797</v>
      </c>
      <c r="D144" s="138">
        <v>2370000</v>
      </c>
      <c r="E144" s="20" t="s">
        <v>540</v>
      </c>
      <c r="F144" s="20" t="s">
        <v>541</v>
      </c>
      <c r="G144" s="8" t="str">
        <f t="shared" si="2"/>
        <v>DELGADO DIANAH</v>
      </c>
    </row>
    <row r="145" spans="1:7" x14ac:dyDescent="0.25">
      <c r="A145" s="8">
        <v>42959.653553240743</v>
      </c>
      <c r="B145" s="20" t="s">
        <v>505</v>
      </c>
      <c r="C145" s="20" t="s">
        <v>798</v>
      </c>
      <c r="D145" s="138">
        <v>920000</v>
      </c>
      <c r="E145" s="20" t="s">
        <v>378</v>
      </c>
      <c r="F145" s="20" t="s">
        <v>192</v>
      </c>
      <c r="G145" s="8" t="str">
        <f t="shared" si="2"/>
        <v>DAVIS MICHAEL</v>
      </c>
    </row>
    <row r="146" spans="1:7" x14ac:dyDescent="0.25">
      <c r="A146" s="8">
        <v>42959.654965277776</v>
      </c>
      <c r="B146" s="20" t="s">
        <v>536</v>
      </c>
      <c r="C146" s="20" t="s">
        <v>799</v>
      </c>
      <c r="D146" s="138">
        <v>2540000</v>
      </c>
      <c r="E146" s="20" t="s">
        <v>785</v>
      </c>
      <c r="F146" s="20" t="s">
        <v>786</v>
      </c>
      <c r="G146" s="8" t="str">
        <f t="shared" si="2"/>
        <v>MCREYNOLDS KYLE</v>
      </c>
    </row>
    <row r="147" spans="1:7" x14ac:dyDescent="0.25">
      <c r="A147" s="8">
        <v>42959.662615740737</v>
      </c>
      <c r="B147" s="20" t="s">
        <v>678</v>
      </c>
      <c r="C147" s="20" t="s">
        <v>800</v>
      </c>
      <c r="D147" s="138">
        <v>2440000</v>
      </c>
      <c r="E147" s="20" t="s">
        <v>750</v>
      </c>
      <c r="F147" s="20" t="s">
        <v>751</v>
      </c>
      <c r="G147" s="8" t="str">
        <f t="shared" si="2"/>
        <v>LOPES KIMBERLY</v>
      </c>
    </row>
    <row r="148" spans="1:7" x14ac:dyDescent="0.25">
      <c r="A148" s="8">
        <v>42959.662939814814</v>
      </c>
      <c r="B148" s="20" t="s">
        <v>533</v>
      </c>
      <c r="C148" s="20" t="s">
        <v>649</v>
      </c>
      <c r="D148" s="138">
        <v>3120000</v>
      </c>
      <c r="E148" s="20" t="s">
        <v>758</v>
      </c>
      <c r="F148" s="20" t="s">
        <v>759</v>
      </c>
      <c r="G148" s="8" t="str">
        <f t="shared" si="2"/>
        <v>THOMPSON LESTER</v>
      </c>
    </row>
    <row r="149" spans="1:7" x14ac:dyDescent="0.25">
      <c r="A149" s="8">
        <v>42959.672372685185</v>
      </c>
      <c r="B149" s="20" t="s">
        <v>409</v>
      </c>
      <c r="C149" s="20" t="s">
        <v>801</v>
      </c>
      <c r="D149" s="138">
        <v>1770000</v>
      </c>
      <c r="E149" s="20" t="s">
        <v>764</v>
      </c>
      <c r="F149" s="20" t="s">
        <v>765</v>
      </c>
      <c r="G149" s="8" t="str">
        <f t="shared" si="2"/>
        <v>BRUDER RICHARD</v>
      </c>
    </row>
    <row r="150" spans="1:7" x14ac:dyDescent="0.25">
      <c r="A150" s="8">
        <v>42959.673773148148</v>
      </c>
      <c r="B150" s="20" t="s">
        <v>530</v>
      </c>
      <c r="C150" s="20" t="s">
        <v>802</v>
      </c>
      <c r="D150" s="138">
        <v>2540000</v>
      </c>
      <c r="E150" s="20" t="s">
        <v>785</v>
      </c>
      <c r="F150" s="20" t="s">
        <v>786</v>
      </c>
      <c r="G150" s="8" t="str">
        <f t="shared" si="2"/>
        <v>MCREYNOLDS KYLE</v>
      </c>
    </row>
    <row r="151" spans="1:7" x14ac:dyDescent="0.25">
      <c r="A151" s="8">
        <v>42959.675439814811</v>
      </c>
      <c r="B151" s="20" t="s">
        <v>481</v>
      </c>
      <c r="C151" s="20" t="s">
        <v>650</v>
      </c>
      <c r="D151" s="138">
        <v>2420000</v>
      </c>
      <c r="E151" s="20" t="s">
        <v>542</v>
      </c>
      <c r="F151" s="20" t="s">
        <v>543</v>
      </c>
      <c r="G151" s="8" t="str">
        <f t="shared" si="2"/>
        <v>HOLCOMB KAMDEN</v>
      </c>
    </row>
    <row r="152" spans="1:7" x14ac:dyDescent="0.25">
      <c r="A152" s="8">
        <v>42959.680115740739</v>
      </c>
      <c r="B152" s="20" t="s">
        <v>385</v>
      </c>
      <c r="C152" s="20" t="s">
        <v>803</v>
      </c>
      <c r="D152" s="138">
        <v>3010000</v>
      </c>
      <c r="E152" s="20" t="s">
        <v>587</v>
      </c>
      <c r="F152" s="20" t="s">
        <v>588</v>
      </c>
      <c r="G152" s="8" t="str">
        <f t="shared" si="2"/>
        <v>SULLIVAN BRANDON</v>
      </c>
    </row>
    <row r="153" spans="1:7" x14ac:dyDescent="0.25">
      <c r="A153" s="8">
        <v>42959.683831018519</v>
      </c>
      <c r="B153" s="20" t="s">
        <v>356</v>
      </c>
      <c r="C153" s="20" t="s">
        <v>804</v>
      </c>
      <c r="D153" s="138">
        <v>2370000</v>
      </c>
      <c r="E153" s="20" t="s">
        <v>540</v>
      </c>
      <c r="F153" s="20" t="s">
        <v>541</v>
      </c>
      <c r="G153" s="8" t="str">
        <f t="shared" si="2"/>
        <v>DELGADO DIANAH</v>
      </c>
    </row>
    <row r="154" spans="1:7" x14ac:dyDescent="0.25">
      <c r="A154" s="8">
        <v>42959.686712962961</v>
      </c>
      <c r="B154" s="20" t="s">
        <v>506</v>
      </c>
      <c r="C154" s="20" t="s">
        <v>805</v>
      </c>
      <c r="D154" s="138">
        <v>920000</v>
      </c>
      <c r="E154" s="20" t="s">
        <v>378</v>
      </c>
      <c r="F154" s="20" t="s">
        <v>192</v>
      </c>
      <c r="G154" s="8" t="str">
        <f t="shared" si="2"/>
        <v>DAVIS MICHAEL</v>
      </c>
    </row>
    <row r="155" spans="1:7" x14ac:dyDescent="0.25">
      <c r="A155" s="8">
        <v>42959.692662037036</v>
      </c>
      <c r="B155" s="20" t="s">
        <v>536</v>
      </c>
      <c r="C155" s="20" t="s">
        <v>806</v>
      </c>
      <c r="D155" s="138">
        <v>2540000</v>
      </c>
      <c r="E155" s="20" t="s">
        <v>785</v>
      </c>
      <c r="F155" s="20" t="s">
        <v>786</v>
      </c>
      <c r="G155" s="8" t="str">
        <f t="shared" si="2"/>
        <v>MCREYNOLDS KYLE</v>
      </c>
    </row>
    <row r="156" spans="1:7" x14ac:dyDescent="0.25">
      <c r="A156" s="8">
        <v>42959.696215277778</v>
      </c>
      <c r="B156" s="20" t="s">
        <v>640</v>
      </c>
      <c r="C156" s="20" t="s">
        <v>651</v>
      </c>
      <c r="D156" s="138">
        <v>3120000</v>
      </c>
      <c r="E156" s="20" t="s">
        <v>758</v>
      </c>
      <c r="F156" s="20" t="s">
        <v>759</v>
      </c>
      <c r="G156" s="8" t="str">
        <f t="shared" si="2"/>
        <v>THOMPSON LESTER</v>
      </c>
    </row>
    <row r="157" spans="1:7" x14ac:dyDescent="0.25">
      <c r="A157" s="8">
        <v>42959.698437500003</v>
      </c>
      <c r="B157" s="20" t="s">
        <v>403</v>
      </c>
      <c r="C157" s="20" t="s">
        <v>807</v>
      </c>
      <c r="D157" s="138">
        <v>2450000</v>
      </c>
      <c r="E157" s="20" t="s">
        <v>808</v>
      </c>
      <c r="F157" s="20" t="s">
        <v>809</v>
      </c>
      <c r="G157" s="8" t="str">
        <f t="shared" si="2"/>
        <v>NELSON ARIANE</v>
      </c>
    </row>
    <row r="158" spans="1:7" x14ac:dyDescent="0.25">
      <c r="A158" s="8">
        <v>42959.703622685185</v>
      </c>
      <c r="B158" s="20" t="s">
        <v>438</v>
      </c>
      <c r="C158" s="20" t="s">
        <v>810</v>
      </c>
      <c r="D158" s="138">
        <v>2440000</v>
      </c>
      <c r="E158" s="20" t="s">
        <v>750</v>
      </c>
      <c r="F158" s="20" t="s">
        <v>751</v>
      </c>
      <c r="G158" s="8" t="str">
        <f t="shared" si="2"/>
        <v>LOPES KIMBERLY</v>
      </c>
    </row>
    <row r="159" spans="1:7" x14ac:dyDescent="0.25">
      <c r="A159" s="8">
        <v>42959.705092592594</v>
      </c>
      <c r="B159" s="20" t="s">
        <v>349</v>
      </c>
      <c r="C159" s="20" t="s">
        <v>811</v>
      </c>
      <c r="D159" s="138">
        <v>1770000</v>
      </c>
      <c r="E159" s="20" t="s">
        <v>764</v>
      </c>
      <c r="F159" s="20" t="s">
        <v>765</v>
      </c>
      <c r="G159" s="8" t="str">
        <f t="shared" si="2"/>
        <v>BRUDER RICHARD</v>
      </c>
    </row>
    <row r="160" spans="1:7" x14ac:dyDescent="0.25">
      <c r="A160" s="8">
        <v>42959.706574074073</v>
      </c>
      <c r="B160" s="20" t="s">
        <v>530</v>
      </c>
      <c r="C160" s="20" t="s">
        <v>812</v>
      </c>
      <c r="D160" s="138">
        <v>2540000</v>
      </c>
      <c r="E160" s="20" t="s">
        <v>785</v>
      </c>
      <c r="F160" s="20" t="s">
        <v>786</v>
      </c>
      <c r="G160" s="8" t="str">
        <f t="shared" si="2"/>
        <v>MCREYNOLDS KYLE</v>
      </c>
    </row>
    <row r="161" spans="1:7" x14ac:dyDescent="0.25">
      <c r="A161" s="8">
        <v>42959.714363425926</v>
      </c>
      <c r="B161" s="20" t="s">
        <v>495</v>
      </c>
      <c r="C161" s="20" t="s">
        <v>652</v>
      </c>
      <c r="D161" s="138">
        <v>2420000</v>
      </c>
      <c r="E161" s="20" t="s">
        <v>542</v>
      </c>
      <c r="F161" s="20" t="s">
        <v>543</v>
      </c>
      <c r="G161" s="8" t="str">
        <f t="shared" si="2"/>
        <v>HOLCOMB KAMDEN</v>
      </c>
    </row>
    <row r="162" spans="1:7" x14ac:dyDescent="0.25">
      <c r="A162" s="8">
        <v>42959.714513888888</v>
      </c>
      <c r="B162" s="20" t="s">
        <v>386</v>
      </c>
      <c r="C162" s="20" t="s">
        <v>813</v>
      </c>
      <c r="D162" s="138">
        <v>3010000</v>
      </c>
      <c r="E162" s="20" t="s">
        <v>587</v>
      </c>
      <c r="F162" s="20" t="s">
        <v>588</v>
      </c>
      <c r="G162" s="8" t="str">
        <f t="shared" si="2"/>
        <v>SULLIVAN BRANDON</v>
      </c>
    </row>
    <row r="163" spans="1:7" x14ac:dyDescent="0.25">
      <c r="A163" s="8">
        <v>42959.725949074076</v>
      </c>
      <c r="B163" s="20" t="s">
        <v>505</v>
      </c>
      <c r="C163" s="20" t="s">
        <v>814</v>
      </c>
      <c r="D163" s="138">
        <v>920000</v>
      </c>
      <c r="E163" s="20" t="s">
        <v>378</v>
      </c>
      <c r="F163" s="20" t="s">
        <v>192</v>
      </c>
      <c r="G163" s="8" t="str">
        <f t="shared" si="2"/>
        <v>DAVIS MICHAEL</v>
      </c>
    </row>
    <row r="164" spans="1:7" x14ac:dyDescent="0.25">
      <c r="A164" s="8">
        <v>42959.7266087963</v>
      </c>
      <c r="B164" s="20" t="s">
        <v>362</v>
      </c>
      <c r="C164" s="20" t="s">
        <v>815</v>
      </c>
      <c r="D164" s="138">
        <v>2370000</v>
      </c>
      <c r="E164" s="20" t="s">
        <v>540</v>
      </c>
      <c r="F164" s="20" t="s">
        <v>541</v>
      </c>
      <c r="G164" s="8" t="str">
        <f t="shared" si="2"/>
        <v>DELGADO DIANAH</v>
      </c>
    </row>
    <row r="165" spans="1:7" x14ac:dyDescent="0.25">
      <c r="A165" s="8">
        <v>42959.734178240738</v>
      </c>
      <c r="B165" s="20" t="s">
        <v>456</v>
      </c>
      <c r="C165" s="20" t="s">
        <v>816</v>
      </c>
      <c r="D165" s="138">
        <v>2630000</v>
      </c>
      <c r="E165" s="20" t="s">
        <v>517</v>
      </c>
      <c r="F165" s="20" t="s">
        <v>518</v>
      </c>
      <c r="G165" s="8" t="str">
        <f t="shared" si="2"/>
        <v>SAFIEF AEIMEN</v>
      </c>
    </row>
    <row r="166" spans="1:7" x14ac:dyDescent="0.25">
      <c r="A166" s="8">
        <v>42959.734537037039</v>
      </c>
      <c r="B166" s="20" t="s">
        <v>536</v>
      </c>
      <c r="C166" s="20" t="s">
        <v>817</v>
      </c>
      <c r="D166" s="138">
        <v>2540000</v>
      </c>
      <c r="E166" s="20" t="s">
        <v>785</v>
      </c>
      <c r="F166" s="20" t="s">
        <v>786</v>
      </c>
      <c r="G166" s="8" t="str">
        <f t="shared" si="2"/>
        <v>MCREYNOLDS KYLE</v>
      </c>
    </row>
    <row r="167" spans="1:7" x14ac:dyDescent="0.25">
      <c r="A167" s="8">
        <v>42959.735439814816</v>
      </c>
      <c r="B167" s="20" t="s">
        <v>533</v>
      </c>
      <c r="C167" s="20" t="s">
        <v>653</v>
      </c>
      <c r="D167" s="138">
        <v>3120000</v>
      </c>
      <c r="E167" s="20" t="s">
        <v>758</v>
      </c>
      <c r="F167" s="20" t="s">
        <v>759</v>
      </c>
      <c r="G167" s="8" t="str">
        <f t="shared" si="2"/>
        <v>THOMPSON LESTER</v>
      </c>
    </row>
    <row r="168" spans="1:7" x14ac:dyDescent="0.25">
      <c r="A168" s="8">
        <v>42959.737581018519</v>
      </c>
      <c r="B168" s="20" t="s">
        <v>678</v>
      </c>
      <c r="C168" s="20" t="s">
        <v>818</v>
      </c>
      <c r="D168" s="138">
        <v>3130000</v>
      </c>
      <c r="E168" s="20" t="s">
        <v>370</v>
      </c>
      <c r="F168" s="20" t="s">
        <v>371</v>
      </c>
      <c r="G168" s="8" t="str">
        <f t="shared" si="2"/>
        <v>ZEWDU DEREJE</v>
      </c>
    </row>
    <row r="169" spans="1:7" x14ac:dyDescent="0.25">
      <c r="A169" s="8">
        <v>42959.74428240741</v>
      </c>
      <c r="B169" s="20" t="s">
        <v>535</v>
      </c>
      <c r="C169" s="20" t="s">
        <v>819</v>
      </c>
      <c r="D169" s="138">
        <v>3180000</v>
      </c>
      <c r="E169" s="20" t="s">
        <v>820</v>
      </c>
      <c r="F169" s="20" t="s">
        <v>821</v>
      </c>
      <c r="G169" s="8" t="str">
        <f t="shared" si="2"/>
        <v>HUFFSMITH MONTY</v>
      </c>
    </row>
    <row r="170" spans="1:7" x14ac:dyDescent="0.25">
      <c r="A170" s="8">
        <v>42959.745706018519</v>
      </c>
      <c r="B170" s="20" t="s">
        <v>409</v>
      </c>
      <c r="C170" s="20" t="s">
        <v>822</v>
      </c>
      <c r="D170" s="138">
        <v>1770000</v>
      </c>
      <c r="E170" s="20" t="s">
        <v>764</v>
      </c>
      <c r="F170" s="20" t="s">
        <v>765</v>
      </c>
      <c r="G170" s="8" t="str">
        <f t="shared" si="2"/>
        <v>BRUDER RICHARD</v>
      </c>
    </row>
    <row r="171" spans="1:7" x14ac:dyDescent="0.25">
      <c r="A171" s="8">
        <v>42959.747627314813</v>
      </c>
      <c r="B171" s="20" t="s">
        <v>481</v>
      </c>
      <c r="C171" s="20" t="s">
        <v>654</v>
      </c>
      <c r="D171" s="138">
        <v>2420000</v>
      </c>
      <c r="E171" s="20" t="s">
        <v>542</v>
      </c>
      <c r="F171" s="20" t="s">
        <v>543</v>
      </c>
      <c r="G171" s="8" t="str">
        <f t="shared" si="2"/>
        <v>HOLCOMB KAMDEN</v>
      </c>
    </row>
    <row r="172" spans="1:7" x14ac:dyDescent="0.25">
      <c r="A172" s="8">
        <v>42959.753622685188</v>
      </c>
      <c r="B172" s="20" t="s">
        <v>385</v>
      </c>
      <c r="C172" s="20" t="s">
        <v>823</v>
      </c>
      <c r="D172" s="138">
        <v>3010000</v>
      </c>
      <c r="E172" s="20" t="s">
        <v>587</v>
      </c>
      <c r="F172" s="20" t="s">
        <v>588</v>
      </c>
      <c r="G172" s="8" t="str">
        <f t="shared" si="2"/>
        <v>SULLIVAN BRANDON</v>
      </c>
    </row>
    <row r="173" spans="1:7" x14ac:dyDescent="0.25">
      <c r="A173" s="8">
        <v>42959.756863425922</v>
      </c>
      <c r="B173" s="20" t="s">
        <v>506</v>
      </c>
      <c r="C173" s="20" t="s">
        <v>824</v>
      </c>
      <c r="D173" s="138">
        <v>2620000</v>
      </c>
      <c r="E173" s="20" t="s">
        <v>589</v>
      </c>
      <c r="F173" s="20" t="s">
        <v>590</v>
      </c>
      <c r="G173" s="8" t="str">
        <f t="shared" si="2"/>
        <v>PERKINS DARREN</v>
      </c>
    </row>
    <row r="174" spans="1:7" x14ac:dyDescent="0.25">
      <c r="A174" s="8">
        <v>42959.761296296296</v>
      </c>
      <c r="B174" s="20" t="s">
        <v>530</v>
      </c>
      <c r="C174" s="20" t="s">
        <v>825</v>
      </c>
      <c r="D174" s="138">
        <v>2540000</v>
      </c>
      <c r="E174" s="20" t="s">
        <v>785</v>
      </c>
      <c r="F174" s="20" t="s">
        <v>786</v>
      </c>
      <c r="G174" s="8" t="str">
        <f t="shared" si="2"/>
        <v>MCREYNOLDS KYLE</v>
      </c>
    </row>
    <row r="175" spans="1:7" x14ac:dyDescent="0.25">
      <c r="A175" s="8">
        <v>42959.765462962961</v>
      </c>
      <c r="B175" s="20" t="s">
        <v>356</v>
      </c>
      <c r="C175" s="20" t="s">
        <v>826</v>
      </c>
      <c r="D175" s="138">
        <v>2370000</v>
      </c>
      <c r="E175" s="20" t="s">
        <v>540</v>
      </c>
      <c r="F175" s="20" t="s">
        <v>541</v>
      </c>
      <c r="G175" s="8" t="str">
        <f t="shared" si="2"/>
        <v>DELGADO DIANAH</v>
      </c>
    </row>
    <row r="176" spans="1:7" x14ac:dyDescent="0.25">
      <c r="A176" s="8">
        <v>42959.766817129632</v>
      </c>
      <c r="B176" s="20" t="s">
        <v>356</v>
      </c>
      <c r="C176" s="20" t="s">
        <v>826</v>
      </c>
      <c r="D176" s="138">
        <v>2370000</v>
      </c>
      <c r="E176" s="20" t="s">
        <v>540</v>
      </c>
      <c r="F176" s="20" t="s">
        <v>541</v>
      </c>
      <c r="G176" s="8" t="str">
        <f t="shared" si="2"/>
        <v>DELGADO DIANAH</v>
      </c>
    </row>
    <row r="177" spans="1:7" x14ac:dyDescent="0.25">
      <c r="A177" s="8">
        <v>42959.767777777779</v>
      </c>
      <c r="B177" s="20" t="s">
        <v>640</v>
      </c>
      <c r="C177" s="20" t="s">
        <v>827</v>
      </c>
      <c r="D177" s="138">
        <v>3000000</v>
      </c>
      <c r="E177" s="20" t="s">
        <v>381</v>
      </c>
      <c r="F177" s="20" t="s">
        <v>382</v>
      </c>
      <c r="G177" s="8" t="str">
        <f t="shared" si="2"/>
        <v>FORTUNATO FRANK</v>
      </c>
    </row>
    <row r="178" spans="1:7" x14ac:dyDescent="0.25">
      <c r="A178" s="8">
        <v>42959.775567129633</v>
      </c>
      <c r="B178" s="20" t="s">
        <v>438</v>
      </c>
      <c r="C178" s="20" t="s">
        <v>828</v>
      </c>
      <c r="D178" s="138">
        <v>3130000</v>
      </c>
      <c r="E178" s="20" t="s">
        <v>370</v>
      </c>
      <c r="F178" s="20" t="s">
        <v>371</v>
      </c>
      <c r="G178" s="8" t="str">
        <f t="shared" si="2"/>
        <v>ZEWDU DEREJE</v>
      </c>
    </row>
    <row r="179" spans="1:7" x14ac:dyDescent="0.25">
      <c r="A179" s="8">
        <v>42959.776099537034</v>
      </c>
      <c r="B179" s="20" t="s">
        <v>536</v>
      </c>
      <c r="C179" s="20" t="s">
        <v>829</v>
      </c>
      <c r="D179" s="138">
        <v>2540000</v>
      </c>
      <c r="E179" s="20" t="s">
        <v>785</v>
      </c>
      <c r="F179" s="20" t="s">
        <v>786</v>
      </c>
      <c r="G179" s="8" t="str">
        <f t="shared" si="2"/>
        <v>MCREYNOLDS KYLE</v>
      </c>
    </row>
    <row r="180" spans="1:7" x14ac:dyDescent="0.25">
      <c r="A180" s="8">
        <v>42959.776400462964</v>
      </c>
      <c r="B180" s="20" t="s">
        <v>349</v>
      </c>
      <c r="C180" s="20" t="s">
        <v>830</v>
      </c>
      <c r="D180" s="138">
        <v>1770000</v>
      </c>
      <c r="E180" s="20" t="s">
        <v>764</v>
      </c>
      <c r="F180" s="20" t="s">
        <v>765</v>
      </c>
      <c r="G180" s="8" t="str">
        <f t="shared" si="2"/>
        <v>BRUDER RICHARD</v>
      </c>
    </row>
    <row r="181" spans="1:7" x14ac:dyDescent="0.25">
      <c r="A181" s="8">
        <v>42959.784942129627</v>
      </c>
      <c r="B181" s="20" t="s">
        <v>495</v>
      </c>
      <c r="C181" s="20" t="s">
        <v>655</v>
      </c>
      <c r="D181" s="138">
        <v>2420000</v>
      </c>
      <c r="E181" s="20" t="s">
        <v>542</v>
      </c>
      <c r="F181" s="20" t="s">
        <v>543</v>
      </c>
      <c r="G181" s="8" t="str">
        <f t="shared" si="2"/>
        <v>HOLCOMB KAMDEN</v>
      </c>
    </row>
    <row r="182" spans="1:7" x14ac:dyDescent="0.25">
      <c r="A182" s="8">
        <v>42959.788541666669</v>
      </c>
      <c r="B182" s="20" t="s">
        <v>386</v>
      </c>
      <c r="C182" s="20" t="s">
        <v>831</v>
      </c>
      <c r="D182" s="138">
        <v>3090000</v>
      </c>
      <c r="E182" s="20" t="s">
        <v>363</v>
      </c>
      <c r="F182" s="20" t="s">
        <v>364</v>
      </c>
      <c r="G182" s="8" t="str">
        <f t="shared" si="2"/>
        <v>LAMAR NEKESHA</v>
      </c>
    </row>
    <row r="183" spans="1:7" x14ac:dyDescent="0.25">
      <c r="A183" s="8">
        <v>42959.789861111109</v>
      </c>
      <c r="B183" s="20" t="s">
        <v>530</v>
      </c>
      <c r="C183" s="20" t="s">
        <v>832</v>
      </c>
      <c r="D183" s="138">
        <v>2540000</v>
      </c>
      <c r="E183" s="20" t="s">
        <v>785</v>
      </c>
      <c r="F183" s="20" t="s">
        <v>786</v>
      </c>
      <c r="G183" s="8" t="str">
        <f t="shared" si="2"/>
        <v>MCREYNOLDS KYLE</v>
      </c>
    </row>
    <row r="184" spans="1:7" x14ac:dyDescent="0.25">
      <c r="A184" s="8">
        <v>42959.79488425926</v>
      </c>
      <c r="B184" s="20" t="s">
        <v>505</v>
      </c>
      <c r="C184" s="20" t="s">
        <v>833</v>
      </c>
      <c r="D184" s="138">
        <v>2620000</v>
      </c>
      <c r="E184" s="20" t="s">
        <v>589</v>
      </c>
      <c r="F184" s="20" t="s">
        <v>590</v>
      </c>
      <c r="G184" s="8" t="str">
        <f t="shared" si="2"/>
        <v>PERKINS DARREN</v>
      </c>
    </row>
    <row r="185" spans="1:7" x14ac:dyDescent="0.25">
      <c r="A185" s="8">
        <v>42959.801423611112</v>
      </c>
      <c r="B185" s="20" t="s">
        <v>533</v>
      </c>
      <c r="C185" s="20" t="s">
        <v>656</v>
      </c>
      <c r="D185" s="138">
        <v>3000000</v>
      </c>
      <c r="E185" s="20" t="s">
        <v>381</v>
      </c>
      <c r="F185" s="20" t="s">
        <v>382</v>
      </c>
      <c r="G185" s="8" t="str">
        <f t="shared" si="2"/>
        <v>FORTUNATO FRANK</v>
      </c>
    </row>
    <row r="186" spans="1:7" x14ac:dyDescent="0.25">
      <c r="A186" s="8">
        <v>42959.810543981483</v>
      </c>
      <c r="B186" s="20" t="s">
        <v>678</v>
      </c>
      <c r="C186" s="20" t="s">
        <v>834</v>
      </c>
      <c r="D186" s="138">
        <v>3130000</v>
      </c>
      <c r="E186" s="20" t="s">
        <v>370</v>
      </c>
      <c r="F186" s="20" t="s">
        <v>371</v>
      </c>
      <c r="G186" s="8" t="str">
        <f t="shared" si="2"/>
        <v>ZEWDU DEREJE</v>
      </c>
    </row>
    <row r="187" spans="1:7" x14ac:dyDescent="0.25">
      <c r="A187" s="8">
        <v>42959.818229166667</v>
      </c>
      <c r="B187" s="20" t="s">
        <v>536</v>
      </c>
      <c r="C187" s="20" t="s">
        <v>835</v>
      </c>
      <c r="D187" s="138">
        <v>2540000</v>
      </c>
      <c r="E187" s="20" t="s">
        <v>785</v>
      </c>
      <c r="F187" s="20" t="s">
        <v>786</v>
      </c>
      <c r="G187" s="8" t="str">
        <f t="shared" si="2"/>
        <v>MCREYNOLDS KYLE</v>
      </c>
    </row>
    <row r="188" spans="1:7" x14ac:dyDescent="0.25">
      <c r="A188" s="8">
        <v>42959.819201388891</v>
      </c>
      <c r="B188" s="20" t="s">
        <v>481</v>
      </c>
      <c r="C188" s="20" t="s">
        <v>836</v>
      </c>
      <c r="D188" s="138">
        <v>2420000</v>
      </c>
      <c r="E188" s="20" t="s">
        <v>542</v>
      </c>
      <c r="F188" s="20" t="s">
        <v>543</v>
      </c>
      <c r="G188" s="8" t="str">
        <f t="shared" si="2"/>
        <v>HOLCOMB KAMDEN</v>
      </c>
    </row>
    <row r="189" spans="1:7" x14ac:dyDescent="0.25">
      <c r="A189" s="8">
        <v>42959.827175925922</v>
      </c>
      <c r="B189" s="20" t="s">
        <v>385</v>
      </c>
      <c r="C189" s="20" t="s">
        <v>837</v>
      </c>
      <c r="D189" s="138">
        <v>3090000</v>
      </c>
      <c r="E189" s="20" t="s">
        <v>363</v>
      </c>
      <c r="F189" s="20" t="s">
        <v>364</v>
      </c>
      <c r="G189" s="8" t="str">
        <f t="shared" si="2"/>
        <v>LAMAR NEKESHA</v>
      </c>
    </row>
    <row r="190" spans="1:7" x14ac:dyDescent="0.25">
      <c r="A190" s="8">
        <v>42959.828831018516</v>
      </c>
      <c r="B190" s="20" t="s">
        <v>506</v>
      </c>
      <c r="C190" s="20" t="s">
        <v>657</v>
      </c>
      <c r="D190" s="138">
        <v>2620000</v>
      </c>
      <c r="E190" s="20" t="s">
        <v>589</v>
      </c>
      <c r="F190" s="20" t="s">
        <v>590</v>
      </c>
      <c r="G190" s="8" t="str">
        <f t="shared" si="2"/>
        <v>PERKINS DARREN</v>
      </c>
    </row>
    <row r="191" spans="1:7" x14ac:dyDescent="0.25">
      <c r="A191" s="8">
        <v>42959.838969907411</v>
      </c>
      <c r="B191" s="20" t="s">
        <v>530</v>
      </c>
      <c r="C191" s="20" t="s">
        <v>838</v>
      </c>
      <c r="D191" s="138">
        <v>2540000</v>
      </c>
      <c r="E191" s="20" t="s">
        <v>785</v>
      </c>
      <c r="F191" s="20" t="s">
        <v>786</v>
      </c>
      <c r="G191" s="8" t="str">
        <f t="shared" si="2"/>
        <v>MCREYNOLDS KYLE</v>
      </c>
    </row>
    <row r="192" spans="1:7" x14ac:dyDescent="0.25">
      <c r="A192" s="8">
        <v>42959.841469907406</v>
      </c>
      <c r="B192" s="20" t="s">
        <v>640</v>
      </c>
      <c r="C192" s="20" t="s">
        <v>839</v>
      </c>
      <c r="D192" s="138">
        <v>3000000</v>
      </c>
      <c r="E192" s="20" t="s">
        <v>381</v>
      </c>
      <c r="F192" s="20" t="s">
        <v>382</v>
      </c>
      <c r="G192" s="8" t="str">
        <f t="shared" si="2"/>
        <v>FORTUNATO FRANK</v>
      </c>
    </row>
    <row r="193" spans="1:7" x14ac:dyDescent="0.25">
      <c r="A193" s="8">
        <v>42959.849479166667</v>
      </c>
      <c r="B193" s="20" t="s">
        <v>438</v>
      </c>
      <c r="C193" s="20" t="s">
        <v>840</v>
      </c>
      <c r="D193" s="138">
        <v>3130000</v>
      </c>
      <c r="E193" s="20" t="s">
        <v>370</v>
      </c>
      <c r="F193" s="20" t="s">
        <v>371</v>
      </c>
      <c r="G193" s="8" t="str">
        <f t="shared" si="2"/>
        <v>ZEWDU DEREJE</v>
      </c>
    </row>
    <row r="194" spans="1:7" x14ac:dyDescent="0.25">
      <c r="A194" s="8">
        <v>42959.859918981485</v>
      </c>
      <c r="B194" s="20" t="s">
        <v>536</v>
      </c>
      <c r="C194" s="20" t="s">
        <v>841</v>
      </c>
      <c r="D194" s="138">
        <v>2540000</v>
      </c>
      <c r="E194" s="20" t="s">
        <v>785</v>
      </c>
      <c r="F194" s="20" t="s">
        <v>786</v>
      </c>
      <c r="G194" s="8" t="str">
        <f t="shared" si="2"/>
        <v>MCREYNOLDS KYLE</v>
      </c>
    </row>
    <row r="195" spans="1:7" x14ac:dyDescent="0.25">
      <c r="A195" s="8">
        <v>42959.865868055553</v>
      </c>
      <c r="B195" s="20" t="s">
        <v>505</v>
      </c>
      <c r="C195" s="20" t="s">
        <v>842</v>
      </c>
      <c r="D195" s="138">
        <v>2620000</v>
      </c>
      <c r="E195" s="20" t="s">
        <v>589</v>
      </c>
      <c r="F195" s="20" t="s">
        <v>590</v>
      </c>
      <c r="G195" s="8" t="str">
        <f t="shared" ref="G195:G258" si="3">E195&amp;" "&amp;F195</f>
        <v>PERKINS DARREN</v>
      </c>
    </row>
    <row r="196" spans="1:7" x14ac:dyDescent="0.25">
      <c r="A196" s="8">
        <v>42959.872384259259</v>
      </c>
      <c r="B196" s="20" t="s">
        <v>386</v>
      </c>
      <c r="C196" s="20" t="s">
        <v>843</v>
      </c>
      <c r="D196" s="138">
        <v>3200000</v>
      </c>
      <c r="E196" s="20" t="s">
        <v>844</v>
      </c>
      <c r="F196" s="20" t="s">
        <v>845</v>
      </c>
      <c r="G196" s="8" t="str">
        <f t="shared" si="3"/>
        <v>MILLER KEVIN</v>
      </c>
    </row>
    <row r="197" spans="1:7" x14ac:dyDescent="0.25">
      <c r="A197" s="8">
        <v>42959.881712962961</v>
      </c>
      <c r="B197" s="20" t="s">
        <v>678</v>
      </c>
      <c r="C197" s="20" t="s">
        <v>846</v>
      </c>
      <c r="D197" s="138">
        <v>3130000</v>
      </c>
      <c r="E197" s="20" t="s">
        <v>370</v>
      </c>
      <c r="F197" s="20" t="s">
        <v>371</v>
      </c>
      <c r="G197" s="8" t="str">
        <f t="shared" si="3"/>
        <v>ZEWDU DEREJE</v>
      </c>
    </row>
    <row r="198" spans="1:7" x14ac:dyDescent="0.25">
      <c r="A198" s="8">
        <v>42959.883703703701</v>
      </c>
      <c r="B198" s="20" t="s">
        <v>533</v>
      </c>
      <c r="C198" s="20" t="s">
        <v>847</v>
      </c>
      <c r="D198" s="138">
        <v>3000000</v>
      </c>
      <c r="E198" s="20" t="s">
        <v>381</v>
      </c>
      <c r="F198" s="20" t="s">
        <v>382</v>
      </c>
      <c r="G198" s="8" t="str">
        <f t="shared" si="3"/>
        <v>FORTUNATO FRANK</v>
      </c>
    </row>
    <row r="199" spans="1:7" x14ac:dyDescent="0.25">
      <c r="A199" s="8">
        <v>42959.887048611112</v>
      </c>
      <c r="B199" s="20" t="s">
        <v>530</v>
      </c>
      <c r="C199" s="20" t="s">
        <v>848</v>
      </c>
      <c r="D199" s="138">
        <v>2540000</v>
      </c>
      <c r="E199" s="20" t="s">
        <v>785</v>
      </c>
      <c r="F199" s="20" t="s">
        <v>786</v>
      </c>
      <c r="G199" s="8" t="str">
        <f t="shared" si="3"/>
        <v>MCREYNOLDS KYLE</v>
      </c>
    </row>
    <row r="200" spans="1:7" x14ac:dyDescent="0.25">
      <c r="A200" s="8">
        <v>42959.901736111111</v>
      </c>
      <c r="B200" s="20" t="s">
        <v>536</v>
      </c>
      <c r="C200" s="20" t="s">
        <v>849</v>
      </c>
      <c r="D200" s="138">
        <v>2540000</v>
      </c>
      <c r="E200" s="20" t="s">
        <v>785</v>
      </c>
      <c r="F200" s="20" t="s">
        <v>786</v>
      </c>
      <c r="G200" s="8" t="str">
        <f t="shared" si="3"/>
        <v>MCREYNOLDS KYLE</v>
      </c>
    </row>
    <row r="201" spans="1:7" x14ac:dyDescent="0.25">
      <c r="A201" s="8">
        <v>42959.904502314814</v>
      </c>
      <c r="B201" s="20" t="s">
        <v>506</v>
      </c>
      <c r="C201" s="20" t="s">
        <v>658</v>
      </c>
      <c r="D201" s="138">
        <v>2620000</v>
      </c>
      <c r="E201" s="20" t="s">
        <v>589</v>
      </c>
      <c r="F201" s="20" t="s">
        <v>590</v>
      </c>
      <c r="G201" s="8" t="str">
        <f t="shared" si="3"/>
        <v>PERKINS DARREN</v>
      </c>
    </row>
    <row r="202" spans="1:7" x14ac:dyDescent="0.25">
      <c r="A202" s="26">
        <v>42959.912465277775</v>
      </c>
      <c r="B202" s="20" t="s">
        <v>385</v>
      </c>
      <c r="C202" s="20" t="s">
        <v>850</v>
      </c>
      <c r="D202" s="138">
        <v>3200000</v>
      </c>
      <c r="E202" s="20" t="s">
        <v>844</v>
      </c>
      <c r="F202" s="20" t="s">
        <v>845</v>
      </c>
      <c r="G202" s="8" t="str">
        <f t="shared" si="3"/>
        <v>MILLER KEVIN</v>
      </c>
    </row>
    <row r="203" spans="1:7" x14ac:dyDescent="0.25">
      <c r="A203" s="8">
        <v>42959.914618055554</v>
      </c>
      <c r="B203" s="20" t="s">
        <v>530</v>
      </c>
      <c r="C203" s="20" t="s">
        <v>851</v>
      </c>
      <c r="D203" s="138">
        <v>2540000</v>
      </c>
      <c r="E203" s="20" t="s">
        <v>785</v>
      </c>
      <c r="F203" s="20" t="s">
        <v>786</v>
      </c>
      <c r="G203" s="8" t="str">
        <f t="shared" si="3"/>
        <v>MCREYNOLDS KYLE</v>
      </c>
    </row>
    <row r="204" spans="1:7" x14ac:dyDescent="0.25">
      <c r="A204" s="8">
        <v>42959.926030092596</v>
      </c>
      <c r="B204" s="20" t="s">
        <v>640</v>
      </c>
      <c r="C204" s="20" t="s">
        <v>852</v>
      </c>
      <c r="D204" s="138">
        <v>3000000</v>
      </c>
      <c r="E204" s="20" t="s">
        <v>381</v>
      </c>
      <c r="F204" s="20" t="s">
        <v>382</v>
      </c>
      <c r="G204" s="8" t="str">
        <f t="shared" si="3"/>
        <v>FORTUNATO FRANK</v>
      </c>
    </row>
    <row r="205" spans="1:7" x14ac:dyDescent="0.25">
      <c r="A205" s="8">
        <v>42959.933333333334</v>
      </c>
      <c r="B205" s="20" t="s">
        <v>438</v>
      </c>
      <c r="C205" s="20" t="s">
        <v>853</v>
      </c>
      <c r="D205" s="138">
        <v>3130000</v>
      </c>
      <c r="E205" s="20" t="s">
        <v>370</v>
      </c>
      <c r="F205" s="20" t="s">
        <v>371</v>
      </c>
      <c r="G205" s="8" t="str">
        <f t="shared" si="3"/>
        <v>ZEWDU DEREJE</v>
      </c>
    </row>
    <row r="206" spans="1:7" x14ac:dyDescent="0.25">
      <c r="A206" s="8">
        <v>42959.943159722221</v>
      </c>
      <c r="B206" s="20" t="s">
        <v>536</v>
      </c>
      <c r="C206" s="20" t="s">
        <v>854</v>
      </c>
      <c r="D206" s="138">
        <v>2540000</v>
      </c>
      <c r="E206" s="20" t="s">
        <v>785</v>
      </c>
      <c r="F206" s="20" t="s">
        <v>786</v>
      </c>
      <c r="G206" s="8" t="str">
        <f t="shared" si="3"/>
        <v>MCREYNOLDS KYLE</v>
      </c>
    </row>
    <row r="207" spans="1:7" x14ac:dyDescent="0.25">
      <c r="A207" s="8">
        <v>42959.94771990741</v>
      </c>
      <c r="B207" s="20" t="s">
        <v>505</v>
      </c>
      <c r="C207" s="20" t="s">
        <v>855</v>
      </c>
      <c r="D207" s="138">
        <v>2620000</v>
      </c>
      <c r="E207" s="20" t="s">
        <v>589</v>
      </c>
      <c r="F207" s="20" t="s">
        <v>590</v>
      </c>
      <c r="G207" s="8" t="str">
        <f t="shared" si="3"/>
        <v>PERKINS DARREN</v>
      </c>
    </row>
    <row r="208" spans="1:7" x14ac:dyDescent="0.25">
      <c r="A208" s="8">
        <v>42959.957083333335</v>
      </c>
      <c r="B208" s="20" t="s">
        <v>386</v>
      </c>
      <c r="C208" s="20" t="s">
        <v>856</v>
      </c>
      <c r="D208" s="138">
        <v>3090000</v>
      </c>
      <c r="E208" s="20" t="s">
        <v>363</v>
      </c>
      <c r="F208" s="20" t="s">
        <v>364</v>
      </c>
      <c r="G208" s="8" t="str">
        <f t="shared" si="3"/>
        <v>LAMAR NEKESHA</v>
      </c>
    </row>
    <row r="209" spans="1:7" x14ac:dyDescent="0.25">
      <c r="A209" s="8">
        <v>42959.965173611112</v>
      </c>
      <c r="B209" s="20" t="s">
        <v>533</v>
      </c>
      <c r="C209" s="20" t="s">
        <v>857</v>
      </c>
      <c r="D209" s="138">
        <v>3000000</v>
      </c>
      <c r="E209" s="20" t="s">
        <v>381</v>
      </c>
      <c r="F209" s="20" t="s">
        <v>382</v>
      </c>
      <c r="G209" s="8" t="str">
        <f t="shared" si="3"/>
        <v>FORTUNATO FRANK</v>
      </c>
    </row>
    <row r="210" spans="1:7" x14ac:dyDescent="0.25">
      <c r="A210" s="8">
        <v>42959.97451388889</v>
      </c>
      <c r="B210" s="20" t="s">
        <v>678</v>
      </c>
      <c r="C210" s="20" t="s">
        <v>858</v>
      </c>
      <c r="D210" s="138">
        <v>3030000</v>
      </c>
      <c r="E210" s="20" t="s">
        <v>367</v>
      </c>
      <c r="F210" s="20" t="s">
        <v>355</v>
      </c>
      <c r="G210" s="8" t="str">
        <f t="shared" si="3"/>
        <v>BIRENBAUM THOMAS</v>
      </c>
    </row>
    <row r="211" spans="1:7" x14ac:dyDescent="0.25">
      <c r="A211" s="8">
        <v>42959.987905092596</v>
      </c>
      <c r="B211" s="20" t="s">
        <v>506</v>
      </c>
      <c r="C211" s="20" t="s">
        <v>859</v>
      </c>
      <c r="D211" s="138">
        <v>2620000</v>
      </c>
      <c r="E211" s="20" t="s">
        <v>589</v>
      </c>
      <c r="F211" s="20" t="s">
        <v>590</v>
      </c>
      <c r="G211" s="8" t="str">
        <f t="shared" si="3"/>
        <v>PERKINS DARREN</v>
      </c>
    </row>
    <row r="212" spans="1:7" x14ac:dyDescent="0.25">
      <c r="A212" s="8">
        <v>42959.991944444446</v>
      </c>
      <c r="B212" s="20" t="s">
        <v>385</v>
      </c>
      <c r="C212" s="20" t="s">
        <v>860</v>
      </c>
      <c r="D212" s="138">
        <v>3090000</v>
      </c>
      <c r="E212" s="20" t="s">
        <v>363</v>
      </c>
      <c r="F212" s="20" t="s">
        <v>364</v>
      </c>
      <c r="G212" s="8" t="str">
        <f t="shared" si="3"/>
        <v>LAMAR NEKESHA</v>
      </c>
    </row>
    <row r="213" spans="1:7" x14ac:dyDescent="0.25">
      <c r="A213" s="8">
        <v>42960.004814814813</v>
      </c>
      <c r="B213" s="20" t="s">
        <v>640</v>
      </c>
      <c r="C213" s="20" t="s">
        <v>659</v>
      </c>
      <c r="D213" s="138">
        <v>3000000</v>
      </c>
      <c r="E213" s="20" t="s">
        <v>381</v>
      </c>
      <c r="F213" s="20" t="s">
        <v>382</v>
      </c>
      <c r="G213" s="8" t="str">
        <f t="shared" si="3"/>
        <v>FORTUNATO FRANK</v>
      </c>
    </row>
    <row r="214" spans="1:7" x14ac:dyDescent="0.25">
      <c r="A214" s="8">
        <v>42960.015462962961</v>
      </c>
      <c r="B214" s="20" t="s">
        <v>438</v>
      </c>
      <c r="C214" s="20" t="s">
        <v>861</v>
      </c>
      <c r="D214" s="138">
        <v>3030000</v>
      </c>
      <c r="E214" s="20" t="s">
        <v>367</v>
      </c>
      <c r="F214" s="20" t="s">
        <v>355</v>
      </c>
      <c r="G214" s="8" t="str">
        <f t="shared" si="3"/>
        <v>BIRENBAUM THOMAS</v>
      </c>
    </row>
    <row r="215" spans="1:7" x14ac:dyDescent="0.25">
      <c r="A215" s="8">
        <v>42960.034884259258</v>
      </c>
      <c r="B215" s="20" t="s">
        <v>505</v>
      </c>
      <c r="C215" s="20" t="s">
        <v>862</v>
      </c>
      <c r="D215" s="138">
        <v>2620000</v>
      </c>
      <c r="E215" s="20" t="s">
        <v>589</v>
      </c>
      <c r="F215" s="20" t="s">
        <v>590</v>
      </c>
      <c r="G215" s="8" t="str">
        <f t="shared" si="3"/>
        <v>PERKINS DARREN</v>
      </c>
    </row>
    <row r="216" spans="1:7" x14ac:dyDescent="0.25">
      <c r="A216" s="8">
        <v>42960.040138888886</v>
      </c>
      <c r="B216" s="20" t="s">
        <v>386</v>
      </c>
      <c r="C216" s="20" t="s">
        <v>863</v>
      </c>
      <c r="D216" s="138">
        <v>3090000</v>
      </c>
      <c r="E216" s="20" t="s">
        <v>363</v>
      </c>
      <c r="F216" s="20" t="s">
        <v>364</v>
      </c>
      <c r="G216" s="8" t="str">
        <f t="shared" si="3"/>
        <v>LAMAR NEKESHA</v>
      </c>
    </row>
    <row r="217" spans="1:7" x14ac:dyDescent="0.25">
      <c r="A217" s="8">
        <v>42960.048391203702</v>
      </c>
      <c r="B217" s="20" t="s">
        <v>678</v>
      </c>
      <c r="C217" s="20" t="s">
        <v>864</v>
      </c>
      <c r="D217" s="138">
        <v>3030000</v>
      </c>
      <c r="E217" s="20" t="s">
        <v>367</v>
      </c>
      <c r="F217" s="20" t="s">
        <v>355</v>
      </c>
      <c r="G217" s="8" t="str">
        <f t="shared" si="3"/>
        <v>BIRENBAUM THOMAS</v>
      </c>
    </row>
    <row r="218" spans="1:7" x14ac:dyDescent="0.25">
      <c r="A218" s="8">
        <v>42960.04892361111</v>
      </c>
      <c r="B218" s="20" t="s">
        <v>533</v>
      </c>
      <c r="C218" s="20" t="s">
        <v>865</v>
      </c>
      <c r="D218" s="138">
        <v>3000000</v>
      </c>
      <c r="E218" s="20" t="s">
        <v>381</v>
      </c>
      <c r="F218" s="20" t="s">
        <v>382</v>
      </c>
      <c r="G218" s="8" t="str">
        <f t="shared" si="3"/>
        <v>FORTUNATO FRANK</v>
      </c>
    </row>
    <row r="219" spans="1:7" x14ac:dyDescent="0.25">
      <c r="A219" s="8">
        <v>42960.068749999999</v>
      </c>
      <c r="B219" s="20" t="s">
        <v>506</v>
      </c>
      <c r="C219" s="20" t="s">
        <v>866</v>
      </c>
      <c r="D219" s="138">
        <v>2620000</v>
      </c>
      <c r="E219" s="20" t="s">
        <v>589</v>
      </c>
      <c r="F219" s="20" t="s">
        <v>590</v>
      </c>
      <c r="G219" s="8" t="str">
        <f t="shared" si="3"/>
        <v>PERKINS DARREN</v>
      </c>
    </row>
    <row r="220" spans="1:7" x14ac:dyDescent="0.25">
      <c r="A220" s="8">
        <v>42960.078715277778</v>
      </c>
      <c r="B220" s="20" t="s">
        <v>385</v>
      </c>
      <c r="C220" s="20" t="s">
        <v>660</v>
      </c>
      <c r="D220" s="138">
        <v>3090000</v>
      </c>
      <c r="E220" s="20" t="s">
        <v>363</v>
      </c>
      <c r="F220" s="20" t="s">
        <v>364</v>
      </c>
      <c r="G220" s="8" t="str">
        <f t="shared" si="3"/>
        <v>LAMAR NEKESHA</v>
      </c>
    </row>
    <row r="221" spans="1:7" x14ac:dyDescent="0.25">
      <c r="A221" s="8">
        <v>42960.08902777778</v>
      </c>
      <c r="B221" s="20" t="s">
        <v>640</v>
      </c>
      <c r="C221" s="20" t="s">
        <v>867</v>
      </c>
      <c r="D221" s="138">
        <v>3000000</v>
      </c>
      <c r="E221" s="20" t="s">
        <v>381</v>
      </c>
      <c r="F221" s="20" t="s">
        <v>382</v>
      </c>
      <c r="G221" s="8" t="str">
        <f t="shared" si="3"/>
        <v>FORTUNATO FRANK</v>
      </c>
    </row>
    <row r="222" spans="1:7" x14ac:dyDescent="0.25">
      <c r="A222" s="8">
        <v>42960.110648148147</v>
      </c>
      <c r="B222" s="20" t="s">
        <v>386</v>
      </c>
      <c r="C222" s="20" t="s">
        <v>868</v>
      </c>
      <c r="D222" s="138">
        <v>3090000</v>
      </c>
      <c r="E222" s="20" t="s">
        <v>363</v>
      </c>
      <c r="F222" s="20" t="s">
        <v>364</v>
      </c>
      <c r="G222" s="8" t="str">
        <f t="shared" si="3"/>
        <v>LAMAR NEKESHA</v>
      </c>
    </row>
    <row r="223" spans="1:7" x14ac:dyDescent="0.25">
      <c r="A223" s="8">
        <v>42960.113807870373</v>
      </c>
      <c r="B223" s="20" t="s">
        <v>406</v>
      </c>
      <c r="C223" s="20" t="s">
        <v>869</v>
      </c>
      <c r="D223" s="138">
        <v>2010000</v>
      </c>
      <c r="E223" s="20" t="s">
        <v>669</v>
      </c>
      <c r="F223" s="20" t="s">
        <v>670</v>
      </c>
      <c r="G223" s="8" t="str">
        <f t="shared" si="3"/>
        <v>MAELZER KURT</v>
      </c>
    </row>
    <row r="224" spans="1:7" x14ac:dyDescent="0.25">
      <c r="A224" s="8">
        <v>42958.027129629627</v>
      </c>
      <c r="B224" t="s">
        <v>530</v>
      </c>
      <c r="C224" t="s">
        <v>591</v>
      </c>
      <c r="D224" s="138">
        <v>3090000</v>
      </c>
      <c r="E224" t="s">
        <v>363</v>
      </c>
      <c r="F224" s="20" t="s">
        <v>364</v>
      </c>
      <c r="G224" s="8" t="str">
        <f t="shared" si="3"/>
        <v>LAMAR NEKESHA</v>
      </c>
    </row>
    <row r="225" spans="1:7" x14ac:dyDescent="0.25">
      <c r="A225" s="8">
        <v>42958.032442129632</v>
      </c>
      <c r="B225" t="s">
        <v>582</v>
      </c>
      <c r="C225" t="s">
        <v>592</v>
      </c>
      <c r="D225" s="138">
        <v>2620000</v>
      </c>
      <c r="E225" t="s">
        <v>589</v>
      </c>
      <c r="F225" s="20" t="s">
        <v>590</v>
      </c>
      <c r="G225" s="8" t="str">
        <f t="shared" si="3"/>
        <v>PERKINS DARREN</v>
      </c>
    </row>
    <row r="226" spans="1:7" x14ac:dyDescent="0.25">
      <c r="A226" s="8">
        <v>42958.048043981478</v>
      </c>
      <c r="B226" t="s">
        <v>506</v>
      </c>
      <c r="C226" t="s">
        <v>593</v>
      </c>
      <c r="D226" s="138">
        <v>2230000</v>
      </c>
      <c r="E226" t="s">
        <v>336</v>
      </c>
      <c r="F226" s="20" t="s">
        <v>192</v>
      </c>
      <c r="G226" s="8" t="str">
        <f t="shared" si="3"/>
        <v>SMITH MICHAEL</v>
      </c>
    </row>
    <row r="227" spans="1:7" x14ac:dyDescent="0.25">
      <c r="A227" s="8">
        <v>42958.04954861111</v>
      </c>
      <c r="B227" t="s">
        <v>406</v>
      </c>
      <c r="C227" t="s">
        <v>594</v>
      </c>
      <c r="D227" s="138">
        <v>3000000</v>
      </c>
      <c r="E227" t="s">
        <v>381</v>
      </c>
      <c r="F227" s="20" t="s">
        <v>382</v>
      </c>
      <c r="G227" s="8" t="str">
        <f t="shared" si="3"/>
        <v>FORTUNATO FRANK</v>
      </c>
    </row>
    <row r="228" spans="1:7" x14ac:dyDescent="0.25">
      <c r="A228" s="8">
        <v>42958.050729166665</v>
      </c>
      <c r="B228" t="s">
        <v>506</v>
      </c>
      <c r="C228" t="s">
        <v>593</v>
      </c>
      <c r="D228" s="138">
        <v>2230000</v>
      </c>
      <c r="E228" t="s">
        <v>336</v>
      </c>
      <c r="F228" s="20" t="s">
        <v>192</v>
      </c>
      <c r="G228" s="8" t="str">
        <f t="shared" si="3"/>
        <v>SMITH MICHAEL</v>
      </c>
    </row>
    <row r="229" spans="1:7" x14ac:dyDescent="0.25">
      <c r="A229" s="8">
        <v>42958.068194444444</v>
      </c>
      <c r="B229" t="s">
        <v>583</v>
      </c>
      <c r="C229" t="s">
        <v>595</v>
      </c>
      <c r="D229" s="138">
        <v>2620000</v>
      </c>
      <c r="E229" t="s">
        <v>589</v>
      </c>
      <c r="F229" s="20" t="s">
        <v>590</v>
      </c>
      <c r="G229" s="8" t="str">
        <f t="shared" si="3"/>
        <v>PERKINS DARREN</v>
      </c>
    </row>
    <row r="230" spans="1:7" x14ac:dyDescent="0.25">
      <c r="A230" s="8">
        <v>42958.08861111111</v>
      </c>
      <c r="B230" t="s">
        <v>377</v>
      </c>
      <c r="C230" t="s">
        <v>596</v>
      </c>
      <c r="D230" s="138">
        <v>3000000</v>
      </c>
      <c r="E230" t="s">
        <v>381</v>
      </c>
      <c r="F230" s="20" t="s">
        <v>382</v>
      </c>
      <c r="G230" s="8" t="str">
        <f t="shared" si="3"/>
        <v>FORTUNATO FRANK</v>
      </c>
    </row>
    <row r="231" spans="1:7" x14ac:dyDescent="0.25">
      <c r="A231" s="8">
        <v>42958.089814814812</v>
      </c>
      <c r="B231" t="s">
        <v>377</v>
      </c>
      <c r="C231" t="s">
        <v>596</v>
      </c>
      <c r="D231" s="138">
        <v>3000000</v>
      </c>
      <c r="E231" t="s">
        <v>381</v>
      </c>
      <c r="F231" s="20" t="s">
        <v>382</v>
      </c>
      <c r="G231" s="8" t="str">
        <f t="shared" si="3"/>
        <v>FORTUNATO FRANK</v>
      </c>
    </row>
    <row r="232" spans="1:7" x14ac:dyDescent="0.25">
      <c r="A232" s="8">
        <v>42956.945706018516</v>
      </c>
      <c r="B232" t="s">
        <v>532</v>
      </c>
      <c r="C232" t="s">
        <v>544</v>
      </c>
      <c r="D232" s="138">
        <v>2230000</v>
      </c>
      <c r="E232" t="s">
        <v>336</v>
      </c>
      <c r="F232" s="20" t="s">
        <v>192</v>
      </c>
      <c r="G232" s="8" t="str">
        <f t="shared" si="3"/>
        <v>SMITH MICHAEL</v>
      </c>
    </row>
    <row r="233" spans="1:7" x14ac:dyDescent="0.25">
      <c r="A233" s="8">
        <v>42956.965810185182</v>
      </c>
      <c r="B233" t="s">
        <v>496</v>
      </c>
      <c r="C233" t="s">
        <v>545</v>
      </c>
      <c r="D233" s="138">
        <v>2090000</v>
      </c>
      <c r="E233" t="s">
        <v>390</v>
      </c>
      <c r="F233" s="20" t="s">
        <v>192</v>
      </c>
      <c r="G233" s="8" t="str">
        <f t="shared" si="3"/>
        <v>HAITHCOX MICHAEL</v>
      </c>
    </row>
    <row r="234" spans="1:7" x14ac:dyDescent="0.25">
      <c r="A234" s="8">
        <v>42956.974965277775</v>
      </c>
      <c r="B234" t="s">
        <v>535</v>
      </c>
      <c r="C234" t="s">
        <v>538</v>
      </c>
      <c r="D234" s="138">
        <v>3090000</v>
      </c>
      <c r="E234" t="s">
        <v>363</v>
      </c>
      <c r="F234" s="20" t="s">
        <v>364</v>
      </c>
      <c r="G234" s="8" t="str">
        <f t="shared" si="3"/>
        <v>LAMAR NEKESHA</v>
      </c>
    </row>
    <row r="235" spans="1:7" x14ac:dyDescent="0.25">
      <c r="A235" s="8">
        <v>42956.987881944442</v>
      </c>
      <c r="B235" t="s">
        <v>534</v>
      </c>
      <c r="C235" t="s">
        <v>546</v>
      </c>
      <c r="D235" s="138">
        <v>3000000</v>
      </c>
      <c r="E235" t="s">
        <v>381</v>
      </c>
      <c r="F235" s="20" t="s">
        <v>382</v>
      </c>
      <c r="G235" s="8" t="str">
        <f t="shared" si="3"/>
        <v>FORTUNATO FRANK</v>
      </c>
    </row>
    <row r="236" spans="1:7" x14ac:dyDescent="0.25">
      <c r="A236" s="8">
        <v>42956.993773148148</v>
      </c>
      <c r="B236" t="s">
        <v>537</v>
      </c>
      <c r="C236" t="s">
        <v>547</v>
      </c>
      <c r="D236" s="138">
        <v>2230000</v>
      </c>
      <c r="E236" t="s">
        <v>336</v>
      </c>
      <c r="F236" s="20" t="s">
        <v>192</v>
      </c>
      <c r="G236" s="8" t="str">
        <f t="shared" si="3"/>
        <v>SMITH MICHAEL</v>
      </c>
    </row>
    <row r="237" spans="1:7" x14ac:dyDescent="0.25">
      <c r="A237" s="8">
        <v>42956.999293981484</v>
      </c>
      <c r="B237" t="s">
        <v>535</v>
      </c>
      <c r="C237" t="s">
        <v>538</v>
      </c>
      <c r="D237" s="138">
        <v>3090000</v>
      </c>
      <c r="E237" t="s">
        <v>363</v>
      </c>
      <c r="F237" s="20" t="s">
        <v>364</v>
      </c>
      <c r="G237" s="8" t="str">
        <f t="shared" si="3"/>
        <v>LAMAR NEKESHA</v>
      </c>
    </row>
    <row r="238" spans="1:7" x14ac:dyDescent="0.25">
      <c r="A238" s="8">
        <v>42957.008020833331</v>
      </c>
      <c r="B238" t="s">
        <v>497</v>
      </c>
      <c r="C238" t="s">
        <v>539</v>
      </c>
      <c r="D238" s="138">
        <v>2090000</v>
      </c>
      <c r="E238" t="s">
        <v>390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42957.016944444447</v>
      </c>
      <c r="B239" t="s">
        <v>467</v>
      </c>
      <c r="C239" t="s">
        <v>548</v>
      </c>
      <c r="D239" s="138">
        <v>3090000</v>
      </c>
      <c r="E239" t="s">
        <v>363</v>
      </c>
      <c r="F239" s="20" t="s">
        <v>364</v>
      </c>
      <c r="G239" s="8" t="str">
        <f t="shared" si="3"/>
        <v>LAMAR NEKESHA</v>
      </c>
    </row>
    <row r="240" spans="1:7" x14ac:dyDescent="0.25">
      <c r="A240" s="8">
        <v>42957.027685185189</v>
      </c>
      <c r="B240" t="s">
        <v>531</v>
      </c>
      <c r="C240" t="s">
        <v>549</v>
      </c>
      <c r="D240" s="138">
        <v>3000000</v>
      </c>
      <c r="E240" t="s">
        <v>381</v>
      </c>
      <c r="F240" s="20" t="s">
        <v>382</v>
      </c>
      <c r="G240" s="8" t="str">
        <f t="shared" si="3"/>
        <v>FORTUNATO FRANK</v>
      </c>
    </row>
    <row r="241" spans="1:7" x14ac:dyDescent="0.25">
      <c r="A241" s="8">
        <v>42957.028923611113</v>
      </c>
      <c r="B241" t="s">
        <v>531</v>
      </c>
      <c r="C241" t="s">
        <v>549</v>
      </c>
      <c r="D241" s="138">
        <v>3000000</v>
      </c>
      <c r="E241" t="s">
        <v>381</v>
      </c>
      <c r="F241" s="20" t="s">
        <v>382</v>
      </c>
      <c r="G241" s="8" t="str">
        <f t="shared" si="3"/>
        <v>FORTUNATO FRANK</v>
      </c>
    </row>
    <row r="242" spans="1:7" x14ac:dyDescent="0.25">
      <c r="A242" s="8">
        <v>42957.030995370369</v>
      </c>
      <c r="B242" t="s">
        <v>532</v>
      </c>
      <c r="C242" t="s">
        <v>550</v>
      </c>
      <c r="D242" s="138">
        <v>2230000</v>
      </c>
      <c r="E242" t="s">
        <v>336</v>
      </c>
      <c r="F242" s="20" t="s">
        <v>192</v>
      </c>
      <c r="G242" s="8" t="str">
        <f t="shared" si="3"/>
        <v>SMITH MICHAEL</v>
      </c>
    </row>
    <row r="243" spans="1:7" x14ac:dyDescent="0.25">
      <c r="A243" s="8">
        <v>42957.049224537041</v>
      </c>
      <c r="B243" t="s">
        <v>496</v>
      </c>
      <c r="C243" t="s">
        <v>551</v>
      </c>
      <c r="D243" s="138">
        <v>2090000</v>
      </c>
      <c r="E243" t="s">
        <v>390</v>
      </c>
      <c r="F243" s="20" t="s">
        <v>192</v>
      </c>
      <c r="G243" s="8" t="str">
        <f t="shared" si="3"/>
        <v>HAITHCOX MICHAEL</v>
      </c>
    </row>
    <row r="244" spans="1:7" x14ac:dyDescent="0.25">
      <c r="A244" s="8">
        <v>42957.056828703702</v>
      </c>
      <c r="B244" t="s">
        <v>535</v>
      </c>
      <c r="C244" t="s">
        <v>552</v>
      </c>
      <c r="D244" s="138">
        <v>3090000</v>
      </c>
      <c r="E244" t="s">
        <v>363</v>
      </c>
      <c r="F244" s="20" t="s">
        <v>364</v>
      </c>
      <c r="G244" s="8" t="str">
        <f t="shared" si="3"/>
        <v>LAMAR NEKESHA</v>
      </c>
    </row>
    <row r="245" spans="1:7" x14ac:dyDescent="0.25">
      <c r="A245" s="8">
        <v>42957.069930555554</v>
      </c>
      <c r="B245" t="s">
        <v>537</v>
      </c>
      <c r="C245" t="s">
        <v>553</v>
      </c>
      <c r="D245" s="138">
        <v>2230000</v>
      </c>
      <c r="E245" t="s">
        <v>336</v>
      </c>
      <c r="F245" s="20" t="s">
        <v>192</v>
      </c>
      <c r="G245" s="8" t="str">
        <f t="shared" si="3"/>
        <v>SMITH MICHAEL</v>
      </c>
    </row>
    <row r="246" spans="1:7" x14ac:dyDescent="0.25">
      <c r="A246" s="8">
        <v>42957.092152777775</v>
      </c>
      <c r="B246" t="s">
        <v>467</v>
      </c>
      <c r="C246" t="s">
        <v>554</v>
      </c>
      <c r="D246" s="138">
        <v>3090000</v>
      </c>
      <c r="E246" t="s">
        <v>363</v>
      </c>
      <c r="F246" s="20" t="s">
        <v>364</v>
      </c>
      <c r="G246" s="8" t="str">
        <f t="shared" si="3"/>
        <v>LAMAR NEKESHA</v>
      </c>
    </row>
    <row r="247" spans="1:7" x14ac:dyDescent="0.25">
      <c r="A247" s="8">
        <v>42957.109976851854</v>
      </c>
      <c r="B247" t="s">
        <v>536</v>
      </c>
      <c r="C247" t="s">
        <v>555</v>
      </c>
      <c r="D247" s="138">
        <v>1110000</v>
      </c>
      <c r="E247" t="s">
        <v>407</v>
      </c>
      <c r="F247" s="20" t="s">
        <v>408</v>
      </c>
      <c r="G247" s="8" t="str">
        <f t="shared" si="3"/>
        <v>STARKS ANGELINA</v>
      </c>
    </row>
    <row r="248" spans="1:7" x14ac:dyDescent="0.25">
      <c r="A248" s="8">
        <v>42955.069537037038</v>
      </c>
      <c r="B248" t="s">
        <v>403</v>
      </c>
      <c r="C248" t="s">
        <v>509</v>
      </c>
      <c r="D248" s="138">
        <v>2090000</v>
      </c>
      <c r="E248" t="s">
        <v>390</v>
      </c>
      <c r="F248" s="20" t="s">
        <v>192</v>
      </c>
      <c r="G248" s="8" t="str">
        <f t="shared" si="3"/>
        <v>HAITHCOX MICHAEL</v>
      </c>
    </row>
    <row r="249" spans="1:7" x14ac:dyDescent="0.25">
      <c r="A249" s="8">
        <v>42955.090324074074</v>
      </c>
      <c r="B249" t="s">
        <v>496</v>
      </c>
      <c r="C249" t="s">
        <v>510</v>
      </c>
      <c r="D249" s="138">
        <v>2970000</v>
      </c>
      <c r="E249" t="s">
        <v>365</v>
      </c>
      <c r="F249" s="20" t="s">
        <v>366</v>
      </c>
      <c r="G249" s="8" t="str">
        <f t="shared" si="3"/>
        <v>GUZMAN DANNY</v>
      </c>
    </row>
    <row r="250" spans="1:7" x14ac:dyDescent="0.25">
      <c r="A250" s="8">
        <v>42950.034826388888</v>
      </c>
      <c r="B250" t="s">
        <v>409</v>
      </c>
      <c r="C250" t="s">
        <v>482</v>
      </c>
      <c r="D250" s="138">
        <v>3300000</v>
      </c>
      <c r="E250" t="s">
        <v>470</v>
      </c>
      <c r="F250" s="20" t="s">
        <v>471</v>
      </c>
      <c r="G250" s="8" t="str">
        <f t="shared" si="3"/>
        <v>LANGERAK WILLIAM</v>
      </c>
    </row>
    <row r="251" spans="1:7" x14ac:dyDescent="0.25">
      <c r="A251" s="8">
        <v>42950.049490740741</v>
      </c>
      <c r="B251" t="s">
        <v>386</v>
      </c>
      <c r="C251" t="s">
        <v>483</v>
      </c>
      <c r="D251" s="138">
        <v>2090000</v>
      </c>
      <c r="E251" t="s">
        <v>390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42950.057233796295</v>
      </c>
      <c r="B252" t="s">
        <v>476</v>
      </c>
      <c r="C252" t="s">
        <v>484</v>
      </c>
      <c r="D252" s="138">
        <v>3090000</v>
      </c>
      <c r="E252" t="s">
        <v>363</v>
      </c>
      <c r="F252" s="20" t="s">
        <v>364</v>
      </c>
      <c r="G252" s="8" t="str">
        <f t="shared" si="3"/>
        <v>LAMAR NEKESHA</v>
      </c>
    </row>
    <row r="253" spans="1:7" x14ac:dyDescent="0.25">
      <c r="A253" s="8">
        <v>42950.070034722223</v>
      </c>
      <c r="B253" t="s">
        <v>349</v>
      </c>
      <c r="C253" t="s">
        <v>485</v>
      </c>
      <c r="D253" s="138">
        <v>3300000</v>
      </c>
      <c r="E253" t="s">
        <v>470</v>
      </c>
      <c r="F253" s="20" t="s">
        <v>471</v>
      </c>
      <c r="G253" s="8" t="str">
        <f t="shared" si="3"/>
        <v>LANGERAK WILLIAM</v>
      </c>
    </row>
    <row r="254" spans="1:7" x14ac:dyDescent="0.25">
      <c r="A254" s="8">
        <v>42950.09097222222</v>
      </c>
      <c r="B254" t="s">
        <v>477</v>
      </c>
      <c r="C254" t="s">
        <v>486</v>
      </c>
      <c r="D254" s="138">
        <v>3090000</v>
      </c>
      <c r="E254" t="s">
        <v>363</v>
      </c>
      <c r="F254" s="20" t="s">
        <v>364</v>
      </c>
      <c r="G254" s="8" t="str">
        <f t="shared" si="3"/>
        <v>LAMAR NEKESHA</v>
      </c>
    </row>
    <row r="255" spans="1:7" x14ac:dyDescent="0.25">
      <c r="A255" s="8">
        <v>42950.113622685189</v>
      </c>
      <c r="B255" t="s">
        <v>453</v>
      </c>
      <c r="C255" t="s">
        <v>487</v>
      </c>
      <c r="D255" s="138">
        <v>900000</v>
      </c>
      <c r="E255" t="s">
        <v>488</v>
      </c>
      <c r="F255" s="20" t="s">
        <v>489</v>
      </c>
      <c r="G255" s="8" t="str">
        <f t="shared" si="3"/>
        <v>ROCHA YAOTL</v>
      </c>
    </row>
    <row r="256" spans="1:7" x14ac:dyDescent="0.25">
      <c r="A256" s="8">
        <v>42942.992465277777</v>
      </c>
      <c r="B256" t="s">
        <v>456</v>
      </c>
      <c r="C256" t="s">
        <v>457</v>
      </c>
      <c r="D256" s="138">
        <v>3260000</v>
      </c>
      <c r="E256" t="s">
        <v>448</v>
      </c>
      <c r="F256" s="20" t="s">
        <v>449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406</v>
      </c>
      <c r="C257" t="s">
        <v>458</v>
      </c>
      <c r="D257" s="138">
        <v>2090000</v>
      </c>
      <c r="E257" t="s">
        <v>390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444</v>
      </c>
      <c r="C258" t="s">
        <v>459</v>
      </c>
      <c r="D258" s="138">
        <v>3090000</v>
      </c>
      <c r="E258" t="s">
        <v>363</v>
      </c>
      <c r="F258" s="20" t="s">
        <v>364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386</v>
      </c>
      <c r="C259" t="s">
        <v>460</v>
      </c>
      <c r="D259" s="138">
        <v>3000000</v>
      </c>
      <c r="E259" t="s">
        <v>381</v>
      </c>
      <c r="F259" s="20" t="s">
        <v>382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453</v>
      </c>
      <c r="C260" t="s">
        <v>461</v>
      </c>
      <c r="D260" s="138">
        <v>3260000</v>
      </c>
      <c r="E260" t="s">
        <v>448</v>
      </c>
      <c r="F260" s="20" t="s">
        <v>449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377</v>
      </c>
      <c r="C261" t="s">
        <v>462</v>
      </c>
      <c r="D261" s="138">
        <v>2090000</v>
      </c>
      <c r="E261" t="s">
        <v>390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377</v>
      </c>
      <c r="C262" t="s">
        <v>462</v>
      </c>
      <c r="D262" s="138">
        <v>2090000</v>
      </c>
      <c r="E262" t="s">
        <v>390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446</v>
      </c>
      <c r="C263" t="s">
        <v>463</v>
      </c>
      <c r="D263" s="138">
        <v>3090000</v>
      </c>
      <c r="E263" t="s">
        <v>363</v>
      </c>
      <c r="F263" s="20" t="s">
        <v>364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456</v>
      </c>
      <c r="C264" t="s">
        <v>464</v>
      </c>
      <c r="D264" s="138">
        <v>3260000</v>
      </c>
      <c r="E264" t="s">
        <v>448</v>
      </c>
      <c r="F264" s="20" t="s">
        <v>449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444</v>
      </c>
      <c r="C265" t="s">
        <v>465</v>
      </c>
      <c r="D265" s="138">
        <v>3090000</v>
      </c>
      <c r="E265" t="s">
        <v>363</v>
      </c>
      <c r="F265" s="20" t="s">
        <v>364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438</v>
      </c>
      <c r="C266" t="s">
        <v>439</v>
      </c>
      <c r="D266" s="138">
        <v>1110000</v>
      </c>
      <c r="E266" t="s">
        <v>407</v>
      </c>
      <c r="F266" s="20" t="s">
        <v>408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403</v>
      </c>
      <c r="C267" t="s">
        <v>413</v>
      </c>
      <c r="D267" s="138">
        <v>2090000</v>
      </c>
      <c r="E267" t="s">
        <v>390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386</v>
      </c>
      <c r="C268" t="s">
        <v>414</v>
      </c>
      <c r="D268" s="138">
        <v>2000000</v>
      </c>
      <c r="E268" t="s">
        <v>391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406</v>
      </c>
      <c r="C269" t="s">
        <v>415</v>
      </c>
      <c r="D269" s="138">
        <v>3090000</v>
      </c>
      <c r="E269" t="s">
        <v>363</v>
      </c>
      <c r="F269" s="20" t="s">
        <v>364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387</v>
      </c>
      <c r="C270" t="s">
        <v>416</v>
      </c>
      <c r="D270" s="138">
        <v>2610000</v>
      </c>
      <c r="E270" t="s">
        <v>379</v>
      </c>
      <c r="F270" s="20" t="s">
        <v>380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403</v>
      </c>
      <c r="C271" t="s">
        <v>413</v>
      </c>
      <c r="D271" s="138">
        <v>2090000</v>
      </c>
      <c r="E271" t="s">
        <v>390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385</v>
      </c>
      <c r="C272" t="s">
        <v>417</v>
      </c>
      <c r="D272" s="138">
        <v>2000000</v>
      </c>
      <c r="E272" t="s">
        <v>391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388</v>
      </c>
      <c r="C273" t="s">
        <v>416</v>
      </c>
      <c r="D273" s="138">
        <v>2610000</v>
      </c>
      <c r="E273" t="s">
        <v>379</v>
      </c>
      <c r="F273" s="20" t="s">
        <v>380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411</v>
      </c>
      <c r="C274" t="s">
        <v>418</v>
      </c>
      <c r="D274" s="138">
        <v>3000000</v>
      </c>
      <c r="E274" t="s">
        <v>381</v>
      </c>
      <c r="F274" s="20" t="s">
        <v>382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387</v>
      </c>
      <c r="C275" t="s">
        <v>419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386</v>
      </c>
      <c r="C276" t="s">
        <v>420</v>
      </c>
      <c r="D276" s="138">
        <v>2000000</v>
      </c>
      <c r="E276" t="s">
        <v>391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405</v>
      </c>
      <c r="C277" t="s">
        <v>421</v>
      </c>
      <c r="D277" s="138">
        <v>2090000</v>
      </c>
      <c r="E277" t="s">
        <v>390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377</v>
      </c>
      <c r="C278" t="s">
        <v>422</v>
      </c>
      <c r="D278" s="138">
        <v>3090000</v>
      </c>
      <c r="E278" t="s">
        <v>363</v>
      </c>
      <c r="F278" s="20" t="s">
        <v>364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385</v>
      </c>
      <c r="C279" t="s">
        <v>423</v>
      </c>
      <c r="D279" s="138">
        <v>2000000</v>
      </c>
      <c r="E279" t="s">
        <v>391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410</v>
      </c>
      <c r="C280" t="s">
        <v>424</v>
      </c>
      <c r="D280" s="138">
        <v>3000000</v>
      </c>
      <c r="E280" t="s">
        <v>381</v>
      </c>
      <c r="F280" s="20" t="s">
        <v>382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388</v>
      </c>
      <c r="C281" t="s">
        <v>425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386</v>
      </c>
      <c r="C282" t="s">
        <v>423</v>
      </c>
      <c r="D282" s="138">
        <v>2000000</v>
      </c>
      <c r="E282" t="s">
        <v>391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403</v>
      </c>
      <c r="C283" t="s">
        <v>426</v>
      </c>
      <c r="D283" s="138">
        <v>2090000</v>
      </c>
      <c r="E283" t="s">
        <v>390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349</v>
      </c>
      <c r="C284" t="s">
        <v>427</v>
      </c>
      <c r="D284" s="138">
        <v>2610000</v>
      </c>
      <c r="E284" t="s">
        <v>379</v>
      </c>
      <c r="F284" s="20" t="s">
        <v>380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409</v>
      </c>
      <c r="C285" t="s">
        <v>428</v>
      </c>
      <c r="D285" s="138">
        <v>2610000</v>
      </c>
      <c r="E285" t="s">
        <v>379</v>
      </c>
      <c r="F285" s="20" t="s">
        <v>380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406</v>
      </c>
      <c r="C286" t="s">
        <v>429</v>
      </c>
      <c r="D286" s="138">
        <v>3090000</v>
      </c>
      <c r="E286" t="s">
        <v>363</v>
      </c>
      <c r="F286" s="20" t="s">
        <v>364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411</v>
      </c>
      <c r="C287" t="s">
        <v>430</v>
      </c>
      <c r="D287" s="138">
        <v>3000000</v>
      </c>
      <c r="E287" t="s">
        <v>381</v>
      </c>
      <c r="F287" s="20" t="s">
        <v>382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349</v>
      </c>
      <c r="C288" t="s">
        <v>431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405</v>
      </c>
      <c r="C289" t="s">
        <v>412</v>
      </c>
      <c r="D289" s="138">
        <v>2090000</v>
      </c>
      <c r="E289" t="s">
        <v>390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377</v>
      </c>
      <c r="C290" t="s">
        <v>432</v>
      </c>
      <c r="D290" s="138">
        <v>3090000</v>
      </c>
      <c r="E290" t="s">
        <v>363</v>
      </c>
      <c r="F290" s="20" t="s">
        <v>364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410</v>
      </c>
      <c r="C291" t="s">
        <v>433</v>
      </c>
      <c r="D291" s="138">
        <v>3000000</v>
      </c>
      <c r="E291" t="s">
        <v>381</v>
      </c>
      <c r="F291" s="20" t="s">
        <v>382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403</v>
      </c>
      <c r="C292" t="s">
        <v>434</v>
      </c>
      <c r="D292" s="138">
        <v>2090000</v>
      </c>
      <c r="E292" t="s">
        <v>390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406</v>
      </c>
      <c r="C293" t="s">
        <v>435</v>
      </c>
      <c r="D293" s="138">
        <v>3090000</v>
      </c>
      <c r="E293" t="s">
        <v>363</v>
      </c>
      <c r="F293" s="20" t="s">
        <v>364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349</v>
      </c>
      <c r="C294" t="s">
        <v>436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377</v>
      </c>
      <c r="C295" t="s">
        <v>437</v>
      </c>
      <c r="D295" s="138">
        <v>3090000</v>
      </c>
      <c r="E295" t="s">
        <v>363</v>
      </c>
      <c r="F295" s="20" t="s">
        <v>364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377</v>
      </c>
      <c r="C296" t="s">
        <v>437</v>
      </c>
      <c r="D296" s="138">
        <v>3090000</v>
      </c>
      <c r="E296" t="s">
        <v>363</v>
      </c>
      <c r="F296" s="20" t="s">
        <v>364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377</v>
      </c>
      <c r="C297" t="s">
        <v>437</v>
      </c>
      <c r="D297" s="138">
        <v>3090000</v>
      </c>
      <c r="E297" t="s">
        <v>363</v>
      </c>
      <c r="F297" s="20" t="s">
        <v>364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349</v>
      </c>
      <c r="C298" t="s">
        <v>372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356</v>
      </c>
      <c r="C299" t="s">
        <v>358</v>
      </c>
      <c r="D299" s="138">
        <v>2970000</v>
      </c>
      <c r="E299" t="s">
        <v>365</v>
      </c>
      <c r="F299" s="20" t="s">
        <v>366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357</v>
      </c>
      <c r="C300" t="s">
        <v>361</v>
      </c>
      <c r="D300" s="138">
        <v>3130000</v>
      </c>
      <c r="E300" t="s">
        <v>370</v>
      </c>
      <c r="F300" s="20" t="s">
        <v>371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356</v>
      </c>
      <c r="C301" t="s">
        <v>358</v>
      </c>
      <c r="D301" s="138">
        <v>2970000</v>
      </c>
      <c r="E301" t="s">
        <v>365</v>
      </c>
      <c r="F301" s="20" t="s">
        <v>366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353</v>
      </c>
      <c r="C302" t="s">
        <v>359</v>
      </c>
      <c r="D302" s="138">
        <v>3040000</v>
      </c>
      <c r="E302" t="s">
        <v>368</v>
      </c>
      <c r="F302" s="20" t="s">
        <v>369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353</v>
      </c>
      <c r="C303" t="s">
        <v>359</v>
      </c>
      <c r="D303" s="138">
        <v>3040000</v>
      </c>
      <c r="E303" t="s">
        <v>368</v>
      </c>
      <c r="F303" s="20" t="s">
        <v>369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373</v>
      </c>
      <c r="D304" s="138">
        <v>3030000</v>
      </c>
      <c r="E304" t="s">
        <v>367</v>
      </c>
      <c r="F304" s="20" t="s">
        <v>355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362</v>
      </c>
      <c r="C305" t="s">
        <v>358</v>
      </c>
      <c r="D305" s="138">
        <v>2970000</v>
      </c>
      <c r="E305" t="s">
        <v>365</v>
      </c>
      <c r="F305" s="20" t="s">
        <v>366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356</v>
      </c>
      <c r="C306" t="s">
        <v>358</v>
      </c>
      <c r="D306" s="138">
        <v>2970000</v>
      </c>
      <c r="E306" t="s">
        <v>365</v>
      </c>
      <c r="F306" s="20" t="s">
        <v>366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354</v>
      </c>
      <c r="C307" t="s">
        <v>359</v>
      </c>
      <c r="D307" s="138">
        <v>3040000</v>
      </c>
      <c r="E307" t="s">
        <v>368</v>
      </c>
      <c r="F307" s="20" t="s">
        <v>369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360</v>
      </c>
      <c r="C308" t="s">
        <v>374</v>
      </c>
      <c r="D308" s="138">
        <v>3130000</v>
      </c>
      <c r="E308" t="s">
        <v>370</v>
      </c>
      <c r="F308" s="20" t="s">
        <v>371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353</v>
      </c>
      <c r="C309" t="s">
        <v>359</v>
      </c>
      <c r="D309" s="138">
        <v>3040000</v>
      </c>
      <c r="E309" t="s">
        <v>368</v>
      </c>
      <c r="F309" s="20" t="s">
        <v>369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362</v>
      </c>
      <c r="C310" t="s">
        <v>358</v>
      </c>
      <c r="D310" s="138">
        <v>2970000</v>
      </c>
      <c r="E310" t="s">
        <v>365</v>
      </c>
      <c r="F310" s="20" t="s">
        <v>366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356</v>
      </c>
      <c r="C311" t="s">
        <v>358</v>
      </c>
      <c r="D311" s="138">
        <v>2970000</v>
      </c>
      <c r="E311" t="s">
        <v>365</v>
      </c>
      <c r="F311" s="20" t="s">
        <v>366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597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392</v>
      </c>
      <c r="P1" s="171" t="s">
        <v>156</v>
      </c>
      <c r="Q1" s="171" t="s">
        <v>163</v>
      </c>
      <c r="R1" s="171" t="s">
        <v>393</v>
      </c>
      <c r="S1" s="171" t="s">
        <v>160</v>
      </c>
    </row>
    <row r="2" spans="1:19" x14ac:dyDescent="0.25">
      <c r="A2" s="172">
        <v>62.83</v>
      </c>
      <c r="B2" s="172">
        <v>7.0000000000000007E-2</v>
      </c>
      <c r="C2" s="172">
        <v>55.41</v>
      </c>
      <c r="D2" s="8">
        <v>42959</v>
      </c>
      <c r="E2" s="172">
        <v>0.77</v>
      </c>
      <c r="F2" s="172" t="s">
        <v>521</v>
      </c>
      <c r="G2" s="172">
        <v>286.86</v>
      </c>
      <c r="H2" s="172">
        <v>0</v>
      </c>
      <c r="I2" s="172">
        <v>0</v>
      </c>
      <c r="J2" s="172"/>
      <c r="K2" s="172">
        <v>1014.99</v>
      </c>
      <c r="L2" s="172" t="s">
        <v>520</v>
      </c>
      <c r="M2" s="172">
        <v>62.83</v>
      </c>
      <c r="N2" s="172">
        <v>1502517600</v>
      </c>
      <c r="O2" s="172">
        <v>0</v>
      </c>
      <c r="P2" s="172">
        <v>3.83</v>
      </c>
      <c r="Q2" s="172">
        <v>305</v>
      </c>
      <c r="R2" s="172">
        <v>6.24</v>
      </c>
      <c r="S2" s="172">
        <v>2.68</v>
      </c>
    </row>
    <row r="3" spans="1:19" x14ac:dyDescent="0.25">
      <c r="A3" s="172">
        <v>61.44</v>
      </c>
      <c r="B3" s="172">
        <v>0.03</v>
      </c>
      <c r="C3" s="172">
        <v>54.97</v>
      </c>
      <c r="D3" s="8">
        <v>42959.041666666664</v>
      </c>
      <c r="E3" s="172">
        <v>0.79</v>
      </c>
      <c r="F3" s="172" t="s">
        <v>521</v>
      </c>
      <c r="G3" s="172">
        <v>286.87</v>
      </c>
      <c r="H3" s="172">
        <v>0</v>
      </c>
      <c r="I3" s="172">
        <v>0</v>
      </c>
      <c r="J3" s="172"/>
      <c r="K3" s="172">
        <v>1015.34</v>
      </c>
      <c r="L3" s="172" t="s">
        <v>520</v>
      </c>
      <c r="M3" s="172">
        <v>61.44</v>
      </c>
      <c r="N3" s="172">
        <v>1502521200</v>
      </c>
      <c r="O3" s="172">
        <v>0</v>
      </c>
      <c r="P3" s="172">
        <v>3.69</v>
      </c>
      <c r="Q3" s="172">
        <v>308</v>
      </c>
      <c r="R3" s="172">
        <v>4.05</v>
      </c>
      <c r="S3" s="172">
        <v>1.77</v>
      </c>
    </row>
    <row r="4" spans="1:19" x14ac:dyDescent="0.25">
      <c r="A4" s="172">
        <v>60.33</v>
      </c>
      <c r="B4" s="172">
        <v>0.03</v>
      </c>
      <c r="C4" s="172">
        <v>54.91</v>
      </c>
      <c r="D4" s="8">
        <v>42959.083333333336</v>
      </c>
      <c r="E4" s="172">
        <v>0.82</v>
      </c>
      <c r="F4" s="172" t="s">
        <v>521</v>
      </c>
      <c r="G4" s="172">
        <v>286.87</v>
      </c>
      <c r="H4" s="172">
        <v>0</v>
      </c>
      <c r="I4" s="172">
        <v>0</v>
      </c>
      <c r="J4" s="172"/>
      <c r="K4" s="172">
        <v>1014.73</v>
      </c>
      <c r="L4" s="172" t="s">
        <v>520</v>
      </c>
      <c r="M4" s="172">
        <v>60.33</v>
      </c>
      <c r="N4" s="172">
        <v>1502524800</v>
      </c>
      <c r="O4" s="172">
        <v>0</v>
      </c>
      <c r="P4" s="172">
        <v>3.69</v>
      </c>
      <c r="Q4" s="172">
        <v>294</v>
      </c>
      <c r="R4" s="172">
        <v>3.21</v>
      </c>
      <c r="S4" s="172">
        <v>1.04</v>
      </c>
    </row>
    <row r="5" spans="1:19" x14ac:dyDescent="0.25">
      <c r="A5" s="172">
        <v>59.16</v>
      </c>
      <c r="B5" s="172">
        <v>0.14000000000000001</v>
      </c>
      <c r="C5" s="172">
        <v>54.62</v>
      </c>
      <c r="D5" s="8">
        <v>42959.125</v>
      </c>
      <c r="E5" s="172">
        <v>0.85</v>
      </c>
      <c r="F5" s="172" t="s">
        <v>521</v>
      </c>
      <c r="G5" s="172">
        <v>286.89</v>
      </c>
      <c r="H5" s="172">
        <v>0</v>
      </c>
      <c r="I5" s="172">
        <v>0</v>
      </c>
      <c r="J5" s="172"/>
      <c r="K5" s="172">
        <v>1014.52</v>
      </c>
      <c r="L5" s="172" t="s">
        <v>520</v>
      </c>
      <c r="M5" s="172">
        <v>59.16</v>
      </c>
      <c r="N5" s="172">
        <v>1502528400</v>
      </c>
      <c r="O5" s="172">
        <v>0</v>
      </c>
      <c r="P5" s="172">
        <v>3.39</v>
      </c>
      <c r="Q5" s="172">
        <v>301</v>
      </c>
      <c r="R5" s="172">
        <v>2.69</v>
      </c>
      <c r="S5" s="172">
        <v>1.1200000000000001</v>
      </c>
    </row>
    <row r="6" spans="1:19" x14ac:dyDescent="0.25">
      <c r="A6" s="172">
        <v>58.09</v>
      </c>
      <c r="B6" s="172">
        <v>0.3</v>
      </c>
      <c r="C6" s="172">
        <v>54.32</v>
      </c>
      <c r="D6" s="8">
        <v>42959.166666666664</v>
      </c>
      <c r="E6" s="172">
        <v>0.87</v>
      </c>
      <c r="F6" s="172" t="s">
        <v>490</v>
      </c>
      <c r="G6" s="172">
        <v>287.47000000000003</v>
      </c>
      <c r="H6" s="172">
        <v>0</v>
      </c>
      <c r="I6" s="172">
        <v>0</v>
      </c>
      <c r="J6" s="172"/>
      <c r="K6" s="172">
        <v>1014.4</v>
      </c>
      <c r="L6" s="172" t="s">
        <v>491</v>
      </c>
      <c r="M6" s="172">
        <v>58.09</v>
      </c>
      <c r="N6" s="172">
        <v>1502532000</v>
      </c>
      <c r="O6" s="172">
        <v>0</v>
      </c>
      <c r="P6" s="172">
        <v>3.33</v>
      </c>
      <c r="Q6" s="172">
        <v>286</v>
      </c>
      <c r="R6" s="172">
        <v>2.0299999999999998</v>
      </c>
      <c r="S6" s="172">
        <v>0.61</v>
      </c>
    </row>
    <row r="7" spans="1:19" x14ac:dyDescent="0.25">
      <c r="A7" s="172">
        <v>57.3</v>
      </c>
      <c r="B7" s="172">
        <v>0.32</v>
      </c>
      <c r="C7" s="172">
        <v>53.78</v>
      </c>
      <c r="D7" s="8">
        <v>42959.208333333336</v>
      </c>
      <c r="E7" s="172">
        <v>0.88</v>
      </c>
      <c r="F7" s="172" t="s">
        <v>490</v>
      </c>
      <c r="G7" s="172">
        <v>288.27</v>
      </c>
      <c r="H7" s="172">
        <v>0</v>
      </c>
      <c r="I7" s="172">
        <v>0</v>
      </c>
      <c r="J7" s="172"/>
      <c r="K7" s="172">
        <v>1014.47</v>
      </c>
      <c r="L7" s="172" t="s">
        <v>491</v>
      </c>
      <c r="M7" s="172">
        <v>57.3</v>
      </c>
      <c r="N7" s="172">
        <v>1502535600</v>
      </c>
      <c r="O7" s="172">
        <v>0</v>
      </c>
      <c r="P7" s="172">
        <v>3.33</v>
      </c>
      <c r="Q7" s="172">
        <v>289</v>
      </c>
      <c r="R7" s="172">
        <v>2.0499999999999998</v>
      </c>
      <c r="S7" s="172">
        <v>0.23</v>
      </c>
    </row>
    <row r="8" spans="1:19" x14ac:dyDescent="0.25">
      <c r="A8" s="172">
        <v>56.9</v>
      </c>
      <c r="B8" s="172">
        <v>0.6</v>
      </c>
      <c r="C8" s="172">
        <v>53.7</v>
      </c>
      <c r="D8" s="8">
        <v>42959.25</v>
      </c>
      <c r="E8" s="172">
        <v>0.89</v>
      </c>
      <c r="F8" s="172" t="s">
        <v>490</v>
      </c>
      <c r="G8" s="172">
        <v>290.08999999999997</v>
      </c>
      <c r="H8" s="172">
        <v>0</v>
      </c>
      <c r="I8" s="172">
        <v>0</v>
      </c>
      <c r="J8" s="172"/>
      <c r="K8" s="172">
        <v>1014.95</v>
      </c>
      <c r="L8" s="172" t="s">
        <v>492</v>
      </c>
      <c r="M8" s="172">
        <v>56.9</v>
      </c>
      <c r="N8" s="172">
        <v>1502539200</v>
      </c>
      <c r="O8" s="172">
        <v>0</v>
      </c>
      <c r="P8" s="172">
        <v>3.06</v>
      </c>
      <c r="Q8" s="172">
        <v>242</v>
      </c>
      <c r="R8" s="172">
        <v>1.93</v>
      </c>
      <c r="S8" s="172">
        <v>0.25</v>
      </c>
    </row>
    <row r="9" spans="1:19" x14ac:dyDescent="0.25">
      <c r="A9" s="172">
        <v>57.48</v>
      </c>
      <c r="B9" s="172">
        <v>0.67</v>
      </c>
      <c r="C9" s="172">
        <v>54.2</v>
      </c>
      <c r="D9" s="8">
        <v>42959.291666666664</v>
      </c>
      <c r="E9" s="172">
        <v>0.89</v>
      </c>
      <c r="F9" s="172" t="s">
        <v>498</v>
      </c>
      <c r="G9" s="172">
        <v>290.32</v>
      </c>
      <c r="H9" s="172">
        <v>0</v>
      </c>
      <c r="I9" s="172">
        <v>0</v>
      </c>
      <c r="J9" s="172"/>
      <c r="K9" s="172">
        <v>1015.26</v>
      </c>
      <c r="L9" s="172" t="s">
        <v>492</v>
      </c>
      <c r="M9" s="172">
        <v>57.48</v>
      </c>
      <c r="N9" s="172">
        <v>1502542800</v>
      </c>
      <c r="O9" s="172">
        <v>0</v>
      </c>
      <c r="P9" s="172">
        <v>2.64</v>
      </c>
      <c r="Q9" s="172">
        <v>230</v>
      </c>
      <c r="R9" s="172">
        <v>2.27</v>
      </c>
      <c r="S9" s="172">
        <v>0.59</v>
      </c>
    </row>
    <row r="10" spans="1:19" x14ac:dyDescent="0.25">
      <c r="A10" s="172">
        <v>60.28</v>
      </c>
      <c r="B10" s="172">
        <v>0.54</v>
      </c>
      <c r="C10" s="172">
        <v>55.85</v>
      </c>
      <c r="D10" s="8">
        <v>42959.333333333336</v>
      </c>
      <c r="E10" s="172">
        <v>0.85</v>
      </c>
      <c r="F10" s="172" t="s">
        <v>498</v>
      </c>
      <c r="G10" s="172">
        <v>290.2</v>
      </c>
      <c r="H10" s="172">
        <v>0</v>
      </c>
      <c r="I10" s="172">
        <v>0</v>
      </c>
      <c r="J10" s="172"/>
      <c r="K10" s="172">
        <v>1014.88</v>
      </c>
      <c r="L10" s="172" t="s">
        <v>491</v>
      </c>
      <c r="M10" s="172">
        <v>60.28</v>
      </c>
      <c r="N10" s="172">
        <v>1502546400</v>
      </c>
      <c r="O10" s="172">
        <v>1</v>
      </c>
      <c r="P10" s="172">
        <v>3.06</v>
      </c>
      <c r="Q10" s="172">
        <v>237</v>
      </c>
      <c r="R10" s="172">
        <v>2.41</v>
      </c>
      <c r="S10" s="172">
        <v>0.5</v>
      </c>
    </row>
    <row r="11" spans="1:19" x14ac:dyDescent="0.25">
      <c r="A11" s="172">
        <v>65.36</v>
      </c>
      <c r="B11" s="172">
        <v>0.17</v>
      </c>
      <c r="C11" s="172">
        <v>56.65</v>
      </c>
      <c r="D11" s="8">
        <v>42959.375</v>
      </c>
      <c r="E11" s="172">
        <v>0.73</v>
      </c>
      <c r="F11" s="172" t="s">
        <v>519</v>
      </c>
      <c r="G11" s="172">
        <v>289.97000000000003</v>
      </c>
      <c r="H11" s="172">
        <v>0</v>
      </c>
      <c r="I11" s="172">
        <v>0</v>
      </c>
      <c r="J11" s="172"/>
      <c r="K11" s="172">
        <v>1014.38</v>
      </c>
      <c r="L11" s="172" t="s">
        <v>520</v>
      </c>
      <c r="M11" s="172">
        <v>65.36</v>
      </c>
      <c r="N11" s="172">
        <v>1502550000</v>
      </c>
      <c r="O11" s="172">
        <v>2</v>
      </c>
      <c r="P11" s="172">
        <v>3.53</v>
      </c>
      <c r="Q11" s="172">
        <v>180</v>
      </c>
      <c r="R11" s="172">
        <v>4.3</v>
      </c>
      <c r="S11" s="172">
        <v>0.98</v>
      </c>
    </row>
    <row r="12" spans="1:19" x14ac:dyDescent="0.25">
      <c r="A12" s="172">
        <v>70.38</v>
      </c>
      <c r="B12" s="172">
        <v>0.06</v>
      </c>
      <c r="C12" s="172">
        <v>56.19</v>
      </c>
      <c r="D12" s="8">
        <v>42959.416666666664</v>
      </c>
      <c r="E12" s="172">
        <v>0.61</v>
      </c>
      <c r="F12" s="172" t="s">
        <v>519</v>
      </c>
      <c r="G12" s="172">
        <v>289.39999999999998</v>
      </c>
      <c r="H12" s="172">
        <v>0</v>
      </c>
      <c r="I12" s="172">
        <v>0</v>
      </c>
      <c r="J12" s="172"/>
      <c r="K12" s="172">
        <v>1013.58</v>
      </c>
      <c r="L12" s="172" t="s">
        <v>520</v>
      </c>
      <c r="M12" s="172">
        <v>70.38</v>
      </c>
      <c r="N12" s="172">
        <v>1502553600</v>
      </c>
      <c r="O12" s="172">
        <v>4</v>
      </c>
      <c r="P12" s="172">
        <v>3.69</v>
      </c>
      <c r="Q12" s="172">
        <v>129</v>
      </c>
      <c r="R12" s="172">
        <v>4.49</v>
      </c>
      <c r="S12" s="172">
        <v>1.01</v>
      </c>
    </row>
    <row r="13" spans="1:19" x14ac:dyDescent="0.25">
      <c r="A13" s="172">
        <v>75.040000000000006</v>
      </c>
      <c r="B13" s="172">
        <v>0.04</v>
      </c>
      <c r="C13" s="172">
        <v>55.69</v>
      </c>
      <c r="D13" s="8">
        <v>42959.458333333336</v>
      </c>
      <c r="E13" s="172">
        <v>0.51</v>
      </c>
      <c r="F13" s="172" t="s">
        <v>519</v>
      </c>
      <c r="G13" s="172">
        <v>288.72000000000003</v>
      </c>
      <c r="H13" s="172">
        <v>0</v>
      </c>
      <c r="I13" s="172">
        <v>0</v>
      </c>
      <c r="J13" s="172"/>
      <c r="K13" s="172">
        <v>1012.9</v>
      </c>
      <c r="L13" s="172" t="s">
        <v>520</v>
      </c>
      <c r="M13" s="172">
        <v>75.040000000000006</v>
      </c>
      <c r="N13" s="172">
        <v>1502557200</v>
      </c>
      <c r="O13" s="172">
        <v>7</v>
      </c>
      <c r="P13" s="172">
        <v>3.78</v>
      </c>
      <c r="Q13" s="172">
        <v>40</v>
      </c>
      <c r="R13" s="172">
        <v>5.81</v>
      </c>
      <c r="S13" s="172">
        <v>1.3</v>
      </c>
    </row>
    <row r="14" spans="1:19" x14ac:dyDescent="0.25">
      <c r="A14" s="172">
        <v>78.28</v>
      </c>
      <c r="B14" s="172">
        <v>0.05</v>
      </c>
      <c r="C14" s="172">
        <v>54.39</v>
      </c>
      <c r="D14" s="8">
        <v>42959.5</v>
      </c>
      <c r="E14" s="172">
        <v>0.44</v>
      </c>
      <c r="F14" s="172" t="s">
        <v>519</v>
      </c>
      <c r="G14" s="172">
        <v>289.27999999999997</v>
      </c>
      <c r="H14" s="172">
        <v>0</v>
      </c>
      <c r="I14" s="172">
        <v>0</v>
      </c>
      <c r="J14" s="172"/>
      <c r="K14" s="172">
        <v>1012.71</v>
      </c>
      <c r="L14" s="172" t="s">
        <v>520</v>
      </c>
      <c r="M14" s="172">
        <v>78.28</v>
      </c>
      <c r="N14" s="172">
        <v>1502560800</v>
      </c>
      <c r="O14" s="172">
        <v>10</v>
      </c>
      <c r="P14" s="172">
        <v>3.74</v>
      </c>
      <c r="Q14" s="172">
        <v>68</v>
      </c>
      <c r="R14" s="172">
        <v>6.75</v>
      </c>
      <c r="S14" s="172">
        <v>2.2799999999999998</v>
      </c>
    </row>
    <row r="15" spans="1:19" x14ac:dyDescent="0.25">
      <c r="A15" s="172">
        <v>82.53</v>
      </c>
      <c r="B15" s="172">
        <v>0.05</v>
      </c>
      <c r="C15" s="172">
        <v>50.89</v>
      </c>
      <c r="D15" s="8">
        <v>42959.541666666664</v>
      </c>
      <c r="E15" s="172">
        <v>0.33</v>
      </c>
      <c r="F15" s="172" t="s">
        <v>519</v>
      </c>
      <c r="G15" s="172">
        <v>288.83</v>
      </c>
      <c r="H15" s="172">
        <v>0</v>
      </c>
      <c r="I15" s="172">
        <v>0</v>
      </c>
      <c r="J15" s="172"/>
      <c r="K15" s="172">
        <v>1011.93</v>
      </c>
      <c r="L15" s="172" t="s">
        <v>520</v>
      </c>
      <c r="M15" s="172">
        <v>82.53</v>
      </c>
      <c r="N15" s="172">
        <v>1502564400</v>
      </c>
      <c r="O15" s="172">
        <v>11</v>
      </c>
      <c r="P15" s="172">
        <v>3.61</v>
      </c>
      <c r="Q15" s="172">
        <v>91</v>
      </c>
      <c r="R15" s="172">
        <v>7.11</v>
      </c>
      <c r="S15" s="172">
        <v>2.21</v>
      </c>
    </row>
    <row r="16" spans="1:19" x14ac:dyDescent="0.25">
      <c r="A16" s="172">
        <v>84.59</v>
      </c>
      <c r="B16" s="172">
        <v>0.11</v>
      </c>
      <c r="C16" s="172">
        <v>48.96</v>
      </c>
      <c r="D16" s="8">
        <v>42959.583333333336</v>
      </c>
      <c r="E16" s="172">
        <v>0.28999999999999998</v>
      </c>
      <c r="F16" s="172" t="s">
        <v>519</v>
      </c>
      <c r="G16" s="172">
        <v>288.37</v>
      </c>
      <c r="H16" s="172">
        <v>0</v>
      </c>
      <c r="I16" s="172">
        <v>0</v>
      </c>
      <c r="J16" s="172"/>
      <c r="K16" s="172">
        <v>1011.01</v>
      </c>
      <c r="L16" s="172" t="s">
        <v>520</v>
      </c>
      <c r="M16" s="172">
        <v>84.59</v>
      </c>
      <c r="N16" s="172">
        <v>1502568000</v>
      </c>
      <c r="O16" s="172">
        <v>10</v>
      </c>
      <c r="P16" s="172">
        <v>3.66</v>
      </c>
      <c r="Q16" s="172">
        <v>81</v>
      </c>
      <c r="R16" s="172">
        <v>7.85</v>
      </c>
      <c r="S16" s="172">
        <v>1.62</v>
      </c>
    </row>
    <row r="17" spans="1:19" x14ac:dyDescent="0.25">
      <c r="A17" s="172">
        <v>82.94</v>
      </c>
      <c r="B17" s="172">
        <v>0.24</v>
      </c>
      <c r="C17" s="172">
        <v>48.84</v>
      </c>
      <c r="D17" s="8">
        <v>42959.625</v>
      </c>
      <c r="E17" s="172">
        <v>0.31</v>
      </c>
      <c r="F17" s="172" t="s">
        <v>519</v>
      </c>
      <c r="G17" s="172">
        <v>287.91000000000003</v>
      </c>
      <c r="H17" s="172">
        <v>0</v>
      </c>
      <c r="I17" s="172">
        <v>0</v>
      </c>
      <c r="J17" s="172"/>
      <c r="K17" s="172">
        <v>1010.51</v>
      </c>
      <c r="L17" s="172" t="s">
        <v>520</v>
      </c>
      <c r="M17" s="172">
        <v>82.94</v>
      </c>
      <c r="N17" s="172">
        <v>1502571600</v>
      </c>
      <c r="O17" s="172">
        <v>7</v>
      </c>
      <c r="P17" s="172">
        <v>3.83</v>
      </c>
      <c r="Q17" s="172">
        <v>47</v>
      </c>
      <c r="R17" s="172">
        <v>8.49</v>
      </c>
      <c r="S17" s="172">
        <v>1.4</v>
      </c>
    </row>
    <row r="18" spans="1:19" x14ac:dyDescent="0.25">
      <c r="A18" s="172">
        <v>75.95</v>
      </c>
      <c r="B18" s="172">
        <v>0.55000000000000004</v>
      </c>
      <c r="C18" s="172">
        <v>53.04</v>
      </c>
      <c r="D18" s="8">
        <v>42959.666666666664</v>
      </c>
      <c r="E18" s="172">
        <v>0.45</v>
      </c>
      <c r="F18" s="172" t="s">
        <v>498</v>
      </c>
      <c r="G18" s="172">
        <v>288.13</v>
      </c>
      <c r="H18" s="172">
        <v>3.5000000000000001E-3</v>
      </c>
      <c r="I18" s="172">
        <v>0.01</v>
      </c>
      <c r="J18" s="172" t="s">
        <v>598</v>
      </c>
      <c r="K18" s="172">
        <v>1011.08</v>
      </c>
      <c r="L18" s="172" t="s">
        <v>491</v>
      </c>
      <c r="M18" s="172">
        <v>75.95</v>
      </c>
      <c r="N18" s="172">
        <v>1502575200</v>
      </c>
      <c r="O18" s="172">
        <v>3</v>
      </c>
      <c r="P18" s="172">
        <v>2.79</v>
      </c>
      <c r="Q18" s="172">
        <v>301</v>
      </c>
      <c r="R18" s="172">
        <v>17.38</v>
      </c>
      <c r="S18" s="172">
        <v>5.49</v>
      </c>
    </row>
    <row r="19" spans="1:19" x14ac:dyDescent="0.25">
      <c r="A19" s="172">
        <v>72.89</v>
      </c>
      <c r="B19" s="172">
        <v>0.27</v>
      </c>
      <c r="C19" s="172">
        <v>55.08</v>
      </c>
      <c r="D19" s="8">
        <v>42959.708333333336</v>
      </c>
      <c r="E19" s="172">
        <v>0.54</v>
      </c>
      <c r="F19" s="172" t="s">
        <v>498</v>
      </c>
      <c r="G19" s="172">
        <v>288.47000000000003</v>
      </c>
      <c r="H19" s="172">
        <v>0</v>
      </c>
      <c r="I19" s="172">
        <v>0</v>
      </c>
      <c r="J19" s="172"/>
      <c r="K19" s="172">
        <v>1012.17</v>
      </c>
      <c r="L19" s="172" t="s">
        <v>491</v>
      </c>
      <c r="M19" s="172">
        <v>72.89</v>
      </c>
      <c r="N19" s="172">
        <v>1502578800</v>
      </c>
      <c r="O19" s="172">
        <v>2</v>
      </c>
      <c r="P19" s="172">
        <v>5.52</v>
      </c>
      <c r="Q19" s="172">
        <v>259</v>
      </c>
      <c r="R19" s="172">
        <v>7.34</v>
      </c>
      <c r="S19" s="172">
        <v>1.5</v>
      </c>
    </row>
    <row r="20" spans="1:19" x14ac:dyDescent="0.25">
      <c r="A20" s="172">
        <v>75.44</v>
      </c>
      <c r="B20" s="172">
        <v>0.12</v>
      </c>
      <c r="C20" s="172">
        <v>54.04</v>
      </c>
      <c r="D20" s="8">
        <v>42959.75</v>
      </c>
      <c r="E20" s="172">
        <v>0.47</v>
      </c>
      <c r="F20" s="172" t="s">
        <v>519</v>
      </c>
      <c r="G20" s="172">
        <v>291.79000000000002</v>
      </c>
      <c r="H20" s="172">
        <v>0</v>
      </c>
      <c r="I20" s="172">
        <v>0</v>
      </c>
      <c r="J20" s="172"/>
      <c r="K20" s="172">
        <v>1011.87</v>
      </c>
      <c r="L20" s="172" t="s">
        <v>520</v>
      </c>
      <c r="M20" s="172">
        <v>75.44</v>
      </c>
      <c r="N20" s="172">
        <v>1502582400</v>
      </c>
      <c r="O20" s="172">
        <v>1</v>
      </c>
      <c r="P20" s="172">
        <v>3.83</v>
      </c>
      <c r="Q20" s="172">
        <v>130</v>
      </c>
      <c r="R20" s="172">
        <v>8.49</v>
      </c>
      <c r="S20" s="172">
        <v>3.07</v>
      </c>
    </row>
    <row r="21" spans="1:19" x14ac:dyDescent="0.25">
      <c r="A21" s="172">
        <v>72.239999999999995</v>
      </c>
      <c r="B21" s="172">
        <v>0.04</v>
      </c>
      <c r="C21" s="172">
        <v>53.39</v>
      </c>
      <c r="D21" s="8">
        <v>42959.791666666664</v>
      </c>
      <c r="E21" s="172">
        <v>0.52</v>
      </c>
      <c r="F21" s="172" t="s">
        <v>519</v>
      </c>
      <c r="G21" s="172">
        <v>291</v>
      </c>
      <c r="H21" s="172">
        <v>0</v>
      </c>
      <c r="I21" s="172">
        <v>0</v>
      </c>
      <c r="J21" s="172"/>
      <c r="K21" s="172">
        <v>1012.05</v>
      </c>
      <c r="L21" s="172" t="s">
        <v>520</v>
      </c>
      <c r="M21" s="172">
        <v>72.239999999999995</v>
      </c>
      <c r="N21" s="172">
        <v>1502586000</v>
      </c>
      <c r="O21" s="172">
        <v>0</v>
      </c>
      <c r="P21" s="172">
        <v>3.83</v>
      </c>
      <c r="Q21" s="172">
        <v>146</v>
      </c>
      <c r="R21" s="172">
        <v>10</v>
      </c>
      <c r="S21" s="172">
        <v>4.33</v>
      </c>
    </row>
    <row r="22" spans="1:19" x14ac:dyDescent="0.25">
      <c r="A22" s="172">
        <v>69.3</v>
      </c>
      <c r="B22" s="172">
        <v>0.03</v>
      </c>
      <c r="C22" s="172">
        <v>53.14</v>
      </c>
      <c r="D22" s="8">
        <v>42959.833333333336</v>
      </c>
      <c r="E22" s="172">
        <v>0.56000000000000005</v>
      </c>
      <c r="F22" s="172" t="s">
        <v>521</v>
      </c>
      <c r="G22" s="172">
        <v>289.52999999999997</v>
      </c>
      <c r="H22" s="172">
        <v>0</v>
      </c>
      <c r="I22" s="172">
        <v>0</v>
      </c>
      <c r="J22" s="172"/>
      <c r="K22" s="172">
        <v>1012.07</v>
      </c>
      <c r="L22" s="172" t="s">
        <v>520</v>
      </c>
      <c r="M22" s="172">
        <v>69.3</v>
      </c>
      <c r="N22" s="172">
        <v>1502589600</v>
      </c>
      <c r="O22" s="172">
        <v>0</v>
      </c>
      <c r="P22" s="172">
        <v>3.69</v>
      </c>
      <c r="Q22" s="172">
        <v>148</v>
      </c>
      <c r="R22" s="172">
        <v>5.67</v>
      </c>
      <c r="S22" s="172">
        <v>2.5</v>
      </c>
    </row>
    <row r="23" spans="1:19" x14ac:dyDescent="0.25">
      <c r="A23" s="172">
        <v>66.459999999999994</v>
      </c>
      <c r="B23" s="172">
        <v>0.03</v>
      </c>
      <c r="C23" s="172">
        <v>53.16</v>
      </c>
      <c r="D23" s="8">
        <v>42959.875</v>
      </c>
      <c r="E23" s="172">
        <v>0.62</v>
      </c>
      <c r="F23" s="172" t="s">
        <v>521</v>
      </c>
      <c r="G23" s="172">
        <v>288.5</v>
      </c>
      <c r="H23" s="172">
        <v>0</v>
      </c>
      <c r="I23" s="172">
        <v>0</v>
      </c>
      <c r="J23" s="172"/>
      <c r="K23" s="172">
        <v>1012.31</v>
      </c>
      <c r="L23" s="172" t="s">
        <v>520</v>
      </c>
      <c r="M23" s="172">
        <v>66.459999999999994</v>
      </c>
      <c r="N23" s="172">
        <v>1502593200</v>
      </c>
      <c r="O23" s="172">
        <v>0</v>
      </c>
      <c r="P23" s="172">
        <v>3.69</v>
      </c>
      <c r="Q23" s="172">
        <v>157</v>
      </c>
      <c r="R23" s="172">
        <v>5.09</v>
      </c>
      <c r="S23" s="172">
        <v>2.0699999999999998</v>
      </c>
    </row>
    <row r="24" spans="1:19" x14ac:dyDescent="0.25">
      <c r="A24" s="172">
        <v>64.650000000000006</v>
      </c>
      <c r="B24" s="172">
        <v>0.03</v>
      </c>
      <c r="C24" s="172">
        <v>52.89</v>
      </c>
      <c r="D24" s="8">
        <v>42959.916666666664</v>
      </c>
      <c r="E24" s="172">
        <v>0.66</v>
      </c>
      <c r="F24" s="172" t="s">
        <v>521</v>
      </c>
      <c r="G24" s="172">
        <v>288.02999999999997</v>
      </c>
      <c r="H24" s="172">
        <v>0</v>
      </c>
      <c r="I24" s="172">
        <v>0</v>
      </c>
      <c r="J24" s="172"/>
      <c r="K24" s="172">
        <v>1012.18</v>
      </c>
      <c r="L24" s="172" t="s">
        <v>520</v>
      </c>
      <c r="M24" s="172">
        <v>64.650000000000006</v>
      </c>
      <c r="N24" s="172">
        <v>1502596800</v>
      </c>
      <c r="O24" s="172">
        <v>0</v>
      </c>
      <c r="P24" s="172">
        <v>3.69</v>
      </c>
      <c r="Q24" s="172">
        <v>165</v>
      </c>
      <c r="R24" s="172">
        <v>5.07</v>
      </c>
      <c r="S24" s="172">
        <v>1.89</v>
      </c>
    </row>
    <row r="25" spans="1:19" x14ac:dyDescent="0.25">
      <c r="A25" s="172">
        <v>62.8</v>
      </c>
      <c r="B25" s="172">
        <v>0.03</v>
      </c>
      <c r="C25" s="172">
        <v>53.1</v>
      </c>
      <c r="D25" s="8">
        <v>42959.958333333336</v>
      </c>
      <c r="E25" s="172">
        <v>0.71</v>
      </c>
      <c r="F25" s="172" t="s">
        <v>521</v>
      </c>
      <c r="G25" s="172">
        <v>288.02</v>
      </c>
      <c r="H25" s="172">
        <v>0</v>
      </c>
      <c r="I25" s="172">
        <v>0</v>
      </c>
      <c r="J25" s="172"/>
      <c r="K25" s="172">
        <v>1011.79</v>
      </c>
      <c r="L25" s="172" t="s">
        <v>520</v>
      </c>
      <c r="M25" s="172">
        <v>62.8</v>
      </c>
      <c r="N25" s="172">
        <v>1502600400</v>
      </c>
      <c r="O25" s="172">
        <v>0</v>
      </c>
      <c r="P25" s="172">
        <v>3.83</v>
      </c>
      <c r="Q25" s="172">
        <v>186</v>
      </c>
      <c r="R25" s="172">
        <v>3.22</v>
      </c>
      <c r="S25" s="172">
        <v>0.6</v>
      </c>
    </row>
    <row r="26" spans="1:19" x14ac:dyDescent="0.25">
      <c r="A26" s="172">
        <v>61.89</v>
      </c>
      <c r="B26" s="172">
        <v>0.04</v>
      </c>
      <c r="C26" s="172">
        <v>53.26</v>
      </c>
      <c r="D26" s="8">
        <v>42960</v>
      </c>
      <c r="E26" s="172">
        <v>0.73</v>
      </c>
      <c r="F26" s="172" t="s">
        <v>521</v>
      </c>
      <c r="G26" s="172">
        <v>288.01</v>
      </c>
      <c r="H26" s="172">
        <v>0</v>
      </c>
      <c r="I26" s="172">
        <v>0</v>
      </c>
      <c r="J26" s="172"/>
      <c r="K26" s="172">
        <v>1012.06</v>
      </c>
      <c r="L26" s="172" t="s">
        <v>520</v>
      </c>
      <c r="M26" s="172">
        <v>61.89</v>
      </c>
      <c r="N26" s="172">
        <v>1502604000</v>
      </c>
      <c r="O26" s="172">
        <v>0</v>
      </c>
      <c r="P26" s="172">
        <v>5.08</v>
      </c>
      <c r="Q26" s="172">
        <v>286</v>
      </c>
      <c r="R26" s="172">
        <v>2.67</v>
      </c>
      <c r="S26" s="172">
        <v>0.46</v>
      </c>
    </row>
    <row r="27" spans="1:19" x14ac:dyDescent="0.25">
      <c r="A27" s="172">
        <v>60.51</v>
      </c>
      <c r="B27" s="172">
        <v>0.03</v>
      </c>
      <c r="C27" s="172">
        <v>53.39</v>
      </c>
      <c r="D27" s="8">
        <v>42960.041666666664</v>
      </c>
      <c r="E27" s="172">
        <v>0.77</v>
      </c>
      <c r="F27" s="172" t="s">
        <v>521</v>
      </c>
      <c r="G27" s="172">
        <v>288.01</v>
      </c>
      <c r="H27" s="172">
        <v>0</v>
      </c>
      <c r="I27" s="172">
        <v>0</v>
      </c>
      <c r="J27" s="172"/>
      <c r="K27" s="172">
        <v>1011.95</v>
      </c>
      <c r="L27" s="172" t="s">
        <v>520</v>
      </c>
      <c r="M27" s="172">
        <v>60.51</v>
      </c>
      <c r="N27" s="172">
        <v>1502607600</v>
      </c>
      <c r="O27" s="172">
        <v>0</v>
      </c>
      <c r="P27" s="172">
        <v>3.83</v>
      </c>
      <c r="Q27" s="172">
        <v>210</v>
      </c>
      <c r="R27" s="172">
        <v>2.4300000000000002</v>
      </c>
      <c r="S27" s="172">
        <v>0.69</v>
      </c>
    </row>
    <row r="28" spans="1:19" x14ac:dyDescent="0.25">
      <c r="A28" s="172">
        <v>59.51</v>
      </c>
      <c r="B28" s="172">
        <v>0.04</v>
      </c>
      <c r="C28" s="172">
        <v>53.24</v>
      </c>
      <c r="D28" s="8">
        <v>42960.083333333336</v>
      </c>
      <c r="E28" s="172">
        <v>0.8</v>
      </c>
      <c r="F28" s="172" t="s">
        <v>521</v>
      </c>
      <c r="G28" s="172">
        <v>288.01</v>
      </c>
      <c r="H28" s="172">
        <v>0</v>
      </c>
      <c r="I28" s="172">
        <v>0</v>
      </c>
      <c r="J28" s="172"/>
      <c r="K28" s="172">
        <v>1011.63</v>
      </c>
      <c r="L28" s="172" t="s">
        <v>520</v>
      </c>
      <c r="M28" s="172">
        <v>59.51</v>
      </c>
      <c r="N28" s="172">
        <v>1502611200</v>
      </c>
      <c r="O28" s="172">
        <v>0</v>
      </c>
      <c r="P28" s="172">
        <v>3.51</v>
      </c>
      <c r="Q28" s="172">
        <v>217</v>
      </c>
      <c r="R28" s="172">
        <v>2.68</v>
      </c>
      <c r="S28" s="172">
        <v>0.74</v>
      </c>
    </row>
    <row r="29" spans="1:19" x14ac:dyDescent="0.25">
      <c r="A29" s="172">
        <v>59.25</v>
      </c>
      <c r="B29" s="172">
        <v>0.04</v>
      </c>
      <c r="C29" s="172">
        <v>53.2</v>
      </c>
      <c r="D29" s="8">
        <v>42960.125</v>
      </c>
      <c r="E29" s="172">
        <v>0.8</v>
      </c>
      <c r="F29" s="172" t="s">
        <v>521</v>
      </c>
      <c r="G29" s="172">
        <v>288.02</v>
      </c>
      <c r="H29" s="172">
        <v>0</v>
      </c>
      <c r="I29" s="172">
        <v>0</v>
      </c>
      <c r="J29" s="172"/>
      <c r="K29" s="172">
        <v>1011.54</v>
      </c>
      <c r="L29" s="172" t="s">
        <v>520</v>
      </c>
      <c r="M29" s="172">
        <v>59.25</v>
      </c>
      <c r="N29" s="172">
        <v>1502614800</v>
      </c>
      <c r="O29" s="172">
        <v>0</v>
      </c>
      <c r="P29" s="172">
        <v>3.51</v>
      </c>
      <c r="Q29" s="172">
        <v>224</v>
      </c>
      <c r="R29" s="172">
        <v>2.46</v>
      </c>
      <c r="S29" s="172">
        <v>1.1499999999999999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42959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396</v>
      </c>
      <c r="AE2" s="56" t="s">
        <v>399</v>
      </c>
      <c r="AF2" s="56" t="s">
        <v>400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401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1010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1011</v>
      </c>
      <c r="J20" s="140" t="s">
        <v>87</v>
      </c>
      <c r="M20" s="154" t="s">
        <v>352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1012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1013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1014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1015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1016</v>
      </c>
      <c r="J25" s="140" t="s">
        <v>146</v>
      </c>
      <c r="M25" s="154" t="b">
        <v>1</v>
      </c>
    </row>
    <row r="26" spans="3:24" x14ac:dyDescent="0.25">
      <c r="C26" t="s">
        <v>1017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C:\Users\stu\Documents\GitHub\eaglep3-reporting\EC\2017-08-12-refined-times.txt</v>
      </c>
    </row>
    <row r="27" spans="3:24" x14ac:dyDescent="0.25">
      <c r="C27" t="s">
        <v>1018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C:\Users\stu\Documents\GitHub\eaglep3-reporting\EC\2017-08-12-Enforcements.txt</v>
      </c>
    </row>
    <row r="28" spans="3:24" x14ac:dyDescent="0.25">
      <c r="C28" t="s">
        <v>1019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C:\Users\stu\Documents\GitHub\eaglep3-reporting\EC\2017-08-12-Runs-refined.txt</v>
      </c>
    </row>
    <row r="29" spans="3:24" x14ac:dyDescent="0.25">
      <c r="C29" t="s">
        <v>1020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C:\Users\stu\Documents\GitHub\eaglep3-reporting\EC\2017-08-12-Trips.txt</v>
      </c>
    </row>
    <row r="30" spans="3:24" x14ac:dyDescent="0.25">
      <c r="C30" t="s">
        <v>1021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C:\Users\stu\Documents\GitHub\eaglep3-reporting\EC\2017-08-12-Weather.txt</v>
      </c>
    </row>
    <row r="31" spans="3:24" x14ac:dyDescent="0.25">
      <c r="C31" t="s">
        <v>1022</v>
      </c>
      <c r="J31" s="140" t="s">
        <v>194</v>
      </c>
      <c r="M31" s="154" t="s">
        <v>195</v>
      </c>
    </row>
    <row r="32" spans="3:24" x14ac:dyDescent="0.25">
      <c r="C32" t="s">
        <v>1023</v>
      </c>
    </row>
    <row r="33" spans="3:3" x14ac:dyDescent="0.25">
      <c r="C33" t="s">
        <v>1024</v>
      </c>
    </row>
    <row r="34" spans="3:3" x14ac:dyDescent="0.25">
      <c r="C34" t="s">
        <v>1025</v>
      </c>
    </row>
    <row r="35" spans="3:3" x14ac:dyDescent="0.25">
      <c r="C35" t="s">
        <v>1026</v>
      </c>
    </row>
    <row r="36" spans="3:3" x14ac:dyDescent="0.25">
      <c r="C36" t="s">
        <v>1027</v>
      </c>
    </row>
    <row r="37" spans="3:3" x14ac:dyDescent="0.25">
      <c r="C37" t="s">
        <v>1028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2017-08-14T16:17:00Z</dcterms:modified>
</cp:coreProperties>
</file>