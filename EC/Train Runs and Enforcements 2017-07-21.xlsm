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Trips'!$A$2:$J$36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K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X153" i="1"/>
  <c r="M152" i="1"/>
  <c r="P152" i="1"/>
  <c r="K152" i="1"/>
  <c r="L152" i="1"/>
  <c r="V152" i="1"/>
  <c r="Y152" i="1"/>
  <c r="Z152" i="1"/>
  <c r="AA152" i="1"/>
  <c r="AB152" i="1"/>
  <c r="AC152" i="1"/>
  <c r="AD152" i="1"/>
  <c r="T152" i="1" s="1"/>
  <c r="AE152" i="1"/>
  <c r="AF152" i="1"/>
  <c r="AH152" i="1"/>
  <c r="AM152" i="1"/>
  <c r="AN152" i="1"/>
  <c r="B3" i="6"/>
  <c r="F3" i="6" s="1"/>
  <c r="I3" i="6"/>
  <c r="X29" i="1"/>
  <c r="X30" i="1"/>
  <c r="P29" i="1"/>
  <c r="K29" i="1"/>
  <c r="L29" i="1"/>
  <c r="M29" i="1"/>
  <c r="T29" i="1"/>
  <c r="V29" i="1"/>
  <c r="AA29" i="1"/>
  <c r="AB29" i="1"/>
  <c r="AC29" i="1"/>
  <c r="AD29" i="1"/>
  <c r="AE29" i="1"/>
  <c r="AF29" i="1"/>
  <c r="AH29" i="1"/>
  <c r="AM29" i="1"/>
  <c r="AN29" i="1"/>
  <c r="X192" i="1"/>
  <c r="X193" i="1"/>
  <c r="X194" i="1"/>
  <c r="X195" i="1"/>
  <c r="X196" i="1"/>
  <c r="X197" i="1"/>
  <c r="X198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X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30" i="1"/>
  <c r="L30" i="1"/>
  <c r="M30" i="1"/>
  <c r="N30" i="1" s="1"/>
  <c r="T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AA46" i="1" s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35" i="3" s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R36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T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X85" i="1"/>
  <c r="Y85" i="1"/>
  <c r="AA85" i="1" s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B104" i="1"/>
  <c r="AC104" i="1"/>
  <c r="AD104" i="1"/>
  <c r="X104" i="1" s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V108" i="1"/>
  <c r="Y108" i="1"/>
  <c r="Z108" i="1"/>
  <c r="AB108" i="1"/>
  <c r="AC108" i="1"/>
  <c r="AD108" i="1"/>
  <c r="X108" i="1" s="1"/>
  <c r="AE108" i="1"/>
  <c r="R21" i="3" s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P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AA116" i="1" s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Z120" i="1"/>
  <c r="AB120" i="1"/>
  <c r="AC120" i="1"/>
  <c r="AD120" i="1"/>
  <c r="X120" i="1" s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T127" i="1"/>
  <c r="V127" i="1"/>
  <c r="X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AA130" i="1" s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X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V134" i="1"/>
  <c r="Y134" i="1"/>
  <c r="Z134" i="1"/>
  <c r="AB134" i="1"/>
  <c r="AC134" i="1"/>
  <c r="AD134" i="1"/>
  <c r="X135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T139" i="1"/>
  <c r="V139" i="1"/>
  <c r="X139" i="1"/>
  <c r="Y139" i="1"/>
  <c r="Z139" i="1"/>
  <c r="AA139" i="1" s="1"/>
  <c r="AB139" i="1"/>
  <c r="AC139" i="1"/>
  <c r="AD139" i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X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P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T147" i="1"/>
  <c r="V147" i="1"/>
  <c r="Y147" i="1"/>
  <c r="Z147" i="1"/>
  <c r="AA147" i="1" s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P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T151" i="1"/>
  <c r="V151" i="1"/>
  <c r="X151" i="1"/>
  <c r="Y151" i="1"/>
  <c r="Z151" i="1"/>
  <c r="AB151" i="1"/>
  <c r="AC151" i="1"/>
  <c r="AD151" i="1"/>
  <c r="AE151" i="1"/>
  <c r="AF151" i="1"/>
  <c r="AH151" i="1"/>
  <c r="AM151" i="1"/>
  <c r="AN151" i="1"/>
  <c r="K153" i="1"/>
  <c r="L153" i="1"/>
  <c r="M153" i="1"/>
  <c r="N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AA155" i="1" s="1"/>
  <c r="Z155" i="1"/>
  <c r="AB155" i="1"/>
  <c r="AC155" i="1"/>
  <c r="AD155" i="1"/>
  <c r="T155" i="1" s="1"/>
  <c r="AE155" i="1"/>
  <c r="AF155" i="1"/>
  <c r="AH155" i="1"/>
  <c r="AM155" i="1"/>
  <c r="AN15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AA159" i="1" s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S22" i="3" s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R43" i="3" s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6" i="1"/>
  <c r="L226" i="1"/>
  <c r="M226" i="1"/>
  <c r="N226" i="1" s="1"/>
  <c r="V226" i="1"/>
  <c r="Y226" i="1"/>
  <c r="Z226" i="1"/>
  <c r="AA226" i="1"/>
  <c r="AB226" i="1"/>
  <c r="AC226" i="1"/>
  <c r="AD226" i="1"/>
  <c r="T226" i="1" s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7" i="1"/>
  <c r="AM177" i="1"/>
  <c r="AN177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9" i="1"/>
  <c r="AM179" i="1"/>
  <c r="AN179" i="1"/>
  <c r="K231" i="1"/>
  <c r="L231" i="1"/>
  <c r="M231" i="1"/>
  <c r="N231" i="1" s="1"/>
  <c r="V231" i="1"/>
  <c r="Y231" i="1"/>
  <c r="AA231" i="1" s="1"/>
  <c r="Z231" i="1"/>
  <c r="AB231" i="1"/>
  <c r="AC231" i="1"/>
  <c r="AD231" i="1"/>
  <c r="T231" i="1" s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B232" i="1"/>
  <c r="AC232" i="1"/>
  <c r="AD232" i="1"/>
  <c r="X232" i="1" s="1"/>
  <c r="AE232" i="1"/>
  <c r="AF232" i="1"/>
  <c r="AH181" i="1"/>
  <c r="AM181" i="1"/>
  <c r="AN181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3" i="1"/>
  <c r="AM183" i="1"/>
  <c r="AN183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4" i="1"/>
  <c r="AM184" i="1"/>
  <c r="AN184" i="1"/>
  <c r="K236" i="1"/>
  <c r="L236" i="1"/>
  <c r="M236" i="1"/>
  <c r="N236" i="1" s="1"/>
  <c r="V236" i="1"/>
  <c r="Y236" i="1"/>
  <c r="Z236" i="1"/>
  <c r="AA236" i="1" s="1"/>
  <c r="AB236" i="1"/>
  <c r="AC236" i="1"/>
  <c r="AD236" i="1"/>
  <c r="T236" i="1" s="1"/>
  <c r="AE236" i="1"/>
  <c r="AF236" i="1"/>
  <c r="AH185" i="1"/>
  <c r="AM185" i="1"/>
  <c r="AN185" i="1"/>
  <c r="K237" i="1"/>
  <c r="L237" i="1"/>
  <c r="M237" i="1"/>
  <c r="N237" i="1" s="1"/>
  <c r="V237" i="1"/>
  <c r="X237" i="1"/>
  <c r="Y237" i="1"/>
  <c r="Z237" i="1"/>
  <c r="AB237" i="1"/>
  <c r="AC237" i="1"/>
  <c r="AD237" i="1"/>
  <c r="T237" i="1" s="1"/>
  <c r="AE237" i="1"/>
  <c r="AF237" i="1"/>
  <c r="AH186" i="1"/>
  <c r="AM186" i="1"/>
  <c r="AN186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7" i="1"/>
  <c r="AM187" i="1"/>
  <c r="AN187" i="1"/>
  <c r="K239" i="1"/>
  <c r="L239" i="1"/>
  <c r="M239" i="1"/>
  <c r="N239" i="1" s="1"/>
  <c r="T239" i="1"/>
  <c r="V239" i="1"/>
  <c r="Y239" i="1"/>
  <c r="Z239" i="1"/>
  <c r="AA239" i="1" s="1"/>
  <c r="AB239" i="1"/>
  <c r="AC239" i="1"/>
  <c r="AD239" i="1"/>
  <c r="AE239" i="1"/>
  <c r="AF239" i="1"/>
  <c r="AH188" i="1"/>
  <c r="AM188" i="1"/>
  <c r="AN188" i="1"/>
  <c r="K240" i="1"/>
  <c r="L240" i="1"/>
  <c r="M240" i="1"/>
  <c r="N240" i="1" s="1"/>
  <c r="T240" i="1"/>
  <c r="V240" i="1"/>
  <c r="Y240" i="1"/>
  <c r="Z240" i="1"/>
  <c r="AB240" i="1"/>
  <c r="AC240" i="1"/>
  <c r="AD240" i="1"/>
  <c r="AE240" i="1"/>
  <c r="AF240" i="1"/>
  <c r="AH189" i="1"/>
  <c r="AM189" i="1"/>
  <c r="AN189" i="1"/>
  <c r="K241" i="1"/>
  <c r="L241" i="1"/>
  <c r="M241" i="1"/>
  <c r="N241" i="1" s="1"/>
  <c r="V241" i="1"/>
  <c r="Y241" i="1"/>
  <c r="Z241" i="1"/>
  <c r="AB241" i="1"/>
  <c r="AC241" i="1"/>
  <c r="AD241" i="1"/>
  <c r="X241" i="1" s="1"/>
  <c r="AE241" i="1"/>
  <c r="AF241" i="1"/>
  <c r="AH190" i="1"/>
  <c r="AM190" i="1"/>
  <c r="AN190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1" i="1"/>
  <c r="AM191" i="1"/>
  <c r="AN191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2" i="1"/>
  <c r="AM192" i="1"/>
  <c r="AN192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A246" i="1" s="1"/>
  <c r="AB246" i="1"/>
  <c r="AC246" i="1"/>
  <c r="AD246" i="1"/>
  <c r="T246" i="1" s="1"/>
  <c r="AE246" i="1"/>
  <c r="AF246" i="1"/>
  <c r="AH194" i="1"/>
  <c r="AM194" i="1"/>
  <c r="AN194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95" i="1"/>
  <c r="AM195" i="1"/>
  <c r="AN1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6" i="1"/>
  <c r="AM196" i="1"/>
  <c r="AN196" i="1"/>
  <c r="K163" i="1"/>
  <c r="L163" i="1"/>
  <c r="M163" i="1"/>
  <c r="N163" i="1" s="1"/>
  <c r="T163" i="1"/>
  <c r="V163" i="1"/>
  <c r="Y163" i="1"/>
  <c r="Z163" i="1"/>
  <c r="AA163" i="1" s="1"/>
  <c r="AB163" i="1"/>
  <c r="AC163" i="1"/>
  <c r="AD163" i="1"/>
  <c r="AE163" i="1"/>
  <c r="AF163" i="1"/>
  <c r="AH197" i="1"/>
  <c r="AM197" i="1"/>
  <c r="AN1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8" i="1"/>
  <c r="AM198" i="1"/>
  <c r="AN1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9" i="1"/>
  <c r="AM199" i="1"/>
  <c r="AN1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0" i="1"/>
  <c r="AM200" i="1"/>
  <c r="AN2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1" i="1"/>
  <c r="AM201" i="1"/>
  <c r="AN2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2" i="1"/>
  <c r="AM202" i="1"/>
  <c r="AN2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3" i="1"/>
  <c r="AM203" i="1"/>
  <c r="AN2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4" i="1"/>
  <c r="AM204" i="1"/>
  <c r="AN2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5" i="1"/>
  <c r="AM205" i="1"/>
  <c r="AN2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6" i="1"/>
  <c r="AM206" i="1"/>
  <c r="AN20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7" i="1"/>
  <c r="AM207" i="1"/>
  <c r="AN20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8" i="1"/>
  <c r="AM208" i="1"/>
  <c r="AN2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9" i="1"/>
  <c r="AM209" i="1"/>
  <c r="AN209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0" i="1"/>
  <c r="AM210" i="1"/>
  <c r="AN210" i="1"/>
  <c r="K177" i="1"/>
  <c r="L177" i="1"/>
  <c r="M177" i="1"/>
  <c r="N177" i="1" s="1"/>
  <c r="V177" i="1"/>
  <c r="Y177" i="1"/>
  <c r="Z177" i="1"/>
  <c r="AB177" i="1"/>
  <c r="AC177" i="1"/>
  <c r="AD177" i="1"/>
  <c r="X178" i="1" s="1"/>
  <c r="AE177" i="1"/>
  <c r="R39" i="3" s="1"/>
  <c r="AF177" i="1"/>
  <c r="AH211" i="1"/>
  <c r="AM211" i="1"/>
  <c r="AN2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2" i="1"/>
  <c r="AM212" i="1"/>
  <c r="AN2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3" i="1"/>
  <c r="AM213" i="1"/>
  <c r="AN213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14" i="1"/>
  <c r="AM214" i="1"/>
  <c r="AN214" i="1"/>
  <c r="K181" i="1"/>
  <c r="L181" i="1"/>
  <c r="M181" i="1"/>
  <c r="N181" i="1" s="1"/>
  <c r="V181" i="1"/>
  <c r="X181" i="1"/>
  <c r="Y181" i="1"/>
  <c r="Z181" i="1"/>
  <c r="AB181" i="1"/>
  <c r="AC181" i="1"/>
  <c r="AD181" i="1"/>
  <c r="AE181" i="1"/>
  <c r="AF181" i="1"/>
  <c r="AH215" i="1"/>
  <c r="AM215" i="1"/>
  <c r="AN215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16" i="1"/>
  <c r="AM216" i="1"/>
  <c r="AN21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7" i="1"/>
  <c r="AM217" i="1"/>
  <c r="AN2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8" i="1"/>
  <c r="AM218" i="1"/>
  <c r="AN2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9" i="1"/>
  <c r="AM219" i="1"/>
  <c r="AN21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0" i="1"/>
  <c r="AM220" i="1"/>
  <c r="AN220" i="1"/>
  <c r="K187" i="1"/>
  <c r="L187" i="1"/>
  <c r="M187" i="1"/>
  <c r="N187" i="1" s="1"/>
  <c r="V187" i="1"/>
  <c r="S38" i="3" s="1"/>
  <c r="Y187" i="1"/>
  <c r="Z187" i="1"/>
  <c r="AB187" i="1"/>
  <c r="AC187" i="1"/>
  <c r="AD187" i="1"/>
  <c r="T187" i="1" s="1"/>
  <c r="AE187" i="1"/>
  <c r="AF187" i="1"/>
  <c r="AH221" i="1"/>
  <c r="AM221" i="1"/>
  <c r="AN221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22" i="1"/>
  <c r="AM222" i="1"/>
  <c r="AN2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3" i="1"/>
  <c r="AM223" i="1"/>
  <c r="AN223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24" i="1"/>
  <c r="AM224" i="1"/>
  <c r="AN224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25" i="1"/>
  <c r="AM225" i="1"/>
  <c r="AN225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26" i="1"/>
  <c r="AM226" i="1"/>
  <c r="AN226" i="1"/>
  <c r="AH227" i="1"/>
  <c r="AM227" i="1"/>
  <c r="AN227" i="1"/>
  <c r="K193" i="1"/>
  <c r="L193" i="1"/>
  <c r="M193" i="1"/>
  <c r="N193" i="1" s="1"/>
  <c r="V193" i="1"/>
  <c r="Y193" i="1"/>
  <c r="Z193" i="1"/>
  <c r="AA193" i="1"/>
  <c r="AB193" i="1"/>
  <c r="AC193" i="1"/>
  <c r="AD193" i="1"/>
  <c r="AE193" i="1"/>
  <c r="AF193" i="1"/>
  <c r="AH228" i="1"/>
  <c r="AM228" i="1"/>
  <c r="AN228" i="1"/>
  <c r="K194" i="1"/>
  <c r="L194" i="1"/>
  <c r="M194" i="1"/>
  <c r="N194" i="1" s="1"/>
  <c r="T194" i="1"/>
  <c r="V194" i="1"/>
  <c r="Y194" i="1"/>
  <c r="Z194" i="1"/>
  <c r="AB194" i="1"/>
  <c r="AC194" i="1"/>
  <c r="AD194" i="1"/>
  <c r="AE194" i="1"/>
  <c r="AF194" i="1"/>
  <c r="AH229" i="1"/>
  <c r="AM229" i="1"/>
  <c r="AN22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0" i="1"/>
  <c r="AM230" i="1"/>
  <c r="AN23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1" i="1"/>
  <c r="AM231" i="1"/>
  <c r="AN231" i="1"/>
  <c r="K197" i="1"/>
  <c r="L197" i="1"/>
  <c r="M197" i="1"/>
  <c r="N197" i="1" s="1"/>
  <c r="V197" i="1"/>
  <c r="Y197" i="1"/>
  <c r="AA197" i="1" s="1"/>
  <c r="Z197" i="1"/>
  <c r="AB197" i="1"/>
  <c r="AC197" i="1"/>
  <c r="AD197" i="1"/>
  <c r="T197" i="1" s="1"/>
  <c r="AE197" i="1"/>
  <c r="AF197" i="1"/>
  <c r="AH232" i="1"/>
  <c r="AM232" i="1"/>
  <c r="AN232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3" i="1"/>
  <c r="AM233" i="1"/>
  <c r="AN23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4" i="1"/>
  <c r="AM234" i="1"/>
  <c r="AN234" i="1"/>
  <c r="K200" i="1"/>
  <c r="L200" i="1"/>
  <c r="M200" i="1"/>
  <c r="N200" i="1" s="1"/>
  <c r="V200" i="1"/>
  <c r="X200" i="1"/>
  <c r="Y200" i="1"/>
  <c r="Z200" i="1"/>
  <c r="AB200" i="1"/>
  <c r="AC200" i="1"/>
  <c r="AD200" i="1"/>
  <c r="T200" i="1" s="1"/>
  <c r="AE200" i="1"/>
  <c r="AF200" i="1"/>
  <c r="AH235" i="1"/>
  <c r="AM235" i="1"/>
  <c r="AN235" i="1"/>
  <c r="K201" i="1"/>
  <c r="L201" i="1"/>
  <c r="M201" i="1"/>
  <c r="N201" i="1" s="1"/>
  <c r="V201" i="1"/>
  <c r="Y201" i="1"/>
  <c r="AA201" i="1" s="1"/>
  <c r="Z201" i="1"/>
  <c r="AB201" i="1"/>
  <c r="AC201" i="1"/>
  <c r="AD201" i="1"/>
  <c r="X201" i="1" s="1"/>
  <c r="AE201" i="1"/>
  <c r="AF201" i="1"/>
  <c r="AH236" i="1"/>
  <c r="AM236" i="1"/>
  <c r="AN236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37" i="1"/>
  <c r="AM237" i="1"/>
  <c r="AN23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8" i="1"/>
  <c r="AM238" i="1"/>
  <c r="AN238" i="1"/>
  <c r="K204" i="1"/>
  <c r="L204" i="1"/>
  <c r="M204" i="1"/>
  <c r="N204" i="1" s="1"/>
  <c r="T204" i="1"/>
  <c r="V204" i="1"/>
  <c r="Y204" i="1"/>
  <c r="Z204" i="1"/>
  <c r="AA204" i="1" s="1"/>
  <c r="AB204" i="1"/>
  <c r="AC204" i="1"/>
  <c r="AD204" i="1"/>
  <c r="AE204" i="1"/>
  <c r="AF204" i="1"/>
  <c r="AH239" i="1"/>
  <c r="AM239" i="1"/>
  <c r="AN239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40" i="1"/>
  <c r="AM240" i="1"/>
  <c r="AN240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R42" i="3" s="1"/>
  <c r="AF206" i="1"/>
  <c r="AH241" i="1"/>
  <c r="AM241" i="1"/>
  <c r="AN241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42" i="1"/>
  <c r="AM242" i="1"/>
  <c r="AN24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3" i="1"/>
  <c r="AM243" i="1"/>
  <c r="AN243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244" i="1"/>
  <c r="AM244" i="1"/>
  <c r="AN244" i="1"/>
  <c r="K224" i="1"/>
  <c r="L224" i="1"/>
  <c r="M224" i="1"/>
  <c r="N224" i="1" s="1"/>
  <c r="V224" i="1"/>
  <c r="Y224" i="1"/>
  <c r="Z224" i="1"/>
  <c r="AB224" i="1"/>
  <c r="AC224" i="1"/>
  <c r="AD224" i="1"/>
  <c r="X224" i="1" s="1"/>
  <c r="AE224" i="1"/>
  <c r="AF224" i="1"/>
  <c r="AH245" i="1"/>
  <c r="AM245" i="1"/>
  <c r="AN245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46" i="1"/>
  <c r="AM246" i="1"/>
  <c r="AN246" i="1"/>
  <c r="M34" i="3"/>
  <c r="R34" i="3"/>
  <c r="S34" i="3"/>
  <c r="U34" i="3"/>
  <c r="T34" i="3" s="1"/>
  <c r="V34" i="3"/>
  <c r="AE34" i="3" s="1"/>
  <c r="X34" i="3"/>
  <c r="AC34" i="3"/>
  <c r="M14" i="3"/>
  <c r="R14" i="3"/>
  <c r="S14" i="3"/>
  <c r="U14" i="3"/>
  <c r="AC14" i="3" s="1"/>
  <c r="V14" i="3"/>
  <c r="X14" i="3"/>
  <c r="M32" i="3"/>
  <c r="R32" i="3"/>
  <c r="S32" i="3"/>
  <c r="U32" i="3"/>
  <c r="AC32" i="3" s="1"/>
  <c r="V32" i="3"/>
  <c r="X32" i="3"/>
  <c r="M33" i="3"/>
  <c r="R33" i="3"/>
  <c r="S33" i="3"/>
  <c r="U33" i="3"/>
  <c r="AC33" i="3" s="1"/>
  <c r="V33" i="3"/>
  <c r="X33" i="3"/>
  <c r="M24" i="3"/>
  <c r="R24" i="3"/>
  <c r="S24" i="3"/>
  <c r="U24" i="3"/>
  <c r="T24" i="3" s="1"/>
  <c r="V24" i="3"/>
  <c r="X24" i="3"/>
  <c r="M9" i="3"/>
  <c r="R9" i="3"/>
  <c r="S9" i="3"/>
  <c r="U9" i="3"/>
  <c r="V9" i="3"/>
  <c r="X9" i="3"/>
  <c r="AC9" i="3"/>
  <c r="M39" i="3"/>
  <c r="S39" i="3"/>
  <c r="U39" i="3"/>
  <c r="AC39" i="3" s="1"/>
  <c r="V39" i="3"/>
  <c r="X39" i="3"/>
  <c r="M40" i="3"/>
  <c r="R40" i="3"/>
  <c r="S40" i="3"/>
  <c r="U40" i="3"/>
  <c r="AC40" i="3" s="1"/>
  <c r="V40" i="3"/>
  <c r="X40" i="3"/>
  <c r="M8" i="3"/>
  <c r="R8" i="3"/>
  <c r="S8" i="3"/>
  <c r="U8" i="3"/>
  <c r="T8" i="3" s="1"/>
  <c r="V8" i="3"/>
  <c r="X8" i="3"/>
  <c r="M18" i="3"/>
  <c r="R18" i="3"/>
  <c r="S18" i="3"/>
  <c r="U18" i="3"/>
  <c r="AC18" i="3" s="1"/>
  <c r="V18" i="3"/>
  <c r="X18" i="3"/>
  <c r="M35" i="3"/>
  <c r="R35" i="3"/>
  <c r="U35" i="3"/>
  <c r="AC35" i="3" s="1"/>
  <c r="V35" i="3"/>
  <c r="X35" i="3"/>
  <c r="M36" i="3"/>
  <c r="S36" i="3"/>
  <c r="U36" i="3"/>
  <c r="AC36" i="3" s="1"/>
  <c r="V36" i="3"/>
  <c r="X36" i="3"/>
  <c r="M16" i="3"/>
  <c r="R16" i="3"/>
  <c r="S16" i="3"/>
  <c r="U16" i="3"/>
  <c r="T16" i="3" s="1"/>
  <c r="V16" i="3"/>
  <c r="X16" i="3"/>
  <c r="M12" i="3"/>
  <c r="R12" i="3"/>
  <c r="S12" i="3"/>
  <c r="U12" i="3"/>
  <c r="V12" i="3"/>
  <c r="X12" i="3"/>
  <c r="AC12" i="3"/>
  <c r="M13" i="3"/>
  <c r="R13" i="3"/>
  <c r="S13" i="3"/>
  <c r="U13" i="3"/>
  <c r="AC13" i="3" s="1"/>
  <c r="V13" i="3"/>
  <c r="X13" i="3"/>
  <c r="M25" i="3"/>
  <c r="R25" i="3"/>
  <c r="S25" i="3"/>
  <c r="T25" i="3"/>
  <c r="U25" i="3"/>
  <c r="AC25" i="3" s="1"/>
  <c r="V25" i="3"/>
  <c r="X25" i="3"/>
  <c r="M26" i="3"/>
  <c r="R26" i="3"/>
  <c r="S26" i="3"/>
  <c r="U26" i="3"/>
  <c r="T26" i="3" s="1"/>
  <c r="V26" i="3"/>
  <c r="AE26" i="3" s="1"/>
  <c r="X26" i="3"/>
  <c r="M7" i="3"/>
  <c r="R7" i="3"/>
  <c r="S7" i="3"/>
  <c r="U7" i="3"/>
  <c r="V7" i="3"/>
  <c r="X7" i="3"/>
  <c r="AC7" i="3"/>
  <c r="M27" i="3"/>
  <c r="R27" i="3"/>
  <c r="S27" i="3"/>
  <c r="U27" i="3"/>
  <c r="AC27" i="3" s="1"/>
  <c r="V27" i="3"/>
  <c r="X27" i="3"/>
  <c r="M28" i="3"/>
  <c r="R28" i="3"/>
  <c r="S28" i="3"/>
  <c r="T28" i="3"/>
  <c r="U28" i="3"/>
  <c r="AC28" i="3" s="1"/>
  <c r="V28" i="3"/>
  <c r="X28" i="3"/>
  <c r="AD26" i="3"/>
  <c r="M38" i="3"/>
  <c r="R38" i="3"/>
  <c r="U38" i="3"/>
  <c r="T38" i="3" s="1"/>
  <c r="V38" i="3"/>
  <c r="X38" i="3"/>
  <c r="M20" i="3"/>
  <c r="R20" i="3"/>
  <c r="S20" i="3"/>
  <c r="U20" i="3"/>
  <c r="AD20" i="3" s="1"/>
  <c r="V20" i="3"/>
  <c r="X20" i="3"/>
  <c r="M21" i="3"/>
  <c r="S21" i="3"/>
  <c r="U21" i="3"/>
  <c r="AC21" i="3" s="1"/>
  <c r="V21" i="3"/>
  <c r="X21" i="3"/>
  <c r="M15" i="3"/>
  <c r="R15" i="3"/>
  <c r="S15" i="3"/>
  <c r="T15" i="3"/>
  <c r="U15" i="3"/>
  <c r="AC15" i="3" s="1"/>
  <c r="V15" i="3"/>
  <c r="X15" i="3"/>
  <c r="AD30" i="3"/>
  <c r="M37" i="3"/>
  <c r="S37" i="3"/>
  <c r="U37" i="3"/>
  <c r="T37" i="3" s="1"/>
  <c r="V37" i="3"/>
  <c r="X37" i="3"/>
  <c r="AD31" i="3"/>
  <c r="M29" i="3"/>
  <c r="R29" i="3"/>
  <c r="S29" i="3"/>
  <c r="U29" i="3"/>
  <c r="AD32" i="3" s="1"/>
  <c r="V29" i="3"/>
  <c r="X29" i="3"/>
  <c r="M30" i="3"/>
  <c r="R30" i="3"/>
  <c r="S30" i="3"/>
  <c r="U30" i="3"/>
  <c r="AC30" i="3" s="1"/>
  <c r="V30" i="3"/>
  <c r="X30" i="3"/>
  <c r="M31" i="3"/>
  <c r="R31" i="3"/>
  <c r="S31" i="3"/>
  <c r="U31" i="3"/>
  <c r="AC31" i="3" s="1"/>
  <c r="V31" i="3"/>
  <c r="X31" i="3"/>
  <c r="M17" i="3"/>
  <c r="R17" i="3"/>
  <c r="S17" i="3"/>
  <c r="U17" i="3"/>
  <c r="T17" i="3" s="1"/>
  <c r="V17" i="3"/>
  <c r="X17" i="3"/>
  <c r="M43" i="3"/>
  <c r="S43" i="3"/>
  <c r="U43" i="3"/>
  <c r="V43" i="3"/>
  <c r="X43" i="3"/>
  <c r="AC43" i="3"/>
  <c r="M44" i="3"/>
  <c r="R44" i="3"/>
  <c r="S44" i="3"/>
  <c r="U44" i="3"/>
  <c r="AC44" i="3" s="1"/>
  <c r="V44" i="3"/>
  <c r="X44" i="3"/>
  <c r="M45" i="3"/>
  <c r="R45" i="3"/>
  <c r="S45" i="3"/>
  <c r="T45" i="3"/>
  <c r="U45" i="3"/>
  <c r="AC45" i="3" s="1"/>
  <c r="V45" i="3"/>
  <c r="AE38" i="3" s="1"/>
  <c r="X45" i="3"/>
  <c r="AD38" i="3"/>
  <c r="M19" i="3"/>
  <c r="R19" i="3"/>
  <c r="S19" i="3"/>
  <c r="U19" i="3"/>
  <c r="T19" i="3" s="1"/>
  <c r="V19" i="3"/>
  <c r="X19" i="3"/>
  <c r="M41" i="3"/>
  <c r="R41" i="3"/>
  <c r="S41" i="3"/>
  <c r="U41" i="3"/>
  <c r="V41" i="3"/>
  <c r="X41" i="3"/>
  <c r="AC41" i="3"/>
  <c r="M11" i="3"/>
  <c r="R11" i="3"/>
  <c r="S11" i="3"/>
  <c r="U11" i="3"/>
  <c r="AC11" i="3" s="1"/>
  <c r="V11" i="3"/>
  <c r="X11" i="3"/>
  <c r="M42" i="3"/>
  <c r="S42" i="3"/>
  <c r="U42" i="3"/>
  <c r="AC42" i="3" s="1"/>
  <c r="V42" i="3"/>
  <c r="X42" i="3"/>
  <c r="M23" i="3"/>
  <c r="R23" i="3"/>
  <c r="S23" i="3"/>
  <c r="U23" i="3"/>
  <c r="T23" i="3" s="1"/>
  <c r="V23" i="3"/>
  <c r="X23" i="3"/>
  <c r="AD43" i="3"/>
  <c r="M22" i="3"/>
  <c r="R22" i="3"/>
  <c r="U22" i="3"/>
  <c r="AC22" i="3" s="1"/>
  <c r="V22" i="3"/>
  <c r="X22" i="3"/>
  <c r="AG156" i="1"/>
  <c r="AG152" i="1"/>
  <c r="AG29" i="1"/>
  <c r="AG28" i="1"/>
  <c r="AG45" i="1"/>
  <c r="AG19" i="1"/>
  <c r="AG36" i="1"/>
  <c r="AG52" i="1"/>
  <c r="AG26" i="1"/>
  <c r="AG43" i="1"/>
  <c r="AG21" i="1"/>
  <c r="AG38" i="1"/>
  <c r="AG56" i="1"/>
  <c r="AG72" i="1"/>
  <c r="AG55" i="1"/>
  <c r="AG71" i="1"/>
  <c r="AG87" i="1"/>
  <c r="AG66" i="1"/>
  <c r="AG82" i="1"/>
  <c r="AG65" i="1"/>
  <c r="AG81" i="1"/>
  <c r="AG95" i="1"/>
  <c r="AG111" i="1"/>
  <c r="AG90" i="1"/>
  <c r="AG106" i="1"/>
  <c r="AG89" i="1"/>
  <c r="AG105" i="1"/>
  <c r="AG92" i="1"/>
  <c r="AG108" i="1"/>
  <c r="AG130" i="1"/>
  <c r="AG146" i="1"/>
  <c r="AG211" i="1"/>
  <c r="AG231" i="1"/>
  <c r="AG137" i="1"/>
  <c r="AG154" i="1"/>
  <c r="AG218" i="1"/>
  <c r="AG121" i="1"/>
  <c r="AG132" i="1"/>
  <c r="AG148" i="1"/>
  <c r="AG213" i="1"/>
  <c r="AG127" i="1"/>
  <c r="AG143" i="1"/>
  <c r="AG208" i="1"/>
  <c r="AG228" i="1"/>
  <c r="AG246" i="1"/>
  <c r="AG16" i="1"/>
  <c r="AG37" i="1"/>
  <c r="AG15" i="1"/>
  <c r="AG40" i="1"/>
  <c r="AG18" i="1"/>
  <c r="AG39" i="1"/>
  <c r="AG25" i="1"/>
  <c r="AG46" i="1"/>
  <c r="AG68" i="1"/>
  <c r="AG59" i="1"/>
  <c r="AG79" i="1"/>
  <c r="AG62" i="1"/>
  <c r="AG86" i="1"/>
  <c r="AG73" i="1"/>
  <c r="AG91" i="1"/>
  <c r="AG115" i="1"/>
  <c r="AG98" i="1"/>
  <c r="AG118" i="1"/>
  <c r="AG109" i="1"/>
  <c r="AG100" i="1"/>
  <c r="AG126" i="1"/>
  <c r="AG150" i="1"/>
  <c r="AG219" i="1"/>
  <c r="AG133" i="1"/>
  <c r="AG159" i="1"/>
  <c r="AG230" i="1"/>
  <c r="AG128" i="1"/>
  <c r="AG153" i="1"/>
  <c r="AG221" i="1"/>
  <c r="AG139" i="1"/>
  <c r="AG212" i="1"/>
  <c r="AG238" i="1"/>
  <c r="AG172" i="1"/>
  <c r="AG188" i="1"/>
  <c r="AG203" i="1"/>
  <c r="AG237" i="1"/>
  <c r="AG167" i="1"/>
  <c r="AG183" i="1"/>
  <c r="AG198" i="1"/>
  <c r="AG232" i="1"/>
  <c r="AG162" i="1"/>
  <c r="AG178" i="1"/>
  <c r="AG193" i="1"/>
  <c r="AG223" i="1"/>
  <c r="AG161" i="1"/>
  <c r="AG177" i="1"/>
  <c r="AG222" i="1"/>
  <c r="AG20" i="1"/>
  <c r="AG41" i="1"/>
  <c r="AG23" i="1"/>
  <c r="AG44" i="1"/>
  <c r="AG22" i="1"/>
  <c r="AG47" i="1"/>
  <c r="AG30" i="1"/>
  <c r="AG50" i="1"/>
  <c r="AG76" i="1"/>
  <c r="AG63" i="1"/>
  <c r="AG70" i="1"/>
  <c r="AG57" i="1"/>
  <c r="AG77" i="1"/>
  <c r="AG99" i="1"/>
  <c r="AG119" i="1"/>
  <c r="AG102" i="1"/>
  <c r="AG93" i="1"/>
  <c r="AG104" i="1"/>
  <c r="AG134" i="1"/>
  <c r="AG155" i="1"/>
  <c r="AG141" i="1"/>
  <c r="AG210" i="1"/>
  <c r="AG120" i="1"/>
  <c r="AG158" i="1"/>
  <c r="AG147" i="1"/>
  <c r="AG216" i="1"/>
  <c r="AG176" i="1"/>
  <c r="AG207" i="1"/>
  <c r="AG171" i="1"/>
  <c r="AG187" i="1"/>
  <c r="AG236" i="1"/>
  <c r="AG166" i="1"/>
  <c r="AG197" i="1"/>
  <c r="AG165" i="1"/>
  <c r="AG181" i="1"/>
  <c r="AG33" i="1"/>
  <c r="AG53" i="1"/>
  <c r="AG32" i="1"/>
  <c r="AG14" i="1"/>
  <c r="AG35" i="1"/>
  <c r="AG17" i="1"/>
  <c r="AG42" i="1"/>
  <c r="AG64" i="1"/>
  <c r="AG84" i="1"/>
  <c r="AG75" i="1"/>
  <c r="AG58" i="1"/>
  <c r="AG78" i="1"/>
  <c r="AG69" i="1"/>
  <c r="AG88" i="1"/>
  <c r="AG107" i="1"/>
  <c r="AG94" i="1"/>
  <c r="AG114" i="1"/>
  <c r="AG96" i="1"/>
  <c r="AG116" i="1"/>
  <c r="AG142" i="1"/>
  <c r="AG215" i="1"/>
  <c r="AG129" i="1"/>
  <c r="AG149" i="1"/>
  <c r="AG226" i="1"/>
  <c r="AG124" i="1"/>
  <c r="AG217" i="1"/>
  <c r="AG157" i="1"/>
  <c r="AG168" i="1"/>
  <c r="AG199" i="1"/>
  <c r="AG163" i="1"/>
  <c r="AG194" i="1"/>
  <c r="AG244" i="1"/>
  <c r="AG174" i="1"/>
  <c r="AG190" i="1"/>
  <c r="AG173" i="1"/>
  <c r="AG83" i="1"/>
  <c r="AG113" i="1"/>
  <c r="AG227" i="1"/>
  <c r="AG136" i="1"/>
  <c r="AG229" i="1"/>
  <c r="AG242" i="1"/>
  <c r="AG192" i="1"/>
  <c r="AG241" i="1"/>
  <c r="AG202" i="1"/>
  <c r="AG182" i="1"/>
  <c r="AG235" i="1"/>
  <c r="AG196" i="1"/>
  <c r="AG24" i="1"/>
  <c r="AG49" i="1"/>
  <c r="AG27" i="1"/>
  <c r="AG48" i="1"/>
  <c r="AG31" i="1"/>
  <c r="AG51" i="1"/>
  <c r="AG34" i="1"/>
  <c r="AG60" i="1"/>
  <c r="AG80" i="1"/>
  <c r="AG67" i="1"/>
  <c r="AG54" i="1"/>
  <c r="AG74" i="1"/>
  <c r="AG61" i="1"/>
  <c r="AG85" i="1"/>
  <c r="AG103" i="1"/>
  <c r="AG123" i="1"/>
  <c r="AG110" i="1"/>
  <c r="AG97" i="1"/>
  <c r="AG117" i="1"/>
  <c r="AG112" i="1"/>
  <c r="AG138" i="1"/>
  <c r="AG160" i="1"/>
  <c r="AG125" i="1"/>
  <c r="AG145" i="1"/>
  <c r="AG214" i="1"/>
  <c r="AG122" i="1"/>
  <c r="AG140" i="1"/>
  <c r="AG209" i="1"/>
  <c r="AG131" i="1"/>
  <c r="AG151" i="1"/>
  <c r="AG220" i="1"/>
  <c r="AG164" i="1"/>
  <c r="AG180" i="1"/>
  <c r="AG195" i="1"/>
  <c r="AG225" i="1"/>
  <c r="AG245" i="1"/>
  <c r="AG175" i="1"/>
  <c r="AG191" i="1"/>
  <c r="AG206" i="1"/>
  <c r="AG240" i="1"/>
  <c r="AG170" i="1"/>
  <c r="AG186" i="1"/>
  <c r="AG201" i="1"/>
  <c r="AG239" i="1"/>
  <c r="AG169" i="1"/>
  <c r="AG185" i="1"/>
  <c r="AG200" i="1"/>
  <c r="AG101" i="1"/>
  <c r="AG144" i="1"/>
  <c r="AG135" i="1"/>
  <c r="AG234" i="1"/>
  <c r="AG184" i="1"/>
  <c r="AG233" i="1"/>
  <c r="AG179" i="1"/>
  <c r="AG224" i="1"/>
  <c r="AG205" i="1"/>
  <c r="AG243" i="1"/>
  <c r="AG189" i="1"/>
  <c r="AG204" i="1"/>
  <c r="W29" i="3"/>
  <c r="W32" i="3"/>
  <c r="W11" i="3"/>
  <c r="W17" i="3"/>
  <c r="W12" i="3"/>
  <c r="W43" i="3"/>
  <c r="W28" i="3"/>
  <c r="W38" i="3"/>
  <c r="W39" i="3"/>
  <c r="W21" i="3"/>
  <c r="W22" i="3"/>
  <c r="W40" i="3"/>
  <c r="W34" i="3"/>
  <c r="W14" i="3"/>
  <c r="W7" i="3"/>
  <c r="W41" i="3"/>
  <c r="W45" i="3"/>
  <c r="W37" i="3"/>
  <c r="W35" i="3"/>
  <c r="W30" i="3"/>
  <c r="W15" i="3"/>
  <c r="W36" i="3"/>
  <c r="W24" i="3"/>
  <c r="W9" i="3"/>
  <c r="W20" i="3"/>
  <c r="W42" i="3"/>
  <c r="W23" i="3"/>
  <c r="W13" i="3"/>
  <c r="W44" i="3"/>
  <c r="W19" i="3"/>
  <c r="W31" i="3"/>
  <c r="W8" i="3"/>
  <c r="W18" i="3"/>
  <c r="W25" i="3"/>
  <c r="W26" i="3"/>
  <c r="W27" i="3"/>
  <c r="W33" i="3"/>
  <c r="W16" i="3"/>
  <c r="AI156" i="1" l="1"/>
  <c r="U156" i="1"/>
  <c r="S156" i="1" s="1"/>
  <c r="W156" i="1"/>
  <c r="X156" i="1"/>
  <c r="AI152" i="1"/>
  <c r="U152" i="1"/>
  <c r="S152" i="1" s="1"/>
  <c r="W152" i="1"/>
  <c r="X152" i="1"/>
  <c r="H3" i="6"/>
  <c r="G3" i="6"/>
  <c r="J3" i="6"/>
  <c r="AI29" i="1"/>
  <c r="U29" i="1"/>
  <c r="S29" i="1" s="1"/>
  <c r="W29" i="1"/>
  <c r="AD27" i="3"/>
  <c r="AD42" i="3"/>
  <c r="T42" i="3"/>
  <c r="AD40" i="3"/>
  <c r="AD39" i="3"/>
  <c r="AD36" i="3"/>
  <c r="AC17" i="3"/>
  <c r="AD34" i="3"/>
  <c r="T31" i="3"/>
  <c r="AC20" i="3"/>
  <c r="AC38" i="3"/>
  <c r="AD24" i="3"/>
  <c r="T36" i="3"/>
  <c r="AC24" i="3"/>
  <c r="X204" i="1"/>
  <c r="AA202" i="1"/>
  <c r="T202" i="1"/>
  <c r="AA200" i="1"/>
  <c r="AA198" i="1"/>
  <c r="X190" i="1"/>
  <c r="X175" i="1"/>
  <c r="X171" i="1"/>
  <c r="AA169" i="1"/>
  <c r="T232" i="1"/>
  <c r="AA210" i="1"/>
  <c r="AA149" i="1"/>
  <c r="AA125" i="1"/>
  <c r="AA110" i="1"/>
  <c r="AA106" i="1"/>
  <c r="X103" i="1"/>
  <c r="AA101" i="1"/>
  <c r="AA99" i="1"/>
  <c r="AA97" i="1"/>
  <c r="AA73" i="1"/>
  <c r="AA69" i="1"/>
  <c r="AA65" i="1"/>
  <c r="AA63" i="1"/>
  <c r="AA61" i="1"/>
  <c r="AA59" i="1"/>
  <c r="AA57" i="1"/>
  <c r="AA55" i="1"/>
  <c r="AA53" i="1"/>
  <c r="X50" i="1"/>
  <c r="T42" i="1"/>
  <c r="X38" i="1"/>
  <c r="X20" i="1"/>
  <c r="AA16" i="1"/>
  <c r="AD44" i="3"/>
  <c r="AE42" i="3"/>
  <c r="AC29" i="3"/>
  <c r="AC16" i="3"/>
  <c r="T33" i="3"/>
  <c r="X206" i="1"/>
  <c r="AA203" i="1"/>
  <c r="AA199" i="1"/>
  <c r="AA194" i="1"/>
  <c r="X191" i="1"/>
  <c r="AA186" i="1"/>
  <c r="X177" i="1"/>
  <c r="AA177" i="1"/>
  <c r="AA174" i="1"/>
  <c r="X243" i="1"/>
  <c r="X233" i="1"/>
  <c r="AA219" i="1"/>
  <c r="AA146" i="1"/>
  <c r="AA119" i="1"/>
  <c r="AA102" i="1"/>
  <c r="X91" i="1"/>
  <c r="X86" i="1"/>
  <c r="AA52" i="1"/>
  <c r="AA45" i="1"/>
  <c r="T38" i="1"/>
  <c r="AA35" i="1"/>
  <c r="X34" i="1"/>
  <c r="AA21" i="1"/>
  <c r="X17" i="1"/>
  <c r="AD35" i="3"/>
  <c r="T201" i="1"/>
  <c r="T198" i="1"/>
  <c r="AA185" i="1"/>
  <c r="AA181" i="1"/>
  <c r="AA168" i="1"/>
  <c r="X167" i="1"/>
  <c r="AA218" i="1"/>
  <c r="X215" i="1"/>
  <c r="AA158" i="1"/>
  <c r="AA150" i="1"/>
  <c r="AA145" i="1"/>
  <c r="AA143" i="1"/>
  <c r="AA138" i="1"/>
  <c r="AA131" i="1"/>
  <c r="X121" i="1"/>
  <c r="X115" i="1"/>
  <c r="X111" i="1"/>
  <c r="AA111" i="1"/>
  <c r="AA100" i="1"/>
  <c r="X92" i="1"/>
  <c r="AA90" i="1"/>
  <c r="X82" i="1"/>
  <c r="AA75" i="1"/>
  <c r="X74" i="1"/>
  <c r="AA72" i="1"/>
  <c r="AA68" i="1"/>
  <c r="AA66" i="1"/>
  <c r="AA62" i="1"/>
  <c r="AA134" i="1"/>
  <c r="T77" i="1"/>
  <c r="X77" i="1"/>
  <c r="X25" i="1"/>
  <c r="T25" i="1"/>
  <c r="X187" i="1"/>
  <c r="X179" i="1"/>
  <c r="X162" i="1"/>
  <c r="X223" i="1"/>
  <c r="X185" i="1"/>
  <c r="X174" i="1"/>
  <c r="T171" i="1"/>
  <c r="X165" i="1"/>
  <c r="T161" i="1"/>
  <c r="X245" i="1"/>
  <c r="X239" i="1"/>
  <c r="R37" i="3"/>
  <c r="AA222" i="1"/>
  <c r="X205" i="1"/>
  <c r="AA196" i="1"/>
  <c r="W196" i="1" s="1"/>
  <c r="T196" i="1"/>
  <c r="AA195" i="1"/>
  <c r="AA189" i="1"/>
  <c r="AA187" i="1"/>
  <c r="AA184" i="1"/>
  <c r="X183" i="1"/>
  <c r="AA173" i="1"/>
  <c r="W173" i="1" s="1"/>
  <c r="AA171" i="1"/>
  <c r="X170" i="1"/>
  <c r="X166" i="1"/>
  <c r="T162" i="1"/>
  <c r="U162" i="1" s="1"/>
  <c r="S162" i="1" s="1"/>
  <c r="AA161" i="1"/>
  <c r="W161" i="1" s="1"/>
  <c r="AA241" i="1"/>
  <c r="X240" i="1"/>
  <c r="AA234" i="1"/>
  <c r="X228" i="1"/>
  <c r="AA228" i="1"/>
  <c r="X219" i="1"/>
  <c r="X212" i="1"/>
  <c r="X96" i="1"/>
  <c r="T96" i="1"/>
  <c r="X70" i="1"/>
  <c r="T70" i="1"/>
  <c r="U70" i="1" s="1"/>
  <c r="S70" i="1" s="1"/>
  <c r="AA33" i="1"/>
  <c r="W33" i="1" s="1"/>
  <c r="X244" i="1"/>
  <c r="X220" i="1"/>
  <c r="AA216" i="1"/>
  <c r="W216" i="1" s="1"/>
  <c r="AA141" i="1"/>
  <c r="AA137" i="1"/>
  <c r="AA133" i="1"/>
  <c r="W133" i="1" s="1"/>
  <c r="AA129" i="1"/>
  <c r="AA123" i="1"/>
  <c r="AA117" i="1"/>
  <c r="AA115" i="1"/>
  <c r="X112" i="1"/>
  <c r="T95" i="1"/>
  <c r="X95" i="1"/>
  <c r="X69" i="1"/>
  <c r="X222" i="1"/>
  <c r="X169" i="1"/>
  <c r="X163" i="1"/>
  <c r="T241" i="1"/>
  <c r="AA84" i="1"/>
  <c r="AA98" i="1"/>
  <c r="AA89" i="1"/>
  <c r="AA77" i="1"/>
  <c r="AA64" i="1"/>
  <c r="AA60" i="1"/>
  <c r="AA56" i="1"/>
  <c r="AA51" i="1"/>
  <c r="W51" i="1" s="1"/>
  <c r="AA48" i="1"/>
  <c r="W48" i="1" s="1"/>
  <c r="X45" i="1"/>
  <c r="AA43" i="1"/>
  <c r="AA31" i="1"/>
  <c r="W31" i="1" s="1"/>
  <c r="AA27" i="1"/>
  <c r="W27" i="1" s="1"/>
  <c r="AA108" i="1"/>
  <c r="AA92" i="1"/>
  <c r="AA81" i="1"/>
  <c r="W81" i="1" s="1"/>
  <c r="AA44" i="1"/>
  <c r="W44" i="1" s="1"/>
  <c r="AA37" i="1"/>
  <c r="X19" i="1"/>
  <c r="AA183" i="1"/>
  <c r="X182" i="1"/>
  <c r="AA179" i="1"/>
  <c r="AA172" i="1"/>
  <c r="AA167" i="1"/>
  <c r="W167" i="1" s="1"/>
  <c r="AA165" i="1"/>
  <c r="W165" i="1" s="1"/>
  <c r="AA164" i="1"/>
  <c r="AA245" i="1"/>
  <c r="AA243" i="1"/>
  <c r="AA242" i="1"/>
  <c r="W242" i="1" s="1"/>
  <c r="AA237" i="1"/>
  <c r="AA229" i="1"/>
  <c r="AA227" i="1"/>
  <c r="W227" i="1" s="1"/>
  <c r="AA217" i="1"/>
  <c r="W217" i="1" s="1"/>
  <c r="AA215" i="1"/>
  <c r="AA214" i="1"/>
  <c r="AA208" i="1"/>
  <c r="X134" i="1"/>
  <c r="X130" i="1"/>
  <c r="X126" i="1"/>
  <c r="AA126" i="1"/>
  <c r="AA118" i="1"/>
  <c r="W118" i="1" s="1"/>
  <c r="AA114" i="1"/>
  <c r="AA109" i="1"/>
  <c r="AA107" i="1"/>
  <c r="X99" i="1"/>
  <c r="AA91" i="1"/>
  <c r="AA83" i="1"/>
  <c r="X81" i="1"/>
  <c r="X78" i="1"/>
  <c r="AA78" i="1"/>
  <c r="AA76" i="1"/>
  <c r="X65" i="1"/>
  <c r="X61" i="1"/>
  <c r="X57" i="1"/>
  <c r="X53" i="1"/>
  <c r="AA49" i="1"/>
  <c r="W49" i="1" s="1"/>
  <c r="X41" i="1"/>
  <c r="AA39" i="1"/>
  <c r="AA36" i="1"/>
  <c r="AA28" i="1"/>
  <c r="AA24" i="1"/>
  <c r="W24" i="1" s="1"/>
  <c r="AA224" i="1"/>
  <c r="T224" i="1"/>
  <c r="T223" i="1"/>
  <c r="U223" i="1" s="1"/>
  <c r="S223" i="1" s="1"/>
  <c r="X189" i="1"/>
  <c r="X186" i="1"/>
  <c r="T185" i="1"/>
  <c r="U185" i="1" s="1"/>
  <c r="S185" i="1" s="1"/>
  <c r="X208" i="1"/>
  <c r="T189" i="1"/>
  <c r="T181" i="1"/>
  <c r="X173" i="1"/>
  <c r="X227" i="1"/>
  <c r="X160" i="1"/>
  <c r="X155" i="1"/>
  <c r="T193" i="1"/>
  <c r="U193" i="1" s="1"/>
  <c r="S193" i="1" s="1"/>
  <c r="T186" i="1"/>
  <c r="AA178" i="1"/>
  <c r="T177" i="1"/>
  <c r="U177" i="1" s="1"/>
  <c r="S177" i="1" s="1"/>
  <c r="AA175" i="1"/>
  <c r="W175" i="1" s="1"/>
  <c r="T175" i="1"/>
  <c r="T174" i="1"/>
  <c r="X236" i="1"/>
  <c r="X235" i="1"/>
  <c r="X231" i="1"/>
  <c r="T228" i="1"/>
  <c r="AA221" i="1"/>
  <c r="AA220" i="1"/>
  <c r="T219" i="1"/>
  <c r="X216" i="1"/>
  <c r="X211" i="1"/>
  <c r="T208" i="1"/>
  <c r="T157" i="1"/>
  <c r="AA154" i="1"/>
  <c r="T149" i="1"/>
  <c r="X150" i="1"/>
  <c r="T145" i="1"/>
  <c r="X146" i="1"/>
  <c r="T141" i="1"/>
  <c r="X142" i="1"/>
  <c r="T137" i="1"/>
  <c r="X138" i="1"/>
  <c r="AA170" i="1"/>
  <c r="AA166" i="1"/>
  <c r="W166" i="1" s="1"/>
  <c r="AA162" i="1"/>
  <c r="AA244" i="1"/>
  <c r="AA240" i="1"/>
  <c r="AA235" i="1"/>
  <c r="W235" i="1" s="1"/>
  <c r="AA232" i="1"/>
  <c r="AA213" i="1"/>
  <c r="AA212" i="1"/>
  <c r="T115" i="1"/>
  <c r="U115" i="1" s="1"/>
  <c r="S115" i="1" s="1"/>
  <c r="X107" i="1"/>
  <c r="T99" i="1"/>
  <c r="T65" i="1"/>
  <c r="T61" i="1"/>
  <c r="U61" i="1" s="1"/>
  <c r="S61" i="1" s="1"/>
  <c r="T57" i="1"/>
  <c r="T53" i="1"/>
  <c r="T21" i="1"/>
  <c r="X16" i="1"/>
  <c r="AA157" i="1"/>
  <c r="AA153" i="1"/>
  <c r="AA151" i="1"/>
  <c r="W151" i="1" s="1"/>
  <c r="AA148" i="1"/>
  <c r="W148" i="1" s="1"/>
  <c r="AA144" i="1"/>
  <c r="AA140" i="1"/>
  <c r="AA136" i="1"/>
  <c r="W136" i="1" s="1"/>
  <c r="T134" i="1"/>
  <c r="AA132" i="1"/>
  <c r="T130" i="1"/>
  <c r="AA128" i="1"/>
  <c r="W128" i="1" s="1"/>
  <c r="T126" i="1"/>
  <c r="AA124" i="1"/>
  <c r="X119" i="1"/>
  <c r="X116" i="1"/>
  <c r="AA113" i="1"/>
  <c r="W113" i="1" s="1"/>
  <c r="AA112" i="1"/>
  <c r="T111" i="1"/>
  <c r="T108" i="1"/>
  <c r="X100" i="1"/>
  <c r="T92" i="1"/>
  <c r="AA88" i="1"/>
  <c r="T78" i="1"/>
  <c r="U78" i="1" s="1"/>
  <c r="S78" i="1" s="1"/>
  <c r="AA74" i="1"/>
  <c r="T73" i="1"/>
  <c r="AA71" i="1"/>
  <c r="AA70" i="1"/>
  <c r="W70" i="1" s="1"/>
  <c r="T69" i="1"/>
  <c r="AA67" i="1"/>
  <c r="X66" i="1"/>
  <c r="X62" i="1"/>
  <c r="X58" i="1"/>
  <c r="X54" i="1"/>
  <c r="X49" i="1"/>
  <c r="T46" i="1"/>
  <c r="U46" i="1" s="1"/>
  <c r="S46" i="1" s="1"/>
  <c r="AA42" i="1"/>
  <c r="W42" i="1" s="1"/>
  <c r="T41" i="1"/>
  <c r="X37" i="1"/>
  <c r="AA34" i="1"/>
  <c r="T33" i="1"/>
  <c r="U33" i="1" s="1"/>
  <c r="S33" i="1" s="1"/>
  <c r="X28" i="1"/>
  <c r="AA25" i="1"/>
  <c r="T24" i="1"/>
  <c r="U24" i="1" s="1"/>
  <c r="S24" i="1" s="1"/>
  <c r="T20" i="1"/>
  <c r="AA22" i="1"/>
  <c r="AA122" i="1"/>
  <c r="AA120" i="1"/>
  <c r="W120" i="1" s="1"/>
  <c r="AA105" i="1"/>
  <c r="W105" i="1" s="1"/>
  <c r="AA104" i="1"/>
  <c r="AA96" i="1"/>
  <c r="AA93" i="1"/>
  <c r="W93" i="1" s="1"/>
  <c r="X89" i="1"/>
  <c r="AA86" i="1"/>
  <c r="AA82" i="1"/>
  <c r="AA79" i="1"/>
  <c r="AA50" i="1"/>
  <c r="AA47" i="1"/>
  <c r="AA38" i="1"/>
  <c r="AA30" i="1"/>
  <c r="W30" i="1" s="1"/>
  <c r="AA18" i="1"/>
  <c r="W18" i="1" s="1"/>
  <c r="AI243" i="1"/>
  <c r="U222" i="1"/>
  <c r="S222" i="1" s="1"/>
  <c r="AI239" i="1"/>
  <c r="U204" i="1"/>
  <c r="S204" i="1" s="1"/>
  <c r="AI235" i="1"/>
  <c r="U200" i="1"/>
  <c r="S200" i="1" s="1"/>
  <c r="AI231" i="1"/>
  <c r="U196" i="1"/>
  <c r="S196" i="1" s="1"/>
  <c r="AI227" i="1"/>
  <c r="AI223" i="1"/>
  <c r="U189" i="1"/>
  <c r="S189" i="1" s="1"/>
  <c r="AI219" i="1"/>
  <c r="AI215" i="1"/>
  <c r="U181" i="1"/>
  <c r="S181" i="1" s="1"/>
  <c r="AI211" i="1"/>
  <c r="AI207" i="1"/>
  <c r="U173" i="1"/>
  <c r="S173" i="1" s="1"/>
  <c r="AI203" i="1"/>
  <c r="U169" i="1"/>
  <c r="S169" i="1" s="1"/>
  <c r="AI199" i="1"/>
  <c r="U165" i="1"/>
  <c r="S165" i="1" s="1"/>
  <c r="AI195" i="1"/>
  <c r="U161" i="1"/>
  <c r="S161" i="1" s="1"/>
  <c r="AI192" i="1"/>
  <c r="U243" i="1"/>
  <c r="S243" i="1" s="1"/>
  <c r="AI188" i="1"/>
  <c r="U239" i="1"/>
  <c r="S239" i="1" s="1"/>
  <c r="AI184" i="1"/>
  <c r="U235" i="1"/>
  <c r="S235" i="1" s="1"/>
  <c r="AI244" i="1"/>
  <c r="AI240" i="1"/>
  <c r="U205" i="1"/>
  <c r="S205" i="1" s="1"/>
  <c r="AI236" i="1"/>
  <c r="U201" i="1"/>
  <c r="S201" i="1" s="1"/>
  <c r="AI232" i="1"/>
  <c r="U197" i="1"/>
  <c r="S197" i="1" s="1"/>
  <c r="AI228" i="1"/>
  <c r="AI224" i="1"/>
  <c r="U190" i="1"/>
  <c r="S190" i="1" s="1"/>
  <c r="AI220" i="1"/>
  <c r="U186" i="1"/>
  <c r="S186" i="1" s="1"/>
  <c r="AI216" i="1"/>
  <c r="U182" i="1"/>
  <c r="S182" i="1" s="1"/>
  <c r="AI212" i="1"/>
  <c r="U178" i="1"/>
  <c r="S178" i="1" s="1"/>
  <c r="AI208" i="1"/>
  <c r="U174" i="1"/>
  <c r="S174" i="1" s="1"/>
  <c r="AI204" i="1"/>
  <c r="U170" i="1"/>
  <c r="S170" i="1" s="1"/>
  <c r="AI200" i="1"/>
  <c r="U166" i="1"/>
  <c r="S166" i="1" s="1"/>
  <c r="AI196" i="1"/>
  <c r="U244" i="1"/>
  <c r="S244" i="1" s="1"/>
  <c r="AI189" i="1"/>
  <c r="U240" i="1"/>
  <c r="S240" i="1" s="1"/>
  <c r="AI185" i="1"/>
  <c r="U236" i="1"/>
  <c r="S236" i="1" s="1"/>
  <c r="U232" i="1"/>
  <c r="S232" i="1" s="1"/>
  <c r="AI181" i="1"/>
  <c r="U224" i="1"/>
  <c r="S224" i="1" s="1"/>
  <c r="AI245" i="1"/>
  <c r="U206" i="1"/>
  <c r="S206" i="1" s="1"/>
  <c r="AI241" i="1"/>
  <c r="U202" i="1"/>
  <c r="S202" i="1" s="1"/>
  <c r="AI237" i="1"/>
  <c r="U198" i="1"/>
  <c r="S198" i="1" s="1"/>
  <c r="AI233" i="1"/>
  <c r="U194" i="1"/>
  <c r="S194" i="1" s="1"/>
  <c r="AI229" i="1"/>
  <c r="U191" i="1"/>
  <c r="S191" i="1" s="1"/>
  <c r="AI225" i="1"/>
  <c r="U187" i="1"/>
  <c r="S187" i="1" s="1"/>
  <c r="AI221" i="1"/>
  <c r="U183" i="1"/>
  <c r="S183" i="1" s="1"/>
  <c r="AI217" i="1"/>
  <c r="U179" i="1"/>
  <c r="S179" i="1" s="1"/>
  <c r="AI213" i="1"/>
  <c r="U175" i="1"/>
  <c r="S175" i="1" s="1"/>
  <c r="AI209" i="1"/>
  <c r="U171" i="1"/>
  <c r="S171" i="1" s="1"/>
  <c r="AI205" i="1"/>
  <c r="U167" i="1"/>
  <c r="S167" i="1" s="1"/>
  <c r="AI201" i="1"/>
  <c r="U163" i="1"/>
  <c r="S163" i="1" s="1"/>
  <c r="AI197" i="1"/>
  <c r="U245" i="1"/>
  <c r="S245" i="1" s="1"/>
  <c r="AI193" i="1"/>
  <c r="U241" i="1"/>
  <c r="S241" i="1" s="1"/>
  <c r="AI190" i="1"/>
  <c r="U237" i="1"/>
  <c r="S237" i="1" s="1"/>
  <c r="AI186" i="1"/>
  <c r="AI182" i="1"/>
  <c r="U225" i="1"/>
  <c r="S225" i="1" s="1"/>
  <c r="AI246" i="1"/>
  <c r="U207" i="1"/>
  <c r="S207" i="1" s="1"/>
  <c r="AI242" i="1"/>
  <c r="U203" i="1"/>
  <c r="S203" i="1" s="1"/>
  <c r="AI238" i="1"/>
  <c r="U199" i="1"/>
  <c r="S199" i="1" s="1"/>
  <c r="AI234" i="1"/>
  <c r="U195" i="1"/>
  <c r="S195" i="1" s="1"/>
  <c r="AI230" i="1"/>
  <c r="U192" i="1"/>
  <c r="S192" i="1" s="1"/>
  <c r="AI226" i="1"/>
  <c r="U188" i="1"/>
  <c r="S188" i="1" s="1"/>
  <c r="AI222" i="1"/>
  <c r="U184" i="1"/>
  <c r="S184" i="1" s="1"/>
  <c r="AI218" i="1"/>
  <c r="U180" i="1"/>
  <c r="S180" i="1" s="1"/>
  <c r="AI214" i="1"/>
  <c r="U176" i="1"/>
  <c r="S176" i="1" s="1"/>
  <c r="AI210" i="1"/>
  <c r="U172" i="1"/>
  <c r="S172" i="1" s="1"/>
  <c r="AI206" i="1"/>
  <c r="U168" i="1"/>
  <c r="S168" i="1" s="1"/>
  <c r="AI202" i="1"/>
  <c r="U164" i="1"/>
  <c r="S164" i="1" s="1"/>
  <c r="AI198" i="1"/>
  <c r="U246" i="1"/>
  <c r="S246" i="1" s="1"/>
  <c r="AI194" i="1"/>
  <c r="U242" i="1"/>
  <c r="S242" i="1" s="1"/>
  <c r="AI191" i="1"/>
  <c r="U238" i="1"/>
  <c r="S238" i="1" s="1"/>
  <c r="AI187" i="1"/>
  <c r="U234" i="1"/>
  <c r="S234" i="1" s="1"/>
  <c r="AI183" i="1"/>
  <c r="AI177" i="1"/>
  <c r="U228" i="1"/>
  <c r="S228" i="1" s="1"/>
  <c r="AI173" i="1"/>
  <c r="U220" i="1"/>
  <c r="S220" i="1" s="1"/>
  <c r="AI169" i="1"/>
  <c r="U216" i="1"/>
  <c r="S216" i="1" s="1"/>
  <c r="AI165" i="1"/>
  <c r="U212" i="1"/>
  <c r="S212" i="1" s="1"/>
  <c r="AI161" i="1"/>
  <c r="U208" i="1"/>
  <c r="S208" i="1" s="1"/>
  <c r="AI157" i="1"/>
  <c r="U157" i="1"/>
  <c r="S157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7" i="1"/>
  <c r="U127" i="1"/>
  <c r="S127" i="1" s="1"/>
  <c r="AI178" i="1"/>
  <c r="U229" i="1"/>
  <c r="S229" i="1" s="1"/>
  <c r="AI174" i="1"/>
  <c r="U221" i="1"/>
  <c r="S221" i="1" s="1"/>
  <c r="AI170" i="1"/>
  <c r="U217" i="1"/>
  <c r="S217" i="1" s="1"/>
  <c r="AI166" i="1"/>
  <c r="U213" i="1"/>
  <c r="S213" i="1" s="1"/>
  <c r="AI162" i="1"/>
  <c r="U209" i="1"/>
  <c r="S209" i="1" s="1"/>
  <c r="AI158" i="1"/>
  <c r="U158" i="1"/>
  <c r="S158" i="1" s="1"/>
  <c r="AI153" i="1"/>
  <c r="U153" i="1"/>
  <c r="S153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AI122" i="1"/>
  <c r="AI121" i="1"/>
  <c r="U121" i="1"/>
  <c r="S121" i="1" s="1"/>
  <c r="U120" i="1"/>
  <c r="S120" i="1" s="1"/>
  <c r="AI120" i="1"/>
  <c r="U230" i="1"/>
  <c r="S230" i="1" s="1"/>
  <c r="AI179" i="1"/>
  <c r="U226" i="1"/>
  <c r="S226" i="1" s="1"/>
  <c r="AI175" i="1"/>
  <c r="U218" i="1"/>
  <c r="S218" i="1" s="1"/>
  <c r="AI171" i="1"/>
  <c r="U214" i="1"/>
  <c r="S214" i="1" s="1"/>
  <c r="AI167" i="1"/>
  <c r="U210" i="1"/>
  <c r="S210" i="1" s="1"/>
  <c r="AI163" i="1"/>
  <c r="U159" i="1"/>
  <c r="S159" i="1" s="1"/>
  <c r="AI159" i="1"/>
  <c r="U154" i="1"/>
  <c r="S154" i="1" s="1"/>
  <c r="AI154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AI133" i="1"/>
  <c r="U129" i="1"/>
  <c r="S129" i="1" s="1"/>
  <c r="AI129" i="1"/>
  <c r="U125" i="1"/>
  <c r="S125" i="1" s="1"/>
  <c r="AI125" i="1"/>
  <c r="U231" i="1"/>
  <c r="S231" i="1" s="1"/>
  <c r="AI180" i="1"/>
  <c r="U227" i="1"/>
  <c r="S227" i="1" s="1"/>
  <c r="AI176" i="1"/>
  <c r="U219" i="1"/>
  <c r="S219" i="1" s="1"/>
  <c r="AI172" i="1"/>
  <c r="U215" i="1"/>
  <c r="S215" i="1" s="1"/>
  <c r="AI168" i="1"/>
  <c r="U211" i="1"/>
  <c r="S211" i="1" s="1"/>
  <c r="AI164" i="1"/>
  <c r="U160" i="1"/>
  <c r="S160" i="1" s="1"/>
  <c r="AI160" i="1"/>
  <c r="U155" i="1"/>
  <c r="S155" i="1" s="1"/>
  <c r="AI155" i="1"/>
  <c r="U150" i="1"/>
  <c r="S150" i="1" s="1"/>
  <c r="AI150" i="1"/>
  <c r="U146" i="1"/>
  <c r="S146" i="1" s="1"/>
  <c r="AI146" i="1"/>
  <c r="U142" i="1"/>
  <c r="S142" i="1" s="1"/>
  <c r="AI142" i="1"/>
  <c r="U138" i="1"/>
  <c r="S138" i="1" s="1"/>
  <c r="AI138" i="1"/>
  <c r="U134" i="1"/>
  <c r="AI134" i="1"/>
  <c r="U130" i="1"/>
  <c r="S130" i="1" s="1"/>
  <c r="AI130" i="1"/>
  <c r="U126" i="1"/>
  <c r="S126" i="1" s="1"/>
  <c r="AI126" i="1"/>
  <c r="AI116" i="1"/>
  <c r="U116" i="1"/>
  <c r="S116" i="1" s="1"/>
  <c r="AI112" i="1"/>
  <c r="U112" i="1"/>
  <c r="S112" i="1" s="1"/>
  <c r="AI108" i="1"/>
  <c r="U108" i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117" i="1"/>
  <c r="U117" i="1"/>
  <c r="S117" i="1" s="1"/>
  <c r="AI113" i="1"/>
  <c r="U113" i="1"/>
  <c r="S113" i="1" s="1"/>
  <c r="AI109" i="1"/>
  <c r="U109" i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9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U123" i="1"/>
  <c r="S123" i="1" s="1"/>
  <c r="AI123" i="1"/>
  <c r="U119" i="1"/>
  <c r="S119" i="1"/>
  <c r="AI119" i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AI88" i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AI57" i="1"/>
  <c r="U57" i="1"/>
  <c r="S57" i="1" s="1"/>
  <c r="AI86" i="1"/>
  <c r="U86" i="1"/>
  <c r="S86" i="1" s="1"/>
  <c r="AI82" i="1"/>
  <c r="U82" i="1"/>
  <c r="S82" i="1" s="1"/>
  <c r="AI78" i="1"/>
  <c r="AI74" i="1"/>
  <c r="U74" i="1"/>
  <c r="S74" i="1" s="1"/>
  <c r="AI70" i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0" i="1"/>
  <c r="U50" i="1"/>
  <c r="S50" i="1" s="1"/>
  <c r="AI46" i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5" i="1"/>
  <c r="U25" i="1"/>
  <c r="S25" i="1" s="1"/>
  <c r="AI21" i="1"/>
  <c r="U21" i="1"/>
  <c r="S21" i="1" s="1"/>
  <c r="AI17" i="1"/>
  <c r="U17" i="1"/>
  <c r="S17" i="1" s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2" i="1"/>
  <c r="S52" i="1" s="1"/>
  <c r="AI52" i="1"/>
  <c r="U48" i="1"/>
  <c r="S48" i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3" i="1"/>
  <c r="S53" i="1" s="1"/>
  <c r="AI53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AI33" i="1"/>
  <c r="U28" i="1"/>
  <c r="S28" i="1" s="1"/>
  <c r="AI28" i="1"/>
  <c r="AI24" i="1"/>
  <c r="U20" i="1"/>
  <c r="S20" i="1" s="1"/>
  <c r="AI20" i="1"/>
  <c r="U16" i="1"/>
  <c r="S16" i="1" s="1"/>
  <c r="AI16" i="1"/>
  <c r="W222" i="1"/>
  <c r="W206" i="1"/>
  <c r="W205" i="1"/>
  <c r="W198" i="1"/>
  <c r="W197" i="1"/>
  <c r="W191" i="1"/>
  <c r="W190" i="1"/>
  <c r="W183" i="1"/>
  <c r="W182" i="1"/>
  <c r="W176" i="1"/>
  <c r="W174" i="1"/>
  <c r="W171" i="1"/>
  <c r="W169" i="1"/>
  <c r="W163" i="1"/>
  <c r="W245" i="1"/>
  <c r="W243" i="1"/>
  <c r="W241" i="1"/>
  <c r="W239" i="1"/>
  <c r="W237" i="1"/>
  <c r="W236" i="1"/>
  <c r="W188" i="1"/>
  <c r="W185" i="1"/>
  <c r="W207" i="1"/>
  <c r="W204" i="1"/>
  <c r="W199" i="1"/>
  <c r="W192" i="1"/>
  <c r="W189" i="1"/>
  <c r="W184" i="1"/>
  <c r="W181" i="1"/>
  <c r="W172" i="1"/>
  <c r="W170" i="1"/>
  <c r="W168" i="1"/>
  <c r="W164" i="1"/>
  <c r="W162" i="1"/>
  <c r="W246" i="1"/>
  <c r="W244" i="1"/>
  <c r="W240" i="1"/>
  <c r="W238" i="1"/>
  <c r="W225" i="1"/>
  <c r="W203" i="1"/>
  <c r="W200" i="1"/>
  <c r="W195" i="1"/>
  <c r="W180" i="1"/>
  <c r="W178" i="1"/>
  <c r="W224" i="1"/>
  <c r="W223" i="1"/>
  <c r="W202" i="1"/>
  <c r="W201" i="1"/>
  <c r="W194" i="1"/>
  <c r="W193" i="1"/>
  <c r="W187" i="1"/>
  <c r="W186" i="1"/>
  <c r="W179" i="1"/>
  <c r="W177" i="1"/>
  <c r="W234" i="1"/>
  <c r="X225" i="1"/>
  <c r="X207" i="1"/>
  <c r="X203" i="1"/>
  <c r="X199" i="1"/>
  <c r="X188" i="1"/>
  <c r="X184" i="1"/>
  <c r="X180" i="1"/>
  <c r="X176" i="1"/>
  <c r="X172" i="1"/>
  <c r="X168" i="1"/>
  <c r="X164" i="1"/>
  <c r="X246" i="1"/>
  <c r="X242" i="1"/>
  <c r="X238" i="1"/>
  <c r="X234" i="1"/>
  <c r="AA233" i="1"/>
  <c r="W233" i="1" s="1"/>
  <c r="T233" i="1"/>
  <c r="U233" i="1" s="1"/>
  <c r="S233" i="1" s="1"/>
  <c r="W232" i="1"/>
  <c r="W231" i="1"/>
  <c r="W221" i="1"/>
  <c r="W220" i="1"/>
  <c r="W218" i="1"/>
  <c r="W160" i="1"/>
  <c r="W155" i="1"/>
  <c r="W150" i="1"/>
  <c r="W147" i="1"/>
  <c r="W146" i="1"/>
  <c r="W143" i="1"/>
  <c r="W142" i="1"/>
  <c r="W139" i="1"/>
  <c r="W138" i="1"/>
  <c r="W135" i="1"/>
  <c r="W134" i="1"/>
  <c r="W131" i="1"/>
  <c r="W130" i="1"/>
  <c r="W127" i="1"/>
  <c r="W126" i="1"/>
  <c r="W123" i="1"/>
  <c r="W229" i="1"/>
  <c r="W228" i="1"/>
  <c r="W226" i="1"/>
  <c r="W211" i="1"/>
  <c r="W209" i="1"/>
  <c r="W208" i="1"/>
  <c r="W159" i="1"/>
  <c r="W158" i="1"/>
  <c r="W157" i="1"/>
  <c r="W154" i="1"/>
  <c r="W153" i="1"/>
  <c r="W149" i="1"/>
  <c r="W145" i="1"/>
  <c r="W144" i="1"/>
  <c r="W141" i="1"/>
  <c r="W140" i="1"/>
  <c r="W137" i="1"/>
  <c r="W132" i="1"/>
  <c r="W129" i="1"/>
  <c r="W125" i="1"/>
  <c r="W124" i="1"/>
  <c r="W230" i="1"/>
  <c r="W215" i="1"/>
  <c r="W213" i="1"/>
  <c r="W212" i="1"/>
  <c r="W210" i="1"/>
  <c r="W219" i="1"/>
  <c r="W214" i="1"/>
  <c r="W122" i="1"/>
  <c r="X123" i="1"/>
  <c r="T122" i="1"/>
  <c r="U122" i="1" s="1"/>
  <c r="S122" i="1" s="1"/>
  <c r="X122" i="1"/>
  <c r="W117" i="1"/>
  <c r="W116" i="1"/>
  <c r="W111" i="1"/>
  <c r="W102" i="1"/>
  <c r="W101" i="1"/>
  <c r="W100" i="1"/>
  <c r="W97" i="1"/>
  <c r="W94" i="1"/>
  <c r="W119" i="1"/>
  <c r="W114" i="1"/>
  <c r="W112" i="1"/>
  <c r="W107" i="1"/>
  <c r="W98" i="1"/>
  <c r="W91" i="1"/>
  <c r="W88" i="1"/>
  <c r="X229" i="1"/>
  <c r="X221" i="1"/>
  <c r="X217" i="1"/>
  <c r="X213" i="1"/>
  <c r="X209" i="1"/>
  <c r="X148" i="1"/>
  <c r="X144" i="1"/>
  <c r="X140" i="1"/>
  <c r="X136" i="1"/>
  <c r="X132" i="1"/>
  <c r="X128" i="1"/>
  <c r="X124" i="1"/>
  <c r="W110" i="1"/>
  <c r="W109" i="1"/>
  <c r="W108" i="1"/>
  <c r="W103" i="1"/>
  <c r="W95" i="1"/>
  <c r="W92" i="1"/>
  <c r="W89" i="1"/>
  <c r="X230" i="1"/>
  <c r="X226" i="1"/>
  <c r="X218" i="1"/>
  <c r="X214" i="1"/>
  <c r="X210" i="1"/>
  <c r="X159" i="1"/>
  <c r="X154" i="1"/>
  <c r="X149" i="1"/>
  <c r="X145" i="1"/>
  <c r="X141" i="1"/>
  <c r="X137" i="1"/>
  <c r="X133" i="1"/>
  <c r="X129" i="1"/>
  <c r="X125" i="1"/>
  <c r="AA121" i="1"/>
  <c r="W121" i="1" s="1"/>
  <c r="W115" i="1"/>
  <c r="W106" i="1"/>
  <c r="W104" i="1"/>
  <c r="W99" i="1"/>
  <c r="W96" i="1"/>
  <c r="W90" i="1"/>
  <c r="W87" i="1"/>
  <c r="W84" i="1"/>
  <c r="W83" i="1"/>
  <c r="W80" i="1"/>
  <c r="W73" i="1"/>
  <c r="W69" i="1"/>
  <c r="W66" i="1"/>
  <c r="W63" i="1"/>
  <c r="W62" i="1"/>
  <c r="W59" i="1"/>
  <c r="W58" i="1"/>
  <c r="W55" i="1"/>
  <c r="W54" i="1"/>
  <c r="T89" i="1"/>
  <c r="U89" i="1" s="1"/>
  <c r="S89" i="1" s="1"/>
  <c r="T87" i="1"/>
  <c r="U87" i="1" s="1"/>
  <c r="S87" i="1" s="1"/>
  <c r="X87" i="1"/>
  <c r="W77" i="1"/>
  <c r="W74" i="1"/>
  <c r="W71" i="1"/>
  <c r="W67" i="1"/>
  <c r="W64" i="1"/>
  <c r="W60" i="1"/>
  <c r="W56" i="1"/>
  <c r="X117" i="1"/>
  <c r="X113" i="1"/>
  <c r="X109" i="1"/>
  <c r="X105" i="1"/>
  <c r="X101" i="1"/>
  <c r="X97" i="1"/>
  <c r="X93" i="1"/>
  <c r="T88" i="1"/>
  <c r="U88" i="1" s="1"/>
  <c r="S88" i="1" s="1"/>
  <c r="X88" i="1"/>
  <c r="W85" i="1"/>
  <c r="W78" i="1"/>
  <c r="W75" i="1"/>
  <c r="W72" i="1"/>
  <c r="W68" i="1"/>
  <c r="X118" i="1"/>
  <c r="X114" i="1"/>
  <c r="X110" i="1"/>
  <c r="X106" i="1"/>
  <c r="X102" i="1"/>
  <c r="X98" i="1"/>
  <c r="X94" i="1"/>
  <c r="X90" i="1"/>
  <c r="W86" i="1"/>
  <c r="W82" i="1"/>
  <c r="W79" i="1"/>
  <c r="W76" i="1"/>
  <c r="W65" i="1"/>
  <c r="W61" i="1"/>
  <c r="W57" i="1"/>
  <c r="X84" i="1"/>
  <c r="X80" i="1"/>
  <c r="X76" i="1"/>
  <c r="X72" i="1"/>
  <c r="X68" i="1"/>
  <c r="X64" i="1"/>
  <c r="X60" i="1"/>
  <c r="X56" i="1"/>
  <c r="W52" i="1"/>
  <c r="W41" i="1"/>
  <c r="W39" i="1"/>
  <c r="W20" i="1"/>
  <c r="W45" i="1"/>
  <c r="W40" i="1"/>
  <c r="W34" i="1"/>
  <c r="W32" i="1"/>
  <c r="W25" i="1"/>
  <c r="W23" i="1"/>
  <c r="W21" i="1"/>
  <c r="W19" i="1"/>
  <c r="W17" i="1"/>
  <c r="W16" i="1"/>
  <c r="W53" i="1"/>
  <c r="W46" i="1"/>
  <c r="W43" i="1"/>
  <c r="W37" i="1"/>
  <c r="W35" i="1"/>
  <c r="W28" i="1"/>
  <c r="W26" i="1"/>
  <c r="W22" i="1"/>
  <c r="W15" i="1"/>
  <c r="W14" i="1"/>
  <c r="X83" i="1"/>
  <c r="X79" i="1"/>
  <c r="X75" i="1"/>
  <c r="X71" i="1"/>
  <c r="X67" i="1"/>
  <c r="X63" i="1"/>
  <c r="X59" i="1"/>
  <c r="X55" i="1"/>
  <c r="W50" i="1"/>
  <c r="W47" i="1"/>
  <c r="W38" i="1"/>
  <c r="W36" i="1"/>
  <c r="X51" i="1"/>
  <c r="X47" i="1"/>
  <c r="X43" i="1"/>
  <c r="X39" i="1"/>
  <c r="X35" i="1"/>
  <c r="X31" i="1"/>
  <c r="X26" i="1"/>
  <c r="X22" i="1"/>
  <c r="X18" i="1"/>
  <c r="X52" i="1"/>
  <c r="X48" i="1"/>
  <c r="X44" i="1"/>
  <c r="X40" i="1"/>
  <c r="X36" i="1"/>
  <c r="X32" i="1"/>
  <c r="X27" i="1"/>
  <c r="X15" i="1"/>
  <c r="AD21" i="3"/>
  <c r="AE15" i="3"/>
  <c r="AD13" i="3"/>
  <c r="AE30" i="3"/>
  <c r="AD23" i="3"/>
  <c r="AD12" i="3"/>
  <c r="AD28" i="3"/>
  <c r="AE19" i="3"/>
  <c r="AD17" i="3"/>
  <c r="AE11" i="3"/>
  <c r="AD9" i="3"/>
  <c r="AE23" i="3"/>
  <c r="AD19" i="3"/>
  <c r="AD16" i="3"/>
  <c r="AD11" i="3"/>
  <c r="AD8" i="3"/>
  <c r="AC19" i="3"/>
  <c r="AC37" i="3"/>
  <c r="AC26" i="3"/>
  <c r="AC8" i="3"/>
  <c r="AD15" i="3"/>
  <c r="T40" i="3"/>
  <c r="AC23" i="3"/>
  <c r="Y16" i="3"/>
  <c r="Y8" i="3"/>
  <c r="Y24" i="3"/>
  <c r="Y34" i="3"/>
  <c r="Y17" i="3"/>
  <c r="Y31" i="3"/>
  <c r="Y36" i="3"/>
  <c r="Y40" i="3"/>
  <c r="Y33" i="3"/>
  <c r="Y19" i="3"/>
  <c r="Y15" i="3"/>
  <c r="Y22" i="3"/>
  <c r="Y11" i="3"/>
  <c r="Y44" i="3"/>
  <c r="Y30" i="3"/>
  <c r="Y21" i="3"/>
  <c r="Y27" i="3"/>
  <c r="Y13" i="3"/>
  <c r="Y35" i="3"/>
  <c r="Y39" i="3"/>
  <c r="Y32" i="3"/>
  <c r="Y23" i="3"/>
  <c r="Y37" i="3"/>
  <c r="Y38" i="3"/>
  <c r="Y26" i="3"/>
  <c r="Y42" i="3"/>
  <c r="Y45" i="3"/>
  <c r="Y28" i="3"/>
  <c r="Y25" i="3"/>
  <c r="Y41" i="3"/>
  <c r="Y43" i="3"/>
  <c r="Y29" i="3"/>
  <c r="Y20" i="3"/>
  <c r="Y7" i="3"/>
  <c r="Y12" i="3"/>
  <c r="Y18" i="3"/>
  <c r="Y9" i="3"/>
  <c r="Y14" i="3"/>
  <c r="AE29" i="3"/>
  <c r="T21" i="3"/>
  <c r="AE25" i="3"/>
  <c r="T27" i="3"/>
  <c r="AE22" i="3"/>
  <c r="AE18" i="3"/>
  <c r="T35" i="3"/>
  <c r="AE14" i="3"/>
  <c r="T39" i="3"/>
  <c r="T32" i="3"/>
  <c r="AE45" i="3"/>
  <c r="T22" i="3"/>
  <c r="AE41" i="3"/>
  <c r="T11" i="3"/>
  <c r="AE37" i="3"/>
  <c r="T44" i="3"/>
  <c r="T13" i="3"/>
  <c r="AD45" i="3"/>
  <c r="AE44" i="3"/>
  <c r="AD41" i="3"/>
  <c r="AE40" i="3"/>
  <c r="T41" i="3"/>
  <c r="AD37" i="3"/>
  <c r="AE36" i="3"/>
  <c r="T43" i="3"/>
  <c r="AD33" i="3"/>
  <c r="AE32" i="3"/>
  <c r="T29" i="3"/>
  <c r="AD29" i="3"/>
  <c r="AE28" i="3"/>
  <c r="T20" i="3"/>
  <c r="AD25" i="3"/>
  <c r="AE24" i="3"/>
  <c r="T7" i="3"/>
  <c r="AD22" i="3"/>
  <c r="AE21" i="3"/>
  <c r="T12" i="3"/>
  <c r="AD18" i="3"/>
  <c r="AE17" i="3"/>
  <c r="T18" i="3"/>
  <c r="AD14" i="3"/>
  <c r="AE13" i="3"/>
  <c r="T9" i="3"/>
  <c r="AE9" i="3"/>
  <c r="T14" i="3"/>
  <c r="AE33" i="3"/>
  <c r="T30" i="3"/>
  <c r="AE43" i="3"/>
  <c r="AE39" i="3"/>
  <c r="AE35" i="3"/>
  <c r="AE31" i="3"/>
  <c r="AE27" i="3"/>
  <c r="AE20" i="3"/>
  <c r="AE16" i="3"/>
  <c r="AE12" i="3"/>
  <c r="AE8" i="3"/>
  <c r="M10" i="3"/>
  <c r="R10" i="3"/>
  <c r="S10" i="3"/>
  <c r="U10" i="3"/>
  <c r="V10" i="3"/>
  <c r="X10" i="3"/>
  <c r="W10" i="3"/>
  <c r="S133" i="1" l="1"/>
  <c r="AE10" i="3"/>
  <c r="AD10" i="3"/>
  <c r="T10" i="3"/>
  <c r="Y10" i="3"/>
  <c r="AC10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34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24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9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8" i="3" s="1"/>
  <c r="G99" i="4"/>
  <c r="G100" i="4"/>
  <c r="G101" i="4"/>
  <c r="G102" i="4"/>
  <c r="G103" i="4"/>
  <c r="N35" i="3" s="1"/>
  <c r="G104" i="4"/>
  <c r="G105" i="4"/>
  <c r="G106" i="4"/>
  <c r="G107" i="4"/>
  <c r="N18" i="3" s="1"/>
  <c r="G108" i="4"/>
  <c r="G109" i="4"/>
  <c r="G110" i="4"/>
  <c r="G111" i="4"/>
  <c r="G112" i="4"/>
  <c r="N36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13" i="3" s="1"/>
  <c r="G129" i="4"/>
  <c r="G130" i="4"/>
  <c r="G131" i="4"/>
  <c r="G132" i="4"/>
  <c r="G133" i="4"/>
  <c r="N26" i="3" s="1"/>
  <c r="G134" i="4"/>
  <c r="G135" i="4"/>
  <c r="G136" i="4"/>
  <c r="G137" i="4"/>
  <c r="G138" i="4"/>
  <c r="N28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N30" i="3" s="1"/>
  <c r="G163" i="4"/>
  <c r="G164" i="4"/>
  <c r="G165" i="4"/>
  <c r="G166" i="4"/>
  <c r="G167" i="4"/>
  <c r="G168" i="4"/>
  <c r="N31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17" i="3" s="1"/>
  <c r="G184" i="4"/>
  <c r="G185" i="4"/>
  <c r="G186" i="4"/>
  <c r="G187" i="4"/>
  <c r="G188" i="4"/>
  <c r="G189" i="4"/>
  <c r="G190" i="4"/>
  <c r="G191" i="4"/>
  <c r="G192" i="4"/>
  <c r="G193" i="4"/>
  <c r="N43" i="3" s="1"/>
  <c r="G194" i="4"/>
  <c r="G195" i="4"/>
  <c r="G196" i="4"/>
  <c r="G197" i="4"/>
  <c r="G198" i="4"/>
  <c r="G199" i="4"/>
  <c r="G200" i="4"/>
  <c r="G201" i="4"/>
  <c r="G202" i="4"/>
  <c r="G203" i="4"/>
  <c r="N19" i="3" s="1"/>
  <c r="G204" i="4"/>
  <c r="N41" i="3" s="1"/>
  <c r="G205" i="4"/>
  <c r="G206" i="4"/>
  <c r="G207" i="4"/>
  <c r="G208" i="4"/>
  <c r="G209" i="4"/>
  <c r="N11" i="3" s="1"/>
  <c r="G210" i="4"/>
  <c r="G211" i="4"/>
  <c r="G212" i="4"/>
  <c r="G213" i="4"/>
  <c r="G214" i="4"/>
  <c r="G215" i="4"/>
  <c r="G216" i="4"/>
  <c r="G217" i="4"/>
  <c r="N42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N22" i="3" s="1"/>
  <c r="G256" i="4"/>
  <c r="G257" i="4"/>
  <c r="G258" i="4"/>
  <c r="G2" i="4"/>
  <c r="N23" i="3" l="1"/>
  <c r="N29" i="3"/>
  <c r="N15" i="3"/>
  <c r="N45" i="3"/>
  <c r="N44" i="3"/>
  <c r="N16" i="3"/>
  <c r="N12" i="3"/>
  <c r="N25" i="3"/>
  <c r="N10" i="3"/>
  <c r="N38" i="3"/>
  <c r="N39" i="3"/>
  <c r="N40" i="3"/>
  <c r="N33" i="3"/>
  <c r="N14" i="3"/>
  <c r="N32" i="3"/>
  <c r="N20" i="3"/>
  <c r="N21" i="3"/>
  <c r="N37" i="3"/>
  <c r="N7" i="3"/>
  <c r="N2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4" i="6" l="1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<sst xmlns="http://schemas.openxmlformats.org/spreadsheetml/2006/main" count="2941" uniqueCount="1059">
  <si>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</si>
  <si>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</si>
  <si>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</si>
  <si>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</si>
  <si>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</si>
  <si>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</si>
  <si>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</si>
  <si>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</si>
  <si>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</si>
  <si>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</si>
  <si>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</si>
  <si>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</si>
  <si>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</si>
  <si>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</si>
  <si>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</si>
  <si>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</si>
  <si>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</si>
  <si>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</si>
  <si>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</si>
  <si>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</si>
  <si>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</si>
  <si>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</si>
  <si>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</si>
  <si>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</si>
  <si>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</si>
  <si>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</si>
  <si>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</si>
  <si>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</si>
  <si>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</si>
  <si>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</si>
  <si>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</si>
  <si>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</si>
  <si>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</si>
  <si>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</si>
  <si>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</si>
  <si>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</si>
  <si>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</si>
  <si>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</si>
  <si>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</si>
  <si>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</si>
  <si>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</si>
  <si>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</si>
  <si>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</si>
  <si>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</si>
  <si>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</si>
  <si>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</si>
  <si>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</si>
  <si>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</si>
  <si>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</si>
  <si>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</si>
  <si>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</si>
  <si>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</si>
  <si>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</si>
  <si>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</si>
  <si>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</si>
  <si>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</si>
  <si>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</si>
  <si>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</si>
  <si>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</si>
  <si>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</si>
  <si>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</si>
  <si>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</si>
  <si>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</si>
  <si>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</si>
  <si>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</si>
  <si>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</si>
  <si>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</si>
  <si>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</si>
  <si>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</si>
  <si>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</si>
  <si>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</si>
  <si>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</si>
  <si>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</si>
  <si>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</si>
  <si>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</si>
  <si>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</si>
  <si>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</si>
  <si>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</si>
  <si>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</si>
  <si>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</si>
  <si>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</si>
  <si>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</si>
  <si>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</si>
  <si>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</si>
  <si>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</si>
  <si>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</si>
  <si>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</si>
  <si>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</si>
  <si>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</si>
  <si>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</si>
  <si>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</si>
  <si>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</si>
  <si>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</si>
  <si>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</si>
  <si>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</si>
  <si>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</si>
  <si>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</si>
  <si>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</si>
  <si>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</si>
  <si>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</si>
  <si>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</si>
  <si>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</si>
  <si>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</si>
  <si>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</si>
  <si>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</si>
  <si>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</si>
  <si>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</si>
  <si>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</si>
  <si>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</si>
  <si>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</si>
  <si>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</si>
  <si>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</si>
  <si>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</si>
  <si>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</si>
  <si>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</si>
  <si>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</si>
  <si>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</si>
  <si>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</si>
  <si>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</si>
  <si>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</si>
  <si>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</si>
  <si>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</si>
  <si>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</si>
  <si>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</si>
  <si>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</si>
  <si>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</si>
  <si>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</si>
  <si>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</si>
  <si>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</si>
  <si>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</si>
  <si>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</si>
  <si>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</si>
  <si>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</si>
  <si>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</si>
  <si>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</si>
  <si>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</si>
  <si>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</si>
  <si>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</si>
  <si>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</si>
  <si>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</si>
  <si>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</si>
  <si>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</si>
  <si>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</si>
  <si>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</si>
  <si>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</si>
  <si>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</si>
  <si>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</si>
  <si>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</si>
  <si>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</si>
  <si>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</si>
  <si>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</si>
  <si>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</si>
  <si>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</si>
  <si>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</si>
  <si>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</si>
  <si>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</si>
  <si>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</si>
  <si>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</si>
  <si>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</si>
  <si>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</si>
  <si>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</si>
  <si>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</si>
  <si>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</si>
  <si>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</si>
  <si>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</si>
  <si>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</si>
  <si>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</si>
  <si>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</si>
  <si>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</si>
  <si>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</si>
  <si>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</si>
  <si>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</si>
  <si>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</si>
  <si>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</si>
  <si>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</si>
  <si>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</si>
  <si>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</si>
  <si>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</si>
  <si>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</si>
  <si>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</si>
  <si>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</si>
  <si>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</si>
  <si>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</si>
  <si>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</si>
  <si>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</si>
  <si>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</si>
  <si>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</si>
  <si>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</si>
  <si>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</si>
  <si>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</si>
  <si>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</si>
  <si>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</si>
  <si>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</si>
  <si>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</si>
  <si>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</si>
  <si>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</si>
  <si>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</si>
  <si>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</si>
  <si>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</si>
  <si>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</si>
  <si>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</si>
  <si>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</si>
  <si>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</si>
  <si>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</si>
  <si>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</si>
  <si>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</si>
  <si>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</si>
  <si>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</si>
  <si>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</si>
  <si>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</si>
  <si>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</si>
  <si>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</si>
  <si>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</si>
  <si>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</si>
  <si>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</si>
  <si>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</si>
  <si>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</si>
  <si>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</si>
  <si>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</si>
  <si>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</si>
  <si>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</si>
  <si>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</si>
  <si>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</si>
  <si>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</si>
  <si>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</si>
  <si>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</si>
  <si>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</si>
  <si>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</si>
  <si>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</si>
  <si>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</si>
  <si>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</si>
  <si>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</si>
  <si>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</si>
  <si>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</si>
  <si>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</si>
  <si>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</si>
  <si>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</si>
  <si>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</si>
  <si>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</si>
  <si>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</si>
  <si>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</si>
  <si>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</si>
  <si>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</si>
  <si>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</si>
  <si>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</si>
  <si>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</si>
  <si>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</si>
  <si>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</si>
  <si>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</si>
  <si>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</si>
  <si>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</si>
  <si>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</si>
  <si>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</si>
  <si>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</si>
  <si>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</si>
  <si>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</si>
  <si>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</si>
  <si>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</si>
  <si>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</si>
  <si>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</si>
  <si>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</si>
  <si>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</si>
  <si>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</si>
  <si>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</si>
  <si>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</si>
  <si>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</si>
  <si>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</si>
  <si>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</si>
  <si>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</si>
  <si>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</si>
  <si>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</si>
  <si>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</si>
  <si>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</si>
  <si>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</si>
  <si>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</si>
  <si>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</si>
  <si>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</si>
  <si>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</si>
  <si>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</si>
  <si>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</si>
  <si>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</si>
  <si>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</si>
  <si>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</si>
  <si>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</si>
  <si>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</si>
  <si>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</si>
  <si>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</si>
  <si>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</si>
  <si>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</si>
  <si>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</si>
  <si>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</si>
  <si>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</si>
  <si>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</si>
  <si>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</si>
  <si>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</si>
  <si>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</si>
  <si>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</si>
  <si>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</si>
  <si>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</si>
  <si>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</si>
  <si>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</si>
  <si>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</si>
  <si>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</si>
  <si>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</si>
  <si>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</si>
  <si>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</si>
  <si>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</si>
  <si>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</si>
  <si>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</si>
  <si>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</si>
  <si>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</si>
  <si>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</si>
  <si>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</si>
  <si>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</si>
  <si>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</si>
  <si>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</si>
  <si>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</si>
  <si>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</si>
  <si>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</si>
  <si>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</si>
  <si>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</si>
  <si>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</si>
  <si>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</si>
  <si>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</si>
  <si>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</si>
  <si>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</si>
  <si>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</si>
  <si>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</si>
  <si>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</si>
  <si>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</si>
  <si>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</si>
  <si>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</si>
  <si>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</si>
  <si>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</si>
  <si>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</si>
  <si>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</si>
  <si>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</si>
  <si>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</si>
  <si>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</si>
  <si>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</si>
  <si>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</si>
  <si>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</si>
  <si>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</si>
  <si>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</si>
  <si>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</si>
  <si>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</si>
  <si>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</si>
  <si>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</si>
  <si>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</si>
  <si>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</si>
  <si>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</si>
  <si>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</si>
  <si>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</si>
  <si>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</si>
  <si>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</si>
  <si>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</si>
  <si>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</si>
  <si>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</si>
  <si>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</si>
  <si>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</si>
  <si>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</si>
  <si>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</si>
  <si>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</si>
  <si>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</si>
  <si>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</si>
  <si>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</si>
  <si>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</si>
  <si>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</si>
  <si>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</si>
  <si>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</si>
  <si>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</si>
  <si>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</si>
  <si>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</si>
  <si>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</si>
  <si>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</si>
  <si>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</si>
  <si>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</si>
  <si>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</si>
  <si>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</si>
  <si>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</si>
  <si>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</si>
  <si>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</si>
  <si>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</si>
  <si>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</si>
  <si>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</si>
  <si>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</si>
  <si>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</si>
  <si>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</si>
  <si>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</si>
  <si>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</si>
  <si>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</si>
  <si>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</si>
  <si>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</si>
  <si>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</si>
  <si>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</si>
  <si>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</si>
  <si>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</si>
  <si>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</si>
  <si>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</si>
  <si>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</si>
  <si>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</si>
  <si>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</si>
  <si>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</si>
  <si>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</si>
  <si>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</si>
  <si>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</si>
  <si>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</si>
  <si>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</si>
  <si>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</si>
  <si>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</si>
  <si>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</si>
  <si>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204:444</t>
  </si>
  <si>
    <t>Early arrival</t>
  </si>
  <si>
    <t>rtdc.l.rtdc.4007:itc</t>
  </si>
  <si>
    <t>204:136</t>
  </si>
  <si>
    <t>204:233297</t>
  </si>
  <si>
    <t>204:435</t>
  </si>
  <si>
    <t>204:471</t>
  </si>
  <si>
    <t>STARKS</t>
  </si>
  <si>
    <t>ANGELINA</t>
  </si>
  <si>
    <t>204:232973</t>
  </si>
  <si>
    <t>204:232971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</si>
  <si>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</si>
  <si>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</si>
  <si>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</si>
  <si>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</si>
  <si>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</si>
  <si>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</si>
  <si>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</si>
  <si>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</si>
  <si>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</si>
  <si>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</si>
  <si>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</si>
  <si>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</si>
  <si>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</si>
  <si>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</si>
  <si>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</si>
  <si>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</si>
  <si>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</si>
  <si>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</si>
  <si>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</si>
  <si>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</si>
  <si>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</si>
  <si>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</si>
  <si>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</si>
  <si>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</si>
  <si>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</si>
  <si>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</si>
  <si>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</si>
  <si>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</si>
  <si>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</si>
  <si>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</si>
  <si>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</si>
  <si>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ELBAUM</t>
  </si>
  <si>
    <t>MIKE</t>
  </si>
  <si>
    <t>rtdc.l.rtdc.4031:itc</t>
  </si>
  <si>
    <t>300-07</t>
  </si>
  <si>
    <t>204:464</t>
  </si>
  <si>
    <t>rtdc.l.rtdc.4032:itc</t>
  </si>
  <si>
    <t>204:158</t>
  </si>
  <si>
    <t>204:475</t>
  </si>
  <si>
    <t>precipType</t>
  </si>
  <si>
    <t>rain</t>
  </si>
  <si>
    <t>204:442</t>
  </si>
  <si>
    <t>204:232994</t>
  </si>
  <si>
    <t>204:467</t>
  </si>
  <si>
    <t>204:233305</t>
  </si>
  <si>
    <t>WILLIAM</t>
  </si>
  <si>
    <t>204:232965</t>
  </si>
  <si>
    <t>204:152</t>
  </si>
  <si>
    <t>204:971</t>
  </si>
  <si>
    <t>Clear</t>
  </si>
  <si>
    <t>clear-day</t>
  </si>
  <si>
    <t>204:233291</t>
  </si>
  <si>
    <t>204:233293</t>
  </si>
  <si>
    <t>204:460</t>
  </si>
  <si>
    <t>rtdc.l.rtdc.4054:itc</t>
  </si>
  <si>
    <t>204:449</t>
  </si>
  <si>
    <t>204:437</t>
  </si>
  <si>
    <t>204:232983</t>
  </si>
  <si>
    <t>204:233288</t>
  </si>
  <si>
    <t>204:979</t>
  </si>
  <si>
    <t>204:134</t>
  </si>
  <si>
    <t>NICHOLSON</t>
  </si>
  <si>
    <t>WESLEY</t>
  </si>
  <si>
    <t>DE LA ROSA</t>
  </si>
  <si>
    <t>ALEX</t>
  </si>
  <si>
    <t>LANGERAK</t>
  </si>
  <si>
    <t>GONZALEZ</t>
  </si>
  <si>
    <t>ARMANDO</t>
  </si>
  <si>
    <t>PAGE</t>
  </si>
  <si>
    <t>MARCUS</t>
  </si>
  <si>
    <t>ANDERS</t>
  </si>
  <si>
    <t>STEVEN</t>
  </si>
  <si>
    <t>LEVIN</t>
  </si>
  <si>
    <t>SCOTT</t>
  </si>
  <si>
    <t>CASSIDY</t>
  </si>
  <si>
    <t>BRANDON</t>
  </si>
  <si>
    <t>Light Rain</t>
  </si>
  <si>
    <t>204:232985</t>
  </si>
  <si>
    <t>204:233319</t>
  </si>
  <si>
    <t>204:232987</t>
  </si>
  <si>
    <t>LOZA</t>
  </si>
  <si>
    <t>FIDEL</t>
  </si>
  <si>
    <t>rtdc.l.rtdc.4024:itc</t>
  </si>
  <si>
    <t>Partly Cloudy</t>
  </si>
  <si>
    <t>partly-cloudy-night</t>
  </si>
  <si>
    <t>204:132</t>
  </si>
  <si>
    <t>204:232969</t>
  </si>
  <si>
    <t>204:233015</t>
  </si>
  <si>
    <t>204:233353</t>
  </si>
  <si>
    <t>204:232998</t>
  </si>
  <si>
    <t>204:232955</t>
  </si>
  <si>
    <t>204:233295</t>
  </si>
  <si>
    <t>204:233314</t>
  </si>
  <si>
    <t>204:1145</t>
  </si>
  <si>
    <t>300:58613</t>
  </si>
  <si>
    <t>rtdc.l.rtdc.4053:itc</t>
  </si>
  <si>
    <t>rtdc.l.rtdc.4029:itc</t>
  </si>
  <si>
    <t>rtdc.l.rtdc.4056:itc</t>
  </si>
  <si>
    <t>rtdc.l.rtdc.4055:itc</t>
  </si>
  <si>
    <t>rtdc.l.rtdc.4030:itc</t>
  </si>
  <si>
    <t>rtdc.l.rtdc.4057:itc</t>
  </si>
  <si>
    <t>WENDY</t>
  </si>
  <si>
    <t>DELGADO</t>
  </si>
  <si>
    <t>DIANAH</t>
  </si>
  <si>
    <t>LOPES</t>
  </si>
  <si>
    <t>KIMBERLY</t>
  </si>
  <si>
    <t>Mostly Cloudy</t>
  </si>
  <si>
    <t>204:233323</t>
  </si>
  <si>
    <t>204:232989</t>
  </si>
  <si>
    <t>204:233282</t>
  </si>
  <si>
    <t>204:233306</t>
  </si>
  <si>
    <t>204:233284</t>
  </si>
  <si>
    <t>204:233302</t>
  </si>
  <si>
    <t>204:232992</t>
  </si>
  <si>
    <t>204:232993</t>
  </si>
  <si>
    <t>204:420</t>
  </si>
  <si>
    <t>204:233002</t>
  </si>
  <si>
    <t>204:233276</t>
  </si>
  <si>
    <t>204:233004</t>
  </si>
  <si>
    <t>300:58621</t>
  </si>
  <si>
    <t>300:58653</t>
  </si>
  <si>
    <t>300:58632</t>
  </si>
  <si>
    <t>rtdc.l.rtdc.4058:itc</t>
  </si>
  <si>
    <t>rtdc.l.rtdc.4035:itc</t>
  </si>
  <si>
    <t>70-20</t>
  </si>
  <si>
    <t>313-20</t>
  </si>
  <si>
    <t>SPECTOR</t>
  </si>
  <si>
    <t>SULLIVAN</t>
  </si>
  <si>
    <t>rtdc.l.rtdc.4051:itc</t>
  </si>
  <si>
    <t>rtdc.l.rtdc.4052:itc</t>
  </si>
  <si>
    <t>PERKINS</t>
  </si>
  <si>
    <t>DARREN</t>
  </si>
  <si>
    <t>rtdc.l.rtdc.4036:itc</t>
  </si>
  <si>
    <t>71-20</t>
  </si>
  <si>
    <t>309-20</t>
  </si>
  <si>
    <t>244-20</t>
  </si>
  <si>
    <t>311-20</t>
  </si>
  <si>
    <t>300-21</t>
  </si>
  <si>
    <t>Drizzle</t>
  </si>
  <si>
    <t>204:233327</t>
  </si>
  <si>
    <t>204:163</t>
  </si>
  <si>
    <t>204:232991</t>
  </si>
  <si>
    <t>204:232984</t>
  </si>
  <si>
    <t>204:160</t>
  </si>
  <si>
    <t>204:233322</t>
  </si>
  <si>
    <t>204:232982</t>
  </si>
  <si>
    <t>204:169</t>
  </si>
  <si>
    <t>204:233304</t>
  </si>
  <si>
    <t>204:438</t>
  </si>
  <si>
    <t>204:233311</t>
  </si>
  <si>
    <t>204:232986</t>
  </si>
  <si>
    <t>204:233320</t>
  </si>
  <si>
    <t>204:473</t>
  </si>
  <si>
    <t>204:233034</t>
  </si>
  <si>
    <t>204:232978</t>
  </si>
  <si>
    <t>204:233077</t>
  </si>
  <si>
    <t>204:233368</t>
  </si>
  <si>
    <t>204:232990</t>
  </si>
  <si>
    <t>204:233324</t>
  </si>
  <si>
    <t>204:427</t>
  </si>
  <si>
    <t>204:233334</t>
  </si>
  <si>
    <t>204:233001</t>
  </si>
  <si>
    <t>204:488</t>
  </si>
  <si>
    <t>204:174</t>
  </si>
  <si>
    <t>204:484</t>
  </si>
  <si>
    <t>204:233318</t>
  </si>
  <si>
    <t>204:172</t>
  </si>
  <si>
    <t>300:25118</t>
  </si>
  <si>
    <t>300:23302</t>
  </si>
  <si>
    <t>300:23310</t>
  </si>
  <si>
    <t>300:23434</t>
  </si>
  <si>
    <t>204:1150</t>
  </si>
  <si>
    <t>204:233162</t>
  </si>
  <si>
    <t>204:663</t>
  </si>
  <si>
    <t>300:58941</t>
  </si>
  <si>
    <t>300:58623</t>
  </si>
  <si>
    <t>300:58933</t>
  </si>
  <si>
    <t>300:58619</t>
  </si>
  <si>
    <t>204:684</t>
  </si>
  <si>
    <t>204:706</t>
  </si>
  <si>
    <t>300:58944</t>
  </si>
  <si>
    <t>300:58628</t>
  </si>
  <si>
    <t>204:678</t>
  </si>
  <si>
    <t>300:58937</t>
  </si>
  <si>
    <t>204:985</t>
  </si>
  <si>
    <t>204:698</t>
  </si>
  <si>
    <t>300:58943</t>
  </si>
  <si>
    <t>204:724</t>
  </si>
  <si>
    <t>300:58931</t>
  </si>
  <si>
    <t>204:88</t>
  </si>
  <si>
    <t>204:957</t>
  </si>
  <si>
    <t>204:988</t>
  </si>
  <si>
    <t>300:58924</t>
  </si>
  <si>
    <t>300:59014</t>
  </si>
  <si>
    <t>300:24263</t>
  </si>
  <si>
    <t>204:673</t>
  </si>
  <si>
    <t>start /low /b %USERPROFILE%\Documents\GitHub\eaglep3\Utilities\DownloadLogsFromS3.py --loco 4058 --day 2017-07-21</t>
  </si>
  <si>
    <t>start /low /b %USERPROFILE%\Documents\GitHub\eaglep3\Utilities\DownloadLogsFromS3.py --loco 4045 --day 2017-07-21</t>
  </si>
  <si>
    <t>102-21</t>
  </si>
  <si>
    <t>111-21</t>
  </si>
  <si>
    <t>112-21</t>
  </si>
  <si>
    <t>116-21</t>
  </si>
  <si>
    <t>rtdc.l.rtdc.4027:itc</t>
  </si>
  <si>
    <t>132-21</t>
  </si>
  <si>
    <t>rtdc.l.rtdc.4005:itc</t>
  </si>
  <si>
    <t>816-21</t>
  </si>
  <si>
    <t>rtdc.l.rtdc.4049:itc</t>
  </si>
  <si>
    <t>152-21</t>
  </si>
  <si>
    <t>rtdc.l.rtdc.4050:itc</t>
  </si>
  <si>
    <t>165-21</t>
  </si>
  <si>
    <t>161-21</t>
  </si>
  <si>
    <t>rtdc.l.rtdc.4026:itc</t>
  </si>
  <si>
    <t>169-21</t>
  </si>
  <si>
    <t>174-21</t>
  </si>
  <si>
    <t>176-21</t>
  </si>
  <si>
    <t>180-21</t>
  </si>
  <si>
    <t>182-21</t>
  </si>
  <si>
    <t>rtdc.l.rtdc.4025:itc</t>
  </si>
  <si>
    <t>184-21</t>
  </si>
  <si>
    <t>826-21</t>
  </si>
  <si>
    <t>197-21</t>
  </si>
  <si>
    <t>192-21</t>
  </si>
  <si>
    <t>198-21</t>
  </si>
  <si>
    <t>202-21</t>
  </si>
  <si>
    <t>215-21</t>
  </si>
  <si>
    <t>301-21</t>
  </si>
  <si>
    <t>52-21</t>
  </si>
  <si>
    <t>SWITCH ALIGNMENT</t>
  </si>
  <si>
    <t>Track device (7)</t>
  </si>
  <si>
    <t>220-21</t>
  </si>
  <si>
    <t>840-21</t>
  </si>
  <si>
    <t>225-21</t>
  </si>
  <si>
    <t>rtdc.l.rtdc.4006:itc</t>
  </si>
  <si>
    <t>845-21</t>
  </si>
  <si>
    <t>236-21</t>
  </si>
  <si>
    <t>SWITCH UNKNOWN</t>
  </si>
  <si>
    <t>rtdc.l.rtdc.4023:itc</t>
  </si>
  <si>
    <t>246-21</t>
  </si>
  <si>
    <t>Y</t>
  </si>
  <si>
    <t>101-21</t>
  </si>
  <si>
    <t>53-21</t>
  </si>
  <si>
    <t>302-21</t>
  </si>
  <si>
    <t>54-21</t>
  </si>
  <si>
    <t>103-21</t>
  </si>
  <si>
    <t>304-21</t>
  </si>
  <si>
    <t>306-21</t>
  </si>
  <si>
    <t>105-21</t>
  </si>
  <si>
    <t>308-21</t>
  </si>
  <si>
    <t>107-21</t>
  </si>
  <si>
    <t>GEBRETEKLE</t>
  </si>
  <si>
    <t>DAGNEW</t>
  </si>
  <si>
    <t>104-21</t>
  </si>
  <si>
    <t>109-21</t>
  </si>
  <si>
    <t>310-21</t>
  </si>
  <si>
    <t>DAVIDSON</t>
  </si>
  <si>
    <t>DAVID</t>
  </si>
  <si>
    <t>901-21</t>
  </si>
  <si>
    <t>800-21</t>
  </si>
  <si>
    <t>106-21</t>
  </si>
  <si>
    <t>113-21</t>
  </si>
  <si>
    <t>108-21</t>
  </si>
  <si>
    <t>115-21</t>
  </si>
  <si>
    <t>801-21</t>
  </si>
  <si>
    <t>312-21</t>
  </si>
  <si>
    <t>110-21</t>
  </si>
  <si>
    <t>902-21</t>
  </si>
  <si>
    <t>119-21</t>
  </si>
  <si>
    <t>114-21</t>
  </si>
  <si>
    <t>802-21</t>
  </si>
  <si>
    <t>67-21</t>
  </si>
  <si>
    <t>121-21</t>
  </si>
  <si>
    <t>803-21</t>
  </si>
  <si>
    <t>68-21</t>
  </si>
  <si>
    <t>123-21</t>
  </si>
  <si>
    <t>805-21</t>
  </si>
  <si>
    <t>804-21</t>
  </si>
  <si>
    <t>118-21</t>
  </si>
  <si>
    <t>125-21</t>
  </si>
  <si>
    <t>120-21</t>
  </si>
  <si>
    <t>122-21</t>
  </si>
  <si>
    <t>127-21</t>
  </si>
  <si>
    <t>807-21</t>
  </si>
  <si>
    <t>806-21</t>
  </si>
  <si>
    <t>129-21</t>
  </si>
  <si>
    <t>124-21</t>
  </si>
  <si>
    <t>809-21</t>
  </si>
  <si>
    <t>808-21</t>
  </si>
  <si>
    <t>126-21</t>
  </si>
  <si>
    <t>133-21</t>
  </si>
  <si>
    <t>128-21</t>
  </si>
  <si>
    <t>135-21</t>
  </si>
  <si>
    <t>130-21</t>
  </si>
  <si>
    <t>811-21</t>
  </si>
  <si>
    <t>810-21</t>
  </si>
  <si>
    <t>137-21</t>
  </si>
  <si>
    <t>139-21</t>
  </si>
  <si>
    <t>903-21</t>
  </si>
  <si>
    <t>134-21</t>
  </si>
  <si>
    <t>141-21</t>
  </si>
  <si>
    <t>812-21</t>
  </si>
  <si>
    <t>136-21</t>
  </si>
  <si>
    <t>143-21</t>
  </si>
  <si>
    <t>813-21</t>
  </si>
  <si>
    <t>138-21</t>
  </si>
  <si>
    <t>145-21</t>
  </si>
  <si>
    <t>140-21</t>
  </si>
  <si>
    <t>142-21</t>
  </si>
  <si>
    <t>rtdc.l.rtdc.4028:itc</t>
  </si>
  <si>
    <t>77-21</t>
  </si>
  <si>
    <t>147-21</t>
  </si>
  <si>
    <t>814-21</t>
  </si>
  <si>
    <t>149-21</t>
  </si>
  <si>
    <t>144-21</t>
  </si>
  <si>
    <t>151-21</t>
  </si>
  <si>
    <t>146-21</t>
  </si>
  <si>
    <t>815-21</t>
  </si>
  <si>
    <t>153-21</t>
  </si>
  <si>
    <t>148-21</t>
  </si>
  <si>
    <t>150-21</t>
  </si>
  <si>
    <t>155-21</t>
  </si>
  <si>
    <t>157-21</t>
  </si>
  <si>
    <t>154-21</t>
  </si>
  <si>
    <t>159-21</t>
  </si>
  <si>
    <t>817-21</t>
  </si>
  <si>
    <t>156-21</t>
  </si>
  <si>
    <t>BERLING</t>
  </si>
  <si>
    <t>GARY</t>
  </si>
  <si>
    <t>163-21</t>
  </si>
  <si>
    <t>STEWART</t>
  </si>
  <si>
    <t>158-21</t>
  </si>
  <si>
    <t>818-21</t>
  </si>
  <si>
    <t>160-21</t>
  </si>
  <si>
    <t>162-21</t>
  </si>
  <si>
    <t>819-21</t>
  </si>
  <si>
    <t>167-21</t>
  </si>
  <si>
    <t>171-21</t>
  </si>
  <si>
    <t>164-21</t>
  </si>
  <si>
    <t>820-21</t>
  </si>
  <si>
    <t>166-21</t>
  </si>
  <si>
    <t>173-21</t>
  </si>
  <si>
    <t>168-21</t>
  </si>
  <si>
    <t>175-21</t>
  </si>
  <si>
    <t>170-21</t>
  </si>
  <si>
    <t>177-21</t>
  </si>
  <si>
    <t>821-21</t>
  </si>
  <si>
    <t>172-21</t>
  </si>
  <si>
    <t>179-21</t>
  </si>
  <si>
    <t>822-21</t>
  </si>
  <si>
    <t>181-21</t>
  </si>
  <si>
    <t>183-21</t>
  </si>
  <si>
    <t>185-21</t>
  </si>
  <si>
    <t>823-21</t>
  </si>
  <si>
    <t>178-21</t>
  </si>
  <si>
    <t>187-21</t>
  </si>
  <si>
    <t>824-21</t>
  </si>
  <si>
    <t>189-21</t>
  </si>
  <si>
    <t>191-21</t>
  </si>
  <si>
    <t>825-21</t>
  </si>
  <si>
    <t>186-21</t>
  </si>
  <si>
    <t>193-21</t>
  </si>
  <si>
    <t>188-21</t>
  </si>
  <si>
    <t>50-21</t>
  </si>
  <si>
    <t>MCREYNOLDS</t>
  </si>
  <si>
    <t>KYLE</t>
  </si>
  <si>
    <t>195-21</t>
  </si>
  <si>
    <t>190-21</t>
  </si>
  <si>
    <t>827-21</t>
  </si>
  <si>
    <t>199-21</t>
  </si>
  <si>
    <t>829-21</t>
  </si>
  <si>
    <t>194-21</t>
  </si>
  <si>
    <t>828-21</t>
  </si>
  <si>
    <t>201-21</t>
  </si>
  <si>
    <t>196-21</t>
  </si>
  <si>
    <t>203-21</t>
  </si>
  <si>
    <t>831-21</t>
  </si>
  <si>
    <t>830-21</t>
  </si>
  <si>
    <t>205-21</t>
  </si>
  <si>
    <t>YORK</t>
  </si>
  <si>
    <t>EDGAR</t>
  </si>
  <si>
    <t>200-21</t>
  </si>
  <si>
    <t>207-21</t>
  </si>
  <si>
    <t>209-21</t>
  </si>
  <si>
    <t>832-21</t>
  </si>
  <si>
    <t>833-21</t>
  </si>
  <si>
    <t>204-21</t>
  </si>
  <si>
    <t>211-21</t>
  </si>
  <si>
    <t>835-21</t>
  </si>
  <si>
    <t>rtdc.l.rtdc.4060:itc</t>
  </si>
  <si>
    <t>834-21</t>
  </si>
  <si>
    <t>206-21</t>
  </si>
  <si>
    <t>213-21</t>
  </si>
  <si>
    <t>208-21</t>
  </si>
  <si>
    <t>HUFFSMITH</t>
  </si>
  <si>
    <t>MONTY</t>
  </si>
  <si>
    <t>837-21</t>
  </si>
  <si>
    <t>836-21</t>
  </si>
  <si>
    <t>210-21</t>
  </si>
  <si>
    <t>217-21</t>
  </si>
  <si>
    <t>212-21</t>
  </si>
  <si>
    <t>219-21</t>
  </si>
  <si>
    <t>214-21</t>
  </si>
  <si>
    <t>838-21</t>
  </si>
  <si>
    <t>216-21</t>
  </si>
  <si>
    <t>839-21</t>
  </si>
  <si>
    <t>221-21</t>
  </si>
  <si>
    <t>841-21</t>
  </si>
  <si>
    <t>218-21</t>
  </si>
  <si>
    <t>906-21</t>
  </si>
  <si>
    <t>303-21</t>
  </si>
  <si>
    <t>RESPASS</t>
  </si>
  <si>
    <t>AARON</t>
  </si>
  <si>
    <t>223-21</t>
  </si>
  <si>
    <t>305-21</t>
  </si>
  <si>
    <t>222-21</t>
  </si>
  <si>
    <t>843-21</t>
  </si>
  <si>
    <t>224-21</t>
  </si>
  <si>
    <t>227-21</t>
  </si>
  <si>
    <t>842-21</t>
  </si>
  <si>
    <t>226-21</t>
  </si>
  <si>
    <t>229-21</t>
  </si>
  <si>
    <t>228-21</t>
  </si>
  <si>
    <t>231-21</t>
  </si>
  <si>
    <t>844-21</t>
  </si>
  <si>
    <t>233-21</t>
  </si>
  <si>
    <t>230-21</t>
  </si>
  <si>
    <t>847-21</t>
  </si>
  <si>
    <t>235-21</t>
  </si>
  <si>
    <t>232-21</t>
  </si>
  <si>
    <t>908-21</t>
  </si>
  <si>
    <t>234-21</t>
  </si>
  <si>
    <t>237-21</t>
  </si>
  <si>
    <t>239-21</t>
  </si>
  <si>
    <t>241-21</t>
  </si>
  <si>
    <t>238-21</t>
  </si>
  <si>
    <t>243-21</t>
  </si>
  <si>
    <t>240-21</t>
  </si>
  <si>
    <t>76-21</t>
  </si>
  <si>
    <t>245-21</t>
  </si>
  <si>
    <t>307-21</t>
  </si>
  <si>
    <t>244-21</t>
  </si>
  <si>
    <t>309-21</t>
  </si>
  <si>
    <t>311-21</t>
  </si>
  <si>
    <t>313-21</t>
  </si>
  <si>
    <t>clear-night</t>
  </si>
  <si>
    <t>204:232957</t>
  </si>
  <si>
    <t>204:457</t>
  </si>
  <si>
    <t>204:233274</t>
  </si>
  <si>
    <t>204:232980</t>
  </si>
  <si>
    <t>204:469</t>
  </si>
  <si>
    <t>204:233270</t>
  </si>
  <si>
    <t>204:232936</t>
  </si>
  <si>
    <t>204:867</t>
  </si>
  <si>
    <t>204:233317</t>
  </si>
  <si>
    <t>204:489</t>
  </si>
  <si>
    <t>204:233340</t>
  </si>
  <si>
    <t>204:233307</t>
  </si>
  <si>
    <t>204:233312</t>
  </si>
  <si>
    <t>204:167</t>
  </si>
  <si>
    <t>204:233268</t>
  </si>
  <si>
    <t>204:334</t>
  </si>
  <si>
    <t>204:233300</t>
  </si>
  <si>
    <t>204:232975</t>
  </si>
  <si>
    <t>204:233283</t>
  </si>
  <si>
    <t>204:233309</t>
  </si>
  <si>
    <t>204:232968</t>
  </si>
  <si>
    <t>204:621</t>
  </si>
  <si>
    <t>204:161</t>
  </si>
  <si>
    <t>204:233359</t>
  </si>
  <si>
    <t>204:233044</t>
  </si>
  <si>
    <t>204:233325</t>
  </si>
  <si>
    <t>204:233040</t>
  </si>
  <si>
    <t>204:233286</t>
  </si>
  <si>
    <t>204:233331</t>
  </si>
  <si>
    <t>204:90</t>
  </si>
  <si>
    <t>204:233366</t>
  </si>
  <si>
    <t>204:129</t>
  </si>
  <si>
    <t>204:176</t>
  </si>
  <si>
    <t>204:125</t>
  </si>
  <si>
    <t>204:189</t>
  </si>
  <si>
    <t>204:391</t>
  </si>
  <si>
    <t>204:233357</t>
  </si>
  <si>
    <t>204:233400</t>
  </si>
  <si>
    <t>204:233106</t>
  </si>
  <si>
    <t>204:233395</t>
  </si>
  <si>
    <t>204:233096</t>
  </si>
  <si>
    <t>204:508</t>
  </si>
  <si>
    <t>204:426</t>
  </si>
  <si>
    <t>204:127</t>
  </si>
  <si>
    <t>204:232979</t>
  </si>
  <si>
    <t>204:233289</t>
  </si>
  <si>
    <t>204:233076</t>
  </si>
  <si>
    <t>204:37193</t>
  </si>
  <si>
    <t>204:38887</t>
  </si>
  <si>
    <t>204:64730</t>
  </si>
  <si>
    <t>204:233347</t>
  </si>
  <si>
    <t>204:233045</t>
  </si>
  <si>
    <t>204:422</t>
  </si>
  <si>
    <t>204:192</t>
  </si>
  <si>
    <t>204:233008</t>
  </si>
  <si>
    <t>204:233055</t>
  </si>
  <si>
    <t>204:119</t>
  </si>
  <si>
    <t>204:233453</t>
  </si>
  <si>
    <t>204:233130</t>
  </si>
  <si>
    <t>204:486</t>
  </si>
  <si>
    <t>204:498</t>
  </si>
  <si>
    <t>204:86350</t>
  </si>
  <si>
    <t>204:86224</t>
  </si>
  <si>
    <t>204:232977</t>
  </si>
  <si>
    <t>204:233266</t>
  </si>
  <si>
    <t>204:232951</t>
  </si>
  <si>
    <t>204:127412</t>
  </si>
  <si>
    <t>204:180</t>
  </si>
  <si>
    <t>204:433</t>
  </si>
  <si>
    <t>204:13720</t>
  </si>
  <si>
    <t>204:166</t>
  </si>
  <si>
    <t>204:232970</t>
  </si>
  <si>
    <t>300:23652</t>
  </si>
  <si>
    <t>300:23316</t>
  </si>
  <si>
    <t>300:19669</t>
  </si>
  <si>
    <t>300:23404</t>
  </si>
  <si>
    <t>300:23306</t>
  </si>
  <si>
    <t>300:23322</t>
  </si>
  <si>
    <t>300:23355</t>
  </si>
  <si>
    <t>300:23572</t>
  </si>
  <si>
    <t>300:23730</t>
  </si>
  <si>
    <t>204:668</t>
  </si>
  <si>
    <t>204:1156</t>
  </si>
  <si>
    <t>300:23312</t>
  </si>
  <si>
    <t>300:22440</t>
  </si>
  <si>
    <t>204:1473</t>
  </si>
  <si>
    <t>204:3566</t>
  </si>
  <si>
    <t>204:1184</t>
  </si>
  <si>
    <t>204:1192</t>
  </si>
  <si>
    <t>204:3241</t>
  </si>
  <si>
    <t>204:1165</t>
  </si>
  <si>
    <t>204:1484</t>
  </si>
  <si>
    <t>204:3530</t>
  </si>
  <si>
    <t>204:4298</t>
  </si>
  <si>
    <t>204:3214</t>
  </si>
  <si>
    <t>204:1454</t>
  </si>
  <si>
    <t>300:23228</t>
  </si>
  <si>
    <t>204:1904</t>
  </si>
  <si>
    <t>204:1158</t>
  </si>
  <si>
    <t>204:2783</t>
  </si>
  <si>
    <t>204:2757</t>
  </si>
  <si>
    <t>204:3475</t>
  </si>
  <si>
    <t>204:3279</t>
  </si>
  <si>
    <t>204:1154</t>
  </si>
  <si>
    <t>204:311</t>
  </si>
  <si>
    <t>204:329</t>
  </si>
  <si>
    <t>204:3598</t>
  </si>
  <si>
    <t>204:666</t>
  </si>
  <si>
    <t>204:969</t>
  </si>
  <si>
    <t>300:58625</t>
  </si>
  <si>
    <t>204:705</t>
  </si>
  <si>
    <t>204:941</t>
  </si>
  <si>
    <t>300:58973</t>
  </si>
  <si>
    <t>300:58651</t>
  </si>
  <si>
    <t>204:976</t>
  </si>
  <si>
    <t>300:58928</t>
  </si>
  <si>
    <t>300:58617</t>
  </si>
  <si>
    <t>300:58965</t>
  </si>
  <si>
    <t>300:58656</t>
  </si>
  <si>
    <t>204:122</t>
  </si>
  <si>
    <t>300:58963</t>
  </si>
  <si>
    <t>300:58643</t>
  </si>
  <si>
    <t>204:712</t>
  </si>
  <si>
    <t>300:58976</t>
  </si>
  <si>
    <t>300:58666</t>
  </si>
  <si>
    <t>204:680</t>
  </si>
  <si>
    <t>300:58655</t>
  </si>
  <si>
    <t>204:755</t>
  </si>
  <si>
    <t>204:1062</t>
  </si>
  <si>
    <t>300:58967</t>
  </si>
  <si>
    <t>300:58640</t>
  </si>
  <si>
    <t>204:689</t>
  </si>
  <si>
    <t>204:958</t>
  </si>
  <si>
    <t>300:58988</t>
  </si>
  <si>
    <t>300:58670</t>
  </si>
  <si>
    <t>204:960</t>
  </si>
  <si>
    <t>300:58649</t>
  </si>
  <si>
    <t>204:670</t>
  </si>
  <si>
    <t>204:967</t>
  </si>
  <si>
    <t>204:1477</t>
  </si>
  <si>
    <t>300:58952</t>
  </si>
  <si>
    <t>204:745</t>
  </si>
  <si>
    <t>204:390</t>
  </si>
  <si>
    <t>300:58926</t>
  </si>
  <si>
    <t>300:58583</t>
  </si>
  <si>
    <t>204:1025</t>
  </si>
  <si>
    <t>204:727</t>
  </si>
  <si>
    <t>300:58954</t>
  </si>
  <si>
    <t>204:661</t>
  </si>
  <si>
    <t>300:58958</t>
  </si>
  <si>
    <t>204:946</t>
  </si>
  <si>
    <t>300:58929</t>
  </si>
  <si>
    <t>300:58636</t>
  </si>
  <si>
    <t>204:983</t>
  </si>
  <si>
    <t>300:58704</t>
  </si>
  <si>
    <t>204:999</t>
  </si>
  <si>
    <t>300:30235</t>
  </si>
  <si>
    <t>300:58946</t>
  </si>
  <si>
    <t>204:421</t>
  </si>
  <si>
    <t>300:28778</t>
  </si>
  <si>
    <t>start /low /b %USERPROFILE%\Documents\GitHub\eaglep3\Utilities\DownloadLogsFromS3.py --loco 4026 --day 2017-07-21</t>
  </si>
  <si>
    <t>start /low /b %USERPROFILE%\Documents\GitHub\eaglep3\Utilities\DownloadLogsFromS3.py --loco 4031 --day 2017-07-21</t>
  </si>
  <si>
    <t>start /low /b %USERPROFILE%\Documents\GitHub\eaglep3\Utilities\DownloadLogsFromS3.py --loco 4052 --day 2017-07-21</t>
  </si>
  <si>
    <t>start /low /b %USERPROFILE%\Documents\GitHub\eaglep3\Utilities\DownloadLogsFromS3.py --loco 4049 --day 2017-07-21</t>
  </si>
  <si>
    <t>start /low /b %USERPROFILE%\Documents\GitHub\eaglep3\Utilities\DownloadLogsFromS3.py --loco 4027 --day 2017-07-21</t>
  </si>
  <si>
    <t>start /low /b %USERPROFILE%\Documents\GitHub\eaglep3\Utilities\DownloadLogsFromS3.py --loco 4057 --day 2017-07-21</t>
  </si>
  <si>
    <t>start /low /b %USERPROFILE%\Documents\GitHub\eaglep3\Utilities\DownloadLogsFromS3.py --loco 4030 --day 2017-07-22</t>
  </si>
  <si>
    <t>start /low /b %USERPROFILE%\Documents\GitHub\eaglep3\Utilities\DownloadLogsFromS3.py --loco 4029 --day 2017-07-21</t>
  </si>
  <si>
    <t>start /low /b %USERPROFILE%\Documents\GitHub\eaglep3\Utilities\DownloadLogsFromS3.py --loco 4058 --day 2017-07-22</t>
  </si>
  <si>
    <t>start /low /b %USERPROFILE%\Documents\GitHub\eaglep3\Utilities\DownloadLogsFromS3.py --loco 4050 --day 2017-07-21</t>
  </si>
  <si>
    <t>start /low /b %USERPROFILE%\Documents\GitHub\eaglep3\Utilities\DownloadLogsFromS3.py --loco 4045 --day 2017-07-22</t>
  </si>
  <si>
    <t>start /low /b %USERPROFILE%\Documents\GitHub\eaglep3\Utilities\DownloadLogsFromS3.py --loco 4023 --day 2017-07-22</t>
  </si>
  <si>
    <t>start /low /b %USERPROFILE%\Documents\GitHub\eaglep3\Utilities\DownloadLogsFromS3.py --loco 4053 --day 2017-07-21</t>
  </si>
  <si>
    <t>start /low /b %USERPROFILE%\Documents\GitHub\eaglep3\Utilities\DownloadLogsFromS3.py --loco 4025 --day 2017-07-21</t>
  </si>
  <si>
    <t>start /low /b %USERPROFILE%\Documents\GitHub\eaglep3\Utilities\DownloadLogsFromS3.py --loco 4030 --day 2017-07-21</t>
  </si>
  <si>
    <t>start /low /b %USERPROFILE%\Documents\GitHub\eaglep3\Utilities\DownloadLogsFromS3.py --loco 4005 --day 2017-07-21</t>
  </si>
  <si>
    <t>start /low /b %USERPROFILE%\Documents\GitHub\eaglep3\Utilities\DownloadLogsFromS3.py --loco 4005 --day 2017-07-22</t>
  </si>
  <si>
    <t>start /low /b %USERPROFILE%\Documents\GitHub\eaglep3\Utilities\DownloadLogsFromS3.py --loco 4006 --day 2017-07-22</t>
  </si>
  <si>
    <t>Onboard in-route failure, then enforced for mid-block init</t>
  </si>
  <si>
    <t>Re-init due to accidental emergency</t>
  </si>
  <si>
    <t>Onboard in-route failure</t>
  </si>
  <si>
    <t>Wi-MAX data drop</t>
  </si>
  <si>
    <t>Overspeed</t>
  </si>
  <si>
    <t>STOP aspect</t>
  </si>
  <si>
    <t>RESTRICTING aspect</t>
  </si>
  <si>
    <t>117-21</t>
  </si>
  <si>
    <t>Logs for CPU's 2 and 3 missing, presume onboard in-route failure due to only 1 slice being available</t>
  </si>
  <si>
    <t>Cancelled while 4027/4028 taken in for service</t>
  </si>
  <si>
    <t>Did not init - did not perform departure test</t>
  </si>
  <si>
    <t>242-21</t>
  </si>
  <si>
    <t>PERKINS DARREN</t>
  </si>
  <si>
    <t>Minor onboard in-route failure caused momentary screen blackout</t>
  </si>
  <si>
    <t>Onboard in-route failure; missing connector on TMC J4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</si>
</sst>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topLeftCell="A115" workbookViewId="0">
      <selection activeCell="AF133" sqref="AF13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145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COUNTIFS($N$13:$N$9316,"&gt;0",$AG$13:$AG$9316,I1)</f>
        <v>140</v>
      </c>
      <c r="K5" s="39"/>
      <c r="L5" s="39"/>
      <c r="M5" s="40">
        <f>AVERAGEIFS($N$13:$N$9316,$AG$13:$AG$9316,I1)</f>
        <v>37.922619048098568</v>
      </c>
      <c r="N5" s="38">
        <f t="array" ref="N5">MIN(IF($AG$13:$AG$9316=I1,IF(ISNUMBER($N$13:$N$9316),IF($N$13:$N$9316&gt;0,$N$13:$N$9316))))</f>
        <v>33.516666674986482</v>
      </c>
      <c r="O5" s="3">
        <f t="array" ref="O5">MAX(IF($AG$13:$AG$9316=I1,IF(ISNUMBER($N$13:$N$9316),IF($N$13:$N$9316&gt;0,$N$13:$N$9316))))</f>
        <v>49.083333344897255</v>
      </c>
      <c r="P5" s="2"/>
      <c r="R5" s="166" t="s">
        <v>17</v>
      </c>
      <c r="S5" s="186">
        <f>COUNTIFS($N$13:$N$9316,"&gt;0",$AG$13:$AG$9316,R1)</f>
        <v>47</v>
      </c>
      <c r="T5" s="187"/>
      <c r="U5" s="187"/>
      <c r="V5" s="183">
        <f>AVERAGEIFS($N$13:$N$9316,$AG$13:$AG$9316,R1)</f>
        <v>14.890425532233921</v>
      </c>
      <c r="W5" s="184">
        <f t="array" ref="W5">MIN(IF($AG$13:$AG$9316=R1,IF(ISNUMBER($N$13:$N$9316),IF($N$13:$N$9316&gt;0,$N$13:$N$9316))))</f>
        <v>12.949999999254942</v>
      </c>
      <c r="X5" s="185">
        <f t="array" ref="X5">MAX(IF($AG$13:$AG$9316=R1,IF(ISNUMBER($N$13:$N$9316),IF($N$13:$N$9316&gt;0,$N$13:$N$9316))))</f>
        <v>18.000000006286427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COUNTIFS($P$13:$P$9316,"&gt;0",$AG$13:$AG$9316,I1)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COUNTIFS($P$13:$P$9316,"&gt;0",$AG$13:$AG$9316,R1)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37.922619048098568</v>
      </c>
      <c r="N8" s="38">
        <f>N5</f>
        <v>33.516666674986482</v>
      </c>
      <c r="O8" s="3">
        <f>O5</f>
        <v>49.083333344897255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14.890425532233921</v>
      </c>
      <c r="W8" s="184">
        <f>W5</f>
        <v>12.949999999254942</v>
      </c>
      <c r="X8" s="185">
        <f>X5</f>
        <v>18.000000006286427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0.96551724137931039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AVERAGE(S13:S96)</f>
        <v>0.98809523809523814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661</v>
      </c>
      <c r="B13" s="7">
        <v>4058</v>
      </c>
      <c r="C13" s="21" t="s">
        <v>198</v>
      </c>
      <c r="D13" s="21" t="s">
        <v>601</v>
      </c>
      <c r="E13" s="13">
        <v>42937.123344907406</v>
      </c>
      <c r="F13" s="13">
        <v>42937.135937500003</v>
      </c>
      <c r="G13" s="7">
        <v>1</v>
      </c>
      <c r="H13" s="21" t="s">
        <v>415</v>
      </c>
      <c r="I13" s="13">
        <v>42937.162210648145</v>
      </c>
      <c r="J13" s="7">
        <v>0</v>
      </c>
      <c r="K13" s="89" t="str">
        <f t="shared" ref="K13:K76" si="0">IF(ISEVEN(B13),(B13-1)&amp;"/"&amp;B13,B13&amp;"/"&amp;(B13+1))</f>
        <v>4057/4058</v>
      </c>
      <c r="L13" s="21" t="str">
        <f>VLOOKUP(A13,'Trips&amp;Operators'!$C$1:$G$99999,5,FALSE)</f>
        <v>STARKS ANGELINA</v>
      </c>
      <c r="M13" s="6">
        <f t="shared" ref="M13:M76" si="1">I13-F13</f>
        <v>2.6273148141626734E-2</v>
      </c>
      <c r="N13" s="7">
        <f t="shared" ref="N13:N28" si="2">24*60*SUM($M13:$M13)</f>
        <v>37.833333323942497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-21T01:57:37-0600',mode:absolute,to:'2017-07-21T04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197" t="str">
        <f>IF(AA13&lt;VLOOKUP(AG13,Variables!$AC$3:$AD$8,2,FALSE),"Y","N")</f>
        <v>N</v>
      </c>
      <c r="X13" s="197" t="e">
        <f t="shared" ref="X13:X28" si="6">VALUE(LEFT(AD13,4))-VALUE(LEFT(AD12,4))</f>
        <v>#VALUE!</v>
      </c>
      <c r="Y13" s="197">
        <f t="shared" ref="Y13:Y28" si="7">RIGHT(D13,LEN(D13)-4)/10000</f>
        <v>7.0599999999999996E-2</v>
      </c>
      <c r="Z13" s="197">
        <f t="shared" ref="Z13:Z28" si="8">RIGHT(H13,LEN(H13)-4)/10000</f>
        <v>23.329699999999999</v>
      </c>
      <c r="AA13" s="197">
        <f t="shared" ref="AA13:AA76" si="9">ABS(Z13-Y13)</f>
        <v>23.2591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/stypes="app*4058*20170721*"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4058 --swversion DE.1.0.9.0 --startMP 204:706 --initTime 2017-07-21T02:57:37 --startdatetime 2017-07-21T03:15:45 --delay 1 --endMP 204:233297 --enddatetime 2017-07-21T03:53:35 --enforcementcount 0 &gt;&gt;C:\Users\stu\Documents\GitHub\eaglep3-reporting\EC\2017-07-21-refined-times.txt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{"issue":{"subject":"","project_id":79,"tracker_id":40,"status_id":1,"priority_id":2,"assigned_to_id":23,"start_date":"2017-07-21","description":"","custom_fields":[{"id":1,"name":"Subdivision","value":"EC"},{"id":4,"name":"Milepost","value":"23.3297"},{"id":17,"name":"Train ID","value":"101-21"},{"id":16,"name":"Locomotive ID","value":"4058"},{"id":130,"name":"Impact","value":""},{"id":150,"name":"Time of Event (Mountain Time)","value":"03:53:35"},{"id":151,"name":"Denver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4058 --day 2017-07-21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09:53:35"},{"id":29,"name":"Sharepoint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620</v>
      </c>
      <c r="B14" s="7">
        <v>4057</v>
      </c>
      <c r="C14" s="21" t="s">
        <v>198</v>
      </c>
      <c r="D14" s="21" t="s">
        <v>866</v>
      </c>
      <c r="E14" s="13">
        <v>42937.17324074074</v>
      </c>
      <c r="F14" s="13">
        <v>42937.175196759257</v>
      </c>
      <c r="G14" s="7">
        <v>1</v>
      </c>
      <c r="H14" s="21" t="s">
        <v>348</v>
      </c>
      <c r="I14" s="13">
        <v>42937.204317129632</v>
      </c>
      <c r="J14" s="7">
        <v>0</v>
      </c>
      <c r="K14" s="89" t="str">
        <f t="shared" si="0"/>
        <v>4057/4058</v>
      </c>
      <c r="L14" s="21" t="str">
        <f>VLOOKUP(A14,'Trips&amp;Operators'!$C$1:$G$99999,5,FALSE)</f>
        <v>STARKS ANGELINA</v>
      </c>
      <c r="M14" s="6">
        <f t="shared" si="1"/>
        <v>2.9120370374585036E-2</v>
      </c>
      <c r="N14" s="7">
        <f t="shared" si="2"/>
        <v>41.933333339402452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-21T03:09:28-0600',mode:absolute,to:'2017-07-21T05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23.2957</v>
      </c>
      <c r="Z14" s="197">
        <f t="shared" si="8"/>
        <v>1.3899999999999999E-2</v>
      </c>
      <c r="AA14" s="197">
        <f t="shared" si="9"/>
        <v>23.2818</v>
      </c>
      <c r="AB14" s="54" t="str">
        <f>VLOOKUP(A14,Enforcements!$C$7:$K$13,8,0)</f>
        <v>Bulletin (2)</v>
      </c>
      <c r="AC14" s="51" t="str">
        <f>VLOOKUP(A14,Enforcements!$C$7:$E$13,3,0)</f>
        <v>GRADE CROSSING</v>
      </c>
      <c r="AD14" s="206">
        <f t="shared" si="10"/>
        <v>102</v>
      </c>
      <c r="AE14" s="77" t="str">
        <f t="shared" si="1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14" s="74" t="str">
        <f t="shared" si="12"/>
        <v>"C:\Program Files (x86)\AstroGrep\AstroGrep.exe" /e /r /s /spath="%USERPROFILE%\AppData\Local\Temp\OnboardLogs" /stypes="app*4057*20170721*"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4057 --swversion DE.1.0.9.0 --startMP 204:232957 --initTime 2017-07-21T04:09:28 --startdatetime 2017-07-21T04:12:17 --delay 1 --endMP 204:139 --enddatetime 2017-07-21T04:54:13 --enforcementcount 0 &gt;&gt;C:\Users\stu\Documents\GitHub\eaglep3-reporting\EC\2017-07-21-refined-times.txt</v>
      </c>
      <c r="AI14" s="96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{"issue":{"subject":"","project_id":79,"tracker_id":40,"status_id":1,"priority_id":2,"assigned_to_id":23,"start_date":"2017-07-21","description":"","custom_fields":[{"id":1,"name":"Subdivision","value":"EC"},{"id":4,"name":"Milepost","value":"0.0139"},{"id":17,"name":"Train ID","value":"102-21"},{"id":16,"name":"Locomotive ID","value":"4057"},{"id":130,"name":"Impact","value":""},{"id":150,"name":"Time of Event (Mountain Time)","value":"04:54:13"},{"id":151,"name":"Denver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0">"start /low /b "&amp;dls3logs&amp;" --loco "&amp;B14&amp;" --day "&amp;TEXT(F14,"YYYY-MM-DD")</f>
        <v>start /low /b %USERPROFILE%\Documents\GitHub\eaglep3\Utilities\DownloadLogsFromS3.py --loco 4057 --day 2017-07-21</v>
      </c>
      <c r="AN14" s="151" t="str">
        <f t="shared" ref="AN14:AN78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665</v>
      </c>
      <c r="B15" s="7">
        <v>4054</v>
      </c>
      <c r="C15" s="21" t="s">
        <v>198</v>
      </c>
      <c r="D15" s="21" t="s">
        <v>867</v>
      </c>
      <c r="E15" s="13">
        <v>42937.149004629631</v>
      </c>
      <c r="F15" s="13">
        <v>42937.156435185185</v>
      </c>
      <c r="G15" s="7">
        <v>1</v>
      </c>
      <c r="H15" s="21" t="s">
        <v>868</v>
      </c>
      <c r="I15" s="13">
        <v>42937.184467592589</v>
      </c>
      <c r="J15" s="7">
        <v>0</v>
      </c>
      <c r="K15" s="89" t="str">
        <f t="shared" si="0"/>
        <v>4053/4054</v>
      </c>
      <c r="L15" s="21" t="str">
        <f>VLOOKUP(A15,'Trips&amp;Operators'!$C$1:$G$99999,5,FALSE)</f>
        <v>WILLIAMS DONTE</v>
      </c>
      <c r="M15" s="6">
        <f t="shared" si="1"/>
        <v>2.8032407404680271E-2</v>
      </c>
      <c r="N15" s="7">
        <f t="shared" si="2"/>
        <v>40.36666666273959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-21T02:34:34-0600',mode:absolute,to:'2017-07-21T05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4.5699999999999998E-2</v>
      </c>
      <c r="Z15" s="197">
        <f t="shared" si="8"/>
        <v>23.327400000000001</v>
      </c>
      <c r="AA15" s="197">
        <f t="shared" si="9"/>
        <v>23.281700000000001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15" s="74" t="str">
        <f t="shared" si="12"/>
        <v>"C:\Program Files (x86)\AstroGrep\AstroGrep.exe" /e /r /s /spath="%USERPROFILE%\AppData\Local\Temp\OnboardLogs" /stypes="app*4054*20170721*"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103-21 --locoid 4054 --swversion DE.1.0.9.0 --startMP 204:457 --initTime 2017-07-21T03:34:34 --startdatetime 2017-07-21T03:45:16 --delay 1 --endMP 204:233274 --enddatetime 2017-07-21T04:25:38 --enforcementcount 0 &gt;&gt;C:\Users\stu\Documents\GitHub\eaglep3-reporting\EC\2017-07-21-refined-times.txt</v>
      </c>
      <c r="AI1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{"issue":{"subject":"","project_id":79,"tracker_id":40,"status_id":1,"priority_id":2,"assigned_to_id":23,"start_date":"2017-07-21","description":"","custom_fields":[{"id":1,"name":"Subdivision","value":"EC"},{"id":4,"name":"Milepost","value":"23.3274"},{"id":17,"name":"Train ID","value":"103-21"},{"id":16,"name":"Locomotive ID","value":"4054"},{"id":130,"name":"Impact","value":""},{"id":150,"name":"Time of Event (Mountain Time)","value":"04:25:38"},{"id":151,"name":"Denver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4054 --day 2017-07-21</v>
      </c>
      <c r="AN1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673</v>
      </c>
      <c r="B16" s="7">
        <v>4053</v>
      </c>
      <c r="C16" s="21" t="s">
        <v>198</v>
      </c>
      <c r="D16" s="21" t="s">
        <v>572</v>
      </c>
      <c r="E16" s="13">
        <v>42937.187881944446</v>
      </c>
      <c r="F16" s="13">
        <v>42937.196006944447</v>
      </c>
      <c r="G16" s="7">
        <v>1</v>
      </c>
      <c r="H16" s="21" t="s">
        <v>348</v>
      </c>
      <c r="I16" s="13">
        <v>42937.224629629629</v>
      </c>
      <c r="J16" s="7">
        <v>0</v>
      </c>
      <c r="K16" s="89" t="str">
        <f t="shared" si="0"/>
        <v>4053/4054</v>
      </c>
      <c r="L16" s="21" t="str">
        <f>VLOOKUP(A16,'Trips&amp;Operators'!$C$1:$G$99999,5,FALSE)</f>
        <v>WILLIAMS DONTE</v>
      </c>
      <c r="M16" s="6">
        <f t="shared" si="1"/>
        <v>2.8622685182199348E-2</v>
      </c>
      <c r="N16" s="7">
        <f t="shared" si="2"/>
        <v>41.216666662367061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-21T03:30:33-0600',mode:absolute,to:'2017-07-21T06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23.2986</v>
      </c>
      <c r="Z16" s="197">
        <f t="shared" si="8"/>
        <v>1.3899999999999999E-2</v>
      </c>
      <c r="AA16" s="197">
        <f t="shared" si="9"/>
        <v>23.284700000000001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16" s="74" t="str">
        <f t="shared" si="12"/>
        <v>"C:\Program Files (x86)\AstroGrep\AstroGrep.exe" /e /r /s /spath="%USERPROFILE%\AppData\Local\Temp\OnboardLogs" /stypes="app*4053*20170721*"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104-21 --locoid 4053 --swversion DE.1.0.9.0 --startMP 204:232986 --initTime 2017-07-21T04:30:33 --startdatetime 2017-07-21T04:42:15 --delay 1 --endMP 204:139 --enddatetime 2017-07-21T05:23:28 --enforcementcount 0 &gt;&gt;C:\Users\stu\Documents\GitHub\eaglep3-reporting\EC\2017-07-21-refined-times.txt</v>
      </c>
      <c r="AI1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{"issue":{"subject":"","project_id":79,"tracker_id":40,"status_id":1,"priority_id":2,"assigned_to_id":23,"start_date":"2017-07-21","description":"","custom_fields":[{"id":1,"name":"Subdivision","value":"EC"},{"id":4,"name":"Milepost","value":"0.0139"},{"id":17,"name":"Train ID","value":"104-21"},{"id":16,"name":"Locomotive ID","value":"4053"},{"id":130,"name":"Impact","value":""},{"id":150,"name":"Time of Event (Mountain Time)","value":"05:23:28"},{"id":151,"name":"Denver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4053 --day 2017-07-21</v>
      </c>
      <c r="AN1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668</v>
      </c>
      <c r="B17" s="7">
        <v>4030</v>
      </c>
      <c r="C17" s="21" t="s">
        <v>198</v>
      </c>
      <c r="D17" s="21" t="s">
        <v>347</v>
      </c>
      <c r="E17" s="13">
        <v>42937.171747685185</v>
      </c>
      <c r="F17" s="13">
        <v>42937.177615740744</v>
      </c>
      <c r="G17" s="7">
        <v>1</v>
      </c>
      <c r="H17" s="21" t="s">
        <v>513</v>
      </c>
      <c r="I17" s="13">
        <v>42937.202997685185</v>
      </c>
      <c r="J17" s="7">
        <v>0</v>
      </c>
      <c r="K17" s="89" t="str">
        <f t="shared" si="0"/>
        <v>4029/4030</v>
      </c>
      <c r="L17" s="21" t="str">
        <f>VLOOKUP(A17,'Trips&amp;Operators'!$C$1:$G$99999,5,FALSE)</f>
        <v>PAGE MARCUS</v>
      </c>
      <c r="M17" s="6">
        <f t="shared" si="1"/>
        <v>2.5381944440596271E-2</v>
      </c>
      <c r="N17" s="7">
        <f t="shared" si="2"/>
        <v>36.549999994458631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-21T03:07:19-0600',mode:absolute,to:'2017-07-21T05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4.4699999999999997E-2</v>
      </c>
      <c r="Z17" s="197">
        <f t="shared" si="8"/>
        <v>23.329499999999999</v>
      </c>
      <c r="AA17" s="197">
        <f t="shared" si="9"/>
        <v>23.284800000000001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17" s="74" t="str">
        <f t="shared" si="12"/>
        <v>"C:\Program Files (x86)\AstroGrep\AstroGrep.exe" /e /r /s /spath="%USERPROFILE%\AppData\Local\Temp\OnboardLogs" /stypes="app*4030*20170721*"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105-21 --locoid 4030 --swversion DE.1.0.9.0 --startMP 204:447 --initTime 2017-07-21T04:07:19 --startdatetime 2017-07-21T04:15:46 --delay 1 --endMP 204:233295 --enddatetime 2017-07-21T04:52:19 --enforcementcount 0 &gt;&gt;C:\Users\stu\Documents\GitHub\eaglep3-reporting\EC\2017-07-21-refined-times.txt</v>
      </c>
      <c r="AI1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{"issue":{"subject":"","project_id":79,"tracker_id":40,"status_id":1,"priority_id":2,"assigned_to_id":23,"start_date":"2017-07-21","description":"","custom_fields":[{"id":1,"name":"Subdivision","value":"EC"},{"id":4,"name":"Milepost","value":"23.3295"},{"id":17,"name":"Train ID","value":"105-21"},{"id":16,"name":"Locomotive ID","value":"4030"},{"id":130,"name":"Impact","value":""},{"id":150,"name":"Time of Event (Mountain Time)","value":"04:52:19"},{"id":151,"name":"Denver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4030 --day 2017-07-21</v>
      </c>
      <c r="AN1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680</v>
      </c>
      <c r="B18" s="7">
        <v>4029</v>
      </c>
      <c r="C18" s="21" t="s">
        <v>198</v>
      </c>
      <c r="D18" s="21" t="s">
        <v>869</v>
      </c>
      <c r="E18" s="13">
        <v>42937.213206018518</v>
      </c>
      <c r="F18" s="13">
        <v>42937.216828703706</v>
      </c>
      <c r="G18" s="7">
        <v>1</v>
      </c>
      <c r="H18" s="21" t="s">
        <v>378</v>
      </c>
      <c r="I18" s="13">
        <v>42937.242893518516</v>
      </c>
      <c r="J18" s="7">
        <v>0</v>
      </c>
      <c r="K18" s="89" t="str">
        <f t="shared" si="0"/>
        <v>4029/4030</v>
      </c>
      <c r="L18" s="21" t="str">
        <f>VLOOKUP(A18,'Trips&amp;Operators'!$C$1:$G$99999,5,FALSE)</f>
        <v>PAGE MARCUS</v>
      </c>
      <c r="M18" s="6">
        <f t="shared" si="1"/>
        <v>2.6064814810524695E-2</v>
      </c>
      <c r="N18" s="7">
        <f t="shared" si="2"/>
        <v>37.53333332715556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-21T04:07:01-0600',mode:absolute,to:'2017-07-21T06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23.297999999999998</v>
      </c>
      <c r="Z18" s="197">
        <f t="shared" si="8"/>
        <v>1.54E-2</v>
      </c>
      <c r="AA18" s="197">
        <f t="shared" si="9"/>
        <v>23.282599999999999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18" s="74" t="str">
        <f t="shared" si="12"/>
        <v>"C:\Program Files (x86)\AstroGrep\AstroGrep.exe" /e /r /s /spath="%USERPROFILE%\AppData\Local\Temp\OnboardLogs" /stypes="app*4029*20170721*"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106-21 --locoid 4029 --swversion DE.1.0.9.0 --startMP 204:232980 --initTime 2017-07-21T05:07:01 --startdatetime 2017-07-21T05:12:14 --delay 1 --endMP 204:154 --enddatetime 2017-07-21T05:49:46 --enforcementcount 0 &gt;&gt;C:\Users\stu\Documents\GitHub\eaglep3-reporting\EC\2017-07-21-refined-times.txt</v>
      </c>
      <c r="AI1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ID","value":"106-21"},{"id":16,"name":"Locomotive ID","value":"4029"},{"id":130,"name":"Impact","value":""},{"id":150,"name":"Time of Event (Mountain Time)","value":"05:49:46"},{"id":151,"name":"Denver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4029 --day 2017-07-21</v>
      </c>
      <c r="AN1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670</v>
      </c>
      <c r="B19" s="7">
        <v>4046</v>
      </c>
      <c r="C19" s="21" t="s">
        <v>198</v>
      </c>
      <c r="D19" s="21" t="s">
        <v>867</v>
      </c>
      <c r="E19" s="13">
        <v>42937.18346064815</v>
      </c>
      <c r="F19" s="13">
        <v>42937.188032407408</v>
      </c>
      <c r="G19" s="7">
        <v>1</v>
      </c>
      <c r="H19" s="21" t="s">
        <v>514</v>
      </c>
      <c r="I19" s="13">
        <v>42937.213182870371</v>
      </c>
      <c r="J19" s="7">
        <v>0</v>
      </c>
      <c r="K19" s="89" t="str">
        <f t="shared" si="0"/>
        <v>4045/4046</v>
      </c>
      <c r="L19" s="21" t="str">
        <f>VLOOKUP(A19,'Trips&amp;Operators'!$C$1:$G$99999,5,FALSE)</f>
        <v>GEBRETEKLE DAGNEW</v>
      </c>
      <c r="M19" s="6">
        <f t="shared" si="1"/>
        <v>2.5150462963210884E-2</v>
      </c>
      <c r="N19" s="7">
        <f t="shared" si="2"/>
        <v>36.216666667023674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-21T03:24:11-0600',mode:absolute,to:'2017-07-21T06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4.5699999999999998E-2</v>
      </c>
      <c r="Z19" s="197">
        <f t="shared" si="8"/>
        <v>23.331399999999999</v>
      </c>
      <c r="AA19" s="197">
        <f t="shared" si="9"/>
        <v>23.285699999999999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19" s="74" t="str">
        <f t="shared" si="12"/>
        <v>"C:\Program Files (x86)\AstroGrep\AstroGrep.exe" /e /r /s /spath="%USERPROFILE%\AppData\Local\Temp\OnboardLogs" /stypes="app*4046*20170721*"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107-21 --locoid 4046 --swversion DE.1.0.9.0 --startMP 204:457 --initTime 2017-07-21T04:24:11 --startdatetime 2017-07-21T04:30:46 --delay 1 --endMP 204:233314 --enddatetime 2017-07-21T05:06:59 --enforcementcount 0 &gt;&gt;C:\Users\stu\Documents\GitHub\eaglep3-reporting\EC\2017-07-21-refined-times.txt</v>
      </c>
      <c r="AI19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{"issue":{"subject":"","project_id":79,"tracker_id":40,"status_id":1,"priority_id":2,"assigned_to_id":23,"start_date":"2017-07-21","description":"","custom_fields":[{"id":1,"name":"Subdivision","value":"EC"},{"id":4,"name":"Milepost","value":"23.3314"},{"id":17,"name":"Train ID","value":"107-21"},{"id":16,"name":"Locomotive ID","value":"4046"},{"id":130,"name":"Impact","value":""},{"id":150,"name":"Time of Event (Mountain Time)","value":"05:06:59"},{"id":151,"name":"Denver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4046 --day 2017-07-21</v>
      </c>
      <c r="AN19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682</v>
      </c>
      <c r="B20" s="7">
        <v>4045</v>
      </c>
      <c r="C20" s="21" t="s">
        <v>198</v>
      </c>
      <c r="D20" s="21" t="s">
        <v>464</v>
      </c>
      <c r="E20" s="13">
        <v>42937.215127314812</v>
      </c>
      <c r="F20" s="13">
        <v>42937.227407407408</v>
      </c>
      <c r="G20" s="7">
        <v>2</v>
      </c>
      <c r="H20" s="21" t="s">
        <v>459</v>
      </c>
      <c r="I20" s="13">
        <v>42937.254108796296</v>
      </c>
      <c r="J20" s="7">
        <v>0</v>
      </c>
      <c r="K20" s="89" t="str">
        <f t="shared" si="0"/>
        <v>4045/4046</v>
      </c>
      <c r="L20" s="21" t="str">
        <f>VLOOKUP(A20,'Trips&amp;Operators'!$C$1:$G$99999,5,FALSE)</f>
        <v>ANDERS STEVEN</v>
      </c>
      <c r="M20" s="6">
        <f t="shared" si="1"/>
        <v>2.6701388887886424E-2</v>
      </c>
      <c r="N20" s="7">
        <f t="shared" si="2"/>
        <v>38.44999999855645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-21T04:09:47-0600',mode:absolute,to:'2017-07-21T07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23.299399999999999</v>
      </c>
      <c r="Z20" s="197">
        <f t="shared" si="8"/>
        <v>1.5800000000000002E-2</v>
      </c>
      <c r="AA20" s="197">
        <f t="shared" si="9"/>
        <v>23.2836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20" s="74" t="str">
        <f t="shared" si="12"/>
        <v>"C:\Program Files (x86)\AstroGrep\AstroGrep.exe" /e /r /s /spath="%USERPROFILE%\AppData\Local\Temp\OnboardLogs" /stypes="app*4045*20170721*"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108-21 --locoid 4045 --swversion DE.1.0.9.0 --startMP 204:232994 --initTime 2017-07-21T05:09:47 --startdatetime 2017-07-21T05:27:28 --delay 2 --endMP 204:158 --enddatetime 2017-07-21T06:05:55 --enforcementcount 0 &gt;&gt;C:\Users\stu\Documents\GitHub\eaglep3-reporting\EC\2017-07-21-refined-times.txt</v>
      </c>
      <c r="AI20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{"issue":{"subject":"","project_id":79,"tracker_id":40,"status_id":1,"priority_id":2,"assigned_to_id":23,"start_date":"2017-07-21","description":"","custom_fields":[{"id":1,"name":"Subdivision","value":"EC"},{"id":4,"name":"Milepost","value":"0.0158"},{"id":17,"name":"Train ID","value":"108-21"},{"id":16,"name":"Locomotive ID","value":"4045"},{"id":130,"name":"Impact","value":""},{"id":150,"name":"Time of Event (Mountain Time)","value":"06:05:55"},{"id":151,"name":"Denver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4045 --day 2017-07-21</v>
      </c>
      <c r="AN20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4050</v>
      </c>
      <c r="C21" s="21" t="s">
        <v>198</v>
      </c>
      <c r="D21" s="21" t="s">
        <v>870</v>
      </c>
      <c r="E21" s="13">
        <v>42937.192430555559</v>
      </c>
      <c r="F21" s="13">
        <v>42937.198460648149</v>
      </c>
      <c r="G21" s="7">
        <v>1</v>
      </c>
      <c r="H21" s="21" t="s">
        <v>580</v>
      </c>
      <c r="I21" s="13">
        <v>42937.224143518521</v>
      </c>
      <c r="J21" s="7">
        <v>0</v>
      </c>
      <c r="K21" s="89" t="str">
        <f t="shared" si="0"/>
        <v>4049/4050</v>
      </c>
      <c r="L21" s="21" t="str">
        <f>VLOOKUP(A21,'Trips&amp;Operators'!$C$1:$G$99999,5,FALSE)</f>
        <v>DAVIS WENDY</v>
      </c>
      <c r="M21" s="6">
        <f t="shared" si="1"/>
        <v>2.5682870371383615E-2</v>
      </c>
      <c r="N21" s="7">
        <f t="shared" si="2"/>
        <v>36.983333334792405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-21T03:37:06-0600',mode:absolute,to:'2017-07-21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4.6899999999999997E-2</v>
      </c>
      <c r="Z21" s="197">
        <f t="shared" si="8"/>
        <v>23.3324</v>
      </c>
      <c r="AA21" s="197">
        <f t="shared" si="9"/>
        <v>23.285499999999999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21" s="74" t="str">
        <f t="shared" si="12"/>
        <v>"C:\Program Files (x86)\AstroGrep\AstroGrep.exe" /e /r /s /spath="%USERPROFILE%\AppData\Local\Temp\OnboardLogs" /stypes="app*4050*20170721*"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109-21 --locoid 4050 --swversion DE.1.0.9.0 --startMP 204:469 --initTime 2017-07-21T04:37:06 --startdatetime 2017-07-21T04:45:47 --delay 1 --endMP 204:233324 --enddatetime 2017-07-21T05:22:46 --enforcementcount 0 &gt;&gt;C:\Users\stu\Documents\GitHub\eaglep3-reporting\EC\2017-07-21-refined-times.txt</v>
      </c>
      <c r="AI21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{"issue":{"subject":"","project_id":79,"tracker_id":40,"status_id":1,"priority_id":2,"assigned_to_id":23,"start_date":"2017-07-21","description":"","custom_fields":[{"id":1,"name":"Subdivision","value":"EC"},{"id":4,"name":"Milepost","value":"23.3324"},{"id":17,"name":"Train ID","value":"109-21"},{"id":16,"name":"Locomotive ID","value":"4050"},{"id":130,"name":"Impact","value":""},{"id":150,"name":"Time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4050 --day 2017-07-21</v>
      </c>
      <c r="AN21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686</v>
      </c>
      <c r="B22" s="7">
        <v>4049</v>
      </c>
      <c r="C22" s="21" t="s">
        <v>198</v>
      </c>
      <c r="D22" s="21" t="s">
        <v>535</v>
      </c>
      <c r="E22" s="13">
        <v>42937.234895833331</v>
      </c>
      <c r="F22" s="13">
        <v>42937.237650462965</v>
      </c>
      <c r="G22" s="7">
        <v>1</v>
      </c>
      <c r="H22" s="21" t="s">
        <v>378</v>
      </c>
      <c r="I22" s="13">
        <v>42937.264780092592</v>
      </c>
      <c r="J22" s="7">
        <v>0</v>
      </c>
      <c r="K22" s="89" t="str">
        <f t="shared" si="0"/>
        <v>4049/4050</v>
      </c>
      <c r="L22" s="21" t="str">
        <f>VLOOKUP(A22,'Trips&amp;Operators'!$C$1:$G$99999,5,FALSE)</f>
        <v>DAVIS WENDY</v>
      </c>
      <c r="M22" s="6">
        <f t="shared" si="1"/>
        <v>2.7129629626870155E-2</v>
      </c>
      <c r="N22" s="7">
        <f t="shared" si="2"/>
        <v>39.066666662693024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-21T04:38:15-0600',mode:absolute,to:'2017-07-21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23.299199999999999</v>
      </c>
      <c r="Z22" s="197">
        <f t="shared" si="8"/>
        <v>1.54E-2</v>
      </c>
      <c r="AA22" s="197">
        <f t="shared" si="9"/>
        <v>23.283799999999999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22" s="74" t="str">
        <f t="shared" si="12"/>
        <v>"C:\Program Files (x86)\AstroGrep\AstroGrep.exe" /e /r /s /spath="%USERPROFILE%\AppData\Local\Temp\OnboardLogs" /stypes="app*4049*20170721*"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110-21 --locoid 4049 --swversion DE.1.0.9.0 --startMP 204:232992 --initTime 2017-07-21T05:38:15 --startdatetime 2017-07-21T05:42:13 --delay 1 --endMP 204:154 --enddatetime 2017-07-21T06:21:17 --enforcementcount 0 &gt;&gt;C:\Users\stu\Documents\GitHub\eaglep3-reporting\EC\2017-07-21-refined-times.txt</v>
      </c>
      <c r="AI22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ID","value":"110-21"},{"id":16,"name":"Locomotive ID","value":"4049"},{"id":130,"name":"Impact","value":""},{"id":150,"name":"Time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4049 --day 2017-07-21</v>
      </c>
      <c r="AN22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621</v>
      </c>
      <c r="B23" s="7">
        <v>4058</v>
      </c>
      <c r="C23" s="21" t="s">
        <v>198</v>
      </c>
      <c r="D23" s="21" t="s">
        <v>477</v>
      </c>
      <c r="E23" s="13">
        <v>42937.206446759257</v>
      </c>
      <c r="F23" s="13">
        <v>42937.209247685183</v>
      </c>
      <c r="G23" s="7">
        <v>1</v>
      </c>
      <c r="H23" s="21" t="s">
        <v>871</v>
      </c>
      <c r="I23" s="13">
        <v>42937.233877314815</v>
      </c>
      <c r="J23" s="7">
        <v>0</v>
      </c>
      <c r="K23" s="89" t="str">
        <f t="shared" si="0"/>
        <v>4057/4058</v>
      </c>
      <c r="L23" s="21" t="str">
        <f>VLOOKUP(A23,'Trips&amp;Operators'!$C$1:$G$99999,5,FALSE)</f>
        <v>STARKS ANGELINA</v>
      </c>
      <c r="M23" s="6">
        <f t="shared" si="1"/>
        <v>2.4629629631817807E-2</v>
      </c>
      <c r="N23" s="7">
        <f t="shared" si="2"/>
        <v>35.466666669817641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-21T03:57:17-0600',mode:absolute,to:'2017-07-21T06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4.4900000000000002E-2</v>
      </c>
      <c r="Z23" s="197">
        <f t="shared" si="8"/>
        <v>23.327000000000002</v>
      </c>
      <c r="AA23" s="197">
        <f t="shared" si="9"/>
        <v>23.282100000000003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23" s="74" t="str">
        <f t="shared" si="12"/>
        <v>"C:\Program Files (x86)\AstroGrep\AstroGrep.exe" /e /r /s /spath="%USERPROFILE%\AppData\Local\Temp\OnboardLogs" /stypes="app*4058*20170721*"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111-21 --locoid 4058 --swversion DE.1.0.9.0 --startMP 204:449 --initTime 2017-07-21T04:57:17 --startdatetime 2017-07-21T05:01:19 --delay 1 --endMP 204:233270 --enddatetime 2017-07-21T05:36:47 --enforcementcount 0 &gt;&gt;C:\Users\stu\Documents\GitHub\eaglep3-reporting\EC\2017-07-21-refined-times.txt</v>
      </c>
      <c r="AI23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{"issue":{"subject":"","project_id":79,"tracker_id":40,"status_id":1,"priority_id":2,"assigned_to_id":23,"start_date":"2017-07-21","description":"","custom_fields":[{"id":1,"name":"Subdivision","value":"EC"},{"id":4,"name":"Milepost","value":"23.327"},{"id":17,"name":"Train ID","value":"111-21"},{"id":16,"name":"Locomotive ID","value":"4058"},{"id":130,"name":"Impact","value":""},{"id":150,"name":"Time of Event (Mountain Time)","value":"05:36:47"},{"id":151,"name":"Denver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4058 --day 2017-07-21</v>
      </c>
      <c r="AN23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622</v>
      </c>
      <c r="B24" s="7">
        <v>4057</v>
      </c>
      <c r="C24" s="21" t="s">
        <v>198</v>
      </c>
      <c r="D24" s="21" t="s">
        <v>872</v>
      </c>
      <c r="E24" s="13">
        <v>42937.246493055558</v>
      </c>
      <c r="F24" s="13">
        <v>42937.248194444444</v>
      </c>
      <c r="G24" s="7">
        <v>0</v>
      </c>
      <c r="H24" s="21" t="s">
        <v>873</v>
      </c>
      <c r="I24" s="13">
        <v>42937.274930555555</v>
      </c>
      <c r="J24" s="7">
        <v>0</v>
      </c>
      <c r="K24" s="89" t="str">
        <f t="shared" si="0"/>
        <v>4057/4058</v>
      </c>
      <c r="L24" s="21" t="str">
        <f>VLOOKUP(A24,'Trips&amp;Operators'!$C$1:$G$99999,5,FALSE)</f>
        <v>STARKS ANGELINA</v>
      </c>
      <c r="M24" s="6">
        <f t="shared" si="1"/>
        <v>2.6736111110949423E-2</v>
      </c>
      <c r="N24" s="7">
        <f t="shared" si="2"/>
        <v>38.499999999767169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-21T04:54:57-0600',mode:absolute,to:'2017-07-21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23.293600000000001</v>
      </c>
      <c r="Z24" s="197">
        <f t="shared" si="8"/>
        <v>8.6699999999999999E-2</v>
      </c>
      <c r="AA24" s="197">
        <f t="shared" si="9"/>
        <v>23.206900000000001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24" s="74" t="str">
        <f t="shared" si="12"/>
        <v>"C:\Program Files (x86)\AstroGrep\AstroGrep.exe" /e /r /s /spath="%USERPROFILE%\AppData\Local\Temp\OnboardLogs" /stypes="app*4057*20170721*"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112-21 --locoid 4057 --swversion DE.1.0.9.0 --startMP 204:232936 --initTime 2017-07-21T05:54:57 --startdatetime 2017-07-21T05:57:24 --delay 0 --endMP 204:867 --enddatetime 2017-07-21T06:35:54 --enforcementcount 0 &gt;&gt;C:\Users\stu\Documents\GitHub\eaglep3-reporting\EC\2017-07-21-refined-times.txt</v>
      </c>
      <c r="AI24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{"issue":{"subject":"","project_id":79,"tracker_id":40,"status_id":1,"priority_id":2,"assigned_to_id":23,"start_date":"2017-07-21","description":"","custom_fields":[{"id":1,"name":"Subdivision","value":"EC"},{"id":4,"name":"Milepost","value":"0.0867"},{"id":17,"name":"Train ID","value":"112-21"},{"id":16,"name":"Locomotive ID","value":"4057"},{"id":130,"name":"Impact","value":""},{"id":150,"name":"Time of Event (Mountain Time)","value":"06:35:54"},{"id":151,"name":"Denver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4057 --day 2017-07-21</v>
      </c>
      <c r="AN24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681</v>
      </c>
      <c r="B25" s="7">
        <v>4026</v>
      </c>
      <c r="C25" s="21" t="s">
        <v>198</v>
      </c>
      <c r="D25" s="21" t="s">
        <v>477</v>
      </c>
      <c r="E25" s="13">
        <v>42937.215150462966</v>
      </c>
      <c r="F25" s="13">
        <v>42937.219293981485</v>
      </c>
      <c r="G25" s="7">
        <v>1</v>
      </c>
      <c r="H25" s="21" t="s">
        <v>480</v>
      </c>
      <c r="I25" s="13">
        <v>42937.245833333334</v>
      </c>
      <c r="J25" s="7">
        <v>0</v>
      </c>
      <c r="K25" s="89" t="str">
        <f t="shared" si="0"/>
        <v>4025/4026</v>
      </c>
      <c r="L25" s="21" t="str">
        <f>VLOOKUP(A25,'Trips&amp;Operators'!$C$1:$G$99999,5,FALSE)</f>
        <v>DAVIDSON DAVID</v>
      </c>
      <c r="M25" s="6">
        <f t="shared" si="1"/>
        <v>2.6539351849351078E-2</v>
      </c>
      <c r="N25" s="7">
        <f t="shared" si="2"/>
        <v>38.216666663065553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-21T04:09:49-0600',mode:absolute,to:'2017-07-21T06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4.4900000000000002E-2</v>
      </c>
      <c r="Z25" s="197">
        <f t="shared" si="8"/>
        <v>23.328800000000001</v>
      </c>
      <c r="AA25" s="197">
        <f t="shared" si="9"/>
        <v>23.283900000000003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25" s="74" t="str">
        <f t="shared" si="12"/>
        <v>"C:\Program Files (x86)\AstroGrep\AstroGrep.exe" /e /r /s /spath="%USERPROFILE%\AppData\Local\Temp\OnboardLogs" /stypes="app*4026*20170721*"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113-21 --locoid 4026 --swversion DE.1.0.9.0 --startMP 204:449 --initTime 2017-07-21T05:09:49 --startdatetime 2017-07-21T05:15:47 --delay 1 --endMP 204:233288 --enddatetime 2017-07-21T05:54:00 --enforcementcount 0 &gt;&gt;C:\Users\stu\Documents\GitHub\eaglep3-reporting\EC\2017-07-21-refined-times.txt</v>
      </c>
      <c r="AI2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{"issue":{"subject":"","project_id":79,"tracker_id":40,"status_id":1,"priority_id":2,"assigned_to_id":23,"start_date":"2017-07-21","description":"","custom_fields":[{"id":1,"name":"Subdivision","value":"EC"},{"id":4,"name":"Milepost","value":"23.3288"},{"id":17,"name":"Train ID","value":"113-21"},{"id":16,"name":"Locomotive ID","value":"4026"},{"id":130,"name":"Impact","value":""},{"id":150,"name":"Time of Event (Mountain Time)","value":"05:54:00"},{"id":151,"name":"Denver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4026 --day 2017-07-21</v>
      </c>
      <c r="AN2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689</v>
      </c>
      <c r="B26" s="7">
        <v>4025</v>
      </c>
      <c r="C26" s="21" t="s">
        <v>198</v>
      </c>
      <c r="D26" s="21" t="s">
        <v>421</v>
      </c>
      <c r="E26" s="13">
        <v>42937.246967592589</v>
      </c>
      <c r="F26" s="13">
        <v>42937.258530092593</v>
      </c>
      <c r="G26" s="7">
        <v>1</v>
      </c>
      <c r="H26" s="21" t="s">
        <v>562</v>
      </c>
      <c r="I26" s="13">
        <v>42937.286273148151</v>
      </c>
      <c r="J26" s="7">
        <v>0</v>
      </c>
      <c r="K26" s="89" t="str">
        <f t="shared" si="0"/>
        <v>4025/4026</v>
      </c>
      <c r="L26" s="21" t="str">
        <f>VLOOKUP(A26,'Trips&amp;Operators'!$C$1:$G$99999,5,FALSE)</f>
        <v>DAVIDSON DAVID</v>
      </c>
      <c r="M26" s="6">
        <f t="shared" si="1"/>
        <v>2.7743055557948537E-2</v>
      </c>
      <c r="N26" s="7">
        <f t="shared" si="2"/>
        <v>39.950000003445894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-21T04:55:38-0600',mode:absolute,to:'2017-07-21T07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23.2971</v>
      </c>
      <c r="Z26" s="197">
        <f t="shared" si="8"/>
        <v>1.6299999999999999E-2</v>
      </c>
      <c r="AA26" s="197">
        <f t="shared" si="9"/>
        <v>23.280799999999999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26" s="74" t="str">
        <f t="shared" si="12"/>
        <v>"C:\Program Files (x86)\AstroGrep\AstroGrep.exe" /e /r /s /spath="%USERPROFILE%\AppData\Local\Temp\OnboardLogs" /stypes="app*4025*20170721*"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114-21 --locoid 4025 --swversion DE.1.0.9.0 --startMP 204:232971 --initTime 2017-07-21T05:55:38 --startdatetime 2017-07-21T06:12:17 --delay 1 --endMP 204:163 --enddatetime 2017-07-21T06:52:14 --enforcementcount 0 &gt;&gt;C:\Users\stu\Documents\GitHub\eaglep3-reporting\EC\2017-07-21-refined-times.txt</v>
      </c>
      <c r="AI2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{"issue":{"subject":"","project_id":79,"tracker_id":40,"status_id":1,"priority_id":2,"assigned_to_id":23,"start_date":"2017-07-21","description":"","custom_fields":[{"id":1,"name":"Subdivision","value":"EC"},{"id":4,"name":"Milepost","value":"0.0163"},{"id":17,"name":"Train ID","value":"114-21"},{"id":16,"name":"Locomotive ID","value":"4025"},{"id":130,"name":"Impact","value":""},{"id":150,"name":"Time of Event (Mountain Time)","value":"06:52:14"},{"id":151,"name":"Denver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4025 --day 2017-07-21</v>
      </c>
      <c r="AN2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683</v>
      </c>
      <c r="B27" s="7">
        <v>4054</v>
      </c>
      <c r="C27" s="21" t="s">
        <v>198</v>
      </c>
      <c r="D27" s="21" t="s">
        <v>463</v>
      </c>
      <c r="E27" s="13">
        <v>42937.227303240739</v>
      </c>
      <c r="F27" s="13">
        <v>42937.229421296295</v>
      </c>
      <c r="G27" s="7">
        <v>1</v>
      </c>
      <c r="H27" s="21" t="s">
        <v>871</v>
      </c>
      <c r="I27" s="13">
        <v>42937.255347222221</v>
      </c>
      <c r="J27" s="7">
        <v>0</v>
      </c>
      <c r="K27" s="89" t="str">
        <f t="shared" si="0"/>
        <v>4053/4054</v>
      </c>
      <c r="L27" s="21" t="str">
        <f>VLOOKUP(A27,'Trips&amp;Operators'!$C$1:$G$99999,5,FALSE)</f>
        <v>WILLIAMS DONTE</v>
      </c>
      <c r="M27" s="6">
        <f t="shared" si="1"/>
        <v>2.5925925925548654E-2</v>
      </c>
      <c r="N27" s="7">
        <f t="shared" si="2"/>
        <v>37.333333332790062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-21T04:27:19-0600',mode:absolute,to:'2017-07-21T07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4.4200000000000003E-2</v>
      </c>
      <c r="Z27" s="197">
        <f t="shared" si="8"/>
        <v>23.327000000000002</v>
      </c>
      <c r="AA27" s="197">
        <f t="shared" si="9"/>
        <v>23.282800000000002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27" s="74" t="str">
        <f t="shared" si="12"/>
        <v>"C:\Program Files (x86)\AstroGrep\AstroGrep.exe" /e /r /s /spath="%USERPROFILE%\AppData\Local\Temp\OnboardLogs" /stypes="app*4054*20170721*"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115-21 --locoid 4054 --swversion DE.1.0.9.0 --startMP 204:442 --initTime 2017-07-21T05:27:19 --startdatetime 2017-07-21T05:30:22 --delay 1 --endMP 204:233270 --enddatetime 2017-07-21T06:07:42 --enforcementcount 0 &gt;&gt;C:\Users\stu\Documents\GitHub\eaglep3-reporting\EC\2017-07-21-refined-times.txt</v>
      </c>
      <c r="AI2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{"issue":{"subject":"","project_id":79,"tracker_id":40,"status_id":1,"priority_id":2,"assigned_to_id":23,"start_date":"2017-07-21","description":"","custom_fields":[{"id":1,"name":"Subdivision","value":"EC"},{"id":4,"name":"Milepost","value":"23.327"},{"id":17,"name":"Train ID","value":"115-21"},{"id":16,"name":"Locomotive ID","value":"4054"},{"id":130,"name":"Impact","value":""},{"id":150,"name":"Time of Event (Mountain Time)","value":"06:07:42"},{"id":151,"name":"Denver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4054 --day 2017-07-21</v>
      </c>
      <c r="AN2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623</v>
      </c>
      <c r="B28" s="7">
        <v>4053</v>
      </c>
      <c r="C28" s="21" t="s">
        <v>198</v>
      </c>
      <c r="D28" s="21" t="s">
        <v>530</v>
      </c>
      <c r="E28" s="13">
        <v>42937.258703703701</v>
      </c>
      <c r="F28" s="13">
        <v>42937.268969907411</v>
      </c>
      <c r="G28" s="7">
        <v>1</v>
      </c>
      <c r="H28" s="21" t="s">
        <v>348</v>
      </c>
      <c r="I28" s="13">
        <v>42937.296516203707</v>
      </c>
      <c r="J28" s="7">
        <v>0</v>
      </c>
      <c r="K28" s="89" t="str">
        <f t="shared" si="0"/>
        <v>4053/4054</v>
      </c>
      <c r="L28" s="21" t="str">
        <f>VLOOKUP(A28,'Trips&amp;Operators'!$C$1:$G$99999,5,FALSE)</f>
        <v>WILLIAMS DONTE</v>
      </c>
      <c r="M28" s="6">
        <f t="shared" si="1"/>
        <v>2.7546296296350192E-2</v>
      </c>
      <c r="N28" s="7">
        <f t="shared" si="2"/>
        <v>39.666666666744277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-21T05:12:32-0600',mode:absolute,to:'2017-07-21T08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23.2989</v>
      </c>
      <c r="Z28" s="197">
        <f t="shared" si="8"/>
        <v>1.3899999999999999E-2</v>
      </c>
      <c r="AA28" s="197">
        <f t="shared" si="9"/>
        <v>23.285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28" s="74" t="str">
        <f t="shared" si="12"/>
        <v>"C:\Program Files (x86)\AstroGrep\AstroGrep.exe" /e /r /s /spath="%USERPROFILE%\AppData\Local\Temp\OnboardLogs" /stypes="app*4053*20170721*"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116-21 --locoid 4053 --swversion DE.1.0.9.0 --startMP 204:232989 --initTime 2017-07-21T06:12:32 --startdatetime 2017-07-21T06:27:19 --delay 1 --endMP 204:139 --enddatetime 2017-07-21T07:06:59 --enforcementcount 0 &gt;&gt;C:\Users\stu\Documents\GitHub\eaglep3-reporting\EC\2017-07-21-refined-times.txt</v>
      </c>
      <c r="AI2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{"issue":{"subject":"","project_id":79,"tracker_id":40,"status_id":1,"priority_id":2,"assigned_to_id":23,"start_date":"2017-07-21","description":"","custom_fields":[{"id":1,"name":"Subdivision","value":"EC"},{"id":4,"name":"Milepost","value":"0.0139"},{"id":17,"name":"Train ID","value":"116-21"},{"id":16,"name":"Locomotive ID","value":"4053"},{"id":130,"name":"Impact","value":""},{"id":150,"name":"Time of Event (Mountain Time)","value":"07:06:59"},{"id":151,"name":"Denver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4053 --day 2017-07-21</v>
      </c>
      <c r="AN2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1051</v>
      </c>
      <c r="B29" s="7">
        <v>4028</v>
      </c>
      <c r="C29" s="21" t="s">
        <v>198</v>
      </c>
      <c r="D29" s="21" t="s">
        <v>530</v>
      </c>
      <c r="E29" s="13">
        <v>42937.258703703701</v>
      </c>
      <c r="F29" s="13">
        <v>42937.249305555553</v>
      </c>
      <c r="G29" s="7">
        <v>1</v>
      </c>
      <c r="H29" s="21" t="s">
        <v>348</v>
      </c>
      <c r="I29" s="13">
        <v>42937.25</v>
      </c>
      <c r="J29" s="7">
        <v>0</v>
      </c>
      <c r="K29" s="89" t="str">
        <f t="shared" si="0"/>
        <v>4027/4028</v>
      </c>
      <c r="L29" s="21" t="e">
        <f>VLOOKUP(A29,'Trips&amp;Operators'!$C$1:$G$99999,5,FALSE)</f>
        <v>#N/A</v>
      </c>
      <c r="M29" s="6">
        <f t="shared" si="1"/>
        <v>6.944444467080757E-4</v>
      </c>
      <c r="N29" s="7"/>
      <c r="O29" s="7"/>
      <c r="P29" s="7">
        <f>24*60*SUM($M29:$M29)</f>
        <v>1.000000003259629</v>
      </c>
      <c r="Q29" s="22"/>
      <c r="R29" s="170" t="s">
        <v>1058</v>
      </c>
      <c r="S29" s="213">
        <f t="shared" si="3"/>
        <v>0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-21T05:12:32-0600',mode:absolute,to:'2017-07-21T07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197" t="str">
        <f>IF(AA29&lt;VLOOKUP(AG29,Variables!$AC$3:$AD$8,2,FALSE),"Y","N")</f>
        <v>Y</v>
      </c>
      <c r="X29" s="197">
        <f t="shared" ref="X29:X30" si="22">VALUE(LEFT(AD29,4))-VALUE(LEFT(AD28,4))</f>
        <v>1</v>
      </c>
      <c r="Y29" s="197">
        <v>0</v>
      </c>
      <c r="Z29" s="197">
        <v>0</v>
      </c>
      <c r="AA29" s="197">
        <f t="shared" si="9"/>
        <v>0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 &amp; aws s3 cp s3://rtdc.mdm.uploadarchive.raw/RTDC4028/ "%USERPROFILE%\AppData\Local\Temp\OnboardLogs"\RTDC4028\2017-07-22 --exclude "*" --recursive --include "*20170722*" &amp; "%USERPROFILE%\Documents\GitHub\mrs-test-scripts\Headless Mode &amp; Sideloading\WalkAndUnGZ.bat" "%USERPROFILE%\AppData\Local\Temp\OnboardLogs"\RTDC4028\2017-07-22</v>
      </c>
      <c r="AF29" s="74" t="str">
        <f t="shared" si="12"/>
        <v>"C:\Program Files (x86)\AstroGrep\AstroGrep.exe" /e /r /s /spath="%USERPROFILE%\AppData\Local\Temp\OnboardLogs" /stypes="app*4028*20170721*"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ref="AH29" si="23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117-21 --locoid 4028 --swversion DE.1.0.9.0 --startMP 204:232989 --initTime 2017-07-21T06:12:32 --startdatetime 2017-07-21T05:59:00 --delay 1 --endMP 204:139 --enddatetime 2017-07-21T06:00:00 --enforcementcount 0 &gt;&gt;C:\Users\stu\Documents\GitHub\eaglep3-reporting\EC\2017-07-21-refined-times.txt</v>
      </c>
      <c r="AI29" s="96" t="str">
        <f t="shared" ref="AI29" si="24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{"issue":{"subject":"Onboard in-route failure; missing connector on TMC J4 port","project_id":79,"tracker_id":40,"status_id":1,"priority_id":2,"assigned_to_id":23,"start_date":"2017-07-21","description":"Logs for CPU's 2 and 3 missing, presume onboard in-route failure due to only 1 slice being available","custom_fields":[{"id":1,"name":"Subdivision","value":"EC"},{"id":4,"name":"Milepost","value":"0"},{"id":17,"name":"Train ID","value":"117-21"},{"id":16,"name":"Locomotive ID","value":"4028"},{"id":130,"name":"Impact","value":""},{"id":150,"name":"Time of Event (Mountain Time)","value":"06:00:00"},{"id":151,"name":"Denver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 t="s">
        <v>1052</v>
      </c>
      <c r="AK29" s="47"/>
      <c r="AL29" s="47"/>
      <c r="AM29" s="142" t="str">
        <f t="shared" ref="AM29" si="25">"start /low /b "&amp;dls3logs&amp;" --loco "&amp;B29&amp;" --day "&amp;TEXT(F29,"YYYY-MM-DD")</f>
        <v>start /low /b %USERPROFILE%\Documents\GitHub\eaglep3\Utilities\DownloadLogsFromS3.py --loco 4028 --day 2017-07-21</v>
      </c>
      <c r="AN29" s="151" t="str">
        <f t="shared" ref="AN29" si="26"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failure; missing connector on TMC J4 port","project_id":30,"tracker_id":4,"status_id":1,"priority_id":1,"assigned_to_id":10,"start_date":"2017-07-21","description":"Logs for CPU's 2 and 3 missing, presume onboard in-route failure due to only 1 slice being available","custom_fields":[{"id":30,"name":"Category","value":"Issue"},{"id":3,"name":"Functional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2" t="s">
        <v>698</v>
      </c>
      <c r="B30" s="7">
        <v>4027</v>
      </c>
      <c r="C30" s="21" t="s">
        <v>198</v>
      </c>
      <c r="D30" s="21" t="s">
        <v>567</v>
      </c>
      <c r="E30" s="13">
        <v>42937.278067129628</v>
      </c>
      <c r="F30" s="13">
        <v>42937.279629629629</v>
      </c>
      <c r="G30" s="7">
        <v>1</v>
      </c>
      <c r="H30" s="21" t="s">
        <v>383</v>
      </c>
      <c r="I30" s="13">
        <v>42937.306527777779</v>
      </c>
      <c r="J30" s="7">
        <v>0</v>
      </c>
      <c r="K30" s="89" t="str">
        <f t="shared" si="0"/>
        <v>4027/4028</v>
      </c>
      <c r="L30" s="21" t="str">
        <f>VLOOKUP(A30,'Trips&amp;Operators'!$C$1:$G$99999,5,FALSE)</f>
        <v>LOZA FIDEL</v>
      </c>
      <c r="M30" s="6">
        <f t="shared" si="1"/>
        <v>2.6898148149484769E-2</v>
      </c>
      <c r="N30" s="7">
        <f t="shared" ref="N30:N61" si="27">24*60*SUM($M30:$M30)</f>
        <v>38.733333335258067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-21T05:40:25-0600',mode:absolute,to:'2017-07-21T08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197" t="str">
        <f>IF(AA30&lt;VLOOKUP(AG30,Variables!$AC$3:$AD$8,2,FALSE),"Y","N")</f>
        <v>N</v>
      </c>
      <c r="X30" s="197">
        <f t="shared" si="22"/>
        <v>1</v>
      </c>
      <c r="Y30" s="197">
        <f t="shared" ref="Y30:Y93" si="28">RIGHT(D30,LEN(D30)-4)/10000</f>
        <v>23.298200000000001</v>
      </c>
      <c r="Z30" s="197">
        <f t="shared" ref="Z30:Z93" si="29">RIGHT(H30,LEN(H30)-4)/10000</f>
        <v>1.4500000000000001E-2</v>
      </c>
      <c r="AA30" s="197">
        <f t="shared" si="9"/>
        <v>23.2837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AF30" s="74" t="str">
        <f t="shared" si="12"/>
        <v>"C:\Program Files (x86)\AstroGrep\AstroGrep.exe" /e /r /s /spath="%USERPROFILE%\AppData\Local\Temp\OnboardLogs" /stypes="app*4027*20170721*"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118-21 --locoid 4027 --swversion DE.1.0.9.0 --startMP 204:232982 --initTime 2017-07-21T06:40:25 --startdatetime 2017-07-21T06:42:40 --delay 1 --endMP 204:145 --enddatetime 2017-07-21T07:21:24 --enforcementcount 0 &gt;&gt;C:\Users\stu\Documents\GitHub\eaglep3-reporting\EC\2017-07-21-refined-times.txt</v>
      </c>
      <c r="AI30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{"issue":{"subject":"","project_id":79,"tracker_id":40,"status_id":1,"priority_id":2,"assigned_to_id":23,"start_date":"2017-07-21","description":"","custom_fields":[{"id":1,"name":"Subdivision","value":"EC"},{"id":4,"name":"Milepost","value":"0.0145"},{"id":17,"name":"Train ID","value":"118-21"},{"id":16,"name":"Locomotive ID","value":"4027"},{"id":130,"name":"Impact","value":""},{"id":150,"name":"Time of Event (Mountain Time)","value":"07:21:24"},{"id":151,"name":"Denver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4027 --day 2017-07-21</v>
      </c>
      <c r="AN30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688</v>
      </c>
      <c r="B31" s="7">
        <v>4030</v>
      </c>
      <c r="C31" s="21" t="s">
        <v>198</v>
      </c>
      <c r="D31" s="21" t="s">
        <v>581</v>
      </c>
      <c r="E31" s="13">
        <v>42937.245995370373</v>
      </c>
      <c r="F31" s="13">
        <v>42937.250578703701</v>
      </c>
      <c r="G31" s="7">
        <v>1</v>
      </c>
      <c r="H31" s="21" t="s">
        <v>874</v>
      </c>
      <c r="I31" s="13">
        <v>42937.275439814817</v>
      </c>
      <c r="J31" s="7">
        <v>0</v>
      </c>
      <c r="K31" s="89" t="str">
        <f t="shared" si="0"/>
        <v>4029/4030</v>
      </c>
      <c r="L31" s="21" t="str">
        <f>VLOOKUP(A31,'Trips&amp;Operators'!$C$1:$G$99999,5,FALSE)</f>
        <v>PAGE MARCUS</v>
      </c>
      <c r="M31" s="6">
        <f t="shared" si="1"/>
        <v>2.4861111116479151E-2</v>
      </c>
      <c r="N31" s="7">
        <f t="shared" si="27"/>
        <v>35.800000007729977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-21T04:54:14-0600',mode:absolute,to:'2017-07-21T07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7" t="str">
        <f>IF(AA31&lt;VLOOKUP(AG31,Variables!$AC$3:$AD$8,2,FALSE),"Y","N")</f>
        <v>N</v>
      </c>
      <c r="X31" s="197">
        <f t="shared" ref="X31:X62" si="30">VALUE(LEFT(AD31,4))-VALUE(LEFT(AD30,4))</f>
        <v>1</v>
      </c>
      <c r="Y31" s="197">
        <f t="shared" si="28"/>
        <v>4.2700000000000002E-2</v>
      </c>
      <c r="Z31" s="197">
        <f t="shared" si="29"/>
        <v>23.331700000000001</v>
      </c>
      <c r="AA31" s="197">
        <f t="shared" si="9"/>
        <v>23.289000000000001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31" s="74" t="str">
        <f t="shared" si="12"/>
        <v>"C:\Program Files (x86)\AstroGrep\AstroGrep.exe" /e /r /s /spath="%USERPROFILE%\AppData\Local\Temp\OnboardLogs" /stypes="app*4030*20170721*"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119-21 --locoid 4030 --swversion DE.1.0.9.0 --startMP 204:427 --initTime 2017-07-21T05:54:14 --startdatetime 2017-07-21T06:00:50 --delay 1 --endMP 204:233317 --enddatetime 2017-07-21T06:36:38 --enforcementcount 0 &gt;&gt;C:\Users\stu\Documents\GitHub\eaglep3-reporting\EC\2017-07-21-refined-times.txt</v>
      </c>
      <c r="AI31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{"issue":{"subject":"","project_id":79,"tracker_id":40,"status_id":1,"priority_id":2,"assigned_to_id":23,"start_date":"2017-07-21","description":"","custom_fields":[{"id":1,"name":"Subdivision","value":"EC"},{"id":4,"name":"Milepost","value":"23.3317"},{"id":17,"name":"Train ID","value":"119-21"},{"id":16,"name":"Locomotive ID","value":"4030"},{"id":130,"name":"Impact","value":""},{"id":150,"name":"Time of Event (Mountain Time)","value":"06:36:38"},{"id":151,"name":"Denver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4030 --day 2017-07-21</v>
      </c>
      <c r="AN31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700</v>
      </c>
      <c r="B32" s="7">
        <v>4029</v>
      </c>
      <c r="C32" s="21" t="s">
        <v>198</v>
      </c>
      <c r="D32" s="21" t="s">
        <v>499</v>
      </c>
      <c r="E32" s="13">
        <v>42937.286770833336</v>
      </c>
      <c r="F32" s="13">
        <v>42937.28974537037</v>
      </c>
      <c r="G32" s="7">
        <v>1</v>
      </c>
      <c r="H32" s="21" t="s">
        <v>351</v>
      </c>
      <c r="I32" s="13">
        <v>42937.316192129627</v>
      </c>
      <c r="J32" s="7">
        <v>0</v>
      </c>
      <c r="K32" s="89" t="str">
        <f t="shared" si="0"/>
        <v>4029/4030</v>
      </c>
      <c r="L32" s="21" t="str">
        <f>VLOOKUP(A32,'Trips&amp;Operators'!$C$1:$G$99999,5,FALSE)</f>
        <v>PAGE MARCUS</v>
      </c>
      <c r="M32" s="6">
        <f t="shared" si="1"/>
        <v>2.6446759256941732E-2</v>
      </c>
      <c r="N32" s="7">
        <f t="shared" si="27"/>
        <v>38.083333329996094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-21T05:52:57-0600',mode:absolute,to:'2017-07-21T08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7" t="str">
        <f>IF(AA32&lt;VLOOKUP(AG32,Variables!$AC$3:$AD$8,2,FALSE),"Y","N")</f>
        <v>N</v>
      </c>
      <c r="X32" s="197">
        <f t="shared" si="30"/>
        <v>1</v>
      </c>
      <c r="Y32" s="197">
        <f t="shared" si="28"/>
        <v>23.298500000000001</v>
      </c>
      <c r="Z32" s="197">
        <f t="shared" si="29"/>
        <v>1.47E-2</v>
      </c>
      <c r="AA32" s="197">
        <f t="shared" si="9"/>
        <v>23.283799999999999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32" s="74" t="str">
        <f t="shared" si="12"/>
        <v>"C:\Program Files (x86)\AstroGrep\AstroGrep.exe" /e /r /s /spath="%USERPROFILE%\AppData\Local\Temp\OnboardLogs" /stypes="app*4029*20170721*"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120-21 --locoid 4029 --swversion DE.1.0.9.0 --startMP 204:232985 --initTime 2017-07-21T06:52:57 --startdatetime 2017-07-21T06:57:14 --delay 1 --endMP 204:147 --enddatetime 2017-07-21T07:35:19 --enforcementcount 0 &gt;&gt;C:\Users\stu\Documents\GitHub\eaglep3-reporting\EC\2017-07-21-refined-times.txt</v>
      </c>
      <c r="AI32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{"issue":{"subject":"","project_id":79,"tracker_id":40,"status_id":1,"priority_id":2,"assigned_to_id":23,"start_date":"2017-07-21","description":"","custom_fields":[{"id":1,"name":"Subdivision","value":"EC"},{"id":4,"name":"Milepost","value":"0.0147"},{"id":17,"name":"Train ID","value":"120-21"},{"id":16,"name":"Locomotive ID","value":"4029"},{"id":130,"name":"Impact","value":""},{"id":150,"name":"Time of Event (Mountain Time)","value":"07:35:19"},{"id":151,"name":"Denver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4029 --day 2017-07-21</v>
      </c>
      <c r="AN32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692</v>
      </c>
      <c r="B33" s="7">
        <v>4046</v>
      </c>
      <c r="C33" s="21" t="s">
        <v>198</v>
      </c>
      <c r="D33" s="21" t="s">
        <v>875</v>
      </c>
      <c r="E33" s="13">
        <v>42937.257395833331</v>
      </c>
      <c r="F33" s="13">
        <v>42937.261006944442</v>
      </c>
      <c r="G33" s="7">
        <v>3</v>
      </c>
      <c r="H33" s="21" t="s">
        <v>415</v>
      </c>
      <c r="I33" s="13">
        <v>42937.285671296297</v>
      </c>
      <c r="J33" s="7">
        <v>0</v>
      </c>
      <c r="K33" s="89" t="str">
        <f t="shared" si="0"/>
        <v>4045/4046</v>
      </c>
      <c r="L33" s="21" t="str">
        <f>VLOOKUP(A33,'Trips&amp;Operators'!$C$1:$G$99999,5,FALSE)</f>
        <v>ANDERS STEVEN</v>
      </c>
      <c r="M33" s="6">
        <f t="shared" si="1"/>
        <v>2.4664351854880806E-2</v>
      </c>
      <c r="N33" s="7">
        <f t="shared" si="27"/>
        <v>35.516666671028361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-21T05:10:39-0600',mode:absolute,to:'2017-07-21T07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97" t="str">
        <f>IF(AA33&lt;VLOOKUP(AG33,Variables!$AC$3:$AD$8,2,FALSE),"Y","N")</f>
        <v>N</v>
      </c>
      <c r="X33" s="197">
        <f t="shared" si="30"/>
        <v>1</v>
      </c>
      <c r="Y33" s="197">
        <f t="shared" si="28"/>
        <v>4.8899999999999999E-2</v>
      </c>
      <c r="Z33" s="197">
        <f t="shared" si="29"/>
        <v>23.329699999999999</v>
      </c>
      <c r="AA33" s="197">
        <f t="shared" si="9"/>
        <v>23.280799999999999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33" s="74" t="str">
        <f t="shared" si="12"/>
        <v>"C:\Program Files (x86)\AstroGrep\AstroGrep.exe" /e /r /s /spath="%USERPROFILE%\AppData\Local\Temp\OnboardLogs" /stypes="app*4046*20170721*"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121-21 --locoid 4046 --swversion DE.1.0.9.0 --startMP 204:489 --initTime 2017-07-21T06:10:39 --startdatetime 2017-07-21T06:15:51 --delay 3 --endMP 204:233297 --enddatetime 2017-07-21T06:51:22 --enforcementcount 0 &gt;&gt;C:\Users\stu\Documents\GitHub\eaglep3-reporting\EC\2017-07-21-refined-times.txt</v>
      </c>
      <c r="AI33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{"issue":{"subject":"","project_id":79,"tracker_id":40,"status_id":1,"priority_id":2,"assigned_to_id":23,"start_date":"2017-07-21","description":"","custom_fields":[{"id":1,"name":"Subdivision","value":"EC"},{"id":4,"name":"Milepost","value":"23.3297"},{"id":17,"name":"Train ID","value":"121-21"},{"id":16,"name":"Locomotive ID","value":"4046"},{"id":130,"name":"Impact","value":""},{"id":150,"name":"Time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4046 --day 2017-07-21</v>
      </c>
      <c r="AN33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701</v>
      </c>
      <c r="B34" s="7">
        <v>4045</v>
      </c>
      <c r="C34" s="21" t="s">
        <v>198</v>
      </c>
      <c r="D34" s="21" t="s">
        <v>508</v>
      </c>
      <c r="E34" s="13">
        <v>42937.287418981483</v>
      </c>
      <c r="F34" s="13">
        <v>42937.300358796296</v>
      </c>
      <c r="G34" s="7">
        <v>0</v>
      </c>
      <c r="H34" s="21" t="s">
        <v>388</v>
      </c>
      <c r="I34" s="13">
        <v>42937.327592592592</v>
      </c>
      <c r="J34" s="7">
        <v>0</v>
      </c>
      <c r="K34" s="89" t="str">
        <f t="shared" si="0"/>
        <v>4045/4046</v>
      </c>
      <c r="L34" s="21" t="str">
        <f>VLOOKUP(A34,'Trips&amp;Operators'!$C$1:$G$99999,5,FALSE)</f>
        <v>ANDERS STEVEN</v>
      </c>
      <c r="M34" s="6">
        <f t="shared" si="1"/>
        <v>2.7233796296059154E-2</v>
      </c>
      <c r="N34" s="7">
        <f t="shared" si="27"/>
        <v>39.216666666325182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-21T05:53:53-0600',mode:absolute,to:'2017-07-21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97" t="str">
        <f>IF(AA34&lt;VLOOKUP(AG34,Variables!$AC$3:$AD$8,2,FALSE),"Y","N")</f>
        <v>N</v>
      </c>
      <c r="X34" s="197">
        <f t="shared" si="30"/>
        <v>1</v>
      </c>
      <c r="Y34" s="197">
        <f t="shared" si="28"/>
        <v>23.296900000000001</v>
      </c>
      <c r="Z34" s="197">
        <f t="shared" si="29"/>
        <v>1.5599999999999999E-2</v>
      </c>
      <c r="AA34" s="197">
        <f t="shared" si="9"/>
        <v>23.281300000000002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34" s="74" t="str">
        <f t="shared" si="12"/>
        <v>"C:\Program Files (x86)\AstroGrep\AstroGrep.exe" /e /r /s /spath="%USERPROFILE%\AppData\Local\Temp\OnboardLogs" /stypes="app*4045*20170721*"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122-21 --locoid 4045 --swversion DE.1.0.9.0 --startMP 204:232969 --initTime 2017-07-21T06:53:53 --startdatetime 2017-07-21T07:12:31 --delay 0 --endMP 204:156 --enddatetime 2017-07-21T07:51:44 --enforcementcount 0 &gt;&gt;C:\Users\stu\Documents\GitHub\eaglep3-reporting\EC\2017-07-21-refined-times.txt</v>
      </c>
      <c r="AI34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{"issue":{"subject":"","project_id":79,"tracker_id":40,"status_id":1,"priority_id":2,"assigned_to_id":23,"start_date":"2017-07-21","description":"","custom_fields":[{"id":1,"name":"Subdivision","value":"EC"},{"id":4,"name":"Milepost","value":"0.0156"},{"id":17,"name":"Train ID","value":"122-21"},{"id":16,"name":"Locomotive ID","value":"4045"},{"id":130,"name":"Impact","value":""},{"id":150,"name":"Time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4045 --day 2017-07-21</v>
      </c>
      <c r="AN34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695</v>
      </c>
      <c r="B35" s="7">
        <v>4050</v>
      </c>
      <c r="C35" s="21" t="s">
        <v>198</v>
      </c>
      <c r="D35" s="21" t="s">
        <v>409</v>
      </c>
      <c r="E35" s="13">
        <v>42937.267800925925</v>
      </c>
      <c r="F35" s="13">
        <v>42937.271365740744</v>
      </c>
      <c r="G35" s="7">
        <v>1</v>
      </c>
      <c r="H35" s="21" t="s">
        <v>876</v>
      </c>
      <c r="I35" s="13">
        <v>42937.296539351853</v>
      </c>
      <c r="J35" s="7">
        <v>0</v>
      </c>
      <c r="K35" s="89" t="str">
        <f t="shared" si="0"/>
        <v>4049/4050</v>
      </c>
      <c r="L35" s="21" t="str">
        <f>VLOOKUP(A35,'Trips&amp;Operators'!$C$1:$G$99999,5,FALSE)</f>
        <v>DAVIS WENDY</v>
      </c>
      <c r="M35" s="6">
        <f t="shared" si="1"/>
        <v>2.5173611109494232E-2</v>
      </c>
      <c r="N35" s="7">
        <f t="shared" si="27"/>
        <v>36.249999997671694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-21T05:25:38-0600',mode:absolute,to:'2017-07-21T08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5" s="197" t="str">
        <f>IF(AA35&lt;VLOOKUP(AG35,Variables!$AC$3:$AD$8,2,FALSE),"Y","N")</f>
        <v>N</v>
      </c>
      <c r="X35" s="197">
        <f t="shared" si="30"/>
        <v>1</v>
      </c>
      <c r="Y35" s="197">
        <f t="shared" si="28"/>
        <v>4.58E-2</v>
      </c>
      <c r="Z35" s="197">
        <f t="shared" si="29"/>
        <v>23.334</v>
      </c>
      <c r="AA35" s="197">
        <f t="shared" si="9"/>
        <v>23.2882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35" s="74" t="str">
        <f t="shared" si="12"/>
        <v>"C:\Program Files (x86)\AstroGrep\AstroGrep.exe" /e /r /s /spath="%USERPROFILE%\AppData\Local\Temp\OnboardLogs" /stypes="app*4050*20170721*"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123-21 --locoid 4050 --swversion DE.1.0.9.0 --startMP 204:458 --initTime 2017-07-21T06:25:38 --startdatetime 2017-07-21T06:30:46 --delay 1 --endMP 204:233340 --enddatetime 2017-07-21T07:07:01 --enforcementcount 0 &gt;&gt;C:\Users\stu\Documents\GitHub\eaglep3-reporting\EC\2017-07-21-refined-times.txt</v>
      </c>
      <c r="AI3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{"issue":{"subject":"","project_id":79,"tracker_id":40,"status_id":1,"priority_id":2,"assigned_to_id":23,"start_date":"2017-07-21","description":"","custom_fields":[{"id":1,"name":"Subdivision","value":"EC"},{"id":4,"name":"Milepost","value":"23.334"},{"id":17,"name":"Train ID","value":"123-21"},{"id":16,"name":"Locomotive ID","value":"4050"},{"id":130,"name":"Impact","value":""},{"id":150,"name":"Time of Event (Mountain Time)","value":"07:07:01"},{"id":151,"name":"Denver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4050 --day 2017-07-21</v>
      </c>
      <c r="AN3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706</v>
      </c>
      <c r="B36" s="7">
        <v>4049</v>
      </c>
      <c r="C36" s="21" t="s">
        <v>198</v>
      </c>
      <c r="D36" s="21" t="s">
        <v>540</v>
      </c>
      <c r="E36" s="13">
        <v>42937.305312500001</v>
      </c>
      <c r="F36" s="13">
        <v>42937.310567129629</v>
      </c>
      <c r="G36" s="7">
        <v>1</v>
      </c>
      <c r="H36" s="21" t="s">
        <v>388</v>
      </c>
      <c r="I36" s="13">
        <v>42937.338055555556</v>
      </c>
      <c r="J36" s="7">
        <v>0</v>
      </c>
      <c r="K36" s="89" t="str">
        <f t="shared" si="0"/>
        <v>4049/4050</v>
      </c>
      <c r="L36" s="21" t="str">
        <f>VLOOKUP(A36,'Trips&amp;Operators'!$C$1:$G$99999,5,FALSE)</f>
        <v>DAVIS WENDY</v>
      </c>
      <c r="M36" s="6">
        <f t="shared" si="1"/>
        <v>2.7488425927003846E-2</v>
      </c>
      <c r="N36" s="7">
        <f t="shared" si="27"/>
        <v>39.583333334885538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-21T06:19:39-0600',mode:absolute,to:'2017-07-21T09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6" s="197" t="str">
        <f>IF(AA36&lt;VLOOKUP(AG36,Variables!$AC$3:$AD$8,2,FALSE),"Y","N")</f>
        <v>N</v>
      </c>
      <c r="X36" s="197">
        <f t="shared" si="30"/>
        <v>1</v>
      </c>
      <c r="Y36" s="197">
        <f t="shared" si="28"/>
        <v>23.3004</v>
      </c>
      <c r="Z36" s="197">
        <f t="shared" si="29"/>
        <v>1.5599999999999999E-2</v>
      </c>
      <c r="AA36" s="197">
        <f t="shared" si="9"/>
        <v>23.284800000000001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36" s="74" t="str">
        <f t="shared" si="12"/>
        <v>"C:\Program Files (x86)\AstroGrep\AstroGrep.exe" /e /r /s /spath="%USERPROFILE%\AppData\Local\Temp\OnboardLogs" /stypes="app*4049*20170721*"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124-21 --locoid 4049 --swversion DE.1.0.9.0 --startMP 204:233004 --initTime 2017-07-21T07:19:39 --startdatetime 2017-07-21T07:27:13 --delay 1 --endMP 204:156 --enddatetime 2017-07-21T08:06:48 --enforcementcount 0 &gt;&gt;C:\Users\stu\Documents\GitHub\eaglep3-reporting\EC\2017-07-21-refined-times.txt</v>
      </c>
      <c r="AI3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{"issue":{"subject":"","project_id":79,"tracker_id":40,"status_id":1,"priority_id":2,"assigned_to_id":23,"start_date":"2017-07-21","description":"","custom_fields":[{"id":1,"name":"Subdivision","value":"EC"},{"id":4,"name":"Milepost","value":"0.0156"},{"id":17,"name":"Train ID","value":"124-21"},{"id":16,"name":"Locomotive ID","value":"4049"},{"id":130,"name":"Impact","value":""},{"id":150,"name":"Time of Event (Mountain Time)","value":"08:06:48"},{"id":151,"name":"Denver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4049 --day 2017-07-21</v>
      </c>
      <c r="AN3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699</v>
      </c>
      <c r="B37" s="7">
        <v>4032</v>
      </c>
      <c r="C37" s="21" t="s">
        <v>198</v>
      </c>
      <c r="D37" s="21" t="s">
        <v>409</v>
      </c>
      <c r="E37" s="13">
        <v>42937.280173611114</v>
      </c>
      <c r="F37" s="13">
        <v>42937.281851851854</v>
      </c>
      <c r="G37" s="7">
        <v>1</v>
      </c>
      <c r="H37" s="21" t="s">
        <v>877</v>
      </c>
      <c r="I37" s="13">
        <v>42937.306122685186</v>
      </c>
      <c r="J37" s="7">
        <v>0</v>
      </c>
      <c r="K37" s="89" t="str">
        <f t="shared" si="0"/>
        <v>4031/4032</v>
      </c>
      <c r="L37" s="21" t="str">
        <f>VLOOKUP(A37,'Trips&amp;Operators'!$C$1:$G$99999,5,FALSE)</f>
        <v>STARKS ANGELINA</v>
      </c>
      <c r="M37" s="6">
        <f t="shared" si="1"/>
        <v>2.4270833331684116E-2</v>
      </c>
      <c r="N37" s="7">
        <f t="shared" si="27"/>
        <v>34.949999997625127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-21T05:43:27-0600',mode:absolute,to:'2017-07-21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97" t="str">
        <f>IF(AA37&lt;VLOOKUP(AG37,Variables!$AC$3:$AD$8,2,FALSE),"Y","N")</f>
        <v>N</v>
      </c>
      <c r="X37" s="197">
        <f t="shared" si="30"/>
        <v>1</v>
      </c>
      <c r="Y37" s="197">
        <f t="shared" si="28"/>
        <v>4.58E-2</v>
      </c>
      <c r="Z37" s="197">
        <f t="shared" si="29"/>
        <v>23.3307</v>
      </c>
      <c r="AA37" s="197">
        <f t="shared" si="9"/>
        <v>23.2849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37" s="74" t="str">
        <f t="shared" si="12"/>
        <v>"C:\Program Files (x86)\AstroGrep\AstroGrep.exe" /e /r /s /spath="%USERPROFILE%\AppData\Local\Temp\OnboardLogs" /stypes="app*4032*20170721*"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125-21 --locoid 4032 --swversion DE.1.0.9.0 --startMP 204:458 --initTime 2017-07-21T06:43:27 --startdatetime 2017-07-21T06:45:52 --delay 1 --endMP 204:233307 --enddatetime 2017-07-21T07:20:49 --enforcementcount 0 &gt;&gt;C:\Users\stu\Documents\GitHub\eaglep3-reporting\EC\2017-07-21-refined-times.txt</v>
      </c>
      <c r="AI3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{"issue":{"subject":"","project_id":79,"tracker_id":40,"status_id":1,"priority_id":2,"assigned_to_id":23,"start_date":"2017-07-21","description":"","custom_fields":[{"id":1,"name":"Subdivision","value":"EC"},{"id":4,"name":"Milepost","value":"23.3307"},{"id":17,"name":"Train ID","value":"125-21"},{"id":16,"name":"Locomotive ID","value":"4032"},{"id":130,"name":"Impact","value":""},{"id":150,"name":"Time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4032 --day 2017-07-21</v>
      </c>
      <c r="AN3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709</v>
      </c>
      <c r="B38" s="7">
        <v>4031</v>
      </c>
      <c r="C38" s="21" t="s">
        <v>198</v>
      </c>
      <c r="D38" s="21" t="s">
        <v>564</v>
      </c>
      <c r="E38" s="13">
        <v>42937.318796296298</v>
      </c>
      <c r="F38" s="13">
        <v>42937.321076388886</v>
      </c>
      <c r="G38" s="7">
        <v>1</v>
      </c>
      <c r="H38" s="21" t="s">
        <v>342</v>
      </c>
      <c r="I38" s="13">
        <v>42937.348414351851</v>
      </c>
      <c r="J38" s="7">
        <v>0</v>
      </c>
      <c r="K38" s="89" t="str">
        <f t="shared" si="0"/>
        <v>4031/4032</v>
      </c>
      <c r="L38" s="21" t="str">
        <f>VLOOKUP(A38,'Trips&amp;Operators'!$C$1:$G$99999,5,FALSE)</f>
        <v>STARKS ANGELINA</v>
      </c>
      <c r="M38" s="6">
        <f t="shared" si="1"/>
        <v>2.7337962965248153E-2</v>
      </c>
      <c r="N38" s="7">
        <f t="shared" si="27"/>
        <v>39.36666666995734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-21T06:39:04-0600',mode:absolute,to:'2017-07-21T09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197" t="str">
        <f>IF(AA38&lt;VLOOKUP(AG38,Variables!$AC$3:$AD$8,2,FALSE),"Y","N")</f>
        <v>N</v>
      </c>
      <c r="X38" s="197">
        <f t="shared" si="30"/>
        <v>1</v>
      </c>
      <c r="Y38" s="197">
        <f t="shared" si="28"/>
        <v>23.298400000000001</v>
      </c>
      <c r="Z38" s="197">
        <f t="shared" si="29"/>
        <v>1.49E-2</v>
      </c>
      <c r="AA38" s="197">
        <f t="shared" si="9"/>
        <v>23.2835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38" s="74" t="str">
        <f t="shared" si="12"/>
        <v>"C:\Program Files (x86)\AstroGrep\AstroGrep.exe" /e /r /s /spath="%USERPROFILE%\AppData\Local\Temp\OnboardLogs" /stypes="app*4031*20170721*"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126-21 --locoid 4031 --swversion DE.1.0.9.0 --startMP 204:232984 --initTime 2017-07-21T07:39:04 --startdatetime 2017-07-21T07:42:21 --delay 1 --endMP 204:149 --enddatetime 2017-07-21T08:21:43 --enforcementcount 0 &gt;&gt;C:\Users\stu\Documents\GitHub\eaglep3-reporting\EC\2017-07-21-refined-times.txt</v>
      </c>
      <c r="AI3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{"issue":{"subject":"","project_id":79,"tracker_id":40,"status_id":1,"priority_id":2,"assigned_to_id":23,"start_date":"2017-07-21","description":"","custom_fields":[{"id":1,"name":"Subdivision","value":"EC"},{"id":4,"name":"Milepost","value":"0.0149"},{"id":17,"name":"Train ID","value":"126-21"},{"id":16,"name":"Locomotive ID","value":"4031"},{"id":130,"name":"Impact","value":""},{"id":150,"name":"Time of Event (Mountain Time)","value":"08:21:43"},{"id":151,"name":"Denver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4031 --day 2017-07-21</v>
      </c>
      <c r="AN3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702</v>
      </c>
      <c r="B39" s="7">
        <v>4026</v>
      </c>
      <c r="C39" s="21" t="s">
        <v>198</v>
      </c>
      <c r="D39" s="21" t="s">
        <v>409</v>
      </c>
      <c r="E39" s="13">
        <v>42937.287592592591</v>
      </c>
      <c r="F39" s="13">
        <v>42937.292199074072</v>
      </c>
      <c r="G39" s="7">
        <v>1</v>
      </c>
      <c r="H39" s="21" t="s">
        <v>878</v>
      </c>
      <c r="I39" s="13">
        <v>42937.318333333336</v>
      </c>
      <c r="J39" s="7">
        <v>0</v>
      </c>
      <c r="K39" s="89" t="str">
        <f t="shared" si="0"/>
        <v>4025/4026</v>
      </c>
      <c r="L39" s="21" t="str">
        <f>VLOOKUP(A39,'Trips&amp;Operators'!$C$1:$G$99999,5,FALSE)</f>
        <v>DAVIDSON DAVID</v>
      </c>
      <c r="M39" s="6">
        <f t="shared" si="1"/>
        <v>2.6134259263926651E-2</v>
      </c>
      <c r="N39" s="7">
        <f t="shared" si="27"/>
        <v>37.633333340054378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-21T05:54:08-0600',mode:absolute,to:'2017-07-21T08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97" t="str">
        <f>IF(AA39&lt;VLOOKUP(AG39,Variables!$AC$3:$AD$8,2,FALSE),"Y","N")</f>
        <v>N</v>
      </c>
      <c r="X39" s="197">
        <f t="shared" si="30"/>
        <v>1</v>
      </c>
      <c r="Y39" s="197">
        <f t="shared" si="28"/>
        <v>4.58E-2</v>
      </c>
      <c r="Z39" s="197">
        <f t="shared" si="29"/>
        <v>23.331199999999999</v>
      </c>
      <c r="AA39" s="197">
        <f t="shared" si="9"/>
        <v>23.285399999999999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39" s="74" t="str">
        <f t="shared" si="12"/>
        <v>"C:\Program Files (x86)\AstroGrep\AstroGrep.exe" /e /r /s /spath="%USERPROFILE%\AppData\Local\Temp\OnboardLogs" /stypes="app*4026*20170721*"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127-21 --locoid 4026 --swversion DE.1.0.9.0 --startMP 204:458 --initTime 2017-07-21T06:54:08 --startdatetime 2017-07-21T07:00:46 --delay 1 --endMP 204:233312 --enddatetime 2017-07-21T07:38:24 --enforcementcount 0 &gt;&gt;C:\Users\stu\Documents\GitHub\eaglep3-reporting\EC\2017-07-21-refined-times.txt</v>
      </c>
      <c r="AI39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{"issue":{"subject":"","project_id":79,"tracker_id":40,"status_id":1,"priority_id":2,"assigned_to_id":23,"start_date":"2017-07-21","description":"","custom_fields":[{"id":1,"name":"Subdivision","value":"EC"},{"id":4,"name":"Milepost","value":"23.3312"},{"id":17,"name":"Train ID","value":"127-21"},{"id":16,"name":"Locomotive ID","value":"4026"},{"id":130,"name":"Impact","value":""},{"id":150,"name":"Time of Event (Mountain Time)","value":"07:38:24"},{"id":151,"name":"Denver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4026 --day 2017-07-21</v>
      </c>
      <c r="AN39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711</v>
      </c>
      <c r="B40" s="7">
        <v>4025</v>
      </c>
      <c r="C40" s="21" t="s">
        <v>198</v>
      </c>
      <c r="D40" s="21" t="s">
        <v>538</v>
      </c>
      <c r="E40" s="13">
        <v>42937.320381944446</v>
      </c>
      <c r="F40" s="13">
        <v>42937.331504629627</v>
      </c>
      <c r="G40" s="7">
        <v>1</v>
      </c>
      <c r="H40" s="21" t="s">
        <v>388</v>
      </c>
      <c r="I40" s="13">
        <v>42937.35869212963</v>
      </c>
      <c r="J40" s="7">
        <v>0</v>
      </c>
      <c r="K40" s="89" t="str">
        <f t="shared" si="0"/>
        <v>4025/4026</v>
      </c>
      <c r="L40" s="21" t="str">
        <f>VLOOKUP(A40,'Trips&amp;Operators'!$C$1:$G$99999,5,FALSE)</f>
        <v>DAVIDSON DAVID</v>
      </c>
      <c r="M40" s="6">
        <f t="shared" si="1"/>
        <v>2.718750000349246E-2</v>
      </c>
      <c r="N40" s="7">
        <f t="shared" si="27"/>
        <v>39.150000005029142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-21T06:41:21-0600',mode:absolute,to:'2017-07-21T09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197" t="str">
        <f>IF(AA40&lt;VLOOKUP(AG40,Variables!$AC$3:$AD$8,2,FALSE),"Y","N")</f>
        <v>N</v>
      </c>
      <c r="X40" s="197">
        <f t="shared" si="30"/>
        <v>1</v>
      </c>
      <c r="Y40" s="197">
        <f t="shared" si="28"/>
        <v>23.3002</v>
      </c>
      <c r="Z40" s="197">
        <f t="shared" si="29"/>
        <v>1.5599999999999999E-2</v>
      </c>
      <c r="AA40" s="197">
        <f t="shared" si="9"/>
        <v>23.284600000000001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40" s="74" t="str">
        <f t="shared" si="12"/>
        <v>"C:\Program Files (x86)\AstroGrep\AstroGrep.exe" /e /r /s /spath="%USERPROFILE%\AppData\Local\Temp\OnboardLogs" /stypes="app*4025*20170721*"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128-21 --locoid 4025 --swversion DE.1.0.9.0 --startMP 204:233002 --initTime 2017-07-21T07:41:21 --startdatetime 2017-07-21T07:57:22 --delay 1 --endMP 204:156 --enddatetime 2017-07-21T08:36:31 --enforcementcount 0 &gt;&gt;C:\Users\stu\Documents\GitHub\eaglep3-reporting\EC\2017-07-21-refined-times.txt</v>
      </c>
      <c r="AI40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{"issue":{"subject":"","project_id":79,"tracker_id":40,"status_id":1,"priority_id":2,"assigned_to_id":23,"start_date":"2017-07-21","description":"","custom_fields":[{"id":1,"name":"Subdivision","value":"EC"},{"id":4,"name":"Milepost","value":"0.0156"},{"id":17,"name":"Train ID","value":"128-21"},{"id":16,"name":"Locomotive ID","value":"4025"},{"id":130,"name":"Impact","value":""},{"id":150,"name":"Time of Event (Mountain Time)","value":"08:36:31"},{"id":151,"name":"Denver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4025 --day 2017-07-21</v>
      </c>
      <c r="AN40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705</v>
      </c>
      <c r="B41" s="7">
        <v>4054</v>
      </c>
      <c r="C41" s="21" t="s">
        <v>198</v>
      </c>
      <c r="D41" s="21" t="s">
        <v>347</v>
      </c>
      <c r="E41" s="13">
        <v>42937.299571759257</v>
      </c>
      <c r="F41" s="13">
        <v>42937.302430555559</v>
      </c>
      <c r="G41" s="7">
        <v>3</v>
      </c>
      <c r="H41" s="21" t="s">
        <v>571</v>
      </c>
      <c r="I41" s="13">
        <v>42937.3283912037</v>
      </c>
      <c r="J41" s="7">
        <v>0</v>
      </c>
      <c r="K41" s="89" t="str">
        <f t="shared" si="0"/>
        <v>4053/4054</v>
      </c>
      <c r="L41" s="21" t="str">
        <f>VLOOKUP(A41,'Trips&amp;Operators'!$C$1:$G$99999,5,FALSE)</f>
        <v>WILLIAMS DONTE</v>
      </c>
      <c r="M41" s="6">
        <f t="shared" si="1"/>
        <v>2.5960648141335696E-2</v>
      </c>
      <c r="N41" s="7">
        <f t="shared" si="27"/>
        <v>37.383333323523402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-21T06:11:23-0600',mode:absolute,to:'2017-07-21T08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97" t="str">
        <f>IF(AA41&lt;VLOOKUP(AG41,Variables!$AC$3:$AD$8,2,FALSE),"Y","N")</f>
        <v>N</v>
      </c>
      <c r="X41" s="197">
        <f t="shared" si="30"/>
        <v>1</v>
      </c>
      <c r="Y41" s="197">
        <f t="shared" si="28"/>
        <v>4.4699999999999997E-2</v>
      </c>
      <c r="Z41" s="197">
        <f t="shared" si="29"/>
        <v>23.331099999999999</v>
      </c>
      <c r="AA41" s="197">
        <f t="shared" si="9"/>
        <v>23.2864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41" s="74" t="str">
        <f t="shared" si="12"/>
        <v>"C:\Program Files (x86)\AstroGrep\AstroGrep.exe" /e /r /s /spath="%USERPROFILE%\AppData\Local\Temp\OnboardLogs" /stypes="app*4054*20170721*"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129-21 --locoid 4054 --swversion DE.1.0.9.0 --startMP 204:447 --initTime 2017-07-21T07:11:23 --startdatetime 2017-07-21T07:15:30 --delay 3 --endMP 204:233311 --enddatetime 2017-07-21T07:52:53 --enforcementcount 0 &gt;&gt;C:\Users\stu\Documents\GitHub\eaglep3-reporting\EC\2017-07-21-refined-times.txt</v>
      </c>
      <c r="AI41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{"issue":{"subject":"","project_id":79,"tracker_id":40,"status_id":1,"priority_id":2,"assigned_to_id":23,"start_date":"2017-07-21","description":"","custom_fields":[{"id":1,"name":"Subdivision","value":"EC"},{"id":4,"name":"Milepost","value":"23.3311"},{"id":17,"name":"Train ID","value":"129-21"},{"id":16,"name":"Locomotive ID","value":"4054"},{"id":130,"name":"Impact","value":""},{"id":150,"name":"Time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4054 --day 2017-07-21</v>
      </c>
      <c r="AN41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713</v>
      </c>
      <c r="B42" s="7">
        <v>4053</v>
      </c>
      <c r="C42" s="21" t="s">
        <v>198</v>
      </c>
      <c r="D42" s="21" t="s">
        <v>579</v>
      </c>
      <c r="E42" s="13">
        <v>42937.331342592595</v>
      </c>
      <c r="F42" s="13">
        <v>42937.342592592591</v>
      </c>
      <c r="G42" s="7">
        <v>1</v>
      </c>
      <c r="H42" s="21" t="s">
        <v>879</v>
      </c>
      <c r="I42" s="13">
        <v>42937.370023148149</v>
      </c>
      <c r="J42" s="7">
        <v>0</v>
      </c>
      <c r="K42" s="89" t="str">
        <f t="shared" si="0"/>
        <v>4053/4054</v>
      </c>
      <c r="L42" s="21" t="str">
        <f>VLOOKUP(A42,'Trips&amp;Operators'!$C$1:$G$99999,5,FALSE)</f>
        <v>WILLIAMS DONTE</v>
      </c>
      <c r="M42" s="6">
        <f t="shared" si="1"/>
        <v>2.7430555557657499E-2</v>
      </c>
      <c r="N42" s="7">
        <f t="shared" si="27"/>
        <v>39.500000003026798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-21T06:57:08-0600',mode:absolute,to:'2017-07-21T09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97" t="str">
        <f>IF(AA42&lt;VLOOKUP(AG42,Variables!$AC$3:$AD$8,2,FALSE),"Y","N")</f>
        <v>N</v>
      </c>
      <c r="X42" s="197">
        <f t="shared" si="30"/>
        <v>1</v>
      </c>
      <c r="Y42" s="197">
        <f t="shared" si="28"/>
        <v>23.298999999999999</v>
      </c>
      <c r="Z42" s="197">
        <f t="shared" si="29"/>
        <v>1.67E-2</v>
      </c>
      <c r="AA42" s="197">
        <f t="shared" si="9"/>
        <v>23.282299999999999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42" s="74" t="str">
        <f t="shared" si="12"/>
        <v>"C:\Program Files (x86)\AstroGrep\AstroGrep.exe" /e /r /s /spath="%USERPROFILE%\AppData\Local\Temp\OnboardLogs" /stypes="app*4053*20170721*"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130-21 --locoid 4053 --swversion DE.1.0.9.0 --startMP 204:232990 --initTime 2017-07-21T07:57:08 --startdatetime 2017-07-21T08:13:20 --delay 1 --endMP 204:167 --enddatetime 2017-07-21T08:52:50 --enforcementcount 0 &gt;&gt;C:\Users\stu\Documents\GitHub\eaglep3-reporting\EC\2017-07-21-refined-times.txt</v>
      </c>
      <c r="AI42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{"issue":{"subject":"","project_id":79,"tracker_id":40,"status_id":1,"priority_id":2,"assigned_to_id":23,"start_date":"2017-07-21","description":"","custom_fields":[{"id":1,"name":"Subdivision","value":"EC"},{"id":4,"name":"Milepost","value":"0.0167"},{"id":17,"name":"Train ID","value":"130-21"},{"id":16,"name":"Locomotive ID","value":"4053"},{"id":130,"name":"Impact","value":""},{"id":150,"name":"Time of Event (Mountain Time)","value":"08:52:50"},{"id":151,"name":"Denver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4053 --day 2017-07-21</v>
      </c>
      <c r="AN42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625</v>
      </c>
      <c r="B43" s="7">
        <v>4027</v>
      </c>
      <c r="C43" s="21" t="s">
        <v>198</v>
      </c>
      <c r="D43" s="21" t="s">
        <v>511</v>
      </c>
      <c r="E43" s="13">
        <v>42937.347696759258</v>
      </c>
      <c r="F43" s="13">
        <v>42937.352303240739</v>
      </c>
      <c r="G43" s="7">
        <v>3</v>
      </c>
      <c r="H43" s="21" t="s">
        <v>348</v>
      </c>
      <c r="I43" s="13">
        <v>42937.381296296298</v>
      </c>
      <c r="J43" s="7">
        <v>0</v>
      </c>
      <c r="K43" s="89" t="str">
        <f t="shared" si="0"/>
        <v>4027/4028</v>
      </c>
      <c r="L43" s="21" t="str">
        <f>VLOOKUP(A43,'Trips&amp;Operators'!$C$1:$G$99999,5,FALSE)</f>
        <v>LANGERAK WILLIAM</v>
      </c>
      <c r="M43" s="6">
        <f t="shared" si="1"/>
        <v>2.899305555911269E-2</v>
      </c>
      <c r="N43" s="7">
        <f t="shared" si="27"/>
        <v>41.750000005122274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-21T07:20:41-0600',mode:absolute,to:'2017-07-21T10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197" t="str">
        <f>IF(AA43&lt;VLOOKUP(AG43,Variables!$AC$3:$AD$8,2,FALSE),"Y","N")</f>
        <v>N</v>
      </c>
      <c r="X43" s="197">
        <f t="shared" si="30"/>
        <v>2</v>
      </c>
      <c r="Y43" s="197">
        <f t="shared" si="28"/>
        <v>23.299800000000001</v>
      </c>
      <c r="Z43" s="197">
        <f t="shared" si="29"/>
        <v>1.3899999999999999E-2</v>
      </c>
      <c r="AA43" s="197">
        <f t="shared" si="9"/>
        <v>23.285900000000002</v>
      </c>
      <c r="AB43" s="54" t="str">
        <f>VLOOKUP(A43,Enforcements!$C$7:$K$13,8,0)</f>
        <v>Bulletin (2)</v>
      </c>
      <c r="AC43" s="51" t="str">
        <f>VLOOKUP(A43,Enforcements!$C$7:$E$13,3,0)</f>
        <v>GRADE CROSSING</v>
      </c>
      <c r="AD43" s="206">
        <f t="shared" si="10"/>
        <v>132</v>
      </c>
      <c r="AE43" s="77" t="str">
        <f t="shared" si="11"/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AF43" s="74" t="str">
        <f t="shared" si="12"/>
        <v>"C:\Program Files (x86)\AstroGrep\AstroGrep.exe" /e /r /s /spath="%USERPROFILE%\AppData\Local\Temp\OnboardLogs" /stypes="app*4027*20170721*" /stext=" 15:.+((SYSTEM_STATE.+slice.+state.+changed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132-21 --locoid 4027 --swversion DE.1.0.9.0 --startMP 204:232998 --initTime 2017-07-21T08:20:41 --startdatetime 2017-07-21T08:27:19 --delay 3 --endMP 204:139 --enddatetime 2017-07-21T09:09:04 --enforcementcount 0 &gt;&gt;C:\Users\stu\Documents\GitHub\eaglep3-reporting\EC\2017-07-21-refined-times.txt</v>
      </c>
      <c r="AI43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{"issue":{"subject":"","project_id":79,"tracker_id":40,"status_id":1,"priority_id":2,"assigned_to_id":23,"start_date":"2017-07-21","description":"","custom_fields":[{"id":1,"name":"Subdivision","value":"EC"},{"id":4,"name":"Milepost","value":"0.0139"},{"id":17,"name":"Train ID","value":"132-21"},{"id":16,"name":"Locomotive ID","value":"4027"},{"id":130,"name":"Impact","value":""},{"id":150,"name":"Time of Event (Mountain Time)","value":"09:09:04"},{"id":151,"name":"Denver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4027 --day 2017-07-21</v>
      </c>
      <c r="AN43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710</v>
      </c>
      <c r="B44" s="7">
        <v>4030</v>
      </c>
      <c r="C44" s="21" t="s">
        <v>198</v>
      </c>
      <c r="D44" s="21" t="s">
        <v>399</v>
      </c>
      <c r="E44" s="13">
        <v>42937.318530092591</v>
      </c>
      <c r="F44" s="13">
        <v>42937.323437500003</v>
      </c>
      <c r="G44" s="7">
        <v>2</v>
      </c>
      <c r="H44" s="21" t="s">
        <v>880</v>
      </c>
      <c r="I44" s="13">
        <v>42937.348136574074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PAGE MARCUS</v>
      </c>
      <c r="M44" s="6">
        <f t="shared" si="1"/>
        <v>2.4699074070667848E-2</v>
      </c>
      <c r="N44" s="7">
        <f t="shared" si="27"/>
        <v>35.566666661761701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-21T06:38:41-0600',mode:absolute,to:'2017-07-21T09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97" t="str">
        <f>IF(AA44&lt;VLOOKUP(AG44,Variables!$AC$3:$AD$8,2,FALSE),"Y","N")</f>
        <v>N</v>
      </c>
      <c r="X44" s="197">
        <f t="shared" si="30"/>
        <v>1</v>
      </c>
      <c r="Y44" s="197">
        <f t="shared" si="28"/>
        <v>4.5499999999999999E-2</v>
      </c>
      <c r="Z44" s="197">
        <f t="shared" si="29"/>
        <v>23.326799999999999</v>
      </c>
      <c r="AA44" s="197">
        <f t="shared" si="9"/>
        <v>23.281299999999998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133</v>
      </c>
      <c r="AE44" s="77" t="str">
        <f t="shared" si="1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44" s="74" t="str">
        <f t="shared" si="12"/>
        <v>"C:\Program Files (x86)\AstroGrep\AstroGrep.exe" /e /r /s /spath="%USERPROFILE%\AppData\Local\Temp\OnboardLogs" /stypes="app*4030*20170721*"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133-21 --locoid 4030 --swversion DE.1.0.9.0 --startMP 204:455 --initTime 2017-07-21T07:38:41 --startdatetime 2017-07-21T07:45:45 --delay 2 --endMP 204:233268 --enddatetime 2017-07-21T08:21:19 --enforcementcount 0 &gt;&gt;C:\Users\stu\Documents\GitHub\eaglep3-reporting\EC\2017-07-21-refined-times.txt</v>
      </c>
      <c r="AI44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{"issue":{"subject":"","project_id":79,"tracker_id":40,"status_id":1,"priority_id":2,"assigned_to_id":23,"start_date":"2017-07-21","description":"","custom_fields":[{"id":1,"name":"Subdivision","value":"EC"},{"id":4,"name":"Milepost","value":"23.3268"},{"id":17,"name":"Train ID","value":"133-21"},{"id":16,"name":"Locomotive ID","value":"4030"},{"id":130,"name":"Impact","value":""},{"id":150,"name":"Time of Event (Mountain Time)","value":"08:21:19"},{"id":151,"name":"Denver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4030 --day 2017-07-21</v>
      </c>
      <c r="AN44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719</v>
      </c>
      <c r="B45" s="7">
        <v>4029</v>
      </c>
      <c r="C45" s="21" t="s">
        <v>198</v>
      </c>
      <c r="D45" s="21" t="s">
        <v>576</v>
      </c>
      <c r="E45" s="13">
        <v>42937.355069444442</v>
      </c>
      <c r="F45" s="13">
        <v>42937.362662037034</v>
      </c>
      <c r="G45" s="7">
        <v>1</v>
      </c>
      <c r="H45" s="21" t="s">
        <v>881</v>
      </c>
      <c r="I45" s="13">
        <v>42937.388877314814</v>
      </c>
      <c r="J45" s="7">
        <v>0</v>
      </c>
      <c r="K45" s="89" t="str">
        <f t="shared" si="0"/>
        <v>4029/4030</v>
      </c>
      <c r="L45" s="21" t="str">
        <f>VLOOKUP(A45,'Trips&amp;Operators'!$C$1:$G$99999,5,FALSE)</f>
        <v>PAGE MARCUS</v>
      </c>
      <c r="M45" s="6">
        <f t="shared" si="1"/>
        <v>2.6215277779556345E-2</v>
      </c>
      <c r="N45" s="7">
        <f t="shared" si="27"/>
        <v>37.750000002561137</v>
      </c>
      <c r="O45" s="7"/>
      <c r="P45" s="7"/>
      <c r="Q45" s="22"/>
      <c r="R45" s="170"/>
      <c r="S45" s="213">
        <f t="shared" ref="S45:S76" si="31">1/IF(AG45="EC",12,1)*SUM(U45:U45)</f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-21T07:31:18-0600',mode:absolute,to:'2017-07-21T10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197" t="str">
        <f>IF(AA45&lt;VLOOKUP(AG45,Variables!$AC$3:$AD$8,2,FALSE),"Y","N")</f>
        <v>N</v>
      </c>
      <c r="X45" s="197">
        <f t="shared" si="30"/>
        <v>1</v>
      </c>
      <c r="Y45" s="197">
        <f t="shared" si="28"/>
        <v>23.297799999999999</v>
      </c>
      <c r="Z45" s="197">
        <f t="shared" si="29"/>
        <v>3.3399999999999999E-2</v>
      </c>
      <c r="AA45" s="197">
        <f t="shared" si="9"/>
        <v>23.264399999999998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134</v>
      </c>
      <c r="AE45" s="77" t="str">
        <f t="shared" si="1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45" s="74" t="str">
        <f t="shared" si="12"/>
        <v>"C:\Program Files (x86)\AstroGrep\AstroGrep.exe" /e /r /s /spath="%USERPROFILE%\AppData\Local\Temp\OnboardLogs" /stypes="app*4029*20170721*"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134-21 --locoid 4029 --swversion DE.1.0.9.0 --startMP 204:232978 --initTime 2017-07-21T08:31:18 --startdatetime 2017-07-21T08:42:14 --delay 1 --endMP 204:334 --enddatetime 2017-07-21T09:19:59 --enforcementcount 0 &gt;&gt;C:\Users\stu\Documents\GitHub\eaglep3-reporting\EC\2017-07-21-refined-times.txt</v>
      </c>
      <c r="AI4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{"issue":{"subject":"","project_id":79,"tracker_id":40,"status_id":1,"priority_id":2,"assigned_to_id":23,"start_date":"2017-07-21","description":"","custom_fields":[{"id":1,"name":"Subdivision","value":"EC"},{"id":4,"name":"Milepost","value":"0.0334"},{"id":17,"name":"Train ID","value":"134-21"},{"id":16,"name":"Locomotive ID","value":"4029"},{"id":130,"name":"Impact","value":""},{"id":150,"name":"Time of Event (Mountain Time)","value":"09:19:59"},{"id":151,"name":"Denver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4029 --day 2017-07-21</v>
      </c>
      <c r="AN4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712</v>
      </c>
      <c r="B46" s="7">
        <v>4046</v>
      </c>
      <c r="C46" s="21" t="s">
        <v>198</v>
      </c>
      <c r="D46" s="21" t="s">
        <v>347</v>
      </c>
      <c r="E46" s="13">
        <v>42937.330347222225</v>
      </c>
      <c r="F46" s="13">
        <v>42937.334201388891</v>
      </c>
      <c r="G46" s="7">
        <v>1</v>
      </c>
      <c r="H46" s="21" t="s">
        <v>882</v>
      </c>
      <c r="I46" s="13">
        <v>42937.358935185184</v>
      </c>
      <c r="J46" s="7">
        <v>0</v>
      </c>
      <c r="K46" s="89" t="str">
        <f t="shared" si="0"/>
        <v>4045/4046</v>
      </c>
      <c r="L46" s="21" t="str">
        <f>VLOOKUP(A46,'Trips&amp;Operators'!$C$1:$G$99999,5,FALSE)</f>
        <v>ANDERS STEVEN</v>
      </c>
      <c r="M46" s="6">
        <f t="shared" si="1"/>
        <v>2.4733796293730848E-2</v>
      </c>
      <c r="N46" s="7">
        <f t="shared" si="27"/>
        <v>35.61666666297242</v>
      </c>
      <c r="O46" s="7"/>
      <c r="P46" s="7"/>
      <c r="Q46" s="22"/>
      <c r="R46" s="170"/>
      <c r="S46" s="213">
        <f t="shared" si="31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-21T06:55:42-0600',mode:absolute,to:'2017-07-21T09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6" s="197" t="str">
        <f>IF(AA46&lt;VLOOKUP(AG46,Variables!$AC$3:$AD$8,2,FALSE),"Y","N")</f>
        <v>N</v>
      </c>
      <c r="X46" s="197">
        <f t="shared" si="30"/>
        <v>1</v>
      </c>
      <c r="Y46" s="197">
        <f t="shared" si="28"/>
        <v>4.4699999999999997E-2</v>
      </c>
      <c r="Z46" s="197">
        <f t="shared" si="29"/>
        <v>23.33</v>
      </c>
      <c r="AA46" s="197">
        <f t="shared" si="9"/>
        <v>23.285299999999999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135</v>
      </c>
      <c r="AE46" s="77" t="str">
        <f t="shared" si="1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46" s="74" t="str">
        <f t="shared" si="12"/>
        <v>"C:\Program Files (x86)\AstroGrep\AstroGrep.exe" /e /r /s /spath="%USERPROFILE%\AppData\Local\Temp\OnboardLogs" /stypes="app*4046*20170721*"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135-21 --locoid 4046 --swversion DE.1.0.9.0 --startMP 204:447 --initTime 2017-07-21T07:55:42 --startdatetime 2017-07-21T08:01:15 --delay 1 --endMP 204:233300 --enddatetime 2017-07-21T08:36:52 --enforcementcount 0 &gt;&gt;C:\Users\stu\Documents\GitHub\eaglep3-reporting\EC\2017-07-21-refined-times.txt</v>
      </c>
      <c r="AI4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{"issue":{"subject":"","project_id":79,"tracker_id":40,"status_id":1,"priority_id":2,"assigned_to_id":23,"start_date":"2017-07-21","description":"","custom_fields":[{"id":1,"name":"Subdivision","value":"EC"},{"id":4,"name":"Milepost","value":"23.33"},{"id":17,"name":"Train ID","value":"135-21"},{"id":16,"name":"Locomotive ID","value":"4046"},{"id":130,"name":"Impact","value":""},{"id":150,"name":"Time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4046 --day 2017-07-21</v>
      </c>
      <c r="AN4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722</v>
      </c>
      <c r="B47" s="7">
        <v>4045</v>
      </c>
      <c r="C47" s="21" t="s">
        <v>198</v>
      </c>
      <c r="D47" s="21" t="s">
        <v>464</v>
      </c>
      <c r="E47" s="13">
        <v>42937.360520833332</v>
      </c>
      <c r="F47" s="13">
        <v>42937.37327546296</v>
      </c>
      <c r="G47" s="7">
        <v>1</v>
      </c>
      <c r="H47" s="21" t="s">
        <v>507</v>
      </c>
      <c r="I47" s="13">
        <v>42937.399907407409</v>
      </c>
      <c r="J47" s="7">
        <v>0</v>
      </c>
      <c r="K47" s="89" t="str">
        <f t="shared" si="0"/>
        <v>4045/4046</v>
      </c>
      <c r="L47" s="21" t="str">
        <f>VLOOKUP(A47,'Trips&amp;Operators'!$C$1:$G$99999,5,FALSE)</f>
        <v>ANDERS STEVEN</v>
      </c>
      <c r="M47" s="6">
        <f t="shared" si="1"/>
        <v>2.6631944449036382E-2</v>
      </c>
      <c r="N47" s="7">
        <f t="shared" si="27"/>
        <v>38.35000000661239</v>
      </c>
      <c r="O47" s="7"/>
      <c r="P47" s="7"/>
      <c r="Q47" s="22"/>
      <c r="R47" s="170"/>
      <c r="S47" s="213">
        <f t="shared" si="31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-21T07:39:09-0600',mode:absolute,to:'2017-07-21T10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7" s="197" t="str">
        <f>IF(AA47&lt;VLOOKUP(AG47,Variables!$AC$3:$AD$8,2,FALSE),"Y","N")</f>
        <v>N</v>
      </c>
      <c r="X47" s="197">
        <f t="shared" si="30"/>
        <v>1</v>
      </c>
      <c r="Y47" s="197">
        <f t="shared" si="28"/>
        <v>23.299399999999999</v>
      </c>
      <c r="Z47" s="197">
        <f t="shared" si="29"/>
        <v>1.32E-2</v>
      </c>
      <c r="AA47" s="197">
        <f t="shared" si="9"/>
        <v>23.286199999999997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136</v>
      </c>
      <c r="AE47" s="77" t="str">
        <f t="shared" si="1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47" s="74" t="str">
        <f t="shared" si="12"/>
        <v>"C:\Program Files (x86)\AstroGrep\AstroGrep.exe" /e /r /s /spath="%USERPROFILE%\AppData\Local\Temp\OnboardLogs" /stypes="app*4045*20170721*"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136-21 --locoid 4045 --swversion DE.1.0.9.0 --startMP 204:232994 --initTime 2017-07-21T08:39:09 --startdatetime 2017-07-21T08:57:31 --delay 1 --endMP 204:132 --enddatetime 2017-07-21T09:35:52 --enforcementcount 0 &gt;&gt;C:\Users\stu\Documents\GitHub\eaglep3-reporting\EC\2017-07-21-refined-times.txt</v>
      </c>
      <c r="AI4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{"issue":{"subject":"","project_id":79,"tracker_id":40,"status_id":1,"priority_id":2,"assigned_to_id":23,"start_date":"2017-07-21","description":"","custom_fields":[{"id":1,"name":"Subdivision","value":"EC"},{"id":4,"name":"Milepost","value":"0.0132"},{"id":17,"name":"Train ID","value":"136-21"},{"id":16,"name":"Locomotive ID","value":"4045"},{"id":130,"name":"Impact","value":""},{"id":150,"name":"Time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4045 --day 2017-07-21</v>
      </c>
      <c r="AN4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716</v>
      </c>
      <c r="B48" s="7">
        <v>4050</v>
      </c>
      <c r="C48" s="21" t="s">
        <v>198</v>
      </c>
      <c r="D48" s="21" t="s">
        <v>347</v>
      </c>
      <c r="E48" s="13">
        <v>42937.340879629628</v>
      </c>
      <c r="F48" s="13">
        <v>42937.344305555554</v>
      </c>
      <c r="G48" s="7">
        <v>1</v>
      </c>
      <c r="H48" s="21" t="s">
        <v>466</v>
      </c>
      <c r="I48" s="13">
        <v>42937.369293981479</v>
      </c>
      <c r="J48" s="7">
        <v>0</v>
      </c>
      <c r="K48" s="89" t="str">
        <f t="shared" si="0"/>
        <v>4049/4050</v>
      </c>
      <c r="L48" s="21" t="str">
        <f>VLOOKUP(A48,'Trips&amp;Operators'!$C$1:$G$99999,5,FALSE)</f>
        <v>DAVIS WENDY</v>
      </c>
      <c r="M48" s="6">
        <f t="shared" si="1"/>
        <v>2.4988425924675539E-2</v>
      </c>
      <c r="N48" s="7">
        <f t="shared" si="27"/>
        <v>35.983333331532776</v>
      </c>
      <c r="O48" s="7"/>
      <c r="P48" s="7"/>
      <c r="Q48" s="22"/>
      <c r="R48" s="170"/>
      <c r="S48" s="213">
        <f t="shared" si="31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-21T07:10:52-0600',mode:absolute,to:'2017-07-21T09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8" s="197" t="str">
        <f>IF(AA48&lt;VLOOKUP(AG48,Variables!$AC$3:$AD$8,2,FALSE),"Y","N")</f>
        <v>N</v>
      </c>
      <c r="X48" s="197">
        <f t="shared" si="30"/>
        <v>1</v>
      </c>
      <c r="Y48" s="197">
        <f t="shared" si="28"/>
        <v>4.4699999999999997E-2</v>
      </c>
      <c r="Z48" s="197">
        <f t="shared" si="29"/>
        <v>23.330500000000001</v>
      </c>
      <c r="AA48" s="197">
        <f t="shared" si="9"/>
        <v>23.285800000000002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137</v>
      </c>
      <c r="AE48" s="77" t="str">
        <f t="shared" si="1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48" s="74" t="str">
        <f t="shared" si="12"/>
        <v>"C:\Program Files (x86)\AstroGrep\AstroGrep.exe" /e /r /s /spath="%USERPROFILE%\AppData\Local\Temp\OnboardLogs" /stypes="app*4050*20170721*"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137-21 --locoid 4050 --swversion DE.1.0.9.0 --startMP 204:447 --initTime 2017-07-21T08:10:52 --startdatetime 2017-07-21T08:15:48 --delay 1 --endMP 204:233305 --enddatetime 2017-07-21T08:51:47 --enforcementcount 0 &gt;&gt;C:\Users\stu\Documents\GitHub\eaglep3-reporting\EC\2017-07-21-refined-times.txt</v>
      </c>
      <c r="AI4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{"issue":{"subject":"","project_id":79,"tracker_id":40,"status_id":1,"priority_id":2,"assigned_to_id":23,"start_date":"2017-07-21","description":"","custom_fields":[{"id":1,"name":"Subdivision","value":"EC"},{"id":4,"name":"Milepost","value":"23.3305"},{"id":17,"name":"Train ID","value":"137-21"},{"id":16,"name":"Locomotive ID","value":"4050"},{"id":130,"name":"Impact","value":""},{"id":150,"name":"Time of Event (Mountain Time)","value":"08:51:47"},{"id":151,"name":"Denver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4050 --day 2017-07-21</v>
      </c>
      <c r="AN4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725</v>
      </c>
      <c r="B49" s="7">
        <v>4049</v>
      </c>
      <c r="C49" s="21" t="s">
        <v>198</v>
      </c>
      <c r="D49" s="21" t="s">
        <v>883</v>
      </c>
      <c r="E49" s="13">
        <v>42937.378796296296</v>
      </c>
      <c r="F49" s="13">
        <v>42937.383483796293</v>
      </c>
      <c r="G49" s="7">
        <v>0</v>
      </c>
      <c r="H49" s="21" t="s">
        <v>378</v>
      </c>
      <c r="I49" s="13">
        <v>42937.410694444443</v>
      </c>
      <c r="J49" s="7">
        <v>0</v>
      </c>
      <c r="K49" s="89" t="str">
        <f t="shared" si="0"/>
        <v>4049/4050</v>
      </c>
      <c r="L49" s="21" t="str">
        <f>VLOOKUP(A49,'Trips&amp;Operators'!$C$1:$G$99999,5,FALSE)</f>
        <v>DAVIS WENDY</v>
      </c>
      <c r="M49" s="6">
        <f t="shared" si="1"/>
        <v>2.7210648149775807E-2</v>
      </c>
      <c r="N49" s="7">
        <f t="shared" si="27"/>
        <v>39.183333335677162</v>
      </c>
      <c r="O49" s="7"/>
      <c r="P49" s="7"/>
      <c r="Q49" s="22"/>
      <c r="R49" s="170"/>
      <c r="S49" s="213">
        <f t="shared" si="31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-21T08:05:28-0600',mode:absolute,to:'2017-07-21T10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9" s="197" t="str">
        <f>IF(AA49&lt;VLOOKUP(AG49,Variables!$AC$3:$AD$8,2,FALSE),"Y","N")</f>
        <v>N</v>
      </c>
      <c r="X49" s="197">
        <f t="shared" si="30"/>
        <v>1</v>
      </c>
      <c r="Y49" s="197">
        <f t="shared" si="28"/>
        <v>23.297499999999999</v>
      </c>
      <c r="Z49" s="197">
        <f t="shared" si="29"/>
        <v>1.54E-2</v>
      </c>
      <c r="AA49" s="197">
        <f t="shared" si="9"/>
        <v>23.2821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138</v>
      </c>
      <c r="AE49" s="77" t="str">
        <f t="shared" si="1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49" s="74" t="str">
        <f t="shared" si="12"/>
        <v>"C:\Program Files (x86)\AstroGrep\AstroGrep.exe" /e /r /s /spath="%USERPROFILE%\AppData\Local\Temp\OnboardLogs" /stypes="app*4049*20170721*"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138-21 --locoid 4049 --swversion DE.1.0.9.0 --startMP 204:232975 --initTime 2017-07-21T09:05:28 --startdatetime 2017-07-21T09:12:13 --delay 0 --endMP 204:154 --enddatetime 2017-07-21T09:51:24 --enforcementcount 0 &gt;&gt;C:\Users\stu\Documents\GitHub\eaglep3-reporting\EC\2017-07-21-refined-times.txt</v>
      </c>
      <c r="AI49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ID","value":"138-21"},{"id":16,"name":"Locomotive ID","value":"4049"},{"id":130,"name":"Impact","value":""},{"id":150,"name":"Time of Event (Mountain Time)","value":"09:51:24"},{"id":151,"name":"Denver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4049 --day 2017-07-21</v>
      </c>
      <c r="AN49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717</v>
      </c>
      <c r="B50" s="7">
        <v>4032</v>
      </c>
      <c r="C50" s="21" t="s">
        <v>198</v>
      </c>
      <c r="D50" s="21" t="s">
        <v>867</v>
      </c>
      <c r="E50" s="13">
        <v>42937.351574074077</v>
      </c>
      <c r="F50" s="13">
        <v>42937.354722222219</v>
      </c>
      <c r="G50" s="7">
        <v>1</v>
      </c>
      <c r="H50" s="21" t="s">
        <v>884</v>
      </c>
      <c r="I50" s="13">
        <v>42937.379872685182</v>
      </c>
      <c r="J50" s="7">
        <v>0</v>
      </c>
      <c r="K50" s="89" t="str">
        <f t="shared" si="0"/>
        <v>4031/4032</v>
      </c>
      <c r="L50" s="21" t="str">
        <f>VLOOKUP(A50,'Trips&amp;Operators'!$C$1:$G$99999,5,FALSE)</f>
        <v>STARKS ANGELINA</v>
      </c>
      <c r="M50" s="6">
        <f t="shared" si="1"/>
        <v>2.5150462963210884E-2</v>
      </c>
      <c r="N50" s="7">
        <f t="shared" si="27"/>
        <v>36.216666667023674</v>
      </c>
      <c r="O50" s="7"/>
      <c r="P50" s="7"/>
      <c r="Q50" s="22"/>
      <c r="R50" s="170"/>
      <c r="S50" s="213">
        <f t="shared" si="31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-21T07:26:16-0600',mode:absolute,to:'2017-07-21T10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197" t="str">
        <f>IF(AA50&lt;VLOOKUP(AG50,Variables!$AC$3:$AD$8,2,FALSE),"Y","N")</f>
        <v>N</v>
      </c>
      <c r="X50" s="197">
        <f t="shared" si="30"/>
        <v>1</v>
      </c>
      <c r="Y50" s="197">
        <f t="shared" si="28"/>
        <v>4.5699999999999998E-2</v>
      </c>
      <c r="Z50" s="197">
        <f t="shared" si="29"/>
        <v>23.328299999999999</v>
      </c>
      <c r="AA50" s="197">
        <f t="shared" si="9"/>
        <v>23.282599999999999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139</v>
      </c>
      <c r="AE50" s="77" t="str">
        <f t="shared" si="1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50" s="74" t="str">
        <f t="shared" si="12"/>
        <v>"C:\Program Files (x86)\AstroGrep\AstroGrep.exe" /e /r /s /spath="%USERPROFILE%\AppData\Local\Temp\OnboardLogs" /stypes="app*4032*20170721*"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139-21 --locoid 4032 --swversion DE.1.0.9.0 --startMP 204:457 --initTime 2017-07-21T08:26:16 --startdatetime 2017-07-21T08:30:48 --delay 1 --endMP 204:233283 --enddatetime 2017-07-21T09:07:01 --enforcementcount 0 &gt;&gt;C:\Users\stu\Documents\GitHub\eaglep3-reporting\EC\2017-07-21-refined-times.txt</v>
      </c>
      <c r="AI50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{"issue":{"subject":"","project_id":79,"tracker_id":40,"status_id":1,"priority_id":2,"assigned_to_id":23,"start_date":"2017-07-21","description":"","custom_fields":[{"id":1,"name":"Subdivision","value":"EC"},{"id":4,"name":"Milepost","value":"23.3283"},{"id":17,"name":"Train ID","value":"139-21"},{"id":16,"name":"Locomotive ID","value":"4032"},{"id":130,"name":"Impact","value":""},{"id":150,"name":"Time of Event (Mountain Time)","value":"09:07:01"},{"id":151,"name":"Denver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4032 --day 2017-07-21</v>
      </c>
      <c r="AN50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727</v>
      </c>
      <c r="B51" s="7">
        <v>4031</v>
      </c>
      <c r="C51" s="21" t="s">
        <v>198</v>
      </c>
      <c r="D51" s="21" t="s">
        <v>479</v>
      </c>
      <c r="E51" s="13">
        <v>42937.391319444447</v>
      </c>
      <c r="F51" s="13">
        <v>42937.393946759257</v>
      </c>
      <c r="G51" s="7">
        <v>1</v>
      </c>
      <c r="H51" s="21" t="s">
        <v>350</v>
      </c>
      <c r="I51" s="13">
        <v>42937.421157407407</v>
      </c>
      <c r="J51" s="7">
        <v>0</v>
      </c>
      <c r="K51" s="89" t="str">
        <f t="shared" si="0"/>
        <v>4031/4032</v>
      </c>
      <c r="L51" s="21" t="str">
        <f>VLOOKUP(A51,'Trips&amp;Operators'!$C$1:$G$99999,5,FALSE)</f>
        <v>STARKS ANGELINA</v>
      </c>
      <c r="M51" s="6">
        <f t="shared" si="1"/>
        <v>2.7210648149775807E-2</v>
      </c>
      <c r="N51" s="7">
        <f t="shared" si="27"/>
        <v>39.183333335677162</v>
      </c>
      <c r="O51" s="7"/>
      <c r="P51" s="7"/>
      <c r="Q51" s="22"/>
      <c r="R51" s="170"/>
      <c r="S51" s="213">
        <f t="shared" si="31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-21T08:23:30-0600',mode:absolute,to:'2017-07-21T11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197" t="str">
        <f>IF(AA51&lt;VLOOKUP(AG51,Variables!$AC$3:$AD$8,2,FALSE),"Y","N")</f>
        <v>N</v>
      </c>
      <c r="X51" s="197">
        <f t="shared" si="30"/>
        <v>1</v>
      </c>
      <c r="Y51" s="197">
        <f t="shared" si="28"/>
        <v>23.298300000000001</v>
      </c>
      <c r="Z51" s="197">
        <f t="shared" si="29"/>
        <v>1.41E-2</v>
      </c>
      <c r="AA51" s="197">
        <f t="shared" si="9"/>
        <v>23.284200000000002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140</v>
      </c>
      <c r="AE51" s="77" t="str">
        <f t="shared" si="1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51" s="74" t="str">
        <f t="shared" si="12"/>
        <v>"C:\Program Files (x86)\AstroGrep\AstroGrep.exe" /e /r /s /spath="%USERPROFILE%\AppData\Local\Temp\OnboardLogs" /stypes="app*4031*20170721*" /stext=" 16:.+((SYSTEM_STATE.+slice.+state.+changed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140-21 --locoid 4031 --swversion DE.1.0.9.0 --startMP 204:232983 --initTime 2017-07-21T09:23:30 --startdatetime 2017-07-21T09:27:17 --delay 1 --endMP 204:141 --enddatetime 2017-07-21T10:06:28 --enforcementcount 0 &gt;&gt;C:\Users\stu\Documents\GitHub\eaglep3-reporting\EC\2017-07-21-refined-times.txt</v>
      </c>
      <c r="AI51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{"issue":{"subject":"","project_id":79,"tracker_id":40,"status_id":1,"priority_id":2,"assigned_to_id":23,"start_date":"2017-07-21","description":"","custom_fields":[{"id":1,"name":"Subdivision","value":"EC"},{"id":4,"name":"Milepost","value":"0.0141"},{"id":17,"name":"Train ID","value":"140-21"},{"id":16,"name":"Locomotive ID","value":"4031"},{"id":130,"name":"Impact","value":""},{"id":150,"name":"Time of Event (Mountain Time)","value":"10:06:28"},{"id":151,"name":"Denver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4031 --day 2017-07-21</v>
      </c>
      <c r="AN51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720</v>
      </c>
      <c r="B52" s="7">
        <v>4026</v>
      </c>
      <c r="C52" s="21" t="s">
        <v>198</v>
      </c>
      <c r="D52" s="21" t="s">
        <v>347</v>
      </c>
      <c r="E52" s="13">
        <v>42937.360358796293</v>
      </c>
      <c r="F52" s="13">
        <v>42937.365115740744</v>
      </c>
      <c r="G52" s="7">
        <v>1</v>
      </c>
      <c r="H52" s="21" t="s">
        <v>885</v>
      </c>
      <c r="I52" s="13">
        <v>42937.390034722222</v>
      </c>
      <c r="J52" s="7">
        <v>0</v>
      </c>
      <c r="K52" s="89" t="str">
        <f t="shared" si="0"/>
        <v>4025/4026</v>
      </c>
      <c r="L52" s="21" t="str">
        <f>VLOOKUP(A52,'Trips&amp;Operators'!$C$1:$G$99999,5,FALSE)</f>
        <v>DAVIDSON DAVID</v>
      </c>
      <c r="M52" s="6">
        <f t="shared" si="1"/>
        <v>2.491898147854954E-2</v>
      </c>
      <c r="N52" s="7">
        <f t="shared" si="27"/>
        <v>35.883333329111338</v>
      </c>
      <c r="O52" s="7"/>
      <c r="P52" s="7"/>
      <c r="Q52" s="22"/>
      <c r="R52" s="170"/>
      <c r="S52" s="213">
        <f t="shared" si="31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-21T07:38:55-0600',mode:absolute,to:'2017-07-21T10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197" t="str">
        <f>IF(AA52&lt;VLOOKUP(AG52,Variables!$AC$3:$AD$8,2,FALSE),"Y","N")</f>
        <v>N</v>
      </c>
      <c r="X52" s="197">
        <f t="shared" si="30"/>
        <v>1</v>
      </c>
      <c r="Y52" s="197">
        <f t="shared" si="28"/>
        <v>4.4699999999999997E-2</v>
      </c>
      <c r="Z52" s="197">
        <f t="shared" si="29"/>
        <v>23.3309</v>
      </c>
      <c r="AA52" s="197">
        <f t="shared" si="9"/>
        <v>23.286200000000001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141</v>
      </c>
      <c r="AE52" s="77" t="str">
        <f t="shared" si="1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52" s="74" t="str">
        <f t="shared" si="12"/>
        <v>"C:\Program Files (x86)\AstroGrep\AstroGrep.exe" /e /r /s /spath="%USERPROFILE%\AppData\Local\Temp\OnboardLogs" /stypes="app*4026*20170721*"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141-21 --locoid 4026 --swversion DE.1.0.9.0 --startMP 204:447 --initTime 2017-07-21T08:38:55 --startdatetime 2017-07-21T08:45:46 --delay 1 --endMP 204:233309 --enddatetime 2017-07-21T09:21:39 --enforcementcount 0 &gt;&gt;C:\Users\stu\Documents\GitHub\eaglep3-reporting\EC\2017-07-21-refined-times.txt</v>
      </c>
      <c r="AI52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{"issue":{"subject":"","project_id":79,"tracker_id":40,"status_id":1,"priority_id":2,"assigned_to_id":23,"start_date":"2017-07-21","description":"","custom_fields":[{"id":1,"name":"Subdivision","value":"EC"},{"id":4,"name":"Milepost","value":"23.3309"},{"id":17,"name":"Train ID","value":"141-21"},{"id":16,"name":"Locomotive ID","value":"4026"},{"id":130,"name":"Impact","value":""},{"id":150,"name":"Time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4026 --day 2017-07-21</v>
      </c>
      <c r="AN52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728</v>
      </c>
      <c r="B53" s="7">
        <v>4025</v>
      </c>
      <c r="C53" s="21" t="s">
        <v>198</v>
      </c>
      <c r="D53" s="21" t="s">
        <v>567</v>
      </c>
      <c r="E53" s="13">
        <v>42937.39167824074</v>
      </c>
      <c r="F53" s="13">
        <v>42937.404421296298</v>
      </c>
      <c r="G53" s="7">
        <v>1</v>
      </c>
      <c r="H53" s="21" t="s">
        <v>378</v>
      </c>
      <c r="I53" s="13">
        <v>42937.431898148148</v>
      </c>
      <c r="J53" s="7">
        <v>0</v>
      </c>
      <c r="K53" s="89" t="str">
        <f t="shared" si="0"/>
        <v>4025/4026</v>
      </c>
      <c r="L53" s="21" t="str">
        <f>VLOOKUP(A53,'Trips&amp;Operators'!$C$1:$G$99999,5,FALSE)</f>
        <v>DAVIDSON DAVID</v>
      </c>
      <c r="M53" s="6">
        <f t="shared" si="1"/>
        <v>2.7476851850224193E-2</v>
      </c>
      <c r="N53" s="7">
        <f t="shared" si="27"/>
        <v>39.566666664322838</v>
      </c>
      <c r="O53" s="7"/>
      <c r="P53" s="7"/>
      <c r="Q53" s="22"/>
      <c r="R53" s="170"/>
      <c r="S53" s="213">
        <f t="shared" si="31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-21T08:24:01-0600',mode:absolute,to:'2017-07-21T11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3" s="197" t="str">
        <f>IF(AA53&lt;VLOOKUP(AG53,Variables!$AC$3:$AD$8,2,FALSE),"Y","N")</f>
        <v>N</v>
      </c>
      <c r="X53" s="197">
        <f t="shared" si="30"/>
        <v>1</v>
      </c>
      <c r="Y53" s="197">
        <f t="shared" si="28"/>
        <v>23.298200000000001</v>
      </c>
      <c r="Z53" s="197">
        <f t="shared" si="29"/>
        <v>1.54E-2</v>
      </c>
      <c r="AA53" s="197">
        <f t="shared" si="9"/>
        <v>23.282800000000002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142</v>
      </c>
      <c r="AE53" s="77" t="str">
        <f t="shared" si="1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53" s="74" t="str">
        <f t="shared" si="12"/>
        <v>"C:\Program Files (x86)\AstroGrep\AstroGrep.exe" /e /r /s /spath="%USERPROFILE%\AppData\Local\Temp\OnboardLogs" /stypes="app*4025*20170721*"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142-21 --locoid 4025 --swversion DE.1.0.9.0 --startMP 204:232982 --initTime 2017-07-21T09:24:01 --startdatetime 2017-07-21T09:42:22 --delay 1 --endMP 204:154 --enddatetime 2017-07-21T10:21:56 --enforcementcount 0 &gt;&gt;C:\Users\stu\Documents\GitHub\eaglep3-reporting\EC\2017-07-21-refined-times.txt</v>
      </c>
      <c r="AI53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ID","value":"142-21"},{"id":16,"name":"Locomotive ID","value":"4025"},{"id":130,"name":"Impact","value":""},{"id":150,"name":"Time of Event (Mountain Time)","value":"10:21:56"},{"id":151,"name":"Denver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4025 --day 2017-07-21</v>
      </c>
      <c r="AN53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723</v>
      </c>
      <c r="B54" s="7">
        <v>4054</v>
      </c>
      <c r="C54" s="21" t="s">
        <v>198</v>
      </c>
      <c r="D54" s="21" t="s">
        <v>377</v>
      </c>
      <c r="E54" s="13">
        <v>42937.372395833336</v>
      </c>
      <c r="F54" s="13">
        <v>42937.375185185185</v>
      </c>
      <c r="G54" s="7">
        <v>1</v>
      </c>
      <c r="H54" s="21" t="s">
        <v>534</v>
      </c>
      <c r="I54" s="13">
        <v>42937.401631944442</v>
      </c>
      <c r="J54" s="7">
        <v>0</v>
      </c>
      <c r="K54" s="89" t="str">
        <f t="shared" si="0"/>
        <v>4053/4054</v>
      </c>
      <c r="L54" s="21" t="str">
        <f>VLOOKUP(A54,'Trips&amp;Operators'!$C$1:$G$99999,5,FALSE)</f>
        <v>WILLIAMS DONTE</v>
      </c>
      <c r="M54" s="6">
        <f t="shared" si="1"/>
        <v>2.6446759256941732E-2</v>
      </c>
      <c r="N54" s="7">
        <f t="shared" si="27"/>
        <v>38.083333329996094</v>
      </c>
      <c r="O54" s="7"/>
      <c r="P54" s="7"/>
      <c r="Q54" s="22"/>
      <c r="R54" s="170"/>
      <c r="S54" s="213">
        <f t="shared" si="31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-21T07:56:15-0600',mode:absolute,to:'2017-07-21T10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4" s="197" t="str">
        <f>IF(AA54&lt;VLOOKUP(AG54,Variables!$AC$3:$AD$8,2,FALSE),"Y","N")</f>
        <v>N</v>
      </c>
      <c r="X54" s="197">
        <f t="shared" si="30"/>
        <v>1</v>
      </c>
      <c r="Y54" s="197">
        <f t="shared" si="28"/>
        <v>4.6199999999999998E-2</v>
      </c>
      <c r="Z54" s="197">
        <f t="shared" si="29"/>
        <v>23.330200000000001</v>
      </c>
      <c r="AA54" s="197">
        <f t="shared" si="9"/>
        <v>23.284000000000002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143</v>
      </c>
      <c r="AE54" s="77" t="str">
        <f t="shared" si="1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54" s="74" t="str">
        <f t="shared" si="12"/>
        <v>"C:\Program Files (x86)\AstroGrep\AstroGrep.exe" /e /r /s /spath="%USERPROFILE%\AppData\Local\Temp\OnboardLogs" /stypes="app*4054*20170721*"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143-21 --locoid 4054 --swversion DE.1.0.9.0 --startMP 204:462 --initTime 2017-07-21T08:56:15 --startdatetime 2017-07-21T09:00:16 --delay 1 --endMP 204:233302 --enddatetime 2017-07-21T09:38:21 --enforcementcount 0 &gt;&gt;C:\Users\stu\Documents\GitHub\eaglep3-reporting\EC\2017-07-21-refined-times.txt</v>
      </c>
      <c r="AI54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{"issue":{"subject":"","project_id":79,"tracker_id":40,"status_id":1,"priority_id":2,"assigned_to_id":23,"start_date":"2017-07-21","description":"","custom_fields":[{"id":1,"name":"Subdivision","value":"EC"},{"id":4,"name":"Milepost","value":"23.3302"},{"id":17,"name":"Train ID","value":"143-21"},{"id":16,"name":"Locomotive ID","value":"4054"},{"id":130,"name":"Impact","value":""},{"id":150,"name":"Time of Event (Mountain Time)","value":"09:38:21"},{"id":151,"name":"Denver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4054 --day 2017-07-21</v>
      </c>
      <c r="AN54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734</v>
      </c>
      <c r="B55" s="7">
        <v>4053</v>
      </c>
      <c r="C55" s="21" t="s">
        <v>198</v>
      </c>
      <c r="D55" s="21" t="s">
        <v>886</v>
      </c>
      <c r="E55" s="13">
        <v>42937.404224537036</v>
      </c>
      <c r="F55" s="13">
        <v>42937.415821759256</v>
      </c>
      <c r="G55" s="7">
        <v>1</v>
      </c>
      <c r="H55" s="21" t="s">
        <v>342</v>
      </c>
      <c r="I55" s="13">
        <v>42937.44295138889</v>
      </c>
      <c r="J55" s="7">
        <v>0</v>
      </c>
      <c r="K55" s="89" t="str">
        <f t="shared" si="0"/>
        <v>4053/4054</v>
      </c>
      <c r="L55" s="21" t="str">
        <f>VLOOKUP(A55,'Trips&amp;Operators'!$C$1:$G$99999,5,FALSE)</f>
        <v>WILLIAMS DONTE</v>
      </c>
      <c r="M55" s="6">
        <f t="shared" si="1"/>
        <v>2.7129629634146113E-2</v>
      </c>
      <c r="N55" s="7">
        <f t="shared" si="27"/>
        <v>39.066666673170403</v>
      </c>
      <c r="O55" s="7"/>
      <c r="P55" s="7"/>
      <c r="Q55" s="22"/>
      <c r="R55" s="170"/>
      <c r="S55" s="213">
        <f t="shared" si="31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-21T08:42:05-0600',mode:absolute,to:'2017-07-21T11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5" s="197" t="str">
        <f>IF(AA55&lt;VLOOKUP(AG55,Variables!$AC$3:$AD$8,2,FALSE),"Y","N")</f>
        <v>N</v>
      </c>
      <c r="X55" s="197">
        <f t="shared" si="30"/>
        <v>1</v>
      </c>
      <c r="Y55" s="197">
        <f t="shared" si="28"/>
        <v>23.296800000000001</v>
      </c>
      <c r="Z55" s="197">
        <f t="shared" si="29"/>
        <v>1.49E-2</v>
      </c>
      <c r="AA55" s="197">
        <f t="shared" si="9"/>
        <v>23.2819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144</v>
      </c>
      <c r="AE55" s="77" t="str">
        <f t="shared" si="1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55" s="74" t="str">
        <f t="shared" si="12"/>
        <v>"C:\Program Files (x86)\AstroGrep\AstroGrep.exe" /e /r /s /spath="%USERPROFILE%\AppData\Local\Temp\OnboardLogs" /stypes="app*4053*20170721*"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144-21 --locoid 4053 --swversion DE.1.0.9.0 --startMP 204:232968 --initTime 2017-07-21T09:42:05 --startdatetime 2017-07-21T09:58:47 --delay 1 --endMP 204:149 --enddatetime 2017-07-21T10:37:51 --enforcementcount 0 &gt;&gt;C:\Users\stu\Documents\GitHub\eaglep3-reporting\EC\2017-07-21-refined-times.txt</v>
      </c>
      <c r="AI5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{"issue":{"subject":"","project_id":79,"tracker_id":40,"status_id":1,"priority_id":2,"assigned_to_id":23,"start_date":"2017-07-21","description":"","custom_fields":[{"id":1,"name":"Subdivision","value":"EC"},{"id":4,"name":"Milepost","value":"0.0149"},{"id":17,"name":"Train ID","value":"144-21"},{"id":16,"name":"Locomotive ID","value":"4053"},{"id":130,"name":"Impact","value":""},{"id":150,"name":"Time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4053 --day 2017-07-21</v>
      </c>
      <c r="AN5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726</v>
      </c>
      <c r="B56" s="7">
        <v>4058</v>
      </c>
      <c r="C56" s="21" t="s">
        <v>198</v>
      </c>
      <c r="D56" s="21" t="s">
        <v>463</v>
      </c>
      <c r="E56" s="13">
        <v>42937.385312500002</v>
      </c>
      <c r="F56" s="13">
        <v>42937.38690972222</v>
      </c>
      <c r="G56" s="7">
        <v>1</v>
      </c>
      <c r="H56" s="21" t="s">
        <v>885</v>
      </c>
      <c r="I56" s="13">
        <v>42937.410185185188</v>
      </c>
      <c r="J56" s="7">
        <v>0</v>
      </c>
      <c r="K56" s="89" t="str">
        <f t="shared" si="0"/>
        <v>4057/4058</v>
      </c>
      <c r="L56" s="21" t="str">
        <f>VLOOKUP(A56,'Trips&amp;Operators'!$C$1:$G$99999,5,FALSE)</f>
        <v>LOZA FIDEL</v>
      </c>
      <c r="M56" s="6">
        <f t="shared" si="1"/>
        <v>2.3275462968740612E-2</v>
      </c>
      <c r="N56" s="7">
        <f t="shared" si="27"/>
        <v>33.516666674986482</v>
      </c>
      <c r="O56" s="7"/>
      <c r="P56" s="7"/>
      <c r="Q56" s="22"/>
      <c r="R56" s="170"/>
      <c r="S56" s="213">
        <f t="shared" si="31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-21T08:14:51-0600',mode:absolute,to:'2017-07-21T10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6" s="197" t="str">
        <f>IF(AA56&lt;VLOOKUP(AG56,Variables!$AC$3:$AD$8,2,FALSE),"Y","N")</f>
        <v>N</v>
      </c>
      <c r="X56" s="197">
        <f t="shared" si="30"/>
        <v>1</v>
      </c>
      <c r="Y56" s="197">
        <f t="shared" si="28"/>
        <v>4.4200000000000003E-2</v>
      </c>
      <c r="Z56" s="197">
        <f t="shared" si="29"/>
        <v>23.3309</v>
      </c>
      <c r="AA56" s="197">
        <f t="shared" si="9"/>
        <v>23.2867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145</v>
      </c>
      <c r="AE56" s="77" t="str">
        <f t="shared" si="1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56" s="74" t="str">
        <f t="shared" si="12"/>
        <v>"C:\Program Files (x86)\AstroGrep\AstroGrep.exe" /e /r /s /spath="%USERPROFILE%\AppData\Local\Temp\OnboardLogs" /stypes="app*4058*20170721*"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145-21 --locoid 4058 --swversion DE.1.0.9.0 --startMP 204:442 --initTime 2017-07-21T09:14:51 --startdatetime 2017-07-21T09:17:09 --delay 1 --endMP 204:233309 --enddatetime 2017-07-21T09:50:40 --enforcementcount 0 &gt;&gt;C:\Users\stu\Documents\GitHub\eaglep3-reporting\EC\2017-07-21-refined-times.txt</v>
      </c>
      <c r="AI5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{"issue":{"subject":"","project_id":79,"tracker_id":40,"status_id":1,"priority_id":2,"assigned_to_id":23,"start_date":"2017-07-21","description":"","custom_fields":[{"id":1,"name":"Subdivision","value":"EC"},{"id":4,"name":"Milepost","value":"23.3309"},{"id":17,"name":"Train ID","value":"145-21"},{"id":16,"name":"Locomotive ID","value":"4058"},{"id":130,"name":"Impact","value":""},{"id":150,"name":"Time of Event (Mountain Time)","value":"09:50:40"},{"id":151,"name":"Denver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4058 --day 2017-07-21</v>
      </c>
      <c r="AN5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736</v>
      </c>
      <c r="B57" s="7">
        <v>4057</v>
      </c>
      <c r="C57" s="21" t="s">
        <v>198</v>
      </c>
      <c r="D57" s="21" t="s">
        <v>883</v>
      </c>
      <c r="E57" s="13">
        <v>42937.413946759261</v>
      </c>
      <c r="F57" s="13">
        <v>42937.42523148148</v>
      </c>
      <c r="G57" s="7">
        <v>1</v>
      </c>
      <c r="H57" s="21" t="s">
        <v>383</v>
      </c>
      <c r="I57" s="13">
        <v>42937.452418981484</v>
      </c>
      <c r="J57" s="7">
        <v>0</v>
      </c>
      <c r="K57" s="89" t="str">
        <f t="shared" si="0"/>
        <v>4057/4058</v>
      </c>
      <c r="L57" s="21" t="str">
        <f>VLOOKUP(A57,'Trips&amp;Operators'!$C$1:$G$99999,5,FALSE)</f>
        <v>LANGERAK WILLIAM</v>
      </c>
      <c r="M57" s="6">
        <f t="shared" si="1"/>
        <v>2.718750000349246E-2</v>
      </c>
      <c r="N57" s="7">
        <f t="shared" si="27"/>
        <v>39.150000005029142</v>
      </c>
      <c r="O57" s="7"/>
      <c r="P57" s="7"/>
      <c r="Q57" s="22"/>
      <c r="R57" s="170"/>
      <c r="S57" s="213">
        <f t="shared" si="31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-21T08:56:05-0600',mode:absolute,to:'2017-07-21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7" s="197" t="str">
        <f>IF(AA57&lt;VLOOKUP(AG57,Variables!$AC$3:$AD$8,2,FALSE),"Y","N")</f>
        <v>N</v>
      </c>
      <c r="X57" s="197">
        <f t="shared" si="30"/>
        <v>1</v>
      </c>
      <c r="Y57" s="197">
        <f t="shared" si="28"/>
        <v>23.297499999999999</v>
      </c>
      <c r="Z57" s="197">
        <f t="shared" si="29"/>
        <v>1.4500000000000001E-2</v>
      </c>
      <c r="AA57" s="197">
        <f t="shared" si="9"/>
        <v>23.282999999999998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146</v>
      </c>
      <c r="AE57" s="77" t="str">
        <f t="shared" si="1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57" s="74" t="str">
        <f t="shared" si="12"/>
        <v>"C:\Program Files (x86)\AstroGrep\AstroGrep.exe" /e /r /s /spath="%USERPROFILE%\AppData\Local\Temp\OnboardLogs" /stypes="app*4057*20170721*"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146-21 --locoid 4057 --swversion DE.1.0.9.0 --startMP 204:232975 --initTime 2017-07-21T09:56:05 --startdatetime 2017-07-21T10:12:20 --delay 1 --endMP 204:145 --enddatetime 2017-07-21T10:51:29 --enforcementcount 0 &gt;&gt;C:\Users\stu\Documents\GitHub\eaglep3-reporting\EC\2017-07-21-refined-times.txt</v>
      </c>
      <c r="AI5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{"issue":{"subject":"","project_id":79,"tracker_id":40,"status_id":1,"priority_id":2,"assigned_to_id":23,"start_date":"2017-07-21","description":"","custom_fields":[{"id":1,"name":"Subdivision","value":"EC"},{"id":4,"name":"Milepost","value":"0.0145"},{"id":17,"name":"Train ID","value":"146-21"},{"id":16,"name":"Locomotive ID","value":"4057"},{"id":130,"name":"Impact","value":""},{"id":150,"name":"Time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4057 --day 2017-07-21</v>
      </c>
      <c r="AN5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731</v>
      </c>
      <c r="B58" s="7">
        <v>4030</v>
      </c>
      <c r="C58" s="21" t="s">
        <v>198</v>
      </c>
      <c r="D58" s="21" t="s">
        <v>887</v>
      </c>
      <c r="E58" s="13">
        <v>42937.394143518519</v>
      </c>
      <c r="F58" s="13">
        <v>42937.396377314813</v>
      </c>
      <c r="G58" s="7">
        <v>1</v>
      </c>
      <c r="H58" s="21" t="s">
        <v>473</v>
      </c>
      <c r="I58" s="13">
        <v>42937.421354166669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PAGE MARCUS</v>
      </c>
      <c r="M58" s="6">
        <f t="shared" si="1"/>
        <v>2.4976851855171844E-2</v>
      </c>
      <c r="N58" s="7">
        <f t="shared" si="27"/>
        <v>35.966666671447456</v>
      </c>
      <c r="O58" s="7"/>
      <c r="P58" s="7"/>
      <c r="Q58" s="22"/>
      <c r="R58" s="170"/>
      <c r="S58" s="213">
        <f t="shared" si="31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-21T08:27:34-0600',mode:absolute,to:'2017-07-21T11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97" t="str">
        <f>IF(AA58&lt;VLOOKUP(AG58,Variables!$AC$3:$AD$8,2,FALSE),"Y","N")</f>
        <v>N</v>
      </c>
      <c r="X58" s="197">
        <f t="shared" si="30"/>
        <v>1</v>
      </c>
      <c r="Y58" s="197">
        <f t="shared" si="28"/>
        <v>6.2100000000000002E-2</v>
      </c>
      <c r="Z58" s="197">
        <f t="shared" si="29"/>
        <v>23.3291</v>
      </c>
      <c r="AA58" s="197">
        <f t="shared" si="9"/>
        <v>23.266999999999999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147</v>
      </c>
      <c r="AE58" s="77" t="str">
        <f t="shared" si="1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58" s="74" t="str">
        <f t="shared" si="12"/>
        <v>"C:\Program Files (x86)\AstroGrep\AstroGrep.exe" /e /r /s /spath="%USERPROFILE%\AppData\Local\Temp\OnboardLogs" /stypes="app*4030*20170721*"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147-21 --locoid 4030 --swversion DE.1.0.9.0 --startMP 204:621 --initTime 2017-07-21T09:27:34 --startdatetime 2017-07-21T09:30:47 --delay 1 --endMP 204:233291 --enddatetime 2017-07-21T10:06:45 --enforcementcount 0 &gt;&gt;C:\Users\stu\Documents\GitHub\eaglep3-reporting\EC\2017-07-21-refined-times.txt</v>
      </c>
      <c r="AI5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{"issue":{"subject":"","project_id":79,"tracker_id":40,"status_id":1,"priority_id":2,"assigned_to_id":23,"start_date":"2017-07-21","description":"","custom_fields":[{"id":1,"name":"Subdivision","value":"EC"},{"id":4,"name":"Milepost","value":"23.3291"},{"id":17,"name":"Train ID","value":"147-21"},{"id":16,"name":"Locomotive ID","value":"4030"},{"id":130,"name":"Impact","value":""},{"id":150,"name":"Time of Event (Mountain Time)","value":"10:06:45"},{"id":151,"name":"Denver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4030 --day 2017-07-21</v>
      </c>
      <c r="AN5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739</v>
      </c>
      <c r="B59" s="7">
        <v>4029</v>
      </c>
      <c r="C59" s="21" t="s">
        <v>198</v>
      </c>
      <c r="D59" s="21" t="s">
        <v>499</v>
      </c>
      <c r="E59" s="13">
        <v>42937.432974537034</v>
      </c>
      <c r="F59" s="13">
        <v>42937.435949074075</v>
      </c>
      <c r="G59" s="7">
        <v>1</v>
      </c>
      <c r="H59" s="21" t="s">
        <v>588</v>
      </c>
      <c r="I59" s="13">
        <v>42937.46292824074</v>
      </c>
      <c r="J59" s="7">
        <v>0</v>
      </c>
      <c r="K59" s="89" t="str">
        <f t="shared" si="0"/>
        <v>4029/4030</v>
      </c>
      <c r="L59" s="21" t="str">
        <f>VLOOKUP(A59,'Trips&amp;Operators'!$C$1:$G$99999,5,FALSE)</f>
        <v>PAGE MARCUS</v>
      </c>
      <c r="M59" s="6">
        <f t="shared" si="1"/>
        <v>2.6979166665114462E-2</v>
      </c>
      <c r="N59" s="7">
        <f t="shared" si="27"/>
        <v>38.849999997764826</v>
      </c>
      <c r="O59" s="7"/>
      <c r="P59" s="7"/>
      <c r="Q59" s="22"/>
      <c r="R59" s="170"/>
      <c r="S59" s="213">
        <f t="shared" si="31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-21T09:23:29-0600',mode:absolute,to:'2017-07-21T12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197" t="str">
        <f>IF(AA59&lt;VLOOKUP(AG59,Variables!$AC$3:$AD$8,2,FALSE),"Y","N")</f>
        <v>N</v>
      </c>
      <c r="X59" s="197">
        <f t="shared" si="30"/>
        <v>1</v>
      </c>
      <c r="Y59" s="197">
        <f t="shared" si="28"/>
        <v>23.298500000000001</v>
      </c>
      <c r="Z59" s="197">
        <f t="shared" si="29"/>
        <v>1.72E-2</v>
      </c>
      <c r="AA59" s="197">
        <f t="shared" si="9"/>
        <v>23.281300000000002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148</v>
      </c>
      <c r="AE59" s="77" t="str">
        <f t="shared" si="1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59" s="74" t="str">
        <f t="shared" si="12"/>
        <v>"C:\Program Files (x86)\AstroGrep\AstroGrep.exe" /e /r /s /spath="%USERPROFILE%\AppData\Local\Temp\OnboardLogs" /stypes="app*4029*20170721*" /stext=" 17:.+((SYSTEM_STATE.+slice.+state.+changed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148-21 --locoid 4029 --swversion DE.1.0.9.0 --startMP 204:232985 --initTime 2017-07-21T10:23:29 --startdatetime 2017-07-21T10:27:46 --delay 1 --endMP 204:172 --enddatetime 2017-07-21T11:06:37 --enforcementcount 0 &gt;&gt;C:\Users\stu\Documents\GitHub\eaglep3-reporting\EC\2017-07-21-refined-times.txt</v>
      </c>
      <c r="AI59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{"issue":{"subject":"","project_id":79,"tracker_id":40,"status_id":1,"priority_id":2,"assigned_to_id":23,"start_date":"2017-07-21","description":"","custom_fields":[{"id":1,"name":"Subdivision","value":"EC"},{"id":4,"name":"Milepost","value":"0.0172"},{"id":17,"name":"Train ID","value":"148-21"},{"id":16,"name":"Locomotive ID","value":"4029"},{"id":130,"name":"Impact","value":""},{"id":150,"name":"Time of Event (Mountain Time)","value":"11:06:37"},{"id":151,"name":"Denver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4029 --day 2017-07-21</v>
      </c>
      <c r="AN59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733</v>
      </c>
      <c r="B60" s="7">
        <v>4046</v>
      </c>
      <c r="C60" s="21" t="s">
        <v>198</v>
      </c>
      <c r="D60" s="21" t="s">
        <v>409</v>
      </c>
      <c r="E60" s="13">
        <v>42937.40215277778</v>
      </c>
      <c r="F60" s="13">
        <v>42937.406898148147</v>
      </c>
      <c r="G60" s="7">
        <v>1</v>
      </c>
      <c r="H60" s="21" t="s">
        <v>539</v>
      </c>
      <c r="I60" s="13">
        <v>42937.431296296294</v>
      </c>
      <c r="J60" s="7">
        <v>0</v>
      </c>
      <c r="K60" s="89" t="str">
        <f t="shared" si="0"/>
        <v>4045/4046</v>
      </c>
      <c r="L60" s="21" t="str">
        <f>VLOOKUP(A60,'Trips&amp;Operators'!$C$1:$G$99999,5,FALSE)</f>
        <v>ANDERS STEVEN</v>
      </c>
      <c r="M60" s="6">
        <f t="shared" si="1"/>
        <v>2.4398148147156462E-2</v>
      </c>
      <c r="N60" s="7">
        <f t="shared" si="27"/>
        <v>35.133333331905305</v>
      </c>
      <c r="O60" s="7"/>
      <c r="P60" s="7"/>
      <c r="Q60" s="22"/>
      <c r="R60" s="170"/>
      <c r="S60" s="213">
        <f t="shared" si="31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-21T08:39:06-0600',mode:absolute,to:'2017-07-21T11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0" s="197" t="str">
        <f>IF(AA60&lt;VLOOKUP(AG60,Variables!$AC$3:$AD$8,2,FALSE),"Y","N")</f>
        <v>N</v>
      </c>
      <c r="X60" s="197">
        <f t="shared" si="30"/>
        <v>1</v>
      </c>
      <c r="Y60" s="197">
        <f t="shared" si="28"/>
        <v>4.58E-2</v>
      </c>
      <c r="Z60" s="197">
        <f t="shared" si="29"/>
        <v>23.3276</v>
      </c>
      <c r="AA60" s="197">
        <f t="shared" si="9"/>
        <v>23.2818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149</v>
      </c>
      <c r="AE60" s="77" t="str">
        <f t="shared" si="1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60" s="74" t="str">
        <f t="shared" si="12"/>
        <v>"C:\Program Files (x86)\AstroGrep\AstroGrep.exe" /e /r /s /spath="%USERPROFILE%\AppData\Local\Temp\OnboardLogs" /stypes="app*4046*20170721*"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149-21 --locoid 4046 --swversion DE.1.0.9.0 --startMP 204:458 --initTime 2017-07-21T09:39:06 --startdatetime 2017-07-21T09:45:56 --delay 1 --endMP 204:233276 --enddatetime 2017-07-21T10:21:04 --enforcementcount 0 &gt;&gt;C:\Users\stu\Documents\GitHub\eaglep3-reporting\EC\2017-07-21-refined-times.txt</v>
      </c>
      <c r="AI60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{"issue":{"subject":"","project_id":79,"tracker_id":40,"status_id":1,"priority_id":2,"assigned_to_id":23,"start_date":"2017-07-21","description":"","custom_fields":[{"id":1,"name":"Subdivision","value":"EC"},{"id":4,"name":"Milepost","value":"23.3276"},{"id":17,"name":"Train ID","value":"149-21"},{"id":16,"name":"Locomotive ID","value":"4046"},{"id":130,"name":"Impact","value":""},{"id":150,"name":"Time of Event (Mountain Time)","value":"10:21:04"},{"id":151,"name":"Denver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4046 --day 2017-07-21</v>
      </c>
      <c r="AN60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740</v>
      </c>
      <c r="B61" s="7">
        <v>4045</v>
      </c>
      <c r="C61" s="21" t="s">
        <v>198</v>
      </c>
      <c r="D61" s="21" t="s">
        <v>468</v>
      </c>
      <c r="E61" s="13">
        <v>42937.432986111111</v>
      </c>
      <c r="F61" s="13">
        <v>42937.446134259262</v>
      </c>
      <c r="G61" s="7">
        <v>1</v>
      </c>
      <c r="H61" s="21" t="s">
        <v>351</v>
      </c>
      <c r="I61" s="13">
        <v>42937.472824074073</v>
      </c>
      <c r="J61" s="7">
        <v>0</v>
      </c>
      <c r="K61" s="89" t="str">
        <f t="shared" si="0"/>
        <v>4045/4046</v>
      </c>
      <c r="L61" s="21" t="str">
        <f>VLOOKUP(A61,'Trips&amp;Operators'!$C$1:$G$99999,5,FALSE)</f>
        <v>ANDERS STEVEN</v>
      </c>
      <c r="M61" s="6">
        <f t="shared" si="1"/>
        <v>2.6689814811106771E-2</v>
      </c>
      <c r="N61" s="7">
        <f t="shared" si="27"/>
        <v>38.433333327993751</v>
      </c>
      <c r="O61" s="7"/>
      <c r="P61" s="7"/>
      <c r="Q61" s="22"/>
      <c r="R61" s="170"/>
      <c r="S61" s="213">
        <f t="shared" si="31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-21T09:23:30-0600',mode:absolute,to:'2017-07-21T12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1" s="197" t="str">
        <f>IF(AA61&lt;VLOOKUP(AG61,Variables!$AC$3:$AD$8,2,FALSE),"Y","N")</f>
        <v>N</v>
      </c>
      <c r="X61" s="197">
        <f t="shared" si="30"/>
        <v>1</v>
      </c>
      <c r="Y61" s="197">
        <f t="shared" si="28"/>
        <v>23.296500000000002</v>
      </c>
      <c r="Z61" s="197">
        <f t="shared" si="29"/>
        <v>1.47E-2</v>
      </c>
      <c r="AA61" s="197">
        <f t="shared" si="9"/>
        <v>23.2818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150</v>
      </c>
      <c r="AE61" s="77" t="str">
        <f t="shared" si="1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61" s="74" t="str">
        <f t="shared" si="12"/>
        <v>"C:\Program Files (x86)\AstroGrep\AstroGrep.exe" /e /r /s /spath="%USERPROFILE%\AppData\Local\Temp\OnboardLogs" /stypes="app*4045*20170721*"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150-21 --locoid 4045 --swversion DE.1.0.9.0 --startMP 204:232965 --initTime 2017-07-21T10:23:30 --startdatetime 2017-07-21T10:42:26 --delay 1 --endMP 204:147 --enddatetime 2017-07-21T11:20:52 --enforcementcount 0 &gt;&gt;C:\Users\stu\Documents\GitHub\eaglep3-reporting\EC\2017-07-21-refined-times.txt</v>
      </c>
      <c r="AI61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{"issue":{"subject":"","project_id":79,"tracker_id":40,"status_id":1,"priority_id":2,"assigned_to_id":23,"start_date":"2017-07-21","description":"","custom_fields":[{"id":1,"name":"Subdivision","value":"EC"},{"id":4,"name":"Milepost","value":"0.0147"},{"id":17,"name":"Train ID","value":"150-21"},{"id":16,"name":"Locomotive ID","value":"4045"},{"id":130,"name":"Impact","value":""},{"id":150,"name":"Time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4045 --day 2017-07-21</v>
      </c>
      <c r="AN61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735</v>
      </c>
      <c r="B62" s="7">
        <v>4050</v>
      </c>
      <c r="C62" s="21" t="s">
        <v>198</v>
      </c>
      <c r="D62" s="21" t="s">
        <v>346</v>
      </c>
      <c r="E62" s="13">
        <v>42937.413414351853</v>
      </c>
      <c r="F62" s="13">
        <v>42937.417245370372</v>
      </c>
      <c r="G62" s="7">
        <v>1</v>
      </c>
      <c r="H62" s="21" t="s">
        <v>569</v>
      </c>
      <c r="I62" s="13">
        <v>42937.442615740743</v>
      </c>
      <c r="J62" s="7">
        <v>0</v>
      </c>
      <c r="K62" s="89" t="str">
        <f t="shared" si="0"/>
        <v>4049/4050</v>
      </c>
      <c r="L62" s="21" t="str">
        <f>VLOOKUP(A62,'Trips&amp;Operators'!$C$1:$G$99999,5,FALSE)</f>
        <v>DAVIS WENDY</v>
      </c>
      <c r="M62" s="6">
        <f t="shared" si="1"/>
        <v>2.5370370371092577E-2</v>
      </c>
      <c r="N62" s="7">
        <f t="shared" ref="N62:N93" si="32">24*60*SUM($M62:$M62)</f>
        <v>36.53333333437331</v>
      </c>
      <c r="O62" s="7"/>
      <c r="P62" s="7"/>
      <c r="Q62" s="22"/>
      <c r="R62" s="170"/>
      <c r="S62" s="213">
        <f t="shared" si="31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-21T08:55:19-0600',mode:absolute,to:'2017-07-21T11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2" s="197" t="str">
        <f>IF(AA62&lt;VLOOKUP(AG62,Variables!$AC$3:$AD$8,2,FALSE),"Y","N")</f>
        <v>N</v>
      </c>
      <c r="X62" s="197">
        <f t="shared" si="30"/>
        <v>1</v>
      </c>
      <c r="Y62" s="197">
        <f t="shared" si="28"/>
        <v>4.53E-2</v>
      </c>
      <c r="Z62" s="197">
        <f t="shared" si="29"/>
        <v>23.330400000000001</v>
      </c>
      <c r="AA62" s="197">
        <f t="shared" si="9"/>
        <v>23.2851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151</v>
      </c>
      <c r="AE62" s="77" t="str">
        <f t="shared" si="1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62" s="74" t="str">
        <f t="shared" si="12"/>
        <v>"C:\Program Files (x86)\AstroGrep\AstroGrep.exe" /e /r /s /spath="%USERPROFILE%\AppData\Local\Temp\OnboardLogs" /stypes="app*4050*20170721*"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151-21 --locoid 4050 --swversion DE.1.0.9.0 --startMP 204:453 --initTime 2017-07-21T09:55:19 --startdatetime 2017-07-21T10:00:50 --delay 1 --endMP 204:233304 --enddatetime 2017-07-21T10:37:22 --enforcementcount 0 &gt;&gt;C:\Users\stu\Documents\GitHub\eaglep3-reporting\EC\2017-07-21-refined-times.txt</v>
      </c>
      <c r="AI62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{"issue":{"subject":"","project_id":79,"tracker_id":40,"status_id":1,"priority_id":2,"assigned_to_id":23,"start_date":"2017-07-21","description":"","custom_fields":[{"id":1,"name":"Subdivision","value":"EC"},{"id":4,"name":"Milepost","value":"23.3304"},{"id":17,"name":"Train ID","value":"151-21"},{"id":16,"name":"Locomotive ID","value":"4050"},{"id":130,"name":"Impact","value":""},{"id":150,"name":"Time of Event (Mountain Time)","value":"10:37:22"},{"id":151,"name":"Denver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4050 --day 2017-07-21</v>
      </c>
      <c r="AN62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629</v>
      </c>
      <c r="B63" s="7">
        <v>4049</v>
      </c>
      <c r="C63" s="21" t="s">
        <v>198</v>
      </c>
      <c r="D63" s="21" t="s">
        <v>540</v>
      </c>
      <c r="E63" s="13">
        <v>42937.453483796293</v>
      </c>
      <c r="F63" s="13">
        <v>42937.456412037034</v>
      </c>
      <c r="G63" s="7">
        <v>1</v>
      </c>
      <c r="H63" s="21" t="s">
        <v>888</v>
      </c>
      <c r="I63" s="13">
        <v>42937.484224537038</v>
      </c>
      <c r="J63" s="7">
        <v>0</v>
      </c>
      <c r="K63" s="89" t="str">
        <f t="shared" si="0"/>
        <v>4049/4050</v>
      </c>
      <c r="L63" s="21" t="str">
        <f>VLOOKUP(A63,'Trips&amp;Operators'!$C$1:$G$99999,5,FALSE)</f>
        <v>DAVIS WENDY</v>
      </c>
      <c r="M63" s="6">
        <f t="shared" si="1"/>
        <v>2.7812500004074536E-2</v>
      </c>
      <c r="N63" s="7">
        <f t="shared" si="32"/>
        <v>40.050000005867332</v>
      </c>
      <c r="O63" s="7"/>
      <c r="P63" s="7"/>
      <c r="Q63" s="22"/>
      <c r="R63" s="170"/>
      <c r="S63" s="213">
        <f t="shared" si="31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-21T09:53:01-0600',mode:absolute,to:'2017-07-21T12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3" s="197" t="str">
        <f>IF(AA63&lt;VLOOKUP(AG63,Variables!$AC$3:$AD$8,2,FALSE),"Y","N")</f>
        <v>N</v>
      </c>
      <c r="X63" s="197">
        <f t="shared" ref="X63:X94" si="33">VALUE(LEFT(AD63,4))-VALUE(LEFT(AD62,4))</f>
        <v>1</v>
      </c>
      <c r="Y63" s="197">
        <f t="shared" si="28"/>
        <v>23.3004</v>
      </c>
      <c r="Z63" s="197">
        <f t="shared" si="29"/>
        <v>1.61E-2</v>
      </c>
      <c r="AA63" s="197">
        <f t="shared" si="9"/>
        <v>23.284299999999998</v>
      </c>
      <c r="AB63" s="54" t="str">
        <f>VLOOKUP(A63,Enforcements!$C$7:$K$13,8,0)</f>
        <v>Bulletin (2)</v>
      </c>
      <c r="AC63" s="51" t="str">
        <f>VLOOKUP(A63,Enforcements!$C$7:$E$13,3,0)</f>
        <v>GRADE CROSSING</v>
      </c>
      <c r="AD63" s="206">
        <f t="shared" si="10"/>
        <v>152</v>
      </c>
      <c r="AE63" s="77" t="str">
        <f t="shared" si="1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63" s="74" t="str">
        <f t="shared" si="12"/>
        <v>"C:\Program Files (x86)\AstroGrep\AstroGrep.exe" /e /r /s /spath="%USERPROFILE%\AppData\Local\Temp\OnboardLogs" /stypes="app*4049*20170721*"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152-21 --locoid 4049 --swversion DE.1.0.9.0 --startMP 204:233004 --initTime 2017-07-21T10:53:01 --startdatetime 2017-07-21T10:57:14 --delay 1 --endMP 204:161 --enddatetime 2017-07-21T11:37:17 --enforcementcount 0 &gt;&gt;C:\Users\stu\Documents\GitHub\eaglep3-reporting\EC\2017-07-21-refined-times.txt</v>
      </c>
      <c r="AI63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{"issue":{"subject":"","project_id":79,"tracker_id":40,"status_id":1,"priority_id":2,"assigned_to_id":23,"start_date":"2017-07-21","description":"","custom_fields":[{"id":1,"name":"Subdivision","value":"EC"},{"id":4,"name":"Milepost","value":"0.0161"},{"id":17,"name":"Train ID","value":"152-21"},{"id":16,"name":"Locomotive ID","value":"4049"},{"id":130,"name":"Impact","value":""},{"id":150,"name":"Time of Event (Mountain Time)","value":"11:37:17"},{"id":151,"name":"Denver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4049 --day 2017-07-21</v>
      </c>
      <c r="AN63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738</v>
      </c>
      <c r="B64" s="7">
        <v>4032</v>
      </c>
      <c r="C64" s="21" t="s">
        <v>198</v>
      </c>
      <c r="D64" s="21" t="s">
        <v>477</v>
      </c>
      <c r="E64" s="13">
        <v>42937.422986111109</v>
      </c>
      <c r="F64" s="13">
        <v>42937.42765046296</v>
      </c>
      <c r="G64" s="7">
        <v>2</v>
      </c>
      <c r="H64" s="21" t="s">
        <v>573</v>
      </c>
      <c r="I64" s="13">
        <v>42937.452094907407</v>
      </c>
      <c r="J64" s="7">
        <v>0</v>
      </c>
      <c r="K64" s="89" t="str">
        <f t="shared" si="0"/>
        <v>4031/4032</v>
      </c>
      <c r="L64" s="21" t="str">
        <f>VLOOKUP(A64,'Trips&amp;Operators'!$C$1:$G$99999,5,FALSE)</f>
        <v>GUZMAN DANNY</v>
      </c>
      <c r="M64" s="6">
        <f t="shared" si="1"/>
        <v>2.4444444446999114E-2</v>
      </c>
      <c r="N64" s="7">
        <f t="shared" si="32"/>
        <v>35.200000003678724</v>
      </c>
      <c r="O64" s="7"/>
      <c r="P64" s="7"/>
      <c r="Q64" s="22"/>
      <c r="R64" s="170"/>
      <c r="S64" s="213">
        <f t="shared" si="31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-21T09:09:06-0600',mode:absolute,to:'2017-07-21T11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97" t="str">
        <f>IF(AA64&lt;VLOOKUP(AG64,Variables!$AC$3:$AD$8,2,FALSE),"Y","N")</f>
        <v>N</v>
      </c>
      <c r="X64" s="197">
        <f t="shared" si="33"/>
        <v>1</v>
      </c>
      <c r="Y64" s="197">
        <f t="shared" si="28"/>
        <v>4.4900000000000002E-2</v>
      </c>
      <c r="Z64" s="197">
        <f t="shared" si="29"/>
        <v>23.332000000000001</v>
      </c>
      <c r="AA64" s="197">
        <f t="shared" si="9"/>
        <v>23.287100000000002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153</v>
      </c>
      <c r="AE64" s="77" t="str">
        <f t="shared" si="1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64" s="74" t="str">
        <f t="shared" si="12"/>
        <v>"C:\Program Files (x86)\AstroGrep\AstroGrep.exe" /e /r /s /spath="%USERPROFILE%\AppData\Local\Temp\OnboardLogs" /stypes="app*4032*20170721*"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153-21 --locoid 4032 --swversion DE.1.0.9.0 --startMP 204:449 --initTime 2017-07-21T10:09:06 --startdatetime 2017-07-21T10:15:49 --delay 2 --endMP 204:233320 --enddatetime 2017-07-21T10:51:01 --enforcementcount 0 &gt;&gt;C:\Users\stu\Documents\GitHub\eaglep3-reporting\EC\2017-07-21-refined-times.txt</v>
      </c>
      <c r="AI64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{"issue":{"subject":"","project_id":79,"tracker_id":40,"status_id":1,"priority_id":2,"assigned_to_id":23,"start_date":"2017-07-21","description":"","custom_fields":[{"id":1,"name":"Subdivision","value":"EC"},{"id":4,"name":"Milepost","value":"23.332"},{"id":17,"name":"Train ID","value":"153-21"},{"id":16,"name":"Locomotive ID","value":"4032"},{"id":130,"name":"Impact","value":""},{"id":150,"name":"Time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4032 --day 2017-07-21</v>
      </c>
      <c r="AN64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743</v>
      </c>
      <c r="B65" s="7">
        <v>4031</v>
      </c>
      <c r="C65" s="21" t="s">
        <v>198</v>
      </c>
      <c r="D65" s="21" t="s">
        <v>583</v>
      </c>
      <c r="E65" s="13">
        <v>42937.453912037039</v>
      </c>
      <c r="F65" s="13">
        <v>42937.466840277775</v>
      </c>
      <c r="G65" s="7">
        <v>1</v>
      </c>
      <c r="H65" s="21" t="s">
        <v>341</v>
      </c>
      <c r="I65" s="13">
        <v>42937.494131944448</v>
      </c>
      <c r="J65" s="7">
        <v>0</v>
      </c>
      <c r="K65" s="89" t="str">
        <f t="shared" si="0"/>
        <v>4031/4032</v>
      </c>
      <c r="L65" s="21" t="str">
        <f>VLOOKUP(A65,'Trips&amp;Operators'!$C$1:$G$99999,5,FALSE)</f>
        <v>GUZMAN DANNY</v>
      </c>
      <c r="M65" s="6">
        <f t="shared" si="1"/>
        <v>2.7291666672681458E-2</v>
      </c>
      <c r="N65" s="7">
        <f t="shared" si="32"/>
        <v>39.3000000086613</v>
      </c>
      <c r="O65" s="7"/>
      <c r="P65" s="7"/>
      <c r="Q65" s="22"/>
      <c r="R65" s="170"/>
      <c r="S65" s="213">
        <f t="shared" si="31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-21T09:53:38-0600',mode:absolute,to:'2017-07-21T12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197" t="str">
        <f>IF(AA65&lt;VLOOKUP(AG65,Variables!$AC$3:$AD$8,2,FALSE),"Y","N")</f>
        <v>N</v>
      </c>
      <c r="X65" s="197">
        <f t="shared" si="33"/>
        <v>1</v>
      </c>
      <c r="Y65" s="197">
        <f t="shared" si="28"/>
        <v>23.3001</v>
      </c>
      <c r="Z65" s="197">
        <f t="shared" si="29"/>
        <v>1.4999999999999999E-2</v>
      </c>
      <c r="AA65" s="197">
        <f t="shared" si="9"/>
        <v>23.2851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154</v>
      </c>
      <c r="AE65" s="77" t="str">
        <f t="shared" si="1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65" s="74" t="str">
        <f t="shared" si="12"/>
        <v>"C:\Program Files (x86)\AstroGrep\AstroGrep.exe" /e /r /s /spath="%USERPROFILE%\AppData\Local\Temp\OnboardLogs" /stypes="app*4031*20170721*"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154-21 --locoid 4031 --swversion DE.1.0.9.0 --startMP 204:233001 --initTime 2017-07-21T10:53:38 --startdatetime 2017-07-21T11:12:15 --delay 1 --endMP 204:150 --enddatetime 2017-07-21T11:51:33 --enforcementcount 0 &gt;&gt;C:\Users\stu\Documents\GitHub\eaglep3-reporting\EC\2017-07-21-refined-times.txt</v>
      </c>
      <c r="AI6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{"issue":{"subject":"","project_id":79,"tracker_id":40,"status_id":1,"priority_id":2,"assigned_to_id":23,"start_date":"2017-07-21","description":"","custom_fields":[{"id":1,"name":"Subdivision","value":"EC"},{"id":4,"name":"Milepost","value":"0.015"},{"id":17,"name":"Train ID","value":"154-21"},{"id":16,"name":"Locomotive ID","value":"4031"},{"id":130,"name":"Impact","value":""},{"id":150,"name":"Time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4031 --day 2017-07-21</v>
      </c>
      <c r="AN6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741</v>
      </c>
      <c r="B66" s="7">
        <v>4026</v>
      </c>
      <c r="C66" s="21" t="s">
        <v>198</v>
      </c>
      <c r="D66" s="21" t="s">
        <v>867</v>
      </c>
      <c r="E66" s="13">
        <v>42937.433611111112</v>
      </c>
      <c r="F66" s="13">
        <v>42937.438009259262</v>
      </c>
      <c r="G66" s="7">
        <v>1</v>
      </c>
      <c r="H66" s="21" t="s">
        <v>500</v>
      </c>
      <c r="I66" s="13">
        <v>42937.463368055556</v>
      </c>
      <c r="J66" s="7">
        <v>0</v>
      </c>
      <c r="K66" s="89" t="str">
        <f t="shared" si="0"/>
        <v>4025/4026</v>
      </c>
      <c r="L66" s="21" t="str">
        <f>VLOOKUP(A66,'Trips&amp;Operators'!$C$1:$G$99999,5,FALSE)</f>
        <v>DAVIDSON DAVID</v>
      </c>
      <c r="M66" s="6">
        <f t="shared" si="1"/>
        <v>2.5358796294312924E-2</v>
      </c>
      <c r="N66" s="7">
        <f t="shared" si="32"/>
        <v>36.516666663810611</v>
      </c>
      <c r="O66" s="7"/>
      <c r="P66" s="7"/>
      <c r="Q66" s="22"/>
      <c r="R66" s="170"/>
      <c r="S66" s="213">
        <f t="shared" si="31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-21T09:24:24-0600',mode:absolute,to:'2017-07-21T12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197" t="str">
        <f>IF(AA66&lt;VLOOKUP(AG66,Variables!$AC$3:$AD$8,2,FALSE),"Y","N")</f>
        <v>N</v>
      </c>
      <c r="X66" s="197">
        <f t="shared" si="33"/>
        <v>1</v>
      </c>
      <c r="Y66" s="197">
        <f t="shared" si="28"/>
        <v>4.5699999999999998E-2</v>
      </c>
      <c r="Z66" s="197">
        <f t="shared" si="29"/>
        <v>23.331900000000001</v>
      </c>
      <c r="AA66" s="197">
        <f t="shared" si="9"/>
        <v>23.286200000000001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155</v>
      </c>
      <c r="AE66" s="77" t="str">
        <f t="shared" si="1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66" s="74" t="str">
        <f t="shared" si="12"/>
        <v>"C:\Program Files (x86)\AstroGrep\AstroGrep.exe" /e /r /s /spath="%USERPROFILE%\AppData\Local\Temp\OnboardLogs" /stypes="app*4026*20170721*"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155-21 --locoid 4026 --swversion DE.1.0.9.0 --startMP 204:457 --initTime 2017-07-21T10:24:24 --startdatetime 2017-07-21T10:30:44 --delay 1 --endMP 204:233319 --enddatetime 2017-07-21T11:07:15 --enforcementcount 0 &gt;&gt;C:\Users\stu\Documents\GitHub\eaglep3-reporting\EC\2017-07-21-refined-times.txt</v>
      </c>
      <c r="AI6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{"issue":{"subject":"","project_id":79,"tracker_id":40,"status_id":1,"priority_id":2,"assigned_to_id":23,"start_date":"2017-07-21","description":"","custom_fields":[{"id":1,"name":"Subdivision","value":"EC"},{"id":4,"name":"Milepost","value":"23.3319"},{"id":17,"name":"Train ID","value":"155-21"},{"id":16,"name":"Locomotive ID","value":"4026"},{"id":130,"name":"Impact","value":""},{"id":150,"name":"Time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4026 --day 2017-07-21</v>
      </c>
      <c r="AN6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746</v>
      </c>
      <c r="B67" s="7">
        <v>4025</v>
      </c>
      <c r="C67" s="21" t="s">
        <v>198</v>
      </c>
      <c r="D67" s="21" t="s">
        <v>511</v>
      </c>
      <c r="E67" s="13">
        <v>42937.465462962966</v>
      </c>
      <c r="F67" s="13">
        <v>42937.477268518516</v>
      </c>
      <c r="G67" s="7">
        <v>1</v>
      </c>
      <c r="H67" s="21" t="s">
        <v>562</v>
      </c>
      <c r="I67" s="13">
        <v>42937.504999999997</v>
      </c>
      <c r="J67" s="7">
        <v>0</v>
      </c>
      <c r="K67" s="89" t="str">
        <f t="shared" si="0"/>
        <v>4025/4026</v>
      </c>
      <c r="L67" s="21" t="str">
        <f>VLOOKUP(A67,'Trips&amp;Operators'!$C$1:$G$99999,5,FALSE)</f>
        <v>DAVIDSON DAVID</v>
      </c>
      <c r="M67" s="6">
        <f t="shared" si="1"/>
        <v>2.7731481481168885E-2</v>
      </c>
      <c r="N67" s="7">
        <f t="shared" si="32"/>
        <v>39.933333332883194</v>
      </c>
      <c r="O67" s="7"/>
      <c r="P67" s="7"/>
      <c r="Q67" s="22"/>
      <c r="R67" s="170"/>
      <c r="S67" s="213">
        <f t="shared" si="31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-21T10:10:16-0600',mode:absolute,to:'2017-07-21T13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7" s="197" t="str">
        <f>IF(AA67&lt;VLOOKUP(AG67,Variables!$AC$3:$AD$8,2,FALSE),"Y","N")</f>
        <v>N</v>
      </c>
      <c r="X67" s="197">
        <f t="shared" si="33"/>
        <v>1</v>
      </c>
      <c r="Y67" s="197">
        <f t="shared" si="28"/>
        <v>23.299800000000001</v>
      </c>
      <c r="Z67" s="197">
        <f t="shared" si="29"/>
        <v>1.6299999999999999E-2</v>
      </c>
      <c r="AA67" s="197">
        <f t="shared" si="9"/>
        <v>23.2835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156</v>
      </c>
      <c r="AE67" s="77" t="str">
        <f t="shared" si="1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67" s="74" t="str">
        <f t="shared" si="12"/>
        <v>"C:\Program Files (x86)\AstroGrep\AstroGrep.exe" /e /r /s /spath="%USERPROFILE%\AppData\Local\Temp\OnboardLogs" /stypes="app*4025*20170721*" /stext=" 18:.+((SYSTEM_STATE.+slice.+state.+changed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156-21 --locoid 4025 --swversion DE.1.0.9.0 --startMP 204:232998 --initTime 2017-07-21T11:10:16 --startdatetime 2017-07-21T11:27:16 --delay 1 --endMP 204:163 --enddatetime 2017-07-21T12:07:12 --enforcementcount 0 &gt;&gt;C:\Users\stu\Documents\GitHub\eaglep3-reporting\EC\2017-07-21-refined-times.txt</v>
      </c>
      <c r="AI6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{"issue":{"subject":"","project_id":79,"tracker_id":40,"status_id":1,"priority_id":2,"assigned_to_id":23,"start_date":"2017-07-21","description":"","custom_fields":[{"id":1,"name":"Subdivision","value":"EC"},{"id":4,"name":"Milepost","value":"0.0163"},{"id":17,"name":"Train ID","value":"156-21"},{"id":16,"name":"Locomotive ID","value":"4025"},{"id":130,"name":"Impact","value":""},{"id":150,"name":"Time of Event (Mountain Time)","value":"12:07:12"},{"id":151,"name":"Denver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4025 --day 2017-07-21</v>
      </c>
      <c r="AN6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742</v>
      </c>
      <c r="B68" s="7">
        <v>4054</v>
      </c>
      <c r="C68" s="21" t="s">
        <v>198</v>
      </c>
      <c r="D68" s="21" t="s">
        <v>570</v>
      </c>
      <c r="E68" s="13">
        <v>42937.445300925923</v>
      </c>
      <c r="F68" s="13">
        <v>42937.448425925926</v>
      </c>
      <c r="G68" s="7">
        <v>2</v>
      </c>
      <c r="H68" s="21" t="s">
        <v>889</v>
      </c>
      <c r="I68" s="13">
        <v>42937.473136574074</v>
      </c>
      <c r="J68" s="7">
        <v>0</v>
      </c>
      <c r="K68" s="89" t="str">
        <f t="shared" si="0"/>
        <v>4053/4054</v>
      </c>
      <c r="L68" s="21" t="str">
        <f>VLOOKUP(A68,'Trips&amp;Operators'!$C$1:$G$99999,5,FALSE)</f>
        <v>SULLIVAN BRANDON</v>
      </c>
      <c r="M68" s="6">
        <f t="shared" si="1"/>
        <v>2.47106481474475E-2</v>
      </c>
      <c r="N68" s="7">
        <f t="shared" si="32"/>
        <v>35.583333332324401</v>
      </c>
      <c r="O68" s="7"/>
      <c r="P68" s="7"/>
      <c r="Q68" s="22"/>
      <c r="R68" s="170"/>
      <c r="S68" s="213">
        <f t="shared" si="31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-21T09:41:14-0600',mode:absolute,to:'2017-07-21T12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97" t="str">
        <f>IF(AA68&lt;VLOOKUP(AG68,Variables!$AC$3:$AD$8,2,FALSE),"Y","N")</f>
        <v>N</v>
      </c>
      <c r="X68" s="197">
        <f t="shared" si="33"/>
        <v>1</v>
      </c>
      <c r="Y68" s="197">
        <f t="shared" si="28"/>
        <v>4.3799999999999999E-2</v>
      </c>
      <c r="Z68" s="197">
        <f t="shared" si="29"/>
        <v>23.335899999999999</v>
      </c>
      <c r="AA68" s="197">
        <f t="shared" si="9"/>
        <v>23.292099999999998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157</v>
      </c>
      <c r="AE68" s="77" t="str">
        <f t="shared" si="1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68" s="74" t="str">
        <f t="shared" si="12"/>
        <v>"C:\Program Files (x86)\AstroGrep\AstroGrep.exe" /e /r /s /spath="%USERPROFILE%\AppData\Local\Temp\OnboardLogs" /stypes="app*4054*20170721*"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157-21 --locoid 4054 --swversion DE.1.0.9.0 --startMP 204:438 --initTime 2017-07-21T10:41:14 --startdatetime 2017-07-21T10:45:44 --delay 2 --endMP 204:233359 --enddatetime 2017-07-21T11:21:19 --enforcementcount 0 &gt;&gt;C:\Users\stu\Documents\GitHub\eaglep3-reporting\EC\2017-07-21-refined-times.txt</v>
      </c>
      <c r="AI6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{"issue":{"subject":"","project_id":79,"tracker_id":40,"status_id":1,"priority_id":2,"assigned_to_id":23,"start_date":"2017-07-21","description":"","custom_fields":[{"id":1,"name":"Subdivision","value":"EC"},{"id":4,"name":"Milepost","value":"23.3359"},{"id":17,"name":"Train ID","value":"157-21"},{"id":16,"name":"Locomotive ID","value":"4054"},{"id":130,"name":"Impact","value":""},{"id":150,"name":"Time of Event (Mountain Time)","value":"11:21:19"},{"id":151,"name":"Denver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4054 --day 2017-07-21</v>
      </c>
      <c r="AN6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751</v>
      </c>
      <c r="B69" s="7">
        <v>4053</v>
      </c>
      <c r="C69" s="21" t="s">
        <v>198</v>
      </c>
      <c r="D69" s="21" t="s">
        <v>890</v>
      </c>
      <c r="E69" s="13">
        <v>42937.480729166666</v>
      </c>
      <c r="F69" s="13">
        <v>42937.487673611111</v>
      </c>
      <c r="G69" s="7">
        <v>1</v>
      </c>
      <c r="H69" s="21" t="s">
        <v>350</v>
      </c>
      <c r="I69" s="13">
        <v>42937.514479166668</v>
      </c>
      <c r="J69" s="7">
        <v>0</v>
      </c>
      <c r="K69" s="89" t="str">
        <f t="shared" si="0"/>
        <v>4053/4054</v>
      </c>
      <c r="L69" s="21" t="str">
        <f>VLOOKUP(A69,'Trips&amp;Operators'!$C$1:$G$99999,5,FALSE)</f>
        <v>SULLIVAN BRANDON</v>
      </c>
      <c r="M69" s="6">
        <f t="shared" si="1"/>
        <v>2.6805555557075422E-2</v>
      </c>
      <c r="N69" s="7">
        <f t="shared" si="32"/>
        <v>38.600000002188608</v>
      </c>
      <c r="O69" s="7"/>
      <c r="P69" s="7"/>
      <c r="Q69" s="22"/>
      <c r="R69" s="170"/>
      <c r="S69" s="213">
        <f t="shared" si="31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-21T10:32:15-0600',mode:absolute,to:'2017-07-21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97" t="str">
        <f>IF(AA69&lt;VLOOKUP(AG69,Variables!$AC$3:$AD$8,2,FALSE),"Y","N")</f>
        <v>N</v>
      </c>
      <c r="X69" s="197">
        <f t="shared" si="33"/>
        <v>1</v>
      </c>
      <c r="Y69" s="197">
        <f t="shared" si="28"/>
        <v>23.304400000000001</v>
      </c>
      <c r="Z69" s="197">
        <f t="shared" si="29"/>
        <v>1.41E-2</v>
      </c>
      <c r="AA69" s="197">
        <f t="shared" si="9"/>
        <v>23.290300000000002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158</v>
      </c>
      <c r="AE69" s="77" t="str">
        <f t="shared" si="1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69" s="74" t="str">
        <f t="shared" si="12"/>
        <v>"C:\Program Files (x86)\AstroGrep\AstroGrep.exe" /e /r /s /spath="%USERPROFILE%\AppData\Local\Temp\OnboardLogs" /stypes="app*4053*20170721*"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158-21 --locoid 4053 --swversion DE.1.0.9.0 --startMP 204:233044 --initTime 2017-07-21T11:32:15 --startdatetime 2017-07-21T11:42:15 --delay 1 --endMP 204:141 --enddatetime 2017-07-21T12:20:51 --enforcementcount 0 &gt;&gt;C:\Users\stu\Documents\GitHub\eaglep3-reporting\EC\2017-07-21-refined-times.txt</v>
      </c>
      <c r="AI69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{"issue":{"subject":"","project_id":79,"tracker_id":40,"status_id":1,"priority_id":2,"assigned_to_id":23,"start_date":"2017-07-21","description":"","custom_fields":[{"id":1,"name":"Subdivision","value":"EC"},{"id":4,"name":"Milepost","value":"0.0141"},{"id":17,"name":"Train ID","value":"158-21"},{"id":16,"name":"Locomotive ID","value":"4053"},{"id":130,"name":"Impact","value":""},{"id":150,"name":"Time of Event (Mountain Time)","value":"12:20:51"},{"id":151,"name":"Denver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4053 --day 2017-07-21</v>
      </c>
      <c r="AN69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744</v>
      </c>
      <c r="B70" s="7">
        <v>4058</v>
      </c>
      <c r="C70" s="21" t="s">
        <v>198</v>
      </c>
      <c r="D70" s="21" t="s">
        <v>457</v>
      </c>
      <c r="E70" s="13">
        <v>42937.454027777778</v>
      </c>
      <c r="F70" s="13">
        <v>42937.458958333336</v>
      </c>
      <c r="G70" s="7">
        <v>1</v>
      </c>
      <c r="H70" s="21" t="s">
        <v>891</v>
      </c>
      <c r="I70" s="13">
        <v>42937.484907407408</v>
      </c>
      <c r="J70" s="7">
        <v>0</v>
      </c>
      <c r="K70" s="89" t="str">
        <f t="shared" si="0"/>
        <v>4057/4058</v>
      </c>
      <c r="L70" s="21" t="str">
        <f>VLOOKUP(A70,'Trips&amp;Operators'!$C$1:$G$99999,5,FALSE)</f>
        <v>LANGERAK WILLIAM</v>
      </c>
      <c r="M70" s="6">
        <f t="shared" si="1"/>
        <v>2.5949074071832001E-2</v>
      </c>
      <c r="N70" s="7">
        <f t="shared" si="32"/>
        <v>37.366666663438082</v>
      </c>
      <c r="O70" s="7"/>
      <c r="P70" s="7"/>
      <c r="Q70" s="22"/>
      <c r="R70" s="170"/>
      <c r="S70" s="213">
        <f t="shared" si="31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-21T09:53:48-0600',mode:absolute,to:'2017-07-21T12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0" s="197" t="str">
        <f>IF(AA70&lt;VLOOKUP(AG70,Variables!$AC$3:$AD$8,2,FALSE),"Y","N")</f>
        <v>N</v>
      </c>
      <c r="X70" s="197">
        <f t="shared" si="33"/>
        <v>1</v>
      </c>
      <c r="Y70" s="197">
        <f t="shared" si="28"/>
        <v>4.6399999999999997E-2</v>
      </c>
      <c r="Z70" s="197">
        <f t="shared" si="29"/>
        <v>23.3325</v>
      </c>
      <c r="AA70" s="197">
        <f t="shared" si="9"/>
        <v>23.286100000000001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159</v>
      </c>
      <c r="AE70" s="77" t="str">
        <f t="shared" si="1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70" s="74" t="str">
        <f t="shared" si="12"/>
        <v>"C:\Program Files (x86)\AstroGrep\AstroGrep.exe" /e /r /s /spath="%USERPROFILE%\AppData\Local\Temp\OnboardLogs" /stypes="app*4058*20170721*"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159-21 --locoid 4058 --swversion DE.1.0.9.0 --startMP 204:464 --initTime 2017-07-21T10:53:48 --startdatetime 2017-07-21T11:00:54 --delay 1 --endMP 204:233325 --enddatetime 2017-07-21T11:38:16 --enforcementcount 0 &gt;&gt;C:\Users\stu\Documents\GitHub\eaglep3-reporting\EC\2017-07-21-refined-times.txt</v>
      </c>
      <c r="AI70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{"issue":{"subject":"","project_id":79,"tracker_id":40,"status_id":1,"priority_id":2,"assigned_to_id":23,"start_date":"2017-07-21","description":"","custom_fields":[{"id":1,"name":"Subdivision","value":"EC"},{"id":4,"name":"Milepost","value":"23.3325"},{"id":17,"name":"Train ID","value":"159-21"},{"id":16,"name":"Locomotive ID","value":"4058"},{"id":130,"name":"Impact","value":""},{"id":150,"name":"Time of Event (Mountain Time)","value":"11:38:16"},{"id":151,"name":"Denver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4058 --day 2017-07-21</v>
      </c>
      <c r="AN70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753</v>
      </c>
      <c r="B71" s="7">
        <v>4057</v>
      </c>
      <c r="C71" s="21" t="s">
        <v>198</v>
      </c>
      <c r="D71" s="21" t="s">
        <v>892</v>
      </c>
      <c r="E71" s="13">
        <v>42937.495057870372</v>
      </c>
      <c r="F71" s="13">
        <v>42937.49832175926</v>
      </c>
      <c r="G71" s="7">
        <v>2</v>
      </c>
      <c r="H71" s="21" t="s">
        <v>565</v>
      </c>
      <c r="I71" s="13">
        <v>42937.524282407408</v>
      </c>
      <c r="J71" s="7">
        <v>0</v>
      </c>
      <c r="K71" s="89" t="str">
        <f t="shared" si="0"/>
        <v>4057/4058</v>
      </c>
      <c r="L71" s="21" t="str">
        <f>VLOOKUP(A71,'Trips&amp;Operators'!$C$1:$G$99999,5,FALSE)</f>
        <v>LOZA FIDEL</v>
      </c>
      <c r="M71" s="6">
        <f t="shared" si="1"/>
        <v>2.5960648148611654E-2</v>
      </c>
      <c r="N71" s="7">
        <f t="shared" si="32"/>
        <v>37.383333334000781</v>
      </c>
      <c r="O71" s="7"/>
      <c r="P71" s="7"/>
      <c r="Q71" s="22"/>
      <c r="R71" s="170"/>
      <c r="S71" s="213">
        <f t="shared" si="31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-21T10:52:53-0600',mode:absolute,to:'2017-07-21T13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1" s="197" t="str">
        <f>IF(AA71&lt;VLOOKUP(AG71,Variables!$AC$3:$AD$8,2,FALSE),"Y","N")</f>
        <v>N</v>
      </c>
      <c r="X71" s="197">
        <f t="shared" si="33"/>
        <v>1</v>
      </c>
      <c r="Y71" s="197">
        <f t="shared" si="28"/>
        <v>23.303999999999998</v>
      </c>
      <c r="Z71" s="197">
        <f t="shared" si="29"/>
        <v>1.6E-2</v>
      </c>
      <c r="AA71" s="197">
        <f t="shared" si="9"/>
        <v>23.288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160</v>
      </c>
      <c r="AE71" s="77" t="str">
        <f t="shared" si="1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71" s="74" t="str">
        <f t="shared" si="12"/>
        <v>"C:\Program Files (x86)\AstroGrep\AstroGrep.exe" /e /r /s /spath="%USERPROFILE%\AppData\Local\Temp\OnboardLogs" /stypes="app*4057*20170721*"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160-21 --locoid 4057 --swversion DE.1.0.9.0 --startMP 204:233040 --initTime 2017-07-21T11:52:53 --startdatetime 2017-07-21T11:57:35 --delay 2 --endMP 204:160 --enddatetime 2017-07-21T12:34:58 --enforcementcount 0 &gt;&gt;C:\Users\stu\Documents\GitHub\eaglep3-reporting\EC\2017-07-21-refined-times.txt</v>
      </c>
      <c r="AI71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{"issue":{"subject":"","project_id":79,"tracker_id":40,"status_id":1,"priority_id":2,"assigned_to_id":23,"start_date":"2017-07-21","description":"","custom_fields":[{"id":1,"name":"Subdivision","value":"EC"},{"id":4,"name":"Milepost","value":"0.016"},{"id":17,"name":"Train ID","value":"160-21"},{"id":16,"name":"Locomotive ID","value":"4057"},{"id":130,"name":"Impact","value":""},{"id":150,"name":"Time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4057 --day 2017-07-21</v>
      </c>
      <c r="AN71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632</v>
      </c>
      <c r="B72" s="7">
        <v>4030</v>
      </c>
      <c r="C72" s="21" t="s">
        <v>198</v>
      </c>
      <c r="D72" s="21" t="s">
        <v>584</v>
      </c>
      <c r="E72" s="13">
        <v>42937.46435185185</v>
      </c>
      <c r="F72" s="13">
        <v>42937.469270833331</v>
      </c>
      <c r="G72" s="7">
        <v>4</v>
      </c>
      <c r="H72" s="21" t="s">
        <v>587</v>
      </c>
      <c r="I72" s="13">
        <v>42937.493923611109</v>
      </c>
      <c r="J72" s="7">
        <v>0</v>
      </c>
      <c r="K72" s="89" t="str">
        <f t="shared" si="0"/>
        <v>4029/4030</v>
      </c>
      <c r="L72" s="21" t="str">
        <f>VLOOKUP(A72,'Trips&amp;Operators'!$C$1:$G$99999,5,FALSE)</f>
        <v>BERLING GARY</v>
      </c>
      <c r="M72" s="6">
        <f t="shared" si="1"/>
        <v>2.4652777778101154E-2</v>
      </c>
      <c r="N72" s="7">
        <f t="shared" si="32"/>
        <v>35.500000000465661</v>
      </c>
      <c r="O72" s="7"/>
      <c r="P72" s="7"/>
      <c r="Q72" s="22"/>
      <c r="R72" s="170"/>
      <c r="S72" s="213">
        <f t="shared" si="31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-21T10:08:40-0600',mode:absolute,to:'2017-07-21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97" t="str">
        <f>IF(AA72&lt;VLOOKUP(AG72,Variables!$AC$3:$AD$8,2,FALSE),"Y","N")</f>
        <v>N</v>
      </c>
      <c r="X72" s="197">
        <f t="shared" si="33"/>
        <v>1</v>
      </c>
      <c r="Y72" s="197">
        <f t="shared" si="28"/>
        <v>4.8800000000000003E-2</v>
      </c>
      <c r="Z72" s="197">
        <f t="shared" si="29"/>
        <v>23.331800000000001</v>
      </c>
      <c r="AA72" s="197">
        <f t="shared" si="9"/>
        <v>23.283000000000001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161</v>
      </c>
      <c r="AE72" s="77" t="str">
        <f t="shared" si="1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72" s="74" t="str">
        <f t="shared" si="12"/>
        <v>"C:\Program Files (x86)\AstroGrep\AstroGrep.exe" /e /r /s /spath="%USERPROFILE%\AppData\Local\Temp\OnboardLogs" /stypes="app*4030*20170721*"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161-21 --locoid 4030 --swversion DE.1.0.9.0 --startMP 204:488 --initTime 2017-07-21T11:08:40 --startdatetime 2017-07-21T11:15:45 --delay 4 --endMP 204:233318 --enddatetime 2017-07-21T11:51:15 --enforcementcount 0 &gt;&gt;C:\Users\stu\Documents\GitHub\eaglep3-reporting\EC\2017-07-21-refined-times.txt</v>
      </c>
      <c r="AI72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{"issue":{"subject":"","project_id":79,"tracker_id":40,"status_id":1,"priority_id":2,"assigned_to_id":23,"start_date":"2017-07-21","description":"","custom_fields":[{"id":1,"name":"Subdivision","value":"EC"},{"id":4,"name":"Milepost","value":"23.3318"},{"id":17,"name":"Train ID","value":"161-21"},{"id":16,"name":"Locomotive ID","value":"4030"},{"id":130,"name":"Impact","value":""},{"id":150,"name":"Time of Event (Mountain Time)","value":"11:51:15"},{"id":151,"name":"Denver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4030 --day 2017-07-21</v>
      </c>
      <c r="AN72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754</v>
      </c>
      <c r="B73" s="7">
        <v>4029</v>
      </c>
      <c r="C73" s="21" t="s">
        <v>198</v>
      </c>
      <c r="D73" s="21" t="s">
        <v>464</v>
      </c>
      <c r="E73" s="13">
        <v>42937.495810185188</v>
      </c>
      <c r="F73" s="13">
        <v>42937.50849537037</v>
      </c>
      <c r="G73" s="7">
        <v>1</v>
      </c>
      <c r="H73" s="21" t="s">
        <v>414</v>
      </c>
      <c r="I73" s="13">
        <v>42937.535428240742</v>
      </c>
      <c r="J73" s="7">
        <v>0</v>
      </c>
      <c r="K73" s="89" t="str">
        <f t="shared" si="0"/>
        <v>4029/4030</v>
      </c>
      <c r="L73" s="21" t="str">
        <f>VLOOKUP(A73,'Trips&amp;Operators'!$C$1:$G$99999,5,FALSE)</f>
        <v>BERLING GARY</v>
      </c>
      <c r="M73" s="6">
        <f t="shared" si="1"/>
        <v>2.6932870372547768E-2</v>
      </c>
      <c r="N73" s="7">
        <f t="shared" si="32"/>
        <v>38.783333336468786</v>
      </c>
      <c r="O73" s="7"/>
      <c r="P73" s="7"/>
      <c r="Q73" s="22"/>
      <c r="R73" s="170"/>
      <c r="S73" s="213">
        <f t="shared" si="31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-21T10:53:58-0600',mode:absolute,to:'2017-07-21T13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197" t="str">
        <f>IF(AA73&lt;VLOOKUP(AG73,Variables!$AC$3:$AD$8,2,FALSE),"Y","N")</f>
        <v>N</v>
      </c>
      <c r="X73" s="197">
        <f t="shared" si="33"/>
        <v>1</v>
      </c>
      <c r="Y73" s="197">
        <f t="shared" si="28"/>
        <v>23.299399999999999</v>
      </c>
      <c r="Z73" s="197">
        <f t="shared" si="29"/>
        <v>1.3599999999999999E-2</v>
      </c>
      <c r="AA73" s="197">
        <f t="shared" si="9"/>
        <v>23.285799999999998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162</v>
      </c>
      <c r="AE73" s="77" t="str">
        <f t="shared" si="1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73" s="74" t="str">
        <f t="shared" si="12"/>
        <v>"C:\Program Files (x86)\AstroGrep\AstroGrep.exe" /e /r /s /spath="%USERPROFILE%\AppData\Local\Temp\OnboardLogs" /stypes="app*4029*20170721*"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162-21 --locoid 4029 --swversion DE.1.0.9.0 --startMP 204:232994 --initTime 2017-07-21T11:53:58 --startdatetime 2017-07-21T12:12:14 --delay 1 --endMP 204:136 --enddatetime 2017-07-21T12:51:01 --enforcementcount 0 &gt;&gt;C:\Users\stu\Documents\GitHub\eaglep3-reporting\EC\2017-07-21-refined-times.txt</v>
      </c>
      <c r="AI73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{"issue":{"subject":"","project_id":79,"tracker_id":40,"status_id":1,"priority_id":2,"assigned_to_id":23,"start_date":"2017-07-21","description":"","custom_fields":[{"id":1,"name":"Subdivision","value":"EC"},{"id":4,"name":"Milepost","value":"0.0136"},{"id":17,"name":"Train ID","value":"162-21"},{"id":16,"name":"Locomotive ID","value":"4029"},{"id":130,"name":"Impact","value":""},{"id":150,"name":"Time of Event (Mountain Time)","value":"12:51:01"},{"id":151,"name":"Denver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4029 --day 2017-07-21</v>
      </c>
      <c r="AN73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749</v>
      </c>
      <c r="B74" s="7">
        <v>4046</v>
      </c>
      <c r="C74" s="21" t="s">
        <v>198</v>
      </c>
      <c r="D74" s="21" t="s">
        <v>344</v>
      </c>
      <c r="E74" s="13">
        <v>42937.47483796296</v>
      </c>
      <c r="F74" s="13">
        <v>42937.479942129627</v>
      </c>
      <c r="G74" s="7">
        <v>2</v>
      </c>
      <c r="H74" s="21" t="s">
        <v>474</v>
      </c>
      <c r="I74" s="13">
        <v>42937.505868055552</v>
      </c>
      <c r="J74" s="7">
        <v>0</v>
      </c>
      <c r="K74" s="89" t="str">
        <f t="shared" si="0"/>
        <v>4045/4046</v>
      </c>
      <c r="L74" s="21" t="str">
        <f>VLOOKUP(A74,'Trips&amp;Operators'!$C$1:$G$99999,5,FALSE)</f>
        <v>STEWART MICHAEL</v>
      </c>
      <c r="M74" s="6">
        <f t="shared" si="1"/>
        <v>2.5925925925548654E-2</v>
      </c>
      <c r="N74" s="7">
        <f t="shared" si="32"/>
        <v>37.333333332790062</v>
      </c>
      <c r="O74" s="7"/>
      <c r="P74" s="7"/>
      <c r="Q74" s="22"/>
      <c r="R74" s="170"/>
      <c r="S74" s="213">
        <f t="shared" si="31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-21T10:23:46-0600',mode:absolute,to:'2017-07-21T13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4" s="197" t="str">
        <f>IF(AA74&lt;VLOOKUP(AG74,Variables!$AC$3:$AD$8,2,FALSE),"Y","N")</f>
        <v>N</v>
      </c>
      <c r="X74" s="197">
        <f t="shared" si="33"/>
        <v>1</v>
      </c>
      <c r="Y74" s="197">
        <f t="shared" si="28"/>
        <v>4.5100000000000001E-2</v>
      </c>
      <c r="Z74" s="197">
        <f t="shared" si="29"/>
        <v>23.3293</v>
      </c>
      <c r="AA74" s="197">
        <f t="shared" si="9"/>
        <v>23.284199999999998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163</v>
      </c>
      <c r="AE74" s="77" t="str">
        <f t="shared" si="1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74" s="74" t="str">
        <f t="shared" si="12"/>
        <v>"C:\Program Files (x86)\AstroGrep\AstroGrep.exe" /e /r /s /spath="%USERPROFILE%\AppData\Local\Temp\OnboardLogs" /stypes="app*4046*20170721*"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163-21 --locoid 4046 --swversion DE.1.0.9.0 --startMP 204:451 --initTime 2017-07-21T11:23:46 --startdatetime 2017-07-21T11:31:07 --delay 2 --endMP 204:233293 --enddatetime 2017-07-21T12:08:27 --enforcementcount 0 &gt;&gt;C:\Users\stu\Documents\GitHub\eaglep3-reporting\EC\2017-07-21-refined-times.txt</v>
      </c>
      <c r="AI74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{"issue":{"subject":"","project_id":79,"tracker_id":40,"status_id":1,"priority_id":2,"assigned_to_id":23,"start_date":"2017-07-21","description":"","custom_fields":[{"id":1,"name":"Subdivision","value":"EC"},{"id":4,"name":"Milepost","value":"23.3293"},{"id":17,"name":"Train ID","value":"163-21"},{"id":16,"name":"Locomotive ID","value":"4046"},{"id":130,"name":"Impact","value":""},{"id":150,"name":"Time of Event (Mountain Time)","value":"12:08:27"},{"id":151,"name":"Denver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4046 --day 2017-07-21</v>
      </c>
      <c r="AN74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758</v>
      </c>
      <c r="B75" s="7">
        <v>4045</v>
      </c>
      <c r="C75" s="21" t="s">
        <v>198</v>
      </c>
      <c r="D75" s="21" t="s">
        <v>512</v>
      </c>
      <c r="E75" s="13">
        <v>42937.517164351855</v>
      </c>
      <c r="F75" s="13">
        <v>42937.519016203703</v>
      </c>
      <c r="G75" s="7">
        <v>1</v>
      </c>
      <c r="H75" s="21" t="s">
        <v>341</v>
      </c>
      <c r="I75" s="13">
        <v>42937.546770833331</v>
      </c>
      <c r="J75" s="7">
        <v>0</v>
      </c>
      <c r="K75" s="89" t="str">
        <f t="shared" si="0"/>
        <v>4045/4046</v>
      </c>
      <c r="L75" s="21" t="str">
        <f>VLOOKUP(A75,'Trips&amp;Operators'!$C$1:$G$99999,5,FALSE)</f>
        <v>STEWART MICHAEL</v>
      </c>
      <c r="M75" s="6">
        <f t="shared" si="1"/>
        <v>2.7754629627452232E-2</v>
      </c>
      <c r="N75" s="7">
        <f t="shared" si="32"/>
        <v>39.966666663531214</v>
      </c>
      <c r="O75" s="7"/>
      <c r="P75" s="7"/>
      <c r="Q75" s="22"/>
      <c r="R75" s="170"/>
      <c r="S75" s="213">
        <f t="shared" si="31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-21T11:24:43-0600',mode:absolute,to:'2017-07-21T14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5" s="197" t="str">
        <f>IF(AA75&lt;VLOOKUP(AG75,Variables!$AC$3:$AD$8,2,FALSE),"Y","N")</f>
        <v>N</v>
      </c>
      <c r="X75" s="197">
        <f t="shared" si="33"/>
        <v>1</v>
      </c>
      <c r="Y75" s="197">
        <f t="shared" si="28"/>
        <v>23.295500000000001</v>
      </c>
      <c r="Z75" s="197">
        <f t="shared" si="29"/>
        <v>1.4999999999999999E-2</v>
      </c>
      <c r="AA75" s="197">
        <f t="shared" si="9"/>
        <v>23.2805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164</v>
      </c>
      <c r="AE75" s="77" t="str">
        <f t="shared" si="1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75" s="74" t="str">
        <f t="shared" si="12"/>
        <v>"C:\Program Files (x86)\AstroGrep\AstroGrep.exe" /e /r /s /spath="%USERPROFILE%\AppData\Local\Temp\OnboardLogs" /stypes="app*4045*20170721*" /stext=" 19:.+((SYSTEM_STATE.+slice.+state.+changed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164-21 --locoid 4045 --swversion DE.1.0.9.0 --startMP 204:232955 --initTime 2017-07-21T12:24:43 --startdatetime 2017-07-21T12:27:23 --delay 1 --endMP 204:150 --enddatetime 2017-07-21T13:07:21 --enforcementcount 0 &gt;&gt;C:\Users\stu\Documents\GitHub\eaglep3-reporting\EC\2017-07-21-refined-times.txt</v>
      </c>
      <c r="AI75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{"issue":{"subject":"","project_id":79,"tracker_id":40,"status_id":1,"priority_id":2,"assigned_to_id":23,"start_date":"2017-07-21","description":"","custom_fields":[{"id":1,"name":"Subdivision","value":"EC"},{"id":4,"name":"Milepost","value":"0.015"},{"id":17,"name":"Train ID","value":"164-21"},{"id":16,"name":"Locomotive ID","value":"4045"},{"id":130,"name":"Impact","value":""},{"id":150,"name":"Time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4045 --day 2017-07-21</v>
      </c>
      <c r="AN75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631</v>
      </c>
      <c r="B76" s="7">
        <v>4050</v>
      </c>
      <c r="C76" s="21" t="s">
        <v>198</v>
      </c>
      <c r="D76" s="21" t="s">
        <v>477</v>
      </c>
      <c r="E76" s="13">
        <v>42937.487928240742</v>
      </c>
      <c r="F76" s="13">
        <v>42937.490254629629</v>
      </c>
      <c r="G76" s="7">
        <v>1</v>
      </c>
      <c r="H76" s="21" t="s">
        <v>893</v>
      </c>
      <c r="I76" s="13">
        <v>42937.515694444446</v>
      </c>
      <c r="J76" s="7">
        <v>0</v>
      </c>
      <c r="K76" s="89" t="str">
        <f t="shared" si="0"/>
        <v>4049/4050</v>
      </c>
      <c r="L76" s="21" t="str">
        <f>VLOOKUP(A76,'Trips&amp;Operators'!$C$1:$G$99999,5,FALSE)</f>
        <v>GONZALEZ ARMANDO</v>
      </c>
      <c r="M76" s="6">
        <f t="shared" si="1"/>
        <v>2.5439814817218576E-2</v>
      </c>
      <c r="N76" s="7">
        <f t="shared" si="32"/>
        <v>36.633333336794749</v>
      </c>
      <c r="O76" s="7"/>
      <c r="P76" s="7"/>
      <c r="Q76" s="22"/>
      <c r="R76" s="170"/>
      <c r="S76" s="213">
        <f t="shared" si="31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-21T10:42:37-0600',mode:absolute,to:'2017-07-21T13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6" s="197" t="str">
        <f>IF(AA76&lt;VLOOKUP(AG76,Variables!$AC$3:$AD$8,2,FALSE),"Y","N")</f>
        <v>N</v>
      </c>
      <c r="X76" s="197">
        <f t="shared" si="33"/>
        <v>1</v>
      </c>
      <c r="Y76" s="197">
        <f t="shared" si="28"/>
        <v>4.4900000000000002E-2</v>
      </c>
      <c r="Z76" s="197">
        <f t="shared" si="29"/>
        <v>23.328600000000002</v>
      </c>
      <c r="AA76" s="197">
        <f t="shared" si="9"/>
        <v>23.283700000000003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165</v>
      </c>
      <c r="AE76" s="77" t="str">
        <f t="shared" si="1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76" s="74" t="str">
        <f t="shared" si="12"/>
        <v>"C:\Program Files (x86)\AstroGrep\AstroGrep.exe" /e /r /s /spath="%USERPROFILE%\AppData\Local\Temp\OnboardLogs" /stypes="app*4050*20170721*"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165-21 --locoid 4050 --swversion DE.1.0.9.0 --startMP 204:449 --initTime 2017-07-21T11:42:37 --startdatetime 2017-07-21T11:45:58 --delay 1 --endMP 204:233286 --enddatetime 2017-07-21T12:22:36 --enforcementcount 0 &gt;&gt;C:\Users\stu\Documents\GitHub\eaglep3-reporting\EC\2017-07-21-refined-times.txt</v>
      </c>
      <c r="AI76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{"issue":{"subject":"","project_id":79,"tracker_id":40,"status_id":1,"priority_id":2,"assigned_to_id":23,"start_date":"2017-07-21","description":"","custom_fields":[{"id":1,"name":"Subdivision","value":"EC"},{"id":4,"name":"Milepost","value":"23.3286"},{"id":17,"name":"Train ID","value":"165-21"},{"id":16,"name":"Locomotive ID","value":"4050"},{"id":130,"name":"Impact","value":""},{"id":150,"name":"Time of Event (Mountain Time)","value":"12:22:36"},{"id":151,"name":"Denver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4050 --day 2017-07-21</v>
      </c>
      <c r="AN76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760</v>
      </c>
      <c r="B77" s="7">
        <v>4049</v>
      </c>
      <c r="C77" s="21" t="s">
        <v>198</v>
      </c>
      <c r="D77" s="21" t="s">
        <v>883</v>
      </c>
      <c r="E77" s="13">
        <v>42937.524780092594</v>
      </c>
      <c r="F77" s="13">
        <v>42937.529421296298</v>
      </c>
      <c r="G77" s="7">
        <v>1</v>
      </c>
      <c r="H77" s="21" t="s">
        <v>469</v>
      </c>
      <c r="I77" s="13">
        <v>42937.556481481479</v>
      </c>
      <c r="J77" s="7">
        <v>0</v>
      </c>
      <c r="K77" s="89" t="str">
        <f t="shared" ref="K77:K140" si="34">IF(ISEVEN(B77),(B77-1)&amp;"/"&amp;B77,B77&amp;"/"&amp;(B77+1))</f>
        <v>4049/4050</v>
      </c>
      <c r="L77" s="21" t="str">
        <f>VLOOKUP(A77,'Trips&amp;Operators'!$C$1:$G$99999,5,FALSE)</f>
        <v>GONZALEZ ARMANDO</v>
      </c>
      <c r="M77" s="6">
        <f t="shared" ref="M77:M140" si="35">I77-F77</f>
        <v>2.7060185180744156E-2</v>
      </c>
      <c r="N77" s="7">
        <f t="shared" si="32"/>
        <v>38.966666660271585</v>
      </c>
      <c r="O77" s="7"/>
      <c r="P77" s="7"/>
      <c r="Q77" s="22"/>
      <c r="R77" s="170"/>
      <c r="S77" s="213">
        <f t="shared" ref="S77:S107" si="36">1/IF(AG77="EC",12,1)*SUM(U77:U77)</f>
        <v>1</v>
      </c>
      <c r="T77" s="195" t="str">
        <f t="shared" ref="T77:T140" si="3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-21T11:35:41-0600',mode:absolute,to:'2017-07-21T14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7" s="197" t="str">
        <f>IF(AA77&lt;VLOOKUP(AG77,Variables!$AC$3:$AD$8,2,FALSE),"Y","N")</f>
        <v>N</v>
      </c>
      <c r="X77" s="197">
        <f t="shared" si="33"/>
        <v>1</v>
      </c>
      <c r="Y77" s="197">
        <f t="shared" si="28"/>
        <v>23.297499999999999</v>
      </c>
      <c r="Z77" s="197">
        <f t="shared" si="29"/>
        <v>1.52E-2</v>
      </c>
      <c r="AA77" s="197">
        <f t="shared" ref="AA77:AA140" si="39">ABS(Z77-Y77)</f>
        <v>23.282299999999999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0">VALUE(LEFT(A77,LEN(A77)-3))</f>
        <v>166</v>
      </c>
      <c r="AE77" s="77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77" s="74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/stypes="app*4049*20170721*"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43">DetSubdiv(A77)</f>
        <v>EC</v>
      </c>
      <c r="AH77" s="78" t="str">
        <f t="shared" si="18"/>
        <v>"%USERPROFILE%\Documents\GitHub\eaglep3\Utilities\RefineRTDCRunTimes.py" --tripid 166-21 --locoid 4049 --swversion DE.1.0.9.0 --startMP 204:232975 --initTime 2017-07-21T12:35:41 --startdatetime 2017-07-21T12:42:22 --delay 1 --endMP 204:152 --enddatetime 2017-07-21T13:21:20 --enforcementcount 0 &gt;&gt;C:\Users\stu\Documents\GitHub\eaglep3-reporting\EC\2017-07-21-refined-times.txt</v>
      </c>
      <c r="AI77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{"issue":{"subject":"","project_id":79,"tracker_id":40,"status_id":1,"priority_id":2,"assigned_to_id":23,"start_date":"2017-07-21","description":"","custom_fields":[{"id":1,"name":"Subdivision","value":"EC"},{"id":4,"name":"Milepost","value":"0.0152"},{"id":17,"name":"Train ID","value":"166-21"},{"id":16,"name":"Locomotive ID","value":"4049"},{"id":130,"name":"Impact","value":""},{"id":150,"name":"Time of Event (Mountain Time)","value":"13:21:20"},{"id":151,"name":"Denver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4049 --day 2017-07-21</v>
      </c>
      <c r="AN77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756</v>
      </c>
      <c r="B78" s="7">
        <v>4032</v>
      </c>
      <c r="C78" s="21" t="s">
        <v>198</v>
      </c>
      <c r="D78" s="21" t="s">
        <v>340</v>
      </c>
      <c r="E78" s="13">
        <v>42937.498622685183</v>
      </c>
      <c r="F78" s="13">
        <v>42937.500555555554</v>
      </c>
      <c r="G78" s="7">
        <v>1</v>
      </c>
      <c r="H78" s="21" t="s">
        <v>894</v>
      </c>
      <c r="I78" s="13">
        <v>42937.525949074072</v>
      </c>
      <c r="J78" s="7">
        <v>0</v>
      </c>
      <c r="K78" s="89" t="str">
        <f t="shared" si="34"/>
        <v>4031/4032</v>
      </c>
      <c r="L78" s="21" t="str">
        <f>VLOOKUP(A78,'Trips&amp;Operators'!$C$1:$G$99999,5,FALSE)</f>
        <v>CASSIDY BRANDON</v>
      </c>
      <c r="M78" s="6">
        <f t="shared" si="35"/>
        <v>2.5393518517375924E-2</v>
      </c>
      <c r="N78" s="7">
        <f t="shared" si="32"/>
        <v>36.56666666502133</v>
      </c>
      <c r="O78" s="7"/>
      <c r="P78" s="7"/>
      <c r="Q78" s="22"/>
      <c r="R78" s="170"/>
      <c r="S78" s="213">
        <f t="shared" si="36"/>
        <v>1</v>
      </c>
      <c r="T78" s="195" t="str">
        <f t="shared" si="3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8"/>
        <v>https://d0f6bd738d7f1b3e5a7ca70fe4ff75f0.us-east-1.aws.found.io/app/kibana#/discover/Steve-Slow-Train-Analysis-(2080s-and-2083s)?_g=(refreshInterval:(display:Off,pause:!f,section:0,value:0),time:(from:'2017-07-21T10:58:01-0600',mode:absolute,to:'2017-07-21T13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197" t="str">
        <f>IF(AA78&lt;VLOOKUP(AG78,Variables!$AC$3:$AD$8,2,FALSE),"Y","N")</f>
        <v>N</v>
      </c>
      <c r="X78" s="197">
        <f t="shared" si="33"/>
        <v>1</v>
      </c>
      <c r="Y78" s="197">
        <f t="shared" si="28"/>
        <v>4.4600000000000001E-2</v>
      </c>
      <c r="Z78" s="197">
        <f t="shared" si="29"/>
        <v>23.333100000000002</v>
      </c>
      <c r="AA78" s="197">
        <f t="shared" si="39"/>
        <v>23.288500000000003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0"/>
        <v>167</v>
      </c>
      <c r="AE78" s="77" t="str">
        <f t="shared" si="4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78" s="74" t="str">
        <f t="shared" si="42"/>
        <v>"C:\Program Files (x86)\AstroGrep\AstroGrep.exe" /e /r /s /spath="%USERPROFILE%\AppData\Local\Temp\OnboardLogs" /stypes="app*4032*20170721*" /stext=" 18:.+((SYSTEM_STATE.+slice.+state.+changed )|(ment ac)|(multiple cpu faults)|(system.+state.+changed )|(\[timeout)|(PRM\|1\|D)|(kpr)|(kdp)|(train st.+moving)|(\|lc)|(penalty))"</v>
      </c>
      <c r="AG78" s="209" t="str">
        <f t="shared" si="43"/>
        <v>EC</v>
      </c>
      <c r="AH78" s="78" t="str">
        <f t="shared" si="18"/>
        <v>"%USERPROFILE%\Documents\GitHub\eaglep3\Utilities\RefineRTDCRunTimes.py" --tripid 167-21 --locoid 4032 --swversion DE.1.0.9.0 --startMP 204:446 --initTime 2017-07-21T11:58:01 --startdatetime 2017-07-21T12:00:48 --delay 1 --endMP 204:233331 --enddatetime 2017-07-21T12:37:22 --enforcementcount 0 &gt;&gt;C:\Users\stu\Documents\GitHub\eaglep3-reporting\EC\2017-07-21-refined-times.txt</v>
      </c>
      <c r="AI78" s="96" t="str">
        <f t="shared" si="19"/>
        <v>echo {"issue":{"subject":"","project_id":79,"tracker_id":40,"status_id":1,"priority_id":2,"assigned_to_id":23,"start_date":"2017-07-21","description":"","custom_fields":[{"id":1,"name":"Subdivision","value":"EC"},{"id":4,"name":"Milepost","value":"23.3331"},{"id":17,"name":"Train ID","value":"167-21"},{"id":16,"name":"Locomotive ID","value":"4032"},{"id":130,"name":"Impact","value":""},{"id":150,"name":"Time of Event (Mountain Time)","value":"12:37:22"},{"id":151,"name":"Denver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4032 --day 2017-07-21</v>
      </c>
      <c r="AN78" s="151" t="str">
        <f t="shared" si="21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762</v>
      </c>
      <c r="B79" s="7">
        <v>4031</v>
      </c>
      <c r="C79" s="21" t="s">
        <v>198</v>
      </c>
      <c r="D79" s="21" t="s">
        <v>393</v>
      </c>
      <c r="E79" s="13">
        <v>42937.535208333335</v>
      </c>
      <c r="F79" s="13">
        <v>42937.539884259262</v>
      </c>
      <c r="G79" s="7">
        <v>1</v>
      </c>
      <c r="H79" s="21" t="s">
        <v>895</v>
      </c>
      <c r="I79" s="13">
        <v>42937.566562499997</v>
      </c>
      <c r="J79" s="7">
        <v>0</v>
      </c>
      <c r="K79" s="89" t="str">
        <f t="shared" si="34"/>
        <v>4031/4032</v>
      </c>
      <c r="L79" s="21" t="str">
        <f>VLOOKUP(A79,'Trips&amp;Operators'!$C$1:$G$99999,5,FALSE)</f>
        <v>CASSIDY BRANDON</v>
      </c>
      <c r="M79" s="6">
        <f t="shared" si="35"/>
        <v>2.6678240734327119E-2</v>
      </c>
      <c r="N79" s="7">
        <f t="shared" si="32"/>
        <v>38.416666657431051</v>
      </c>
      <c r="O79" s="7"/>
      <c r="P79" s="7"/>
      <c r="Q79" s="22"/>
      <c r="R79" s="170"/>
      <c r="S79" s="213">
        <f t="shared" si="36"/>
        <v>1</v>
      </c>
      <c r="T79" s="195" t="str">
        <f t="shared" si="3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8"/>
        <v>https://d0f6bd738d7f1b3e5a7ca70fe4ff75f0.us-east-1.aws.found.io/app/kibana#/discover/Steve-Slow-Train-Analysis-(2080s-and-2083s)?_g=(refreshInterval:(display:Off,pause:!f,section:0,value:0),time:(from:'2017-07-21T11:50:42-0600',mode:absolute,to:'2017-07-21T14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197" t="str">
        <f>IF(AA79&lt;VLOOKUP(AG79,Variables!$AC$3:$AD$8,2,FALSE),"Y","N")</f>
        <v>N</v>
      </c>
      <c r="X79" s="197">
        <f t="shared" si="33"/>
        <v>1</v>
      </c>
      <c r="Y79" s="197">
        <f t="shared" si="28"/>
        <v>23.299600000000002</v>
      </c>
      <c r="Z79" s="197">
        <f t="shared" si="29"/>
        <v>8.9999999999999993E-3</v>
      </c>
      <c r="AA79" s="197">
        <f t="shared" si="39"/>
        <v>23.290600000000001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0"/>
        <v>168</v>
      </c>
      <c r="AE79" s="77" t="str">
        <f t="shared" si="4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79" s="74" t="str">
        <f t="shared" si="42"/>
        <v>"C:\Program Files (x86)\AstroGrep\AstroGrep.exe" /e /r /s /spath="%USERPROFILE%\AppData\Local\Temp\OnboardLogs" /stypes="app*4031*20170721*" /stext=" 19:.+((SYSTEM_STATE.+slice.+state.+changed )|(ment ac)|(multiple cpu faults)|(system.+state.+changed )|(\[timeout)|(PRM\|1\|D)|(kpr)|(kdp)|(train st.+moving)|(\|lc)|(penalty))"</v>
      </c>
      <c r="AG79" s="209" t="str">
        <f t="shared" si="43"/>
        <v>EC</v>
      </c>
      <c r="AH79" s="78" t="str">
        <f t="shared" ref="AH79:AH142" si="4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168-21 --locoid 4031 --swversion DE.1.0.9.0 --startMP 204:232996 --initTime 2017-07-21T12:50:42 --startdatetime 2017-07-21T12:57:26 --delay 1 --endMP 204:90 --enddatetime 2017-07-21T13:35:51 --enforcementcount 0 &gt;&gt;C:\Users\stu\Documents\GitHub\eaglep3-reporting\EC\2017-07-21-refined-times.txt</v>
      </c>
      <c r="AI79" s="96" t="str">
        <f t="shared" ref="AI79:AI142" si="4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{"issue":{"subject":"","project_id":79,"tracker_id":40,"status_id":1,"priority_id":2,"assigned_to_id":23,"start_date":"2017-07-21","description":"","custom_fields":[{"id":1,"name":"Subdivision","value":"EC"},{"id":4,"name":"Milepost","value":"0.009"},{"id":17,"name":"Train ID","value":"168-21"},{"id":16,"name":"Locomotive ID","value":"4031"},{"id":130,"name":"Impact","value":""},{"id":150,"name":"Time of Event (Mountain Time)","value":"13:35:51"},{"id":151,"name":"Denver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2" si="46">"start /low /b "&amp;dls3logs&amp;" --loco "&amp;B79&amp;" --day "&amp;TEXT(F79,"YYYY-MM-DD")</f>
        <v>start /low /b %USERPROFILE%\Documents\GitHub\eaglep3\Utilities\DownloadLogsFromS3.py --loco 4031 --day 2017-07-21</v>
      </c>
      <c r="AN79" s="151" t="str">
        <f t="shared" ref="AN79:AN142" si="4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634</v>
      </c>
      <c r="B80" s="7">
        <v>4026</v>
      </c>
      <c r="C80" s="21" t="s">
        <v>198</v>
      </c>
      <c r="D80" s="21" t="s">
        <v>347</v>
      </c>
      <c r="E80" s="13">
        <v>42937.507951388892</v>
      </c>
      <c r="F80" s="13">
        <v>42937.510995370372</v>
      </c>
      <c r="G80" s="7">
        <v>1</v>
      </c>
      <c r="H80" s="21" t="s">
        <v>896</v>
      </c>
      <c r="I80" s="13">
        <v>42937.535196759258</v>
      </c>
      <c r="J80" s="7">
        <v>0</v>
      </c>
      <c r="K80" s="89" t="str">
        <f t="shared" si="34"/>
        <v>4025/4026</v>
      </c>
      <c r="L80" s="21" t="str">
        <f>VLOOKUP(A80,'Trips&amp;Operators'!$C$1:$G$99999,5,FALSE)</f>
        <v>LEVIN SCOTT</v>
      </c>
      <c r="M80" s="6">
        <f t="shared" si="35"/>
        <v>2.4201388885558117E-2</v>
      </c>
      <c r="N80" s="7">
        <f t="shared" si="32"/>
        <v>34.849999995203689</v>
      </c>
      <c r="O80" s="7"/>
      <c r="P80" s="7"/>
      <c r="Q80" s="22"/>
      <c r="R80" s="170"/>
      <c r="S80" s="213">
        <f t="shared" si="36"/>
        <v>1</v>
      </c>
      <c r="T80" s="195" t="str">
        <f t="shared" si="3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8"/>
        <v>https://d0f6bd738d7f1b3e5a7ca70fe4ff75f0.us-east-1.aws.found.io/app/kibana#/discover/Steve-Slow-Train-Analysis-(2080s-and-2083s)?_g=(refreshInterval:(display:Off,pause:!f,section:0,value:0),time:(from:'2017-07-21T11:11:27-0600',mode:absolute,to:'2017-07-21T13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197" t="str">
        <f>IF(AA80&lt;VLOOKUP(AG80,Variables!$AC$3:$AD$8,2,FALSE),"Y","N")</f>
        <v>N</v>
      </c>
      <c r="X80" s="197">
        <f t="shared" si="33"/>
        <v>1</v>
      </c>
      <c r="Y80" s="197">
        <f t="shared" si="28"/>
        <v>4.4699999999999997E-2</v>
      </c>
      <c r="Z80" s="197">
        <f t="shared" si="29"/>
        <v>23.336600000000001</v>
      </c>
      <c r="AA80" s="197">
        <f t="shared" si="39"/>
        <v>23.291900000000002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0"/>
        <v>169</v>
      </c>
      <c r="AE80" s="77" t="str">
        <f t="shared" si="4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80" s="74" t="str">
        <f t="shared" si="42"/>
        <v>"C:\Program Files (x86)\AstroGrep\AstroGrep.exe" /e /r /s /spath="%USERPROFILE%\AppData\Local\Temp\OnboardLogs" /stypes="app*4026*20170721*" /stext=" 18:.+((SYSTEM_STATE.+slice.+state.+changed )|(ment ac)|(multiple cpu faults)|(system.+state.+changed )|(\[timeout)|(PRM\|1\|D)|(kpr)|(kdp)|(train st.+moving)|(\|lc)|(penalty))"</v>
      </c>
      <c r="AG80" s="209" t="str">
        <f t="shared" si="43"/>
        <v>EC</v>
      </c>
      <c r="AH80" s="78" t="str">
        <f t="shared" si="44"/>
        <v>"%USERPROFILE%\Documents\GitHub\eaglep3\Utilities\RefineRTDCRunTimes.py" --tripid 169-21 --locoid 4026 --swversion DE.1.0.9.0 --startMP 204:447 --initTime 2017-07-21T12:11:27 --startdatetime 2017-07-21T12:15:50 --delay 1 --endMP 204:233366 --enddatetime 2017-07-21T12:50:41 --enforcementcount 0 &gt;&gt;C:\Users\stu\Documents\GitHub\eaglep3-reporting\EC\2017-07-21-refined-times.txt</v>
      </c>
      <c r="AI80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{"issue":{"subject":"","project_id":79,"tracker_id":40,"status_id":1,"priority_id":2,"assigned_to_id":23,"start_date":"2017-07-21","description":"","custom_fields":[{"id":1,"name":"Subdivision","value":"EC"},{"id":4,"name":"Milepost","value":"23.3366"},{"id":17,"name":"Train ID","value":"169-21"},{"id":16,"name":"Locomotive ID","value":"4026"},{"id":130,"name":"Impact","value":""},{"id":150,"name":"Time of Event (Mountain Time)","value":"12:50:41"},{"id":151,"name":"Denver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6"/>
        <v>start /low /b %USERPROFILE%\Documents\GitHub\eaglep3\Utilities\DownloadLogsFromS3.py --loco 4026 --day 2017-07-21</v>
      </c>
      <c r="AN80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764</v>
      </c>
      <c r="B81" s="7">
        <v>4025</v>
      </c>
      <c r="C81" s="21" t="s">
        <v>198</v>
      </c>
      <c r="D81" s="21" t="s">
        <v>892</v>
      </c>
      <c r="E81" s="13">
        <v>42937.547233796293</v>
      </c>
      <c r="F81" s="13">
        <v>42937.550254629627</v>
      </c>
      <c r="G81" s="7">
        <v>1</v>
      </c>
      <c r="H81" s="21" t="s">
        <v>897</v>
      </c>
      <c r="I81" s="13">
        <v>42937.576145833336</v>
      </c>
      <c r="J81" s="7">
        <v>0</v>
      </c>
      <c r="K81" s="89" t="str">
        <f t="shared" si="34"/>
        <v>4025/4026</v>
      </c>
      <c r="L81" s="21" t="str">
        <f>VLOOKUP(A81,'Trips&amp;Operators'!$C$1:$G$99999,5,FALSE)</f>
        <v>LEVIN SCOTT</v>
      </c>
      <c r="M81" s="6">
        <f t="shared" si="35"/>
        <v>2.5891203709761612E-2</v>
      </c>
      <c r="N81" s="7">
        <f t="shared" si="32"/>
        <v>37.283333342056721</v>
      </c>
      <c r="O81" s="7"/>
      <c r="P81" s="7"/>
      <c r="Q81" s="22"/>
      <c r="R81" s="170"/>
      <c r="S81" s="213">
        <f t="shared" si="36"/>
        <v>1</v>
      </c>
      <c r="T81" s="195" t="str">
        <f t="shared" si="3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8"/>
        <v>https://d0f6bd738d7f1b3e5a7ca70fe4ff75f0.us-east-1.aws.found.io/app/kibana#/discover/Steve-Slow-Train-Analysis-(2080s-and-2083s)?_g=(refreshInterval:(display:Off,pause:!f,section:0,value:0),time:(from:'2017-07-21T12:08:01-0600',mode:absolute,to:'2017-07-21T14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1" s="197" t="str">
        <f>IF(AA81&lt;VLOOKUP(AG81,Variables!$AC$3:$AD$8,2,FALSE),"Y","N")</f>
        <v>N</v>
      </c>
      <c r="X81" s="197">
        <f t="shared" si="33"/>
        <v>1</v>
      </c>
      <c r="Y81" s="197">
        <f t="shared" si="28"/>
        <v>23.303999999999998</v>
      </c>
      <c r="Z81" s="197">
        <f t="shared" si="29"/>
        <v>1.29E-2</v>
      </c>
      <c r="AA81" s="197">
        <f t="shared" si="39"/>
        <v>23.2911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0"/>
        <v>170</v>
      </c>
      <c r="AE81" s="77" t="str">
        <f t="shared" si="4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81" s="74" t="str">
        <f t="shared" si="42"/>
        <v>"C:\Program Files (x86)\AstroGrep\AstroGrep.exe" /e /r /s /spath="%USERPROFILE%\AppData\Local\Temp\OnboardLogs" /stypes="app*4025*20170721*" /stext=" 19:.+((SYSTEM_STATE.+slice.+state.+changed )|(ment ac)|(multiple cpu faults)|(system.+state.+changed )|(\[timeout)|(PRM\|1\|D)|(kpr)|(kdp)|(train st.+moving)|(\|lc)|(penalty))"</v>
      </c>
      <c r="AG81" s="209" t="str">
        <f t="shared" si="43"/>
        <v>EC</v>
      </c>
      <c r="AH81" s="78" t="str">
        <f t="shared" si="44"/>
        <v>"%USERPROFILE%\Documents\GitHub\eaglep3\Utilities\RefineRTDCRunTimes.py" --tripid 170-21 --locoid 4025 --swversion DE.1.0.9.0 --startMP 204:233040 --initTime 2017-07-21T13:08:01 --startdatetime 2017-07-21T13:12:22 --delay 1 --endMP 204:129 --enddatetime 2017-07-21T13:49:39 --enforcementcount 0 &gt;&gt;C:\Users\stu\Documents\GitHub\eaglep3-reporting\EC\2017-07-21-refined-times.txt</v>
      </c>
      <c r="AI8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{"issue":{"subject":"","project_id":79,"tracker_id":40,"status_id":1,"priority_id":2,"assigned_to_id":23,"start_date":"2017-07-21","description":"","custom_fields":[{"id":1,"name":"Subdivision","value":"EC"},{"id":4,"name":"Milepost","value":"0.0129"},{"id":17,"name":"Train ID","value":"170-21"},{"id":16,"name":"Locomotive ID","value":"4025"},{"id":130,"name":"Impact","value":""},{"id":150,"name":"Time of Event (Mountain Time)","value":"13:49:39"},{"id":151,"name":"Denver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6"/>
        <v>start /low /b %USERPROFILE%\Documents\GitHub\eaglep3\Utilities\DownloadLogsFromS3.py --loco 4025 --day 2017-07-21</v>
      </c>
      <c r="AN81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757</v>
      </c>
      <c r="B82" s="7">
        <v>4054</v>
      </c>
      <c r="C82" s="21" t="s">
        <v>198</v>
      </c>
      <c r="D82" s="21" t="s">
        <v>340</v>
      </c>
      <c r="E82" s="13">
        <v>42937.516076388885</v>
      </c>
      <c r="F82" s="13">
        <v>42937.521412037036</v>
      </c>
      <c r="G82" s="7">
        <v>1</v>
      </c>
      <c r="H82" s="21" t="s">
        <v>578</v>
      </c>
      <c r="I82" s="13">
        <v>42937.546388888892</v>
      </c>
      <c r="J82" s="7">
        <v>0</v>
      </c>
      <c r="K82" s="89" t="str">
        <f t="shared" si="34"/>
        <v>4053/4054</v>
      </c>
      <c r="L82" s="21" t="str">
        <f>VLOOKUP(A82,'Trips&amp;Operators'!$C$1:$G$99999,5,FALSE)</f>
        <v>SULLIVAN BRANDON</v>
      </c>
      <c r="M82" s="6">
        <f t="shared" si="35"/>
        <v>2.4976851855171844E-2</v>
      </c>
      <c r="N82" s="7">
        <f t="shared" si="32"/>
        <v>35.966666671447456</v>
      </c>
      <c r="O82" s="7"/>
      <c r="P82" s="7"/>
      <c r="Q82" s="22"/>
      <c r="R82" s="170"/>
      <c r="S82" s="213">
        <f t="shared" si="36"/>
        <v>1</v>
      </c>
      <c r="T82" s="195" t="str">
        <f t="shared" si="3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8"/>
        <v>https://d0f6bd738d7f1b3e5a7ca70fe4ff75f0.us-east-1.aws.found.io/app/kibana#/discover/Steve-Slow-Train-Analysis-(2080s-and-2083s)?_g=(refreshInterval:(display:Off,pause:!f,section:0,value:0),time:(from:'2017-07-21T11:23:09-0600',mode:absolute,to:'2017-07-21T14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97" t="str">
        <f>IF(AA82&lt;VLOOKUP(AG82,Variables!$AC$3:$AD$8,2,FALSE),"Y","N")</f>
        <v>N</v>
      </c>
      <c r="X82" s="197">
        <f t="shared" si="33"/>
        <v>1</v>
      </c>
      <c r="Y82" s="197">
        <f t="shared" si="28"/>
        <v>4.4600000000000001E-2</v>
      </c>
      <c r="Z82" s="197">
        <f t="shared" si="29"/>
        <v>23.3368</v>
      </c>
      <c r="AA82" s="197">
        <f t="shared" si="39"/>
        <v>23.292200000000001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0"/>
        <v>171</v>
      </c>
      <c r="AE82" s="77" t="str">
        <f t="shared" si="4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82" s="74" t="str">
        <f t="shared" si="42"/>
        <v>"C:\Program Files (x86)\AstroGrep\AstroGrep.exe" /e /r /s /spath="%USERPROFILE%\AppData\Local\Temp\OnboardLogs" /stypes="app*4054*20170721*" /stext=" 19:.+((SYSTEM_STATE.+slice.+state.+changed )|(ment ac)|(multiple cpu faults)|(system.+state.+changed )|(\[timeout)|(PRM\|1\|D)|(kpr)|(kdp)|(train st.+moving)|(\|lc)|(penalty))"</v>
      </c>
      <c r="AG82" s="209" t="str">
        <f t="shared" si="43"/>
        <v>EC</v>
      </c>
      <c r="AH82" s="78" t="str">
        <f t="shared" si="44"/>
        <v>"%USERPROFILE%\Documents\GitHub\eaglep3\Utilities\RefineRTDCRunTimes.py" --tripid 171-21 --locoid 4054 --swversion DE.1.0.9.0 --startMP 204:446 --initTime 2017-07-21T12:23:09 --startdatetime 2017-07-21T12:30:50 --delay 1 --endMP 204:233368 --enddatetime 2017-07-21T13:06:48 --enforcementcount 0 &gt;&gt;C:\Users\stu\Documents\GitHub\eaglep3-reporting\EC\2017-07-21-refined-times.txt</v>
      </c>
      <c r="AI8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{"issue":{"subject":"","project_id":79,"tracker_id":40,"status_id":1,"priority_id":2,"assigned_to_id":23,"start_date":"2017-07-21","description":"","custom_fields":[{"id":1,"name":"Subdivision","value":"EC"},{"id":4,"name":"Milepost","value":"23.3368"},{"id":17,"name":"Train ID","value":"171-21"},{"id":16,"name":"Locomotive ID","value":"4054"},{"id":130,"name":"Impact","value":""},{"id":150,"name":"Time of Event (Mountain Time)","value":"13:06:48"},{"id":151,"name":"Denver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6"/>
        <v>start /low /b %USERPROFILE%\Documents\GitHub\eaglep3\Utilities\DownloadLogsFromS3.py --loco 4054 --day 2017-07-21</v>
      </c>
      <c r="AN82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767</v>
      </c>
      <c r="B83" s="7">
        <v>4053</v>
      </c>
      <c r="C83" s="21" t="s">
        <v>198</v>
      </c>
      <c r="D83" s="21" t="s">
        <v>577</v>
      </c>
      <c r="E83" s="13">
        <v>42937.554432870369</v>
      </c>
      <c r="F83" s="13">
        <v>42937.560590277775</v>
      </c>
      <c r="G83" s="7">
        <v>1</v>
      </c>
      <c r="H83" s="21" t="s">
        <v>879</v>
      </c>
      <c r="I83" s="13">
        <v>42937.587083333332</v>
      </c>
      <c r="J83" s="7">
        <v>0</v>
      </c>
      <c r="K83" s="89" t="str">
        <f t="shared" si="34"/>
        <v>4053/4054</v>
      </c>
      <c r="L83" s="21" t="str">
        <f>VLOOKUP(A83,'Trips&amp;Operators'!$C$1:$G$99999,5,FALSE)</f>
        <v>SULLIVAN BRANDON</v>
      </c>
      <c r="M83" s="6">
        <f t="shared" si="35"/>
        <v>2.6493055556784384E-2</v>
      </c>
      <c r="N83" s="7">
        <f t="shared" si="32"/>
        <v>38.150000001769513</v>
      </c>
      <c r="O83" s="7"/>
      <c r="P83" s="7"/>
      <c r="Q83" s="22"/>
      <c r="R83" s="170"/>
      <c r="S83" s="213">
        <f t="shared" si="36"/>
        <v>1</v>
      </c>
      <c r="T83" s="195" t="str">
        <f t="shared" si="3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8"/>
        <v>https://d0f6bd738d7f1b3e5a7ca70fe4ff75f0.us-east-1.aws.found.io/app/kibana#/discover/Steve-Slow-Train-Analysis-(2080s-and-2083s)?_g=(refreshInterval:(display:Off,pause:!f,section:0,value:0),time:(from:'2017-07-21T12:18:23-0600',mode:absolute,to:'2017-07-21T15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97" t="str">
        <f>IF(AA83&lt;VLOOKUP(AG83,Variables!$AC$3:$AD$8,2,FALSE),"Y","N")</f>
        <v>N</v>
      </c>
      <c r="X83" s="197">
        <f t="shared" si="33"/>
        <v>1</v>
      </c>
      <c r="Y83" s="197">
        <f t="shared" si="28"/>
        <v>23.307700000000001</v>
      </c>
      <c r="Z83" s="197">
        <f t="shared" si="29"/>
        <v>1.67E-2</v>
      </c>
      <c r="AA83" s="197">
        <f t="shared" si="39"/>
        <v>23.291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0"/>
        <v>172</v>
      </c>
      <c r="AE83" s="77" t="str">
        <f t="shared" si="4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83" s="74" t="str">
        <f t="shared" si="42"/>
        <v>"C:\Program Files (x86)\AstroGrep\AstroGrep.exe" /e /r /s /spath="%USERPROFILE%\AppData\Local\Temp\OnboardLogs" /stypes="app*4053*20170721*" /stext=" 20:.+((SYSTEM_STATE.+slice.+state.+changed )|(ment ac)|(multiple cpu faults)|(system.+state.+changed )|(\[timeout)|(PRM\|1\|D)|(kpr)|(kdp)|(train st.+moving)|(\|lc)|(penalty))"</v>
      </c>
      <c r="AG83" s="209" t="str">
        <f t="shared" si="43"/>
        <v>EC</v>
      </c>
      <c r="AH83" s="78" t="str">
        <f t="shared" si="44"/>
        <v>"%USERPROFILE%\Documents\GitHub\eaglep3\Utilities\RefineRTDCRunTimes.py" --tripid 172-21 --locoid 4053 --swversion DE.1.0.9.0 --startMP 204:233077 --initTime 2017-07-21T13:18:23 --startdatetime 2017-07-21T13:27:15 --delay 1 --endMP 204:167 --enddatetime 2017-07-21T14:05:24 --enforcementcount 0 &gt;&gt;C:\Users\stu\Documents\GitHub\eaglep3-reporting\EC\2017-07-21-refined-times.txt</v>
      </c>
      <c r="AI83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{"issue":{"subject":"","project_id":79,"tracker_id":40,"status_id":1,"priority_id":2,"assigned_to_id":23,"start_date":"2017-07-21","description":"","custom_fields":[{"id":1,"name":"Subdivision","value":"EC"},{"id":4,"name":"Milepost","value":"0.0167"},{"id":17,"name":"Train ID","value":"172-21"},{"id":16,"name":"Locomotive ID","value":"4053"},{"id":130,"name":"Impact","value":""},{"id":150,"name":"Time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6"/>
        <v>start /low /b %USERPROFILE%\Documents\GitHub\eaglep3\Utilities\DownloadLogsFromS3.py --loco 4053 --day 2017-07-21</v>
      </c>
      <c r="AN83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761</v>
      </c>
      <c r="B84" s="7">
        <v>4058</v>
      </c>
      <c r="C84" s="21" t="s">
        <v>198</v>
      </c>
      <c r="D84" s="21" t="s">
        <v>457</v>
      </c>
      <c r="E84" s="13">
        <v>42937.527662037035</v>
      </c>
      <c r="F84" s="13">
        <v>42937.531793981485</v>
      </c>
      <c r="G84" s="7">
        <v>1</v>
      </c>
      <c r="H84" s="21" t="s">
        <v>415</v>
      </c>
      <c r="I84" s="13">
        <v>42937.557199074072</v>
      </c>
      <c r="J84" s="7">
        <v>0</v>
      </c>
      <c r="K84" s="89" t="str">
        <f t="shared" si="34"/>
        <v>4057/4058</v>
      </c>
      <c r="L84" s="21" t="str">
        <f>VLOOKUP(A84,'Trips&amp;Operators'!$C$1:$G$99999,5,FALSE)</f>
        <v>ELBAUM MIKE</v>
      </c>
      <c r="M84" s="6">
        <f t="shared" si="35"/>
        <v>2.5405092586879618E-2</v>
      </c>
      <c r="N84" s="7">
        <f t="shared" si="32"/>
        <v>36.583333325106651</v>
      </c>
      <c r="O84" s="7"/>
      <c r="P84" s="7"/>
      <c r="Q84" s="22"/>
      <c r="R84" s="170"/>
      <c r="S84" s="213">
        <f t="shared" si="36"/>
        <v>1</v>
      </c>
      <c r="T84" s="195" t="str">
        <f t="shared" si="3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8"/>
        <v>https://d0f6bd738d7f1b3e5a7ca70fe4ff75f0.us-east-1.aws.found.io/app/kibana#/discover/Steve-Slow-Train-Analysis-(2080s-and-2083s)?_g=(refreshInterval:(display:Off,pause:!f,section:0,value:0),time:(from:'2017-07-21T11:39:50-0600',mode:absolute,to:'2017-07-21T14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4" s="197" t="str">
        <f>IF(AA84&lt;VLOOKUP(AG84,Variables!$AC$3:$AD$8,2,FALSE),"Y","N")</f>
        <v>N</v>
      </c>
      <c r="X84" s="197">
        <f t="shared" si="33"/>
        <v>1</v>
      </c>
      <c r="Y84" s="197">
        <f t="shared" si="28"/>
        <v>4.6399999999999997E-2</v>
      </c>
      <c r="Z84" s="197">
        <f t="shared" si="29"/>
        <v>23.329699999999999</v>
      </c>
      <c r="AA84" s="197">
        <f t="shared" si="39"/>
        <v>23.283300000000001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0"/>
        <v>173</v>
      </c>
      <c r="AE84" s="77" t="str">
        <f t="shared" si="4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84" s="74" t="str">
        <f t="shared" si="42"/>
        <v>"C:\Program Files (x86)\AstroGrep\AstroGrep.exe" /e /r /s /spath="%USERPROFILE%\AppData\Local\Temp\OnboardLogs" /stypes="app*4058*20170721*" /stext=" 19:.+((SYSTEM_STATE.+slice.+state.+changed )|(ment ac)|(multiple cpu faults)|(system.+state.+changed )|(\[timeout)|(PRM\|1\|D)|(kpr)|(kdp)|(train st.+moving)|(\|lc)|(penalty))"</v>
      </c>
      <c r="AG84" s="209" t="str">
        <f t="shared" si="43"/>
        <v>EC</v>
      </c>
      <c r="AH84" s="78" t="str">
        <f t="shared" si="44"/>
        <v>"%USERPROFILE%\Documents\GitHub\eaglep3\Utilities\RefineRTDCRunTimes.py" --tripid 173-21 --locoid 4058 --swversion DE.1.0.9.0 --startMP 204:464 --initTime 2017-07-21T12:39:50 --startdatetime 2017-07-21T12:45:47 --delay 1 --endMP 204:233297 --enddatetime 2017-07-21T13:22:22 --enforcementcount 0 &gt;&gt;C:\Users\stu\Documents\GitHub\eaglep3-reporting\EC\2017-07-21-refined-times.txt</v>
      </c>
      <c r="AI84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{"issue":{"subject":"","project_id":79,"tracker_id":40,"status_id":1,"priority_id":2,"assigned_to_id":23,"start_date":"2017-07-21","description":"","custom_fields":[{"id":1,"name":"Subdivision","value":"EC"},{"id":4,"name":"Milepost","value":"23.3297"},{"id":17,"name":"Train ID","value":"173-21"},{"id":16,"name":"Locomotive ID","value":"4058"},{"id":130,"name":"Impact","value":""},{"id":150,"name":"Time of Event (Mountain Time)","value":"13:22:22"},{"id":151,"name":"Denver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6"/>
        <v>start /low /b %USERPROFILE%\Documents\GitHub\eaglep3\Utilities\DownloadLogsFromS3.py --loco 4058 --day 2017-07-21</v>
      </c>
      <c r="AN84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635</v>
      </c>
      <c r="B85" s="7">
        <v>4057</v>
      </c>
      <c r="C85" s="21" t="s">
        <v>198</v>
      </c>
      <c r="D85" s="21" t="s">
        <v>883</v>
      </c>
      <c r="E85" s="13">
        <v>42937.559016203704</v>
      </c>
      <c r="F85" s="13">
        <v>42937.571087962962</v>
      </c>
      <c r="G85" s="7">
        <v>1</v>
      </c>
      <c r="H85" s="21" t="s">
        <v>898</v>
      </c>
      <c r="I85" s="13">
        <v>42937.601458333331</v>
      </c>
      <c r="J85" s="7">
        <v>0</v>
      </c>
      <c r="K85" s="89" t="str">
        <f t="shared" si="34"/>
        <v>4057/4058</v>
      </c>
      <c r="L85" s="21" t="str">
        <f>VLOOKUP(A85,'Trips&amp;Operators'!$C$1:$G$99999,5,FALSE)</f>
        <v>ELBAUM MIKE</v>
      </c>
      <c r="M85" s="6">
        <f t="shared" si="35"/>
        <v>3.0370370368473232E-2</v>
      </c>
      <c r="N85" s="7">
        <f t="shared" si="32"/>
        <v>43.733333330601454</v>
      </c>
      <c r="O85" s="7"/>
      <c r="P85" s="7"/>
      <c r="Q85" s="22"/>
      <c r="R85" s="170"/>
      <c r="S85" s="213">
        <f t="shared" si="36"/>
        <v>1</v>
      </c>
      <c r="T85" s="195" t="str">
        <f t="shared" si="3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8"/>
        <v>https://d0f6bd738d7f1b3e5a7ca70fe4ff75f0.us-east-1.aws.found.io/app/kibana#/discover/Steve-Slow-Train-Analysis-(2080s-and-2083s)?_g=(refreshInterval:(display:Off,pause:!f,section:0,value:0),time:(from:'2017-07-21T12:24:59-0600',mode:absolute,to:'2017-07-21T15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5" s="197" t="str">
        <f>IF(AA85&lt;VLOOKUP(AG85,Variables!$AC$3:$AD$8,2,FALSE),"Y","N")</f>
        <v>N</v>
      </c>
      <c r="X85" s="197">
        <f t="shared" si="33"/>
        <v>1</v>
      </c>
      <c r="Y85" s="197">
        <f t="shared" si="28"/>
        <v>23.297499999999999</v>
      </c>
      <c r="Z85" s="197">
        <f t="shared" si="29"/>
        <v>1.7600000000000001E-2</v>
      </c>
      <c r="AA85" s="197">
        <f t="shared" si="39"/>
        <v>23.279899999999998</v>
      </c>
      <c r="AB85" s="54" t="str">
        <f>VLOOKUP(A85,Enforcements!$C$7:$K$13,8,0)</f>
        <v>Bulletin (2)</v>
      </c>
      <c r="AC85" s="51" t="str">
        <f>VLOOKUP(A85,Enforcements!$C$7:$E$13,3,0)</f>
        <v>GRADE CROSSING</v>
      </c>
      <c r="AD85" s="206">
        <f t="shared" si="40"/>
        <v>174</v>
      </c>
      <c r="AE85" s="77" t="str">
        <f t="shared" si="4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85" s="74" t="str">
        <f t="shared" si="42"/>
        <v>"C:\Program Files (x86)\AstroGrep\AstroGrep.exe" /e /r /s /spath="%USERPROFILE%\AppData\Local\Temp\OnboardLogs" /stypes="app*4057*20170721*" /stext=" 20:.+((SYSTEM_STATE.+slice.+state.+changed )|(ment ac)|(multiple cpu faults)|(system.+state.+changed )|(\[timeout)|(PRM\|1\|D)|(kpr)|(kdp)|(train st.+moving)|(\|lc)|(penalty))"</v>
      </c>
      <c r="AG85" s="209" t="str">
        <f t="shared" si="43"/>
        <v>EC</v>
      </c>
      <c r="AH85" s="78" t="str">
        <f t="shared" si="44"/>
        <v>"%USERPROFILE%\Documents\GitHub\eaglep3\Utilities\RefineRTDCRunTimes.py" --tripid 174-21 --locoid 4057 --swversion DE.1.0.9.0 --startMP 204:232975 --initTime 2017-07-21T13:24:59 --startdatetime 2017-07-21T13:42:22 --delay 1 --endMP 204:176 --enddatetime 2017-07-21T14:26:06 --enforcementcount 0 &gt;&gt;C:\Users\stu\Documents\GitHub\eaglep3-reporting\EC\2017-07-21-refined-times.txt</v>
      </c>
      <c r="AI85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{"issue":{"subject":"","project_id":79,"tracker_id":40,"status_id":1,"priority_id":2,"assigned_to_id":23,"start_date":"2017-07-21","description":"","custom_fields":[{"id":1,"name":"Subdivision","value":"EC"},{"id":4,"name":"Milepost","value":"0.0176"},{"id":17,"name":"Train ID","value":"174-21"},{"id":16,"name":"Locomotive ID","value":"4057"},{"id":130,"name":"Impact","value":""},{"id":150,"name":"Time of Event (Mountain Time)","value":"14:26:06"},{"id":151,"name":"Denver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6"/>
        <v>start /low /b %USERPROFILE%\Documents\GitHub\eaglep3\Utilities\DownloadLogsFromS3.py --loco 4057 --day 2017-07-21</v>
      </c>
      <c r="AN85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763</v>
      </c>
      <c r="B86" s="7">
        <v>4030</v>
      </c>
      <c r="C86" s="21" t="s">
        <v>198</v>
      </c>
      <c r="D86" s="21" t="s">
        <v>346</v>
      </c>
      <c r="E86" s="13">
        <v>42937.536747685182</v>
      </c>
      <c r="F86" s="13">
        <v>42937.542349537034</v>
      </c>
      <c r="G86" s="7">
        <v>1</v>
      </c>
      <c r="H86" s="21" t="s">
        <v>532</v>
      </c>
      <c r="I86" s="13">
        <v>42937.56758101852</v>
      </c>
      <c r="J86" s="7">
        <v>0</v>
      </c>
      <c r="K86" s="89" t="str">
        <f t="shared" si="34"/>
        <v>4029/4030</v>
      </c>
      <c r="L86" s="21" t="str">
        <f>VLOOKUP(A86,'Trips&amp;Operators'!$C$1:$G$99999,5,FALSE)</f>
        <v>BERLING GARY</v>
      </c>
      <c r="M86" s="6">
        <f t="shared" si="35"/>
        <v>2.5231481486116536E-2</v>
      </c>
      <c r="N86" s="7">
        <f t="shared" si="32"/>
        <v>36.333333340007812</v>
      </c>
      <c r="O86" s="7"/>
      <c r="P86" s="7"/>
      <c r="Q86" s="22"/>
      <c r="R86" s="170"/>
      <c r="S86" s="213">
        <f t="shared" si="36"/>
        <v>1</v>
      </c>
      <c r="T86" s="195" t="str">
        <f t="shared" si="3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8"/>
        <v>https://d0f6bd738d7f1b3e5a7ca70fe4ff75f0.us-east-1.aws.found.io/app/kibana#/discover/Steve-Slow-Train-Analysis-(2080s-and-2083s)?_g=(refreshInterval:(display:Off,pause:!f,section:0,value:0),time:(from:'2017-07-21T11:52:55-0600',mode:absolute,to:'2017-07-21T14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97" t="str">
        <f>IF(AA86&lt;VLOOKUP(AG86,Variables!$AC$3:$AD$8,2,FALSE),"Y","N")</f>
        <v>N</v>
      </c>
      <c r="X86" s="197">
        <f t="shared" si="33"/>
        <v>1</v>
      </c>
      <c r="Y86" s="197">
        <f t="shared" si="28"/>
        <v>4.53E-2</v>
      </c>
      <c r="Z86" s="197">
        <f t="shared" si="29"/>
        <v>23.3306</v>
      </c>
      <c r="AA86" s="197">
        <f t="shared" si="39"/>
        <v>23.285299999999999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0"/>
        <v>175</v>
      </c>
      <c r="AE86" s="77" t="str">
        <f t="shared" si="4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86" s="74" t="str">
        <f t="shared" si="42"/>
        <v>"C:\Program Files (x86)\AstroGrep\AstroGrep.exe" /e /r /s /spath="%USERPROFILE%\AppData\Local\Temp\OnboardLogs" /stypes="app*4030*20170721*" /stext=" 19:.+((SYSTEM_STATE.+slice.+state.+changed )|(ment ac)|(multiple cpu faults)|(system.+state.+changed )|(\[timeout)|(PRM\|1\|D)|(kpr)|(kdp)|(train st.+moving)|(\|lc)|(penalty))"</v>
      </c>
      <c r="AG86" s="209" t="str">
        <f t="shared" si="43"/>
        <v>EC</v>
      </c>
      <c r="AH86" s="78" t="str">
        <f t="shared" si="44"/>
        <v>"%USERPROFILE%\Documents\GitHub\eaglep3\Utilities\RefineRTDCRunTimes.py" --tripid 175-21 --locoid 4030 --swversion DE.1.0.9.0 --startMP 204:453 --initTime 2017-07-21T12:52:55 --startdatetime 2017-07-21T13:00:59 --delay 1 --endMP 204:233306 --enddatetime 2017-07-21T13:37:19 --enforcementcount 0 &gt;&gt;C:\Users\stu\Documents\GitHub\eaglep3-reporting\EC\2017-07-21-refined-times.txt</v>
      </c>
      <c r="AI86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{"issue":{"subject":"","project_id":79,"tracker_id":40,"status_id":1,"priority_id":2,"assigned_to_id":23,"start_date":"2017-07-21","description":"","custom_fields":[{"id":1,"name":"Subdivision","value":"EC"},{"id":4,"name":"Milepost","value":"23.3306"},{"id":17,"name":"Train ID","value":"175-21"},{"id":16,"name":"Locomotive ID","value":"4030"},{"id":130,"name":"Impact","value":""},{"id":150,"name":"Time of Event (Mountain Time)","value":"13:37:19"},{"id":151,"name":"Denver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6"/>
        <v>start /low /b %USERPROFILE%\Documents\GitHub\eaglep3\Utilities\DownloadLogsFromS3.py --loco 4030 --day 2017-07-21</v>
      </c>
      <c r="AN86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636</v>
      </c>
      <c r="B87" s="7">
        <v>4029</v>
      </c>
      <c r="C87" s="21" t="s">
        <v>198</v>
      </c>
      <c r="D87" s="21" t="s">
        <v>536</v>
      </c>
      <c r="E87" s="13">
        <v>42937.571666666663</v>
      </c>
      <c r="F87" s="13">
        <v>42937.581597222219</v>
      </c>
      <c r="G87" s="7">
        <v>1</v>
      </c>
      <c r="H87" s="21" t="s">
        <v>899</v>
      </c>
      <c r="I87" s="13">
        <v>42937.609259259261</v>
      </c>
      <c r="J87" s="7">
        <v>0</v>
      </c>
      <c r="K87" s="89" t="str">
        <f t="shared" si="34"/>
        <v>4029/4030</v>
      </c>
      <c r="L87" s="21" t="str">
        <f>VLOOKUP(A87,'Trips&amp;Operators'!$C$1:$G$99999,5,FALSE)</f>
        <v>BERLING GARY</v>
      </c>
      <c r="M87" s="6">
        <f t="shared" si="35"/>
        <v>2.7662037042318843E-2</v>
      </c>
      <c r="N87" s="7">
        <f t="shared" si="32"/>
        <v>39.833333340939134</v>
      </c>
      <c r="O87" s="7"/>
      <c r="P87" s="7"/>
      <c r="Q87" s="22"/>
      <c r="R87" s="170"/>
      <c r="S87" s="213">
        <f t="shared" si="36"/>
        <v>1</v>
      </c>
      <c r="T87" s="195" t="str">
        <f t="shared" si="3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8"/>
        <v>https://d0f6bd738d7f1b3e5a7ca70fe4ff75f0.us-east-1.aws.found.io/app/kibana#/discover/Steve-Slow-Train-Analysis-(2080s-and-2083s)?_g=(refreshInterval:(display:Off,pause:!f,section:0,value:0),time:(from:'2017-07-21T12:43:12-0600',mode:absolute,to:'2017-07-21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197" t="str">
        <f>IF(AA87&lt;VLOOKUP(AG87,Variables!$AC$3:$AD$8,2,FALSE),"Y","N")</f>
        <v>N</v>
      </c>
      <c r="X87" s="197">
        <f t="shared" si="33"/>
        <v>1</v>
      </c>
      <c r="Y87" s="197">
        <f t="shared" si="28"/>
        <v>23.299299999999999</v>
      </c>
      <c r="Z87" s="197">
        <f t="shared" si="29"/>
        <v>1.2500000000000001E-2</v>
      </c>
      <c r="AA87" s="197">
        <f t="shared" si="39"/>
        <v>23.286799999999999</v>
      </c>
      <c r="AB87" s="54" t="str">
        <f>VLOOKUP(A87,Enforcements!$C$7:$K$13,8,0)</f>
        <v>Bulletin (2)</v>
      </c>
      <c r="AC87" s="51" t="str">
        <f>VLOOKUP(A87,Enforcements!$C$7:$E$13,3,0)</f>
        <v>GRADE CROSSING</v>
      </c>
      <c r="AD87" s="206">
        <f t="shared" si="40"/>
        <v>176</v>
      </c>
      <c r="AE87" s="77" t="str">
        <f t="shared" si="4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87" s="74" t="str">
        <f t="shared" si="42"/>
        <v>"C:\Program Files (x86)\AstroGrep\AstroGrep.exe" /e /r /s /spath="%USERPROFILE%\AppData\Local\Temp\OnboardLogs" /stypes="app*4029*20170721*" /stext=" 20:.+((SYSTEM_STATE.+slice.+state.+changed )|(ment ac)|(multiple cpu faults)|(system.+state.+changed )|(\[timeout)|(PRM\|1\|D)|(kpr)|(kdp)|(train st.+moving)|(\|lc)|(penalty))"</v>
      </c>
      <c r="AG87" s="209" t="str">
        <f t="shared" si="43"/>
        <v>EC</v>
      </c>
      <c r="AH87" s="78" t="str">
        <f t="shared" si="44"/>
        <v>"%USERPROFILE%\Documents\GitHub\eaglep3\Utilities\RefineRTDCRunTimes.py" --tripid 176-21 --locoid 4029 --swversion DE.1.0.9.0 --startMP 204:232993 --initTime 2017-07-21T13:43:12 --startdatetime 2017-07-21T13:57:30 --delay 1 --endMP 204:125 --enddatetime 2017-07-21T14:37:20 --enforcementcount 0 &gt;&gt;C:\Users\stu\Documents\GitHub\eaglep3-reporting\EC\2017-07-21-refined-times.txt</v>
      </c>
      <c r="AI87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{"issue":{"subject":"","project_id":79,"tracker_id":40,"status_id":1,"priority_id":2,"assigned_to_id":23,"start_date":"2017-07-21","description":"","custom_fields":[{"id":1,"name":"Subdivision","value":"EC"},{"id":4,"name":"Milepost","value":"0.0125"},{"id":17,"name":"Train ID","value":"176-21"},{"id":16,"name":"Locomotive ID","value":"4029"},{"id":130,"name":"Impact","value":""},{"id":150,"name":"Time of Event (Mountain Time)","value":"14:37:20"},{"id":151,"name":"Denver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6"/>
        <v>start /low /b %USERPROFILE%\Documents\GitHub\eaglep3\Utilities\DownloadLogsFromS3.py --loco 4029 --day 2017-07-21</v>
      </c>
      <c r="AN87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765</v>
      </c>
      <c r="B88" s="7">
        <v>4046</v>
      </c>
      <c r="C88" s="21" t="s">
        <v>198</v>
      </c>
      <c r="D88" s="21" t="s">
        <v>346</v>
      </c>
      <c r="E88" s="13">
        <v>42937.549803240741</v>
      </c>
      <c r="F88" s="13">
        <v>42937.55265046296</v>
      </c>
      <c r="G88" s="7">
        <v>3</v>
      </c>
      <c r="H88" s="21" t="s">
        <v>473</v>
      </c>
      <c r="I88" s="13">
        <v>42937.577800925923</v>
      </c>
      <c r="J88" s="7">
        <v>0</v>
      </c>
      <c r="K88" s="89" t="str">
        <f t="shared" si="34"/>
        <v>4045/4046</v>
      </c>
      <c r="L88" s="21" t="str">
        <f>VLOOKUP(A88,'Trips&amp;Operators'!$C$1:$G$99999,5,FALSE)</f>
        <v>STEWART MICHAEL</v>
      </c>
      <c r="M88" s="6">
        <f t="shared" si="35"/>
        <v>2.5150462963210884E-2</v>
      </c>
      <c r="N88" s="7">
        <f t="shared" si="32"/>
        <v>36.216666667023674</v>
      </c>
      <c r="O88" s="7"/>
      <c r="P88" s="7"/>
      <c r="Q88" s="22"/>
      <c r="R88" s="170"/>
      <c r="S88" s="213">
        <f t="shared" si="36"/>
        <v>1</v>
      </c>
      <c r="T88" s="195" t="str">
        <f t="shared" si="3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8"/>
        <v>https://d0f6bd738d7f1b3e5a7ca70fe4ff75f0.us-east-1.aws.found.io/app/kibana#/discover/Steve-Slow-Train-Analysis-(2080s-and-2083s)?_g=(refreshInterval:(display:Off,pause:!f,section:0,value:0),time:(from:'2017-07-21T12:11:43-0600',mode:absolute,to:'2017-07-21T14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197" t="str">
        <f>IF(AA88&lt;VLOOKUP(AG88,Variables!$AC$3:$AD$8,2,FALSE),"Y","N")</f>
        <v>N</v>
      </c>
      <c r="X88" s="197">
        <f t="shared" si="33"/>
        <v>1</v>
      </c>
      <c r="Y88" s="197">
        <f t="shared" si="28"/>
        <v>4.53E-2</v>
      </c>
      <c r="Z88" s="197">
        <f t="shared" si="29"/>
        <v>23.3291</v>
      </c>
      <c r="AA88" s="197">
        <f t="shared" si="39"/>
        <v>23.283799999999999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0"/>
        <v>177</v>
      </c>
      <c r="AE88" s="77" t="str">
        <f t="shared" si="4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88" s="74" t="str">
        <f t="shared" si="42"/>
        <v>"C:\Program Files (x86)\AstroGrep\AstroGrep.exe" /e /r /s /spath="%USERPROFILE%\AppData\Local\Temp\OnboardLogs" /stypes="app*4046*20170721*" /stext=" 19:.+((SYSTEM_STATE.+slice.+state.+changed )|(ment ac)|(multiple cpu faults)|(system.+state.+changed )|(\[timeout)|(PRM\|1\|D)|(kpr)|(kdp)|(train st.+moving)|(\|lc)|(penalty))"</v>
      </c>
      <c r="AG88" s="209" t="str">
        <f t="shared" si="43"/>
        <v>EC</v>
      </c>
      <c r="AH88" s="78" t="str">
        <f t="shared" si="44"/>
        <v>"%USERPROFILE%\Documents\GitHub\eaglep3\Utilities\RefineRTDCRunTimes.py" --tripid 177-21 --locoid 4046 --swversion DE.1.0.9.0 --startMP 204:453 --initTime 2017-07-21T13:11:43 --startdatetime 2017-07-21T13:15:49 --delay 3 --endMP 204:233291 --enddatetime 2017-07-21T13:52:02 --enforcementcount 0 &gt;&gt;C:\Users\stu\Documents\GitHub\eaglep3-reporting\EC\2017-07-21-refined-times.txt</v>
      </c>
      <c r="AI88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{"issue":{"subject":"","project_id":79,"tracker_id":40,"status_id":1,"priority_id":2,"assigned_to_id":23,"start_date":"2017-07-21","description":"","custom_fields":[{"id":1,"name":"Subdivision","value":"EC"},{"id":4,"name":"Milepost","value":"23.3291"},{"id":17,"name":"Train ID","value":"177-21"},{"id":16,"name":"Locomotive ID","value":"4046"},{"id":130,"name":"Impact","value":""},{"id":150,"name":"Time of Event (Mountain Time)","value":"13:52:02"},{"id":151,"name":"Denver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6"/>
        <v>start /low /b %USERPROFILE%\Documents\GitHub\eaglep3\Utilities\DownloadLogsFromS3.py --loco 4046 --day 2017-07-21</v>
      </c>
      <c r="AN88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774</v>
      </c>
      <c r="B89" s="7">
        <v>4045</v>
      </c>
      <c r="C89" s="21" t="s">
        <v>198</v>
      </c>
      <c r="D89" s="21" t="s">
        <v>508</v>
      </c>
      <c r="E89" s="13">
        <v>42937.589502314811</v>
      </c>
      <c r="F89" s="13">
        <v>42937.592002314814</v>
      </c>
      <c r="G89" s="7">
        <v>2</v>
      </c>
      <c r="H89" s="21" t="s">
        <v>342</v>
      </c>
      <c r="I89" s="13">
        <v>42937.619305555556</v>
      </c>
      <c r="J89" s="7">
        <v>0</v>
      </c>
      <c r="K89" s="89" t="str">
        <f t="shared" si="34"/>
        <v>4045/4046</v>
      </c>
      <c r="L89" s="21" t="str">
        <f>VLOOKUP(A89,'Trips&amp;Operators'!$C$1:$G$99999,5,FALSE)</f>
        <v>STEWART MICHAEL</v>
      </c>
      <c r="M89" s="6">
        <f t="shared" si="35"/>
        <v>2.7303240742185153E-2</v>
      </c>
      <c r="N89" s="7">
        <f t="shared" si="32"/>
        <v>39.31666666874662</v>
      </c>
      <c r="O89" s="7"/>
      <c r="P89" s="7"/>
      <c r="Q89" s="22"/>
      <c r="R89" s="170"/>
      <c r="S89" s="213">
        <f t="shared" si="36"/>
        <v>1</v>
      </c>
      <c r="T89" s="195" t="str">
        <f t="shared" si="3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8"/>
        <v>https://d0f6bd738d7f1b3e5a7ca70fe4ff75f0.us-east-1.aws.found.io/app/kibana#/discover/Steve-Slow-Train-Analysis-(2080s-and-2083s)?_g=(refreshInterval:(display:Off,pause:!f,section:0,value:0),time:(from:'2017-07-21T13:08:53-0600',mode:absolute,to:'2017-07-21T15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197" t="str">
        <f>IF(AA89&lt;VLOOKUP(AG89,Variables!$AC$3:$AD$8,2,FALSE),"Y","N")</f>
        <v>N</v>
      </c>
      <c r="X89" s="197">
        <f t="shared" si="33"/>
        <v>1</v>
      </c>
      <c r="Y89" s="197">
        <f t="shared" si="28"/>
        <v>23.296900000000001</v>
      </c>
      <c r="Z89" s="197">
        <f t="shared" si="29"/>
        <v>1.49E-2</v>
      </c>
      <c r="AA89" s="197">
        <f t="shared" si="39"/>
        <v>23.282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0"/>
        <v>178</v>
      </c>
      <c r="AE89" s="77" t="str">
        <f t="shared" si="4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89" s="74" t="str">
        <f t="shared" si="42"/>
        <v>"C:\Program Files (x86)\AstroGrep\AstroGrep.exe" /e /r /s /spath="%USERPROFILE%\AppData\Local\Temp\OnboardLogs" /stypes="app*4045*20170721*" /stext=" 20:.+((SYSTEM_STATE.+slice.+state.+changed )|(ment ac)|(multiple cpu faults)|(system.+state.+changed )|(\[timeout)|(PRM\|1\|D)|(kpr)|(kdp)|(train st.+moving)|(\|lc)|(penalty))"</v>
      </c>
      <c r="AG89" s="209" t="str">
        <f t="shared" si="43"/>
        <v>EC</v>
      </c>
      <c r="AH89" s="78" t="str">
        <f t="shared" si="44"/>
        <v>"%USERPROFILE%\Documents\GitHub\eaglep3\Utilities\RefineRTDCRunTimes.py" --tripid 178-21 --locoid 4045 --swversion DE.1.0.9.0 --startMP 204:232969 --initTime 2017-07-21T14:08:53 --startdatetime 2017-07-21T14:12:29 --delay 2 --endMP 204:149 --enddatetime 2017-07-21T14:51:48 --enforcementcount 0 &gt;&gt;C:\Users\stu\Documents\GitHub\eaglep3-reporting\EC\2017-07-21-refined-times.txt</v>
      </c>
      <c r="AI89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{"issue":{"subject":"","project_id":79,"tracker_id":40,"status_id":1,"priority_id":2,"assigned_to_id":23,"start_date":"2017-07-21","description":"","custom_fields":[{"id":1,"name":"Subdivision","value":"EC"},{"id":4,"name":"Milepost","value":"0.0149"},{"id":17,"name":"Train ID","value":"178-21"},{"id":16,"name":"Locomotive ID","value":"4045"},{"id":130,"name":"Impact","value":""},{"id":150,"name":"Time of Event (Mountain Time)","value":"14:51:48"},{"id":151,"name":"Denver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6"/>
        <v>start /low /b %USERPROFILE%\Documents\GitHub\eaglep3\Utilities\DownloadLogsFromS3.py --loco 4045 --day 2017-07-21</v>
      </c>
      <c r="AN89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768</v>
      </c>
      <c r="B90" s="7">
        <v>4050</v>
      </c>
      <c r="C90" s="21" t="s">
        <v>198</v>
      </c>
      <c r="D90" s="21" t="s">
        <v>399</v>
      </c>
      <c r="E90" s="13">
        <v>42937.557928240742</v>
      </c>
      <c r="F90" s="13">
        <v>42937.563159722224</v>
      </c>
      <c r="G90" s="7">
        <v>1</v>
      </c>
      <c r="H90" s="21" t="s">
        <v>882</v>
      </c>
      <c r="I90" s="13">
        <v>42937.588530092595</v>
      </c>
      <c r="J90" s="7">
        <v>0</v>
      </c>
      <c r="K90" s="89" t="str">
        <f t="shared" si="34"/>
        <v>4049/4050</v>
      </c>
      <c r="L90" s="21" t="str">
        <f>VLOOKUP(A90,'Trips&amp;Operators'!$C$1:$G$99999,5,FALSE)</f>
        <v>GONZALEZ ARMANDO</v>
      </c>
      <c r="M90" s="6">
        <f t="shared" si="35"/>
        <v>2.5370370371092577E-2</v>
      </c>
      <c r="N90" s="7">
        <f t="shared" si="32"/>
        <v>36.53333333437331</v>
      </c>
      <c r="O90" s="7"/>
      <c r="P90" s="7"/>
      <c r="Q90" s="22"/>
      <c r="R90" s="170"/>
      <c r="S90" s="213">
        <f t="shared" si="36"/>
        <v>1</v>
      </c>
      <c r="T90" s="195" t="str">
        <f t="shared" si="3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8"/>
        <v>https://d0f6bd738d7f1b3e5a7ca70fe4ff75f0.us-east-1.aws.found.io/app/kibana#/discover/Steve-Slow-Train-Analysis-(2080s-and-2083s)?_g=(refreshInterval:(display:Off,pause:!f,section:0,value:0),time:(from:'2017-07-21T12:23:25-0600',mode:absolute,to:'2017-07-21T15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0" s="197" t="str">
        <f>IF(AA90&lt;VLOOKUP(AG90,Variables!$AC$3:$AD$8,2,FALSE),"Y","N")</f>
        <v>N</v>
      </c>
      <c r="X90" s="197">
        <f t="shared" si="33"/>
        <v>1</v>
      </c>
      <c r="Y90" s="197">
        <f t="shared" si="28"/>
        <v>4.5499999999999999E-2</v>
      </c>
      <c r="Z90" s="197">
        <f t="shared" si="29"/>
        <v>23.33</v>
      </c>
      <c r="AA90" s="197">
        <f t="shared" si="39"/>
        <v>23.284499999999998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0"/>
        <v>179</v>
      </c>
      <c r="AE90" s="77" t="str">
        <f t="shared" si="4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90" s="74" t="str">
        <f t="shared" si="42"/>
        <v>"C:\Program Files (x86)\AstroGrep\AstroGrep.exe" /e /r /s /spath="%USERPROFILE%\AppData\Local\Temp\OnboardLogs" /stypes="app*4050*20170721*" /stext=" 20:.+((SYSTEM_STATE.+slice.+state.+changed )|(ment ac)|(multiple cpu faults)|(system.+state.+changed )|(\[timeout)|(PRM\|1\|D)|(kpr)|(kdp)|(train st.+moving)|(\|lc)|(penalty))"</v>
      </c>
      <c r="AG90" s="209" t="str">
        <f t="shared" si="43"/>
        <v>EC</v>
      </c>
      <c r="AH90" s="78" t="str">
        <f t="shared" si="44"/>
        <v>"%USERPROFILE%\Documents\GitHub\eaglep3\Utilities\RefineRTDCRunTimes.py" --tripid 179-21 --locoid 4050 --swversion DE.1.0.9.0 --startMP 204:455 --initTime 2017-07-21T13:23:25 --startdatetime 2017-07-21T13:30:57 --delay 1 --endMP 204:233300 --enddatetime 2017-07-21T14:07:29 --enforcementcount 0 &gt;&gt;C:\Users\stu\Documents\GitHub\eaglep3-reporting\EC\2017-07-21-refined-times.txt</v>
      </c>
      <c r="AI90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{"issue":{"subject":"","project_id":79,"tracker_id":40,"status_id":1,"priority_id":2,"assigned_to_id":23,"start_date":"2017-07-21","description":"","custom_fields":[{"id":1,"name":"Subdivision","value":"EC"},{"id":4,"name":"Milepost","value":"23.33"},{"id":17,"name":"Train ID","value":"179-21"},{"id":16,"name":"Locomotive ID","value":"4050"},{"id":130,"name":"Impact","value":""},{"id":150,"name":"Time of Event (Mountain Time)","value":"14:07:29"},{"id":151,"name":"Denver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6"/>
        <v>start /low /b %USERPROFILE%\Documents\GitHub\eaglep3\Utilities\DownloadLogsFromS3.py --loco 4050 --day 2017-07-21</v>
      </c>
      <c r="AN90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637</v>
      </c>
      <c r="B91" s="7">
        <v>4049</v>
      </c>
      <c r="C91" s="21" t="s">
        <v>198</v>
      </c>
      <c r="D91" s="21" t="s">
        <v>479</v>
      </c>
      <c r="E91" s="13">
        <v>42937.59579861111</v>
      </c>
      <c r="F91" s="13">
        <v>42937.602256944447</v>
      </c>
      <c r="G91" s="7">
        <v>1</v>
      </c>
      <c r="H91" s="21" t="s">
        <v>900</v>
      </c>
      <c r="I91" s="13">
        <v>42937.629467592589</v>
      </c>
      <c r="J91" s="7">
        <v>0</v>
      </c>
      <c r="K91" s="89" t="str">
        <f t="shared" si="34"/>
        <v>4049/4050</v>
      </c>
      <c r="L91" s="21" t="str">
        <f>VLOOKUP(A91,'Trips&amp;Operators'!$C$1:$G$99999,5,FALSE)</f>
        <v>GONZALEZ ARMANDO</v>
      </c>
      <c r="M91" s="6">
        <f t="shared" si="35"/>
        <v>2.7210648142499849E-2</v>
      </c>
      <c r="N91" s="7">
        <f t="shared" si="32"/>
        <v>39.183333325199783</v>
      </c>
      <c r="O91" s="7"/>
      <c r="P91" s="7"/>
      <c r="Q91" s="22"/>
      <c r="R91" s="170"/>
      <c r="S91" s="213">
        <f t="shared" si="36"/>
        <v>1</v>
      </c>
      <c r="T91" s="195" t="str">
        <f t="shared" si="37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8"/>
        <v>https://d0f6bd738d7f1b3e5a7ca70fe4ff75f0.us-east-1.aws.found.io/app/kibana#/discover/Steve-Slow-Train-Analysis-(2080s-and-2083s)?_g=(refreshInterval:(display:Off,pause:!f,section:0,value:0),time:(from:'2017-07-21T13:17:57-0600',mode:absolute,to:'2017-07-21T16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1" s="197" t="str">
        <f>IF(AA91&lt;VLOOKUP(AG91,Variables!$AC$3:$AD$8,2,FALSE),"Y","N")</f>
        <v>N</v>
      </c>
      <c r="X91" s="197">
        <f t="shared" si="33"/>
        <v>1</v>
      </c>
      <c r="Y91" s="197">
        <f t="shared" si="28"/>
        <v>23.298300000000001</v>
      </c>
      <c r="Z91" s="197">
        <f t="shared" si="29"/>
        <v>1.89E-2</v>
      </c>
      <c r="AA91" s="197">
        <f t="shared" si="39"/>
        <v>23.279400000000003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0"/>
        <v>180</v>
      </c>
      <c r="AE91" s="77" t="str">
        <f t="shared" si="4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91" s="74" t="str">
        <f t="shared" si="42"/>
        <v>"C:\Program Files (x86)\AstroGrep\AstroGrep.exe" /e /r /s /spath="%USERPROFILE%\AppData\Local\Temp\OnboardLogs" /stypes="app*4049*20170721*" /stext=" 21:.+((SYSTEM_STATE.+slice.+state.+changed )|(ment ac)|(multiple cpu faults)|(system.+state.+changed )|(\[timeout)|(PRM\|1\|D)|(kpr)|(kdp)|(train st.+moving)|(\|lc)|(penalty))"</v>
      </c>
      <c r="AG91" s="209" t="str">
        <f t="shared" si="43"/>
        <v>EC</v>
      </c>
      <c r="AH91" s="78" t="str">
        <f t="shared" si="44"/>
        <v>"%USERPROFILE%\Documents\GitHub\eaglep3\Utilities\RefineRTDCRunTimes.py" --tripid 180-21 --locoid 4049 --swversion DE.1.0.9.0 --startMP 204:232983 --initTime 2017-07-21T14:17:57 --startdatetime 2017-07-21T14:27:15 --delay 1 --endMP 204:189 --enddatetime 2017-07-21T15:06:26 --enforcementcount 0 &gt;&gt;C:\Users\stu\Documents\GitHub\eaglep3-reporting\EC\2017-07-21-refined-times.txt</v>
      </c>
      <c r="AI9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{"issue":{"subject":"","project_id":79,"tracker_id":40,"status_id":1,"priority_id":2,"assigned_to_id":23,"start_date":"2017-07-21","description":"","custom_fields":[{"id":1,"name":"Subdivision","value":"EC"},{"id":4,"name":"Milepost","value":"0.0189"},{"id":17,"name":"Train ID","value":"180-21"},{"id":16,"name":"Locomotive ID","value":"4049"},{"id":130,"name":"Impact","value":""},{"id":150,"name":"Time of Event (Mountain Time)","value":"15:06:26"},{"id":151,"name":"Denver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6"/>
        <v>start /low /b %USERPROFILE%\Documents\GitHub\eaglep3\Utilities\DownloadLogsFromS3.py --loco 4049 --day 2017-07-21</v>
      </c>
      <c r="AN91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770</v>
      </c>
      <c r="B92" s="7">
        <v>4032</v>
      </c>
      <c r="C92" s="21" t="s">
        <v>198</v>
      </c>
      <c r="D92" s="21" t="s">
        <v>901</v>
      </c>
      <c r="E92" s="13">
        <v>42937.56863425926</v>
      </c>
      <c r="F92" s="13">
        <v>42937.573449074072</v>
      </c>
      <c r="G92" s="7">
        <v>1</v>
      </c>
      <c r="H92" s="21" t="s">
        <v>902</v>
      </c>
      <c r="I92" s="13">
        <v>42937.598657407405</v>
      </c>
      <c r="J92" s="7">
        <v>0</v>
      </c>
      <c r="K92" s="89" t="str">
        <f t="shared" si="34"/>
        <v>4031/4032</v>
      </c>
      <c r="L92" s="21" t="str">
        <f>VLOOKUP(A92,'Trips&amp;Operators'!$C$1:$G$99999,5,FALSE)</f>
        <v>CASSIDY BRANDON</v>
      </c>
      <c r="M92" s="6">
        <f t="shared" si="35"/>
        <v>2.5208333332557231E-2</v>
      </c>
      <c r="N92" s="7">
        <f t="shared" si="32"/>
        <v>36.299999998882413</v>
      </c>
      <c r="O92" s="7"/>
      <c r="P92" s="7"/>
      <c r="Q92" s="22"/>
      <c r="R92" s="170"/>
      <c r="S92" s="213">
        <f t="shared" si="36"/>
        <v>1</v>
      </c>
      <c r="T92" s="195" t="str">
        <f t="shared" si="37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8"/>
        <v>https://d0f6bd738d7f1b3e5a7ca70fe4ff75f0.us-east-1.aws.found.io/app/kibana#/discover/Steve-Slow-Train-Analysis-(2080s-and-2083s)?_g=(refreshInterval:(display:Off,pause:!f,section:0,value:0),time:(from:'2017-07-21T12:38:50-0600',mode:absolute,to:'2017-07-21T15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197" t="str">
        <f>IF(AA92&lt;VLOOKUP(AG92,Variables!$AC$3:$AD$8,2,FALSE),"Y","N")</f>
        <v>N</v>
      </c>
      <c r="X92" s="197">
        <f t="shared" si="33"/>
        <v>1</v>
      </c>
      <c r="Y92" s="197">
        <f t="shared" si="28"/>
        <v>3.9100000000000003E-2</v>
      </c>
      <c r="Z92" s="197">
        <f t="shared" si="29"/>
        <v>23.335699999999999</v>
      </c>
      <c r="AA92" s="197">
        <f t="shared" si="39"/>
        <v>23.296599999999998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0"/>
        <v>181</v>
      </c>
      <c r="AE92" s="77" t="str">
        <f t="shared" si="4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92" s="74" t="str">
        <f t="shared" si="42"/>
        <v>"C:\Program Files (x86)\AstroGrep\AstroGrep.exe" /e /r /s /spath="%USERPROFILE%\AppData\Local\Temp\OnboardLogs" /stypes="app*4032*20170721*" /stext=" 20:.+((SYSTEM_STATE.+slice.+state.+changed )|(ment ac)|(multiple cpu faults)|(system.+state.+changed )|(\[timeout)|(PRM\|1\|D)|(kpr)|(kdp)|(train st.+moving)|(\|lc)|(penalty))"</v>
      </c>
      <c r="AG92" s="209" t="str">
        <f t="shared" si="43"/>
        <v>EC</v>
      </c>
      <c r="AH92" s="78" t="str">
        <f t="shared" si="44"/>
        <v>"%USERPROFILE%\Documents\GitHub\eaglep3\Utilities\RefineRTDCRunTimes.py" --tripid 181-21 --locoid 4032 --swversion DE.1.0.9.0 --startMP 204:391 --initTime 2017-07-21T13:38:50 --startdatetime 2017-07-21T13:45:46 --delay 1 --endMP 204:233357 --enddatetime 2017-07-21T14:22:04 --enforcementcount 0 &gt;&gt;C:\Users\stu\Documents\GitHub\eaglep3-reporting\EC\2017-07-21-refined-times.txt</v>
      </c>
      <c r="AI9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{"issue":{"subject":"","project_id":79,"tracker_id":40,"status_id":1,"priority_id":2,"assigned_to_id":23,"start_date":"2017-07-21","description":"","custom_fields":[{"id":1,"name":"Subdivision","value":"EC"},{"id":4,"name":"Milepost","value":"23.3357"},{"id":17,"name":"Train ID","value":"181-21"},{"id":16,"name":"Locomotive ID","value":"4032"},{"id":130,"name":"Impact","value":""},{"id":150,"name":"Time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6"/>
        <v>start /low /b %USERPROFILE%\Documents\GitHub\eaglep3\Utilities\DownloadLogsFromS3.py --loco 4032 --day 2017-07-21</v>
      </c>
      <c r="AN92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</row>
    <row r="93" spans="1:91" s="20" customFormat="1" x14ac:dyDescent="0.25">
      <c r="A93" s="32" t="s">
        <v>638</v>
      </c>
      <c r="B93" s="7">
        <v>4031</v>
      </c>
      <c r="C93" s="21" t="s">
        <v>198</v>
      </c>
      <c r="D93" s="21" t="s">
        <v>575</v>
      </c>
      <c r="E93" s="13">
        <v>42937.611122685186</v>
      </c>
      <c r="F93" s="13">
        <v>42937.612835648149</v>
      </c>
      <c r="G93" s="7">
        <v>1</v>
      </c>
      <c r="H93" s="21" t="s">
        <v>378</v>
      </c>
      <c r="I93" s="13">
        <v>42937.640439814815</v>
      </c>
      <c r="J93" s="7">
        <v>0</v>
      </c>
      <c r="K93" s="89" t="str">
        <f t="shared" si="34"/>
        <v>4031/4032</v>
      </c>
      <c r="L93" s="21" t="str">
        <f>VLOOKUP(A93,'Trips&amp;Operators'!$C$1:$G$99999,5,FALSE)</f>
        <v>CASSIDY BRANDON</v>
      </c>
      <c r="M93" s="6">
        <f t="shared" si="35"/>
        <v>2.7604166665696539E-2</v>
      </c>
      <c r="N93" s="7">
        <f t="shared" si="32"/>
        <v>39.749999998603016</v>
      </c>
      <c r="O93" s="7"/>
      <c r="P93" s="7"/>
      <c r="Q93" s="22"/>
      <c r="R93" s="170"/>
      <c r="S93" s="213">
        <f t="shared" si="36"/>
        <v>1</v>
      </c>
      <c r="T93" s="195" t="str">
        <f t="shared" si="3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8"/>
        <v>https://d0f6bd738d7f1b3e5a7ca70fe4ff75f0.us-east-1.aws.found.io/app/kibana#/discover/Steve-Slow-Train-Analysis-(2080s-and-2083s)?_g=(refreshInterval:(display:Off,pause:!f,section:0,value:0),time:(from:'2017-07-21T13:40:01-0600',mode:absolute,to:'2017-07-21T16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197" t="str">
        <f>IF(AA93&lt;VLOOKUP(AG93,Variables!$AC$3:$AD$8,2,FALSE),"Y","N")</f>
        <v>N</v>
      </c>
      <c r="X93" s="197">
        <f t="shared" si="33"/>
        <v>1</v>
      </c>
      <c r="Y93" s="197">
        <f t="shared" si="28"/>
        <v>23.3034</v>
      </c>
      <c r="Z93" s="197">
        <f t="shared" si="29"/>
        <v>1.54E-2</v>
      </c>
      <c r="AA93" s="197">
        <f t="shared" si="39"/>
        <v>23.288</v>
      </c>
      <c r="AB93" s="54" t="str">
        <f>VLOOKUP(A93,Enforcements!$C$7:$K$13,8,0)</f>
        <v>Bulletin (2)</v>
      </c>
      <c r="AC93" s="51" t="str">
        <f>VLOOKUP(A93,Enforcements!$C$7:$E$13,3,0)</f>
        <v>GRADE CROSSING</v>
      </c>
      <c r="AD93" s="206">
        <f t="shared" si="40"/>
        <v>182</v>
      </c>
      <c r="AE93" s="77" t="str">
        <f t="shared" si="4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93" s="74" t="str">
        <f t="shared" si="42"/>
        <v>"C:\Program Files (x86)\AstroGrep\AstroGrep.exe" /e /r /s /spath="%USERPROFILE%\AppData\Local\Temp\OnboardLogs" /stypes="app*4031*20170721*" /stext=" 21:.+((SYSTEM_STATE.+slice.+state.+changed )|(ment ac)|(multiple cpu faults)|(system.+state.+changed )|(\[timeout)|(PRM\|1\|D)|(kpr)|(kdp)|(train st.+moving)|(\|lc)|(penalty))"</v>
      </c>
      <c r="AG93" s="209" t="str">
        <f t="shared" si="43"/>
        <v>EC</v>
      </c>
      <c r="AH93" s="78" t="str">
        <f t="shared" si="44"/>
        <v>"%USERPROFILE%\Documents\GitHub\eaglep3\Utilities\RefineRTDCRunTimes.py" --tripid 182-21 --locoid 4031 --swversion DE.1.0.9.0 --startMP 204:233034 --initTime 2017-07-21T14:40:01 --startdatetime 2017-07-21T14:42:29 --delay 1 --endMP 204:154 --enddatetime 2017-07-21T15:22:14 --enforcementcount 0 &gt;&gt;C:\Users\stu\Documents\GitHub\eaglep3-reporting\EC\2017-07-21-refined-times.txt</v>
      </c>
      <c r="AI93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ID","value":"182-21"},{"id":16,"name":"Locomotive ID","value":"4031"},{"id":130,"name":"Impact","value":""},{"id":150,"name":"Time of Event (Mountain Time)","value":"15:22:14"},{"id":151,"name":"Denver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6"/>
        <v>start /low /b %USERPROFILE%\Documents\GitHub\eaglep3\Utilities\DownloadLogsFromS3.py --loco 4031 --day 2017-07-21</v>
      </c>
      <c r="AN93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771</v>
      </c>
      <c r="B94" s="7">
        <v>4026</v>
      </c>
      <c r="C94" s="21" t="s">
        <v>198</v>
      </c>
      <c r="D94" s="21" t="s">
        <v>340</v>
      </c>
      <c r="E94" s="13">
        <v>42937.580648148149</v>
      </c>
      <c r="F94" s="13">
        <v>42937.58384259259</v>
      </c>
      <c r="G94" s="7">
        <v>1</v>
      </c>
      <c r="H94" s="21" t="s">
        <v>903</v>
      </c>
      <c r="I94" s="13">
        <v>42937.608460648145</v>
      </c>
      <c r="J94" s="7">
        <v>0</v>
      </c>
      <c r="K94" s="89" t="str">
        <f t="shared" si="34"/>
        <v>4025/4026</v>
      </c>
      <c r="L94" s="21" t="str">
        <f>VLOOKUP(A94,'Trips&amp;Operators'!$C$1:$G$99999,5,FALSE)</f>
        <v>LEVIN SCOTT</v>
      </c>
      <c r="M94" s="6">
        <f t="shared" si="35"/>
        <v>2.4618055555038154E-2</v>
      </c>
      <c r="N94" s="7">
        <f t="shared" ref="N94:N107" si="48">24*60*SUM($M94:$M94)</f>
        <v>35.449999999254942</v>
      </c>
      <c r="O94" s="7"/>
      <c r="P94" s="7"/>
      <c r="Q94" s="22"/>
      <c r="R94" s="170"/>
      <c r="S94" s="213">
        <f t="shared" si="36"/>
        <v>1</v>
      </c>
      <c r="T94" s="195" t="str">
        <f t="shared" si="3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8"/>
        <v>https://d0f6bd738d7f1b3e5a7ca70fe4ff75f0.us-east-1.aws.found.io/app/kibana#/discover/Steve-Slow-Train-Analysis-(2080s-and-2083s)?_g=(refreshInterval:(display:Off,pause:!f,section:0,value:0),time:(from:'2017-07-21T12:56:08-0600',mode:absolute,to:'2017-07-21T15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197" t="str">
        <f>IF(AA94&lt;VLOOKUP(AG94,Variables!$AC$3:$AD$8,2,FALSE),"Y","N")</f>
        <v>N</v>
      </c>
      <c r="X94" s="197">
        <f t="shared" si="33"/>
        <v>1</v>
      </c>
      <c r="Y94" s="197">
        <f t="shared" ref="Y94:Y157" si="49">RIGHT(D94,LEN(D94)-4)/10000</f>
        <v>4.4600000000000001E-2</v>
      </c>
      <c r="Z94" s="197">
        <f t="shared" ref="Z94:Z157" si="50">RIGHT(H94,LEN(H94)-4)/10000</f>
        <v>23.34</v>
      </c>
      <c r="AA94" s="197">
        <f t="shared" si="39"/>
        <v>23.295400000000001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0"/>
        <v>183</v>
      </c>
      <c r="AE94" s="77" t="str">
        <f t="shared" si="4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94" s="74" t="str">
        <f t="shared" si="42"/>
        <v>"C:\Program Files (x86)\AstroGrep\AstroGrep.exe" /e /r /s /spath="%USERPROFILE%\AppData\Local\Temp\OnboardLogs" /stypes="app*4026*20170721*" /stext=" 20:.+((SYSTEM_STATE.+slice.+state.+changed )|(ment ac)|(multiple cpu faults)|(system.+state.+changed )|(\[timeout)|(PRM\|1\|D)|(kpr)|(kdp)|(train st.+moving)|(\|lc)|(penalty))"</v>
      </c>
      <c r="AG94" s="209" t="str">
        <f t="shared" si="43"/>
        <v>EC</v>
      </c>
      <c r="AH94" s="78" t="str">
        <f t="shared" si="44"/>
        <v>"%USERPROFILE%\Documents\GitHub\eaglep3\Utilities\RefineRTDCRunTimes.py" --tripid 183-21 --locoid 4026 --swversion DE.1.0.9.0 --startMP 204:446 --initTime 2017-07-21T13:56:08 --startdatetime 2017-07-21T14:00:44 --delay 1 --endMP 204:233400 --enddatetime 2017-07-21T14:36:11 --enforcementcount 0 &gt;&gt;C:\Users\stu\Documents\GitHub\eaglep3-reporting\EC\2017-07-21-refined-times.txt</v>
      </c>
      <c r="AI94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{"issue":{"subject":"","project_id":79,"tracker_id":40,"status_id":1,"priority_id":2,"assigned_to_id":23,"start_date":"2017-07-21","description":"","custom_fields":[{"id":1,"name":"Subdivision","value":"EC"},{"id":4,"name":"Milepost","value":"23.34"},{"id":17,"name":"Train ID","value":"183-21"},{"id":16,"name":"Locomotive ID","value":"4026"},{"id":130,"name":"Impact","value":""},{"id":150,"name":"Time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6"/>
        <v>start /low /b %USERPROFILE%\Documents\GitHub\eaglep3\Utilities\DownloadLogsFromS3.py --loco 4026 --day 2017-07-21</v>
      </c>
      <c r="AN94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640</v>
      </c>
      <c r="B95" s="7">
        <v>4025</v>
      </c>
      <c r="C95" s="21" t="s">
        <v>198</v>
      </c>
      <c r="D95" s="21" t="s">
        <v>904</v>
      </c>
      <c r="E95" s="13">
        <v>42937.619537037041</v>
      </c>
      <c r="F95" s="13">
        <v>42937.623310185183</v>
      </c>
      <c r="G95" s="7">
        <v>1</v>
      </c>
      <c r="H95" s="21" t="s">
        <v>585</v>
      </c>
      <c r="I95" s="13">
        <v>42937.649988425925</v>
      </c>
      <c r="J95" s="7">
        <v>0</v>
      </c>
      <c r="K95" s="89" t="str">
        <f t="shared" si="34"/>
        <v>4025/4026</v>
      </c>
      <c r="L95" s="21" t="str">
        <f>VLOOKUP(A95,'Trips&amp;Operators'!$C$1:$G$99999,5,FALSE)</f>
        <v>LEVIN SCOTT</v>
      </c>
      <c r="M95" s="6">
        <f t="shared" si="35"/>
        <v>2.6678240741603076E-2</v>
      </c>
      <c r="N95" s="7">
        <f t="shared" si="48"/>
        <v>38.41666666790843</v>
      </c>
      <c r="O95" s="7"/>
      <c r="P95" s="7"/>
      <c r="Q95" s="22"/>
      <c r="R95" s="170"/>
      <c r="S95" s="213">
        <f t="shared" si="36"/>
        <v>1</v>
      </c>
      <c r="T95" s="195" t="str">
        <f t="shared" si="3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8"/>
        <v>https://d0f6bd738d7f1b3e5a7ca70fe4ff75f0.us-east-1.aws.found.io/app/kibana#/discover/Steve-Slow-Train-Analysis-(2080s-and-2083s)?_g=(refreshInterval:(display:Off,pause:!f,section:0,value:0),time:(from:'2017-07-21T13:52:08-0600',mode:absolute,to:'2017-07-21T16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5" s="197" t="str">
        <f>IF(AA95&lt;VLOOKUP(AG95,Variables!$AC$3:$AD$8,2,FALSE),"Y","N")</f>
        <v>N</v>
      </c>
      <c r="X95" s="197">
        <f t="shared" ref="X95:X126" si="51">VALUE(LEFT(AD95,4))-VALUE(LEFT(AD94,4))</f>
        <v>1</v>
      </c>
      <c r="Y95" s="197">
        <f t="shared" si="49"/>
        <v>23.310600000000001</v>
      </c>
      <c r="Z95" s="197">
        <f t="shared" si="50"/>
        <v>1.7399999999999999E-2</v>
      </c>
      <c r="AA95" s="197">
        <f t="shared" si="39"/>
        <v>23.293200000000002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0"/>
        <v>184</v>
      </c>
      <c r="AE95" s="77" t="str">
        <f t="shared" si="4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95" s="74" t="str">
        <f t="shared" si="42"/>
        <v>"C:\Program Files (x86)\AstroGrep\AstroGrep.exe" /e /r /s /spath="%USERPROFILE%\AppData\Local\Temp\OnboardLogs" /stypes="app*4025*20170721*" /stext=" 21:.+((SYSTEM_STATE.+slice.+state.+changed )|(ment ac)|(multiple cpu faults)|(system.+state.+changed )|(\[timeout)|(PRM\|1\|D)|(kpr)|(kdp)|(train st.+moving)|(\|lc)|(penalty))"</v>
      </c>
      <c r="AG95" s="209" t="str">
        <f t="shared" si="43"/>
        <v>EC</v>
      </c>
      <c r="AH95" s="78" t="str">
        <f t="shared" si="44"/>
        <v>"%USERPROFILE%\Documents\GitHub\eaglep3\Utilities\RefineRTDCRunTimes.py" --tripid 184-21 --locoid 4025 --swversion DE.1.0.9.0 --startMP 204:233106 --initTime 2017-07-21T14:52:08 --startdatetime 2017-07-21T14:57:34 --delay 1 --endMP 204:174 --enddatetime 2017-07-21T15:35:59 --enforcementcount 0 &gt;&gt;C:\Users\stu\Documents\GitHub\eaglep3-reporting\EC\2017-07-21-refined-times.txt</v>
      </c>
      <c r="AI95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{"issue":{"subject":"","project_id":79,"tracker_id":40,"status_id":1,"priority_id":2,"assigned_to_id":23,"start_date":"2017-07-21","description":"","custom_fields":[{"id":1,"name":"Subdivision","value":"EC"},{"id":4,"name":"Milepost","value":"0.0174"},{"id":17,"name":"Train ID","value":"184-21"},{"id":16,"name":"Locomotive ID","value":"4025"},{"id":130,"name":"Impact","value":""},{"id":150,"name":"Time of Event (Mountain Time)","value":"15:35:59"},{"id":151,"name":"Denver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6"/>
        <v>start /low /b %USERPROFILE%\Documents\GitHub\eaglep3\Utilities\DownloadLogsFromS3.py --loco 4025 --day 2017-07-21</v>
      </c>
      <c r="AN95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772</v>
      </c>
      <c r="B96" s="7">
        <v>4054</v>
      </c>
      <c r="C96" s="21" t="s">
        <v>198</v>
      </c>
      <c r="D96" s="21" t="s">
        <v>477</v>
      </c>
      <c r="E96" s="13">
        <v>42937.589120370372</v>
      </c>
      <c r="F96" s="13">
        <v>42937.594270833331</v>
      </c>
      <c r="G96" s="7">
        <v>1</v>
      </c>
      <c r="H96" s="21" t="s">
        <v>905</v>
      </c>
      <c r="I96" s="13">
        <v>42937.620069444441</v>
      </c>
      <c r="J96" s="7">
        <v>0</v>
      </c>
      <c r="K96" s="89" t="str">
        <f t="shared" si="34"/>
        <v>4053/4054</v>
      </c>
      <c r="L96" s="21" t="str">
        <f>VLOOKUP(A96,'Trips&amp;Operators'!$C$1:$G$99999,5,FALSE)</f>
        <v>SULLIVAN BRANDON</v>
      </c>
      <c r="M96" s="6">
        <f t="shared" si="35"/>
        <v>2.5798611110076308E-2</v>
      </c>
      <c r="N96" s="7">
        <f t="shared" si="48"/>
        <v>37.149999998509884</v>
      </c>
      <c r="O96" s="7"/>
      <c r="P96" s="7"/>
      <c r="Q96" s="22"/>
      <c r="R96" s="170"/>
      <c r="S96" s="213">
        <f t="shared" si="36"/>
        <v>1</v>
      </c>
      <c r="T96" s="195" t="str">
        <f t="shared" si="3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8"/>
        <v>https://d0f6bd738d7f1b3e5a7ca70fe4ff75f0.us-east-1.aws.found.io/app/kibana#/discover/Steve-Slow-Train-Analysis-(2080s-and-2083s)?_g=(refreshInterval:(display:Off,pause:!f,section:0,value:0),time:(from:'2017-07-21T13:08:20-0600',mode:absolute,to:'2017-07-21T15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97" t="str">
        <f>IF(AA96&lt;VLOOKUP(AG96,Variables!$AC$3:$AD$8,2,FALSE),"Y","N")</f>
        <v>N</v>
      </c>
      <c r="X96" s="197">
        <f t="shared" si="51"/>
        <v>1</v>
      </c>
      <c r="Y96" s="197">
        <f t="shared" si="49"/>
        <v>4.4900000000000002E-2</v>
      </c>
      <c r="Z96" s="197">
        <f t="shared" si="50"/>
        <v>23.339500000000001</v>
      </c>
      <c r="AA96" s="197">
        <f t="shared" si="39"/>
        <v>23.294600000000003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0"/>
        <v>185</v>
      </c>
      <c r="AE96" s="77" t="str">
        <f t="shared" si="4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96" s="74" t="str">
        <f t="shared" si="42"/>
        <v>"C:\Program Files (x86)\AstroGrep\AstroGrep.exe" /e /r /s /spath="%USERPROFILE%\AppData\Local\Temp\OnboardLogs" /stypes="app*4054*20170721*" /stext=" 20:.+((SYSTEM_STATE.+slice.+state.+changed )|(ment ac)|(multiple cpu faults)|(system.+state.+changed )|(\[timeout)|(PRM\|1\|D)|(kpr)|(kdp)|(train st.+moving)|(\|lc)|(penalty))"</v>
      </c>
      <c r="AG96" s="209" t="str">
        <f t="shared" si="43"/>
        <v>EC</v>
      </c>
      <c r="AH96" s="78" t="str">
        <f t="shared" si="44"/>
        <v>"%USERPROFILE%\Documents\GitHub\eaglep3\Utilities\RefineRTDCRunTimes.py" --tripid 185-21 --locoid 4054 --swversion DE.1.0.9.0 --startMP 204:449 --initTime 2017-07-21T14:08:20 --startdatetime 2017-07-21T14:15:45 --delay 1 --endMP 204:233395 --enddatetime 2017-07-21T14:52:54 --enforcementcount 0 &gt;&gt;C:\Users\stu\Documents\GitHub\eaglep3-reporting\EC\2017-07-21-refined-times.txt</v>
      </c>
      <c r="AI96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{"issue":{"subject":"","project_id":79,"tracker_id":40,"status_id":1,"priority_id":2,"assigned_to_id":23,"start_date":"2017-07-21","description":"","custom_fields":[{"id":1,"name":"Subdivision","value":"EC"},{"id":4,"name":"Milepost","value":"23.3395"},{"id":17,"name":"Train ID","value":"185-21"},{"id":16,"name":"Locomotive ID","value":"4054"},{"id":130,"name":"Impact","value":""},{"id":150,"name":"Time of Event (Mountain Time)","value":"14:52:54"},{"id":151,"name":"Denver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6"/>
        <v>start /low /b %USERPROFILE%\Documents\GitHub\eaglep3\Utilities\DownloadLogsFromS3.py --loco 4054 --day 2017-07-21</v>
      </c>
      <c r="AN96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780</v>
      </c>
      <c r="B97" s="7">
        <v>4053</v>
      </c>
      <c r="C97" s="21" t="s">
        <v>198</v>
      </c>
      <c r="D97" s="21" t="s">
        <v>906</v>
      </c>
      <c r="E97" s="13">
        <v>42937.627928240741</v>
      </c>
      <c r="F97" s="13">
        <v>42937.63349537037</v>
      </c>
      <c r="G97" s="7">
        <v>1</v>
      </c>
      <c r="H97" s="21" t="s">
        <v>378</v>
      </c>
      <c r="I97" s="13">
        <v>42937.660185185188</v>
      </c>
      <c r="J97" s="7">
        <v>0</v>
      </c>
      <c r="K97" s="89" t="str">
        <f t="shared" si="34"/>
        <v>4053/4054</v>
      </c>
      <c r="L97" s="21" t="str">
        <f>VLOOKUP(A97,'Trips&amp;Operators'!$C$1:$G$99999,5,FALSE)</f>
        <v>SULLIVAN BRANDON</v>
      </c>
      <c r="M97" s="6">
        <f t="shared" si="35"/>
        <v>2.6689814818382729E-2</v>
      </c>
      <c r="N97" s="7">
        <f t="shared" si="48"/>
        <v>38.43333333847113</v>
      </c>
      <c r="O97" s="7"/>
      <c r="P97" s="7"/>
      <c r="Q97" s="22"/>
      <c r="R97" s="170"/>
      <c r="S97" s="213">
        <f t="shared" si="36"/>
        <v>1</v>
      </c>
      <c r="T97" s="195" t="str">
        <f t="shared" si="3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8"/>
        <v>https://d0f6bd738d7f1b3e5a7ca70fe4ff75f0.us-east-1.aws.found.io/app/kibana#/discover/Steve-Slow-Train-Analysis-(2080s-and-2083s)?_g=(refreshInterval:(display:Off,pause:!f,section:0,value:0),time:(from:'2017-07-21T14:04:13-0600',mode:absolute,to:'2017-07-21T16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97" t="str">
        <f>IF(AA97&lt;VLOOKUP(AG97,Variables!$AC$3:$AD$8,2,FALSE),"Y","N")</f>
        <v>N</v>
      </c>
      <c r="X97" s="197">
        <f t="shared" si="51"/>
        <v>1</v>
      </c>
      <c r="Y97" s="197">
        <f t="shared" si="49"/>
        <v>23.3096</v>
      </c>
      <c r="Z97" s="197">
        <f t="shared" si="50"/>
        <v>1.54E-2</v>
      </c>
      <c r="AA97" s="197">
        <f t="shared" si="39"/>
        <v>23.2942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0"/>
        <v>186</v>
      </c>
      <c r="AE97" s="77" t="str">
        <f t="shared" si="4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97" s="74" t="str">
        <f t="shared" si="42"/>
        <v>"C:\Program Files (x86)\AstroGrep\AstroGrep.exe" /e /r /s /spath="%USERPROFILE%\AppData\Local\Temp\OnboardLogs" /stypes="app*4053*20170721*" /stext=" 21:.+((SYSTEM_STATE.+slice.+state.+changed )|(ment ac)|(multiple cpu faults)|(system.+state.+changed )|(\[timeout)|(PRM\|1\|D)|(kpr)|(kdp)|(train st.+moving)|(\|lc)|(penalty))"</v>
      </c>
      <c r="AG97" s="209" t="str">
        <f t="shared" si="43"/>
        <v>EC</v>
      </c>
      <c r="AH97" s="78" t="str">
        <f t="shared" si="44"/>
        <v>"%USERPROFILE%\Documents\GitHub\eaglep3\Utilities\RefineRTDCRunTimes.py" --tripid 186-21 --locoid 4053 --swversion DE.1.0.9.0 --startMP 204:233096 --initTime 2017-07-21T15:04:13 --startdatetime 2017-07-21T15:12:14 --delay 1 --endMP 204:154 --enddatetime 2017-07-21T15:50:40 --enforcementcount 0 &gt;&gt;C:\Users\stu\Documents\GitHub\eaglep3-reporting\EC\2017-07-21-refined-times.txt</v>
      </c>
      <c r="AI97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{"issue":{"subject":"","project_id":79,"tracker_id":40,"status_id":1,"priority_id":2,"assigned_to_id":23,"start_date":"2017-07-21","description":"","custom_fields":[{"id":1,"name":"Subdivision","value":"EC"},{"id":4,"name":"Milepost","value":"0.0154"},{"id":17,"name":"Train ID","value":"186-21"},{"id":16,"name":"Locomotive ID","value":"4053"},{"id":130,"name":"Impact","value":""},{"id":150,"name":"Time of Event (Mountain Time)","value":"15:50:40"},{"id":151,"name":"Denver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6"/>
        <v>start /low /b %USERPROFILE%\Documents\GitHub\eaglep3\Utilities\DownloadLogsFromS3.py --loco 4053 --day 2017-07-21</v>
      </c>
      <c r="AN97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775</v>
      </c>
      <c r="B98" s="7">
        <v>4058</v>
      </c>
      <c r="C98" s="21" t="s">
        <v>198</v>
      </c>
      <c r="D98" s="21" t="s">
        <v>907</v>
      </c>
      <c r="E98" s="13">
        <v>42937.602453703701</v>
      </c>
      <c r="F98" s="13">
        <v>42937.604699074072</v>
      </c>
      <c r="G98" s="7">
        <v>1</v>
      </c>
      <c r="H98" s="21" t="s">
        <v>561</v>
      </c>
      <c r="I98" s="13">
        <v>42937.630185185182</v>
      </c>
      <c r="J98" s="7">
        <v>0</v>
      </c>
      <c r="K98" s="89" t="str">
        <f t="shared" si="34"/>
        <v>4057/4058</v>
      </c>
      <c r="L98" s="21" t="str">
        <f>VLOOKUP(A98,'Trips&amp;Operators'!$C$1:$G$99999,5,FALSE)</f>
        <v>ELBAUM MIKE</v>
      </c>
      <c r="M98" s="6">
        <f t="shared" si="35"/>
        <v>2.548611110978527E-2</v>
      </c>
      <c r="N98" s="7">
        <f t="shared" si="48"/>
        <v>36.699999998090789</v>
      </c>
      <c r="O98" s="7"/>
      <c r="P98" s="7"/>
      <c r="Q98" s="22"/>
      <c r="R98" s="170"/>
      <c r="S98" s="213">
        <f t="shared" si="36"/>
        <v>1</v>
      </c>
      <c r="T98" s="195" t="str">
        <f t="shared" si="3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8"/>
        <v>https://d0f6bd738d7f1b3e5a7ca70fe4ff75f0.us-east-1.aws.found.io/app/kibana#/discover/Steve-Slow-Train-Analysis-(2080s-and-2083s)?_g=(refreshInterval:(display:Off,pause:!f,section:0,value:0),time:(from:'2017-07-21T13:27:32-0600',mode:absolute,to:'2017-07-21T16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8" s="197" t="str">
        <f>IF(AA98&lt;VLOOKUP(AG98,Variables!$AC$3:$AD$8,2,FALSE),"Y","N")</f>
        <v>N</v>
      </c>
      <c r="X98" s="197">
        <f t="shared" si="51"/>
        <v>1</v>
      </c>
      <c r="Y98" s="197">
        <f t="shared" si="49"/>
        <v>5.0799999999999998E-2</v>
      </c>
      <c r="Z98" s="197">
        <f t="shared" si="50"/>
        <v>23.332699999999999</v>
      </c>
      <c r="AA98" s="197">
        <f t="shared" si="39"/>
        <v>23.2819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0"/>
        <v>187</v>
      </c>
      <c r="AE98" s="77" t="str">
        <f t="shared" si="4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98" s="74" t="str">
        <f t="shared" si="42"/>
        <v>"C:\Program Files (x86)\AstroGrep\AstroGrep.exe" /e /r /s /spath="%USERPROFILE%\AppData\Local\Temp\OnboardLogs" /stypes="app*4058*20170721*" /stext=" 21:.+((SYSTEM_STATE.+slice.+state.+changed )|(ment ac)|(multiple cpu faults)|(system.+state.+changed )|(\[timeout)|(PRM\|1\|D)|(kpr)|(kdp)|(train st.+moving)|(\|lc)|(penalty))"</v>
      </c>
      <c r="AG98" s="209" t="str">
        <f t="shared" si="43"/>
        <v>EC</v>
      </c>
      <c r="AH98" s="78" t="str">
        <f t="shared" si="44"/>
        <v>"%USERPROFILE%\Documents\GitHub\eaglep3\Utilities\RefineRTDCRunTimes.py" --tripid 187-21 --locoid 4058 --swversion DE.1.0.9.0 --startMP 204:508 --initTime 2017-07-21T14:27:32 --startdatetime 2017-07-21T14:30:46 --delay 1 --endMP 204:233327 --enddatetime 2017-07-21T15:07:28 --enforcementcount 0 &gt;&gt;C:\Users\stu\Documents\GitHub\eaglep3-reporting\EC\2017-07-21-refined-times.txt</v>
      </c>
      <c r="AI98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{"issue":{"subject":"","project_id":79,"tracker_id":40,"status_id":1,"priority_id":2,"assigned_to_id":23,"start_date":"2017-07-21","description":"","custom_fields":[{"id":1,"name":"Subdivision","value":"EC"},{"id":4,"name":"Milepost","value":"23.3327"},{"id":17,"name":"Train ID","value":"187-21"},{"id":16,"name":"Locomotive ID","value":"4058"},{"id":130,"name":"Impact","value":""},{"id":150,"name":"Time of Event (Mountain Time)","value":"15:07:28"},{"id":151,"name":"Denver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6"/>
        <v>start /low /b %USERPROFILE%\Documents\GitHub\eaglep3\Utilities\DownloadLogsFromS3.py --loco 4058 --day 2017-07-21</v>
      </c>
      <c r="AN98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782</v>
      </c>
      <c r="B99" s="7">
        <v>4057</v>
      </c>
      <c r="C99" s="21" t="s">
        <v>198</v>
      </c>
      <c r="D99" s="21" t="s">
        <v>501</v>
      </c>
      <c r="E99" s="13">
        <v>42937.631539351853</v>
      </c>
      <c r="F99" s="13">
        <v>42937.644050925926</v>
      </c>
      <c r="G99" s="7">
        <v>1</v>
      </c>
      <c r="H99" s="21" t="s">
        <v>383</v>
      </c>
      <c r="I99" s="13">
        <v>42937.670972222222</v>
      </c>
      <c r="J99" s="7">
        <v>0</v>
      </c>
      <c r="K99" s="89" t="str">
        <f t="shared" si="34"/>
        <v>4057/4058</v>
      </c>
      <c r="L99" s="21" t="str">
        <f>VLOOKUP(A99,'Trips&amp;Operators'!$C$1:$G$99999,5,FALSE)</f>
        <v>ELBAUM MIKE</v>
      </c>
      <c r="M99" s="6">
        <f t="shared" si="35"/>
        <v>2.6921296295768116E-2</v>
      </c>
      <c r="N99" s="7">
        <f t="shared" si="48"/>
        <v>38.766666665906087</v>
      </c>
      <c r="O99" s="7"/>
      <c r="P99" s="7"/>
      <c r="Q99" s="22"/>
      <c r="R99" s="170"/>
      <c r="S99" s="213">
        <f t="shared" si="36"/>
        <v>1</v>
      </c>
      <c r="T99" s="195" t="str">
        <f t="shared" si="3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8"/>
        <v>https://d0f6bd738d7f1b3e5a7ca70fe4ff75f0.us-east-1.aws.found.io/app/kibana#/discover/Steve-Slow-Train-Analysis-(2080s-and-2083s)?_g=(refreshInterval:(display:Off,pause:!f,section:0,value:0),time:(from:'2017-07-21T14:09:25-0600',mode:absolute,to:'2017-07-21T17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9" s="197" t="str">
        <f>IF(AA99&lt;VLOOKUP(AG99,Variables!$AC$3:$AD$8,2,FALSE),"Y","N")</f>
        <v>N</v>
      </c>
      <c r="X99" s="197">
        <f t="shared" si="51"/>
        <v>1</v>
      </c>
      <c r="Y99" s="197">
        <f t="shared" si="49"/>
        <v>23.2987</v>
      </c>
      <c r="Z99" s="197">
        <f t="shared" si="50"/>
        <v>1.4500000000000001E-2</v>
      </c>
      <c r="AA99" s="197">
        <f t="shared" si="39"/>
        <v>23.284199999999998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0"/>
        <v>188</v>
      </c>
      <c r="AE99" s="77" t="str">
        <f t="shared" si="4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99" s="74" t="str">
        <f t="shared" si="42"/>
        <v>"C:\Program Files (x86)\AstroGrep\AstroGrep.exe" /e /r /s /spath="%USERPROFILE%\AppData\Local\Temp\OnboardLogs" /stypes="app*4057*20170721*" /stext=" 22:.+((SYSTEM_STATE.+slice.+state.+changed )|(ment ac)|(multiple cpu faults)|(system.+state.+changed )|(\[timeout)|(PRM\|1\|D)|(kpr)|(kdp)|(train st.+moving)|(\|lc)|(penalty))"</v>
      </c>
      <c r="AG99" s="209" t="str">
        <f t="shared" si="43"/>
        <v>EC</v>
      </c>
      <c r="AH99" s="78" t="str">
        <f t="shared" si="44"/>
        <v>"%USERPROFILE%\Documents\GitHub\eaglep3\Utilities\RefineRTDCRunTimes.py" --tripid 188-21 --locoid 4057 --swversion DE.1.0.9.0 --startMP 204:232987 --initTime 2017-07-21T15:09:25 --startdatetime 2017-07-21T15:27:26 --delay 1 --endMP 204:145 --enddatetime 2017-07-21T16:06:12 --enforcementcount 0 &gt;&gt;C:\Users\stu\Documents\GitHub\eaglep3-reporting\EC\2017-07-21-refined-times.txt</v>
      </c>
      <c r="AI99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{"issue":{"subject":"","project_id":79,"tracker_id":40,"status_id":1,"priority_id":2,"assigned_to_id":23,"start_date":"2017-07-21","description":"","custom_fields":[{"id":1,"name":"Subdivision","value":"EC"},{"id":4,"name":"Milepost","value":"0.0145"},{"id":17,"name":"Train ID","value":"188-21"},{"id":16,"name":"Locomotive ID","value":"4057"},{"id":130,"name":"Impact","value":""},{"id":150,"name":"Time of Event (Mountain Time)","value":"16:06:12"},{"id":151,"name":"Denver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6"/>
        <v>start /low /b %USERPROFILE%\Documents\GitHub\eaglep3\Utilities\DownloadLogsFromS3.py --loco 4057 --day 2017-07-21</v>
      </c>
      <c r="AN99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777</v>
      </c>
      <c r="B100" s="7">
        <v>4030</v>
      </c>
      <c r="C100" s="21" t="s">
        <v>198</v>
      </c>
      <c r="D100" s="21" t="s">
        <v>908</v>
      </c>
      <c r="E100" s="13">
        <v>42937.61078703704</v>
      </c>
      <c r="F100" s="13">
        <v>42937.615231481483</v>
      </c>
      <c r="G100" s="7">
        <v>1</v>
      </c>
      <c r="H100" s="21" t="s">
        <v>587</v>
      </c>
      <c r="I100" s="13">
        <v>42937.640497685185</v>
      </c>
      <c r="J100" s="7">
        <v>0</v>
      </c>
      <c r="K100" s="89" t="str">
        <f t="shared" si="34"/>
        <v>4029/4030</v>
      </c>
      <c r="L100" s="21" t="str">
        <f>VLOOKUP(A100,'Trips&amp;Operators'!$C$1:$G$99999,5,FALSE)</f>
        <v>BERLING GARY</v>
      </c>
      <c r="M100" s="6">
        <f t="shared" si="35"/>
        <v>2.5266203701903578E-2</v>
      </c>
      <c r="N100" s="7">
        <f t="shared" si="48"/>
        <v>36.383333330741152</v>
      </c>
      <c r="O100" s="7"/>
      <c r="P100" s="7"/>
      <c r="Q100" s="22"/>
      <c r="R100" s="170"/>
      <c r="S100" s="213">
        <f t="shared" si="36"/>
        <v>1</v>
      </c>
      <c r="T100" s="195" t="str">
        <f t="shared" si="3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8"/>
        <v>https://d0f6bd738d7f1b3e5a7ca70fe4ff75f0.us-east-1.aws.found.io/app/kibana#/discover/Steve-Slow-Train-Analysis-(2080s-and-2083s)?_g=(refreshInterval:(display:Off,pause:!f,section:0,value:0),time:(from:'2017-07-21T13:39:32-0600',mode:absolute,to:'2017-07-21T16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197" t="str">
        <f>IF(AA100&lt;VLOOKUP(AG100,Variables!$AC$3:$AD$8,2,FALSE),"Y","N")</f>
        <v>N</v>
      </c>
      <c r="X100" s="197">
        <f t="shared" si="51"/>
        <v>1</v>
      </c>
      <c r="Y100" s="197">
        <f t="shared" si="49"/>
        <v>4.2599999999999999E-2</v>
      </c>
      <c r="Z100" s="197">
        <f t="shared" si="50"/>
        <v>23.331800000000001</v>
      </c>
      <c r="AA100" s="197">
        <f t="shared" si="39"/>
        <v>23.289200000000001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0"/>
        <v>189</v>
      </c>
      <c r="AE100" s="77" t="str">
        <f t="shared" si="4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100" s="74" t="str">
        <f t="shared" si="42"/>
        <v>"C:\Program Files (x86)\AstroGrep\AstroGrep.exe" /e /r /s /spath="%USERPROFILE%\AppData\Local\Temp\OnboardLogs" /stypes="app*4030*20170721*" /stext=" 21:.+((SYSTEM_STATE.+slice.+state.+changed )|(ment ac)|(multiple cpu faults)|(system.+state.+changed )|(\[timeout)|(PRM\|1\|D)|(kpr)|(kdp)|(train st.+moving)|(\|lc)|(penalty))"</v>
      </c>
      <c r="AG100" s="209" t="str">
        <f t="shared" si="43"/>
        <v>EC</v>
      </c>
      <c r="AH100" s="78" t="str">
        <f t="shared" si="44"/>
        <v>"%USERPROFILE%\Documents\GitHub\eaglep3\Utilities\RefineRTDCRunTimes.py" --tripid 189-21 --locoid 4030 --swversion DE.1.0.9.0 --startMP 204:426 --initTime 2017-07-21T14:39:32 --startdatetime 2017-07-21T14:45:56 --delay 1 --endMP 204:233318 --enddatetime 2017-07-21T15:22:19 --enforcementcount 0 &gt;&gt;C:\Users\stu\Documents\GitHub\eaglep3-reporting\EC\2017-07-21-refined-times.txt</v>
      </c>
      <c r="AI100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{"issue":{"subject":"","project_id":79,"tracker_id":40,"status_id":1,"priority_id":2,"assigned_to_id":23,"start_date":"2017-07-21","description":"","custom_fields":[{"id":1,"name":"Subdivision","value":"EC"},{"id":4,"name":"Milepost","value":"23.3318"},{"id":17,"name":"Train ID","value":"189-21"},{"id":16,"name":"Locomotive ID","value":"4030"},{"id":130,"name":"Impact","value":""},{"id":150,"name":"Time of Event (Mountain Time)","value":"15:22:19"},{"id":151,"name":"Denver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6"/>
        <v>start /low /b %USERPROFILE%\Documents\GitHub\eaglep3\Utilities\DownloadLogsFromS3.py --loco 4030 --day 2017-07-21</v>
      </c>
      <c r="AN100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787</v>
      </c>
      <c r="B101" s="7">
        <v>4029</v>
      </c>
      <c r="C101" s="21" t="s">
        <v>198</v>
      </c>
      <c r="D101" s="21" t="s">
        <v>579</v>
      </c>
      <c r="E101" s="13">
        <v>42937.647303240738</v>
      </c>
      <c r="F101" s="13">
        <v>42937.654328703706</v>
      </c>
      <c r="G101" s="7">
        <v>1</v>
      </c>
      <c r="H101" s="21" t="s">
        <v>909</v>
      </c>
      <c r="I101" s="13">
        <v>42937.682800925926</v>
      </c>
      <c r="J101" s="7">
        <v>0</v>
      </c>
      <c r="K101" s="89" t="str">
        <f t="shared" si="34"/>
        <v>4029/4030</v>
      </c>
      <c r="L101" s="21" t="str">
        <f>VLOOKUP(A101,'Trips&amp;Operators'!$C$1:$G$99999,5,FALSE)</f>
        <v>BERLING GARY</v>
      </c>
      <c r="M101" s="6">
        <f t="shared" si="35"/>
        <v>2.8472222220443655E-2</v>
      </c>
      <c r="N101" s="7">
        <f t="shared" si="48"/>
        <v>40.999999997438863</v>
      </c>
      <c r="O101" s="7"/>
      <c r="P101" s="7"/>
      <c r="Q101" s="22"/>
      <c r="R101" s="170"/>
      <c r="S101" s="213">
        <f t="shared" si="36"/>
        <v>1</v>
      </c>
      <c r="T101" s="195" t="str">
        <f t="shared" si="3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8"/>
        <v>https://d0f6bd738d7f1b3e5a7ca70fe4ff75f0.us-east-1.aws.found.io/app/kibana#/discover/Steve-Slow-Train-Analysis-(2080s-and-2083s)?_g=(refreshInterval:(display:Off,pause:!f,section:0,value:0),time:(from:'2017-07-21T14:32:07-0600',mode:absolute,to:'2017-07-21T17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197" t="str">
        <f>IF(AA101&lt;VLOOKUP(AG101,Variables!$AC$3:$AD$8,2,FALSE),"Y","N")</f>
        <v>N</v>
      </c>
      <c r="X101" s="197">
        <f t="shared" si="51"/>
        <v>1</v>
      </c>
      <c r="Y101" s="197">
        <f t="shared" si="49"/>
        <v>23.298999999999999</v>
      </c>
      <c r="Z101" s="197">
        <f t="shared" si="50"/>
        <v>1.2699999999999999E-2</v>
      </c>
      <c r="AA101" s="197">
        <f t="shared" si="39"/>
        <v>23.286300000000001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0"/>
        <v>190</v>
      </c>
      <c r="AE101" s="77" t="str">
        <f t="shared" si="4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101" s="74" t="str">
        <f t="shared" si="42"/>
        <v>"C:\Program Files (x86)\AstroGrep\AstroGrep.exe" /e /r /s /spath="%USERPROFILE%\AppData\Local\Temp\OnboardLogs" /stypes="app*4029*20170721*" /stext=" 22:.+((SYSTEM_STATE.+slice.+state.+changed )|(ment ac)|(multiple cpu faults)|(system.+state.+changed )|(\[timeout)|(PRM\|1\|D)|(kpr)|(kdp)|(train st.+moving)|(\|lc)|(penalty))"</v>
      </c>
      <c r="AG101" s="209" t="str">
        <f t="shared" si="43"/>
        <v>EC</v>
      </c>
      <c r="AH101" s="78" t="str">
        <f t="shared" si="44"/>
        <v>"%USERPROFILE%\Documents\GitHub\eaglep3\Utilities\RefineRTDCRunTimes.py" --tripid 190-21 --locoid 4029 --swversion DE.1.0.9.0 --startMP 204:232990 --initTime 2017-07-21T15:32:07 --startdatetime 2017-07-21T15:42:14 --delay 1 --endMP 204:127 --enddatetime 2017-07-21T16:23:14 --enforcementcount 0 &gt;&gt;C:\Users\stu\Documents\GitHub\eaglep3-reporting\EC\2017-07-21-refined-times.txt</v>
      </c>
      <c r="AI10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{"issue":{"subject":"","project_id":79,"tracker_id":40,"status_id":1,"priority_id":2,"assigned_to_id":23,"start_date":"2017-07-21","description":"","custom_fields":[{"id":1,"name":"Subdivision","value":"EC"},{"id":4,"name":"Milepost","value":"0.0127"},{"id":17,"name":"Train ID","value":"190-21"},{"id":16,"name":"Locomotive ID","value":"4029"},{"id":130,"name":"Impact","value":""},{"id":150,"name":"Time of Event (Mountain Time)","value":"16:23:14"},{"id":151,"name":"Denver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6"/>
        <v>start /low /b %USERPROFILE%\Documents\GitHub\eaglep3\Utilities\DownloadLogsFromS3.py --loco 4029 --day 2017-07-21</v>
      </c>
      <c r="AN101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778</v>
      </c>
      <c r="B102" s="7">
        <v>4046</v>
      </c>
      <c r="C102" s="21" t="s">
        <v>198</v>
      </c>
      <c r="D102" s="21" t="s">
        <v>399</v>
      </c>
      <c r="E102" s="13">
        <v>42937.621504629627</v>
      </c>
      <c r="F102" s="13">
        <v>42937.625555555554</v>
      </c>
      <c r="G102" s="7">
        <v>1</v>
      </c>
      <c r="H102" s="21" t="s">
        <v>474</v>
      </c>
      <c r="I102" s="13">
        <v>42937.650983796295</v>
      </c>
      <c r="J102" s="7">
        <v>0</v>
      </c>
      <c r="K102" s="89" t="str">
        <f t="shared" si="34"/>
        <v>4045/4046</v>
      </c>
      <c r="L102" s="21" t="str">
        <f>VLOOKUP(A102,'Trips&amp;Operators'!$C$1:$G$99999,5,FALSE)</f>
        <v>STEWART MICHAEL</v>
      </c>
      <c r="M102" s="6">
        <f t="shared" si="35"/>
        <v>2.5428240740438923E-2</v>
      </c>
      <c r="N102" s="7">
        <f t="shared" si="48"/>
        <v>36.616666666232049</v>
      </c>
      <c r="O102" s="7"/>
      <c r="P102" s="7"/>
      <c r="Q102" s="22"/>
      <c r="R102" s="170"/>
      <c r="S102" s="213">
        <f t="shared" si="36"/>
        <v>1</v>
      </c>
      <c r="T102" s="195" t="str">
        <f t="shared" si="3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8"/>
        <v>https://d0f6bd738d7f1b3e5a7ca70fe4ff75f0.us-east-1.aws.found.io/app/kibana#/discover/Steve-Slow-Train-Analysis-(2080s-and-2083s)?_g=(refreshInterval:(display:Off,pause:!f,section:0,value:0),time:(from:'2017-07-21T13:54:58-0600',mode:absolute,to:'2017-07-21T16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2" s="197" t="str">
        <f>IF(AA102&lt;VLOOKUP(AG102,Variables!$AC$3:$AD$8,2,FALSE),"Y","N")</f>
        <v>N</v>
      </c>
      <c r="X102" s="197">
        <f t="shared" si="51"/>
        <v>1</v>
      </c>
      <c r="Y102" s="197">
        <f t="shared" si="49"/>
        <v>4.5499999999999999E-2</v>
      </c>
      <c r="Z102" s="197">
        <f t="shared" si="50"/>
        <v>23.3293</v>
      </c>
      <c r="AA102" s="197">
        <f t="shared" si="39"/>
        <v>23.283799999999999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0"/>
        <v>191</v>
      </c>
      <c r="AE102" s="77" t="str">
        <f t="shared" si="4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102" s="74" t="str">
        <f t="shared" si="42"/>
        <v>"C:\Program Files (x86)\AstroGrep\AstroGrep.exe" /e /r /s /spath="%USERPROFILE%\AppData\Local\Temp\OnboardLogs" /stypes="app*4046*20170721*" /stext=" 21:.+((SYSTEM_STATE.+slice.+state.+changed )|(ment ac)|(multiple cpu faults)|(system.+state.+changed )|(\[timeout)|(PRM\|1\|D)|(kpr)|(kdp)|(train st.+moving)|(\|lc)|(penalty))"</v>
      </c>
      <c r="AG102" s="209" t="str">
        <f t="shared" si="43"/>
        <v>EC</v>
      </c>
      <c r="AH102" s="78" t="str">
        <f t="shared" si="44"/>
        <v>"%USERPROFILE%\Documents\GitHub\eaglep3\Utilities\RefineRTDCRunTimes.py" --tripid 191-21 --locoid 4046 --swversion DE.1.0.9.0 --startMP 204:455 --initTime 2017-07-21T14:54:58 --startdatetime 2017-07-21T15:00:48 --delay 1 --endMP 204:233293 --enddatetime 2017-07-21T15:37:25 --enforcementcount 0 &gt;&gt;C:\Users\stu\Documents\GitHub\eaglep3-reporting\EC\2017-07-21-refined-times.txt</v>
      </c>
      <c r="AI10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{"issue":{"subject":"","project_id":79,"tracker_id":40,"status_id":1,"priority_id":2,"assigned_to_id":23,"start_date":"2017-07-21","description":"","custom_fields":[{"id":1,"name":"Subdivision","value":"EC"},{"id":4,"name":"Milepost","value":"23.3293"},{"id":17,"name":"Train ID","value":"191-21"},{"id":16,"name":"Locomotive ID","value":"4046"},{"id":130,"name":"Impact","value":""},{"id":150,"name":"Time of Event (Mountain Time)","value":"15:37:25"},{"id":151,"name":"Denver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6"/>
        <v>start /low /b %USERPROFILE%\Documents\GitHub\eaglep3\Utilities\DownloadLogsFromS3.py --loco 4046 --day 2017-07-21</v>
      </c>
      <c r="AN102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643</v>
      </c>
      <c r="B103" s="7">
        <v>4045</v>
      </c>
      <c r="C103" s="21" t="s">
        <v>198</v>
      </c>
      <c r="D103" s="21" t="s">
        <v>910</v>
      </c>
      <c r="E103" s="13">
        <v>42937.660254629627</v>
      </c>
      <c r="F103" s="13">
        <v>42937.664907407408</v>
      </c>
      <c r="G103" s="7">
        <v>1</v>
      </c>
      <c r="H103" s="21" t="s">
        <v>568</v>
      </c>
      <c r="I103" s="13">
        <v>42937.693449074075</v>
      </c>
      <c r="J103" s="7">
        <v>0</v>
      </c>
      <c r="K103" s="89" t="str">
        <f t="shared" si="34"/>
        <v>4045/4046</v>
      </c>
      <c r="L103" s="21" t="str">
        <f>VLOOKUP(A103,'Trips&amp;Operators'!$C$1:$G$99999,5,FALSE)</f>
        <v>STEWART MICHAEL</v>
      </c>
      <c r="M103" s="6">
        <f t="shared" si="35"/>
        <v>2.8541666666569654E-2</v>
      </c>
      <c r="N103" s="7">
        <f t="shared" si="48"/>
        <v>41.099999999860302</v>
      </c>
      <c r="O103" s="7"/>
      <c r="P103" s="7"/>
      <c r="Q103" s="22"/>
      <c r="R103" s="170" t="s">
        <v>1057</v>
      </c>
      <c r="S103" s="213">
        <f t="shared" si="36"/>
        <v>1</v>
      </c>
      <c r="T103" s="195" t="str">
        <f t="shared" si="3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8"/>
        <v>https://d0f6bd738d7f1b3e5a7ca70fe4ff75f0.us-east-1.aws.found.io/app/kibana#/discover/Steve-Slow-Train-Analysis-(2080s-and-2083s)?_g=(refreshInterval:(display:Off,pause:!f,section:0,value:0),time:(from:'2017-07-21T14:50:46-0600',mode:absolute,to:'2017-07-21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3" s="197" t="str">
        <f>IF(AA103&lt;VLOOKUP(AG103,Variables!$AC$3:$AD$8,2,FALSE),"Y","N")</f>
        <v>N</v>
      </c>
      <c r="X103" s="197">
        <f t="shared" si="51"/>
        <v>1</v>
      </c>
      <c r="Y103" s="197">
        <f t="shared" si="49"/>
        <v>23.297899999999998</v>
      </c>
      <c r="Z103" s="197">
        <f t="shared" si="50"/>
        <v>1.6899999999999998E-2</v>
      </c>
      <c r="AA103" s="197">
        <f t="shared" si="39"/>
        <v>23.280999999999999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0"/>
        <v>192</v>
      </c>
      <c r="AE103" s="77" t="str">
        <f t="shared" si="4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103" s="74" t="str">
        <f t="shared" si="42"/>
        <v>"C:\Program Files (x86)\AstroGrep\AstroGrep.exe" /e /r /s /spath="%USERPROFILE%\AppData\Local\Temp\OnboardLogs" /stypes="app*4045*20170721*" /stext=" 22:.+((SYSTEM_STATE.+slice.+state.+changed )|(ment ac)|(multiple cpu faults)|(system.+state.+changed )|(\[timeout)|(PRM\|1\|D)|(kpr)|(kdp)|(train st.+moving)|(\|lc)|(penalty))"</v>
      </c>
      <c r="AG103" s="209" t="str">
        <f t="shared" si="43"/>
        <v>EC</v>
      </c>
      <c r="AH103" s="78" t="str">
        <f t="shared" si="44"/>
        <v>"%USERPROFILE%\Documents\GitHub\eaglep3\Utilities\RefineRTDCRunTimes.py" --tripid 192-21 --locoid 4045 --swversion DE.1.0.9.0 --startMP 204:232979 --initTime 2017-07-21T15:50:46 --startdatetime 2017-07-21T15:57:28 --delay 1 --endMP 204:169 --enddatetime 2017-07-21T16:38:34 --enforcementcount 0 &gt;&gt;C:\Users\stu\Documents\GitHub\eaglep3-reporting\EC\2017-07-21-refined-times.txt</v>
      </c>
      <c r="AI103" s="96" t="str">
        <f t="shared" si="45"/>
        <v>echo {"issue":{"subject":"Minor onboard in-route failure caused momentary screen blackout","project_id":79,"tracker_id":40,"status_id":1,"priority_id":2,"assigned_to_id":23,"start_date":"2017-07-21","description":"","custom_fields":[{"id":1,"name":"Subdivision","value":"EC"},{"id":4,"name":"Milepost","value":"0.0169"},{"id":17,"name":"Train ID","value":"192-21"},{"id":16,"name":"Locomotive ID","value":"4045"},{"id":130,"name":"Impact","value":""},{"id":150,"name":"Time of Event (Mountain Time)","value":"16:38:34"},{"id":151,"name":"Denver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6"/>
        <v>start /low /b %USERPROFILE%\Documents\GitHub\eaglep3\Utilities\DownloadLogsFromS3.py --loco 4045 --day 2017-07-21</v>
      </c>
      <c r="AN103" s="151" t="str">
        <f t="shared" si="47"/>
        <v>echo {"issue":{"subject":"Minor onboard in-route failure caused momentary screen blackout","project_id":30,"tracker_id":4,"status_id":1,"priority_id":1,"assigned_to_id":10,"start_date":"2017-07-21","description":"","custom_fields":[{"id":30,"name":"Category","value":"Issue"},{"id":3,"name":"Functional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781</v>
      </c>
      <c r="B104" s="7">
        <v>4050</v>
      </c>
      <c r="C104" s="21" t="s">
        <v>198</v>
      </c>
      <c r="D104" s="21" t="s">
        <v>586</v>
      </c>
      <c r="E104" s="13">
        <v>42937.631284722222</v>
      </c>
      <c r="F104" s="13">
        <v>42937.636041666665</v>
      </c>
      <c r="G104" s="7">
        <v>1</v>
      </c>
      <c r="H104" s="21" t="s">
        <v>911</v>
      </c>
      <c r="I104" s="13">
        <v>42937.662222222221</v>
      </c>
      <c r="J104" s="7">
        <v>0</v>
      </c>
      <c r="K104" s="89" t="str">
        <f t="shared" si="34"/>
        <v>4049/4050</v>
      </c>
      <c r="L104" s="21" t="str">
        <f>VLOOKUP(A104,'Trips&amp;Operators'!$C$1:$G$99999,5,FALSE)</f>
        <v>GONZALEZ ARMANDO</v>
      </c>
      <c r="M104" s="6">
        <f t="shared" si="35"/>
        <v>2.6180555556493346E-2</v>
      </c>
      <c r="N104" s="7">
        <f t="shared" si="48"/>
        <v>37.700000001350418</v>
      </c>
      <c r="O104" s="7"/>
      <c r="P104" s="7"/>
      <c r="Q104" s="22"/>
      <c r="R104" s="170"/>
      <c r="S104" s="213">
        <f t="shared" si="36"/>
        <v>1</v>
      </c>
      <c r="T104" s="195" t="str">
        <f t="shared" si="3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8"/>
        <v>https://d0f6bd738d7f1b3e5a7ca70fe4ff75f0.us-east-1.aws.found.io/app/kibana#/discover/Steve-Slow-Train-Analysis-(2080s-and-2083s)?_g=(refreshInterval:(display:Off,pause:!f,section:0,value:0),time:(from:'2017-07-21T14:09:03-0600',mode:absolute,to:'2017-07-21T16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4" s="197" t="str">
        <f>IF(AA104&lt;VLOOKUP(AG104,Variables!$AC$3:$AD$8,2,FALSE),"Y","N")</f>
        <v>N</v>
      </c>
      <c r="X104" s="197">
        <f t="shared" si="51"/>
        <v>1</v>
      </c>
      <c r="Y104" s="197">
        <f t="shared" si="49"/>
        <v>4.8399999999999999E-2</v>
      </c>
      <c r="Z104" s="197">
        <f t="shared" si="50"/>
        <v>23.328900000000001</v>
      </c>
      <c r="AA104" s="197">
        <f t="shared" si="39"/>
        <v>23.2805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0"/>
        <v>193</v>
      </c>
      <c r="AE104" s="77" t="str">
        <f t="shared" si="4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104" s="74" t="str">
        <f t="shared" si="42"/>
        <v>"C:\Program Files (x86)\AstroGrep\AstroGrep.exe" /e /r /s /spath="%USERPROFILE%\AppData\Local\Temp\OnboardLogs" /stypes="app*4050*20170721*" /stext=" 21:.+((SYSTEM_STATE.+slice.+state.+changed )|(ment ac)|(multiple cpu faults)|(system.+state.+changed )|(\[timeout)|(PRM\|1\|D)|(kpr)|(kdp)|(train st.+moving)|(\|lc)|(penalty))"</v>
      </c>
      <c r="AG104" s="209" t="str">
        <f t="shared" si="43"/>
        <v>EC</v>
      </c>
      <c r="AH104" s="78" t="str">
        <f t="shared" si="44"/>
        <v>"%USERPROFILE%\Documents\GitHub\eaglep3\Utilities\RefineRTDCRunTimes.py" --tripid 193-21 --locoid 4050 --swversion DE.1.0.9.0 --startMP 204:484 --initTime 2017-07-21T15:09:03 --startdatetime 2017-07-21T15:15:54 --delay 1 --endMP 204:233289 --enddatetime 2017-07-21T15:53:36 --enforcementcount 0 &gt;&gt;C:\Users\stu\Documents\GitHub\eaglep3-reporting\EC\2017-07-21-refined-times.txt</v>
      </c>
      <c r="AI104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{"issue":{"subject":"","project_id":79,"tracker_id":40,"status_id":1,"priority_id":2,"assigned_to_id":23,"start_date":"2017-07-21","description":"","custom_fields":[{"id":1,"name":"Subdivision","value":"EC"},{"id":4,"name":"Milepost","value":"23.3289"},{"id":17,"name":"Train ID","value":"193-21"},{"id":16,"name":"Locomotive ID","value":"4050"},{"id":130,"name":"Impact","value":""},{"id":150,"name":"Time of Event (Mountain Time)","value":"15:53:36"},{"id":151,"name":"Denver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6"/>
        <v>start /low /b %USERPROFILE%\Documents\GitHub\eaglep3\Utilities\DownloadLogsFromS3.py --loco 4050 --day 2017-07-21</v>
      </c>
      <c r="AN104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791</v>
      </c>
      <c r="B105" s="7">
        <v>4049</v>
      </c>
      <c r="C105" s="21" t="s">
        <v>198</v>
      </c>
      <c r="D105" s="21" t="s">
        <v>421</v>
      </c>
      <c r="E105" s="13">
        <v>42937.669907407406</v>
      </c>
      <c r="F105" s="13">
        <v>42937.675162037034</v>
      </c>
      <c r="G105" s="7">
        <v>1</v>
      </c>
      <c r="H105" s="21" t="s">
        <v>395</v>
      </c>
      <c r="I105" s="13">
        <v>42937.703113425923</v>
      </c>
      <c r="J105" s="7">
        <v>0</v>
      </c>
      <c r="K105" s="89" t="str">
        <f t="shared" si="34"/>
        <v>4049/4050</v>
      </c>
      <c r="L105" s="21" t="str">
        <f>VLOOKUP(A105,'Trips&amp;Operators'!$C$1:$G$99999,5,FALSE)</f>
        <v>GONZALEZ ARMANDO</v>
      </c>
      <c r="M105" s="6">
        <f t="shared" si="35"/>
        <v>2.7951388889050577E-2</v>
      </c>
      <c r="N105" s="7">
        <f t="shared" si="48"/>
        <v>40.250000000232831</v>
      </c>
      <c r="O105" s="7"/>
      <c r="P105" s="7"/>
      <c r="Q105" s="22"/>
      <c r="R105" s="170"/>
      <c r="S105" s="213">
        <f t="shared" si="36"/>
        <v>1</v>
      </c>
      <c r="T105" s="195" t="str">
        <f t="shared" si="3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8"/>
        <v>https://d0f6bd738d7f1b3e5a7ca70fe4ff75f0.us-east-1.aws.found.io/app/kibana#/discover/Steve-Slow-Train-Analysis-(2080s-and-2083s)?_g=(refreshInterval:(display:Off,pause:!f,section:0,value:0),time:(from:'2017-07-21T15:04:40-0600',mode:absolute,to:'2017-07-21T17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5" s="197" t="str">
        <f>IF(AA105&lt;VLOOKUP(AG105,Variables!$AC$3:$AD$8,2,FALSE),"Y","N")</f>
        <v>N</v>
      </c>
      <c r="X105" s="197">
        <f t="shared" si="51"/>
        <v>1</v>
      </c>
      <c r="Y105" s="197">
        <f t="shared" si="49"/>
        <v>23.2971</v>
      </c>
      <c r="Z105" s="197">
        <f t="shared" si="50"/>
        <v>1.38E-2</v>
      </c>
      <c r="AA105" s="197">
        <f t="shared" si="39"/>
        <v>23.283300000000001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0"/>
        <v>194</v>
      </c>
      <c r="AE105" s="77" t="str">
        <f t="shared" si="4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105" s="74" t="str">
        <f t="shared" si="42"/>
        <v>"C:\Program Files (x86)\AstroGrep\AstroGrep.exe" /e /r /s /spath="%USERPROFILE%\AppData\Local\Temp\OnboardLogs" /stypes="app*4049*20170721*" /stext=" 22:.+((SYSTEM_STATE.+slice.+state.+changed )|(ment ac)|(multiple cpu faults)|(system.+state.+changed )|(\[timeout)|(PRM\|1\|D)|(kpr)|(kdp)|(train st.+moving)|(\|lc)|(penalty))"</v>
      </c>
      <c r="AG105" s="209" t="str">
        <f t="shared" si="43"/>
        <v>EC</v>
      </c>
      <c r="AH105" s="78" t="str">
        <f t="shared" si="44"/>
        <v>"%USERPROFILE%\Documents\GitHub\eaglep3\Utilities\RefineRTDCRunTimes.py" --tripid 194-21 --locoid 4049 --swversion DE.1.0.9.0 --startMP 204:232971 --initTime 2017-07-21T16:04:40 --startdatetime 2017-07-21T16:12:14 --delay 1 --endMP 204:138 --enddatetime 2017-07-21T16:52:29 --enforcementcount 0 &gt;&gt;C:\Users\stu\Documents\GitHub\eaglep3-reporting\EC\2017-07-21-refined-times.txt</v>
      </c>
      <c r="AI105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{"issue":{"subject":"","project_id":79,"tracker_id":40,"status_id":1,"priority_id":2,"assigned_to_id":23,"start_date":"2017-07-21","description":"","custom_fields":[{"id":1,"name":"Subdivision","value":"EC"},{"id":4,"name":"Milepost","value":"0.0138"},{"id":17,"name":"Train ID","value":"194-21"},{"id":16,"name":"Locomotive ID","value":"4049"},{"id":130,"name":"Impact","value":""},{"id":150,"name":"Time of Event (Mountain Time)","value":"16:52:29"},{"id":151,"name":"Denver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6"/>
        <v>start /low /b %USERPROFILE%\Documents\GitHub\eaglep3\Utilities\DownloadLogsFromS3.py --loco 4049 --day 2017-07-21</v>
      </c>
      <c r="AN105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786</v>
      </c>
      <c r="B106" s="7">
        <v>4032</v>
      </c>
      <c r="C106" s="21" t="s">
        <v>198</v>
      </c>
      <c r="D106" s="21" t="s">
        <v>574</v>
      </c>
      <c r="E106" s="13">
        <v>42937.643159722225</v>
      </c>
      <c r="F106" s="13">
        <v>42937.646805555552</v>
      </c>
      <c r="G106" s="7">
        <v>1</v>
      </c>
      <c r="H106" s="21" t="s">
        <v>902</v>
      </c>
      <c r="I106" s="13">
        <v>42937.671712962961</v>
      </c>
      <c r="J106" s="7">
        <v>0</v>
      </c>
      <c r="K106" s="89" t="str">
        <f t="shared" si="34"/>
        <v>4031/4032</v>
      </c>
      <c r="L106" s="21" t="str">
        <f>VLOOKUP(A106,'Trips&amp;Operators'!$C$1:$G$99999,5,FALSE)</f>
        <v>CASSIDY BRANDON</v>
      </c>
      <c r="M106" s="6">
        <f t="shared" si="35"/>
        <v>2.4907407409045845E-2</v>
      </c>
      <c r="N106" s="7">
        <f t="shared" si="48"/>
        <v>35.866666669026017</v>
      </c>
      <c r="O106" s="7"/>
      <c r="P106" s="7"/>
      <c r="Q106" s="22"/>
      <c r="R106" s="170"/>
      <c r="S106" s="213">
        <f t="shared" si="36"/>
        <v>1</v>
      </c>
      <c r="T106" s="195" t="str">
        <f t="shared" si="3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8"/>
        <v>https://d0f6bd738d7f1b3e5a7ca70fe4ff75f0.us-east-1.aws.found.io/app/kibana#/discover/Steve-Slow-Train-Analysis-(2080s-and-2083s)?_g=(refreshInterval:(display:Off,pause:!f,section:0,value:0),time:(from:'2017-07-21T14:26:09-0600',mode:absolute,to:'2017-07-21T17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97" t="str">
        <f>IF(AA106&lt;VLOOKUP(AG106,Variables!$AC$3:$AD$8,2,FALSE),"Y","N")</f>
        <v>N</v>
      </c>
      <c r="X106" s="197">
        <f t="shared" si="51"/>
        <v>1</v>
      </c>
      <c r="Y106" s="197">
        <f t="shared" si="49"/>
        <v>4.7300000000000002E-2</v>
      </c>
      <c r="Z106" s="197">
        <f t="shared" si="50"/>
        <v>23.335699999999999</v>
      </c>
      <c r="AA106" s="197">
        <f t="shared" si="39"/>
        <v>23.288399999999999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0"/>
        <v>195</v>
      </c>
      <c r="AE106" s="77" t="str">
        <f t="shared" si="4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106" s="74" t="str">
        <f t="shared" si="42"/>
        <v>"C:\Program Files (x86)\AstroGrep\AstroGrep.exe" /e /r /s /spath="%USERPROFILE%\AppData\Local\Temp\OnboardLogs" /stypes="app*4032*20170721*" /stext=" 22:.+((SYSTEM_STATE.+slice.+state.+changed )|(ment ac)|(multiple cpu faults)|(system.+state.+changed )|(\[timeout)|(PRM\|1\|D)|(kpr)|(kdp)|(train st.+moving)|(\|lc)|(penalty))"</v>
      </c>
      <c r="AG106" s="209" t="str">
        <f t="shared" si="43"/>
        <v>EC</v>
      </c>
      <c r="AH106" s="78" t="str">
        <f t="shared" si="44"/>
        <v>"%USERPROFILE%\Documents\GitHub\eaglep3\Utilities\RefineRTDCRunTimes.py" --tripid 195-21 --locoid 4032 --swversion DE.1.0.9.0 --startMP 204:473 --initTime 2017-07-21T15:26:09 --startdatetime 2017-07-21T15:31:24 --delay 1 --endMP 204:233357 --enddatetime 2017-07-21T16:07:16 --enforcementcount 0 &gt;&gt;C:\Users\stu\Documents\GitHub\eaglep3-reporting\EC\2017-07-21-refined-times.txt</v>
      </c>
      <c r="AI106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{"issue":{"subject":"","project_id":79,"tracker_id":40,"status_id":1,"priority_id":2,"assigned_to_id":23,"start_date":"2017-07-21","description":"","custom_fields":[{"id":1,"name":"Subdivision","value":"EC"},{"id":4,"name":"Milepost","value":"23.3357"},{"id":17,"name":"Train ID","value":"195-21"},{"id":16,"name":"Locomotive ID","value":"4032"},{"id":130,"name":"Impact","value":""},{"id":150,"name":"Time of Event (Mountain Time)","value":"16:07:16"},{"id":151,"name":"Denver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6"/>
        <v>start /low /b %USERPROFILE%\Documents\GitHub\eaglep3\Utilities\DownloadLogsFromS3.py --loco 4032 --day 2017-07-21</v>
      </c>
      <c r="AN106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794</v>
      </c>
      <c r="B107" s="7">
        <v>4031</v>
      </c>
      <c r="C107" s="21" t="s">
        <v>198</v>
      </c>
      <c r="D107" s="21" t="s">
        <v>912</v>
      </c>
      <c r="E107" s="13">
        <v>42937.681481481479</v>
      </c>
      <c r="F107" s="13">
        <v>42937.685590277775</v>
      </c>
      <c r="G107" s="7">
        <v>1</v>
      </c>
      <c r="H107" s="21" t="s">
        <v>482</v>
      </c>
      <c r="I107" s="13">
        <v>42937.712581018517</v>
      </c>
      <c r="J107" s="7">
        <v>0</v>
      </c>
      <c r="K107" s="89" t="str">
        <f t="shared" si="34"/>
        <v>4031/4032</v>
      </c>
      <c r="L107" s="21" t="str">
        <f>VLOOKUP(A107,'Trips&amp;Operators'!$C$1:$G$99999,5,FALSE)</f>
        <v>CASSIDY BRANDON</v>
      </c>
      <c r="M107" s="6">
        <f t="shared" si="35"/>
        <v>2.6990740741894115E-2</v>
      </c>
      <c r="N107" s="7">
        <f t="shared" si="48"/>
        <v>38.866666668327525</v>
      </c>
      <c r="O107" s="7"/>
      <c r="P107" s="7"/>
      <c r="Q107" s="22"/>
      <c r="R107" s="170"/>
      <c r="S107" s="213">
        <f t="shared" si="36"/>
        <v>1</v>
      </c>
      <c r="T107" s="195" t="str">
        <f t="shared" si="3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8"/>
        <v>https://d0f6bd738d7f1b3e5a7ca70fe4ff75f0.us-east-1.aws.found.io/app/kibana#/discover/Steve-Slow-Train-Analysis-(2080s-and-2083s)?_g=(refreshInterval:(display:Off,pause:!f,section:0,value:0),time:(from:'2017-07-21T15:21:20-0600',mode:absolute,to:'2017-07-21T18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97" t="str">
        <f>IF(AA107&lt;VLOOKUP(AG107,Variables!$AC$3:$AD$8,2,FALSE),"Y","N")</f>
        <v>N</v>
      </c>
      <c r="X107" s="197">
        <f t="shared" si="51"/>
        <v>1</v>
      </c>
      <c r="Y107" s="197">
        <f t="shared" si="49"/>
        <v>23.307600000000001</v>
      </c>
      <c r="Z107" s="197">
        <f t="shared" si="50"/>
        <v>1.34E-2</v>
      </c>
      <c r="AA107" s="197">
        <f t="shared" si="39"/>
        <v>23.2942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0"/>
        <v>196</v>
      </c>
      <c r="AE107" s="77" t="str">
        <f t="shared" si="4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107" s="74" t="str">
        <f t="shared" si="42"/>
        <v>"C:\Program Files (x86)\AstroGrep\AstroGrep.exe" /e /r /s /spath="%USERPROFILE%\AppData\Local\Temp\OnboardLogs" /stypes="app*4031*20170721*" /stext=" 23:.+((SYSTEM_STATE.+slice.+state.+changed )|(ment ac)|(multiple cpu faults)|(system.+state.+changed )|(\[timeout)|(PRM\|1\|D)|(kpr)|(kdp)|(train st.+moving)|(\|lc)|(penalty))"</v>
      </c>
      <c r="AG107" s="209" t="str">
        <f t="shared" si="43"/>
        <v>EC</v>
      </c>
      <c r="AH107" s="78" t="str">
        <f t="shared" si="44"/>
        <v>"%USERPROFILE%\Documents\GitHub\eaglep3\Utilities\RefineRTDCRunTimes.py" --tripid 196-21 --locoid 4031 --swversion DE.1.0.9.0 --startMP 204:233076 --initTime 2017-07-21T16:21:20 --startdatetime 2017-07-21T16:27:15 --delay 1 --endMP 204:134 --enddatetime 2017-07-21T17:06:07 --enforcementcount 0 &gt;&gt;C:\Users\stu\Documents\GitHub\eaglep3-reporting\EC\2017-07-21-refined-times.txt</v>
      </c>
      <c r="AI107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{"issue":{"subject":"","project_id":79,"tracker_id":40,"status_id":1,"priority_id":2,"assigned_to_id":23,"start_date":"2017-07-21","description":"","custom_fields":[{"id":1,"name":"Subdivision","value":"EC"},{"id":4,"name":"Milepost","value":"0.0134"},{"id":17,"name":"Train ID","value":"196-21"},{"id":16,"name":"Locomotive ID","value":"4031"},{"id":130,"name":"Impact","value":""},{"id":150,"name":"Time of Event (Mountain Time)","value":"17:06:07"},{"id":151,"name":"Denver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6"/>
        <v>start /low /b %USERPROFILE%\Documents\GitHub\eaglep3\Utilities\DownloadLogsFromS3.py --loco 4031 --day 2017-07-21</v>
      </c>
      <c r="AN107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642</v>
      </c>
      <c r="B108" s="7">
        <v>4026</v>
      </c>
      <c r="C108" s="21" t="s">
        <v>198</v>
      </c>
      <c r="D108" s="21" t="s">
        <v>913</v>
      </c>
      <c r="E108" s="13">
        <v>42937.663113425922</v>
      </c>
      <c r="F108" s="13">
        <v>42937.668171296296</v>
      </c>
      <c r="G108" s="7">
        <v>1</v>
      </c>
      <c r="H108" s="21" t="s">
        <v>914</v>
      </c>
      <c r="I108" s="13">
        <v>42937.68377314815</v>
      </c>
      <c r="J108" s="7">
        <v>0</v>
      </c>
      <c r="K108" s="89" t="str">
        <f t="shared" si="34"/>
        <v>4025/4026</v>
      </c>
      <c r="L108" s="21" t="str">
        <f>VLOOKUP(A108,'Trips&amp;Operators'!$C$1:$G$99999,5,FALSE)</f>
        <v>LEVIN SCOTT</v>
      </c>
      <c r="M108" s="6">
        <f t="shared" si="35"/>
        <v>1.5601851853716653E-2</v>
      </c>
      <c r="N108" s="7"/>
      <c r="O108" s="7"/>
      <c r="P108" s="7"/>
      <c r="Q108" s="22"/>
      <c r="R108" s="170"/>
      <c r="S108" s="213"/>
      <c r="T108" s="195" t="str">
        <f t="shared" si="3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196" t="str">
        <f t="shared" si="38"/>
        <v>https://d0f6bd738d7f1b3e5a7ca70fe4ff75f0.us-east-1.aws.found.io/app/kibana#/discover/Steve-Slow-Train-Analysis-(2080s-and-2083s)?_g=(refreshInterval:(display:Off,pause:!f,section:0,value:0),time:(from:'2017-07-21T14:54:53-0600',mode:absolute,to:'2017-07-21T17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197" t="str">
        <f>IF(AA108&lt;VLOOKUP(AG108,Variables!$AC$3:$AD$8,2,FALSE),"Y","N")</f>
        <v>Y</v>
      </c>
      <c r="X108" s="197">
        <f t="shared" si="51"/>
        <v>1</v>
      </c>
      <c r="Y108" s="197">
        <f t="shared" si="49"/>
        <v>3.7193000000000001</v>
      </c>
      <c r="Z108" s="197">
        <f t="shared" si="50"/>
        <v>3.8887</v>
      </c>
      <c r="AA108" s="197">
        <f t="shared" si="39"/>
        <v>0.1694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0"/>
        <v>197</v>
      </c>
      <c r="AE108" s="77" t="str">
        <f t="shared" si="4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108" s="74" t="str">
        <f t="shared" si="42"/>
        <v>"C:\Program Files (x86)\AstroGrep\AstroGrep.exe" /e /r /s /spath="%USERPROFILE%\AppData\Local\Temp\OnboardLogs" /stypes="app*4026*20170721*" /stext=" 22:.+((SYSTEM_STATE.+slice.+state.+changed )|(ment ac)|(multiple cpu faults)|(system.+state.+changed )|(\[timeout)|(PRM\|1\|D)|(kpr)|(kdp)|(train st.+moving)|(\|lc)|(penalty))"</v>
      </c>
      <c r="AG108" s="209" t="str">
        <f t="shared" si="43"/>
        <v>EC</v>
      </c>
      <c r="AH108" s="78" t="str">
        <f t="shared" si="44"/>
        <v>"%USERPROFILE%\Documents\GitHub\eaglep3\Utilities\RefineRTDCRunTimes.py" --tripid 197-21 --locoid 4026 --swversion DE.1.0.9.0 --startMP 204:37193 --initTime 2017-07-21T15:54:53 --startdatetime 2017-07-21T16:02:10 --delay 1 --endMP 204:38887 --enddatetime 2017-07-21T16:24:38 --enforcementcount 0 &gt;&gt;C:\Users\stu\Documents\GitHub\eaglep3-reporting\EC\2017-07-21-refined-times.txt</v>
      </c>
      <c r="AI108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{"issue":{"subject":"","project_id":79,"tracker_id":40,"status_id":1,"priority_id":2,"assigned_to_id":23,"start_date":"2017-07-21","description":"","custom_fields":[{"id":1,"name":"Subdivision","value":"EC"},{"id":4,"name":"Milepost","value":"3.8887"},{"id":17,"name":"Train ID","value":"197-21"},{"id":16,"name":"Locomotive ID","value":"4026"},{"id":130,"name":"Impact","value":""},{"id":150,"name":"Time of Event (Mountain Time)","value":"16:24:38"},{"id":151,"name":"Denver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6"/>
        <v>start /low /b %USERPROFILE%\Documents\GitHub\eaglep3\Utilities\DownloadLogsFromS3.py --loco 4026 --day 2017-07-21</v>
      </c>
      <c r="AN108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642</v>
      </c>
      <c r="B109" s="7">
        <v>4026</v>
      </c>
      <c r="C109" s="21" t="s">
        <v>198</v>
      </c>
      <c r="D109" s="21" t="s">
        <v>377</v>
      </c>
      <c r="E109" s="13">
        <v>42937.653645833336</v>
      </c>
      <c r="F109" s="13">
        <v>42937.668171296296</v>
      </c>
      <c r="G109" s="7">
        <v>1</v>
      </c>
      <c r="H109" s="21" t="s">
        <v>914</v>
      </c>
      <c r="I109" s="13">
        <v>42937.68377314815</v>
      </c>
      <c r="J109" s="7">
        <v>0</v>
      </c>
      <c r="K109" s="89" t="str">
        <f t="shared" si="34"/>
        <v>4025/4026</v>
      </c>
      <c r="L109" s="21" t="str">
        <f>VLOOKUP(A109,'Trips&amp;Operators'!$C$1:$G$99999,5,FALSE)</f>
        <v>LEVIN SCOTT</v>
      </c>
      <c r="M109" s="6">
        <f t="shared" si="35"/>
        <v>1.5601851853716653E-2</v>
      </c>
      <c r="N109" s="7"/>
      <c r="O109" s="7"/>
      <c r="P109" s="7"/>
      <c r="Q109" s="22"/>
      <c r="R109" s="170"/>
      <c r="S109" s="213"/>
      <c r="T109" s="195" t="str">
        <f t="shared" si="37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196" t="str">
        <f t="shared" si="38"/>
        <v>https://d0f6bd738d7f1b3e5a7ca70fe4ff75f0.us-east-1.aws.found.io/app/kibana#/discover/Steve-Slow-Train-Analysis-(2080s-and-2083s)?_g=(refreshInterval:(display:Off,pause:!f,section:0,value:0),time:(from:'2017-07-21T14:41:15-0600',mode:absolute,to:'2017-07-21T17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197" t="str">
        <f>IF(AA109&lt;VLOOKUP(AG109,Variables!$AC$3:$AD$8,2,FALSE),"Y","N")</f>
        <v>Y</v>
      </c>
      <c r="X109" s="197">
        <f t="shared" si="51"/>
        <v>0</v>
      </c>
      <c r="Y109" s="197">
        <f t="shared" si="49"/>
        <v>4.6199999999999998E-2</v>
      </c>
      <c r="Z109" s="197">
        <f t="shared" si="50"/>
        <v>3.8887</v>
      </c>
      <c r="AA109" s="197">
        <f t="shared" si="39"/>
        <v>3.8425000000000002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0"/>
        <v>197</v>
      </c>
      <c r="AE109" s="77" t="str">
        <f t="shared" si="4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109" s="74" t="str">
        <f t="shared" si="42"/>
        <v>"C:\Program Files (x86)\AstroGrep\AstroGrep.exe" /e /r /s /spath="%USERPROFILE%\AppData\Local\Temp\OnboardLogs" /stypes="app*4026*20170721*" /stext=" 22:.+((SYSTEM_STATE.+slice.+state.+changed )|(ment ac)|(multiple cpu faults)|(system.+state.+changed )|(\[timeout)|(PRM\|1\|D)|(kpr)|(kdp)|(train st.+moving)|(\|lc)|(penalty))"</v>
      </c>
      <c r="AG109" s="209" t="str">
        <f t="shared" si="43"/>
        <v>EC</v>
      </c>
      <c r="AH109" s="78" t="str">
        <f t="shared" si="44"/>
        <v>"%USERPROFILE%\Documents\GitHub\eaglep3\Utilities\RefineRTDCRunTimes.py" --tripid 197-21 --locoid 4026 --swversion DE.1.0.9.0 --startMP 204:462 --initTime 2017-07-21T15:41:15 --startdatetime 2017-07-21T16:02:10 --delay 1 --endMP 204:38887 --enddatetime 2017-07-21T16:24:38 --enforcementcount 0 &gt;&gt;C:\Users\stu\Documents\GitHub\eaglep3-reporting\EC\2017-07-21-refined-times.txt</v>
      </c>
      <c r="AI109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{"issue":{"subject":"","project_id":79,"tracker_id":40,"status_id":1,"priority_id":2,"assigned_to_id":23,"start_date":"2017-07-21","description":"","custom_fields":[{"id":1,"name":"Subdivision","value":"EC"},{"id":4,"name":"Milepost","value":"3.8887"},{"id":17,"name":"Train ID","value":"197-21"},{"id":16,"name":"Locomotive ID","value":"4026"},{"id":130,"name":"Impact","value":""},{"id":150,"name":"Time of Event (Mountain Time)","value":"16:24:38"},{"id":151,"name":"Denver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6"/>
        <v>start /low /b %USERPROFILE%\Documents\GitHub\eaglep3\Utilities\DownloadLogsFromS3.py --loco 4026 --day 2017-07-21</v>
      </c>
      <c r="AN109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642</v>
      </c>
      <c r="B110" s="7">
        <v>4026</v>
      </c>
      <c r="C110" s="21" t="s">
        <v>198</v>
      </c>
      <c r="D110" s="21" t="s">
        <v>915</v>
      </c>
      <c r="E110" s="13">
        <v>42937.667407407411</v>
      </c>
      <c r="F110" s="13">
        <v>42937.668171296296</v>
      </c>
      <c r="G110" s="7">
        <v>0</v>
      </c>
      <c r="H110" s="21" t="s">
        <v>878</v>
      </c>
      <c r="I110" s="13">
        <v>42937.68377314815</v>
      </c>
      <c r="J110" s="7">
        <v>0</v>
      </c>
      <c r="K110" s="89" t="str">
        <f t="shared" si="34"/>
        <v>4025/4026</v>
      </c>
      <c r="L110" s="21" t="str">
        <f>VLOOKUP(A110,'Trips&amp;Operators'!$C$1:$G$99999,5,FALSE)</f>
        <v>LEVIN SCOTT</v>
      </c>
      <c r="M110" s="6">
        <f t="shared" si="35"/>
        <v>1.5601851853716653E-2</v>
      </c>
      <c r="N110" s="7"/>
      <c r="O110" s="7"/>
      <c r="P110" s="7">
        <f>24*60*SUM($M110:$M110)</f>
        <v>22.46666666935198</v>
      </c>
      <c r="Q110" s="22"/>
      <c r="R110" s="170" t="s">
        <v>1044</v>
      </c>
      <c r="S110" s="213">
        <f t="shared" ref="S110:S132" si="52">1/IF(AG110="EC",12,1)*SUM(U110:U110)</f>
        <v>0.25</v>
      </c>
      <c r="T110" s="195" t="str">
        <f t="shared" si="3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3</v>
      </c>
      <c r="V110" s="196" t="str">
        <f t="shared" si="38"/>
        <v>https://d0f6bd738d7f1b3e5a7ca70fe4ff75f0.us-east-1.aws.found.io/app/kibana#/discover/Steve-Slow-Train-Analysis-(2080s-and-2083s)?_g=(refreshInterval:(display:Off,pause:!f,section:0,value:0),time:(from:'2017-07-21T15:01:04-0600',mode:absolute,to:'2017-07-21T17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0" s="197" t="str">
        <f>IF(AA110&lt;VLOOKUP(AG110,Variables!$AC$3:$AD$8,2,FALSE),"Y","N")</f>
        <v>Y</v>
      </c>
      <c r="X110" s="197">
        <f t="shared" si="51"/>
        <v>0</v>
      </c>
      <c r="Y110" s="197">
        <f t="shared" si="49"/>
        <v>6.4729999999999999</v>
      </c>
      <c r="Z110" s="197">
        <f t="shared" si="50"/>
        <v>23.331199999999999</v>
      </c>
      <c r="AA110" s="197">
        <f t="shared" si="39"/>
        <v>16.8582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0"/>
        <v>197</v>
      </c>
      <c r="AE110" s="77" t="str">
        <f t="shared" si="4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110" s="74" t="str">
        <f t="shared" si="42"/>
        <v>"C:\Program Files (x86)\AstroGrep\AstroGrep.exe" /e /r /s /spath="%USERPROFILE%\AppData\Local\Temp\OnboardLogs" /stypes="app*4026*20170721*" /stext=" 22:.+((SYSTEM_STATE.+slice.+state.+changed )|(ment ac)|(multiple cpu faults)|(system.+state.+changed )|(\[timeout)|(PRM\|1\|D)|(kpr)|(kdp)|(train st.+moving)|(\|lc)|(penalty))"</v>
      </c>
      <c r="AG110" s="209" t="str">
        <f t="shared" si="43"/>
        <v>EC</v>
      </c>
      <c r="AH110" s="78" t="str">
        <f t="shared" si="44"/>
        <v>"%USERPROFILE%\Documents\GitHub\eaglep3\Utilities\RefineRTDCRunTimes.py" --tripid 197-21 --locoid 4026 --swversion DE.1.0.9.0 --startMP 204:64730 --initTime 2017-07-21T16:01:04 --startdatetime 2017-07-21T16:02:10 --delay 0 --endMP 204:233312 --enddatetime 2017-07-21T16:24:38 --enforcementcount 0 &gt;&gt;C:\Users\stu\Documents\GitHub\eaglep3-reporting\EC\2017-07-21-refined-times.txt</v>
      </c>
      <c r="AI110" s="96" t="str">
        <f t="shared" si="45"/>
        <v>echo {"issue":{"subject":"Onboard in-route failure, then enforced for mid-block init","project_id":79,"tracker_id":40,"status_id":1,"priority_id":2,"assigned_to_id":23,"start_date":"2017-07-21","description":"","custom_fields":[{"id":1,"name":"Subdivision","value":"EC"},{"id":4,"name":"Milepost","value":"23.3312"},{"id":17,"name":"Train ID","value":"197-21"},{"id":16,"name":"Locomotive ID","value":"4026"},{"id":130,"name":"Impact","value":""},{"id":150,"name":"Time of Event (Mountain Time)","value":"16:24:38"},{"id":151,"name":"Denver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6"/>
        <v>start /low /b %USERPROFILE%\Documents\GitHub\eaglep3\Utilities\DownloadLogsFromS3.py --loco 4026 --day 2017-07-21</v>
      </c>
      <c r="AN110" s="151" t="str">
        <f t="shared" si="47"/>
        <v>echo {"issue":{"subject":"Onboard in-route failure, then enforced for mid-block init","project_id":30,"tracker_id":4,"status_id":1,"priority_id":1,"assigned_to_id":10,"start_date":"2017-07-21","description":"","custom_fields":[{"id":30,"name":"Category","value":"Issue"},{"id":3,"name":"Functional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644</v>
      </c>
      <c r="B111" s="7">
        <v>4025</v>
      </c>
      <c r="C111" s="21" t="s">
        <v>198</v>
      </c>
      <c r="D111" s="21" t="s">
        <v>509</v>
      </c>
      <c r="E111" s="13">
        <v>42937.693738425929</v>
      </c>
      <c r="F111" s="13">
        <v>42937.696018518516</v>
      </c>
      <c r="G111" s="7">
        <v>1</v>
      </c>
      <c r="H111" s="21" t="s">
        <v>482</v>
      </c>
      <c r="I111" s="13">
        <v>42937.722071759257</v>
      </c>
      <c r="J111" s="7">
        <v>0</v>
      </c>
      <c r="K111" s="89" t="str">
        <f t="shared" si="34"/>
        <v>4025/4026</v>
      </c>
      <c r="L111" s="21" t="str">
        <f>VLOOKUP(A111,'Trips&amp;Operators'!$C$1:$G$99999,5,FALSE)</f>
        <v>LEVIN SCOTT</v>
      </c>
      <c r="M111" s="6">
        <f t="shared" si="35"/>
        <v>2.6053240741021E-2</v>
      </c>
      <c r="N111" s="7">
        <f t="shared" ref="N111:N132" si="53">24*60*SUM($M111:$M111)</f>
        <v>37.51666666707024</v>
      </c>
      <c r="O111" s="7"/>
      <c r="P111" s="7"/>
      <c r="Q111" s="22"/>
      <c r="R111" s="170"/>
      <c r="S111" s="213">
        <f t="shared" si="52"/>
        <v>1</v>
      </c>
      <c r="T111" s="195" t="str">
        <f t="shared" si="3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8"/>
        <v>https://d0f6bd738d7f1b3e5a7ca70fe4ff75f0.us-east-1.aws.found.io/app/kibana#/discover/Steve-Slow-Train-Analysis-(2080s-and-2083s)?_g=(refreshInterval:(display:Off,pause:!f,section:0,value:0),time:(from:'2017-07-21T15:38:59-0600',mode:absolute,to:'2017-07-21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1" s="197" t="str">
        <f>IF(AA111&lt;VLOOKUP(AG111,Variables!$AC$3:$AD$8,2,FALSE),"Y","N")</f>
        <v>N</v>
      </c>
      <c r="X111" s="197">
        <f t="shared" si="51"/>
        <v>1</v>
      </c>
      <c r="Y111" s="197">
        <f t="shared" si="49"/>
        <v>23.301500000000001</v>
      </c>
      <c r="Z111" s="197">
        <f t="shared" si="50"/>
        <v>1.34E-2</v>
      </c>
      <c r="AA111" s="197">
        <f t="shared" si="39"/>
        <v>23.2881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0"/>
        <v>198</v>
      </c>
      <c r="AE111" s="77" t="str">
        <f t="shared" si="4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111" s="74" t="str">
        <f t="shared" si="42"/>
        <v>"C:\Program Files (x86)\AstroGrep\AstroGrep.exe" /e /r /s /spath="%USERPROFILE%\AppData\Local\Temp\OnboardLogs" /stypes="app*4025*20170721*" /stext=" 23:.+((SYSTEM_STATE.+slice.+state.+changed )|(ment ac)|(multiple cpu faults)|(system.+state.+changed )|(\[timeout)|(PRM\|1\|D)|(kpr)|(kdp)|(train st.+moving)|(\|lc)|(penalty))"</v>
      </c>
      <c r="AG111" s="209" t="str">
        <f t="shared" si="43"/>
        <v>EC</v>
      </c>
      <c r="AH111" s="78" t="str">
        <f t="shared" si="44"/>
        <v>"%USERPROFILE%\Documents\GitHub\eaglep3\Utilities\RefineRTDCRunTimes.py" --tripid 198-21 --locoid 4025 --swversion DE.1.0.9.0 --startMP 204:233015 --initTime 2017-07-21T16:38:59 --startdatetime 2017-07-21T16:42:16 --delay 1 --endMP 204:134 --enddatetime 2017-07-21T17:19:47 --enforcementcount 0 &gt;&gt;C:\Users\stu\Documents\GitHub\eaglep3-reporting\EC\2017-07-21-refined-times.txt</v>
      </c>
      <c r="AI11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{"issue":{"subject":"","project_id":79,"tracker_id":40,"status_id":1,"priority_id":2,"assigned_to_id":23,"start_date":"2017-07-21","description":"","custom_fields":[{"id":1,"name":"Subdivision","value":"EC"},{"id":4,"name":"Milepost","value":"0.0134"},{"id":17,"name":"Train ID","value":"198-21"},{"id":16,"name":"Locomotive ID","value":"4025"},{"id":130,"name":"Impact","value":""},{"id":150,"name":"Time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6"/>
        <v>start /low /b %USERPROFILE%\Documents\GitHub\eaglep3\Utilities\DownloadLogsFromS3.py --loco 4025 --day 2017-07-21</v>
      </c>
      <c r="AN111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789</v>
      </c>
      <c r="B112" s="7">
        <v>4054</v>
      </c>
      <c r="C112" s="21" t="s">
        <v>198</v>
      </c>
      <c r="D112" s="21" t="s">
        <v>347</v>
      </c>
      <c r="E112" s="13">
        <v>42937.661504629628</v>
      </c>
      <c r="F112" s="13">
        <v>42937.667164351849</v>
      </c>
      <c r="G112" s="7">
        <v>1</v>
      </c>
      <c r="H112" s="21" t="s">
        <v>916</v>
      </c>
      <c r="I112" s="13">
        <v>42937.692349537036</v>
      </c>
      <c r="J112" s="7">
        <v>0</v>
      </c>
      <c r="K112" s="89" t="str">
        <f t="shared" si="34"/>
        <v>4053/4054</v>
      </c>
      <c r="L112" s="21" t="str">
        <f>VLOOKUP(A112,'Trips&amp;Operators'!$C$1:$G$99999,5,FALSE)</f>
        <v>SULLIVAN BRANDON</v>
      </c>
      <c r="M112" s="6">
        <f t="shared" si="35"/>
        <v>2.5185185186273884E-2</v>
      </c>
      <c r="N112" s="7">
        <f t="shared" si="53"/>
        <v>36.266666668234393</v>
      </c>
      <c r="O112" s="7"/>
      <c r="P112" s="7"/>
      <c r="Q112" s="22"/>
      <c r="R112" s="170"/>
      <c r="S112" s="213">
        <f t="shared" si="52"/>
        <v>1</v>
      </c>
      <c r="T112" s="195" t="str">
        <f t="shared" si="3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8"/>
        <v>https://d0f6bd738d7f1b3e5a7ca70fe4ff75f0.us-east-1.aws.found.io/app/kibana#/discover/Steve-Slow-Train-Analysis-(2080s-and-2083s)?_g=(refreshInterval:(display:Off,pause:!f,section:0,value:0),time:(from:'2017-07-21T14:52:34-0600',mode:absolute,to:'2017-07-21T17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2" s="197" t="str">
        <f>IF(AA112&lt;VLOOKUP(AG112,Variables!$AC$3:$AD$8,2,FALSE),"Y","N")</f>
        <v>N</v>
      </c>
      <c r="X112" s="197">
        <f t="shared" si="51"/>
        <v>1</v>
      </c>
      <c r="Y112" s="197">
        <f t="shared" si="49"/>
        <v>4.4699999999999997E-2</v>
      </c>
      <c r="Z112" s="197">
        <f t="shared" si="50"/>
        <v>23.334700000000002</v>
      </c>
      <c r="AA112" s="197">
        <f t="shared" si="39"/>
        <v>23.290000000000003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0"/>
        <v>199</v>
      </c>
      <c r="AE112" s="77" t="str">
        <f t="shared" si="4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112" s="74" t="str">
        <f t="shared" si="42"/>
        <v>"C:\Program Files (x86)\AstroGrep\AstroGrep.exe" /e /r /s /spath="%USERPROFILE%\AppData\Local\Temp\OnboardLogs" /stypes="app*4054*20170721*" /stext=" 22:.+((SYSTEM_STATE.+slice.+state.+changed )|(ment ac)|(multiple cpu faults)|(system.+state.+changed )|(\[timeout)|(PRM\|1\|D)|(kpr)|(kdp)|(train st.+moving)|(\|lc)|(penalty))"</v>
      </c>
      <c r="AG112" s="209" t="str">
        <f t="shared" si="43"/>
        <v>EC</v>
      </c>
      <c r="AH112" s="78" t="str">
        <f t="shared" si="44"/>
        <v>"%USERPROFILE%\Documents\GitHub\eaglep3\Utilities\RefineRTDCRunTimes.py" --tripid 199-21 --locoid 4054 --swversion DE.1.0.9.0 --startMP 204:447 --initTime 2017-07-21T15:52:34 --startdatetime 2017-07-21T16:00:43 --delay 1 --endMP 204:233347 --enddatetime 2017-07-21T16:36:59 --enforcementcount 0 &gt;&gt;C:\Users\stu\Documents\GitHub\eaglep3-reporting\EC\2017-07-21-refined-times.txt</v>
      </c>
      <c r="AI11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{"issue":{"subject":"","project_id":79,"tracker_id":40,"status_id":1,"priority_id":2,"assigned_to_id":23,"start_date":"2017-07-21","description":"","custom_fields":[{"id":1,"name":"Subdivision","value":"EC"},{"id":4,"name":"Milepost","value":"23.3347"},{"id":17,"name":"Train ID","value":"199-21"},{"id":16,"name":"Locomotive ID","value":"4054"},{"id":130,"name":"Impact","value":""},{"id":150,"name":"Time of Event (Mountain Time)","value":"16:36:59"},{"id":151,"name":"Denver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6"/>
        <v>start /low /b %USERPROFILE%\Documents\GitHub\eaglep3\Utilities\DownloadLogsFromS3.py --loco 4054 --day 2017-07-21</v>
      </c>
      <c r="AN112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801</v>
      </c>
      <c r="B113" s="7">
        <v>4053</v>
      </c>
      <c r="C113" s="21" t="s">
        <v>198</v>
      </c>
      <c r="D113" s="21" t="s">
        <v>917</v>
      </c>
      <c r="E113" s="13">
        <v>42937.7</v>
      </c>
      <c r="F113" s="13">
        <v>42937.706377314818</v>
      </c>
      <c r="G113" s="7">
        <v>1</v>
      </c>
      <c r="H113" s="21" t="s">
        <v>383</v>
      </c>
      <c r="I113" s="13">
        <v>42937.734236111108</v>
      </c>
      <c r="J113" s="7">
        <v>0</v>
      </c>
      <c r="K113" s="89" t="str">
        <f t="shared" si="34"/>
        <v>4053/4054</v>
      </c>
      <c r="L113" s="21" t="str">
        <f>VLOOKUP(A113,'Trips&amp;Operators'!$C$1:$G$99999,5,FALSE)</f>
        <v>SULLIVAN BRANDON</v>
      </c>
      <c r="M113" s="6">
        <f t="shared" si="35"/>
        <v>2.7858796289365273E-2</v>
      </c>
      <c r="N113" s="7">
        <f t="shared" si="53"/>
        <v>40.116666656685993</v>
      </c>
      <c r="O113" s="7"/>
      <c r="P113" s="7"/>
      <c r="Q113" s="22"/>
      <c r="R113" s="170"/>
      <c r="S113" s="213">
        <f t="shared" si="52"/>
        <v>1</v>
      </c>
      <c r="T113" s="195" t="str">
        <f t="shared" si="3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8"/>
        <v>https://d0f6bd738d7f1b3e5a7ca70fe4ff75f0.us-east-1.aws.found.io/app/kibana#/discover/Steve-Slow-Train-Analysis-(2080s-and-2083s)?_g=(refreshInterval:(display:Off,pause:!f,section:0,value:0),time:(from:'2017-07-21T15:48:00-0600',mode:absolute,to:'2017-07-21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3" s="197" t="str">
        <f>IF(AA113&lt;VLOOKUP(AG113,Variables!$AC$3:$AD$8,2,FALSE),"Y","N")</f>
        <v>N</v>
      </c>
      <c r="X113" s="197">
        <f t="shared" si="51"/>
        <v>1</v>
      </c>
      <c r="Y113" s="197">
        <f t="shared" si="49"/>
        <v>23.304500000000001</v>
      </c>
      <c r="Z113" s="197">
        <f t="shared" si="50"/>
        <v>1.4500000000000001E-2</v>
      </c>
      <c r="AA113" s="197">
        <f t="shared" si="39"/>
        <v>23.29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0"/>
        <v>200</v>
      </c>
      <c r="AE113" s="77" t="str">
        <f t="shared" si="4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113" s="74" t="str">
        <f t="shared" si="42"/>
        <v>"C:\Program Files (x86)\AstroGrep\AstroGrep.exe" /e /r /s /spath="%USERPROFILE%\AppData\Local\Temp\OnboardLogs" /stypes="app*4053*20170721*" /stext=" 23:.+((SYSTEM_STATE.+slice.+state.+changed )|(ment ac)|(multiple cpu faults)|(system.+state.+changed )|(\[timeout)|(PRM\|1\|D)|(kpr)|(kdp)|(train st.+moving)|(\|lc)|(penalty))"</v>
      </c>
      <c r="AG113" s="209" t="str">
        <f t="shared" si="43"/>
        <v>EC</v>
      </c>
      <c r="AH113" s="78" t="str">
        <f t="shared" si="44"/>
        <v>"%USERPROFILE%\Documents\GitHub\eaglep3\Utilities\RefineRTDCRunTimes.py" --tripid 200-21 --locoid 4053 --swversion DE.1.0.9.0 --startMP 204:233045 --initTime 2017-07-21T16:48:00 --startdatetime 2017-07-21T16:57:11 --delay 1 --endMP 204:145 --enddatetime 2017-07-21T17:37:18 --enforcementcount 0 &gt;&gt;C:\Users\stu\Documents\GitHub\eaglep3-reporting\EC\2017-07-21-refined-times.txt</v>
      </c>
      <c r="AI113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{"issue":{"subject":"","project_id":79,"tracker_id":40,"status_id":1,"priority_id":2,"assigned_to_id":23,"start_date":"2017-07-21","description":"","custom_fields":[{"id":1,"name":"Subdivision","value":"EC"},{"id":4,"name":"Milepost","value":"0.0145"},{"id":17,"name":"Train ID","value":"200-21"},{"id":16,"name":"Locomotive ID","value":"4053"},{"id":130,"name":"Impact","value":""},{"id":150,"name":"Time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6"/>
        <v>start /low /b %USERPROFILE%\Documents\GitHub\eaglep3\Utilities\DownloadLogsFromS3.py --loco 4053 --day 2017-07-21</v>
      </c>
      <c r="AN113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793</v>
      </c>
      <c r="B114" s="7">
        <v>4058</v>
      </c>
      <c r="C114" s="21" t="s">
        <v>198</v>
      </c>
      <c r="D114" s="21" t="s">
        <v>918</v>
      </c>
      <c r="E114" s="13">
        <v>42937.673032407409</v>
      </c>
      <c r="F114" s="13">
        <v>42937.677627314813</v>
      </c>
      <c r="G114" s="7">
        <v>1</v>
      </c>
      <c r="H114" s="21" t="s">
        <v>480</v>
      </c>
      <c r="I114" s="13">
        <v>42937.703611111108</v>
      </c>
      <c r="J114" s="7">
        <v>0</v>
      </c>
      <c r="K114" s="89" t="str">
        <f t="shared" si="34"/>
        <v>4057/4058</v>
      </c>
      <c r="L114" s="21" t="str">
        <f>VLOOKUP(A114,'Trips&amp;Operators'!$C$1:$G$99999,5,FALSE)</f>
        <v>ELBAUM MIKE</v>
      </c>
      <c r="M114" s="6">
        <f t="shared" si="35"/>
        <v>2.5983796294895001E-2</v>
      </c>
      <c r="N114" s="7">
        <f t="shared" si="53"/>
        <v>37.416666664648801</v>
      </c>
      <c r="O114" s="7"/>
      <c r="P114" s="7"/>
      <c r="Q114" s="22"/>
      <c r="R114" s="170"/>
      <c r="S114" s="213">
        <f t="shared" si="52"/>
        <v>1</v>
      </c>
      <c r="T114" s="195" t="str">
        <f t="shared" si="3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8"/>
        <v>https://d0f6bd738d7f1b3e5a7ca70fe4ff75f0.us-east-1.aws.found.io/app/kibana#/discover/Steve-Slow-Train-Analysis-(2080s-and-2083s)?_g=(refreshInterval:(display:Off,pause:!f,section:0,value:0),time:(from:'2017-07-21T15:09:10-0600',mode:absolute,to:'2017-07-21T17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4" s="197" t="str">
        <f>IF(AA114&lt;VLOOKUP(AG114,Variables!$AC$3:$AD$8,2,FALSE),"Y","N")</f>
        <v>N</v>
      </c>
      <c r="X114" s="197">
        <f t="shared" si="51"/>
        <v>1</v>
      </c>
      <c r="Y114" s="197">
        <f t="shared" si="49"/>
        <v>4.2200000000000001E-2</v>
      </c>
      <c r="Z114" s="197">
        <f t="shared" si="50"/>
        <v>23.328800000000001</v>
      </c>
      <c r="AA114" s="197">
        <f t="shared" si="39"/>
        <v>23.2866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0"/>
        <v>201</v>
      </c>
      <c r="AE114" s="77" t="str">
        <f t="shared" si="4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114" s="74" t="str">
        <f t="shared" si="42"/>
        <v>"C:\Program Files (x86)\AstroGrep\AstroGrep.exe" /e /r /s /spath="%USERPROFILE%\AppData\Local\Temp\OnboardLogs" /stypes="app*4058*20170721*" /stext=" 22:.+((SYSTEM_STATE.+slice.+state.+changed )|(ment ac)|(multiple cpu faults)|(system.+state.+changed )|(\[timeout)|(PRM\|1\|D)|(kpr)|(kdp)|(train st.+moving)|(\|lc)|(penalty))"</v>
      </c>
      <c r="AG114" s="209" t="str">
        <f t="shared" si="43"/>
        <v>EC</v>
      </c>
      <c r="AH114" s="78" t="str">
        <f t="shared" si="44"/>
        <v>"%USERPROFILE%\Documents\GitHub\eaglep3\Utilities\RefineRTDCRunTimes.py" --tripid 201-21 --locoid 4058 --swversion DE.1.0.9.0 --startMP 204:422 --initTime 2017-07-21T16:09:10 --startdatetime 2017-07-21T16:15:47 --delay 1 --endMP 204:233288 --enddatetime 2017-07-21T16:53:12 --enforcementcount 0 &gt;&gt;C:\Users\stu\Documents\GitHub\eaglep3-reporting\EC\2017-07-21-refined-times.txt</v>
      </c>
      <c r="AI114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{"issue":{"subject":"","project_id":79,"tracker_id":40,"status_id":1,"priority_id":2,"assigned_to_id":23,"start_date":"2017-07-21","description":"","custom_fields":[{"id":1,"name":"Subdivision","value":"EC"},{"id":4,"name":"Milepost","value":"23.3288"},{"id":17,"name":"Train ID","value":"201-21"},{"id":16,"name":"Locomotive ID","value":"4058"},{"id":130,"name":"Impact","value":""},{"id":150,"name":"Time of Event (Mountain Time)","value":"16:53:12"},{"id":151,"name":"Denver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6"/>
        <v>start /low /b %USERPROFILE%\Documents\GitHub\eaglep3\Utilities\DownloadLogsFromS3.py --loco 4058 --day 2017-07-21</v>
      </c>
      <c r="AN114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645</v>
      </c>
      <c r="B115" s="7">
        <v>4057</v>
      </c>
      <c r="C115" s="21" t="s">
        <v>198</v>
      </c>
      <c r="D115" s="21" t="s">
        <v>576</v>
      </c>
      <c r="E115" s="13">
        <v>42937.704618055555</v>
      </c>
      <c r="F115" s="13">
        <v>42937.716863425929</v>
      </c>
      <c r="G115" s="7">
        <v>1</v>
      </c>
      <c r="H115" s="21" t="s">
        <v>919</v>
      </c>
      <c r="I115" s="13">
        <v>42937.744722222225</v>
      </c>
      <c r="J115" s="7">
        <v>0</v>
      </c>
      <c r="K115" s="89" t="str">
        <f t="shared" si="34"/>
        <v>4057/4058</v>
      </c>
      <c r="L115" s="21" t="str">
        <f>VLOOKUP(A115,'Trips&amp;Operators'!$C$1:$G$99999,5,FALSE)</f>
        <v>ELBAUM MIKE</v>
      </c>
      <c r="M115" s="6">
        <f t="shared" si="35"/>
        <v>2.7858796296641231E-2</v>
      </c>
      <c r="N115" s="7">
        <f t="shared" si="53"/>
        <v>40.116666667163372</v>
      </c>
      <c r="O115" s="7"/>
      <c r="P115" s="7"/>
      <c r="Q115" s="22"/>
      <c r="R115" s="170"/>
      <c r="S115" s="213">
        <f t="shared" si="52"/>
        <v>1</v>
      </c>
      <c r="T115" s="195" t="str">
        <f t="shared" si="3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8"/>
        <v>https://d0f6bd738d7f1b3e5a7ca70fe4ff75f0.us-east-1.aws.found.io/app/kibana#/discover/Steve-Slow-Train-Analysis-(2080s-and-2083s)?_g=(refreshInterval:(display:Off,pause:!f,section:0,value:0),time:(from:'2017-07-21T15:54:39-0600',mode:absolute,to:'2017-07-21T18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5" s="197" t="str">
        <f>IF(AA115&lt;VLOOKUP(AG115,Variables!$AC$3:$AD$8,2,FALSE),"Y","N")</f>
        <v>N</v>
      </c>
      <c r="X115" s="197">
        <f t="shared" si="51"/>
        <v>1</v>
      </c>
      <c r="Y115" s="197">
        <f t="shared" si="49"/>
        <v>23.297799999999999</v>
      </c>
      <c r="Z115" s="197">
        <f t="shared" si="50"/>
        <v>1.9199999999999998E-2</v>
      </c>
      <c r="AA115" s="197">
        <f t="shared" si="39"/>
        <v>23.278599999999997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0"/>
        <v>202</v>
      </c>
      <c r="AE115" s="77" t="str">
        <f t="shared" si="4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115" s="74" t="str">
        <f t="shared" si="42"/>
        <v>"C:\Program Files (x86)\AstroGrep\AstroGrep.exe" /e /r /s /spath="%USERPROFILE%\AppData\Local\Temp\OnboardLogs" /stypes="app*4057*20170721*" /stext=" 23:.+((SYSTEM_STATE.+slice.+state.+changed )|(ment ac)|(multiple cpu faults)|(system.+state.+changed )|(\[timeout)|(PRM\|1\|D)|(kpr)|(kdp)|(train st.+moving)|(\|lc)|(penalty))"</v>
      </c>
      <c r="AG115" s="209" t="str">
        <f t="shared" si="43"/>
        <v>EC</v>
      </c>
      <c r="AH115" s="78" t="str">
        <f t="shared" si="44"/>
        <v>"%USERPROFILE%\Documents\GitHub\eaglep3\Utilities\RefineRTDCRunTimes.py" --tripid 202-21 --locoid 4057 --swversion DE.1.0.9.0 --startMP 204:232978 --initTime 2017-07-21T16:54:39 --startdatetime 2017-07-21T17:12:17 --delay 1 --endMP 204:192 --enddatetime 2017-07-21T17:52:24 --enforcementcount 0 &gt;&gt;C:\Users\stu\Documents\GitHub\eaglep3-reporting\EC\2017-07-21-refined-times.txt</v>
      </c>
      <c r="AI115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{"issue":{"subject":"","project_id":79,"tracker_id":40,"status_id":1,"priority_id":2,"assigned_to_id":23,"start_date":"2017-07-21","description":"","custom_fields":[{"id":1,"name":"Subdivision","value":"EC"},{"id":4,"name":"Milepost","value":"0.0192"},{"id":17,"name":"Train ID","value":"202-21"},{"id":16,"name":"Locomotive ID","value":"4057"},{"id":130,"name":"Impact","value":""},{"id":150,"name":"Time of Event (Mountain Time)","value":"17:52:24"},{"id":151,"name":"Denver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6"/>
        <v>start /low /b %USERPROFILE%\Documents\GitHub\eaglep3\Utilities\DownloadLogsFromS3.py --loco 4057 --day 2017-07-21</v>
      </c>
      <c r="AN115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795</v>
      </c>
      <c r="B116" s="7">
        <v>4030</v>
      </c>
      <c r="C116" s="21" t="s">
        <v>198</v>
      </c>
      <c r="D116" s="21" t="s">
        <v>581</v>
      </c>
      <c r="E116" s="13">
        <v>42937.684189814812</v>
      </c>
      <c r="F116" s="13">
        <v>42937.688020833331</v>
      </c>
      <c r="G116" s="7">
        <v>1</v>
      </c>
      <c r="H116" s="21" t="s">
        <v>529</v>
      </c>
      <c r="I116" s="13">
        <v>42937.713379629633</v>
      </c>
      <c r="J116" s="7">
        <v>0</v>
      </c>
      <c r="K116" s="89" t="str">
        <f t="shared" si="34"/>
        <v>4029/4030</v>
      </c>
      <c r="L116" s="21" t="str">
        <f>VLOOKUP(A116,'Trips&amp;Operators'!$C$1:$G$99999,5,FALSE)</f>
        <v>BERLING GARY</v>
      </c>
      <c r="M116" s="6">
        <f t="shared" si="35"/>
        <v>2.5358796301588882E-2</v>
      </c>
      <c r="N116" s="7">
        <f t="shared" si="53"/>
        <v>36.51666667428799</v>
      </c>
      <c r="O116" s="7"/>
      <c r="P116" s="7"/>
      <c r="Q116" s="22"/>
      <c r="R116" s="170"/>
      <c r="S116" s="213">
        <f t="shared" si="52"/>
        <v>1</v>
      </c>
      <c r="T116" s="195" t="str">
        <f t="shared" si="3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8"/>
        <v>https://d0f6bd738d7f1b3e5a7ca70fe4ff75f0.us-east-1.aws.found.io/app/kibana#/discover/Steve-Slow-Train-Analysis-(2080s-and-2083s)?_g=(refreshInterval:(display:Off,pause:!f,section:0,value:0),time:(from:'2017-07-21T15:25:14-0600',mode:absolute,to:'2017-07-21T18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97" t="str">
        <f>IF(AA116&lt;VLOOKUP(AG116,Variables!$AC$3:$AD$8,2,FALSE),"Y","N")</f>
        <v>N</v>
      </c>
      <c r="X116" s="197">
        <f t="shared" si="51"/>
        <v>1</v>
      </c>
      <c r="Y116" s="197">
        <f t="shared" si="49"/>
        <v>4.2700000000000002E-2</v>
      </c>
      <c r="Z116" s="197">
        <f t="shared" si="50"/>
        <v>23.3323</v>
      </c>
      <c r="AA116" s="197">
        <f t="shared" si="39"/>
        <v>23.2896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0"/>
        <v>203</v>
      </c>
      <c r="AE116" s="77" t="str">
        <f t="shared" si="4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116" s="74" t="str">
        <f t="shared" si="42"/>
        <v>"C:\Program Files (x86)\AstroGrep\AstroGrep.exe" /e /r /s /spath="%USERPROFILE%\AppData\Local\Temp\OnboardLogs" /stypes="app*4030*20170721*" /stext=" 23:.+((SYSTEM_STATE.+slice.+state.+changed )|(ment ac)|(multiple cpu faults)|(system.+state.+changed )|(\[timeout)|(PRM\|1\|D)|(kpr)|(kdp)|(train st.+moving)|(\|lc)|(penalty))"</v>
      </c>
      <c r="AG116" s="209" t="str">
        <f t="shared" si="43"/>
        <v>EC</v>
      </c>
      <c r="AH116" s="78" t="str">
        <f t="shared" si="44"/>
        <v>"%USERPROFILE%\Documents\GitHub\eaglep3\Utilities\RefineRTDCRunTimes.py" --tripid 203-21 --locoid 4030 --swversion DE.1.0.9.0 --startMP 204:427 --initTime 2017-07-21T16:25:14 --startdatetime 2017-07-21T16:30:45 --delay 1 --endMP 204:233323 --enddatetime 2017-07-21T17:07:16 --enforcementcount 0 &gt;&gt;C:\Users\stu\Documents\GitHub\eaglep3-reporting\EC\2017-07-21-refined-times.txt</v>
      </c>
      <c r="AI116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{"issue":{"subject":"","project_id":79,"tracker_id":40,"status_id":1,"priority_id":2,"assigned_to_id":23,"start_date":"2017-07-21","description":"","custom_fields":[{"id":1,"name":"Subdivision","value":"EC"},{"id":4,"name":"Milepost","value":"23.3323"},{"id":17,"name":"Train ID","value":"203-21"},{"id":16,"name":"Locomotive ID","value":"4030"},{"id":130,"name":"Impact","value":""},{"id":150,"name":"Time of Event (Mountain Time)","value":"17:07:16"},{"id":151,"name":"Denver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6"/>
        <v>start /low /b %USERPROFILE%\Documents\GitHub\eaglep3\Utilities\DownloadLogsFromS3.py --loco 4030 --day 2017-07-21</v>
      </c>
      <c r="AN116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806</v>
      </c>
      <c r="B117" s="7">
        <v>4029</v>
      </c>
      <c r="C117" s="21" t="s">
        <v>198</v>
      </c>
      <c r="D117" s="21" t="s">
        <v>920</v>
      </c>
      <c r="E117" s="13">
        <v>42937.719849537039</v>
      </c>
      <c r="F117" s="13">
        <v>42937.72724537037</v>
      </c>
      <c r="G117" s="7">
        <v>1</v>
      </c>
      <c r="H117" s="21" t="s">
        <v>562</v>
      </c>
      <c r="I117" s="13">
        <v>42937.755300925928</v>
      </c>
      <c r="J117" s="7">
        <v>0</v>
      </c>
      <c r="K117" s="89" t="str">
        <f t="shared" si="34"/>
        <v>4029/4030</v>
      </c>
      <c r="L117" s="21" t="str">
        <f>VLOOKUP(A117,'Trips&amp;Operators'!$C$1:$G$99999,5,FALSE)</f>
        <v>BERLING GARY</v>
      </c>
      <c r="M117" s="6">
        <f t="shared" si="35"/>
        <v>2.8055555558239575E-2</v>
      </c>
      <c r="N117" s="7">
        <f t="shared" si="53"/>
        <v>40.400000003864989</v>
      </c>
      <c r="O117" s="7"/>
      <c r="P117" s="7"/>
      <c r="Q117" s="22"/>
      <c r="R117" s="170"/>
      <c r="S117" s="213">
        <f t="shared" si="52"/>
        <v>1</v>
      </c>
      <c r="T117" s="195" t="str">
        <f t="shared" si="3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8"/>
        <v>https://d0f6bd738d7f1b3e5a7ca70fe4ff75f0.us-east-1.aws.found.io/app/kibana#/discover/Steve-Slow-Train-Analysis-(2080s-and-2083s)?_g=(refreshInterval:(display:Off,pause:!f,section:0,value:0),time:(from:'2017-07-21T16:16:35-0600',mode:absolute,to:'2017-07-21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97" t="str">
        <f>IF(AA117&lt;VLOOKUP(AG117,Variables!$AC$3:$AD$8,2,FALSE),"Y","N")</f>
        <v>N</v>
      </c>
      <c r="X117" s="197">
        <f t="shared" si="51"/>
        <v>1</v>
      </c>
      <c r="Y117" s="197">
        <f t="shared" si="49"/>
        <v>23.300799999999999</v>
      </c>
      <c r="Z117" s="197">
        <f t="shared" si="50"/>
        <v>1.6299999999999999E-2</v>
      </c>
      <c r="AA117" s="197">
        <f t="shared" si="39"/>
        <v>23.284499999999998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0"/>
        <v>204</v>
      </c>
      <c r="AE117" s="77" t="str">
        <f t="shared" si="4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117" s="74" t="str">
        <f t="shared" si="42"/>
        <v>"C:\Program Files (x86)\AstroGrep\AstroGrep.exe" /e /r /s /spath="%USERPROFILE%\AppData\Local\Temp\OnboardLogs" /stypes="app*4029*20170722*" /stext=" 00:.+((SYSTEM_STATE.+slice.+state.+changed )|(ment ac)|(multiple cpu faults)|(system.+state.+changed )|(\[timeout)|(PRM\|1\|D)|(kpr)|(kdp)|(train st.+moving)|(\|lc)|(penalty))"</v>
      </c>
      <c r="AG117" s="209" t="str">
        <f t="shared" si="43"/>
        <v>EC</v>
      </c>
      <c r="AH117" s="78" t="str">
        <f t="shared" si="44"/>
        <v>"%USERPROFILE%\Documents\GitHub\eaglep3\Utilities\RefineRTDCRunTimes.py" --tripid 204-21 --locoid 4029 --swversion DE.1.0.9.0 --startMP 204:233008 --initTime 2017-07-21T17:16:35 --startdatetime 2017-07-21T17:27:14 --delay 1 --endMP 204:163 --enddatetime 2017-07-21T18:07:38 --enforcementcount 0 &gt;&gt;C:\Users\stu\Documents\GitHub\eaglep3-reporting\EC\2017-07-21-refined-times.txt</v>
      </c>
      <c r="AI117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{"issue":{"subject":"","project_id":79,"tracker_id":40,"status_id":1,"priority_id":2,"assigned_to_id":23,"start_date":"2017-07-21","description":"","custom_fields":[{"id":1,"name":"Subdivision","value":"EC"},{"id":4,"name":"Milepost","value":"0.0163"},{"id":17,"name":"Train ID","value":"204-21"},{"id":16,"name":"Locomotive ID","value":"4029"},{"id":130,"name":"Impact","value":""},{"id":150,"name":"Time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6"/>
        <v>start /low /b %USERPROFILE%\Documents\GitHub\eaglep3\Utilities\DownloadLogsFromS3.py --loco 4029 --day 2017-07-21</v>
      </c>
      <c r="AN117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798</v>
      </c>
      <c r="B118" s="7">
        <v>4046</v>
      </c>
      <c r="C118" s="21" t="s">
        <v>198</v>
      </c>
      <c r="D118" s="21" t="s">
        <v>460</v>
      </c>
      <c r="E118" s="13">
        <v>42937.695474537039</v>
      </c>
      <c r="F118" s="13">
        <v>42937.698472222219</v>
      </c>
      <c r="G118" s="7">
        <v>1</v>
      </c>
      <c r="H118" s="21" t="s">
        <v>466</v>
      </c>
      <c r="I118" s="13">
        <v>42937.724328703705</v>
      </c>
      <c r="J118" s="7">
        <v>0</v>
      </c>
      <c r="K118" s="89" t="str">
        <f t="shared" si="34"/>
        <v>4045/4046</v>
      </c>
      <c r="L118" s="21" t="str">
        <f>VLOOKUP(A118,'Trips&amp;Operators'!$C$1:$G$99999,5,FALSE)</f>
        <v>STEWART MICHAEL</v>
      </c>
      <c r="M118" s="6">
        <f t="shared" si="35"/>
        <v>2.5856481486698613E-2</v>
      </c>
      <c r="N118" s="7">
        <f t="shared" si="53"/>
        <v>37.233333340846002</v>
      </c>
      <c r="O118" s="7"/>
      <c r="P118" s="7"/>
      <c r="Q118" s="22"/>
      <c r="R118" s="170"/>
      <c r="S118" s="213">
        <f t="shared" si="52"/>
        <v>1</v>
      </c>
      <c r="T118" s="195" t="str">
        <f t="shared" si="3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8"/>
        <v>https://d0f6bd738d7f1b3e5a7ca70fe4ff75f0.us-east-1.aws.found.io/app/kibana#/discover/Steve-Slow-Train-Analysis-(2080s-and-2083s)?_g=(refreshInterval:(display:Off,pause:!f,section:0,value:0),time:(from:'2017-07-21T15:41:29-0600',mode:absolute,to:'2017-07-21T18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97" t="str">
        <f>IF(AA118&lt;VLOOKUP(AG118,Variables!$AC$3:$AD$8,2,FALSE),"Y","N")</f>
        <v>N</v>
      </c>
      <c r="X118" s="197">
        <f t="shared" si="51"/>
        <v>1</v>
      </c>
      <c r="Y118" s="197">
        <f t="shared" si="49"/>
        <v>4.7500000000000001E-2</v>
      </c>
      <c r="Z118" s="197">
        <f t="shared" si="50"/>
        <v>23.330500000000001</v>
      </c>
      <c r="AA118" s="197">
        <f t="shared" si="39"/>
        <v>23.283000000000001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0"/>
        <v>205</v>
      </c>
      <c r="AE118" s="77" t="str">
        <f t="shared" si="4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118" s="74" t="str">
        <f t="shared" si="42"/>
        <v>"C:\Program Files (x86)\AstroGrep\AstroGrep.exe" /e /r /s /spath="%USERPROFILE%\AppData\Local\Temp\OnboardLogs" /stypes="app*4046*20170721*" /stext=" 23:.+((SYSTEM_STATE.+slice.+state.+changed )|(ment ac)|(multiple cpu faults)|(system.+state.+changed )|(\[timeout)|(PRM\|1\|D)|(kpr)|(kdp)|(train st.+moving)|(\|lc)|(penalty))"</v>
      </c>
      <c r="AG118" s="209" t="str">
        <f t="shared" si="43"/>
        <v>EC</v>
      </c>
      <c r="AH118" s="78" t="str">
        <f t="shared" si="44"/>
        <v>"%USERPROFILE%\Documents\GitHub\eaglep3\Utilities\RefineRTDCRunTimes.py" --tripid 205-21 --locoid 4046 --swversion DE.1.0.9.0 --startMP 204:475 --initTime 2017-07-21T16:41:29 --startdatetime 2017-07-21T16:45:48 --delay 1 --endMP 204:233305 --enddatetime 2017-07-21T17:23:02 --enforcementcount 0 &gt;&gt;C:\Users\stu\Documents\GitHub\eaglep3-reporting\EC\2017-07-21-refined-times.txt</v>
      </c>
      <c r="AI118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{"issue":{"subject":"","project_id":79,"tracker_id":40,"status_id":1,"priority_id":2,"assigned_to_id":23,"start_date":"2017-07-21","description":"","custom_fields":[{"id":1,"name":"Subdivision","value":"EC"},{"id":4,"name":"Milepost","value":"23.3305"},{"id":17,"name":"Train ID","value":"205-21"},{"id":16,"name":"Locomotive ID","value":"4046"},{"id":130,"name":"Impact","value":""},{"id":150,"name":"Time of Event (Mountain Time)","value":"17:23:02"},{"id":151,"name":"Denver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6"/>
        <v>start /low /b %USERPROFILE%\Documents\GitHub\eaglep3\Utilities\DownloadLogsFromS3.py --loco 4046 --day 2017-07-21</v>
      </c>
      <c r="AN118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811</v>
      </c>
      <c r="B119" s="7">
        <v>4045</v>
      </c>
      <c r="C119" s="21" t="s">
        <v>198</v>
      </c>
      <c r="D119" s="21" t="s">
        <v>420</v>
      </c>
      <c r="E119" s="13">
        <v>42937.736145833333</v>
      </c>
      <c r="F119" s="13">
        <v>42937.737662037034</v>
      </c>
      <c r="G119" s="7">
        <v>1</v>
      </c>
      <c r="H119" s="21" t="s">
        <v>469</v>
      </c>
      <c r="I119" s="13">
        <v>42937.765833333331</v>
      </c>
      <c r="J119" s="7">
        <v>0</v>
      </c>
      <c r="K119" s="89" t="str">
        <f t="shared" si="34"/>
        <v>4045/4046</v>
      </c>
      <c r="L119" s="21" t="str">
        <f>VLOOKUP(A119,'Trips&amp;Operators'!$C$1:$G$99999,5,FALSE)</f>
        <v>STEWART MICHAEL</v>
      </c>
      <c r="M119" s="6">
        <f t="shared" si="35"/>
        <v>2.8171296296932269E-2</v>
      </c>
      <c r="N119" s="7">
        <f t="shared" si="53"/>
        <v>40.566666667582467</v>
      </c>
      <c r="O119" s="7"/>
      <c r="P119" s="7"/>
      <c r="Q119" s="22"/>
      <c r="R119" s="170"/>
      <c r="S119" s="213">
        <f t="shared" si="52"/>
        <v>1</v>
      </c>
      <c r="T119" s="195" t="str">
        <f t="shared" si="3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8"/>
        <v>https://d0f6bd738d7f1b3e5a7ca70fe4ff75f0.us-east-1.aws.found.io/app/kibana#/discover/Steve-Slow-Train-Analysis-(2080s-and-2083s)?_g=(refreshInterval:(display:Off,pause:!f,section:0,value:0),time:(from:'2017-07-21T16:40:03-0600',mode:absolute,to:'2017-07-21T19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97" t="str">
        <f>IF(AA119&lt;VLOOKUP(AG119,Variables!$AC$3:$AD$8,2,FALSE),"Y","N")</f>
        <v>N</v>
      </c>
      <c r="X119" s="197">
        <f t="shared" si="51"/>
        <v>1</v>
      </c>
      <c r="Y119" s="197">
        <f t="shared" si="49"/>
        <v>23.2973</v>
      </c>
      <c r="Z119" s="197">
        <f t="shared" si="50"/>
        <v>1.52E-2</v>
      </c>
      <c r="AA119" s="197">
        <f t="shared" si="39"/>
        <v>23.2821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0"/>
        <v>206</v>
      </c>
      <c r="AE119" s="77" t="str">
        <f t="shared" si="4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119" s="74" t="str">
        <f t="shared" si="42"/>
        <v>"C:\Program Files (x86)\AstroGrep\AstroGrep.exe" /e /r /s /spath="%USERPROFILE%\AppData\Local\Temp\OnboardLogs" /stypes="app*4045*20170722*" /stext=" 00:.+((SYSTEM_STATE.+slice.+state.+changed )|(ment ac)|(multiple cpu faults)|(system.+state.+changed )|(\[timeout)|(PRM\|1\|D)|(kpr)|(kdp)|(train st.+moving)|(\|lc)|(penalty))"</v>
      </c>
      <c r="AG119" s="209" t="str">
        <f t="shared" si="43"/>
        <v>EC</v>
      </c>
      <c r="AH119" s="78" t="str">
        <f t="shared" si="44"/>
        <v>"%USERPROFILE%\Documents\GitHub\eaglep3\Utilities\RefineRTDCRunTimes.py" --tripid 206-21 --locoid 4045 --swversion DE.1.0.9.0 --startMP 204:232973 --initTime 2017-07-21T17:40:03 --startdatetime 2017-07-21T17:42:14 --delay 1 --endMP 204:152 --enddatetime 2017-07-21T18:22:48 --enforcementcount 0 &gt;&gt;C:\Users\stu\Documents\GitHub\eaglep3-reporting\EC\2017-07-21-refined-times.txt</v>
      </c>
      <c r="AI119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{"issue":{"subject":"","project_id":79,"tracker_id":40,"status_id":1,"priority_id":2,"assigned_to_id":23,"start_date":"2017-07-21","description":"","custom_fields":[{"id":1,"name":"Subdivision","value":"EC"},{"id":4,"name":"Milepost","value":"0.0152"},{"id":17,"name":"Train ID","value":"206-21"},{"id":16,"name":"Locomotive ID","value":"4045"},{"id":130,"name":"Impact","value":""},{"id":150,"name":"Time of Event (Mountain Time)","value":"18:22:48"},{"id":151,"name":"Denver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6"/>
        <v>start /low /b %USERPROFILE%\Documents\GitHub\eaglep3\Utilities\DownloadLogsFromS3.py --loco 4045 --day 2017-07-21</v>
      </c>
      <c r="AN119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802</v>
      </c>
      <c r="B120" s="7">
        <v>4050</v>
      </c>
      <c r="C120" s="21" t="s">
        <v>198</v>
      </c>
      <c r="D120" s="21" t="s">
        <v>417</v>
      </c>
      <c r="E120" s="13">
        <v>42937.705023148148</v>
      </c>
      <c r="F120" s="13">
        <v>42937.708865740744</v>
      </c>
      <c r="G120" s="7">
        <v>1</v>
      </c>
      <c r="H120" s="21" t="s">
        <v>878</v>
      </c>
      <c r="I120" s="13">
        <v>42937.734710648147</v>
      </c>
      <c r="J120" s="7">
        <v>0</v>
      </c>
      <c r="K120" s="89" t="str">
        <f t="shared" si="34"/>
        <v>4049/4050</v>
      </c>
      <c r="L120" s="21" t="str">
        <f>VLOOKUP(A120,'Trips&amp;Operators'!$C$1:$G$99999,5,FALSE)</f>
        <v>GONZALEZ ARMANDO</v>
      </c>
      <c r="M120" s="6">
        <f t="shared" si="35"/>
        <v>2.5844907402643003E-2</v>
      </c>
      <c r="N120" s="7">
        <f t="shared" si="53"/>
        <v>37.216666659805924</v>
      </c>
      <c r="O120" s="7"/>
      <c r="P120" s="7"/>
      <c r="Q120" s="22"/>
      <c r="R120" s="170"/>
      <c r="S120" s="213">
        <f t="shared" si="52"/>
        <v>1</v>
      </c>
      <c r="T120" s="195" t="str">
        <f t="shared" si="3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8"/>
        <v>https://d0f6bd738d7f1b3e5a7ca70fe4ff75f0.us-east-1.aws.found.io/app/kibana#/discover/Steve-Slow-Train-Analysis-(2080s-and-2083s)?_g=(refreshInterval:(display:Off,pause:!f,section:0,value:0),time:(from:'2017-07-21T15:55:14-0600',mode:absolute,to:'2017-07-21T18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0" s="197" t="str">
        <f>IF(AA120&lt;VLOOKUP(AG120,Variables!$AC$3:$AD$8,2,FALSE),"Y","N")</f>
        <v>N</v>
      </c>
      <c r="X120" s="197">
        <f t="shared" si="51"/>
        <v>1</v>
      </c>
      <c r="Y120" s="197">
        <f t="shared" si="49"/>
        <v>4.7100000000000003E-2</v>
      </c>
      <c r="Z120" s="197">
        <f t="shared" si="50"/>
        <v>23.331199999999999</v>
      </c>
      <c r="AA120" s="197">
        <f t="shared" si="39"/>
        <v>23.284099999999999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0"/>
        <v>207</v>
      </c>
      <c r="AE120" s="77" t="str">
        <f t="shared" si="41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120" s="74" t="str">
        <f t="shared" si="42"/>
        <v>"C:\Program Files (x86)\AstroGrep\AstroGrep.exe" /e /r /s /spath="%USERPROFILE%\AppData\Local\Temp\OnboardLogs" /stypes="app*4050*20170721*" /stext=" 23:.+((SYSTEM_STATE.+slice.+state.+changed )|(ment ac)|(multiple cpu faults)|(system.+state.+changed )|(\[timeout)|(PRM\|1\|D)|(kpr)|(kdp)|(train st.+moving)|(\|lc)|(penalty))"</v>
      </c>
      <c r="AG120" s="209" t="str">
        <f t="shared" si="43"/>
        <v>EC</v>
      </c>
      <c r="AH120" s="78" t="str">
        <f t="shared" si="44"/>
        <v>"%USERPROFILE%\Documents\GitHub\eaglep3\Utilities\RefineRTDCRunTimes.py" --tripid 207-21 --locoid 4050 --swversion DE.1.0.9.0 --startMP 204:471 --initTime 2017-07-21T16:55:14 --startdatetime 2017-07-21T17:00:46 --delay 1 --endMP 204:233312 --enddatetime 2017-07-21T17:37:59 --enforcementcount 0 &gt;&gt;C:\Users\stu\Documents\GitHub\eaglep3-reporting\EC\2017-07-21-refined-times.txt</v>
      </c>
      <c r="AI120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{"issue":{"subject":"","project_id":79,"tracker_id":40,"status_id":1,"priority_id":2,"assigned_to_id":23,"start_date":"2017-07-21","description":"","custom_fields":[{"id":1,"name":"Subdivision","value":"EC"},{"id":4,"name":"Milepost","value":"23.3312"},{"id":17,"name":"Train ID","value":"207-21"},{"id":16,"name":"Locomotive ID","value":"4050"},{"id":130,"name":"Impact","value":""},{"id":150,"name":"Time of Event (Mountain Time)","value":"17:37:59"},{"id":151,"name":"Denver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6"/>
        <v>start /low /b %USERPROFILE%\Documents\GitHub\eaglep3\Utilities\DownloadLogsFromS3.py --loco 4050 --day 2017-07-21</v>
      </c>
      <c r="AN120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813</v>
      </c>
      <c r="B121" s="7">
        <v>4049</v>
      </c>
      <c r="C121" s="21" t="s">
        <v>198</v>
      </c>
      <c r="D121" s="21" t="s">
        <v>499</v>
      </c>
      <c r="E121" s="13">
        <v>42937.74181712963</v>
      </c>
      <c r="F121" s="13">
        <v>42937.748136574075</v>
      </c>
      <c r="G121" s="7">
        <v>1</v>
      </c>
      <c r="H121" s="21" t="s">
        <v>348</v>
      </c>
      <c r="I121" s="13">
        <v>42937.775081018517</v>
      </c>
      <c r="J121" s="7">
        <v>0</v>
      </c>
      <c r="K121" s="89" t="str">
        <f t="shared" si="34"/>
        <v>4049/4050</v>
      </c>
      <c r="L121" s="21" t="str">
        <f>VLOOKUP(A121,'Trips&amp;Operators'!$C$1:$G$99999,5,FALSE)</f>
        <v>GONZALEZ ARMANDO</v>
      </c>
      <c r="M121" s="6">
        <f t="shared" si="35"/>
        <v>2.6944444442051463E-2</v>
      </c>
      <c r="N121" s="7">
        <f t="shared" si="53"/>
        <v>38.799999996554106</v>
      </c>
      <c r="O121" s="7"/>
      <c r="P121" s="7"/>
      <c r="Q121" s="22"/>
      <c r="R121" s="170"/>
      <c r="S121" s="213">
        <f t="shared" si="52"/>
        <v>1</v>
      </c>
      <c r="T121" s="195" t="str">
        <f t="shared" si="3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8"/>
        <v>https://d0f6bd738d7f1b3e5a7ca70fe4ff75f0.us-east-1.aws.found.io/app/kibana#/discover/Steve-Slow-Train-Analysis-(2080s-and-2083s)?_g=(refreshInterval:(display:Off,pause:!f,section:0,value:0),time:(from:'2017-07-21T16:48:13-0600',mode:absolute,to:'2017-07-21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1" s="197" t="str">
        <f>IF(AA121&lt;VLOOKUP(AG121,Variables!$AC$3:$AD$8,2,FALSE),"Y","N")</f>
        <v>N</v>
      </c>
      <c r="X121" s="197">
        <f t="shared" si="51"/>
        <v>1</v>
      </c>
      <c r="Y121" s="197">
        <f t="shared" si="49"/>
        <v>23.298500000000001</v>
      </c>
      <c r="Z121" s="197">
        <f t="shared" si="50"/>
        <v>1.3899999999999999E-2</v>
      </c>
      <c r="AA121" s="197">
        <f t="shared" si="39"/>
        <v>23.284600000000001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0"/>
        <v>208</v>
      </c>
      <c r="AE121" s="77" t="str">
        <f t="shared" si="41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121" s="74" t="str">
        <f t="shared" si="42"/>
        <v>"C:\Program Files (x86)\AstroGrep\AstroGrep.exe" /e /r /s /spath="%USERPROFILE%\AppData\Local\Temp\OnboardLogs" /stypes="app*4049*20170722*" /stext=" 00:.+((SYSTEM_STATE.+slice.+state.+changed )|(ment ac)|(multiple cpu faults)|(system.+state.+changed )|(\[timeout)|(PRM\|1\|D)|(kpr)|(kdp)|(train st.+moving)|(\|lc)|(penalty))"</v>
      </c>
      <c r="AG121" s="209" t="str">
        <f t="shared" si="43"/>
        <v>EC</v>
      </c>
      <c r="AH121" s="78" t="str">
        <f t="shared" si="44"/>
        <v>"%USERPROFILE%\Documents\GitHub\eaglep3\Utilities\RefineRTDCRunTimes.py" --tripid 208-21 --locoid 4049 --swversion DE.1.0.9.0 --startMP 204:232985 --initTime 2017-07-21T17:48:13 --startdatetime 2017-07-21T17:57:19 --delay 1 --endMP 204:139 --enddatetime 2017-07-21T18:36:07 --enforcementcount 0 &gt;&gt;C:\Users\stu\Documents\GitHub\eaglep3-reporting\EC\2017-07-21-refined-times.txt</v>
      </c>
      <c r="AI12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{"issue":{"subject":"","project_id":79,"tracker_id":40,"status_id":1,"priority_id":2,"assigned_to_id":23,"start_date":"2017-07-21","description":"","custom_fields":[{"id":1,"name":"Subdivision","value":"EC"},{"id":4,"name":"Milepost","value":"0.0139"},{"id":17,"name":"Train ID","value":"208-21"},{"id":16,"name":"Locomotive ID","value":"4049"},{"id":130,"name":"Impact","value":""},{"id":150,"name":"Time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6"/>
        <v>start /low /b %USERPROFILE%\Documents\GitHub\eaglep3\Utilities\DownloadLogsFromS3.py --loco 4049 --day 2017-07-21</v>
      </c>
      <c r="AN121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803</v>
      </c>
      <c r="B122" s="7">
        <v>4032</v>
      </c>
      <c r="C122" s="21" t="s">
        <v>198</v>
      </c>
      <c r="D122" s="21" t="s">
        <v>340</v>
      </c>
      <c r="E122" s="13">
        <v>42937.714641203704</v>
      </c>
      <c r="F122" s="13">
        <v>42937.719490740739</v>
      </c>
      <c r="G122" s="7">
        <v>1</v>
      </c>
      <c r="H122" s="21" t="s">
        <v>510</v>
      </c>
      <c r="I122" s="13">
        <v>42937.745393518519</v>
      </c>
      <c r="J122" s="7">
        <v>0</v>
      </c>
      <c r="K122" s="89" t="str">
        <f t="shared" si="34"/>
        <v>4031/4032</v>
      </c>
      <c r="L122" s="21" t="str">
        <f>VLOOKUP(A122,'Trips&amp;Operators'!$C$1:$G$99999,5,FALSE)</f>
        <v>CASSIDY BRANDON</v>
      </c>
      <c r="M122" s="6">
        <f t="shared" si="35"/>
        <v>2.5902777779265307E-2</v>
      </c>
      <c r="N122" s="7">
        <f t="shared" si="53"/>
        <v>37.300000002142042</v>
      </c>
      <c r="O122" s="7"/>
      <c r="P122" s="7"/>
      <c r="Q122" s="22"/>
      <c r="R122" s="170"/>
      <c r="S122" s="213">
        <f t="shared" si="52"/>
        <v>1</v>
      </c>
      <c r="T122" s="195" t="str">
        <f t="shared" si="3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8"/>
        <v>https://d0f6bd738d7f1b3e5a7ca70fe4ff75f0.us-east-1.aws.found.io/app/kibana#/discover/Steve-Slow-Train-Analysis-(2080s-and-2083s)?_g=(refreshInterval:(display:Off,pause:!f,section:0,value:0),time:(from:'2017-07-21T16:09:05-0600',mode:absolute,to:'2017-07-21T18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197" t="str">
        <f>IF(AA122&lt;VLOOKUP(AG122,Variables!$AC$3:$AD$8,2,FALSE),"Y","N")</f>
        <v>N</v>
      </c>
      <c r="X122" s="197">
        <f t="shared" si="51"/>
        <v>1</v>
      </c>
      <c r="Y122" s="197">
        <f t="shared" si="49"/>
        <v>4.4600000000000001E-2</v>
      </c>
      <c r="Z122" s="197">
        <f t="shared" si="50"/>
        <v>23.3353</v>
      </c>
      <c r="AA122" s="197">
        <f t="shared" si="39"/>
        <v>23.290700000000001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0"/>
        <v>209</v>
      </c>
      <c r="AE122" s="77" t="str">
        <f t="shared" si="4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122" s="74" t="str">
        <f t="shared" si="42"/>
        <v>"C:\Program Files (x86)\AstroGrep\AstroGrep.exe" /e /r /s /spath="%USERPROFILE%\AppData\Local\Temp\OnboardLogs" /stypes="app*4032*20170721*" /stext=" 23:.+((SYSTEM_STATE.+slice.+state.+changed )|(ment ac)|(multiple cpu faults)|(system.+state.+changed )|(\[timeout)|(PRM\|1\|D)|(kpr)|(kdp)|(train st.+moving)|(\|lc)|(penalty))"</v>
      </c>
      <c r="AG122" s="209" t="str">
        <f t="shared" si="43"/>
        <v>EC</v>
      </c>
      <c r="AH122" s="78" t="str">
        <f t="shared" si="44"/>
        <v>"%USERPROFILE%\Documents\GitHub\eaglep3\Utilities\RefineRTDCRunTimes.py" --tripid 209-21 --locoid 4032 --swversion DE.1.0.9.0 --startMP 204:446 --initTime 2017-07-21T17:09:05 --startdatetime 2017-07-21T17:16:04 --delay 1 --endMP 204:233353 --enddatetime 2017-07-21T17:53:22 --enforcementcount 0 &gt;&gt;C:\Users\stu\Documents\GitHub\eaglep3-reporting\EC\2017-07-21-refined-times.txt</v>
      </c>
      <c r="AI12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{"issue":{"subject":"","project_id":79,"tracker_id":40,"status_id":1,"priority_id":2,"assigned_to_id":23,"start_date":"2017-07-21","description":"","custom_fields":[{"id":1,"name":"Subdivision","value":"EC"},{"id":4,"name":"Milepost","value":"23.3353"},{"id":17,"name":"Train ID","value":"209-21"},{"id":16,"name":"Locomotive ID","value":"4032"},{"id":130,"name":"Impact","value":""},{"id":150,"name":"Time of Event (Mountain Time)","value":"17:53:22"},{"id":151,"name":"Denver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6"/>
        <v>start /low /b %USERPROFILE%\Documents\GitHub\eaglep3\Utilities\DownloadLogsFromS3.py --loco 4032 --day 2017-07-21</v>
      </c>
      <c r="AN122" s="151" t="str">
        <f t="shared" si="47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818</v>
      </c>
      <c r="B123" s="7">
        <v>4031</v>
      </c>
      <c r="C123" s="21" t="s">
        <v>198</v>
      </c>
      <c r="D123" s="21" t="s">
        <v>921</v>
      </c>
      <c r="E123" s="13">
        <v>42937.755682870367</v>
      </c>
      <c r="F123" s="13">
        <v>42937.758553240739</v>
      </c>
      <c r="G123" s="7">
        <v>1</v>
      </c>
      <c r="H123" s="21" t="s">
        <v>922</v>
      </c>
      <c r="I123" s="13">
        <v>42937.785694444443</v>
      </c>
      <c r="J123" s="7">
        <v>0</v>
      </c>
      <c r="K123" s="89" t="str">
        <f t="shared" si="34"/>
        <v>4031/4032</v>
      </c>
      <c r="L123" s="21" t="str">
        <f>VLOOKUP(A123,'Trips&amp;Operators'!$C$1:$G$99999,5,FALSE)</f>
        <v>CASSIDY BRANDON</v>
      </c>
      <c r="M123" s="6">
        <f t="shared" si="35"/>
        <v>2.7141203703649808E-2</v>
      </c>
      <c r="N123" s="7">
        <f t="shared" si="53"/>
        <v>39.083333333255723</v>
      </c>
      <c r="O123" s="7"/>
      <c r="P123" s="7"/>
      <c r="Q123" s="22"/>
      <c r="R123" s="170"/>
      <c r="S123" s="213">
        <f t="shared" si="52"/>
        <v>1</v>
      </c>
      <c r="T123" s="195" t="str">
        <f t="shared" si="3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8"/>
        <v>https://d0f6bd738d7f1b3e5a7ca70fe4ff75f0.us-east-1.aws.found.io/app/kibana#/discover/Steve-Slow-Train-Analysis-(2080s-and-2083s)?_g=(refreshInterval:(display:Off,pause:!f,section:0,value:0),time:(from:'2017-07-21T17:08:11-0600',mode:absolute,to:'2017-07-21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3" s="197" t="str">
        <f>IF(AA123&lt;VLOOKUP(AG123,Variables!$AC$3:$AD$8,2,FALSE),"Y","N")</f>
        <v>N</v>
      </c>
      <c r="X123" s="197">
        <f t="shared" si="51"/>
        <v>1</v>
      </c>
      <c r="Y123" s="197">
        <f t="shared" si="49"/>
        <v>23.305499999999999</v>
      </c>
      <c r="Z123" s="197">
        <f t="shared" si="50"/>
        <v>1.1900000000000001E-2</v>
      </c>
      <c r="AA123" s="197">
        <f t="shared" si="39"/>
        <v>23.293599999999998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0"/>
        <v>210</v>
      </c>
      <c r="AE123" s="77" t="str">
        <f t="shared" si="4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123" s="74" t="str">
        <f t="shared" si="42"/>
        <v>"C:\Program Files (x86)\AstroGrep\AstroGrep.exe" /e /r /s /spath="%USERPROFILE%\AppData\Local\Temp\OnboardLogs" /stypes="app*4031*20170722*" /stext=" 00:.+((SYSTEM_STATE.+slice.+state.+changed )|(ment ac)|(multiple cpu faults)|(system.+state.+changed )|(\[timeout)|(PRM\|1\|D)|(kpr)|(kdp)|(train st.+moving)|(\|lc)|(penalty))"</v>
      </c>
      <c r="AG123" s="209" t="str">
        <f t="shared" si="43"/>
        <v>EC</v>
      </c>
      <c r="AH123" s="78" t="str">
        <f t="shared" si="44"/>
        <v>"%USERPROFILE%\Documents\GitHub\eaglep3\Utilities\RefineRTDCRunTimes.py" --tripid 210-21 --locoid 4031 --swversion DE.1.0.9.0 --startMP 204:233055 --initTime 2017-07-21T18:08:11 --startdatetime 2017-07-21T18:12:19 --delay 1 --endMP 204:119 --enddatetime 2017-07-21T18:51:24 --enforcementcount 0 &gt;&gt;C:\Users\stu\Documents\GitHub\eaglep3-reporting\EC\2017-07-21-refined-times.txt</v>
      </c>
      <c r="AI123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{"issue":{"subject":"","project_id":79,"tracker_id":40,"status_id":1,"priority_id":2,"assigned_to_id":23,"start_date":"2017-07-21","description":"","custom_fields":[{"id":1,"name":"Subdivision","value":"EC"},{"id":4,"name":"Milepost","value":"0.0119"},{"id":17,"name":"Train ID","value":"210-21"},{"id":16,"name":"Locomotive ID","value":"4031"},{"id":130,"name":"Impact","value":""},{"id":150,"name":"Time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6"/>
        <v>start /low /b %USERPROFILE%\Documents\GitHub\eaglep3\Utilities\DownloadLogsFromS3.py --loco 4031 --day 2017-07-21</v>
      </c>
      <c r="AN123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807</v>
      </c>
      <c r="B124" s="7">
        <v>4026</v>
      </c>
      <c r="C124" s="21" t="s">
        <v>198</v>
      </c>
      <c r="D124" s="21" t="s">
        <v>463</v>
      </c>
      <c r="E124" s="13">
        <v>42937.72457175926</v>
      </c>
      <c r="F124" s="13">
        <v>42937.729675925926</v>
      </c>
      <c r="G124" s="7">
        <v>1</v>
      </c>
      <c r="H124" s="21" t="s">
        <v>923</v>
      </c>
      <c r="I124" s="13">
        <v>42937.754201388889</v>
      </c>
      <c r="J124" s="7">
        <v>0</v>
      </c>
      <c r="K124" s="89" t="str">
        <f t="shared" si="34"/>
        <v>4025/4026</v>
      </c>
      <c r="L124" s="21" t="str">
        <f>VLOOKUP(A124,'Trips&amp;Operators'!$C$1:$G$99999,5,FALSE)</f>
        <v>LEVIN SCOTT</v>
      </c>
      <c r="M124" s="6">
        <f t="shared" si="35"/>
        <v>2.4525462962628808E-2</v>
      </c>
      <c r="N124" s="7">
        <f t="shared" si="53"/>
        <v>35.316666666185483</v>
      </c>
      <c r="O124" s="7"/>
      <c r="P124" s="7"/>
      <c r="Q124" s="22"/>
      <c r="R124" s="170"/>
      <c r="S124" s="213">
        <f t="shared" si="52"/>
        <v>1</v>
      </c>
      <c r="T124" s="195" t="str">
        <f t="shared" si="3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8"/>
        <v>https://d0f6bd738d7f1b3e5a7ca70fe4ff75f0.us-east-1.aws.found.io/app/kibana#/discover/Steve-Slow-Train-Analysis-(2080s-and-2083s)?_g=(refreshInterval:(display:Off,pause:!f,section:0,value:0),time:(from:'2017-07-21T16:23:23-0600',mode:absolute,to:'2017-07-21T19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4" s="197" t="str">
        <f>IF(AA124&lt;VLOOKUP(AG124,Variables!$AC$3:$AD$8,2,FALSE),"Y","N")</f>
        <v>N</v>
      </c>
      <c r="X124" s="197">
        <f t="shared" si="51"/>
        <v>1</v>
      </c>
      <c r="Y124" s="197">
        <f t="shared" si="49"/>
        <v>4.4200000000000003E-2</v>
      </c>
      <c r="Z124" s="197">
        <f t="shared" si="50"/>
        <v>23.345300000000002</v>
      </c>
      <c r="AA124" s="197">
        <f t="shared" si="39"/>
        <v>23.301100000000002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0"/>
        <v>211</v>
      </c>
      <c r="AE124" s="77" t="str">
        <f t="shared" si="41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124" s="74" t="str">
        <f t="shared" si="42"/>
        <v>"C:\Program Files (x86)\AstroGrep\AstroGrep.exe" /e /r /s /spath="%USERPROFILE%\AppData\Local\Temp\OnboardLogs" /stypes="app*4026*20170722*" /stext=" 00:.+((SYSTEM_STATE.+slice.+state.+changed )|(ment ac)|(multiple cpu faults)|(system.+state.+changed )|(\[timeout)|(PRM\|1\|D)|(kpr)|(kdp)|(train st.+moving)|(\|lc)|(penalty))"</v>
      </c>
      <c r="AG124" s="209" t="str">
        <f t="shared" si="43"/>
        <v>EC</v>
      </c>
      <c r="AH124" s="78" t="str">
        <f t="shared" si="44"/>
        <v>"%USERPROFILE%\Documents\GitHub\eaglep3\Utilities\RefineRTDCRunTimes.py" --tripid 211-21 --locoid 4026 --swversion DE.1.0.9.0 --startMP 204:442 --initTime 2017-07-21T17:23:23 --startdatetime 2017-07-21T17:30:44 --delay 1 --endMP 204:233453 --enddatetime 2017-07-21T18:06:03 --enforcementcount 0 &gt;&gt;C:\Users\stu\Documents\GitHub\eaglep3-reporting\EC\2017-07-21-refined-times.txt</v>
      </c>
      <c r="AI124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{"issue":{"subject":"","project_id":79,"tracker_id":40,"status_id":1,"priority_id":2,"assigned_to_id":23,"start_date":"2017-07-21","description":"","custom_fields":[{"id":1,"name":"Subdivision","value":"EC"},{"id":4,"name":"Milepost","value":"23.3453"},{"id":17,"name":"Train ID","value":"211-21"},{"id":16,"name":"Locomotive ID","value":"4026"},{"id":130,"name":"Impact","value":""},{"id":150,"name":"Time of Event (Mountain Time)","value":"18:06:03"},{"id":151,"name":"Denver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6"/>
        <v>start /low /b %USERPROFILE%\Documents\GitHub\eaglep3\Utilities\DownloadLogsFromS3.py --loco 4026 --day 2017-07-21</v>
      </c>
      <c r="AN124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820</v>
      </c>
      <c r="B125" s="7">
        <v>4025</v>
      </c>
      <c r="C125" s="21" t="s">
        <v>198</v>
      </c>
      <c r="D125" s="21" t="s">
        <v>924</v>
      </c>
      <c r="E125" s="13">
        <v>42937.766111111108</v>
      </c>
      <c r="F125" s="13">
        <v>42937.768923611111</v>
      </c>
      <c r="G125" s="7">
        <v>1</v>
      </c>
      <c r="H125" s="21" t="s">
        <v>414</v>
      </c>
      <c r="I125" s="13">
        <v>42937.795231481483</v>
      </c>
      <c r="J125" s="7">
        <v>0</v>
      </c>
      <c r="K125" s="89" t="str">
        <f t="shared" si="34"/>
        <v>4025/4026</v>
      </c>
      <c r="L125" s="21" t="str">
        <f>VLOOKUP(A125,'Trips&amp;Operators'!$C$1:$G$99999,5,FALSE)</f>
        <v>LEVIN SCOTT</v>
      </c>
      <c r="M125" s="6">
        <f t="shared" si="35"/>
        <v>2.6307870371965691E-2</v>
      </c>
      <c r="N125" s="7">
        <f t="shared" si="53"/>
        <v>37.883333335630596</v>
      </c>
      <c r="O125" s="7"/>
      <c r="P125" s="7"/>
      <c r="Q125" s="22"/>
      <c r="R125" s="170"/>
      <c r="S125" s="213">
        <f t="shared" si="52"/>
        <v>1</v>
      </c>
      <c r="T125" s="195" t="str">
        <f t="shared" si="3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8"/>
        <v>https://d0f6bd738d7f1b3e5a7ca70fe4ff75f0.us-east-1.aws.found.io/app/kibana#/discover/Steve-Slow-Train-Analysis-(2080s-and-2083s)?_g=(refreshInterval:(display:Off,pause:!f,section:0,value:0),time:(from:'2017-07-21T17:23:12-0600',mode:absolute,to:'2017-07-21T20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197" t="str">
        <f>IF(AA125&lt;VLOOKUP(AG125,Variables!$AC$3:$AD$8,2,FALSE),"Y","N")</f>
        <v>N</v>
      </c>
      <c r="X125" s="197">
        <f t="shared" si="51"/>
        <v>1</v>
      </c>
      <c r="Y125" s="197">
        <f t="shared" si="49"/>
        <v>23.312999999999999</v>
      </c>
      <c r="Z125" s="197">
        <f t="shared" si="50"/>
        <v>1.3599999999999999E-2</v>
      </c>
      <c r="AA125" s="197">
        <f t="shared" si="39"/>
        <v>23.299399999999999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0"/>
        <v>212</v>
      </c>
      <c r="AE125" s="77" t="str">
        <f t="shared" si="41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125" s="74" t="str">
        <f t="shared" si="42"/>
        <v>"C:\Program Files (x86)\AstroGrep\AstroGrep.exe" /e /r /s /spath="%USERPROFILE%\AppData\Local\Temp\OnboardLogs" /stypes="app*4025*20170722*" /stext=" 01:.+((SYSTEM_STATE.+slice.+state.+changed )|(ment ac)|(multiple cpu faults)|(system.+state.+changed )|(\[timeout)|(PRM\|1\|D)|(kpr)|(kdp)|(train st.+moving)|(\|lc)|(penalty))"</v>
      </c>
      <c r="AG125" s="209" t="str">
        <f t="shared" si="43"/>
        <v>EC</v>
      </c>
      <c r="AH125" s="78" t="str">
        <f t="shared" si="44"/>
        <v>"%USERPROFILE%\Documents\GitHub\eaglep3\Utilities\RefineRTDCRunTimes.py" --tripid 212-21 --locoid 4025 --swversion DE.1.0.9.0 --startMP 204:233130 --initTime 2017-07-21T18:23:12 --startdatetime 2017-07-21T18:27:15 --delay 1 --endMP 204:136 --enddatetime 2017-07-21T19:05:08 --enforcementcount 0 &gt;&gt;C:\Users\stu\Documents\GitHub\eaglep3-reporting\EC\2017-07-21-refined-times.txt</v>
      </c>
      <c r="AI125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{"issue":{"subject":"","project_id":79,"tracker_id":40,"status_id":1,"priority_id":2,"assigned_to_id":23,"start_date":"2017-07-21","description":"","custom_fields":[{"id":1,"name":"Subdivision","value":"EC"},{"id":4,"name":"Milepost","value":"0.0136"},{"id":17,"name":"Train ID","value":"212-21"},{"id":16,"name":"Locomotive ID","value":"4025"},{"id":130,"name":"Impact","value":""},{"id":150,"name":"Time of Event (Mountain Time)","value":"19:05:08"},{"id":151,"name":"Denver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6"/>
        <v>start /low /b %USERPROFILE%\Documents\GitHub\eaglep3\Utilities\DownloadLogsFromS3.py --loco 4025 --day 2017-07-21</v>
      </c>
      <c r="AN125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812</v>
      </c>
      <c r="B126" s="7">
        <v>4054</v>
      </c>
      <c r="C126" s="21" t="s">
        <v>198</v>
      </c>
      <c r="D126" s="21" t="s">
        <v>925</v>
      </c>
      <c r="E126" s="13">
        <v>42937.737928240742</v>
      </c>
      <c r="F126" s="13">
        <v>42937.74009259259</v>
      </c>
      <c r="G126" s="7">
        <v>1</v>
      </c>
      <c r="H126" s="21" t="s">
        <v>566</v>
      </c>
      <c r="I126" s="13">
        <v>42937.764803240738</v>
      </c>
      <c r="J126" s="7">
        <v>0</v>
      </c>
      <c r="K126" s="89" t="str">
        <f t="shared" si="34"/>
        <v>4053/4054</v>
      </c>
      <c r="L126" s="21" t="str">
        <f>VLOOKUP(A126,'Trips&amp;Operators'!$C$1:$G$99999,5,FALSE)</f>
        <v>BIRENBAUM THOMAS</v>
      </c>
      <c r="M126" s="6">
        <f t="shared" si="35"/>
        <v>2.47106481474475E-2</v>
      </c>
      <c r="N126" s="7">
        <f t="shared" si="53"/>
        <v>35.583333332324401</v>
      </c>
      <c r="O126" s="7"/>
      <c r="P126" s="7"/>
      <c r="Q126" s="22"/>
      <c r="R126" s="170"/>
      <c r="S126" s="213">
        <f t="shared" si="52"/>
        <v>1</v>
      </c>
      <c r="T126" s="195" t="str">
        <f t="shared" si="3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8"/>
        <v>https://d0f6bd738d7f1b3e5a7ca70fe4ff75f0.us-east-1.aws.found.io/app/kibana#/discover/Steve-Slow-Train-Analysis-(2080s-and-2083s)?_g=(refreshInterval:(display:Off,pause:!f,section:0,value:0),time:(from:'2017-07-21T16:42:37-0600',mode:absolute,to:'2017-07-21T19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6" s="197" t="str">
        <f>IF(AA126&lt;VLOOKUP(AG126,Variables!$AC$3:$AD$8,2,FALSE),"Y","N")</f>
        <v>N</v>
      </c>
      <c r="X126" s="197">
        <f t="shared" si="51"/>
        <v>1</v>
      </c>
      <c r="Y126" s="197">
        <f t="shared" si="49"/>
        <v>4.8599999999999997E-2</v>
      </c>
      <c r="Z126" s="197">
        <f t="shared" si="50"/>
        <v>23.3322</v>
      </c>
      <c r="AA126" s="197">
        <f t="shared" si="39"/>
        <v>23.2836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0"/>
        <v>213</v>
      </c>
      <c r="AE126" s="77" t="str">
        <f t="shared" si="4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126" s="74" t="str">
        <f t="shared" si="42"/>
        <v>"C:\Program Files (x86)\AstroGrep\AstroGrep.exe" /e /r /s /spath="%USERPROFILE%\AppData\Local\Temp\OnboardLogs" /stypes="app*4054*20170722*" /stext=" 00:.+((SYSTEM_STATE.+slice.+state.+changed )|(ment ac)|(multiple cpu faults)|(system.+state.+changed )|(\[timeout)|(PRM\|1\|D)|(kpr)|(kdp)|(train st.+moving)|(\|lc)|(penalty))"</v>
      </c>
      <c r="AG126" s="209" t="str">
        <f t="shared" si="43"/>
        <v>EC</v>
      </c>
      <c r="AH126" s="78" t="str">
        <f t="shared" si="44"/>
        <v>"%USERPROFILE%\Documents\GitHub\eaglep3\Utilities\RefineRTDCRunTimes.py" --tripid 213-21 --locoid 4054 --swversion DE.1.0.9.0 --startMP 204:486 --initTime 2017-07-21T17:42:37 --startdatetime 2017-07-21T17:45:44 --delay 1 --endMP 204:233322 --enddatetime 2017-07-21T18:21:19 --enforcementcount 0 &gt;&gt;C:\Users\stu\Documents\GitHub\eaglep3-reporting\EC\2017-07-21-refined-times.txt</v>
      </c>
      <c r="AI126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{"issue":{"subject":"","project_id":79,"tracker_id":40,"status_id":1,"priority_id":2,"assigned_to_id":23,"start_date":"2017-07-21","description":"","custom_fields":[{"id":1,"name":"Subdivision","value":"EC"},{"id":4,"name":"Milepost","value":"23.3322"},{"id":17,"name":"Train ID","value":"213-21"},{"id":16,"name":"Locomotive ID","value":"4054"},{"id":130,"name":"Impact","value":""},{"id":150,"name":"Time of Event (Mountain Time)","value":"18:21:19"},{"id":151,"name":"Denver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6"/>
        <v>start /low /b %USERPROFILE%\Documents\GitHub\eaglep3\Utilities\DownloadLogsFromS3.py --loco 4054 --day 2017-07-21</v>
      </c>
      <c r="AN126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822</v>
      </c>
      <c r="B127" s="7">
        <v>4053</v>
      </c>
      <c r="C127" s="21" t="s">
        <v>198</v>
      </c>
      <c r="D127" s="21" t="s">
        <v>464</v>
      </c>
      <c r="E127" s="13">
        <v>42937.771990740737</v>
      </c>
      <c r="F127" s="13">
        <v>42937.779305555552</v>
      </c>
      <c r="G127" s="7">
        <v>1</v>
      </c>
      <c r="H127" s="21" t="s">
        <v>879</v>
      </c>
      <c r="I127" s="13">
        <v>42937.805358796293</v>
      </c>
      <c r="J127" s="7">
        <v>0</v>
      </c>
      <c r="K127" s="89" t="str">
        <f t="shared" si="34"/>
        <v>4053/4054</v>
      </c>
      <c r="L127" s="21" t="str">
        <f>VLOOKUP(A127,'Trips&amp;Operators'!$C$1:$G$99999,5,FALSE)</f>
        <v>BIRENBAUM THOMAS</v>
      </c>
      <c r="M127" s="6">
        <f t="shared" si="35"/>
        <v>2.6053240741021E-2</v>
      </c>
      <c r="N127" s="7">
        <f t="shared" si="53"/>
        <v>37.51666666707024</v>
      </c>
      <c r="O127" s="7"/>
      <c r="P127" s="7"/>
      <c r="Q127" s="22"/>
      <c r="R127" s="170"/>
      <c r="S127" s="213">
        <f t="shared" si="52"/>
        <v>1</v>
      </c>
      <c r="T127" s="195" t="str">
        <f t="shared" si="37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8"/>
        <v>https://d0f6bd738d7f1b3e5a7ca70fe4ff75f0.us-east-1.aws.found.io/app/kibana#/discover/Steve-Slow-Train-Analysis-(2080s-and-2083s)?_g=(refreshInterval:(display:Off,pause:!f,section:0,value:0),time:(from:'2017-07-21T17:31:40-0600',mode:absolute,to:'2017-07-21T20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7" s="197" t="str">
        <f>IF(AA127&lt;VLOOKUP(AG127,Variables!$AC$3:$AD$8,2,FALSE),"Y","N")</f>
        <v>N</v>
      </c>
      <c r="X127" s="197">
        <f t="shared" ref="X127:X156" si="54">VALUE(LEFT(AD127,4))-VALUE(LEFT(AD126,4))</f>
        <v>1</v>
      </c>
      <c r="Y127" s="197">
        <f t="shared" si="49"/>
        <v>23.299399999999999</v>
      </c>
      <c r="Z127" s="197">
        <f t="shared" si="50"/>
        <v>1.67E-2</v>
      </c>
      <c r="AA127" s="197">
        <f t="shared" si="39"/>
        <v>23.282699999999998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0"/>
        <v>214</v>
      </c>
      <c r="AE127" s="77" t="str">
        <f t="shared" si="4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127" s="74" t="str">
        <f t="shared" si="42"/>
        <v>"C:\Program Files (x86)\AstroGrep\AstroGrep.exe" /e /r /s /spath="%USERPROFILE%\AppData\Local\Temp\OnboardLogs" /stypes="app*4053*20170722*" /stext=" 01:.+((SYSTEM_STATE.+slice.+state.+changed )|(ment ac)|(multiple cpu faults)|(system.+state.+changed )|(\[timeout)|(PRM\|1\|D)|(kpr)|(kdp)|(train st.+moving)|(\|lc)|(penalty))"</v>
      </c>
      <c r="AG127" s="209" t="str">
        <f t="shared" si="43"/>
        <v>EC</v>
      </c>
      <c r="AH127" s="78" t="str">
        <f t="shared" si="44"/>
        <v>"%USERPROFILE%\Documents\GitHub\eaglep3\Utilities\RefineRTDCRunTimes.py" --tripid 214-21 --locoid 4053 --swversion DE.1.0.9.0 --startMP 204:232994 --initTime 2017-07-21T18:31:40 --startdatetime 2017-07-21T18:42:12 --delay 1 --endMP 204:167 --enddatetime 2017-07-21T19:19:43 --enforcementcount 0 &gt;&gt;C:\Users\stu\Documents\GitHub\eaglep3-reporting\EC\2017-07-21-refined-times.txt</v>
      </c>
      <c r="AI127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{"issue":{"subject":"","project_id":79,"tracker_id":40,"status_id":1,"priority_id":2,"assigned_to_id":23,"start_date":"2017-07-21","description":"","custom_fields":[{"id":1,"name":"Subdivision","value":"EC"},{"id":4,"name":"Milepost","value":"0.0167"},{"id":17,"name":"Train ID","value":"214-21"},{"id":16,"name":"Locomotive ID","value":"4053"},{"id":130,"name":"Impact","value":""},{"id":150,"name":"Time of Event (Mountain Time)","value":"19:19:43"},{"id":151,"name":"Denver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6"/>
        <v>start /low /b %USERPROFILE%\Documents\GitHub\eaglep3\Utilities\DownloadLogsFromS3.py --loco 4053 --day 2017-07-21</v>
      </c>
      <c r="AN127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646</v>
      </c>
      <c r="B128" s="7">
        <v>4058</v>
      </c>
      <c r="C128" s="21" t="s">
        <v>198</v>
      </c>
      <c r="D128" s="21" t="s">
        <v>926</v>
      </c>
      <c r="E128" s="13">
        <v>42937.746574074074</v>
      </c>
      <c r="F128" s="13">
        <v>42937.750555555554</v>
      </c>
      <c r="G128" s="7">
        <v>1</v>
      </c>
      <c r="H128" s="21" t="s">
        <v>532</v>
      </c>
      <c r="I128" s="13">
        <v>42937.776342592595</v>
      </c>
      <c r="J128" s="7">
        <v>0</v>
      </c>
      <c r="K128" s="89" t="str">
        <f t="shared" si="34"/>
        <v>4057/4058</v>
      </c>
      <c r="L128" s="21" t="str">
        <f>VLOOKUP(A128,'Trips&amp;Operators'!$C$1:$G$99999,5,FALSE)</f>
        <v>ELBAUM MIKE</v>
      </c>
      <c r="M128" s="6">
        <f t="shared" si="35"/>
        <v>2.5787037040572613E-2</v>
      </c>
      <c r="N128" s="7">
        <f t="shared" si="53"/>
        <v>37.133333338424563</v>
      </c>
      <c r="O128" s="7"/>
      <c r="P128" s="7"/>
      <c r="Q128" s="22"/>
      <c r="R128" s="170"/>
      <c r="S128" s="213">
        <f t="shared" si="52"/>
        <v>1</v>
      </c>
      <c r="T128" s="195" t="str">
        <f t="shared" si="37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8"/>
        <v>https://d0f6bd738d7f1b3e5a7ca70fe4ff75f0.us-east-1.aws.found.io/app/kibana#/discover/Steve-Slow-Train-Analysis-(2080s-and-2083s)?_g=(refreshInterval:(display:Off,pause:!f,section:0,value:0),time:(from:'2017-07-21T16:55:04-0600',mode:absolute,to:'2017-07-21T19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8" s="197" t="str">
        <f>IF(AA128&lt;VLOOKUP(AG128,Variables!$AC$3:$AD$8,2,FALSE),"Y","N")</f>
        <v>N</v>
      </c>
      <c r="X128" s="197">
        <f t="shared" si="54"/>
        <v>1</v>
      </c>
      <c r="Y128" s="197">
        <f t="shared" si="49"/>
        <v>4.9799999999999997E-2</v>
      </c>
      <c r="Z128" s="197">
        <f t="shared" si="50"/>
        <v>23.3306</v>
      </c>
      <c r="AA128" s="197">
        <f t="shared" si="39"/>
        <v>23.280799999999999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0"/>
        <v>215</v>
      </c>
      <c r="AE128" s="77" t="str">
        <f t="shared" si="41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128" s="74" t="str">
        <f t="shared" si="42"/>
        <v>"C:\Program Files (x86)\AstroGrep\AstroGrep.exe" /e /r /s /spath="%USERPROFILE%\AppData\Local\Temp\OnboardLogs" /stypes="app*4058*20170722*" /stext=" 00:.+((SYSTEM_STATE.+slice.+state.+changed )|(ment ac)|(multiple cpu faults)|(system.+state.+changed )|(\[timeout)|(PRM\|1\|D)|(kpr)|(kdp)|(train st.+moving)|(\|lc)|(penalty))"</v>
      </c>
      <c r="AG128" s="209" t="str">
        <f t="shared" si="43"/>
        <v>EC</v>
      </c>
      <c r="AH128" s="78" t="str">
        <f t="shared" si="44"/>
        <v>"%USERPROFILE%\Documents\GitHub\eaglep3\Utilities\RefineRTDCRunTimes.py" --tripid 215-21 --locoid 4058 --swversion DE.1.0.9.0 --startMP 204:498 --initTime 2017-07-21T17:55:04 --startdatetime 2017-07-21T18:00:48 --delay 1 --endMP 204:233306 --enddatetime 2017-07-21T18:37:56 --enforcementcount 0 &gt;&gt;C:\Users\stu\Documents\GitHub\eaglep3-reporting\EC\2017-07-21-refined-times.txt</v>
      </c>
      <c r="AI128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{"issue":{"subject":"","project_id":79,"tracker_id":40,"status_id":1,"priority_id":2,"assigned_to_id":23,"start_date":"2017-07-21","description":"","custom_fields":[{"id":1,"name":"Subdivision","value":"EC"},{"id":4,"name":"Milepost","value":"23.3306"},{"id":17,"name":"Train ID","value":"215-21"},{"id":16,"name":"Locomotive ID","value":"4058"},{"id":130,"name":"Impact","value":""},{"id":150,"name":"Time of Event (Mountain Time)","value":"18:37:56"},{"id":151,"name":"Denver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6"/>
        <v>start /low /b %USERPROFILE%\Documents\GitHub\eaglep3\Utilities\DownloadLogsFromS3.py --loco 4058 --day 2017-07-21</v>
      </c>
      <c r="AN128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824</v>
      </c>
      <c r="B129" s="7">
        <v>4057</v>
      </c>
      <c r="C129" s="21" t="s">
        <v>198</v>
      </c>
      <c r="D129" s="21" t="s">
        <v>530</v>
      </c>
      <c r="E129" s="13">
        <v>42937.77783564815</v>
      </c>
      <c r="F129" s="13">
        <v>42937.789803240739</v>
      </c>
      <c r="G129" s="7">
        <v>1</v>
      </c>
      <c r="H129" s="21" t="s">
        <v>507</v>
      </c>
      <c r="I129" s="13">
        <v>42937.817557870374</v>
      </c>
      <c r="J129" s="7">
        <v>0</v>
      </c>
      <c r="K129" s="89" t="str">
        <f t="shared" si="34"/>
        <v>4057/4058</v>
      </c>
      <c r="L129" s="21" t="str">
        <f>VLOOKUP(A129,'Trips&amp;Operators'!$C$1:$G$99999,5,FALSE)</f>
        <v>ELBAUM MIKE</v>
      </c>
      <c r="M129" s="6">
        <f t="shared" si="35"/>
        <v>2.775462963472819E-2</v>
      </c>
      <c r="N129" s="7">
        <f t="shared" si="53"/>
        <v>39.966666674008593</v>
      </c>
      <c r="O129" s="7"/>
      <c r="P129" s="7"/>
      <c r="Q129" s="22"/>
      <c r="R129" s="170"/>
      <c r="S129" s="213">
        <f t="shared" si="52"/>
        <v>1</v>
      </c>
      <c r="T129" s="195" t="str">
        <f t="shared" si="37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8"/>
        <v>https://d0f6bd738d7f1b3e5a7ca70fe4ff75f0.us-east-1.aws.found.io/app/kibana#/discover/Steve-Slow-Train-Analysis-(2080s-and-2083s)?_g=(refreshInterval:(display:Off,pause:!f,section:0,value:0),time:(from:'2017-07-21T17:40:05-0600',mode:absolute,to:'2017-07-21T20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9" s="197" t="str">
        <f>IF(AA129&lt;VLOOKUP(AG129,Variables!$AC$3:$AD$8,2,FALSE),"Y","N")</f>
        <v>N</v>
      </c>
      <c r="X129" s="197">
        <f t="shared" si="54"/>
        <v>1</v>
      </c>
      <c r="Y129" s="197">
        <f t="shared" si="49"/>
        <v>23.2989</v>
      </c>
      <c r="Z129" s="197">
        <f t="shared" si="50"/>
        <v>1.32E-2</v>
      </c>
      <c r="AA129" s="197">
        <f t="shared" si="39"/>
        <v>23.285699999999999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0"/>
        <v>216</v>
      </c>
      <c r="AE129" s="77" t="str">
        <f t="shared" si="41"/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AF129" s="74" t="str">
        <f t="shared" si="42"/>
        <v>"C:\Program Files (x86)\AstroGrep\AstroGrep.exe" /e /r /s /spath="%USERPROFILE%\AppData\Local\Temp\OnboardLogs" /stypes="app*4057*20170722*" /stext=" 01:.+((SYSTEM_STATE.+slice.+state.+changed )|(ment ac)|(multiple cpu faults)|(system.+state.+changed )|(\[timeout)|(PRM\|1\|D)|(kpr)|(kdp)|(train st.+moving)|(\|lc)|(penalty))"</v>
      </c>
      <c r="AG129" s="209" t="str">
        <f t="shared" si="43"/>
        <v>EC</v>
      </c>
      <c r="AH129" s="78" t="str">
        <f t="shared" si="44"/>
        <v>"%USERPROFILE%\Documents\GitHub\eaglep3\Utilities\RefineRTDCRunTimes.py" --tripid 216-21 --locoid 4057 --swversion DE.1.0.9.0 --startMP 204:232989 --initTime 2017-07-21T18:40:05 --startdatetime 2017-07-21T18:57:19 --delay 1 --endMP 204:132 --enddatetime 2017-07-21T19:37:17 --enforcementcount 0 &gt;&gt;C:\Users\stu\Documents\GitHub\eaglep3-reporting\EC\2017-07-21-refined-times.txt</v>
      </c>
      <c r="AI129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{"issue":{"subject":"","project_id":79,"tracker_id":40,"status_id":1,"priority_id":2,"assigned_to_id":23,"start_date":"2017-07-21","description":"","custom_fields":[{"id":1,"name":"Subdivision","value":"EC"},{"id":4,"name":"Milepost","value":"0.0132"},{"id":17,"name":"Train ID","value":"216-21"},{"id":16,"name":"Locomotive ID","value":"4057"},{"id":130,"name":"Impact","value":""},{"id":150,"name":"Time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6"/>
        <v>start /low /b %USERPROFILE%\Documents\GitHub\eaglep3\Utilities\DownloadLogsFromS3.py --loco 4057 --day 2017-07-21</v>
      </c>
      <c r="AN129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819</v>
      </c>
      <c r="B130" s="7">
        <v>4030</v>
      </c>
      <c r="C130" s="21" t="s">
        <v>198</v>
      </c>
      <c r="D130" s="21" t="s">
        <v>570</v>
      </c>
      <c r="E130" s="13">
        <v>42937.757152777776</v>
      </c>
      <c r="F130" s="13">
        <v>42937.761099537034</v>
      </c>
      <c r="G130" s="7">
        <v>1</v>
      </c>
      <c r="H130" s="21" t="s">
        <v>582</v>
      </c>
      <c r="I130" s="13">
        <v>42937.786932870367</v>
      </c>
      <c r="J130" s="7">
        <v>0</v>
      </c>
      <c r="K130" s="89" t="str">
        <f t="shared" si="34"/>
        <v>4029/4030</v>
      </c>
      <c r="L130" s="21" t="str">
        <f>VLOOKUP(A130,'Trips&amp;Operators'!$C$1:$G$99999,5,FALSE)</f>
        <v>PERKINS DARREN</v>
      </c>
      <c r="M130" s="6">
        <f t="shared" si="35"/>
        <v>2.5833333333139308E-2</v>
      </c>
      <c r="N130" s="7">
        <f t="shared" si="53"/>
        <v>37.199999999720603</v>
      </c>
      <c r="O130" s="7"/>
      <c r="P130" s="7"/>
      <c r="Q130" s="22"/>
      <c r="R130" s="170"/>
      <c r="S130" s="213">
        <f t="shared" si="52"/>
        <v>1</v>
      </c>
      <c r="T130" s="195" t="str">
        <f t="shared" si="37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8"/>
        <v>https://d0f6bd738d7f1b3e5a7ca70fe4ff75f0.us-east-1.aws.found.io/app/kibana#/discover/Steve-Slow-Train-Analysis-(2080s-and-2083s)?_g=(refreshInterval:(display:Off,pause:!f,section:0,value:0),time:(from:'2017-07-21T17:10:18-0600',mode:absolute,to:'2017-07-21T19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97" t="str">
        <f>IF(AA130&lt;VLOOKUP(AG130,Variables!$AC$3:$AD$8,2,FALSE),"Y","N")</f>
        <v>N</v>
      </c>
      <c r="X130" s="197">
        <f t="shared" si="54"/>
        <v>1</v>
      </c>
      <c r="Y130" s="197">
        <f t="shared" si="49"/>
        <v>4.3799999999999999E-2</v>
      </c>
      <c r="Z130" s="197">
        <f t="shared" si="50"/>
        <v>23.333400000000001</v>
      </c>
      <c r="AA130" s="197">
        <f t="shared" si="39"/>
        <v>23.2896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0"/>
        <v>217</v>
      </c>
      <c r="AE130" s="77" t="str">
        <f t="shared" si="4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130" s="74" t="str">
        <f t="shared" si="42"/>
        <v>"C:\Program Files (x86)\AstroGrep\AstroGrep.exe" /e /r /s /spath="%USERPROFILE%\AppData\Local\Temp\OnboardLogs" /stypes="app*4030*20170722*" /stext=" 00:.+((SYSTEM_STATE.+slice.+state.+changed )|(ment ac)|(multiple cpu faults)|(system.+state.+changed )|(\[timeout)|(PRM\|1\|D)|(kpr)|(kdp)|(train st.+moving)|(\|lc)|(penalty))"</v>
      </c>
      <c r="AG130" s="209" t="str">
        <f t="shared" si="43"/>
        <v>EC</v>
      </c>
      <c r="AH130" s="78" t="str">
        <f t="shared" si="44"/>
        <v>"%USERPROFILE%\Documents\GitHub\eaglep3\Utilities\RefineRTDCRunTimes.py" --tripid 217-21 --locoid 4030 --swversion DE.1.0.9.0 --startMP 204:438 --initTime 2017-07-21T18:10:18 --startdatetime 2017-07-21T18:15:59 --delay 1 --endMP 204:233334 --enddatetime 2017-07-21T18:53:11 --enforcementcount 0 &gt;&gt;C:\Users\stu\Documents\GitHub\eaglep3-reporting\EC\2017-07-21-refined-times.txt</v>
      </c>
      <c r="AI130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{"issue":{"subject":"","project_id":79,"tracker_id":40,"status_id":1,"priority_id":2,"assigned_to_id":23,"start_date":"2017-07-21","description":"","custom_fields":[{"id":1,"name":"Subdivision","value":"EC"},{"id":4,"name":"Milepost","value":"23.3334"},{"id":17,"name":"Train ID","value":"217-21"},{"id":16,"name":"Locomotive ID","value":"4030"},{"id":130,"name":"Impact","value":""},{"id":150,"name":"Time of Event (Mountain Time)","value":"18:53:11"},{"id":151,"name":"Denver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6"/>
        <v>start /low /b %USERPROFILE%\Documents\GitHub\eaglep3\Utilities\DownloadLogsFromS3.py --loco 4030 --day 2017-07-21</v>
      </c>
      <c r="AN130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828</v>
      </c>
      <c r="B131" s="7">
        <v>4029</v>
      </c>
      <c r="C131" s="21" t="s">
        <v>198</v>
      </c>
      <c r="D131" s="21" t="s">
        <v>579</v>
      </c>
      <c r="E131" s="13">
        <v>42937.794074074074</v>
      </c>
      <c r="F131" s="13">
        <v>42937.800208333334</v>
      </c>
      <c r="G131" s="7">
        <v>1</v>
      </c>
      <c r="H131" s="21" t="s">
        <v>343</v>
      </c>
      <c r="I131" s="13">
        <v>42937.826678240737</v>
      </c>
      <c r="J131" s="7">
        <v>0</v>
      </c>
      <c r="K131" s="89" t="str">
        <f t="shared" si="34"/>
        <v>4029/4030</v>
      </c>
      <c r="L131" s="21" t="str">
        <f>VLOOKUP(A131,'Trips&amp;Operators'!$C$1:$G$99999,5,FALSE)</f>
        <v>PERKINS DARREN</v>
      </c>
      <c r="M131" s="6">
        <f t="shared" si="35"/>
        <v>2.6469907403225079E-2</v>
      </c>
      <c r="N131" s="7">
        <f t="shared" si="53"/>
        <v>38.116666660644114</v>
      </c>
      <c r="O131" s="7"/>
      <c r="P131" s="7"/>
      <c r="Q131" s="22"/>
      <c r="R131" s="170"/>
      <c r="S131" s="213">
        <f t="shared" si="52"/>
        <v>1</v>
      </c>
      <c r="T131" s="195" t="str">
        <f t="shared" si="37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8"/>
        <v>https://d0f6bd738d7f1b3e5a7ca70fe4ff75f0.us-east-1.aws.found.io/app/kibana#/discover/Steve-Slow-Train-Analysis-(2080s-and-2083s)?_g=(refreshInterval:(display:Off,pause:!f,section:0,value:0),time:(from:'2017-07-21T18:03:28-0600',mode:absolute,to:'2017-07-21T20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97" t="str">
        <f>IF(AA131&lt;VLOOKUP(AG131,Variables!$AC$3:$AD$8,2,FALSE),"Y","N")</f>
        <v>N</v>
      </c>
      <c r="X131" s="197">
        <f t="shared" si="54"/>
        <v>1</v>
      </c>
      <c r="Y131" s="197">
        <f t="shared" si="49"/>
        <v>23.298999999999999</v>
      </c>
      <c r="Z131" s="197">
        <f t="shared" si="50"/>
        <v>1.43E-2</v>
      </c>
      <c r="AA131" s="197">
        <f t="shared" si="39"/>
        <v>23.284700000000001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0"/>
        <v>218</v>
      </c>
      <c r="AE131" s="77" t="str">
        <f t="shared" si="4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131" s="74" t="str">
        <f t="shared" si="42"/>
        <v>"C:\Program Files (x86)\AstroGrep\AstroGrep.exe" /e /r /s /spath="%USERPROFILE%\AppData\Local\Temp\OnboardLogs" /stypes="app*4029*20170722*" /stext=" 01:.+((SYSTEM_STATE.+slice.+state.+changed )|(ment ac)|(multiple cpu faults)|(system.+state.+changed )|(\[timeout)|(PRM\|1\|D)|(kpr)|(kdp)|(train st.+moving)|(\|lc)|(penalty))"</v>
      </c>
      <c r="AG131" s="209" t="str">
        <f t="shared" si="43"/>
        <v>EC</v>
      </c>
      <c r="AH131" s="78" t="str">
        <f t="shared" si="44"/>
        <v>"%USERPROFILE%\Documents\GitHub\eaglep3\Utilities\RefineRTDCRunTimes.py" --tripid 218-21 --locoid 4029 --swversion DE.1.0.9.0 --startMP 204:232990 --initTime 2017-07-21T19:03:28 --startdatetime 2017-07-21T19:12:18 --delay 1 --endMP 204:143 --enddatetime 2017-07-21T19:50:25 --enforcementcount 0 &gt;&gt;C:\Users\stu\Documents\GitHub\eaglep3-reporting\EC\2017-07-21-refined-times.txt</v>
      </c>
      <c r="AI13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{"issue":{"subject":"","project_id":79,"tracker_id":40,"status_id":1,"priority_id":2,"assigned_to_id":23,"start_date":"2017-07-21","description":"","custom_fields":[{"id":1,"name":"Subdivision","value":"EC"},{"id":4,"name":"Milepost","value":"0.0143"},{"id":17,"name":"Train ID","value":"218-21"},{"id":16,"name":"Locomotive ID","value":"4029"},{"id":130,"name":"Impact","value":""},{"id":150,"name":"Time of Event (Mountain Time)","value":"19:50:25"},{"id":151,"name":"Denver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6"/>
        <v>start /low /b %USERPROFILE%\Documents\GitHub\eaglep3\Utilities\DownloadLogsFromS3.py --loco 4029 --day 2017-07-21</v>
      </c>
      <c r="AN131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821</v>
      </c>
      <c r="B132" s="7">
        <v>4046</v>
      </c>
      <c r="C132" s="21" t="s">
        <v>198</v>
      </c>
      <c r="D132" s="21" t="s">
        <v>416</v>
      </c>
      <c r="E132" s="13">
        <v>42937.76835648148</v>
      </c>
      <c r="F132" s="13">
        <v>42937.771354166667</v>
      </c>
      <c r="G132" s="7">
        <v>2</v>
      </c>
      <c r="H132" s="21" t="s">
        <v>916</v>
      </c>
      <c r="I132" s="13">
        <v>42937.797048611108</v>
      </c>
      <c r="J132" s="7">
        <v>0</v>
      </c>
      <c r="K132" s="89" t="str">
        <f t="shared" si="34"/>
        <v>4045/4046</v>
      </c>
      <c r="L132" s="21" t="str">
        <f>VLOOKUP(A132,'Trips&amp;Operators'!$C$1:$G$99999,5,FALSE)</f>
        <v>FORTUNATO FRANK</v>
      </c>
      <c r="M132" s="6">
        <f t="shared" si="35"/>
        <v>2.569444444088731E-2</v>
      </c>
      <c r="N132" s="7">
        <f t="shared" si="53"/>
        <v>36.999999994877726</v>
      </c>
      <c r="O132" s="7"/>
      <c r="P132" s="7"/>
      <c r="Q132" s="22"/>
      <c r="R132" s="170"/>
      <c r="S132" s="213">
        <f t="shared" si="52"/>
        <v>1</v>
      </c>
      <c r="T132" s="195" t="str">
        <f t="shared" si="37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8"/>
        <v>https://d0f6bd738d7f1b3e5a7ca70fe4ff75f0.us-east-1.aws.found.io/app/kibana#/discover/Steve-Slow-Train-Analysis-(2080s-and-2083s)?_g=(refreshInterval:(display:Off,pause:!f,section:0,value:0),time:(from:'2017-07-21T17:26:26-0600',mode:absolute,to:'2017-07-21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97" t="str">
        <f>IF(AA132&lt;VLOOKUP(AG132,Variables!$AC$3:$AD$8,2,FALSE),"Y","N")</f>
        <v>N</v>
      </c>
      <c r="X132" s="197">
        <f t="shared" si="54"/>
        <v>1</v>
      </c>
      <c r="Y132" s="197">
        <f t="shared" si="49"/>
        <v>4.3499999999999997E-2</v>
      </c>
      <c r="Z132" s="197">
        <f t="shared" si="50"/>
        <v>23.334700000000002</v>
      </c>
      <c r="AA132" s="197">
        <f t="shared" si="39"/>
        <v>23.2912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0"/>
        <v>219</v>
      </c>
      <c r="AE132" s="77" t="str">
        <f t="shared" si="41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132" s="74" t="str">
        <f t="shared" si="42"/>
        <v>"C:\Program Files (x86)\AstroGrep\AstroGrep.exe" /e /r /s /spath="%USERPROFILE%\AppData\Local\Temp\OnboardLogs" /stypes="app*4046*20170722*" /stext=" 01:.+((SYSTEM_STATE.+slice.+state.+changed )|(ment ac)|(multiple cpu faults)|(system.+state.+changed )|(\[timeout)|(PRM\|1\|D)|(kpr)|(kdp)|(train st.+moving)|(\|lc)|(penalty))"</v>
      </c>
      <c r="AG132" s="209" t="str">
        <f t="shared" si="43"/>
        <v>EC</v>
      </c>
      <c r="AH132" s="78" t="str">
        <f t="shared" si="44"/>
        <v>"%USERPROFILE%\Documents\GitHub\eaglep3\Utilities\RefineRTDCRunTimes.py" --tripid 219-21 --locoid 4046 --swversion DE.1.0.9.0 --startMP 204:435 --initTime 2017-07-21T18:26:26 --startdatetime 2017-07-21T18:30:45 --delay 2 --endMP 204:233347 --enddatetime 2017-07-21T19:07:45 --enforcementcount 0 &gt;&gt;C:\Users\stu\Documents\GitHub\eaglep3-reporting\EC\2017-07-21-refined-times.txt</v>
      </c>
      <c r="AI13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{"issue":{"subject":"","project_id":79,"tracker_id":40,"status_id":1,"priority_id":2,"assigned_to_id":23,"start_date":"2017-07-21","description":"","custom_fields":[{"id":1,"name":"Subdivision","value":"EC"},{"id":4,"name":"Milepost","value":"23.3347"},{"id":17,"name":"Train ID","value":"219-21"},{"id":16,"name":"Locomotive ID","value":"4046"},{"id":130,"name":"Impact","value":""},{"id":150,"name":"Time of Event (Mountain Time)","value":"19:07:45"},{"id":151,"name":"Denver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6"/>
        <v>start /low /b %USERPROFILE%\Documents\GitHub\eaglep3\Utilities\DownloadLogsFromS3.py --loco 4046 --day 2017-07-21</v>
      </c>
      <c r="AN132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651</v>
      </c>
      <c r="B133" s="7">
        <v>4045</v>
      </c>
      <c r="C133" s="21" t="s">
        <v>198</v>
      </c>
      <c r="D133" s="21" t="s">
        <v>393</v>
      </c>
      <c r="E133" s="13">
        <v>42937.808472222219</v>
      </c>
      <c r="F133" s="13">
        <v>42937.809351851851</v>
      </c>
      <c r="G133" s="7">
        <v>1</v>
      </c>
      <c r="H133" s="21" t="s">
        <v>927</v>
      </c>
      <c r="I133" s="13">
        <v>42937.826550925929</v>
      </c>
      <c r="J133" s="7">
        <v>1</v>
      </c>
      <c r="K133" s="89" t="str">
        <f t="shared" si="34"/>
        <v>4045/4046</v>
      </c>
      <c r="L133" s="21" t="str">
        <f>VLOOKUP(A133,'Trips&amp;Operators'!$C$1:$G$99999,5,FALSE)</f>
        <v>FORTUNATO FRANK</v>
      </c>
      <c r="M133" s="6">
        <f t="shared" si="35"/>
        <v>1.7199074078234844E-2</v>
      </c>
      <c r="N133" s="7">
        <f>24*60*SUM($M133:$M134)</f>
        <v>49.083333344897255</v>
      </c>
      <c r="O133" s="7"/>
      <c r="P133" s="7"/>
      <c r="Q133" s="22"/>
      <c r="R133" s="170" t="s">
        <v>1045</v>
      </c>
      <c r="S133" s="213">
        <f>1/IF(AG133="EC",12,1)*SUM(U133:U134)</f>
        <v>1</v>
      </c>
      <c r="T133" s="195" t="str">
        <f t="shared" si="37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2</v>
      </c>
      <c r="V133" s="196" t="str">
        <f t="shared" si="38"/>
        <v>https://d0f6bd738d7f1b3e5a7ca70fe4ff75f0.us-east-1.aws.found.io/app/kibana#/discover/Steve-Slow-Train-Analysis-(2080s-and-2083s)?_g=(refreshInterval:(display:Off,pause:!f,section:0,value:0),time:(from:'2017-07-21T18:24:12-0600',mode:absolute,to:'2017-07-21T20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97" t="str">
        <f>IF(AA133&lt;VLOOKUP(AG133,Variables!$AC$3:$AD$8,2,FALSE),"Y","N")</f>
        <v>Y</v>
      </c>
      <c r="X133" s="197">
        <f t="shared" si="54"/>
        <v>1</v>
      </c>
      <c r="Y133" s="197">
        <f t="shared" si="49"/>
        <v>23.299600000000002</v>
      </c>
      <c r="Z133" s="197">
        <f t="shared" si="50"/>
        <v>8.6349999999999998</v>
      </c>
      <c r="AA133" s="197">
        <f t="shared" si="39"/>
        <v>14.664600000000002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0"/>
        <v>220</v>
      </c>
      <c r="AE133" s="77" t="str">
        <f t="shared" si="4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133" s="74" t="str">
        <f t="shared" si="42"/>
        <v>"C:\Program Files (x86)\AstroGrep\AstroGrep.exe" /e /r /s /spath="%USERPROFILE%\AppData\Local\Temp\OnboardLogs" /stypes="app*4045*20170722*" /stext=" 01:.+((SYSTEM_STATE.+slice.+state.+changed )|(ment ac)|(multiple cpu faults)|(system.+state.+changed )|(\[timeout)|(PRM\|1\|D)|(kpr)|(kdp)|(train st.+moving)|(\|lc)|(penalty))"</v>
      </c>
      <c r="AG133" s="209" t="str">
        <f t="shared" si="43"/>
        <v>EC</v>
      </c>
      <c r="AH133" s="78" t="str">
        <f t="shared" si="44"/>
        <v>"%USERPROFILE%\Documents\GitHub\eaglep3\Utilities\RefineRTDCRunTimes.py" --tripid 220-21 --locoid 4045 --swversion DE.1.0.9.0 --startMP 204:232996 --initTime 2017-07-21T19:24:12 --startdatetime 2017-07-21T19:25:28 --delay 1 --endMP 204:86350 --enddatetime 2017-07-21T19:50:14 --enforcementcount 1 &gt;&gt;C:\Users\stu\Documents\GitHub\eaglep3-reporting\EC\2017-07-21-refined-times.txt</v>
      </c>
      <c r="AI133" s="96" t="str">
        <f t="shared" si="45"/>
        <v>echo {"issue":{"subject":"Re-init due to accidental emergency","project_id":79,"tracker_id":40,"status_id":1,"priority_id":2,"assigned_to_id":23,"start_date":"2017-07-21","description":"","custom_fields":[{"id":1,"name":"Subdivision","value":"EC"},{"id":4,"name":"Milepost","value":"8.635"},{"id":17,"name":"Train ID","value":"220-21"},{"id":16,"name":"Locomotive ID","value":"4045"},{"id":130,"name":"Impact","value":""},{"id":150,"name":"Time of Event (Mountain Time)","value":"19:50:14"},{"id":151,"name":"Denver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6"/>
        <v>start /low /b %USERPROFILE%\Documents\GitHub\eaglep3\Utilities\DownloadLogsFromS3.py --loco 4045 --day 2017-07-21</v>
      </c>
      <c r="AN133" s="151" t="str">
        <f t="shared" si="47"/>
        <v>echo {"issue":{"subject":"Re-init due to accidental emergency","project_id":30,"tracker_id":4,"status_id":1,"priority_id":1,"assigned_to_id":10,"start_date":"2017-07-22","description":"","custom_fields":[{"id":30,"name":"Category","value":"Issue"},{"id":3,"name":"Functional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651</v>
      </c>
      <c r="B134" s="7">
        <v>4045</v>
      </c>
      <c r="C134" s="21" t="s">
        <v>198</v>
      </c>
      <c r="D134" s="21" t="s">
        <v>928</v>
      </c>
      <c r="E134" s="13">
        <v>42937.828530092593</v>
      </c>
      <c r="F134" s="13">
        <v>42937.829363425924</v>
      </c>
      <c r="G134" s="7">
        <v>1</v>
      </c>
      <c r="H134" s="21" t="s">
        <v>909</v>
      </c>
      <c r="I134" s="13">
        <v>42937.846250000002</v>
      </c>
      <c r="J134" s="7">
        <v>0</v>
      </c>
      <c r="K134" s="89" t="str">
        <f t="shared" si="34"/>
        <v>4045/4046</v>
      </c>
      <c r="L134" s="21" t="str">
        <f>VLOOKUP(A134,'Trips&amp;Operators'!$C$1:$G$99999,5,FALSE)</f>
        <v>FORTUNATO FRANK</v>
      </c>
      <c r="M134" s="6">
        <f t="shared" si="35"/>
        <v>1.6886574077943806E-2</v>
      </c>
      <c r="N134" s="7"/>
      <c r="O134" s="7"/>
      <c r="P134" s="7"/>
      <c r="Q134" s="22"/>
      <c r="R134" s="170"/>
      <c r="S134" s="213"/>
      <c r="T134" s="195" t="str">
        <f t="shared" si="37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10</v>
      </c>
      <c r="V134" s="196" t="str">
        <f t="shared" si="38"/>
        <v>https://d0f6bd738d7f1b3e5a7ca70fe4ff75f0.us-east-1.aws.found.io/app/kibana#/discover/Steve-Slow-Train-Analysis-(2080s-and-2083s)?_g=(refreshInterval:(display:Off,pause:!f,section:0,value:0),time:(from:'2017-07-21T18:53:05-0600',mode:absolute,to:'2017-07-21T21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197" t="str">
        <f>IF(AA134&lt;VLOOKUP(AG134,Variables!$AC$3:$AD$8,2,FALSE),"Y","N")</f>
        <v>Y</v>
      </c>
      <c r="X134" s="197">
        <f t="shared" si="54"/>
        <v>0</v>
      </c>
      <c r="Y134" s="197">
        <f t="shared" si="49"/>
        <v>8.6224000000000007</v>
      </c>
      <c r="Z134" s="197">
        <f t="shared" si="50"/>
        <v>1.2699999999999999E-2</v>
      </c>
      <c r="AA134" s="197">
        <f t="shared" si="39"/>
        <v>8.6097000000000001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0"/>
        <v>220</v>
      </c>
      <c r="AE134" s="77" t="str">
        <f t="shared" si="41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134" s="74" t="str">
        <f t="shared" si="42"/>
        <v>"C:\Program Files (x86)\AstroGrep\AstroGrep.exe" /e /r /s /spath="%USERPROFILE%\AppData\Local\Temp\OnboardLogs" /stypes="app*4045*20170722*" /stext=" 02:.+((SYSTEM_STATE.+slice.+state.+changed )|(ment ac)|(multiple cpu faults)|(system.+state.+changed )|(\[timeout)|(PRM\|1\|D)|(kpr)|(kdp)|(train st.+moving)|(\|lc)|(penalty))"</v>
      </c>
      <c r="AG134" s="209" t="str">
        <f t="shared" si="43"/>
        <v>EC</v>
      </c>
      <c r="AH134" s="78" t="str">
        <f t="shared" si="44"/>
        <v>"%USERPROFILE%\Documents\GitHub\eaglep3\Utilities\RefineRTDCRunTimes.py" --tripid 220-21 --locoid 4045 --swversion DE.1.0.9.0 --startMP 204:86224 --initTime 2017-07-21T19:53:05 --startdatetime 2017-07-21T19:54:17 --delay 1 --endMP 204:127 --enddatetime 2017-07-21T20:18:36 --enforcementcount 0 &gt;&gt;C:\Users\stu\Documents\GitHub\eaglep3-reporting\EC\2017-07-21-refined-times.txt</v>
      </c>
      <c r="AI134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{"issue":{"subject":"","project_id":79,"tracker_id":40,"status_id":1,"priority_id":2,"assigned_to_id":23,"start_date":"2017-07-21","description":"","custom_fields":[{"id":1,"name":"Subdivision","value":"EC"},{"id":4,"name":"Milepost","value":"0.0127"},{"id":17,"name":"Train ID","value":"220-21"},{"id":16,"name":"Locomotive ID","value":"4045"},{"id":130,"name":"Impact","value":""},{"id":150,"name":"Time of Event (Mountain Time)","value":"20:18:36"},{"id":151,"name":"Denver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6"/>
        <v>start /low /b %USERPROFILE%\Documents\GitHub\eaglep3\Utilities\DownloadLogsFromS3.py --loco 4045 --day 2017-07-21</v>
      </c>
      <c r="AN134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826</v>
      </c>
      <c r="B135" s="7">
        <v>4032</v>
      </c>
      <c r="C135" s="21" t="s">
        <v>198</v>
      </c>
      <c r="D135" s="21" t="s">
        <v>537</v>
      </c>
      <c r="E135" s="13">
        <v>42937.788182870368</v>
      </c>
      <c r="F135" s="13">
        <v>42937.792291666665</v>
      </c>
      <c r="G135" s="7">
        <v>1</v>
      </c>
      <c r="H135" s="21" t="s">
        <v>531</v>
      </c>
      <c r="I135" s="13">
        <v>42937.816863425927</v>
      </c>
      <c r="J135" s="7">
        <v>0</v>
      </c>
      <c r="K135" s="89" t="str">
        <f t="shared" si="34"/>
        <v>4031/4032</v>
      </c>
      <c r="L135" s="21" t="str">
        <f>VLOOKUP(A135,'Trips&amp;Operators'!$C$1:$G$99999,5,FALSE)</f>
        <v>LAMAR NEKESHA</v>
      </c>
      <c r="M135" s="6">
        <f t="shared" si="35"/>
        <v>2.457175926247146E-2</v>
      </c>
      <c r="N135" s="7">
        <f t="shared" ref="N135:N143" si="55">24*60*SUM($M135:$M135)</f>
        <v>35.383333337958902</v>
      </c>
      <c r="O135" s="7"/>
      <c r="P135" s="7"/>
      <c r="Q135" s="22"/>
      <c r="R135" s="170"/>
      <c r="S135" s="213">
        <f t="shared" ref="S135:S166" si="56">1/IF(AG135="EC",12,1)*SUM(U135:U135)</f>
        <v>1</v>
      </c>
      <c r="T135" s="195" t="str">
        <f t="shared" si="37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8"/>
        <v>https://d0f6bd738d7f1b3e5a7ca70fe4ff75f0.us-east-1.aws.found.io/app/kibana#/discover/Steve-Slow-Train-Analysis-(2080s-and-2083s)?_g=(refreshInterval:(display:Off,pause:!f,section:0,value:0),time:(from:'2017-07-21T17:54:59-0600',mode:absolute,to:'2017-07-21T20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5" s="197" t="str">
        <f>IF(AA135&lt;VLOOKUP(AG135,Variables!$AC$3:$AD$8,2,FALSE),"Y","N")</f>
        <v>N</v>
      </c>
      <c r="X135" s="197">
        <f t="shared" si="54"/>
        <v>1</v>
      </c>
      <c r="Y135" s="197">
        <f t="shared" si="49"/>
        <v>4.2000000000000003E-2</v>
      </c>
      <c r="Z135" s="197">
        <f t="shared" si="50"/>
        <v>23.328199999999999</v>
      </c>
      <c r="AA135" s="197">
        <f t="shared" si="39"/>
        <v>23.286199999999997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0"/>
        <v>221</v>
      </c>
      <c r="AE135" s="77" t="str">
        <f t="shared" si="41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135" s="74" t="str">
        <f t="shared" si="42"/>
        <v>"C:\Program Files (x86)\AstroGrep\AstroGrep.exe" /e /r /s /spath="%USERPROFILE%\AppData\Local\Temp\OnboardLogs" /stypes="app*4032*20170722*" /stext=" 01:.+((SYSTEM_STATE.+slice.+state.+changed )|(ment ac)|(multiple cpu faults)|(system.+state.+changed )|(\[timeout)|(PRM\|1\|D)|(kpr)|(kdp)|(train st.+moving)|(\|lc)|(penalty))"</v>
      </c>
      <c r="AG135" s="209" t="str">
        <f t="shared" si="43"/>
        <v>EC</v>
      </c>
      <c r="AH135" s="78" t="str">
        <f t="shared" si="44"/>
        <v>"%USERPROFILE%\Documents\GitHub\eaglep3\Utilities\RefineRTDCRunTimes.py" --tripid 221-21 --locoid 4032 --swversion DE.1.0.9.0 --startMP 204:420 --initTime 2017-07-21T18:54:59 --startdatetime 2017-07-21T19:00:54 --delay 1 --endMP 204:233282 --enddatetime 2017-07-21T19:36:17 --enforcementcount 0 &gt;&gt;C:\Users\stu\Documents\GitHub\eaglep3-reporting\EC\2017-07-21-refined-times.txt</v>
      </c>
      <c r="AI135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{"issue":{"subject":"","project_id":79,"tracker_id":40,"status_id":1,"priority_id":2,"assigned_to_id":23,"start_date":"2017-07-21","description":"","custom_fields":[{"id":1,"name":"Subdivision","value":"EC"},{"id":4,"name":"Milepost","value":"23.3282"},{"id":17,"name":"Train ID","value":"221-21"},{"id":16,"name":"Locomotive ID","value":"4032"},{"id":130,"name":"Impact","value":""},{"id":150,"name":"Time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6"/>
        <v>start /low /b %USERPROFILE%\Documents\GitHub\eaglep3\Utilities\DownloadLogsFromS3.py --loco 4032 --day 2017-07-21</v>
      </c>
      <c r="AN135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835</v>
      </c>
      <c r="B136" s="7">
        <v>4031</v>
      </c>
      <c r="C136" s="21" t="s">
        <v>198</v>
      </c>
      <c r="D136" s="21" t="s">
        <v>929</v>
      </c>
      <c r="E136" s="13">
        <v>42937.827268518522</v>
      </c>
      <c r="F136" s="13">
        <v>42937.831423611111</v>
      </c>
      <c r="G136" s="7">
        <v>1</v>
      </c>
      <c r="H136" s="21" t="s">
        <v>342</v>
      </c>
      <c r="I136" s="13">
        <v>42937.857731481483</v>
      </c>
      <c r="J136" s="7">
        <v>0</v>
      </c>
      <c r="K136" s="89" t="str">
        <f t="shared" si="34"/>
        <v>4031/4032</v>
      </c>
      <c r="L136" s="21" t="str">
        <f>VLOOKUP(A136,'Trips&amp;Operators'!$C$1:$G$99999,5,FALSE)</f>
        <v>LAMAR NEKESHA</v>
      </c>
      <c r="M136" s="6">
        <f t="shared" si="35"/>
        <v>2.6307870371965691E-2</v>
      </c>
      <c r="N136" s="7">
        <f t="shared" si="55"/>
        <v>37.883333335630596</v>
      </c>
      <c r="O136" s="7"/>
      <c r="P136" s="7"/>
      <c r="Q136" s="22"/>
      <c r="R136" s="170"/>
      <c r="S136" s="213">
        <f t="shared" si="56"/>
        <v>1</v>
      </c>
      <c r="T136" s="195" t="str">
        <f t="shared" si="37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8"/>
        <v>https://d0f6bd738d7f1b3e5a7ca70fe4ff75f0.us-east-1.aws.found.io/app/kibana#/discover/Steve-Slow-Train-Analysis-(2080s-and-2083s)?_g=(refreshInterval:(display:Off,pause:!f,section:0,value:0),time:(from:'2017-07-21T18:51:16-0600',mode:absolute,to:'2017-07-21T21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197" t="str">
        <f>IF(AA136&lt;VLOOKUP(AG136,Variables!$AC$3:$AD$8,2,FALSE),"Y","N")</f>
        <v>N</v>
      </c>
      <c r="X136" s="197">
        <f t="shared" si="54"/>
        <v>1</v>
      </c>
      <c r="Y136" s="197">
        <f t="shared" si="49"/>
        <v>23.297699999999999</v>
      </c>
      <c r="Z136" s="197">
        <f t="shared" si="50"/>
        <v>1.49E-2</v>
      </c>
      <c r="AA136" s="197">
        <f t="shared" si="39"/>
        <v>23.282799999999998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0"/>
        <v>222</v>
      </c>
      <c r="AE136" s="77" t="str">
        <f t="shared" si="41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136" s="74" t="str">
        <f t="shared" si="42"/>
        <v>"C:\Program Files (x86)\AstroGrep\AstroGrep.exe" /e /r /s /spath="%USERPROFILE%\AppData\Local\Temp\OnboardLogs" /stypes="app*4031*20170722*" /stext=" 02:.+((SYSTEM_STATE.+slice.+state.+changed )|(ment ac)|(multiple cpu faults)|(system.+state.+changed )|(\[timeout)|(PRM\|1\|D)|(kpr)|(kdp)|(train st.+moving)|(\|lc)|(penalty))"</v>
      </c>
      <c r="AG136" s="209" t="str">
        <f t="shared" si="43"/>
        <v>EC</v>
      </c>
      <c r="AH136" s="78" t="str">
        <f t="shared" si="44"/>
        <v>"%USERPROFILE%\Documents\GitHub\eaglep3\Utilities\RefineRTDCRunTimes.py" --tripid 222-21 --locoid 4031 --swversion DE.1.0.9.0 --startMP 204:232977 --initTime 2017-07-21T19:51:16 --startdatetime 2017-07-21T19:57:15 --delay 1 --endMP 204:149 --enddatetime 2017-07-21T20:35:08 --enforcementcount 0 &gt;&gt;C:\Users\stu\Documents\GitHub\eaglep3-reporting\EC\2017-07-21-refined-times.txt</v>
      </c>
      <c r="AI136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{"issue":{"subject":"","project_id":79,"tracker_id":40,"status_id":1,"priority_id":2,"assigned_to_id":23,"start_date":"2017-07-21","description":"","custom_fields":[{"id":1,"name":"Subdivision","value":"EC"},{"id":4,"name":"Milepost","value":"0.0149"},{"id":17,"name":"Train ID","value":"222-21"},{"id":16,"name":"Locomotive ID","value":"4031"},{"id":130,"name":"Impact","value":""},{"id":150,"name":"Time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6"/>
        <v>start /low /b %USERPROFILE%\Documents\GitHub\eaglep3\Utilities\DownloadLogsFromS3.py --loco 4031 --day 2017-07-21</v>
      </c>
      <c r="AN136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833</v>
      </c>
      <c r="B137" s="7">
        <v>4054</v>
      </c>
      <c r="C137" s="21" t="s">
        <v>198</v>
      </c>
      <c r="D137" s="21" t="s">
        <v>477</v>
      </c>
      <c r="E137" s="13">
        <v>42937.808252314811</v>
      </c>
      <c r="F137" s="13">
        <v>42937.813009259262</v>
      </c>
      <c r="G137" s="7">
        <v>1</v>
      </c>
      <c r="H137" s="21" t="s">
        <v>930</v>
      </c>
      <c r="I137" s="13">
        <v>42937.837152777778</v>
      </c>
      <c r="J137" s="7">
        <v>0</v>
      </c>
      <c r="K137" s="89" t="str">
        <f t="shared" si="34"/>
        <v>4053/4054</v>
      </c>
      <c r="L137" s="21" t="str">
        <f>VLOOKUP(A137,'Trips&amp;Operators'!$C$1:$G$99999,5,FALSE)</f>
        <v>BIRENBAUM THOMAS</v>
      </c>
      <c r="M137" s="6">
        <f t="shared" si="35"/>
        <v>2.414351851621177E-2</v>
      </c>
      <c r="N137" s="7">
        <f t="shared" si="55"/>
        <v>34.766666663344949</v>
      </c>
      <c r="O137" s="7"/>
      <c r="P137" s="7"/>
      <c r="Q137" s="22"/>
      <c r="R137" s="170"/>
      <c r="S137" s="213">
        <f t="shared" si="56"/>
        <v>1</v>
      </c>
      <c r="T137" s="195" t="str">
        <f t="shared" si="37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8"/>
        <v>https://d0f6bd738d7f1b3e5a7ca70fe4ff75f0.us-east-1.aws.found.io/app/kibana#/discover/Steve-Slow-Train-Analysis-(2080s-and-2083s)?_g=(refreshInterval:(display:Off,pause:!f,section:0,value:0),time:(from:'2017-07-21T18:23:53-0600',mode:absolute,to:'2017-07-21T21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97" t="str">
        <f>IF(AA137&lt;VLOOKUP(AG137,Variables!$AC$3:$AD$8,2,FALSE),"Y","N")</f>
        <v>N</v>
      </c>
      <c r="X137" s="197">
        <f t="shared" si="54"/>
        <v>1</v>
      </c>
      <c r="Y137" s="197">
        <f t="shared" si="49"/>
        <v>4.4900000000000002E-2</v>
      </c>
      <c r="Z137" s="197">
        <f t="shared" si="50"/>
        <v>23.326599999999999</v>
      </c>
      <c r="AA137" s="197">
        <f t="shared" si="39"/>
        <v>23.281700000000001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0"/>
        <v>223</v>
      </c>
      <c r="AE137" s="77" t="str">
        <f t="shared" si="41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137" s="74" t="str">
        <f t="shared" si="42"/>
        <v>"C:\Program Files (x86)\AstroGrep\AstroGrep.exe" /e /r /s /spath="%USERPROFILE%\AppData\Local\Temp\OnboardLogs" /stypes="app*4054*20170722*" /stext=" 02:.+((SYSTEM_STATE.+slice.+state.+changed )|(ment ac)|(multiple cpu faults)|(system.+state.+changed )|(\[timeout)|(PRM\|1\|D)|(kpr)|(kdp)|(train st.+moving)|(\|lc)|(penalty))"</v>
      </c>
      <c r="AG137" s="209" t="str">
        <f t="shared" si="43"/>
        <v>EC</v>
      </c>
      <c r="AH137" s="78" t="str">
        <f t="shared" si="44"/>
        <v>"%USERPROFILE%\Documents\GitHub\eaglep3\Utilities\RefineRTDCRunTimes.py" --tripid 223-21 --locoid 4054 --swversion DE.1.0.9.0 --startMP 204:449 --initTime 2017-07-21T19:23:53 --startdatetime 2017-07-21T19:30:44 --delay 1 --endMP 204:233266 --enddatetime 2017-07-21T20:05:30 --enforcementcount 0 &gt;&gt;C:\Users\stu\Documents\GitHub\eaglep3-reporting\EC\2017-07-21-refined-times.txt</v>
      </c>
      <c r="AI137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{"issue":{"subject":"","project_id":79,"tracker_id":40,"status_id":1,"priority_id":2,"assigned_to_id":23,"start_date":"2017-07-21","description":"","custom_fields":[{"id":1,"name":"Subdivision","value":"EC"},{"id":4,"name":"Milepost","value":"23.3266"},{"id":17,"name":"Train ID","value":"223-21"},{"id":16,"name":"Locomotive ID","value":"4054"},{"id":130,"name":"Impact","value":""},{"id":150,"name":"Time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6"/>
        <v>start /low /b %USERPROFILE%\Documents\GitHub\eaglep3\Utilities\DownloadLogsFromS3.py --loco 4054 --day 2017-07-21</v>
      </c>
      <c r="AN137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837</v>
      </c>
      <c r="B138" s="7">
        <v>4053</v>
      </c>
      <c r="C138" s="21" t="s">
        <v>198</v>
      </c>
      <c r="D138" s="21" t="s">
        <v>931</v>
      </c>
      <c r="E138" s="13">
        <v>42937.847812499997</v>
      </c>
      <c r="F138" s="13">
        <v>42937.852222222224</v>
      </c>
      <c r="G138" s="7">
        <v>1</v>
      </c>
      <c r="H138" s="21" t="s">
        <v>879</v>
      </c>
      <c r="I138" s="13">
        <v>42937.878969907404</v>
      </c>
      <c r="J138" s="7">
        <v>0</v>
      </c>
      <c r="K138" s="89" t="str">
        <f t="shared" si="34"/>
        <v>4053/4054</v>
      </c>
      <c r="L138" s="21" t="str">
        <f>VLOOKUP(A138,'Trips&amp;Operators'!$C$1:$G$99999,5,FALSE)</f>
        <v>BIRENBAUM THOMAS</v>
      </c>
      <c r="M138" s="6">
        <f t="shared" si="35"/>
        <v>2.6747685180453118E-2</v>
      </c>
      <c r="N138" s="7">
        <f t="shared" si="55"/>
        <v>38.51666665985249</v>
      </c>
      <c r="O138" s="7"/>
      <c r="P138" s="7"/>
      <c r="Q138" s="22"/>
      <c r="R138" s="170"/>
      <c r="S138" s="213">
        <f t="shared" si="56"/>
        <v>1</v>
      </c>
      <c r="T138" s="195" t="str">
        <f t="shared" si="37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8"/>
        <v>https://d0f6bd738d7f1b3e5a7ca70fe4ff75f0.us-east-1.aws.found.io/app/kibana#/discover/Steve-Slow-Train-Analysis-(2080s-and-2083s)?_g=(refreshInterval:(display:Off,pause:!f,section:0,value:0),time:(from:'2017-07-21T19:20:51-0600',mode:absolute,to:'2017-07-21T22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97" t="str">
        <f>IF(AA138&lt;VLOOKUP(AG138,Variables!$AC$3:$AD$8,2,FALSE),"Y","N")</f>
        <v>N</v>
      </c>
      <c r="X138" s="197">
        <f t="shared" si="54"/>
        <v>1</v>
      </c>
      <c r="Y138" s="197">
        <f t="shared" si="49"/>
        <v>23.295100000000001</v>
      </c>
      <c r="Z138" s="197">
        <f t="shared" si="50"/>
        <v>1.67E-2</v>
      </c>
      <c r="AA138" s="197">
        <f t="shared" si="39"/>
        <v>23.278400000000001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0"/>
        <v>224</v>
      </c>
      <c r="AE138" s="77" t="str">
        <f t="shared" si="41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138" s="74" t="str">
        <f t="shared" si="42"/>
        <v>"C:\Program Files (x86)\AstroGrep\AstroGrep.exe" /e /r /s /spath="%USERPROFILE%\AppData\Local\Temp\OnboardLogs" /stypes="app*4053*20170722*" /stext=" 03:.+((SYSTEM_STATE.+slice.+state.+changed )|(ment ac)|(multiple cpu faults)|(system.+state.+changed )|(\[timeout)|(PRM\|1\|D)|(kpr)|(kdp)|(train st.+moving)|(\|lc)|(penalty))"</v>
      </c>
      <c r="AG138" s="209" t="str">
        <f t="shared" si="43"/>
        <v>EC</v>
      </c>
      <c r="AH138" s="78" t="str">
        <f t="shared" si="44"/>
        <v>"%USERPROFILE%\Documents\GitHub\eaglep3\Utilities\RefineRTDCRunTimes.py" --tripid 224-21 --locoid 4053 --swversion DE.1.0.9.0 --startMP 204:232951 --initTime 2017-07-21T20:20:51 --startdatetime 2017-07-21T20:27:12 --delay 1 --endMP 204:167 --enddatetime 2017-07-21T21:05:43 --enforcementcount 0 &gt;&gt;C:\Users\stu\Documents\GitHub\eaglep3-reporting\EC\2017-07-21-refined-times.txt</v>
      </c>
      <c r="AI138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{"issue":{"subject":"","project_id":79,"tracker_id":40,"status_id":1,"priority_id":2,"assigned_to_id":23,"start_date":"2017-07-21","description":"","custom_fields":[{"id":1,"name":"Subdivision","value":"EC"},{"id":4,"name":"Milepost","value":"0.0167"},{"id":17,"name":"Train ID","value":"224-21"},{"id":16,"name":"Locomotive ID","value":"4053"},{"id":130,"name":"Impact","value":""},{"id":150,"name":"Time of Event (Mountain Time)","value":"21:05:43"},{"id":151,"name":"Denver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6"/>
        <v>start /low /b %USERPROFILE%\Documents\GitHub\eaglep3\Utilities\DownloadLogsFromS3.py --loco 4053 --day 2017-07-21</v>
      </c>
      <c r="AN138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653</v>
      </c>
      <c r="B139" s="7">
        <v>4030</v>
      </c>
      <c r="C139" s="21" t="s">
        <v>198</v>
      </c>
      <c r="D139" s="21" t="s">
        <v>584</v>
      </c>
      <c r="E139" s="13">
        <v>42937.828611111108</v>
      </c>
      <c r="F139" s="13">
        <v>42937.834085648145</v>
      </c>
      <c r="G139" s="7">
        <v>1</v>
      </c>
      <c r="H139" s="21" t="s">
        <v>877</v>
      </c>
      <c r="I139" s="13">
        <v>42937.859710648147</v>
      </c>
      <c r="J139" s="7">
        <v>0</v>
      </c>
      <c r="K139" s="89" t="str">
        <f t="shared" si="34"/>
        <v>4029/4030</v>
      </c>
      <c r="L139" s="21" t="str">
        <f>VLOOKUP(A139,'Trips&amp;Operators'!$C$1:$G$99999,5,FALSE)</f>
        <v>PERKINS DARREN</v>
      </c>
      <c r="M139" s="6">
        <f t="shared" si="35"/>
        <v>2.5625000002037268E-2</v>
      </c>
      <c r="N139" s="7">
        <f t="shared" si="55"/>
        <v>36.900000002933666</v>
      </c>
      <c r="O139" s="7"/>
      <c r="P139" s="7"/>
      <c r="Q139" s="22"/>
      <c r="R139" s="170"/>
      <c r="S139" s="213">
        <f t="shared" si="56"/>
        <v>1</v>
      </c>
      <c r="T139" s="195" t="str">
        <f t="shared" si="37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8"/>
        <v>https://d0f6bd738d7f1b3e5a7ca70fe4ff75f0.us-east-1.aws.found.io/app/kibana#/discover/Steve-Slow-Train-Analysis-(2080s-and-2083s)?_g=(refreshInterval:(display:Off,pause:!f,section:0,value:0),time:(from:'2017-07-21T18:53:12-0600',mode:absolute,to:'2017-07-21T21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197" t="str">
        <f>IF(AA139&lt;VLOOKUP(AG139,Variables!$AC$3:$AD$8,2,FALSE),"Y","N")</f>
        <v>N</v>
      </c>
      <c r="X139" s="197">
        <f t="shared" si="54"/>
        <v>1</v>
      </c>
      <c r="Y139" s="197">
        <f t="shared" si="49"/>
        <v>4.8800000000000003E-2</v>
      </c>
      <c r="Z139" s="197">
        <f t="shared" si="50"/>
        <v>23.3307</v>
      </c>
      <c r="AA139" s="197">
        <f t="shared" si="39"/>
        <v>23.2819</v>
      </c>
      <c r="AB139" s="54" t="str">
        <f>VLOOKUP(A139,Enforcements!$C$7:$K$13,8,0)</f>
        <v>Bulletin (2)</v>
      </c>
      <c r="AC139" s="51" t="str">
        <f>VLOOKUP(A139,Enforcements!$C$7:$E$13,3,0)</f>
        <v>GRADE CROSSING</v>
      </c>
      <c r="AD139" s="206">
        <f t="shared" si="40"/>
        <v>225</v>
      </c>
      <c r="AE139" s="77" t="str">
        <f t="shared" si="41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139" s="74" t="str">
        <f t="shared" si="42"/>
        <v>"C:\Program Files (x86)\AstroGrep\AstroGrep.exe" /e /r /s /spath="%USERPROFILE%\AppData\Local\Temp\OnboardLogs" /stypes="app*4030*20170722*" /stext=" 02:.+((SYSTEM_STATE.+slice.+state.+changed )|(ment ac)|(multiple cpu faults)|(system.+state.+changed )|(\[timeout)|(PRM\|1\|D)|(kpr)|(kdp)|(train st.+moving)|(\|lc)|(penalty))"</v>
      </c>
      <c r="AG139" s="209" t="str">
        <f t="shared" si="43"/>
        <v>EC</v>
      </c>
      <c r="AH139" s="78" t="str">
        <f t="shared" si="44"/>
        <v>"%USERPROFILE%\Documents\GitHub\eaglep3\Utilities\RefineRTDCRunTimes.py" --tripid 225-21 --locoid 4030 --swversion DE.1.0.9.0 --startMP 204:488 --initTime 2017-07-21T19:53:12 --startdatetime 2017-07-21T20:01:05 --delay 1 --endMP 204:233307 --enddatetime 2017-07-21T20:37:59 --enforcementcount 0 &gt;&gt;C:\Users\stu\Documents\GitHub\eaglep3-reporting\EC\2017-07-21-refined-times.txt</v>
      </c>
      <c r="AI139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{"issue":{"subject":"","project_id":79,"tracker_id":40,"status_id":1,"priority_id":2,"assigned_to_id":23,"start_date":"2017-07-21","description":"","custom_fields":[{"id":1,"name":"Subdivision","value":"EC"},{"id":4,"name":"Milepost","value":"23.3307"},{"id":17,"name":"Train ID","value":"225-21"},{"id":16,"name":"Locomotive ID","value":"4030"},{"id":130,"name":"Impact","value":""},{"id":150,"name":"Time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6"/>
        <v>start /low /b %USERPROFILE%\Documents\GitHub\eaglep3\Utilities\DownloadLogsFromS3.py --loco 4030 --day 2017-07-21</v>
      </c>
      <c r="AN139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840</v>
      </c>
      <c r="B140" s="7">
        <v>4029</v>
      </c>
      <c r="C140" s="21" t="s">
        <v>198</v>
      </c>
      <c r="D140" s="21" t="s">
        <v>564</v>
      </c>
      <c r="E140" s="13">
        <v>42937.865277777775</v>
      </c>
      <c r="F140" s="13">
        <v>42937.873148148145</v>
      </c>
      <c r="G140" s="7">
        <v>1</v>
      </c>
      <c r="H140" s="21" t="s">
        <v>383</v>
      </c>
      <c r="I140" s="13">
        <v>42937.899884259263</v>
      </c>
      <c r="J140" s="7">
        <v>0</v>
      </c>
      <c r="K140" s="89" t="str">
        <f t="shared" si="34"/>
        <v>4029/4030</v>
      </c>
      <c r="L140" s="21" t="str">
        <f>VLOOKUP(A140,'Trips&amp;Operators'!$C$1:$G$99999,5,FALSE)</f>
        <v>PERKINS DARREN</v>
      </c>
      <c r="M140" s="6">
        <f t="shared" si="35"/>
        <v>2.6736111118225381E-2</v>
      </c>
      <c r="N140" s="7">
        <f t="shared" si="55"/>
        <v>38.500000010244548</v>
      </c>
      <c r="O140" s="7"/>
      <c r="P140" s="7"/>
      <c r="Q140" s="22"/>
      <c r="R140" s="170"/>
      <c r="S140" s="213">
        <f t="shared" si="56"/>
        <v>1</v>
      </c>
      <c r="T140" s="195" t="str">
        <f t="shared" si="37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8"/>
        <v>https://d0f6bd738d7f1b3e5a7ca70fe4ff75f0.us-east-1.aws.found.io/app/kibana#/discover/Steve-Slow-Train-Analysis-(2080s-and-2083s)?_g=(refreshInterval:(display:Off,pause:!f,section:0,value:0),time:(from:'2017-07-21T19:46:00-0600',mode:absolute,to:'2017-07-21T22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197" t="str">
        <f>IF(AA140&lt;VLOOKUP(AG140,Variables!$AC$3:$AD$8,2,FALSE),"Y","N")</f>
        <v>N</v>
      </c>
      <c r="X140" s="197">
        <f t="shared" si="54"/>
        <v>1</v>
      </c>
      <c r="Y140" s="197">
        <f t="shared" si="49"/>
        <v>23.298400000000001</v>
      </c>
      <c r="Z140" s="197">
        <f t="shared" si="50"/>
        <v>1.4500000000000001E-2</v>
      </c>
      <c r="AA140" s="197">
        <f t="shared" si="39"/>
        <v>23.283899999999999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0"/>
        <v>226</v>
      </c>
      <c r="AE140" s="77" t="str">
        <f t="shared" si="41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140" s="74" t="str">
        <f t="shared" si="42"/>
        <v>"C:\Program Files (x86)\AstroGrep\AstroGrep.exe" /e /r /s /spath="%USERPROFILE%\AppData\Local\Temp\OnboardLogs" /stypes="app*4029*20170722*" /stext=" 03:.+((SYSTEM_STATE.+slice.+state.+changed )|(ment ac)|(multiple cpu faults)|(system.+state.+changed )|(\[timeout)|(PRM\|1\|D)|(kpr)|(kdp)|(train st.+moving)|(\|lc)|(penalty))"</v>
      </c>
      <c r="AG140" s="209" t="str">
        <f t="shared" si="43"/>
        <v>EC</v>
      </c>
      <c r="AH140" s="78" t="str">
        <f t="shared" si="44"/>
        <v>"%USERPROFILE%\Documents\GitHub\eaglep3\Utilities\RefineRTDCRunTimes.py" --tripid 226-21 --locoid 4029 --swversion DE.1.0.9.0 --startMP 204:232984 --initTime 2017-07-21T20:46:00 --startdatetime 2017-07-21T20:57:20 --delay 1 --endMP 204:145 --enddatetime 2017-07-21T21:35:50 --enforcementcount 0 &gt;&gt;C:\Users\stu\Documents\GitHub\eaglep3-reporting\EC\2017-07-21-refined-times.txt</v>
      </c>
      <c r="AI140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{"issue":{"subject":"","project_id":79,"tracker_id":40,"status_id":1,"priority_id":2,"assigned_to_id":23,"start_date":"2017-07-21","description":"","custom_fields":[{"id":1,"name":"Subdivision","value":"EC"},{"id":4,"name":"Milepost","value":"0.0145"},{"id":17,"name":"Train ID","value":"226-21"},{"id":16,"name":"Locomotive ID","value":"4029"},{"id":130,"name":"Impact","value":""},{"id":150,"name":"Time of Event (Mountain Time)","value":"21:35:50"},{"id":151,"name":"Denver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6"/>
        <v>start /low /b %USERPROFILE%\Documents\GitHub\eaglep3\Utilities\DownloadLogsFromS3.py --loco 4029 --day 2017-07-21</v>
      </c>
      <c r="AN140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838</v>
      </c>
      <c r="B141" s="7">
        <v>4046</v>
      </c>
      <c r="C141" s="21" t="s">
        <v>198</v>
      </c>
      <c r="D141" s="21" t="s">
        <v>463</v>
      </c>
      <c r="E141" s="13">
        <v>42937.84884259259</v>
      </c>
      <c r="F141" s="13">
        <v>42937.854675925926</v>
      </c>
      <c r="G141" s="7">
        <v>1</v>
      </c>
      <c r="H141" s="21" t="s">
        <v>571</v>
      </c>
      <c r="I141" s="13">
        <v>42937.880289351851</v>
      </c>
      <c r="J141" s="7">
        <v>0</v>
      </c>
      <c r="K141" s="89" t="str">
        <f t="shared" ref="K141:K204" si="57">IF(ISEVEN(B141),(B141-1)&amp;"/"&amp;B141,B141&amp;"/"&amp;(B141+1))</f>
        <v>4045/4046</v>
      </c>
      <c r="L141" s="21" t="str">
        <f>VLOOKUP(A141,'Trips&amp;Operators'!$C$1:$G$99999,5,FALSE)</f>
        <v>FORTUNATO FRANK</v>
      </c>
      <c r="M141" s="6">
        <f t="shared" ref="M141:M204" si="58">I141-F141</f>
        <v>2.5613425925257616E-2</v>
      </c>
      <c r="N141" s="7">
        <f t="shared" si="55"/>
        <v>36.883333332370967</v>
      </c>
      <c r="O141" s="7"/>
      <c r="P141" s="7"/>
      <c r="Q141" s="22"/>
      <c r="R141" s="170"/>
      <c r="S141" s="213">
        <f t="shared" si="56"/>
        <v>1</v>
      </c>
      <c r="T141" s="195" t="str">
        <f t="shared" ref="T141:T204" si="59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-21T19:22:20-0600',mode:absolute,to:'2017-07-21T22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197" t="str">
        <f>IF(AA141&lt;VLOOKUP(AG141,Variables!$AC$3:$AD$8,2,FALSE),"Y","N")</f>
        <v>N</v>
      </c>
      <c r="X141" s="197">
        <f t="shared" si="54"/>
        <v>1</v>
      </c>
      <c r="Y141" s="197">
        <f t="shared" si="49"/>
        <v>4.4200000000000003E-2</v>
      </c>
      <c r="Z141" s="197">
        <f t="shared" si="50"/>
        <v>23.331099999999999</v>
      </c>
      <c r="AA141" s="197">
        <f t="shared" ref="AA141:AA204" si="61">ABS(Z141-Y141)</f>
        <v>23.286899999999999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2">VALUE(LEFT(A141,LEN(A141)-3))</f>
        <v>227</v>
      </c>
      <c r="AE141" s="77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141" s="74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/stypes="app*4046*20170722*"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5">DetSubdiv(A141)</f>
        <v>EC</v>
      </c>
      <c r="AH141" s="78" t="str">
        <f t="shared" si="44"/>
        <v>"%USERPROFILE%\Documents\GitHub\eaglep3\Utilities\RefineRTDCRunTimes.py" --tripid 227-21 --locoid 4046 --swversion DE.1.0.9.0 --startMP 204:442 --initTime 2017-07-21T20:22:20 --startdatetime 2017-07-21T20:30:44 --delay 1 --endMP 204:233311 --enddatetime 2017-07-21T21:07:37 --enforcementcount 0 &gt;&gt;C:\Users\stu\Documents\GitHub\eaglep3-reporting\EC\2017-07-21-refined-times.txt</v>
      </c>
      <c r="AI141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{"issue":{"subject":"","project_id":79,"tracker_id":40,"status_id":1,"priority_id":2,"assigned_to_id":23,"start_date":"2017-07-21","description":"","custom_fields":[{"id":1,"name":"Subdivision","value":"EC"},{"id":4,"name":"Milepost","value":"23.3311"},{"id":17,"name":"Train ID","value":"227-21"},{"id":16,"name":"Locomotive ID","value":"4046"},{"id":130,"name":"Impact","value":""},{"id":150,"name":"Time of Event (Mountain Time)","value":"21:07:37"},{"id":151,"name":"Denver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6"/>
        <v>start /low /b %USERPROFILE%\Documents\GitHub\eaglep3\Utilities\DownloadLogsFromS3.py --loco 4046 --day 2017-07-21</v>
      </c>
      <c r="AN141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842</v>
      </c>
      <c r="B142" s="7">
        <v>4045</v>
      </c>
      <c r="C142" s="21" t="s">
        <v>198</v>
      </c>
      <c r="D142" s="21" t="s">
        <v>883</v>
      </c>
      <c r="E142" s="13">
        <v>42937.887094907404</v>
      </c>
      <c r="F142" s="13">
        <v>42937.893912037034</v>
      </c>
      <c r="G142" s="7">
        <v>1</v>
      </c>
      <c r="H142" s="21" t="s">
        <v>469</v>
      </c>
      <c r="I142" s="13">
        <v>42937.921643518515</v>
      </c>
      <c r="J142" s="7">
        <v>0</v>
      </c>
      <c r="K142" s="89" t="str">
        <f t="shared" si="57"/>
        <v>4045/4046</v>
      </c>
      <c r="L142" s="21" t="str">
        <f>VLOOKUP(A142,'Trips&amp;Operators'!$C$1:$G$99999,5,FALSE)</f>
        <v>FORTUNATO FRANK</v>
      </c>
      <c r="M142" s="6">
        <f t="shared" si="58"/>
        <v>2.7731481481168885E-2</v>
      </c>
      <c r="N142" s="7">
        <f t="shared" si="55"/>
        <v>39.933333332883194</v>
      </c>
      <c r="O142" s="7"/>
      <c r="P142" s="7"/>
      <c r="Q142" s="22"/>
      <c r="R142" s="170"/>
      <c r="S142" s="213">
        <f t="shared" si="56"/>
        <v>1</v>
      </c>
      <c r="T142" s="195" t="str">
        <f t="shared" si="59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0"/>
        <v>https://d0f6bd738d7f1b3e5a7ca70fe4ff75f0.us-east-1.aws.found.io/app/kibana#/discover/Steve-Slow-Train-Analysis-(2080s-and-2083s)?_g=(refreshInterval:(display:Off,pause:!f,section:0,value:0),time:(from:'2017-07-21T20:17:25-0600',mode:absolute,to:'2017-07-21T23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197" t="str">
        <f>IF(AA142&lt;VLOOKUP(AG142,Variables!$AC$3:$AD$8,2,FALSE),"Y","N")</f>
        <v>N</v>
      </c>
      <c r="X142" s="197">
        <f t="shared" si="54"/>
        <v>1</v>
      </c>
      <c r="Y142" s="197">
        <f t="shared" si="49"/>
        <v>23.297499999999999</v>
      </c>
      <c r="Z142" s="197">
        <f t="shared" si="50"/>
        <v>1.52E-2</v>
      </c>
      <c r="AA142" s="197">
        <f t="shared" si="61"/>
        <v>23.282299999999999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2"/>
        <v>228</v>
      </c>
      <c r="AE142" s="77" t="str">
        <f t="shared" si="63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142" s="74" t="str">
        <f t="shared" si="64"/>
        <v>"C:\Program Files (x86)\AstroGrep\AstroGrep.exe" /e /r /s /spath="%USERPROFILE%\AppData\Local\Temp\OnboardLogs" /stypes="app*4045*20170722*" /stext=" 04:.+((SYSTEM_STATE.+slice.+state.+changed )|(ment ac)|(multiple cpu faults)|(system.+state.+changed )|(\[timeout)|(PRM\|1\|D)|(kpr)|(kdp)|(train st.+moving)|(\|lc)|(penalty))"</v>
      </c>
      <c r="AG142" s="209" t="str">
        <f t="shared" si="65"/>
        <v>EC</v>
      </c>
      <c r="AH142" s="78" t="str">
        <f t="shared" si="44"/>
        <v>"%USERPROFILE%\Documents\GitHub\eaglep3\Utilities\RefineRTDCRunTimes.py" --tripid 228-21 --locoid 4045 --swversion DE.1.0.9.0 --startMP 204:232975 --initTime 2017-07-21T21:17:25 --startdatetime 2017-07-21T21:27:14 --delay 1 --endMP 204:152 --enddatetime 2017-07-21T22:07:10 --enforcementcount 0 &gt;&gt;C:\Users\stu\Documents\GitHub\eaglep3-reporting\EC\2017-07-21-refined-times.txt</v>
      </c>
      <c r="AI142" s="96" t="str">
        <f t="shared" si="45"/>
        <v>echo {"issue":{"subject":"","project_id":79,"tracker_id":40,"status_id":1,"priority_id":2,"assigned_to_id":23,"start_date":"2017-07-21","description":"","custom_fields":[{"id":1,"name":"Subdivision","value":"EC"},{"id":4,"name":"Milepost","value":"0.0152"},{"id":17,"name":"Train ID","value":"228-21"},{"id":16,"name":"Locomotive ID","value":"4045"},{"id":130,"name":"Impact","value":""},{"id":150,"name":"Time of Event (Mountain Time)","value":"22:07:10"},{"id":151,"name":"Denver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6"/>
        <v>start /low /b %USERPROFILE%\Documents\GitHub\eaglep3\Utilities\DownloadLogsFromS3.py --loco 4045 --day 2017-07-21</v>
      </c>
      <c r="AN142" s="151" t="str">
        <f t="shared" si="47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841</v>
      </c>
      <c r="B143" s="7">
        <v>4032</v>
      </c>
      <c r="C143" s="21" t="s">
        <v>198</v>
      </c>
      <c r="D143" s="21" t="s">
        <v>344</v>
      </c>
      <c r="E143" s="13">
        <v>42937.870694444442</v>
      </c>
      <c r="F143" s="13">
        <v>42937.875486111108</v>
      </c>
      <c r="G143" s="7">
        <v>1</v>
      </c>
      <c r="H143" s="21" t="s">
        <v>534</v>
      </c>
      <c r="I143" s="13">
        <v>42937.900775462964</v>
      </c>
      <c r="J143" s="7">
        <v>0</v>
      </c>
      <c r="K143" s="89" t="str">
        <f t="shared" si="57"/>
        <v>4031/4032</v>
      </c>
      <c r="L143" s="21" t="str">
        <f>VLOOKUP(A143,'Trips&amp;Operators'!$C$1:$G$99999,5,FALSE)</f>
        <v>LAMAR NEKESHA</v>
      </c>
      <c r="M143" s="6">
        <f t="shared" si="58"/>
        <v>2.5289351855462883E-2</v>
      </c>
      <c r="N143" s="7">
        <f t="shared" si="55"/>
        <v>36.416666671866551</v>
      </c>
      <c r="O143" s="7"/>
      <c r="P143" s="7"/>
      <c r="Q143" s="22"/>
      <c r="R143" s="170"/>
      <c r="S143" s="213">
        <f t="shared" si="56"/>
        <v>1</v>
      </c>
      <c r="T143" s="195" t="str">
        <f t="shared" si="59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0"/>
        <v>https://d0f6bd738d7f1b3e5a7ca70fe4ff75f0.us-east-1.aws.found.io/app/kibana#/discover/Steve-Slow-Train-Analysis-(2080s-and-2083s)?_g=(refreshInterval:(display:Off,pause:!f,section:0,value:0),time:(from:'2017-07-21T19:53:48-0600',mode:absolute,to:'2017-07-21T22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197" t="str">
        <f>IF(AA143&lt;VLOOKUP(AG143,Variables!$AC$3:$AD$8,2,FALSE),"Y","N")</f>
        <v>N</v>
      </c>
      <c r="X143" s="197">
        <f t="shared" si="54"/>
        <v>1</v>
      </c>
      <c r="Y143" s="197">
        <f t="shared" si="49"/>
        <v>4.5100000000000001E-2</v>
      </c>
      <c r="Z143" s="197">
        <f t="shared" si="50"/>
        <v>23.330200000000001</v>
      </c>
      <c r="AA143" s="197">
        <f t="shared" si="61"/>
        <v>23.2851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2"/>
        <v>229</v>
      </c>
      <c r="AE143" s="77" t="str">
        <f t="shared" si="63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143" s="74" t="str">
        <f t="shared" si="64"/>
        <v>"C:\Program Files (x86)\AstroGrep\AstroGrep.exe" /e /r /s /spath="%USERPROFILE%\AppData\Local\Temp\OnboardLogs" /stypes="app*4032*20170722*" /stext=" 03:.+((SYSTEM_STATE.+slice.+state.+changed )|(ment ac)|(multiple cpu faults)|(system.+state.+changed )|(\[timeout)|(PRM\|1\|D)|(kpr)|(kdp)|(train st.+moving)|(\|lc)|(penalty))"</v>
      </c>
      <c r="AG143" s="209" t="str">
        <f t="shared" si="65"/>
        <v>EC</v>
      </c>
      <c r="AH143" s="78" t="str">
        <f t="shared" ref="AH143:AH207" si="66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229-21 --locoid 4032 --swversion DE.1.0.9.0 --startMP 204:451 --initTime 2017-07-21T20:53:48 --startdatetime 2017-07-21T21:00:42 --delay 1 --endMP 204:233302 --enddatetime 2017-07-21T21:37:07 --enforcementcount 0 &gt;&gt;C:\Users\stu\Documents\GitHub\eaglep3-reporting\EC\2017-07-21-refined-times.txt</v>
      </c>
      <c r="AI143" s="96" t="str">
        <f t="shared" ref="AI143:AI207" si="67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{"issue":{"subject":"","project_id":79,"tracker_id":40,"status_id":1,"priority_id":2,"assigned_to_id":23,"start_date":"2017-07-21","description":"","custom_fields":[{"id":1,"name":"Subdivision","value":"EC"},{"id":4,"name":"Milepost","value":"23.3302"},{"id":17,"name":"Train ID","value":"229-21"},{"id":16,"name":"Locomotive ID","value":"4032"},{"id":130,"name":"Impact","value":""},{"id":150,"name":"Time of Event (Mountain Time)","value":"21:37:07"},{"id":151,"name":"Denver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7" si="68">"start /low /b "&amp;dls3logs&amp;" --loco "&amp;B143&amp;" --day "&amp;TEXT(F143,"YYYY-MM-DD")</f>
        <v>start /low /b %USERPROFILE%\Documents\GitHub\eaglep3\Utilities\DownloadLogsFromS3.py --loco 4032 --day 2017-07-21</v>
      </c>
      <c r="AN143" s="151" t="str">
        <f t="shared" ref="AN143:AN207" si="69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846</v>
      </c>
      <c r="B144" s="7">
        <v>4031</v>
      </c>
      <c r="C144" s="21" t="s">
        <v>198</v>
      </c>
      <c r="D144" s="21" t="s">
        <v>910</v>
      </c>
      <c r="E144" s="13">
        <v>42937.909907407404</v>
      </c>
      <c r="F144" s="13">
        <v>42937.911180555559</v>
      </c>
      <c r="G144" s="7">
        <v>1</v>
      </c>
      <c r="H144" s="21" t="s">
        <v>932</v>
      </c>
      <c r="I144" s="13">
        <v>42937.925150462965</v>
      </c>
      <c r="J144" s="7">
        <v>0</v>
      </c>
      <c r="K144" s="89" t="str">
        <f t="shared" si="57"/>
        <v>4031/4032</v>
      </c>
      <c r="L144" s="21" t="str">
        <f>VLOOKUP(A144,'Trips&amp;Operators'!$C$1:$G$99999,5,FALSE)</f>
        <v>LAMAR NEKESHA</v>
      </c>
      <c r="M144" s="6">
        <f t="shared" si="58"/>
        <v>1.3969907406135462E-2</v>
      </c>
      <c r="N144" s="7"/>
      <c r="O144" s="7"/>
      <c r="P144" s="7">
        <f>24*60*SUM($M144:$M144)</f>
        <v>20.116666664835066</v>
      </c>
      <c r="Q144" s="22"/>
      <c r="R144" s="170" t="s">
        <v>1046</v>
      </c>
      <c r="S144" s="213">
        <f t="shared" si="56"/>
        <v>0</v>
      </c>
      <c r="T144" s="195" t="str">
        <f t="shared" si="59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96" t="str">
        <f t="shared" si="60"/>
        <v>https://d0f6bd738d7f1b3e5a7ca70fe4ff75f0.us-east-1.aws.found.io/app/kibana#/discover/Steve-Slow-Train-Analysis-(2080s-and-2083s)?_g=(refreshInterval:(display:Off,pause:!f,section:0,value:0),time:(from:'2017-07-21T20:50:16-0600',mode:absolute,to:'2017-07-21T23:12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97" t="str">
        <f>IF(AA144&lt;VLOOKUP(AG144,Variables!$AC$3:$AD$8,2,FALSE),"Y","N")</f>
        <v>Y</v>
      </c>
      <c r="X144" s="197">
        <f t="shared" si="54"/>
        <v>1</v>
      </c>
      <c r="Y144" s="197">
        <f t="shared" si="49"/>
        <v>23.297899999999998</v>
      </c>
      <c r="Z144" s="197">
        <f t="shared" si="50"/>
        <v>12.741199999999999</v>
      </c>
      <c r="AA144" s="197">
        <f t="shared" si="61"/>
        <v>10.556699999999999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2"/>
        <v>230</v>
      </c>
      <c r="AE144" s="77" t="str">
        <f t="shared" si="63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144" s="74" t="str">
        <f t="shared" si="64"/>
        <v>"C:\Program Files (x86)\AstroGrep\AstroGrep.exe" /e /r /s /spath="%USERPROFILE%\AppData\Local\Temp\OnboardLogs" /stypes="app*4031*20170722*" /stext=" 04:.+((SYSTEM_STATE.+slice.+state.+changed )|(ment ac)|(multiple cpu faults)|(system.+state.+changed )|(\[timeout)|(PRM\|1\|D)|(kpr)|(kdp)|(train st.+moving)|(\|lc)|(penalty))"</v>
      </c>
      <c r="AG144" s="209" t="str">
        <f t="shared" si="65"/>
        <v>EC</v>
      </c>
      <c r="AH144" s="78" t="str">
        <f t="shared" si="66"/>
        <v>"%USERPROFILE%\Documents\GitHub\eaglep3\Utilities\RefineRTDCRunTimes.py" --tripid 230-21 --locoid 4031 --swversion DE.1.0.9.0 --startMP 204:232979 --initTime 2017-07-21T21:50:16 --startdatetime 2017-07-21T21:52:06 --delay 1 --endMP 204:127412 --enddatetime 2017-07-21T22:12:13 --enforcementcount 0 &gt;&gt;C:\Users\stu\Documents\GitHub\eaglep3-reporting\EC\2017-07-21-refined-times.txt</v>
      </c>
      <c r="AI144" s="96" t="str">
        <f t="shared" si="67"/>
        <v>echo {"issue":{"subject":"Onboard in-route failure","project_id":79,"tracker_id":40,"status_id":1,"priority_id":2,"assigned_to_id":23,"start_date":"2017-07-21","description":"","custom_fields":[{"id":1,"name":"Subdivision","value":"EC"},{"id":4,"name":"Milepost","value":"12.7412"},{"id":17,"name":"Train ID","value":"230-21"},{"id":16,"name":"Locomotive ID","value":"4031"},{"id":130,"name":"Impact","value":""},{"id":150,"name":"Time of Event (Mountain Time)","value":"22:12:13"},{"id":151,"name":"Denver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8"/>
        <v>start /low /b %USERPROFILE%\Documents\GitHub\eaglep3\Utilities\DownloadLogsFromS3.py --loco 4031 --day 2017-07-21</v>
      </c>
      <c r="AN144" s="151" t="str">
        <f t="shared" si="69"/>
        <v>echo {"issue":{"subject":"Onboard in-route failure","project_id":30,"tracker_id":4,"status_id":1,"priority_id":1,"assigned_to_id":10,"start_date":"2017-07-22","description":"","custom_fields":[{"id":30,"name":"Category","value":"Issue"},{"id":3,"name":"Functional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843</v>
      </c>
      <c r="B145" s="7">
        <v>4054</v>
      </c>
      <c r="C145" s="21" t="s">
        <v>198</v>
      </c>
      <c r="D145" s="21" t="s">
        <v>465</v>
      </c>
      <c r="E145" s="13">
        <v>42937.892083333332</v>
      </c>
      <c r="F145" s="13">
        <v>42937.896354166667</v>
      </c>
      <c r="G145" s="7">
        <v>1</v>
      </c>
      <c r="H145" s="21" t="s">
        <v>474</v>
      </c>
      <c r="I145" s="13">
        <v>42937.92082175926</v>
      </c>
      <c r="J145" s="7">
        <v>0</v>
      </c>
      <c r="K145" s="89" t="str">
        <f t="shared" si="57"/>
        <v>4053/4054</v>
      </c>
      <c r="L145" s="21" t="str">
        <f>VLOOKUP(A145,'Trips&amp;Operators'!$C$1:$G$99999,5,FALSE)</f>
        <v>BIRENBAUM THOMAS</v>
      </c>
      <c r="M145" s="6">
        <f t="shared" si="58"/>
        <v>2.4467592593282461E-2</v>
      </c>
      <c r="N145" s="7">
        <f>24*60*SUM($M145:$M145)</f>
        <v>35.233333334326744</v>
      </c>
      <c r="O145" s="7"/>
      <c r="P145" s="7"/>
      <c r="Q145" s="22"/>
      <c r="R145" s="170"/>
      <c r="S145" s="213">
        <f t="shared" si="56"/>
        <v>1</v>
      </c>
      <c r="T145" s="195" t="str">
        <f t="shared" si="59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0"/>
        <v>https://d0f6bd738d7f1b3e5a7ca70fe4ff75f0.us-east-1.aws.found.io/app/kibana#/discover/Steve-Slow-Train-Analysis-(2080s-and-2083s)?_g=(refreshInterval:(display:Off,pause:!f,section:0,value:0),time:(from:'2017-07-21T20:24:36-0600',mode:absolute,to:'2017-07-21T23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97" t="str">
        <f>IF(AA145&lt;VLOOKUP(AG145,Variables!$AC$3:$AD$8,2,FALSE),"Y","N")</f>
        <v>N</v>
      </c>
      <c r="X145" s="197">
        <f t="shared" si="54"/>
        <v>1</v>
      </c>
      <c r="Y145" s="197">
        <f t="shared" si="49"/>
        <v>4.6699999999999998E-2</v>
      </c>
      <c r="Z145" s="197">
        <f t="shared" si="50"/>
        <v>23.3293</v>
      </c>
      <c r="AA145" s="197">
        <f t="shared" si="61"/>
        <v>23.282599999999999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2"/>
        <v>231</v>
      </c>
      <c r="AE145" s="77" t="str">
        <f t="shared" si="63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145" s="74" t="str">
        <f t="shared" si="64"/>
        <v>"C:\Program Files (x86)\AstroGrep\AstroGrep.exe" /e /r /s /spath="%USERPROFILE%\AppData\Local\Temp\OnboardLogs" /stypes="app*4054*20170722*" /stext=" 04:.+((SYSTEM_STATE.+slice.+state.+changed )|(ment ac)|(multiple cpu faults)|(system.+state.+changed )|(\[timeout)|(PRM\|1\|D)|(kpr)|(kdp)|(train st.+moving)|(\|lc)|(penalty))"</v>
      </c>
      <c r="AG145" s="209" t="str">
        <f t="shared" si="65"/>
        <v>EC</v>
      </c>
      <c r="AH145" s="78" t="str">
        <f t="shared" si="66"/>
        <v>"%USERPROFILE%\Documents\GitHub\eaglep3\Utilities\RefineRTDCRunTimes.py" --tripid 231-21 --locoid 4054 --swversion DE.1.0.9.0 --startMP 204:467 --initTime 2017-07-21T21:24:36 --startdatetime 2017-07-21T21:30:45 --delay 1 --endMP 204:233293 --enddatetime 2017-07-21T22:05:59 --enforcementcount 0 &gt;&gt;C:\Users\stu\Documents\GitHub\eaglep3-reporting\EC\2017-07-21-refined-times.txt</v>
      </c>
      <c r="AI145" s="96" t="str">
        <f t="shared" si="67"/>
        <v>echo {"issue":{"subject":"","project_id":79,"tracker_id":40,"status_id":1,"priority_id":2,"assigned_to_id":23,"start_date":"2017-07-21","description":"","custom_fields":[{"id":1,"name":"Subdivision","value":"EC"},{"id":4,"name":"Milepost","value":"23.3293"},{"id":17,"name":"Train ID","value":"231-21"},{"id":16,"name":"Locomotive ID","value":"4054"},{"id":130,"name":"Impact","value":""},{"id":150,"name":"Time of Event (Mountain Time)","value":"22:05:59"},{"id":151,"name":"Denver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8"/>
        <v>start /low /b %USERPROFILE%\Documents\GitHub\eaglep3\Utilities\DownloadLogsFromS3.py --loco 4054 --day 2017-07-21</v>
      </c>
      <c r="AN145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849</v>
      </c>
      <c r="B146" s="7">
        <v>4053</v>
      </c>
      <c r="C146" s="21" t="s">
        <v>198</v>
      </c>
      <c r="D146" s="21" t="s">
        <v>468</v>
      </c>
      <c r="E146" s="13">
        <v>42937.931712962964</v>
      </c>
      <c r="F146" s="13">
        <v>42937.935555555552</v>
      </c>
      <c r="G146" s="7">
        <v>0</v>
      </c>
      <c r="H146" s="21" t="s">
        <v>933</v>
      </c>
      <c r="I146" s="13">
        <v>42937.961574074077</v>
      </c>
      <c r="J146" s="7">
        <v>0</v>
      </c>
      <c r="K146" s="89" t="str">
        <f t="shared" si="57"/>
        <v>4053/4054</v>
      </c>
      <c r="L146" s="21" t="str">
        <f>VLOOKUP(A146,'Trips&amp;Operators'!$C$1:$G$99999,5,FALSE)</f>
        <v>BIRENBAUM THOMAS</v>
      </c>
      <c r="M146" s="6">
        <f t="shared" si="58"/>
        <v>2.6018518525233958E-2</v>
      </c>
      <c r="N146" s="7">
        <f>24*60*SUM($M146:$M146)</f>
        <v>37.466666676336899</v>
      </c>
      <c r="O146" s="7"/>
      <c r="P146" s="7"/>
      <c r="Q146" s="22"/>
      <c r="R146" s="170"/>
      <c r="S146" s="213">
        <f t="shared" si="56"/>
        <v>1</v>
      </c>
      <c r="T146" s="195" t="str">
        <f t="shared" si="59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0"/>
        <v>https://d0f6bd738d7f1b3e5a7ca70fe4ff75f0.us-east-1.aws.found.io/app/kibana#/discover/Steve-Slow-Train-Analysis-(2080s-and-2083s)?_g=(refreshInterval:(display:Off,pause:!f,section:0,value:0),time:(from:'2017-07-21T21:21:40-0600',mode:absolute,to:'2017-07-22T00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97" t="str">
        <f>IF(AA146&lt;VLOOKUP(AG146,Variables!$AC$3:$AD$8,2,FALSE),"Y","N")</f>
        <v>N</v>
      </c>
      <c r="X146" s="197">
        <f t="shared" si="54"/>
        <v>1</v>
      </c>
      <c r="Y146" s="197">
        <f t="shared" si="49"/>
        <v>23.296500000000002</v>
      </c>
      <c r="Z146" s="197">
        <f t="shared" si="50"/>
        <v>1.7999999999999999E-2</v>
      </c>
      <c r="AA146" s="197">
        <f t="shared" si="61"/>
        <v>23.278500000000001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2"/>
        <v>232</v>
      </c>
      <c r="AE146" s="77" t="str">
        <f t="shared" si="63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146" s="74" t="str">
        <f t="shared" si="64"/>
        <v>"C:\Program Files (x86)\AstroGrep\AstroGrep.exe" /e /r /s /spath="%USERPROFILE%\AppData\Local\Temp\OnboardLogs" /stypes="app*4053*20170722*" /stext=" 05:.+((SYSTEM_STATE.+slice.+state.+changed )|(ment ac)|(multiple cpu faults)|(system.+state.+changed )|(\[timeout)|(PRM\|1\|D)|(kpr)|(kdp)|(train st.+moving)|(\|lc)|(penalty))"</v>
      </c>
      <c r="AG146" s="209" t="str">
        <f t="shared" si="65"/>
        <v>EC</v>
      </c>
      <c r="AH146" s="78" t="str">
        <f t="shared" si="66"/>
        <v>"%USERPROFILE%\Documents\GitHub\eaglep3\Utilities\RefineRTDCRunTimes.py" --tripid 232-21 --locoid 4053 --swversion DE.1.0.9.0 --startMP 204:232965 --initTime 2017-07-21T22:21:40 --startdatetime 2017-07-21T22:27:12 --delay 0 --endMP 204:180 --enddatetime 2017-07-21T23:04:40 --enforcementcount 0 &gt;&gt;C:\Users\stu\Documents\GitHub\eaglep3-reporting\EC\2017-07-21-refined-times.txt</v>
      </c>
      <c r="AI146" s="96" t="str">
        <f t="shared" si="67"/>
        <v>echo {"issue":{"subject":"","project_id":79,"tracker_id":40,"status_id":1,"priority_id":2,"assigned_to_id":23,"start_date":"2017-07-21","description":"","custom_fields":[{"id":1,"name":"Subdivision","value":"EC"},{"id":4,"name":"Milepost","value":"0.018"},{"id":17,"name":"Train ID","value":"232-21"},{"id":16,"name":"Locomotive ID","value":"4053"},{"id":130,"name":"Impact","value":""},{"id":150,"name":"Time of Event (Mountain Time)","value":"23:04:40"},{"id":151,"name":"Denver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8"/>
        <v>start /low /b %USERPROFILE%\Documents\GitHub\eaglep3\Utilities\DownloadLogsFromS3.py --loco 4053 --day 2017-07-21</v>
      </c>
      <c r="AN146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05:04:40"},{"id":29,"name":"Sharepoint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845</v>
      </c>
      <c r="B147" s="7">
        <v>4030</v>
      </c>
      <c r="C147" s="21" t="s">
        <v>198</v>
      </c>
      <c r="D147" s="21" t="s">
        <v>934</v>
      </c>
      <c r="E147" s="13">
        <v>42937.907743055555</v>
      </c>
      <c r="F147" s="13">
        <v>42937.917210648149</v>
      </c>
      <c r="G147" s="7">
        <v>1</v>
      </c>
      <c r="H147" s="21" t="s">
        <v>533</v>
      </c>
      <c r="I147" s="13">
        <v>42937.949814814812</v>
      </c>
      <c r="J147" s="7">
        <v>0</v>
      </c>
      <c r="K147" s="89" t="str">
        <f t="shared" si="57"/>
        <v>4029/4030</v>
      </c>
      <c r="L147" s="21" t="str">
        <f>VLOOKUP(A147,'Trips&amp;Operators'!$C$1:$G$99999,5,FALSE)</f>
        <v>PERKINS DARREN</v>
      </c>
      <c r="M147" s="6">
        <f t="shared" si="58"/>
        <v>3.2604166663077194E-2</v>
      </c>
      <c r="N147" s="7">
        <f>24*60*SUM($M147:$M147)</f>
        <v>46.94999999483116</v>
      </c>
      <c r="O147" s="7"/>
      <c r="P147" s="7"/>
      <c r="Q147" s="22"/>
      <c r="R147" s="170"/>
      <c r="S147" s="213">
        <f t="shared" si="56"/>
        <v>1</v>
      </c>
      <c r="T147" s="195" t="str">
        <f t="shared" si="59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0"/>
        <v>https://d0f6bd738d7f1b3e5a7ca70fe4ff75f0.us-east-1.aws.found.io/app/kibana#/discover/Steve-Slow-Train-Analysis-(2080s-and-2083s)?_g=(refreshInterval:(display:Off,pause:!f,section:0,value:0),time:(from:'2017-07-21T20:47:09-0600',mode:absolute,to:'2017-07-21T23:47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197" t="str">
        <f>IF(AA147&lt;VLOOKUP(AG147,Variables!$AC$3:$AD$8,2,FALSE),"Y","N")</f>
        <v>N</v>
      </c>
      <c r="X147" s="197">
        <f t="shared" si="54"/>
        <v>1</v>
      </c>
      <c r="Y147" s="197">
        <f t="shared" si="49"/>
        <v>4.3299999999999998E-2</v>
      </c>
      <c r="Z147" s="197">
        <f t="shared" si="50"/>
        <v>23.328399999999998</v>
      </c>
      <c r="AA147" s="197">
        <f t="shared" si="61"/>
        <v>23.2851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2"/>
        <v>233</v>
      </c>
      <c r="AE147" s="77" t="str">
        <f t="shared" si="63"/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AF147" s="74" t="str">
        <f t="shared" si="64"/>
        <v>"C:\Program Files (x86)\AstroGrep\AstroGrep.exe" /e /r /s /spath="%USERPROFILE%\AppData\Local\Temp\OnboardLogs" /stypes="app*4030*20170722*" /stext=" 04:.+((SYSTEM_STATE.+slice.+state.+changed )|(ment ac)|(multiple cpu faults)|(system.+state.+changed )|(\[timeout)|(PRM\|1\|D)|(kpr)|(kdp)|(train st.+moving)|(\|lc)|(penalty))"</v>
      </c>
      <c r="AG147" s="209" t="str">
        <f t="shared" si="65"/>
        <v>EC</v>
      </c>
      <c r="AH147" s="78" t="str">
        <f t="shared" si="66"/>
        <v>"%USERPROFILE%\Documents\GitHub\eaglep3\Utilities\RefineRTDCRunTimes.py" --tripid 233-21 --locoid 4030 --swversion DE.1.0.9.0 --startMP 204:433 --initTime 2017-07-21T21:47:09 --startdatetime 2017-07-21T22:00:47 --delay 1 --endMP 204:233284 --enddatetime 2017-07-21T22:47:44 --enforcementcount 0 &gt;&gt;C:\Users\stu\Documents\GitHub\eaglep3-reporting\EC\2017-07-21-refined-times.txt</v>
      </c>
      <c r="AI147" s="96" t="str">
        <f t="shared" si="67"/>
        <v>echo {"issue":{"subject":"","project_id":79,"tracker_id":40,"status_id":1,"priority_id":2,"assigned_to_id":23,"start_date":"2017-07-21","description":"","custom_fields":[{"id":1,"name":"Subdivision","value":"EC"},{"id":4,"name":"Milepost","value":"23.3284"},{"id":17,"name":"Train ID","value":"233-21"},{"id":16,"name":"Locomotive ID","value":"4030"},{"id":130,"name":"Impact","value":""},{"id":150,"name":"Time of Event (Mountain Time)","value":"22:47:44"},{"id":151,"name":"Denver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8"/>
        <v>start /low /b %USERPROFILE%\Documents\GitHub\eaglep3\Utilities\DownloadLogsFromS3.py --loco 4030 --day 2017-07-21</v>
      </c>
      <c r="AN147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04:47:44"},{"id":29,"name":"Sharepoint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851</v>
      </c>
      <c r="B148" s="7">
        <v>4029</v>
      </c>
      <c r="C148" s="21" t="s">
        <v>198</v>
      </c>
      <c r="D148" s="21" t="s">
        <v>567</v>
      </c>
      <c r="E148" s="13">
        <v>42937.951863425929</v>
      </c>
      <c r="F148" s="13">
        <v>42937.956412037034</v>
      </c>
      <c r="G148" s="7">
        <v>1</v>
      </c>
      <c r="H148" s="21" t="s">
        <v>909</v>
      </c>
      <c r="I148" s="13">
        <v>42937.983449074076</v>
      </c>
      <c r="J148" s="7">
        <v>0</v>
      </c>
      <c r="K148" s="89" t="str">
        <f t="shared" si="57"/>
        <v>4029/4030</v>
      </c>
      <c r="L148" s="21" t="str">
        <f>VLOOKUP(A148,'Trips&amp;Operators'!$C$1:$G$99999,5,FALSE)</f>
        <v>PERKINS DARREN</v>
      </c>
      <c r="M148" s="6">
        <f t="shared" si="58"/>
        <v>2.7037037041736767E-2</v>
      </c>
      <c r="N148" s="7">
        <f>24*60*SUM($M148:$M148)</f>
        <v>38.933333340100944</v>
      </c>
      <c r="O148" s="7"/>
      <c r="P148" s="7"/>
      <c r="Q148" s="22"/>
      <c r="R148" s="170"/>
      <c r="S148" s="213">
        <f t="shared" si="56"/>
        <v>1</v>
      </c>
      <c r="T148" s="195" t="str">
        <f t="shared" si="59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0"/>
        <v>https://d0f6bd738d7f1b3e5a7ca70fe4ff75f0.us-east-1.aws.found.io/app/kibana#/discover/Steve-Slow-Train-Analysis-(2080s-and-2083s)?_g=(refreshInterval:(display:Off,pause:!f,section:0,value:0),time:(from:'2017-07-21T21:50:41-0600',mode:absolute,to:'2017-07-22T00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97" t="str">
        <f>IF(AA148&lt;VLOOKUP(AG148,Variables!$AC$3:$AD$8,2,FALSE),"Y","N")</f>
        <v>N</v>
      </c>
      <c r="X148" s="197">
        <f t="shared" si="54"/>
        <v>1</v>
      </c>
      <c r="Y148" s="197">
        <f t="shared" si="49"/>
        <v>23.298200000000001</v>
      </c>
      <c r="Z148" s="197">
        <f t="shared" si="50"/>
        <v>1.2699999999999999E-2</v>
      </c>
      <c r="AA148" s="197">
        <f t="shared" si="61"/>
        <v>23.285500000000003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2"/>
        <v>234</v>
      </c>
      <c r="AE148" s="77" t="str">
        <f t="shared" si="63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148" s="74" t="str">
        <f t="shared" si="64"/>
        <v>"C:\Program Files (x86)\AstroGrep\AstroGrep.exe" /e /r /s /spath="%USERPROFILE%\AppData\Local\Temp\OnboardLogs" /stypes="app*4029*20170722*" /stext=" 05:.+((SYSTEM_STATE.+slice.+state.+changed )|(ment ac)|(multiple cpu faults)|(system.+state.+changed )|(\[timeout)|(PRM\|1\|D)|(kpr)|(kdp)|(train st.+moving)|(\|lc)|(penalty))"</v>
      </c>
      <c r="AG148" s="209" t="str">
        <f t="shared" si="65"/>
        <v>EC</v>
      </c>
      <c r="AH148" s="78" t="str">
        <f t="shared" si="66"/>
        <v>"%USERPROFILE%\Documents\GitHub\eaglep3\Utilities\RefineRTDCRunTimes.py" --tripid 234-21 --locoid 4029 --swversion DE.1.0.9.0 --startMP 204:232982 --initTime 2017-07-21T22:50:41 --startdatetime 2017-07-21T22:57:14 --delay 1 --endMP 204:127 --enddatetime 2017-07-21T23:36:10 --enforcementcount 0 &gt;&gt;C:\Users\stu\Documents\GitHub\eaglep3-reporting\EC\2017-07-21-refined-times.txt</v>
      </c>
      <c r="AI148" s="96" t="str">
        <f t="shared" si="67"/>
        <v>echo {"issue":{"subject":"","project_id":79,"tracker_id":40,"status_id":1,"priority_id":2,"assigned_to_id":23,"start_date":"2017-07-21","description":"","custom_fields":[{"id":1,"name":"Subdivision","value":"EC"},{"id":4,"name":"Milepost","value":"0.0127"},{"id":17,"name":"Train ID","value":"234-21"},{"id":16,"name":"Locomotive ID","value":"4029"},{"id":130,"name":"Impact","value":""},{"id":150,"name":"Time of Event (Mountain Time)","value":"23:36:10"},{"id":151,"name":"Denver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8"/>
        <v>start /low /b %USERPROFILE%\Documents\GitHub\eaglep3\Utilities\DownloadLogsFromS3.py --loco 4029 --day 2017-07-21</v>
      </c>
      <c r="AN148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848</v>
      </c>
      <c r="B149" s="7">
        <v>4046</v>
      </c>
      <c r="C149" s="21" t="s">
        <v>198</v>
      </c>
      <c r="D149" s="21" t="s">
        <v>537</v>
      </c>
      <c r="E149" s="13">
        <v>42937.92396990741</v>
      </c>
      <c r="F149" s="13">
        <v>42937.938125000001</v>
      </c>
      <c r="G149" s="7">
        <v>1</v>
      </c>
      <c r="H149" s="21" t="s">
        <v>514</v>
      </c>
      <c r="I149" s="13">
        <v>42937.963460648149</v>
      </c>
      <c r="J149" s="7">
        <v>0</v>
      </c>
      <c r="K149" s="89" t="str">
        <f t="shared" si="57"/>
        <v>4045/4046</v>
      </c>
      <c r="L149" s="21" t="str">
        <f>VLOOKUP(A149,'Trips&amp;Operators'!$C$1:$G$99999,5,FALSE)</f>
        <v>FORTUNATO FRANK</v>
      </c>
      <c r="M149" s="6">
        <f t="shared" si="58"/>
        <v>2.5335648148029577E-2</v>
      </c>
      <c r="N149" s="7">
        <f>24*60*SUM($M149:$M149)</f>
        <v>36.483333333162591</v>
      </c>
      <c r="O149" s="7"/>
      <c r="P149" s="7"/>
      <c r="Q149" s="22"/>
      <c r="R149" s="170"/>
      <c r="S149" s="213">
        <f t="shared" si="56"/>
        <v>1</v>
      </c>
      <c r="T149" s="195" t="str">
        <f t="shared" si="59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0"/>
        <v>https://d0f6bd738d7f1b3e5a7ca70fe4ff75f0.us-east-1.aws.found.io/app/kibana#/discover/Steve-Slow-Train-Analysis-(2080s-and-2083s)?_g=(refreshInterval:(display:Off,pause:!f,section:0,value:0),time:(from:'2017-07-21T21:10:31-0600',mode:absolute,to:'2017-07-22T00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9" s="197" t="str">
        <f>IF(AA149&lt;VLOOKUP(AG149,Variables!$AC$3:$AD$8,2,FALSE),"Y","N")</f>
        <v>N</v>
      </c>
      <c r="X149" s="197">
        <f t="shared" si="54"/>
        <v>1</v>
      </c>
      <c r="Y149" s="197">
        <f t="shared" si="49"/>
        <v>4.2000000000000003E-2</v>
      </c>
      <c r="Z149" s="197">
        <f t="shared" si="50"/>
        <v>23.331399999999999</v>
      </c>
      <c r="AA149" s="197">
        <f t="shared" si="61"/>
        <v>23.289399999999997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2"/>
        <v>235</v>
      </c>
      <c r="AE149" s="77" t="str">
        <f t="shared" si="63"/>
        <v>aws s3 cp s3://rtdc.mdm.uploadarchive.raw/RTDC4046/ "%USERPROFILE%\AppData\Local\Temp\OnboardLogs"\RTDC4046\2017-07-21 --exclude "*" --recursive --include "*20170721*" &amp; "%USERPROFILE%\Documents\GitHub\mrs-test-scripts\Headless Mode &amp; Sideloading\WalkAndUnGZ.bat" "%USERPROFILE%\AppData\Local\Temp\OnboardLogs"\RTDC4046\2017-07-21 &amp; 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</v>
      </c>
      <c r="AF149" s="74" t="str">
        <f t="shared" si="64"/>
        <v>"C:\Program Files (x86)\AstroGrep\AstroGrep.exe" /e /r /s /spath="%USERPROFILE%\AppData\Local\Temp\OnboardLogs" /stypes="app*4046*20170722*" /stext=" 05:.+((SYSTEM_STATE.+slice.+state.+changed )|(ment ac)|(multiple cpu faults)|(system.+state.+changed )|(\[timeout)|(PRM\|1\|D)|(kpr)|(kdp)|(train st.+moving)|(\|lc)|(penalty))"</v>
      </c>
      <c r="AG149" s="209" t="str">
        <f t="shared" si="65"/>
        <v>EC</v>
      </c>
      <c r="AH149" s="78" t="str">
        <f t="shared" si="66"/>
        <v>"%USERPROFILE%\Documents\GitHub\eaglep3\Utilities\RefineRTDCRunTimes.py" --tripid 235-21 --locoid 4046 --swversion DE.1.0.9.0 --startMP 204:420 --initTime 2017-07-21T22:10:31 --startdatetime 2017-07-21T22:30:54 --delay 1 --endMP 204:233314 --enddatetime 2017-07-21T23:07:23 --enforcementcount 0 &gt;&gt;C:\Users\stu\Documents\GitHub\eaglep3-reporting\EC\2017-07-21-refined-times.txt</v>
      </c>
      <c r="AI149" s="96" t="str">
        <f t="shared" si="67"/>
        <v>echo {"issue":{"subject":"","project_id":79,"tracker_id":40,"status_id":1,"priority_id":2,"assigned_to_id":23,"start_date":"2017-07-21","description":"","custom_fields":[{"id":1,"name":"Subdivision","value":"EC"},{"id":4,"name":"Milepost","value":"23.3314"},{"id":17,"name":"Train ID","value":"235-21"},{"id":16,"name":"Locomotive ID","value":"4046"},{"id":130,"name":"Impact","value":""},{"id":150,"name":"Time of Event (Mountain Time)","value":"23:07:23"},{"id":151,"name":"Denver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8"/>
        <v>start /low /b %USERPROFILE%\Documents\GitHub\eaglep3\Utilities\DownloadLogsFromS3.py --loco 4046 --day 2017-07-21</v>
      </c>
      <c r="AN149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05:07:23"},{"id":29,"name":"Sharepoint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656</v>
      </c>
      <c r="B150" s="7">
        <v>4045</v>
      </c>
      <c r="C150" s="21" t="s">
        <v>198</v>
      </c>
      <c r="D150" s="21" t="s">
        <v>393</v>
      </c>
      <c r="E150" s="13">
        <v>42937.969814814816</v>
      </c>
      <c r="F150" s="13">
        <v>42937.977268518516</v>
      </c>
      <c r="G150" s="7">
        <v>0</v>
      </c>
      <c r="H150" s="21" t="s">
        <v>935</v>
      </c>
      <c r="I150" s="13">
        <v>42938.002488425926</v>
      </c>
      <c r="J150" s="7">
        <v>0</v>
      </c>
      <c r="K150" s="89" t="str">
        <f t="shared" si="57"/>
        <v>4045/4046</v>
      </c>
      <c r="L150" s="21" t="str">
        <f>VLOOKUP(A150,'Trips&amp;Operators'!$C$1:$G$99999,5,FALSE)</f>
        <v>FORTUNATO FRANK</v>
      </c>
      <c r="M150" s="6">
        <f t="shared" si="58"/>
        <v>2.5219907409336884E-2</v>
      </c>
      <c r="N150" s="7"/>
      <c r="O150" s="7"/>
      <c r="P150" s="7">
        <f>24*60*SUM($M150:$M150)</f>
        <v>36.316666669445112</v>
      </c>
      <c r="Q150" s="22"/>
      <c r="R150" s="170" t="s">
        <v>1047</v>
      </c>
      <c r="S150" s="213">
        <f t="shared" si="56"/>
        <v>1</v>
      </c>
      <c r="T150" s="195" t="str">
        <f t="shared" si="59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0"/>
        <v>https://d0f6bd738d7f1b3e5a7ca70fe4ff75f0.us-east-1.aws.found.io/app/kibana#/discover/Steve-Slow-Train-Analysis-(2080s-and-2083s)?_g=(refreshInterval:(display:Off,pause:!f,section:0,value:0),time:(from:'2017-07-21T22:16:32-0600',mode:absolute,to:'2017-07-22T01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0" s="197" t="str">
        <f>IF(AA150&lt;VLOOKUP(AG150,Variables!$AC$3:$AD$8,2,FALSE),"Y","N")</f>
        <v>Y</v>
      </c>
      <c r="X150" s="197">
        <f t="shared" si="54"/>
        <v>1</v>
      </c>
      <c r="Y150" s="197">
        <f t="shared" si="49"/>
        <v>23.299600000000002</v>
      </c>
      <c r="Z150" s="197">
        <f t="shared" si="50"/>
        <v>1.3720000000000001</v>
      </c>
      <c r="AA150" s="197">
        <f t="shared" si="61"/>
        <v>21.927600000000002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2"/>
        <v>236</v>
      </c>
      <c r="AE150" s="77" t="str">
        <f t="shared" si="63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150" s="74" t="str">
        <f t="shared" si="64"/>
        <v>"C:\Program Files (x86)\AstroGrep\AstroGrep.exe" /e /r /s /spath="%USERPROFILE%\AppData\Local\Temp\OnboardLogs" /stypes="app*4045*20170722*" /stext=" 06:.+((SYSTEM_STATE.+slice.+state.+changed )|(ment ac)|(multiple cpu faults)|(system.+state.+changed )|(\[timeout)|(PRM\|1\|D)|(kpr)|(kdp)|(train st.+moving)|(\|lc)|(penalty))"</v>
      </c>
      <c r="AG150" s="209" t="str">
        <f t="shared" si="65"/>
        <v>EC</v>
      </c>
      <c r="AH150" s="78" t="str">
        <f t="shared" si="66"/>
        <v>"%USERPROFILE%\Documents\GitHub\eaglep3\Utilities\RefineRTDCRunTimes.py" --tripid 236-21 --locoid 4045 --swversion DE.1.0.9.0 --startMP 204:232996 --initTime 2017-07-21T23:16:32 --startdatetime 2017-07-21T23:27:16 --delay 0 --endMP 204:13720 --enddatetime 2017-07-22T00:03:35 --enforcementcount 0 &gt;&gt;C:\Users\stu\Documents\GitHub\eaglep3-reporting\EC\2017-07-21-refined-times.txt</v>
      </c>
      <c r="AI150" s="96" t="str">
        <f t="shared" si="67"/>
        <v>echo {"issue":{"subject":"Wi-MAX data drop","project_id":79,"tracker_id":40,"status_id":1,"priority_id":2,"assigned_to_id":23,"start_date":"2017-07-22","description":"","custom_fields":[{"id":1,"name":"Subdivision","value":"EC"},{"id":4,"name":"Milepost","value":"1.372"},{"id":17,"name":"Train ID","value":"236-21"},{"id":16,"name":"Locomotive ID","value":"4045"},{"id":130,"name":"Impact","value":""},{"id":150,"name":"Time of Event (Mountain Time)","value":"00:03:35"},{"id":151,"name":"Denver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8"/>
        <v>start /low /b %USERPROFILE%\Documents\GitHub\eaglep3\Utilities\DownloadLogsFromS3.py --loco 4045 --day 2017-07-21</v>
      </c>
      <c r="AN150" s="151" t="str">
        <f t="shared" si="69"/>
        <v>echo {"issue":{"subject":"Wi-MAX data drop","project_id":30,"tracker_id":4,"status_id":1,"priority_id":1,"assigned_to_id":10,"start_date":"2017-07-22","description":"","custom_fields":[{"id":30,"name":"Category","value":"Issue"},{"id":3,"name":"Functional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06:03:35"},{"id":29,"name":"Sharepoint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852</v>
      </c>
      <c r="B151" s="7">
        <v>4032</v>
      </c>
      <c r="C151" s="21" t="s">
        <v>198</v>
      </c>
      <c r="D151" s="21" t="s">
        <v>411</v>
      </c>
      <c r="E151" s="13">
        <v>42937.952777777777</v>
      </c>
      <c r="F151" s="13">
        <v>42937.959386574075</v>
      </c>
      <c r="G151" s="7">
        <v>1</v>
      </c>
      <c r="H151" s="21" t="s">
        <v>531</v>
      </c>
      <c r="I151" s="13">
        <v>42937.984432870369</v>
      </c>
      <c r="J151" s="7">
        <v>0</v>
      </c>
      <c r="K151" s="89" t="str">
        <f t="shared" si="57"/>
        <v>4031/4032</v>
      </c>
      <c r="L151" s="21" t="str">
        <f>VLOOKUP(A151,'Trips&amp;Operators'!$C$1:$G$99999,5,FALSE)</f>
        <v>LAMAR NEKESHA</v>
      </c>
      <c r="M151" s="6">
        <f t="shared" si="58"/>
        <v>2.5046296294021886E-2</v>
      </c>
      <c r="N151" s="7">
        <f>24*60*SUM($M151:$M151)</f>
        <v>36.066666663391516</v>
      </c>
      <c r="O151" s="7"/>
      <c r="P151" s="7"/>
      <c r="Q151" s="22"/>
      <c r="R151" s="170"/>
      <c r="S151" s="213">
        <f t="shared" si="56"/>
        <v>1</v>
      </c>
      <c r="T151" s="195" t="str">
        <f t="shared" si="59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0"/>
        <v>https://d0f6bd738d7f1b3e5a7ca70fe4ff75f0.us-east-1.aws.found.io/app/kibana#/discover/Steve-Slow-Train-Analysis-(2080s-and-2083s)?_g=(refreshInterval:(display:Off,pause:!f,section:0,value:0),time:(from:'2017-07-21T21:52:00-0600',mode:absolute,to:'2017-07-22T00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97" t="str">
        <f>IF(AA151&lt;VLOOKUP(AG151,Variables!$AC$3:$AD$8,2,FALSE),"Y","N")</f>
        <v>N</v>
      </c>
      <c r="X151" s="197">
        <f t="shared" si="54"/>
        <v>1</v>
      </c>
      <c r="Y151" s="197">
        <f t="shared" si="49"/>
        <v>4.4400000000000002E-2</v>
      </c>
      <c r="Z151" s="197">
        <f t="shared" si="50"/>
        <v>23.328199999999999</v>
      </c>
      <c r="AA151" s="197">
        <f t="shared" si="61"/>
        <v>23.283799999999999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2"/>
        <v>237</v>
      </c>
      <c r="AE151" s="77" t="str">
        <f t="shared" si="63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151" s="74" t="str">
        <f t="shared" si="64"/>
        <v>"C:\Program Files (x86)\AstroGrep\AstroGrep.exe" /e /r /s /spath="%USERPROFILE%\AppData\Local\Temp\OnboardLogs" /stypes="app*4032*20170722*" /stext=" 05:.+((SYSTEM_STATE.+slice.+state.+changed )|(ment ac)|(multiple cpu faults)|(system.+state.+changed )|(\[timeout)|(PRM\|1\|D)|(kpr)|(kdp)|(train st.+moving)|(\|lc)|(penalty))"</v>
      </c>
      <c r="AG151" s="209" t="str">
        <f t="shared" si="65"/>
        <v>EC</v>
      </c>
      <c r="AH151" s="78" t="str">
        <f t="shared" si="66"/>
        <v>"%USERPROFILE%\Documents\GitHub\eaglep3\Utilities\RefineRTDCRunTimes.py" --tripid 237-21 --locoid 4032 --swversion DE.1.0.9.0 --startMP 204:444 --initTime 2017-07-21T22:52:00 --startdatetime 2017-07-21T23:01:31 --delay 1 --endMP 204:233282 --enddatetime 2017-07-21T23:37:35 --enforcementcount 0 &gt;&gt;C:\Users\stu\Documents\GitHub\eaglep3-reporting\EC\2017-07-21-refined-times.txt</v>
      </c>
      <c r="AI151" s="96" t="str">
        <f t="shared" si="67"/>
        <v>echo {"issue":{"subject":"","project_id":79,"tracker_id":40,"status_id":1,"priority_id":2,"assigned_to_id":23,"start_date":"2017-07-21","description":"","custom_fields":[{"id":1,"name":"Subdivision","value":"EC"},{"id":4,"name":"Milepost","value":"23.3282"},{"id":17,"name":"Train ID","value":"237-21"},{"id":16,"name":"Locomotive ID","value":"4032"},{"id":130,"name":"Impact","value":""},{"id":150,"name":"Time of Event (Mountain Time)","value":"23:37:35"},{"id":151,"name":"Denver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8"/>
        <v>start /low /b %USERPROFILE%\Documents\GitHub\eaglep3\Utilities\DownloadLogsFromS3.py --loco 4032 --day 2017-07-21</v>
      </c>
      <c r="AN151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05:37:35"},{"id":29,"name":"Sharepoint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855</v>
      </c>
      <c r="B152" s="7">
        <v>4031</v>
      </c>
      <c r="C152" s="21" t="s">
        <v>198</v>
      </c>
      <c r="D152" s="21" t="s">
        <v>411</v>
      </c>
      <c r="E152" s="13">
        <v>42937.952777777777</v>
      </c>
      <c r="F152" s="13">
        <v>42937.995405092595</v>
      </c>
      <c r="G152" s="7">
        <v>1</v>
      </c>
      <c r="H152" s="21" t="s">
        <v>531</v>
      </c>
      <c r="I152" s="13">
        <v>42938.010347222225</v>
      </c>
      <c r="J152" s="7">
        <v>0</v>
      </c>
      <c r="K152" s="89" t="str">
        <f t="shared" si="57"/>
        <v>4031/4032</v>
      </c>
      <c r="L152" s="21" t="str">
        <f>VLOOKUP(A152,'Trips&amp;Operators'!$C$1:$G$99999,5,FALSE)</f>
        <v>LAMAR NEKESHA</v>
      </c>
      <c r="M152" s="6">
        <f t="shared" si="58"/>
        <v>1.4942129630071577E-2</v>
      </c>
      <c r="N152" s="7"/>
      <c r="O152" s="7"/>
      <c r="P152" s="7">
        <f>24*60*SUM($M152:$M152)</f>
        <v>21.51666666730307</v>
      </c>
      <c r="Q152" s="22"/>
      <c r="R152" s="170" t="s">
        <v>1054</v>
      </c>
      <c r="S152" s="213">
        <f t="shared" si="56"/>
        <v>0</v>
      </c>
      <c r="T152" s="195" t="str">
        <f t="shared" si="59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96" t="str">
        <f t="shared" si="60"/>
        <v>https://d0f6bd738d7f1b3e5a7ca70fe4ff75f0.us-east-1.aws.found.io/app/kibana#/discover/Steve-Slow-Train-Analysis-(2080s-and-2083s)?_g=(refreshInterval:(display:Off,pause:!f,section:0,value:0),time:(from:'2017-07-21T21:52:00-0600',mode:absolute,to:'2017-07-22T01:14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197" t="str">
        <f>IF(AA152&lt;VLOOKUP(AG152,Variables!$AC$3:$AD$8,2,FALSE),"Y","N")</f>
        <v>N</v>
      </c>
      <c r="X152" s="197">
        <f t="shared" si="54"/>
        <v>1</v>
      </c>
      <c r="Y152" s="197">
        <f t="shared" si="49"/>
        <v>4.4400000000000002E-2</v>
      </c>
      <c r="Z152" s="197">
        <f t="shared" si="50"/>
        <v>23.328199999999999</v>
      </c>
      <c r="AA152" s="197">
        <f t="shared" si="61"/>
        <v>23.283799999999999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2"/>
        <v>238</v>
      </c>
      <c r="AE152" s="77" t="str">
        <f t="shared" si="63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152" s="74" t="str">
        <f t="shared" si="64"/>
        <v>"C:\Program Files (x86)\AstroGrep\AstroGrep.exe" /e /r /s /spath="%USERPROFILE%\AppData\Local\Temp\OnboardLogs" /stypes="app*4031*20170722*" /stext=" 06:.+((SYSTEM_STATE.+slice.+state.+changed )|(ment ac)|(multiple cpu faults)|(system.+state.+changed )|(\[timeout)|(PRM\|1\|D)|(kpr)|(kdp)|(train st.+moving)|(\|lc)|(penalty))"</v>
      </c>
      <c r="AG152" s="209" t="str">
        <f t="shared" si="65"/>
        <v>EC</v>
      </c>
      <c r="AH152" s="78" t="str">
        <f t="shared" ref="AH152" si="70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238-21 --locoid 4031 --swversion DE.1.0.9.0 --startMP 204:444 --initTime 2017-07-21T22:52:00 --startdatetime 2017-07-21T23:53:23 --delay 1 --endMP 204:233282 --enddatetime 2017-07-22T00:14:54 --enforcementcount 0 &gt;&gt;C:\Users\stu\Documents\GitHub\eaglep3-reporting\EC\2017-07-21-refined-times.txt</v>
      </c>
      <c r="AI152" s="96" t="str">
        <f t="shared" ref="AI152" si="71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{"issue":{"subject":"Did not init - did not perform departure test","project_id":79,"tracker_id":40,"status_id":1,"priority_id":2,"assigned_to_id":23,"start_date":"2017-07-22","description":"","custom_fields":[{"id":1,"name":"Subdivision","value":"EC"},{"id":4,"name":"Milepost","value":"23.3282"},{"id":17,"name":"Train ID","value":"238-21"},{"id":16,"name":"Locomotive ID","value":"4031"},{"id":130,"name":"Impact","value":""},{"id":150,"name":"Time of Event (Mountain Time)","value":"00:14:54"},{"id":151,"name":"Denver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ref="AM152" si="72">"start /low /b "&amp;dls3logs&amp;" --loco "&amp;B152&amp;" --day "&amp;TEXT(F152,"YYYY-MM-DD")</f>
        <v>start /low /b %USERPROFILE%\Documents\GitHub\eaglep3\Utilities\DownloadLogsFromS3.py --loco 4031 --day 2017-07-21</v>
      </c>
      <c r="AN152" s="151" t="str">
        <f t="shared" ref="AN152" si="73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did not perform departure test","project_id":30,"tracker_id":4,"status_id":1,"priority_id":1,"assigned_to_id":10,"start_date":"2017-07-22","description":"","custom_fields":[{"id":30,"name":"Category","value":"Issue"},{"id":3,"name":"Functional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06:14:54"},{"id":29,"name":"Sharepoint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2" t="s">
        <v>853</v>
      </c>
      <c r="B153" s="7">
        <v>4054</v>
      </c>
      <c r="C153" s="21" t="s">
        <v>198</v>
      </c>
      <c r="D153" s="21" t="s">
        <v>399</v>
      </c>
      <c r="E153" s="13">
        <v>42937.963125000002</v>
      </c>
      <c r="F153" s="13">
        <v>42937.979675925926</v>
      </c>
      <c r="G153" s="7">
        <v>1</v>
      </c>
      <c r="H153" s="21" t="s">
        <v>534</v>
      </c>
      <c r="I153" s="13">
        <v>42938.003854166665</v>
      </c>
      <c r="J153" s="7">
        <v>0</v>
      </c>
      <c r="K153" s="89" t="str">
        <f t="shared" si="57"/>
        <v>4053/4054</v>
      </c>
      <c r="L153" s="21" t="str">
        <f>VLOOKUP(A153,'Trips&amp;Operators'!$C$1:$G$99999,5,FALSE)</f>
        <v>BIRENBAUM THOMAS</v>
      </c>
      <c r="M153" s="6">
        <f t="shared" si="58"/>
        <v>2.417824073927477E-2</v>
      </c>
      <c r="N153" s="7">
        <f t="shared" ref="N153:N184" si="74">24*60*SUM($M153:$M153)</f>
        <v>34.816666664555669</v>
      </c>
      <c r="O153" s="7"/>
      <c r="P153" s="7"/>
      <c r="Q153" s="22"/>
      <c r="R153" s="170"/>
      <c r="S153" s="213">
        <f t="shared" si="56"/>
        <v>1</v>
      </c>
      <c r="T153" s="195" t="str">
        <f t="shared" si="59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0"/>
        <v>https://d0f6bd738d7f1b3e5a7ca70fe4ff75f0.us-east-1.aws.found.io/app/kibana#/discover/Steve-Slow-Train-Analysis-(2080s-and-2083s)?_g=(refreshInterval:(display:Off,pause:!f,section:0,value:0),time:(from:'2017-07-21T22:06:54-0600',mode:absolute,to:'2017-07-22T01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97" t="str">
        <f>IF(AA153&lt;VLOOKUP(AG153,Variables!$AC$3:$AD$8,2,FALSE),"Y","N")</f>
        <v>N</v>
      </c>
      <c r="X153" s="197">
        <f t="shared" si="54"/>
        <v>1</v>
      </c>
      <c r="Y153" s="197">
        <f t="shared" si="49"/>
        <v>4.5499999999999999E-2</v>
      </c>
      <c r="Z153" s="197">
        <f t="shared" si="50"/>
        <v>23.330200000000001</v>
      </c>
      <c r="AA153" s="197">
        <f t="shared" si="61"/>
        <v>23.284700000000001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2"/>
        <v>239</v>
      </c>
      <c r="AE153" s="77" t="str">
        <f t="shared" si="63"/>
        <v>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 &amp; 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</v>
      </c>
      <c r="AF153" s="74" t="str">
        <f t="shared" si="64"/>
        <v>"C:\Program Files (x86)\AstroGrep\AstroGrep.exe" /e /r /s /spath="%USERPROFILE%\AppData\Local\Temp\OnboardLogs" /stypes="app*4054*20170722*" /stext=" 06:.+((SYSTEM_STATE.+slice.+state.+changed )|(ment ac)|(multiple cpu faults)|(system.+state.+changed )|(\[timeout)|(PRM\|1\|D)|(kpr)|(kdp)|(train st.+moving)|(\|lc)|(penalty))"</v>
      </c>
      <c r="AG153" s="209" t="str">
        <f t="shared" si="65"/>
        <v>EC</v>
      </c>
      <c r="AH153" s="78" t="str">
        <f t="shared" si="66"/>
        <v>"%USERPROFILE%\Documents\GitHub\eaglep3\Utilities\RefineRTDCRunTimes.py" --tripid 239-21 --locoid 4054 --swversion DE.1.0.9.0 --startMP 204:455 --initTime 2017-07-21T23:06:54 --startdatetime 2017-07-21T23:30:44 --delay 1 --endMP 204:233302 --enddatetime 2017-07-22T00:05:33 --enforcementcount 0 &gt;&gt;C:\Users\stu\Documents\GitHub\eaglep3-reporting\EC\2017-07-21-refined-times.txt</v>
      </c>
      <c r="AI153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{"issue":{"subject":"","project_id":79,"tracker_id":40,"status_id":1,"priority_id":2,"assigned_to_id":23,"start_date":"2017-07-22","description":"","custom_fields":[{"id":1,"name":"Subdivision","value":"EC"},{"id":4,"name":"Milepost","value":"23.3302"},{"id":17,"name":"Train ID","value":"239-21"},{"id":16,"name":"Locomotive ID","value":"4054"},{"id":130,"name":"Impact","value":""},{"id":150,"name":"Time of Event (Mountain Time)","value":"00:05:33"},{"id":151,"name":"Denver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8"/>
        <v>start /low /b %USERPROFILE%\Documents\GitHub\eaglep3\Utilities\DownloadLogsFromS3.py --loco 4054 --day 2017-07-21</v>
      </c>
      <c r="AN153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06:05:33"},{"id":29,"name":"Sharepoint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857</v>
      </c>
      <c r="B154" s="7">
        <v>4053</v>
      </c>
      <c r="C154" s="21" t="s">
        <v>198</v>
      </c>
      <c r="D154" s="21" t="s">
        <v>536</v>
      </c>
      <c r="E154" s="13">
        <v>42938.013726851852</v>
      </c>
      <c r="F154" s="13">
        <v>42938.018946759257</v>
      </c>
      <c r="G154" s="7">
        <v>1</v>
      </c>
      <c r="H154" s="21" t="s">
        <v>936</v>
      </c>
      <c r="I154" s="13">
        <v>42938.044606481482</v>
      </c>
      <c r="J154" s="7">
        <v>0</v>
      </c>
      <c r="K154" s="89" t="str">
        <f t="shared" si="57"/>
        <v>4053/4054</v>
      </c>
      <c r="L154" s="21" t="str">
        <f>VLOOKUP(A154,'Trips&amp;Operators'!$C$1:$G$99999,5,FALSE)</f>
        <v>BIRENBAUM THOMAS</v>
      </c>
      <c r="M154" s="6">
        <f t="shared" si="58"/>
        <v>2.5659722225100268E-2</v>
      </c>
      <c r="N154" s="7">
        <f t="shared" si="74"/>
        <v>36.950000004144385</v>
      </c>
      <c r="O154" s="7"/>
      <c r="P154" s="7"/>
      <c r="Q154" s="22"/>
      <c r="R154" s="170"/>
      <c r="S154" s="213">
        <f t="shared" si="56"/>
        <v>1</v>
      </c>
      <c r="T154" s="195" t="str">
        <f t="shared" si="59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0"/>
        <v>https://d0f6bd738d7f1b3e5a7ca70fe4ff75f0.us-east-1.aws.found.io/app/kibana#/discover/Steve-Slow-Train-Analysis-(2080s-and-2083s)?_g=(refreshInterval:(display:Off,pause:!f,section:0,value:0),time:(from:'2017-07-21T23:19:46-0600',mode:absolute,to:'2017-07-22T02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97" t="str">
        <f>IF(AA154&lt;VLOOKUP(AG154,Variables!$AC$3:$AD$8,2,FALSE),"Y","N")</f>
        <v>N</v>
      </c>
      <c r="X154" s="197">
        <f t="shared" si="54"/>
        <v>1</v>
      </c>
      <c r="Y154" s="197">
        <f t="shared" si="49"/>
        <v>23.299299999999999</v>
      </c>
      <c r="Z154" s="197">
        <f t="shared" si="50"/>
        <v>1.66E-2</v>
      </c>
      <c r="AA154" s="197">
        <f t="shared" si="61"/>
        <v>23.282699999999998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2"/>
        <v>240</v>
      </c>
      <c r="AE154" s="77" t="str">
        <f t="shared" si="63"/>
        <v>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 &amp; 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</v>
      </c>
      <c r="AF154" s="74" t="str">
        <f t="shared" si="64"/>
        <v>"C:\Program Files (x86)\AstroGrep\AstroGrep.exe" /e /r /s /spath="%USERPROFILE%\AppData\Local\Temp\OnboardLogs" /stypes="app*4053*20170722*" /stext=" 07:.+((SYSTEM_STATE.+slice.+state.+changed )|(ment ac)|(multiple cpu faults)|(system.+state.+changed )|(\[timeout)|(PRM\|1\|D)|(kpr)|(kdp)|(train st.+moving)|(\|lc)|(penalty))"</v>
      </c>
      <c r="AG154" s="209" t="str">
        <f t="shared" si="65"/>
        <v>EC</v>
      </c>
      <c r="AH154" s="78" t="str">
        <f t="shared" si="66"/>
        <v>"%USERPROFILE%\Documents\GitHub\eaglep3\Utilities\RefineRTDCRunTimes.py" --tripid 240-21 --locoid 4053 --swversion DE.1.0.9.0 --startMP 204:232993 --initTime 2017-07-22T00:19:46 --startdatetime 2017-07-22T00:27:17 --delay 1 --endMP 204:166 --enddatetime 2017-07-22T01:04:14 --enforcementcount 0 &gt;&gt;C:\Users\stu\Documents\GitHub\eaglep3-reporting\EC\2017-07-21-refined-times.txt</v>
      </c>
      <c r="AI154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{"issue":{"subject":"","project_id":79,"tracker_id":40,"status_id":1,"priority_id":2,"assigned_to_id":23,"start_date":"2017-07-22","description":"","custom_fields":[{"id":1,"name":"Subdivision","value":"EC"},{"id":4,"name":"Milepost","value":"0.0166"},{"id":17,"name":"Train ID","value":"240-21"},{"id":16,"name":"Locomotive ID","value":"4053"},{"id":130,"name":"Impact","value":""},{"id":150,"name":"Time of Event (Mountain Time)","value":"01:04:14"},{"id":151,"name":"Denver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8"/>
        <v>start /low /b %USERPROFILE%\Documents\GitHub\eaglep3\Utilities\DownloadLogsFromS3.py --loco 4053 --day 2017-07-22</v>
      </c>
      <c r="AN154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07:04:14"},{"id":29,"name":"Sharepoint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854</v>
      </c>
      <c r="B155" s="7">
        <v>4030</v>
      </c>
      <c r="C155" s="21" t="s">
        <v>198</v>
      </c>
      <c r="D155" s="21" t="s">
        <v>478</v>
      </c>
      <c r="E155" s="13">
        <v>42937.985092592593</v>
      </c>
      <c r="F155" s="13">
        <v>42938.000532407408</v>
      </c>
      <c r="G155" s="7">
        <v>1</v>
      </c>
      <c r="H155" s="21" t="s">
        <v>566</v>
      </c>
      <c r="I155" s="13">
        <v>42938.025219907409</v>
      </c>
      <c r="J155" s="7">
        <v>0</v>
      </c>
      <c r="K155" s="89" t="str">
        <f t="shared" si="57"/>
        <v>4029/4030</v>
      </c>
      <c r="L155" s="21" t="str">
        <f>VLOOKUP(A155,'Trips&amp;Operators'!$C$1:$G$99999,5,FALSE)</f>
        <v>PERKINS DARREN</v>
      </c>
      <c r="M155" s="6">
        <f t="shared" si="58"/>
        <v>2.4687500001164153E-2</v>
      </c>
      <c r="N155" s="7">
        <f t="shared" si="74"/>
        <v>35.550000001676381</v>
      </c>
      <c r="O155" s="7"/>
      <c r="P155" s="7"/>
      <c r="Q155" s="22"/>
      <c r="R155" s="170"/>
      <c r="S155" s="213">
        <f t="shared" si="56"/>
        <v>1</v>
      </c>
      <c r="T155" s="195" t="str">
        <f t="shared" si="59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0"/>
        <v>https://d0f6bd738d7f1b3e5a7ca70fe4ff75f0.us-east-1.aws.found.io/app/kibana#/discover/Steve-Slow-Train-Analysis-(2080s-and-2083s)?_g=(refreshInterval:(display:Off,pause:!f,section:0,value:0),time:(from:'2017-07-21T22:38:32-0600',mode:absolute,to:'2017-07-22T01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197" t="str">
        <f>IF(AA155&lt;VLOOKUP(AG155,Variables!$AC$3:$AD$8,2,FALSE),"Y","N")</f>
        <v>N</v>
      </c>
      <c r="X155" s="197">
        <f t="shared" si="54"/>
        <v>1</v>
      </c>
      <c r="Y155" s="197">
        <f t="shared" si="49"/>
        <v>4.3700000000000003E-2</v>
      </c>
      <c r="Z155" s="197">
        <f t="shared" si="50"/>
        <v>23.3322</v>
      </c>
      <c r="AA155" s="197">
        <f t="shared" si="61"/>
        <v>23.288499999999999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2"/>
        <v>241</v>
      </c>
      <c r="AE155" s="77" t="str">
        <f t="shared" si="63"/>
        <v>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 &amp; 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</v>
      </c>
      <c r="AF155" s="74" t="str">
        <f t="shared" si="64"/>
        <v>"C:\Program Files (x86)\AstroGrep\AstroGrep.exe" /e /r /s /spath="%USERPROFILE%\AppData\Local\Temp\OnboardLogs" /stypes="app*4030*20170722*" /stext=" 06:.+((SYSTEM_STATE.+slice.+state.+changed )|(ment ac)|(multiple cpu faults)|(system.+state.+changed )|(\[timeout)|(PRM\|1\|D)|(kpr)|(kdp)|(train st.+moving)|(\|lc)|(penalty))"</v>
      </c>
      <c r="AG155" s="209" t="str">
        <f t="shared" si="65"/>
        <v>EC</v>
      </c>
      <c r="AH155" s="78" t="str">
        <f t="shared" si="66"/>
        <v>"%USERPROFILE%\Documents\GitHub\eaglep3\Utilities\RefineRTDCRunTimes.py" --tripid 241-21 --locoid 4030 --swversion DE.1.0.9.0 --startMP 204:437 --initTime 2017-07-21T23:38:32 --startdatetime 2017-07-22T00:00:46 --delay 1 --endMP 204:233322 --enddatetime 2017-07-22T00:36:19 --enforcementcount 0 &gt;&gt;C:\Users\stu\Documents\GitHub\eaglep3-reporting\EC\2017-07-21-refined-times.txt</v>
      </c>
      <c r="AI155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{"issue":{"subject":"","project_id":79,"tracker_id":40,"status_id":1,"priority_id":2,"assigned_to_id":23,"start_date":"2017-07-22","description":"","custom_fields":[{"id":1,"name":"Subdivision","value":"EC"},{"id":4,"name":"Milepost","value":"23.3322"},{"id":17,"name":"Train ID","value":"241-21"},{"id":16,"name":"Locomotive ID","value":"4030"},{"id":130,"name":"Impact","value":""},{"id":150,"name":"Time of Event (Mountain Time)","value":"00:36:19"},{"id":151,"name":"Denver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8"/>
        <v>start /low /b %USERPROFILE%\Documents\GitHub\eaglep3\Utilities\DownloadLogsFromS3.py --loco 4030 --day 2017-07-22</v>
      </c>
      <c r="AN155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06:36:19"},{"id":29,"name":"Sharepoint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1055</v>
      </c>
      <c r="B156" s="7">
        <v>4029</v>
      </c>
      <c r="C156" s="21" t="s">
        <v>198</v>
      </c>
      <c r="D156" s="21" t="s">
        <v>478</v>
      </c>
      <c r="E156" s="13">
        <v>42937.985092592593</v>
      </c>
      <c r="F156" s="13">
        <v>42938.039768518516</v>
      </c>
      <c r="G156" s="7">
        <v>1</v>
      </c>
      <c r="H156" s="21" t="s">
        <v>566</v>
      </c>
      <c r="I156" s="13">
        <v>42938.066331018519</v>
      </c>
      <c r="J156" s="7">
        <v>0</v>
      </c>
      <c r="K156" s="89" t="str">
        <f t="shared" si="57"/>
        <v>4029/4030</v>
      </c>
      <c r="L156" s="21" t="s">
        <v>1056</v>
      </c>
      <c r="M156" s="6">
        <f t="shared" si="58"/>
        <v>2.6562500002910383E-2</v>
      </c>
      <c r="N156" s="7">
        <f t="shared" si="74"/>
        <v>38.250000004190952</v>
      </c>
      <c r="O156" s="7"/>
      <c r="P156" s="7"/>
      <c r="Q156" s="22"/>
      <c r="R156" s="170"/>
      <c r="S156" s="213">
        <f t="shared" si="56"/>
        <v>0</v>
      </c>
      <c r="T156" s="195" t="str">
        <f t="shared" si="59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196" t="str">
        <f t="shared" si="60"/>
        <v>https://d0f6bd738d7f1b3e5a7ca70fe4ff75f0.us-east-1.aws.found.io/app/kibana#/discover/Steve-Slow-Train-Analysis-(2080s-and-2083s)?_g=(refreshInterval:(display:Off,pause:!f,section:0,value:0),time:(from:'2017-07-21T22:38:32-0600',mode:absolute,to:'2017-07-22T02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197" t="str">
        <f>IF(AA156&lt;VLOOKUP(AG156,Variables!$AC$3:$AD$8,2,FALSE),"Y","N")</f>
        <v>N</v>
      </c>
      <c r="X156" s="197">
        <f t="shared" si="54"/>
        <v>1</v>
      </c>
      <c r="Y156" s="197">
        <f t="shared" si="49"/>
        <v>4.3700000000000003E-2</v>
      </c>
      <c r="Z156" s="197">
        <f t="shared" si="50"/>
        <v>23.3322</v>
      </c>
      <c r="AA156" s="197">
        <f t="shared" si="61"/>
        <v>23.288499999999999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2"/>
        <v>242</v>
      </c>
      <c r="AE156" s="77" t="str">
        <f t="shared" si="63"/>
        <v>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 &amp; 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</v>
      </c>
      <c r="AF156" s="74" t="str">
        <f t="shared" si="64"/>
        <v>"C:\Program Files (x86)\AstroGrep\AstroGrep.exe" /e /r /s /spath="%USERPROFILE%\AppData\Local\Temp\OnboardLogs" /stypes="app*4029*20170722*" /stext=" 07:.+((SYSTEM_STATE.+slice.+state.+changed )|(ment ac)|(multiple cpu faults)|(system.+state.+changed )|(\[timeout)|(PRM\|1\|D)|(kpr)|(kdp)|(train st.+moving)|(\|lc)|(penalty))"</v>
      </c>
      <c r="AG156" s="209" t="str">
        <f t="shared" si="65"/>
        <v>EC</v>
      </c>
      <c r="AH156" s="78" t="str">
        <f t="shared" ref="AH156" si="7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242-21 --locoid 4029 --swversion DE.1.0.9.0 --startMP 204:437 --initTime 2017-07-21T23:38:32 --startdatetime 2017-07-22T00:57:16 --delay 1 --endMP 204:233322 --enddatetime 2017-07-22T01:35:31 --enforcementcount 0 &gt;&gt;C:\Users\stu\Documents\GitHub\eaglep3-reporting\EC\2017-07-21-refined-times.txt</v>
      </c>
      <c r="AI156" s="96" t="str">
        <f t="shared" ref="AI156" si="7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{"issue":{"subject":"","project_id":79,"tracker_id":40,"status_id":1,"priority_id":2,"assigned_to_id":23,"start_date":"2017-07-22","description":"","custom_fields":[{"id":1,"name":"Subdivision","value":"EC"},{"id":4,"name":"Milepost","value":"23.3322"},{"id":17,"name":"Train ID","value":"242-21"},{"id":16,"name":"Locomotive ID","value":"4029"},{"id":130,"name":"Impact","value":""},{"id":150,"name":"Time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ref="AM156" si="77">"start /low /b "&amp;dls3logs&amp;" --loco "&amp;B156&amp;" --day "&amp;TEXT(F156,"YYYY-MM-DD")</f>
        <v>start /low /b %USERPROFILE%\Documents\GitHub\eaglep3\Utilities\DownloadLogsFromS3.py --loco 4029 --day 2017-07-22</v>
      </c>
      <c r="AN156" s="151" t="str">
        <f t="shared" ref="AN156" si="7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856</v>
      </c>
      <c r="B157" s="7">
        <v>4046</v>
      </c>
      <c r="C157" s="21" t="s">
        <v>198</v>
      </c>
      <c r="D157" s="21" t="s">
        <v>377</v>
      </c>
      <c r="E157" s="13">
        <v>42938.008576388886</v>
      </c>
      <c r="F157" s="13">
        <v>42938.02134259259</v>
      </c>
      <c r="G157" s="7">
        <v>1</v>
      </c>
      <c r="H157" s="21" t="s">
        <v>877</v>
      </c>
      <c r="I157" s="13">
        <v>42938.047303240739</v>
      </c>
      <c r="J157" s="7">
        <v>0</v>
      </c>
      <c r="K157" s="89" t="str">
        <f t="shared" si="57"/>
        <v>4045/4046</v>
      </c>
      <c r="L157" s="21" t="str">
        <f>VLOOKUP(A157,'Trips&amp;Operators'!$C$1:$G$99999,5,FALSE)</f>
        <v>FORTUNATO FRANK</v>
      </c>
      <c r="M157" s="6">
        <f t="shared" si="58"/>
        <v>2.5960648148611654E-2</v>
      </c>
      <c r="N157" s="7">
        <f t="shared" si="74"/>
        <v>37.383333334000781</v>
      </c>
      <c r="O157" s="7"/>
      <c r="P157" s="7"/>
      <c r="Q157" s="22"/>
      <c r="R157" s="170"/>
      <c r="S157" s="213">
        <f t="shared" si="56"/>
        <v>1</v>
      </c>
      <c r="T157" s="195" t="str">
        <f t="shared" si="59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0"/>
        <v>https://d0f6bd738d7f1b3e5a7ca70fe4ff75f0.us-east-1.aws.found.io/app/kibana#/discover/Steve-Slow-Train-Analysis-(2080s-and-2083s)?_g=(refreshInterval:(display:Off,pause:!f,section:0,value:0),time:(from:'2017-07-21T23:12:21-0600',mode:absolute,to:'2017-07-22T02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7" s="197" t="str">
        <f>IF(AA157&lt;VLOOKUP(AG157,Variables!$AC$3:$AD$8,2,FALSE),"Y","N")</f>
        <v>N</v>
      </c>
      <c r="X157" s="197">
        <f t="shared" ref="X157:X158" si="79">VALUE(LEFT(AD157,4))-VALUE(LEFT(AD156,4))</f>
        <v>1</v>
      </c>
      <c r="Y157" s="197">
        <f t="shared" si="49"/>
        <v>4.6199999999999998E-2</v>
      </c>
      <c r="Z157" s="197">
        <f t="shared" si="50"/>
        <v>23.3307</v>
      </c>
      <c r="AA157" s="197">
        <f t="shared" si="61"/>
        <v>23.284500000000001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2"/>
        <v>243</v>
      </c>
      <c r="AE157" s="77" t="str">
        <f t="shared" si="63"/>
        <v>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 &amp; 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</v>
      </c>
      <c r="AF157" s="74" t="str">
        <f t="shared" si="64"/>
        <v>"C:\Program Files (x86)\AstroGrep\AstroGrep.exe" /e /r /s /spath="%USERPROFILE%\AppData\Local\Temp\OnboardLogs" /stypes="app*4046*20170722*" /stext=" 07:.+((SYSTEM_STATE.+slice.+state.+changed )|(ment ac)|(multiple cpu faults)|(system.+state.+changed )|(\[timeout)|(PRM\|1\|D)|(kpr)|(kdp)|(train st.+moving)|(\|lc)|(penalty))"</v>
      </c>
      <c r="AG157" s="209" t="str">
        <f t="shared" si="65"/>
        <v>EC</v>
      </c>
      <c r="AH157" s="78" t="str">
        <f t="shared" si="66"/>
        <v>"%USERPROFILE%\Documents\GitHub\eaglep3\Utilities\RefineRTDCRunTimes.py" --tripid 243-21 --locoid 4046 --swversion DE.1.0.9.0 --startMP 204:462 --initTime 2017-07-22T00:12:21 --startdatetime 2017-07-22T00:30:44 --delay 1 --endMP 204:233307 --enddatetime 2017-07-22T01:08:07 --enforcementcount 0 &gt;&gt;C:\Users\stu\Documents\GitHub\eaglep3-reporting\EC\2017-07-21-refined-times.txt</v>
      </c>
      <c r="AI157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{"issue":{"subject":"","project_id":79,"tracker_id":40,"status_id":1,"priority_id":2,"assigned_to_id":23,"start_date":"2017-07-22","description":"","custom_fields":[{"id":1,"name":"Subdivision","value":"EC"},{"id":4,"name":"Milepost","value":"23.3307"},{"id":17,"name":"Train ID","value":"243-21"},{"id":16,"name":"Locomotive ID","value":"4046"},{"id":130,"name":"Impact","value":""},{"id":150,"name":"Time of Event (Mountain Time)","value":"01:08:07"},{"id":151,"name":"Denver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68"/>
        <v>start /low /b %USERPROFILE%\Documents\GitHub\eaglep3\Utilities\DownloadLogsFromS3.py --loco 4046 --day 2017-07-22</v>
      </c>
      <c r="AN157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07:08:07"},{"id":29,"name":"Sharepoint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861</v>
      </c>
      <c r="B158" s="7">
        <v>4045</v>
      </c>
      <c r="C158" s="21" t="s">
        <v>198</v>
      </c>
      <c r="D158" s="21" t="s">
        <v>583</v>
      </c>
      <c r="E158" s="13">
        <v>42938.049143518518</v>
      </c>
      <c r="F158" s="13">
        <v>42938.060567129629</v>
      </c>
      <c r="G158" s="7">
        <v>1</v>
      </c>
      <c r="H158" s="21" t="s">
        <v>351</v>
      </c>
      <c r="I158" s="13">
        <v>42938.087256944447</v>
      </c>
      <c r="J158" s="7">
        <v>0</v>
      </c>
      <c r="K158" s="89" t="str">
        <f t="shared" si="57"/>
        <v>4045/4046</v>
      </c>
      <c r="L158" s="21" t="str">
        <f>VLOOKUP(A158,'Trips&amp;Operators'!$C$1:$G$99999,5,FALSE)</f>
        <v>FORTUNATO FRANK</v>
      </c>
      <c r="M158" s="6">
        <f t="shared" si="58"/>
        <v>2.6689814818382729E-2</v>
      </c>
      <c r="N158" s="7">
        <f t="shared" si="74"/>
        <v>38.43333333847113</v>
      </c>
      <c r="O158" s="7"/>
      <c r="P158" s="7"/>
      <c r="Q158" s="22"/>
      <c r="R158" s="170"/>
      <c r="S158" s="213">
        <f t="shared" si="56"/>
        <v>1</v>
      </c>
      <c r="T158" s="195" t="str">
        <f t="shared" si="59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0"/>
        <v>https://d0f6bd738d7f1b3e5a7ca70fe4ff75f0.us-east-1.aws.found.io/app/kibana#/discover/Steve-Slow-Train-Analysis-(2080s-and-2083s)?_g=(refreshInterval:(display:Off,pause:!f,section:0,value:0),time:(from:'2017-07-22T00:10:46-0600',mode:absolute,to:'2017-07-22T03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8" s="197" t="str">
        <f>IF(AA158&lt;VLOOKUP(AG158,Variables!$AC$3:$AD$8,2,FALSE),"Y","N")</f>
        <v>N</v>
      </c>
      <c r="X158" s="197">
        <f t="shared" si="79"/>
        <v>1</v>
      </c>
      <c r="Y158" s="197">
        <f t="shared" ref="Y158:Y221" si="80">RIGHT(D158,LEN(D158)-4)/10000</f>
        <v>23.3001</v>
      </c>
      <c r="Z158" s="197">
        <f t="shared" ref="Z158:Z221" si="81">RIGHT(H158,LEN(H158)-4)/10000</f>
        <v>1.47E-2</v>
      </c>
      <c r="AA158" s="197">
        <f t="shared" si="61"/>
        <v>23.285399999999999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2"/>
        <v>244</v>
      </c>
      <c r="AE158" s="77" t="str">
        <f t="shared" si="63"/>
        <v>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 &amp; 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</v>
      </c>
      <c r="AF158" s="74" t="str">
        <f t="shared" si="64"/>
        <v>"C:\Program Files (x86)\AstroGrep\AstroGrep.exe" /e /r /s /spath="%USERPROFILE%\AppData\Local\Temp\OnboardLogs" /stypes="app*4045*20170722*" /stext=" 08:.+((SYSTEM_STATE.+slice.+state.+changed )|(ment ac)|(multiple cpu faults)|(system.+state.+changed )|(\[timeout)|(PRM\|1\|D)|(kpr)|(kdp)|(train st.+moving)|(\|lc)|(penalty))"</v>
      </c>
      <c r="AG158" s="209" t="str">
        <f t="shared" si="65"/>
        <v>EC</v>
      </c>
      <c r="AH158" s="78" t="str">
        <f t="shared" si="66"/>
        <v>"%USERPROFILE%\Documents\GitHub\eaglep3\Utilities\RefineRTDCRunTimes.py" --tripid 244-21 --locoid 4045 --swversion DE.1.0.9.0 --startMP 204:233001 --initTime 2017-07-22T01:10:46 --startdatetime 2017-07-22T01:27:13 --delay 1 --endMP 204:147 --enddatetime 2017-07-22T02:05:39 --enforcementcount 0 &gt;&gt;C:\Users\stu\Documents\GitHub\eaglep3-reporting\EC\2017-07-21-refined-times.txt</v>
      </c>
      <c r="AI158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ID","value":"244-21"},{"id":16,"name":"Locomotive ID","value":"4045"},{"id":130,"name":"Impact","value":""},{"id":150,"name":"Time of Event (Mountain Time)","value":"02:05:39"},{"id":151,"name":"Denver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8"/>
        <v>start /low /b %USERPROFILE%\Documents\GitHub\eaglep3\Utilities\DownloadLogsFromS3.py --loco 4045 --day 2017-07-22</v>
      </c>
      <c r="AN158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859</v>
      </c>
      <c r="B159" s="7">
        <v>4024</v>
      </c>
      <c r="C159" s="21" t="s">
        <v>198</v>
      </c>
      <c r="D159" s="21" t="s">
        <v>411</v>
      </c>
      <c r="E159" s="13">
        <v>42938.039988425924</v>
      </c>
      <c r="F159" s="13">
        <v>42938.042256944442</v>
      </c>
      <c r="G159" s="7">
        <v>1</v>
      </c>
      <c r="H159" s="21" t="s">
        <v>911</v>
      </c>
      <c r="I159" s="13">
        <v>42938.067453703705</v>
      </c>
      <c r="J159" s="7">
        <v>0</v>
      </c>
      <c r="K159" s="89" t="str">
        <f t="shared" si="57"/>
        <v>4023/4024</v>
      </c>
      <c r="L159" s="21" t="str">
        <f>VLOOKUP(A159,'Trips&amp;Operators'!$C$1:$G$99999,5,FALSE)</f>
        <v>LAMAR NEKESHA</v>
      </c>
      <c r="M159" s="6">
        <f t="shared" si="58"/>
        <v>2.5196759263053536E-2</v>
      </c>
      <c r="N159" s="7">
        <f t="shared" si="74"/>
        <v>36.283333338797092</v>
      </c>
      <c r="O159" s="7"/>
      <c r="P159" s="7"/>
      <c r="Q159" s="22"/>
      <c r="R159" s="170"/>
      <c r="S159" s="213">
        <f t="shared" si="56"/>
        <v>1</v>
      </c>
      <c r="T159" s="195" t="str">
        <f t="shared" si="59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0"/>
        <v>https://d0f6bd738d7f1b3e5a7ca70fe4ff75f0.us-east-1.aws.found.io/app/kibana#/discover/Steve-Slow-Train-Analysis-(2080s-and-2083s)?_g=(refreshInterval:(display:Off,pause:!f,section:0,value:0),time:(from:'2017-07-21T23:57:35-0600',mode:absolute,to:'2017-07-22T02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9" s="197" t="str">
        <f>IF(AA159&lt;VLOOKUP(AG159,Variables!$AC$3:$AD$8,2,FALSE),"Y","N")</f>
        <v>N</v>
      </c>
      <c r="X159" s="197">
        <f t="shared" ref="X159:X191" si="82">VALUE(LEFT(AD159,4))-VALUE(LEFT(AD158,4))</f>
        <v>1</v>
      </c>
      <c r="Y159" s="197">
        <f t="shared" si="80"/>
        <v>4.4400000000000002E-2</v>
      </c>
      <c r="Z159" s="197">
        <f t="shared" si="81"/>
        <v>23.328900000000001</v>
      </c>
      <c r="AA159" s="197">
        <f t="shared" si="61"/>
        <v>23.284500000000001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2"/>
        <v>245</v>
      </c>
      <c r="AE159" s="77" t="str">
        <f t="shared" si="63"/>
        <v>aws s3 cp s3://rtdc.mdm.uploadarchive.raw/RTDC4024/ "%USERPROFILE%\AppData\Local\Temp\OnboardLogs"\RTDC4024\2017-07-22 --exclude "*" --recursive --include "*20170722*" &amp; "%USERPROFILE%\Documents\GitHub\mrs-test-scripts\Headless Mode &amp; Sideloading\WalkAndUnGZ.bat" "%USERPROFILE%\AppData\Local\Temp\OnboardLogs"\RTDC4024\2017-07-22 &amp; 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</v>
      </c>
      <c r="AF159" s="74" t="str">
        <f t="shared" si="64"/>
        <v>"C:\Program Files (x86)\AstroGrep\AstroGrep.exe" /e /r /s /spath="%USERPROFILE%\AppData\Local\Temp\OnboardLogs" /stypes="app*4024*20170722*" /stext=" 07:.+((SYSTEM_STATE.+slice.+state.+changed )|(ment ac)|(multiple cpu faults)|(system.+state.+changed )|(\[timeout)|(PRM\|1\|D)|(kpr)|(kdp)|(train st.+moving)|(\|lc)|(penalty))"</v>
      </c>
      <c r="AG159" s="209" t="str">
        <f t="shared" si="65"/>
        <v>EC</v>
      </c>
      <c r="AH159" s="78" t="str">
        <f t="shared" si="66"/>
        <v>"%USERPROFILE%\Documents\GitHub\eaglep3\Utilities\RefineRTDCRunTimes.py" --tripid 245-21 --locoid 4024 --swversion DE.1.0.9.0 --startMP 204:444 --initTime 2017-07-22T00:57:35 --startdatetime 2017-07-22T01:00:51 --delay 1 --endMP 204:233289 --enddatetime 2017-07-22T01:37:08 --enforcementcount 0 &gt;&gt;C:\Users\stu\Documents\GitHub\eaglep3-reporting\EC\2017-07-21-refined-times.txt</v>
      </c>
      <c r="AI159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{"issue":{"subject":"","project_id":79,"tracker_id":40,"status_id":1,"priority_id":2,"assigned_to_id":23,"start_date":"2017-07-22","description":"","custom_fields":[{"id":1,"name":"Subdivision","value":"EC"},{"id":4,"name":"Milepost","value":"23.3289"},{"id":17,"name":"Train ID","value":"245-21"},{"id":16,"name":"Locomotive ID","value":"4024"},{"id":130,"name":"Impact","value":""},{"id":150,"name":"Time of Event (Mountain Time)","value":"01:37:08"},{"id":151,"name":"Denver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8"/>
        <v>start /low /b %USERPROFILE%\Documents\GitHub\eaglep3\Utilities\DownloadLogsFromS3.py --loco 4024 --day 2017-07-22</v>
      </c>
      <c r="AN159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07:37:08"},{"id":29,"name":"Sharepoint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659</v>
      </c>
      <c r="B160" s="7">
        <v>4023</v>
      </c>
      <c r="C160" s="21" t="s">
        <v>198</v>
      </c>
      <c r="D160" s="21" t="s">
        <v>937</v>
      </c>
      <c r="E160" s="13">
        <v>42938.073576388888</v>
      </c>
      <c r="F160" s="13">
        <v>42938.083541666667</v>
      </c>
      <c r="G160" s="7">
        <v>14</v>
      </c>
      <c r="H160" s="21" t="s">
        <v>562</v>
      </c>
      <c r="I160" s="13">
        <v>42938.111851851849</v>
      </c>
      <c r="J160" s="7">
        <v>0</v>
      </c>
      <c r="K160" s="89" t="str">
        <f t="shared" si="57"/>
        <v>4023/4024</v>
      </c>
      <c r="L160" s="21" t="str">
        <f>VLOOKUP(A160,'Trips&amp;Operators'!$C$1:$G$99999,5,FALSE)</f>
        <v>LAMAR NEKESHA</v>
      </c>
      <c r="M160" s="6">
        <f t="shared" si="58"/>
        <v>2.8310185181908309E-2</v>
      </c>
      <c r="N160" s="7">
        <f t="shared" si="74"/>
        <v>40.766666661947966</v>
      </c>
      <c r="O160" s="7"/>
      <c r="P160" s="7"/>
      <c r="Q160" s="22"/>
      <c r="R160" s="170"/>
      <c r="S160" s="213">
        <f t="shared" si="56"/>
        <v>1</v>
      </c>
      <c r="T160" s="195" t="str">
        <f t="shared" si="59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0"/>
        <v>https://d0f6bd738d7f1b3e5a7ca70fe4ff75f0.us-east-1.aws.found.io/app/kibana#/discover/Steve-Slow-Train-Analysis-(2080s-and-2083s)?_g=(refreshInterval:(display:Off,pause:!f,section:0,value:0),time:(from:'2017-07-22T00:45:57-0600',mode:absolute,to:'2017-07-22T03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197" t="str">
        <f>IF(AA160&lt;VLOOKUP(AG160,Variables!$AC$3:$AD$8,2,FALSE),"Y","N")</f>
        <v>N</v>
      </c>
      <c r="X160" s="197">
        <f t="shared" si="82"/>
        <v>1</v>
      </c>
      <c r="Y160" s="197">
        <f t="shared" si="80"/>
        <v>23.297000000000001</v>
      </c>
      <c r="Z160" s="197">
        <f t="shared" si="81"/>
        <v>1.6299999999999999E-2</v>
      </c>
      <c r="AA160" s="197">
        <f t="shared" si="61"/>
        <v>23.2807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2"/>
        <v>246</v>
      </c>
      <c r="AE160" s="77" t="str">
        <f t="shared" si="63"/>
        <v>aws s3 cp s3://rtdc.mdm.uploadarchive.raw/RTDC4023/ "%USERPROFILE%\AppData\Local\Temp\OnboardLogs"\RTDC4023\2017-07-22 --exclude "*" --recursive --include "*20170722*" &amp; "%USERPROFILE%\Documents\GitHub\mrs-test-scripts\Headless Mode &amp; Sideloading\WalkAndUnGZ.bat" "%USERPROFILE%\AppData\Local\Temp\OnboardLogs"\RTDC4023\2017-07-22 &amp; 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</v>
      </c>
      <c r="AF160" s="74" t="str">
        <f t="shared" si="64"/>
        <v>"C:\Program Files (x86)\AstroGrep\AstroGrep.exe" /e /r /s /spath="%USERPROFILE%\AppData\Local\Temp\OnboardLogs" /stypes="app*4023*20170722*" /stext=" 08:.+((SYSTEM_STATE.+slice.+state.+changed )|(ment ac)|(multiple cpu faults)|(system.+state.+changed )|(\[timeout)|(PRM\|1\|D)|(kpr)|(kdp)|(train st.+moving)|(\|lc)|(penalty))"</v>
      </c>
      <c r="AG160" s="209" t="str">
        <f t="shared" si="65"/>
        <v>EC</v>
      </c>
      <c r="AH160" s="78" t="str">
        <f t="shared" si="66"/>
        <v>"%USERPROFILE%\Documents\GitHub\eaglep3\Utilities\RefineRTDCRunTimes.py" --tripid 246-21 --locoid 4023 --swversion DE.1.0.9.0 --startMP 204:232970 --initTime 2017-07-22T01:45:57 --startdatetime 2017-07-22T02:00:18 --delay 14 --endMP 204:163 --enddatetime 2017-07-22T02:41:04 --enforcementcount 0 &gt;&gt;C:\Users\stu\Documents\GitHub\eaglep3-reporting\EC\2017-07-21-refined-times.txt</v>
      </c>
      <c r="AI160" s="96" t="str">
        <f t="shared" si="67"/>
        <v>echo {"issue":{"subject":"","project_id":79,"tracker_id":40,"status_id":1,"priority_id":2,"assigned_to_id":23,"start_date":"2017-07-22","description":"","custom_fields":[{"id":1,"name":"Subdivision","value":"EC"},{"id":4,"name":"Milepost","value":"0.0163"},{"id":17,"name":"Train ID","value":"246-21"},{"id":16,"name":"Locomotive ID","value":"4023"},{"id":130,"name":"Impact","value":""},{"id":150,"name":"Time of Event (Mountain Time)","value":"02:41:04"},{"id":151,"name":"Denver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8"/>
        <v>start /low /b %USERPROFILE%\Documents\GitHub\eaglep3\Utilities\DownloadLogsFromS3.py --loco 4023 --day 2017-07-22</v>
      </c>
      <c r="AN160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679</v>
      </c>
      <c r="B161" s="7">
        <v>4051</v>
      </c>
      <c r="C161" s="21" t="s">
        <v>198</v>
      </c>
      <c r="D161" s="21" t="s">
        <v>543</v>
      </c>
      <c r="E161" s="13">
        <v>42937.211655092593</v>
      </c>
      <c r="F161" s="13">
        <v>42937.213599537034</v>
      </c>
      <c r="G161" s="7">
        <v>1</v>
      </c>
      <c r="H161" s="21" t="s">
        <v>973</v>
      </c>
      <c r="I161" s="13">
        <v>42937.226099537038</v>
      </c>
      <c r="J161" s="7">
        <v>0</v>
      </c>
      <c r="K161" s="89" t="str">
        <f t="shared" si="57"/>
        <v>4051/4052</v>
      </c>
      <c r="L161" s="21" t="str">
        <f>VLOOKUP(A161,'Trips&amp;Operators'!$C$1:$G$99999,5,FALSE)</f>
        <v>GUZMAN DANNY</v>
      </c>
      <c r="M161" s="6">
        <f t="shared" si="58"/>
        <v>1.2500000004365575E-2</v>
      </c>
      <c r="N161" s="7">
        <f t="shared" si="74"/>
        <v>18.000000006286427</v>
      </c>
      <c r="O161" s="7"/>
      <c r="P161" s="7"/>
      <c r="Q161" s="22"/>
      <c r="R161" s="170"/>
      <c r="S161" s="213">
        <f t="shared" si="56"/>
        <v>1</v>
      </c>
      <c r="T161" s="195" t="str">
        <f t="shared" si="59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0"/>
        <v>https://d0f6bd738d7f1b3e5a7ca70fe4ff75f0.us-east-1.aws.found.io/app/kibana#/discover/Steve-Slow-Train-Analysis-(2080s-and-2083s)?_g=(refreshInterval:(display:Off,pause:!f,section:0,value:0),time:(from:'2017-07-21T04:04:47-0600',mode:absolute,to:'2017-07-21T06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1" s="197" t="str">
        <f>IF(AA161&lt;VLOOKUP(AG161,Variables!$AC$3:$AD$8,2,FALSE),"Y","N")</f>
        <v>N</v>
      </c>
      <c r="X161" s="197">
        <f t="shared" si="82"/>
        <v>554</v>
      </c>
      <c r="Y161" s="197">
        <f t="shared" si="80"/>
        <v>5.8632</v>
      </c>
      <c r="Z161" s="197">
        <f t="shared" si="81"/>
        <v>6.6600000000000006E-2</v>
      </c>
      <c r="AA161" s="197">
        <f t="shared" si="61"/>
        <v>5.7965999999999998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2"/>
        <v>800</v>
      </c>
      <c r="AE161" s="77" t="str">
        <f t="shared" si="63"/>
        <v>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 &amp; aws s3 cp s3://rtdc.mdm.uploadarchive.raw/RTDC4051/ "%USERPROFILE%\AppData\Local\Temp\OnboardLogs"\RTDC4051\2017-07-22 --exclude "*" --recursive --include "*20170722*" &amp; "%USERPROFILE%\Documents\GitHub\mrs-test-scripts\Headless Mode &amp; Sideloading\WalkAndUnGZ.bat" "%USERPROFILE%\AppData\Local\Temp\OnboardLogs"\RTDC4051\2017-07-22</v>
      </c>
      <c r="AF161" s="74" t="str">
        <f t="shared" si="64"/>
        <v>"C:\Program Files (x86)\AstroGrep\AstroGrep.exe" /e /r /s /spath="%USERPROFILE%\AppData\Local\Temp\OnboardLogs" /stypes="app*4051*20170721*" /stext=" 11:.+((SYSTEM_STATE.+slice.+state.+changed )|(ment ac)|(multiple cpu faults)|(system.+state.+changed )|(\[timeout)|(PRM\|1\|D)|(kpr)|(kdp)|(train st.+moving)|(\|lc)|(penalty))"</v>
      </c>
      <c r="AG161" s="209" t="str">
        <f t="shared" si="65"/>
        <v>NW</v>
      </c>
      <c r="AH161" s="78" t="str">
        <f t="shared" si="66"/>
        <v>"%USERPROFILE%\Documents\GitHub\eaglep3\Utilities\RefineRTDCRunTimes.py" --tripid 800-21 --locoid 4051 --swversion DE.1.0.9.0 --startMP 300:58632 --initTime 2017-07-21T05:04:47 --startdatetime 2017-07-21T05:07:35 --delay 1 --endMP 204:666 --enddatetime 2017-07-21T05:25:35 --enforcementcount 0 &gt;&gt;C:\Users\stu\Documents\GitHub\eaglep3-reporting\EC\2017-07-21-refined-times.txt</v>
      </c>
      <c r="AI161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{"issue":{"subject":"","project_id":79,"tracker_id":40,"status_id":1,"priority_id":2,"assigned_to_id":23,"start_date":"2017-07-21","description":"","custom_fields":[{"id":1,"name":"Subdivision","value":"NW"},{"id":4,"name":"Milepost","value":"0.0666"},{"id":17,"name":"Train ID","value":"800-21"},{"id":16,"name":"Locomotive ID","value":"4051"},{"id":130,"name":"Impact","value":""},{"id":150,"name":"Time of Event (Mountain Time)","value":"05:25:35"},{"id":151,"name":"Denver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8"/>
        <v>start /low /b %USERPROFILE%\Documents\GitHub\eaglep3\Utilities\DownloadLogsFromS3.py --loco 4051 --day 2017-07-21</v>
      </c>
      <c r="AN161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684</v>
      </c>
      <c r="B162" s="7">
        <v>4052</v>
      </c>
      <c r="C162" s="21" t="s">
        <v>198</v>
      </c>
      <c r="D162" s="21" t="s">
        <v>974</v>
      </c>
      <c r="E162" s="13">
        <v>42937.227893518517</v>
      </c>
      <c r="F162" s="13">
        <v>42937.243935185186</v>
      </c>
      <c r="G162" s="7">
        <v>1</v>
      </c>
      <c r="H162" s="21" t="s">
        <v>598</v>
      </c>
      <c r="I162" s="13">
        <v>42937.253587962965</v>
      </c>
      <c r="J162" s="7">
        <v>0</v>
      </c>
      <c r="K162" s="89" t="str">
        <f t="shared" si="57"/>
        <v>4051/4052</v>
      </c>
      <c r="L162" s="21" t="str">
        <f>VLOOKUP(A162,'Trips&amp;Operators'!$C$1:$G$99999,5,FALSE)</f>
        <v>GUZMAN DANNY</v>
      </c>
      <c r="M162" s="6">
        <f t="shared" si="58"/>
        <v>9.6527777786832303E-3</v>
      </c>
      <c r="N162" s="7">
        <f t="shared" si="74"/>
        <v>13.900000001303852</v>
      </c>
      <c r="O162" s="7"/>
      <c r="P162" s="7"/>
      <c r="Q162" s="22"/>
      <c r="R162" s="170"/>
      <c r="S162" s="213">
        <f t="shared" si="56"/>
        <v>1</v>
      </c>
      <c r="T162" s="195" t="str">
        <f t="shared" si="59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0"/>
        <v>https://d0f6bd738d7f1b3e5a7ca70fe4ff75f0.us-east-1.aws.found.io/app/kibana#/discover/Steve-Slow-Train-Analysis-(2080s-and-2083s)?_g=(refreshInterval:(display:Off,pause:!f,section:0,value:0),time:(from:'2017-07-21T04:28:10-0600',mode:absolute,to:'2017-07-21T07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2" s="197" t="str">
        <f>IF(AA162&lt;VLOOKUP(AG162,Variables!$AC$3:$AD$8,2,FALSE),"Y","N")</f>
        <v>N</v>
      </c>
      <c r="X162" s="197">
        <f t="shared" si="82"/>
        <v>1</v>
      </c>
      <c r="Y162" s="197">
        <f t="shared" si="80"/>
        <v>9.69E-2</v>
      </c>
      <c r="Z162" s="197">
        <f t="shared" si="81"/>
        <v>5.8933</v>
      </c>
      <c r="AA162" s="197">
        <f t="shared" si="61"/>
        <v>5.7964000000000002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2"/>
        <v>801</v>
      </c>
      <c r="AE162" s="77" t="str">
        <f t="shared" si="63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162" s="74" t="str">
        <f t="shared" si="64"/>
        <v>"C:\Program Files (x86)\AstroGrep\AstroGrep.exe" /e /r /s /spath="%USERPROFILE%\AppData\Local\Temp\OnboardLogs" /stypes="app*4052*20170721*" /stext=" 12:.+((SYSTEM_STATE.+slice.+state.+changed )|(ment ac)|(multiple cpu faults)|(system.+state.+changed )|(\[timeout)|(PRM\|1\|D)|(kpr)|(kdp)|(train st.+moving)|(\|lc)|(penalty))"</v>
      </c>
      <c r="AG162" s="209" t="str">
        <f t="shared" si="65"/>
        <v>NW</v>
      </c>
      <c r="AH162" s="78" t="str">
        <f t="shared" si="66"/>
        <v>"%USERPROFILE%\Documents\GitHub\eaglep3\Utilities\RefineRTDCRunTimes.py" --tripid 801-21 --locoid 4052 --swversion DE.1.0.9.0 --startMP 204:969 --initTime 2017-07-21T05:28:10 --startdatetime 2017-07-21T05:51:16 --delay 1 --endMP 300:58933 --enddatetime 2017-07-21T06:05:10 --enforcementcount 0 &gt;&gt;C:\Users\stu\Documents\GitHub\eaglep3-reporting\EC\2017-07-21-refined-times.txt</v>
      </c>
      <c r="AI162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{"issue":{"subject":"","project_id":79,"tracker_id":40,"status_id":1,"priority_id":2,"assigned_to_id":23,"start_date":"2017-07-21","description":"","custom_fields":[{"id":1,"name":"Subdivision","value":"NW"},{"id":4,"name":"Milepost","value":"5.8933"},{"id":17,"name":"Train ID","value":"801-21"},{"id":16,"name":"Locomotive ID","value":"4052"},{"id":130,"name":"Impact","value":""},{"id":150,"name":"Time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8"/>
        <v>start /low /b %USERPROFILE%\Documents\GitHub\eaglep3\Utilities\DownloadLogsFromS3.py --loco 4052 --day 2017-07-21</v>
      </c>
      <c r="AN162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690</v>
      </c>
      <c r="B163" s="7">
        <v>4051</v>
      </c>
      <c r="C163" s="21" t="s">
        <v>198</v>
      </c>
      <c r="D163" s="21" t="s">
        <v>975</v>
      </c>
      <c r="E163" s="13">
        <v>42937.254664351851</v>
      </c>
      <c r="F163" s="13">
        <v>42937.255972222221</v>
      </c>
      <c r="G163" s="7">
        <v>1</v>
      </c>
      <c r="H163" s="21" t="s">
        <v>976</v>
      </c>
      <c r="I163" s="13">
        <v>42937.267500000002</v>
      </c>
      <c r="J163" s="7">
        <v>0</v>
      </c>
      <c r="K163" s="89" t="str">
        <f t="shared" si="57"/>
        <v>4051/4052</v>
      </c>
      <c r="L163" s="21" t="str">
        <f>VLOOKUP(A163,'Trips&amp;Operators'!$C$1:$G$99999,5,FALSE)</f>
        <v>GUZMAN DANNY</v>
      </c>
      <c r="M163" s="6">
        <f t="shared" si="58"/>
        <v>1.152777778042946E-2</v>
      </c>
      <c r="N163" s="7">
        <f t="shared" si="74"/>
        <v>16.600000003818423</v>
      </c>
      <c r="O163" s="7"/>
      <c r="P163" s="7"/>
      <c r="Q163" s="22"/>
      <c r="R163" s="170"/>
      <c r="S163" s="213">
        <f t="shared" si="56"/>
        <v>1</v>
      </c>
      <c r="T163" s="195" t="str">
        <f t="shared" si="59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0"/>
        <v>https://d0f6bd738d7f1b3e5a7ca70fe4ff75f0.us-east-1.aws.found.io/app/kibana#/discover/Steve-Slow-Train-Analysis-(2080s-and-2083s)?_g=(refreshInterval:(display:Off,pause:!f,section:0,value:0),time:(from:'2017-07-21T05:06:43-0600',mode:absolute,to:'2017-07-21T07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197" t="str">
        <f>IF(AA163&lt;VLOOKUP(AG163,Variables!$AC$3:$AD$8,2,FALSE),"Y","N")</f>
        <v>N</v>
      </c>
      <c r="X163" s="197">
        <f t="shared" si="82"/>
        <v>1</v>
      </c>
      <c r="Y163" s="197">
        <f t="shared" si="80"/>
        <v>5.8624999999999998</v>
      </c>
      <c r="Z163" s="197">
        <f t="shared" si="81"/>
        <v>7.0499999999999993E-2</v>
      </c>
      <c r="AA163" s="197">
        <f t="shared" si="61"/>
        <v>5.7919999999999998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2"/>
        <v>802</v>
      </c>
      <c r="AE163" s="77" t="str">
        <f t="shared" si="63"/>
        <v>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 &amp; aws s3 cp s3://rtdc.mdm.uploadarchive.raw/RTDC4051/ "%USERPROFILE%\AppData\Local\Temp\OnboardLogs"\RTDC4051\2017-07-22 --exclude "*" --recursive --include "*20170722*" &amp; "%USERPROFILE%\Documents\GitHub\mrs-test-scripts\Headless Mode &amp; Sideloading\WalkAndUnGZ.bat" "%USERPROFILE%\AppData\Local\Temp\OnboardLogs"\RTDC4051\2017-07-22</v>
      </c>
      <c r="AF163" s="74" t="str">
        <f t="shared" si="64"/>
        <v>"C:\Program Files (x86)\AstroGrep\AstroGrep.exe" /e /r /s /spath="%USERPROFILE%\AppData\Local\Temp\OnboardLogs" /stypes="app*4051*20170721*" /stext=" 12:.+((SYSTEM_STATE.+slice.+state.+changed )|(ment ac)|(multiple cpu faults)|(system.+state.+changed )|(\[timeout)|(PRM\|1\|D)|(kpr)|(kdp)|(train st.+moving)|(\|lc)|(penalty))"</v>
      </c>
      <c r="AG163" s="209" t="str">
        <f t="shared" si="65"/>
        <v>NW</v>
      </c>
      <c r="AH163" s="78" t="str">
        <f t="shared" si="66"/>
        <v>"%USERPROFILE%\Documents\GitHub\eaglep3\Utilities\RefineRTDCRunTimes.py" --tripid 802-21 --locoid 4051 --swversion DE.1.0.9.0 --startMP 300:58625 --initTime 2017-07-21T06:06:43 --startdatetime 2017-07-21T06:08:36 --delay 1 --endMP 204:705 --enddatetime 2017-07-21T06:25:12 --enforcementcount 0 &gt;&gt;C:\Users\stu\Documents\GitHub\eaglep3-reporting\EC\2017-07-21-refined-times.txt</v>
      </c>
      <c r="AI163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{"issue":{"subject":"","project_id":79,"tracker_id":40,"status_id":1,"priority_id":2,"assigned_to_id":23,"start_date":"2017-07-21","description":"","custom_fields":[{"id":1,"name":"Subdivision","value":"NW"},{"id":4,"name":"Milepost","value":"0.0705"},{"id":17,"name":"Train ID","value":"802-21"},{"id":16,"name":"Locomotive ID","value":"4051"},{"id":130,"name":"Impact","value":""},{"id":150,"name":"Time of Event (Mountain Time)","value":"06:25:12"},{"id":151,"name":"Denver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8"/>
        <v>start /low /b %USERPROFILE%\Documents\GitHub\eaglep3\Utilities\DownloadLogsFromS3.py --loco 4051 --day 2017-07-21</v>
      </c>
      <c r="AN163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693</v>
      </c>
      <c r="B164" s="7">
        <v>4006</v>
      </c>
      <c r="C164" s="21" t="s">
        <v>198</v>
      </c>
      <c r="D164" s="21" t="s">
        <v>977</v>
      </c>
      <c r="E164" s="13">
        <v>42937.259016203701</v>
      </c>
      <c r="F164" s="13">
        <v>42937.264768518522</v>
      </c>
      <c r="G164" s="7">
        <v>2</v>
      </c>
      <c r="H164" s="21" t="s">
        <v>978</v>
      </c>
      <c r="I164" s="13">
        <v>42937.273865740739</v>
      </c>
      <c r="J164" s="7">
        <v>0</v>
      </c>
      <c r="K164" s="89" t="str">
        <f t="shared" si="57"/>
        <v>4005/4006</v>
      </c>
      <c r="L164" s="21" t="str">
        <f>VLOOKUP(A164,'Trips&amp;Operators'!$C$1:$G$99999,5,FALSE)</f>
        <v>NICHOLSON WESLEY</v>
      </c>
      <c r="M164" s="6">
        <f t="shared" si="58"/>
        <v>9.0972222169511952E-3</v>
      </c>
      <c r="N164" s="7">
        <f t="shared" si="74"/>
        <v>13.099999992409721</v>
      </c>
      <c r="O164" s="7"/>
      <c r="P164" s="7"/>
      <c r="Q164" s="22"/>
      <c r="R164" s="170"/>
      <c r="S164" s="213">
        <f t="shared" si="56"/>
        <v>1</v>
      </c>
      <c r="T164" s="195" t="str">
        <f t="shared" si="59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0"/>
        <v>https://d0f6bd738d7f1b3e5a7ca70fe4ff75f0.us-east-1.aws.found.io/app/kibana#/discover/Steve-Slow-Train-Analysis-(2080s-and-2083s)?_g=(refreshInterval:(display:Off,pause:!f,section:0,value:0),time:(from:'2017-07-21T05:12:59-0600',mode:absolute,to:'2017-07-21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197" t="str">
        <f>IF(AA164&lt;VLOOKUP(AG164,Variables!$AC$3:$AD$8,2,FALSE),"Y","N")</f>
        <v>N</v>
      </c>
      <c r="X164" s="197">
        <f t="shared" si="82"/>
        <v>1</v>
      </c>
      <c r="Y164" s="197">
        <f t="shared" si="80"/>
        <v>9.4100000000000003E-2</v>
      </c>
      <c r="Z164" s="197">
        <f t="shared" si="81"/>
        <v>5.8973000000000004</v>
      </c>
      <c r="AA164" s="197">
        <f t="shared" si="61"/>
        <v>5.8032000000000004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2"/>
        <v>803</v>
      </c>
      <c r="AE164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64" s="74" t="str">
        <f t="shared" si="64"/>
        <v>"C:\Program Files (x86)\AstroGrep\AstroGrep.exe" /e /r /s /spath="%USERPROFILE%\AppData\Local\Temp\OnboardLogs" /stypes="app*4006*20170721*" /stext=" 12:.+((SYSTEM_STATE.+slice.+state.+changed )|(ment ac)|(multiple cpu faults)|(system.+state.+changed )|(\[timeout)|(PRM\|1\|D)|(kpr)|(kdp)|(train st.+moving)|(\|lc)|(penalty))"</v>
      </c>
      <c r="AG164" s="209" t="str">
        <f t="shared" si="65"/>
        <v>NW</v>
      </c>
      <c r="AH164" s="78" t="str">
        <f t="shared" si="66"/>
        <v>"%USERPROFILE%\Documents\GitHub\eaglep3\Utilities\RefineRTDCRunTimes.py" --tripid 803-21 --locoid 4006 --swversion DE.1.0.9.0 --startMP 204:941 --initTime 2017-07-21T06:12:59 --startdatetime 2017-07-21T06:21:16 --delay 2 --endMP 300:58973 --enddatetime 2017-07-21T06:34:22 --enforcementcount 0 &gt;&gt;C:\Users\stu\Documents\GitHub\eaglep3-reporting\EC\2017-07-21-refined-times.txt</v>
      </c>
      <c r="AI164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{"issue":{"subject":"","project_id":79,"tracker_id":40,"status_id":1,"priority_id":2,"assigned_to_id":23,"start_date":"2017-07-21","description":"","custom_fields":[{"id":1,"name":"Subdivision","value":"NW"},{"id":4,"name":"Milepost","value":"5.8973"},{"id":17,"name":"Train ID","value":"803-21"},{"id":16,"name":"Locomotive ID","value":"4006"},{"id":130,"name":"Impact","value":""},{"id":150,"name":"Time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8"/>
        <v>start /low /b %USERPROFILE%\Documents\GitHub\eaglep3\Utilities\DownloadLogsFromS3.py --loco 4006 --day 2017-07-21</v>
      </c>
      <c r="AN164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697</v>
      </c>
      <c r="B165" s="7">
        <v>4005</v>
      </c>
      <c r="C165" s="21" t="s">
        <v>198</v>
      </c>
      <c r="D165" s="21" t="s">
        <v>979</v>
      </c>
      <c r="E165" s="13">
        <v>42937.275150462963</v>
      </c>
      <c r="F165" s="13">
        <v>42937.277141203704</v>
      </c>
      <c r="G165" s="7">
        <v>1</v>
      </c>
      <c r="H165" s="21" t="s">
        <v>601</v>
      </c>
      <c r="I165" s="13">
        <v>42937.289074074077</v>
      </c>
      <c r="J165" s="7">
        <v>0</v>
      </c>
      <c r="K165" s="89" t="str">
        <f t="shared" si="57"/>
        <v>4005/4006</v>
      </c>
      <c r="L165" s="21" t="str">
        <f>VLOOKUP(A165,'Trips&amp;Operators'!$C$1:$G$99999,5,FALSE)</f>
        <v>NICHOLSON WESLEY</v>
      </c>
      <c r="M165" s="6">
        <f t="shared" si="58"/>
        <v>1.1932870373129845E-2</v>
      </c>
      <c r="N165" s="7">
        <f t="shared" si="74"/>
        <v>17.183333337306976</v>
      </c>
      <c r="O165" s="7"/>
      <c r="P165" s="7"/>
      <c r="Q165" s="22"/>
      <c r="R165" s="170"/>
      <c r="S165" s="213">
        <f t="shared" si="56"/>
        <v>1</v>
      </c>
      <c r="T165" s="195" t="str">
        <f t="shared" si="59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0"/>
        <v>https://d0f6bd738d7f1b3e5a7ca70fe4ff75f0.us-east-1.aws.found.io/app/kibana#/discover/Steve-Slow-Train-Analysis-(2080s-and-2083s)?_g=(refreshInterval:(display:Off,pause:!f,section:0,value:0),time:(from:'2017-07-21T05:36:13-0600',mode:absolute,to:'2017-07-21T07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197" t="str">
        <f>IF(AA165&lt;VLOOKUP(AG165,Variables!$AC$3:$AD$8,2,FALSE),"Y","N")</f>
        <v>N</v>
      </c>
      <c r="X165" s="197">
        <f t="shared" si="82"/>
        <v>1</v>
      </c>
      <c r="Y165" s="197">
        <f t="shared" si="80"/>
        <v>5.8651</v>
      </c>
      <c r="Z165" s="197">
        <f t="shared" si="81"/>
        <v>7.0599999999999996E-2</v>
      </c>
      <c r="AA165" s="197">
        <f t="shared" si="61"/>
        <v>5.7945000000000002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2"/>
        <v>804</v>
      </c>
      <c r="AE165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65" s="74" t="str">
        <f t="shared" si="64"/>
        <v>"C:\Program Files (x86)\AstroGrep\AstroGrep.exe" /e /r /s /spath="%USERPROFILE%\AppData\Local\Temp\OnboardLogs" /stypes="app*4005*20170721*" /stext=" 12:.+((SYSTEM_STATE.+slice.+state.+changed )|(ment ac)|(multiple cpu faults)|(system.+state.+changed )|(\[timeout)|(PRM\|1\|D)|(kpr)|(kdp)|(train st.+moving)|(\|lc)|(penalty))"</v>
      </c>
      <c r="AG165" s="209" t="str">
        <f t="shared" si="65"/>
        <v>NW</v>
      </c>
      <c r="AH165" s="78" t="str">
        <f t="shared" si="66"/>
        <v>"%USERPROFILE%\Documents\GitHub\eaglep3\Utilities\RefineRTDCRunTimes.py" --tripid 804-21 --locoid 4005 --swversion DE.1.0.9.0 --startMP 300:58651 --initTime 2017-07-21T06:36:13 --startdatetime 2017-07-21T06:39:05 --delay 1 --endMP 204:706 --enddatetime 2017-07-21T06:56:16 --enforcementcount 0 &gt;&gt;C:\Users\stu\Documents\GitHub\eaglep3-reporting\EC\2017-07-21-refined-times.txt</v>
      </c>
      <c r="AI165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{"issue":{"subject":"","project_id":79,"tracker_id":40,"status_id":1,"priority_id":2,"assigned_to_id":23,"start_date":"2017-07-21","description":"","custom_fields":[{"id":1,"name":"Subdivision","value":"NW"},{"id":4,"name":"Milepost","value":"0.0706"},{"id":17,"name":"Train ID","value":"804-21"},{"id":16,"name":"Locomotive ID","value":"4005"},{"id":130,"name":"Impact","value":""},{"id":150,"name":"Time of Event (Mountain Time)","value":"06:56:16"},{"id":151,"name":"Denver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8"/>
        <v>start /low /b %USERPROFILE%\Documents\GitHub\eaglep3\Utilities\DownloadLogsFromS3.py --loco 4005 --day 2017-07-21</v>
      </c>
      <c r="AN165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696</v>
      </c>
      <c r="B166" s="7">
        <v>4052</v>
      </c>
      <c r="C166" s="21" t="s">
        <v>198</v>
      </c>
      <c r="D166" s="21" t="s">
        <v>980</v>
      </c>
      <c r="E166" s="13">
        <v>42937.269502314812</v>
      </c>
      <c r="F166" s="13">
        <v>42937.285601851851</v>
      </c>
      <c r="G166" s="7">
        <v>1</v>
      </c>
      <c r="H166" s="21" t="s">
        <v>981</v>
      </c>
      <c r="I166" s="13">
        <v>42937.294594907406</v>
      </c>
      <c r="J166" s="7">
        <v>0</v>
      </c>
      <c r="K166" s="89" t="str">
        <f t="shared" si="57"/>
        <v>4051/4052</v>
      </c>
      <c r="L166" s="21" t="str">
        <f>VLOOKUP(A166,'Trips&amp;Operators'!$C$1:$G$99999,5,FALSE)</f>
        <v>GUZMAN DANNY</v>
      </c>
      <c r="M166" s="6">
        <f t="shared" si="58"/>
        <v>8.9930555550381541E-3</v>
      </c>
      <c r="N166" s="7">
        <f t="shared" si="74"/>
        <v>12.949999999254942</v>
      </c>
      <c r="O166" s="7"/>
      <c r="P166" s="7"/>
      <c r="Q166" s="22"/>
      <c r="R166" s="170"/>
      <c r="S166" s="213">
        <f t="shared" si="56"/>
        <v>1</v>
      </c>
      <c r="T166" s="195" t="str">
        <f t="shared" si="59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0"/>
        <v>https://d0f6bd738d7f1b3e5a7ca70fe4ff75f0.us-east-1.aws.found.io/app/kibana#/discover/Steve-Slow-Train-Analysis-(2080s-and-2083s)?_g=(refreshInterval:(display:Off,pause:!f,section:0,value:0),time:(from:'2017-07-21T05:28:05-0600',mode:absolute,to:'2017-07-21T08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197" t="str">
        <f>IF(AA166&lt;VLOOKUP(AG166,Variables!$AC$3:$AD$8,2,FALSE),"Y","N")</f>
        <v>N</v>
      </c>
      <c r="X166" s="197">
        <f t="shared" si="82"/>
        <v>1</v>
      </c>
      <c r="Y166" s="197">
        <f t="shared" si="80"/>
        <v>9.7600000000000006E-2</v>
      </c>
      <c r="Z166" s="197">
        <f t="shared" si="81"/>
        <v>5.8928000000000003</v>
      </c>
      <c r="AA166" s="197">
        <f t="shared" si="61"/>
        <v>5.7952000000000004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2"/>
        <v>805</v>
      </c>
      <c r="AE166" s="77" t="str">
        <f t="shared" si="63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166" s="74" t="str">
        <f t="shared" si="64"/>
        <v>"C:\Program Files (x86)\AstroGrep\AstroGrep.exe" /e /r /s /spath="%USERPROFILE%\AppData\Local\Temp\OnboardLogs" /stypes="app*4052*20170721*" /stext=" 13:.+((SYSTEM_STATE.+slice.+state.+changed )|(ment ac)|(multiple cpu faults)|(system.+state.+changed )|(\[timeout)|(PRM\|1\|D)|(kpr)|(kdp)|(train st.+moving)|(\|lc)|(penalty))"</v>
      </c>
      <c r="AG166" s="209" t="str">
        <f t="shared" si="65"/>
        <v>NW</v>
      </c>
      <c r="AH166" s="78" t="str">
        <f t="shared" si="66"/>
        <v>"%USERPROFILE%\Documents\GitHub\eaglep3\Utilities\RefineRTDCRunTimes.py" --tripid 805-21 --locoid 4052 --swversion DE.1.0.9.0 --startMP 204:976 --initTime 2017-07-21T06:28:05 --startdatetime 2017-07-21T06:51:16 --delay 1 --endMP 300:58928 --enddatetime 2017-07-21T07:04:13 --enforcementcount 0 &gt;&gt;C:\Users\stu\Documents\GitHub\eaglep3-reporting\EC\2017-07-21-refined-times.txt</v>
      </c>
      <c r="AI166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{"issue":{"subject":"","project_id":79,"tracker_id":40,"status_id":1,"priority_id":2,"assigned_to_id":23,"start_date":"2017-07-21","description":"","custom_fields":[{"id":1,"name":"Subdivision","value":"NW"},{"id":4,"name":"Milepost","value":"5.8928"},{"id":17,"name":"Train ID","value":"805-21"},{"id":16,"name":"Locomotive ID","value":"4052"},{"id":130,"name":"Impact","value":""},{"id":150,"name":"Time of Event (Mountain Time)","value":"07:04:13"},{"id":151,"name":"Denver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8"/>
        <v>start /low /b %USERPROFILE%\Documents\GitHub\eaglep3\Utilities\DownloadLogsFromS3.py --loco 4052 --day 2017-07-21</v>
      </c>
      <c r="AN166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704</v>
      </c>
      <c r="B167" s="7">
        <v>4051</v>
      </c>
      <c r="C167" s="21" t="s">
        <v>198</v>
      </c>
      <c r="D167" s="21" t="s">
        <v>982</v>
      </c>
      <c r="E167" s="13">
        <v>42937.295613425929</v>
      </c>
      <c r="F167" s="13">
        <v>42937.296909722223</v>
      </c>
      <c r="G167" s="7">
        <v>1</v>
      </c>
      <c r="H167" s="21" t="s">
        <v>617</v>
      </c>
      <c r="I167" s="13">
        <v>42937.309189814812</v>
      </c>
      <c r="J167" s="7">
        <v>0</v>
      </c>
      <c r="K167" s="89" t="str">
        <f t="shared" si="57"/>
        <v>4051/4052</v>
      </c>
      <c r="L167" s="21" t="str">
        <f>VLOOKUP(A167,'Trips&amp;Operators'!$C$1:$G$99999,5,FALSE)</f>
        <v>GUZMAN DANNY</v>
      </c>
      <c r="M167" s="6">
        <f t="shared" si="58"/>
        <v>1.2280092589207925E-2</v>
      </c>
      <c r="N167" s="7">
        <f t="shared" si="74"/>
        <v>17.683333328459412</v>
      </c>
      <c r="O167" s="7"/>
      <c r="P167" s="7"/>
      <c r="Q167" s="22"/>
      <c r="R167" s="170"/>
      <c r="S167" s="213">
        <f t="shared" ref="S167:S198" si="83">1/IF(AG167="EC",12,1)*SUM(U167:U167)</f>
        <v>1</v>
      </c>
      <c r="T167" s="195" t="str">
        <f t="shared" si="59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0"/>
        <v>https://d0f6bd738d7f1b3e5a7ca70fe4ff75f0.us-east-1.aws.found.io/app/kibana#/discover/Steve-Slow-Train-Analysis-(2080s-and-2083s)?_g=(refreshInterval:(display:Off,pause:!f,section:0,value:0),time:(from:'2017-07-21T06:05:41-0600',mode:absolute,to:'2017-07-21T08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197" t="str">
        <f>IF(AA167&lt;VLOOKUP(AG167,Variables!$AC$3:$AD$8,2,FALSE),"Y","N")</f>
        <v>N</v>
      </c>
      <c r="X167" s="197">
        <f t="shared" si="82"/>
        <v>1</v>
      </c>
      <c r="Y167" s="197">
        <f t="shared" si="80"/>
        <v>5.8616999999999999</v>
      </c>
      <c r="Z167" s="197">
        <f t="shared" si="81"/>
        <v>6.7299999999999999E-2</v>
      </c>
      <c r="AA167" s="197">
        <f t="shared" si="61"/>
        <v>5.7943999999999996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2"/>
        <v>806</v>
      </c>
      <c r="AE167" s="77" t="str">
        <f t="shared" si="63"/>
        <v>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 &amp; aws s3 cp s3://rtdc.mdm.uploadarchive.raw/RTDC4051/ "%USERPROFILE%\AppData\Local\Temp\OnboardLogs"\RTDC4051\2017-07-22 --exclude "*" --recursive --include "*20170722*" &amp; "%USERPROFILE%\Documents\GitHub\mrs-test-scripts\Headless Mode &amp; Sideloading\WalkAndUnGZ.bat" "%USERPROFILE%\AppData\Local\Temp\OnboardLogs"\RTDC4051\2017-07-22</v>
      </c>
      <c r="AF167" s="74" t="str">
        <f t="shared" si="64"/>
        <v>"C:\Program Files (x86)\AstroGrep\AstroGrep.exe" /e /r /s /spath="%USERPROFILE%\AppData\Local\Temp\OnboardLogs" /stypes="app*4051*20170721*" /stext=" 13:.+((SYSTEM_STATE.+slice.+state.+changed )|(ment ac)|(multiple cpu faults)|(system.+state.+changed )|(\[timeout)|(PRM\|1\|D)|(kpr)|(kdp)|(train st.+moving)|(\|lc)|(penalty))"</v>
      </c>
      <c r="AG167" s="209" t="str">
        <f t="shared" si="65"/>
        <v>NW</v>
      </c>
      <c r="AH167" s="78" t="str">
        <f t="shared" si="66"/>
        <v>"%USERPROFILE%\Documents\GitHub\eaglep3\Utilities\RefineRTDCRunTimes.py" --tripid 806-21 --locoid 4051 --swversion DE.1.0.9.0 --startMP 300:58617 --initTime 2017-07-21T07:05:41 --startdatetime 2017-07-21T07:07:33 --delay 1 --endMP 204:673 --enddatetime 2017-07-21T07:25:14 --enforcementcount 0 &gt;&gt;C:\Users\stu\Documents\GitHub\eaglep3-reporting\EC\2017-07-21-refined-times.txt</v>
      </c>
      <c r="AI167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{"issue":{"subject":"","project_id":79,"tracker_id":40,"status_id":1,"priority_id":2,"assigned_to_id":23,"start_date":"2017-07-21","description":"","custom_fields":[{"id":1,"name":"Subdivision","value":"NW"},{"id":4,"name":"Milepost","value":"0.0673"},{"id":17,"name":"Train ID","value":"806-21"},{"id":16,"name":"Locomotive ID","value":"4051"},{"id":130,"name":"Impact","value":""},{"id":150,"name":"Time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8"/>
        <v>start /low /b %USERPROFILE%\Documents\GitHub\eaglep3\Utilities\DownloadLogsFromS3.py --loco 4051 --day 2017-07-21</v>
      </c>
      <c r="AN167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703</v>
      </c>
      <c r="B168" s="7">
        <v>4006</v>
      </c>
      <c r="C168" s="21" t="s">
        <v>198</v>
      </c>
      <c r="D168" s="21" t="s">
        <v>470</v>
      </c>
      <c r="E168" s="13">
        <v>42937.291319444441</v>
      </c>
      <c r="F168" s="13">
        <v>42937.306423611109</v>
      </c>
      <c r="G168" s="7">
        <v>1</v>
      </c>
      <c r="H168" s="21" t="s">
        <v>983</v>
      </c>
      <c r="I168" s="13">
        <v>42937.315613425926</v>
      </c>
      <c r="J168" s="7">
        <v>0</v>
      </c>
      <c r="K168" s="89" t="str">
        <f t="shared" si="57"/>
        <v>4005/4006</v>
      </c>
      <c r="L168" s="21" t="str">
        <f>VLOOKUP(A168,'Trips&amp;Operators'!$C$1:$G$99999,5,FALSE)</f>
        <v>NICHOLSON WESLEY</v>
      </c>
      <c r="M168" s="6">
        <f t="shared" si="58"/>
        <v>9.189814816636499E-3</v>
      </c>
      <c r="N168" s="7">
        <f t="shared" si="74"/>
        <v>13.233333335956559</v>
      </c>
      <c r="O168" s="7"/>
      <c r="P168" s="7"/>
      <c r="Q168" s="22"/>
      <c r="R168" s="170"/>
      <c r="S168" s="213">
        <f t="shared" si="83"/>
        <v>1</v>
      </c>
      <c r="T168" s="195" t="str">
        <f t="shared" si="59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0"/>
        <v>https://d0f6bd738d7f1b3e5a7ca70fe4ff75f0.us-east-1.aws.found.io/app/kibana#/discover/Steve-Slow-Train-Analysis-(2080s-and-2083s)?_g=(refreshInterval:(display:Off,pause:!f,section:0,value:0),time:(from:'2017-07-21T05:59:30-0600',mode:absolute,to:'2017-07-21T08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197" t="str">
        <f>IF(AA168&lt;VLOOKUP(AG168,Variables!$AC$3:$AD$8,2,FALSE),"Y","N")</f>
        <v>N</v>
      </c>
      <c r="X168" s="197">
        <f t="shared" si="82"/>
        <v>1</v>
      </c>
      <c r="Y168" s="197">
        <f t="shared" si="80"/>
        <v>9.7100000000000006E-2</v>
      </c>
      <c r="Z168" s="197">
        <f t="shared" si="81"/>
        <v>5.8964999999999996</v>
      </c>
      <c r="AA168" s="197">
        <f t="shared" si="61"/>
        <v>5.7993999999999994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2"/>
        <v>807</v>
      </c>
      <c r="AE168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68" s="74" t="str">
        <f t="shared" si="64"/>
        <v>"C:\Program Files (x86)\AstroGrep\AstroGrep.exe" /e /r /s /spath="%USERPROFILE%\AppData\Local\Temp\OnboardLogs" /stypes="app*4006*20170721*" /stext=" 13:.+((SYSTEM_STATE.+slice.+state.+changed )|(ment ac)|(multiple cpu faults)|(system.+state.+changed )|(\[timeout)|(PRM\|1\|D)|(kpr)|(kdp)|(train st.+moving)|(\|lc)|(penalty))"</v>
      </c>
      <c r="AG168" s="209" t="str">
        <f t="shared" si="65"/>
        <v>NW</v>
      </c>
      <c r="AH168" s="78" t="str">
        <f t="shared" si="66"/>
        <v>"%USERPROFILE%\Documents\GitHub\eaglep3\Utilities\RefineRTDCRunTimes.py" --tripid 807-21 --locoid 4006 --swversion DE.1.0.9.0 --startMP 204:971 --initTime 2017-07-21T06:59:30 --startdatetime 2017-07-21T07:21:15 --delay 1 --endMP 300:58965 --enddatetime 2017-07-21T07:34:29 --enforcementcount 0 &gt;&gt;C:\Users\stu\Documents\GitHub\eaglep3-reporting\EC\2017-07-21-refined-times.txt</v>
      </c>
      <c r="AI168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{"issue":{"subject":"","project_id":79,"tracker_id":40,"status_id":1,"priority_id":2,"assigned_to_id":23,"start_date":"2017-07-21","description":"","custom_fields":[{"id":1,"name":"Subdivision","value":"NW"},{"id":4,"name":"Milepost","value":"5.8965"},{"id":17,"name":"Train ID","value":"807-21"},{"id":16,"name":"Locomotive ID","value":"4006"},{"id":130,"name":"Impact","value":""},{"id":150,"name":"Time of Event (Mountain Time)","value":"07:34:29"},{"id":151,"name":"Denver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8"/>
        <v>start /low /b %USERPROFILE%\Documents\GitHub\eaglep3\Utilities\DownloadLogsFromS3.py --loco 4006 --day 2017-07-21</v>
      </c>
      <c r="AN168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708</v>
      </c>
      <c r="B169" s="7">
        <v>4005</v>
      </c>
      <c r="C169" s="21" t="s">
        <v>198</v>
      </c>
      <c r="D169" s="21" t="s">
        <v>984</v>
      </c>
      <c r="E169" s="13">
        <v>42937.316655092596</v>
      </c>
      <c r="F169" s="13">
        <v>42937.318680555552</v>
      </c>
      <c r="G169" s="7">
        <v>1</v>
      </c>
      <c r="H169" s="21" t="s">
        <v>973</v>
      </c>
      <c r="I169" s="13">
        <v>42937.329861111109</v>
      </c>
      <c r="J169" s="7">
        <v>0</v>
      </c>
      <c r="K169" s="89" t="str">
        <f t="shared" si="57"/>
        <v>4005/4006</v>
      </c>
      <c r="L169" s="21" t="str">
        <f>VLOOKUP(A169,'Trips&amp;Operators'!$C$1:$G$99999,5,FALSE)</f>
        <v>NICHOLSON WESLEY</v>
      </c>
      <c r="M169" s="6">
        <f t="shared" si="58"/>
        <v>1.1180555557075422E-2</v>
      </c>
      <c r="N169" s="7">
        <f t="shared" si="74"/>
        <v>16.100000002188608</v>
      </c>
      <c r="O169" s="7"/>
      <c r="P169" s="7"/>
      <c r="Q169" s="22"/>
      <c r="R169" s="170"/>
      <c r="S169" s="213">
        <f t="shared" si="83"/>
        <v>1</v>
      </c>
      <c r="T169" s="195" t="str">
        <f t="shared" si="59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0"/>
        <v>https://d0f6bd738d7f1b3e5a7ca70fe4ff75f0.us-east-1.aws.found.io/app/kibana#/discover/Steve-Slow-Train-Analysis-(2080s-and-2083s)?_g=(refreshInterval:(display:Off,pause:!f,section:0,value:0),time:(from:'2017-07-21T06:35:59-0600',mode:absolute,to:'2017-07-21T08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197" t="str">
        <f>IF(AA169&lt;VLOOKUP(AG169,Variables!$AC$3:$AD$8,2,FALSE),"Y","N")</f>
        <v>N</v>
      </c>
      <c r="X169" s="197">
        <f t="shared" si="82"/>
        <v>1</v>
      </c>
      <c r="Y169" s="197">
        <f t="shared" si="80"/>
        <v>5.8655999999999997</v>
      </c>
      <c r="Z169" s="197">
        <f t="shared" si="81"/>
        <v>6.6600000000000006E-2</v>
      </c>
      <c r="AA169" s="197">
        <f t="shared" si="61"/>
        <v>5.7989999999999995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2"/>
        <v>808</v>
      </c>
      <c r="AE169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69" s="74" t="str">
        <f t="shared" si="64"/>
        <v>"C:\Program Files (x86)\AstroGrep\AstroGrep.exe" /e /r /s /spath="%USERPROFILE%\AppData\Local\Temp\OnboardLogs" /stypes="app*4005*20170721*" /stext=" 13:.+((SYSTEM_STATE.+slice.+state.+changed )|(ment ac)|(multiple cpu faults)|(system.+state.+changed )|(\[timeout)|(PRM\|1\|D)|(kpr)|(kdp)|(train st.+moving)|(\|lc)|(penalty))"</v>
      </c>
      <c r="AG169" s="209" t="str">
        <f t="shared" si="65"/>
        <v>NW</v>
      </c>
      <c r="AH169" s="78" t="str">
        <f t="shared" si="66"/>
        <v>"%USERPROFILE%\Documents\GitHub\eaglep3\Utilities\RefineRTDCRunTimes.py" --tripid 808-21 --locoid 4005 --swversion DE.1.0.9.0 --startMP 300:58656 --initTime 2017-07-21T07:35:59 --startdatetime 2017-07-21T07:38:54 --delay 1 --endMP 204:666 --enddatetime 2017-07-21T07:55:00 --enforcementcount 0 &gt;&gt;C:\Users\stu\Documents\GitHub\eaglep3-reporting\EC\2017-07-21-refined-times.txt</v>
      </c>
      <c r="AI169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{"issue":{"subject":"","project_id":79,"tracker_id":40,"status_id":1,"priority_id":2,"assigned_to_id":23,"start_date":"2017-07-21","description":"","custom_fields":[{"id":1,"name":"Subdivision","value":"NW"},{"id":4,"name":"Milepost","value":"0.0666"},{"id":17,"name":"Train ID","value":"808-21"},{"id":16,"name":"Locomotive ID","value":"4005"},{"id":130,"name":"Impact","value":""},{"id":150,"name":"Time of Event (Mountain Time)","value":"07:55:00"},{"id":151,"name":"Denver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8"/>
        <v>start /low /b %USERPROFILE%\Documents\GitHub\eaglep3\Utilities\DownloadLogsFromS3.py --loco 4005 --day 2017-07-21</v>
      </c>
      <c r="AN169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707</v>
      </c>
      <c r="B170" s="7">
        <v>4052</v>
      </c>
      <c r="C170" s="21" t="s">
        <v>198</v>
      </c>
      <c r="D170" s="21" t="s">
        <v>481</v>
      </c>
      <c r="E170" s="13">
        <v>42937.310717592591</v>
      </c>
      <c r="F170" s="13">
        <v>42937.327256944445</v>
      </c>
      <c r="G170" s="7">
        <v>1</v>
      </c>
      <c r="H170" s="21" t="s">
        <v>605</v>
      </c>
      <c r="I170" s="13">
        <v>42937.336377314816</v>
      </c>
      <c r="J170" s="7">
        <v>0</v>
      </c>
      <c r="K170" s="89" t="str">
        <f t="shared" si="57"/>
        <v>4051/4052</v>
      </c>
      <c r="L170" s="21" t="str">
        <f>VLOOKUP(A170,'Trips&amp;Operators'!$C$1:$G$99999,5,FALSE)</f>
        <v>GUZMAN DANNY</v>
      </c>
      <c r="M170" s="6">
        <f t="shared" si="58"/>
        <v>9.1203703705104999E-3</v>
      </c>
      <c r="N170" s="7">
        <f t="shared" si="74"/>
        <v>13.13333333353512</v>
      </c>
      <c r="O170" s="7"/>
      <c r="P170" s="7"/>
      <c r="Q170" s="22"/>
      <c r="R170" s="170"/>
      <c r="S170" s="213">
        <f t="shared" si="83"/>
        <v>1</v>
      </c>
      <c r="T170" s="195" t="str">
        <f t="shared" si="59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0"/>
        <v>https://d0f6bd738d7f1b3e5a7ca70fe4ff75f0.us-east-1.aws.found.io/app/kibana#/discover/Steve-Slow-Train-Analysis-(2080s-and-2083s)?_g=(refreshInterval:(display:Off,pause:!f,section:0,value:0),time:(from:'2017-07-21T06:27:26-0600',mode:absolute,to:'2017-07-21T09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197" t="str">
        <f>IF(AA170&lt;VLOOKUP(AG170,Variables!$AC$3:$AD$8,2,FALSE),"Y","N")</f>
        <v>N</v>
      </c>
      <c r="X170" s="197">
        <f t="shared" si="82"/>
        <v>1</v>
      </c>
      <c r="Y170" s="197">
        <f t="shared" si="80"/>
        <v>9.7900000000000001E-2</v>
      </c>
      <c r="Z170" s="197">
        <f t="shared" si="81"/>
        <v>5.8936999999999999</v>
      </c>
      <c r="AA170" s="197">
        <f t="shared" si="61"/>
        <v>5.7957999999999998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2"/>
        <v>809</v>
      </c>
      <c r="AE170" s="77" t="str">
        <f t="shared" si="63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170" s="74" t="str">
        <f t="shared" si="64"/>
        <v>"C:\Program Files (x86)\AstroGrep\AstroGrep.exe" /e /r /s /spath="%USERPROFILE%\AppData\Local\Temp\OnboardLogs" /stypes="app*4052*20170721*" /stext=" 14:.+((SYSTEM_STATE.+slice.+state.+changed )|(ment ac)|(multiple cpu faults)|(system.+state.+changed )|(\[timeout)|(PRM\|1\|D)|(kpr)|(kdp)|(train st.+moving)|(\|lc)|(penalty))"</v>
      </c>
      <c r="AG170" s="209" t="str">
        <f t="shared" si="65"/>
        <v>NW</v>
      </c>
      <c r="AH170" s="78" t="str">
        <f t="shared" si="66"/>
        <v>"%USERPROFILE%\Documents\GitHub\eaglep3\Utilities\RefineRTDCRunTimes.py" --tripid 809-21 --locoid 4052 --swversion DE.1.0.9.0 --startMP 204:979 --initTime 2017-07-21T07:27:26 --startdatetime 2017-07-21T07:51:15 --delay 1 --endMP 300:58937 --enddatetime 2017-07-21T08:04:23 --enforcementcount 0 &gt;&gt;C:\Users\stu\Documents\GitHub\eaglep3-reporting\EC\2017-07-21-refined-times.txt</v>
      </c>
      <c r="AI170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{"issue":{"subject":"","project_id":79,"tracker_id":40,"status_id":1,"priority_id":2,"assigned_to_id":23,"start_date":"2017-07-21","description":"","custom_fields":[{"id":1,"name":"Subdivision","value":"NW"},{"id":4,"name":"Milepost","value":"5.8937"},{"id":17,"name":"Train ID","value":"809-21"},{"id":16,"name":"Locomotive ID","value":"4052"},{"id":130,"name":"Impact","value":""},{"id":150,"name":"Time of Event (Mountain Time)","value":"08:04:23"},{"id":151,"name":"Denver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8"/>
        <v>start /low /b %USERPROFILE%\Documents\GitHub\eaglep3\Utilities\DownloadLogsFromS3.py --loco 4052 --day 2017-07-21</v>
      </c>
      <c r="AN170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715</v>
      </c>
      <c r="B171" s="7">
        <v>4051</v>
      </c>
      <c r="C171" s="21" t="s">
        <v>198</v>
      </c>
      <c r="D171" s="21" t="s">
        <v>599</v>
      </c>
      <c r="E171" s="13">
        <v>42937.337534722225</v>
      </c>
      <c r="F171" s="13">
        <v>42937.338865740741</v>
      </c>
      <c r="G171" s="7">
        <v>1</v>
      </c>
      <c r="H171" s="21" t="s">
        <v>985</v>
      </c>
      <c r="I171" s="13">
        <v>42937.351018518515</v>
      </c>
      <c r="J171" s="7">
        <v>0</v>
      </c>
      <c r="K171" s="89" t="str">
        <f t="shared" si="57"/>
        <v>4051/4052</v>
      </c>
      <c r="L171" s="21" t="str">
        <f>VLOOKUP(A171,'Trips&amp;Operators'!$C$1:$G$99999,5,FALSE)</f>
        <v>GUZMAN DANNY</v>
      </c>
      <c r="M171" s="6">
        <f t="shared" si="58"/>
        <v>1.2152777773735579E-2</v>
      </c>
      <c r="N171" s="7">
        <f t="shared" si="74"/>
        <v>17.499999994179234</v>
      </c>
      <c r="O171" s="7"/>
      <c r="P171" s="7"/>
      <c r="Q171" s="22"/>
      <c r="R171" s="170"/>
      <c r="S171" s="213">
        <f t="shared" si="83"/>
        <v>1</v>
      </c>
      <c r="T171" s="195" t="str">
        <f t="shared" si="59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0"/>
        <v>https://d0f6bd738d7f1b3e5a7ca70fe4ff75f0.us-east-1.aws.found.io/app/kibana#/discover/Steve-Slow-Train-Analysis-(2080s-and-2083s)?_g=(refreshInterval:(display:Off,pause:!f,section:0,value:0),time:(from:'2017-07-21T07:06:03-0600',mode:absolute,to:'2017-07-21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197" t="str">
        <f>IF(AA171&lt;VLOOKUP(AG171,Variables!$AC$3:$AD$8,2,FALSE),"Y","N")</f>
        <v>N</v>
      </c>
      <c r="X171" s="197">
        <f t="shared" si="82"/>
        <v>1</v>
      </c>
      <c r="Y171" s="197">
        <f t="shared" si="80"/>
        <v>5.8619000000000003</v>
      </c>
      <c r="Z171" s="197">
        <f t="shared" si="81"/>
        <v>1.2200000000000001E-2</v>
      </c>
      <c r="AA171" s="197">
        <f t="shared" si="61"/>
        <v>5.8497000000000003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2"/>
        <v>810</v>
      </c>
      <c r="AE171" s="77" t="str">
        <f t="shared" si="63"/>
        <v>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 &amp; aws s3 cp s3://rtdc.mdm.uploadarchive.raw/RTDC4051/ "%USERPROFILE%\AppData\Local\Temp\OnboardLogs"\RTDC4051\2017-07-22 --exclude "*" --recursive --include "*20170722*" &amp; "%USERPROFILE%\Documents\GitHub\mrs-test-scripts\Headless Mode &amp; Sideloading\WalkAndUnGZ.bat" "%USERPROFILE%\AppData\Local\Temp\OnboardLogs"\RTDC4051\2017-07-22</v>
      </c>
      <c r="AF171" s="74" t="str">
        <f t="shared" si="64"/>
        <v>"C:\Program Files (x86)\AstroGrep\AstroGrep.exe" /e /r /s /spath="%USERPROFILE%\AppData\Local\Temp\OnboardLogs" /stypes="app*4051*20170721*" /stext=" 14:.+((SYSTEM_STATE.+slice.+state.+changed )|(ment ac)|(multiple cpu faults)|(system.+state.+changed )|(\[timeout)|(PRM\|1\|D)|(kpr)|(kdp)|(train st.+moving)|(\|lc)|(penalty))"</v>
      </c>
      <c r="AG171" s="209" t="str">
        <f t="shared" si="65"/>
        <v>NW</v>
      </c>
      <c r="AH171" s="78" t="str">
        <f t="shared" si="66"/>
        <v>"%USERPROFILE%\Documents\GitHub\eaglep3\Utilities\RefineRTDCRunTimes.py" --tripid 810-21 --locoid 4051 --swversion DE.1.0.9.0 --startMP 300:58619 --initTime 2017-07-21T08:06:03 --startdatetime 2017-07-21T08:07:58 --delay 1 --endMP 204:122 --enddatetime 2017-07-21T08:25:28 --enforcementcount 0 &gt;&gt;C:\Users\stu\Documents\GitHub\eaglep3-reporting\EC\2017-07-21-refined-times.txt</v>
      </c>
      <c r="AI171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{"issue":{"subject":"","project_id":79,"tracker_id":40,"status_id":1,"priority_id":2,"assigned_to_id":23,"start_date":"2017-07-21","description":"","custom_fields":[{"id":1,"name":"Subdivision","value":"NW"},{"id":4,"name":"Milepost","value":"0.0122"},{"id":17,"name":"Train ID","value":"810-21"},{"id":16,"name":"Locomotive ID","value":"4051"},{"id":130,"name":"Impact","value":""},{"id":150,"name":"Time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8"/>
        <v>start /low /b %USERPROFILE%\Documents\GitHub\eaglep3\Utilities\DownloadLogsFromS3.py --loco 4051 --day 2017-07-21</v>
      </c>
      <c r="AN171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714</v>
      </c>
      <c r="B172" s="7">
        <v>4006</v>
      </c>
      <c r="C172" s="21" t="s">
        <v>198</v>
      </c>
      <c r="D172" s="21" t="s">
        <v>974</v>
      </c>
      <c r="E172" s="13">
        <v>42937.335787037038</v>
      </c>
      <c r="F172" s="13">
        <v>42937.348124999997</v>
      </c>
      <c r="G172" s="7">
        <v>1</v>
      </c>
      <c r="H172" s="21" t="s">
        <v>986</v>
      </c>
      <c r="I172" s="13">
        <v>42937.358229166668</v>
      </c>
      <c r="J172" s="7">
        <v>0</v>
      </c>
      <c r="K172" s="89" t="str">
        <f t="shared" si="57"/>
        <v>4005/4006</v>
      </c>
      <c r="L172" s="21" t="str">
        <f>VLOOKUP(A172,'Trips&amp;Operators'!$C$1:$G$99999,5,FALSE)</f>
        <v>NICHOLSON WESLEY</v>
      </c>
      <c r="M172" s="6">
        <f t="shared" si="58"/>
        <v>1.0104166671226267E-2</v>
      </c>
      <c r="N172" s="7">
        <f t="shared" si="74"/>
        <v>14.550000006565824</v>
      </c>
      <c r="O172" s="7"/>
      <c r="P172" s="7"/>
      <c r="Q172" s="22"/>
      <c r="R172" s="170"/>
      <c r="S172" s="213">
        <f t="shared" si="83"/>
        <v>1</v>
      </c>
      <c r="T172" s="195" t="str">
        <f t="shared" si="59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0"/>
        <v>https://d0f6bd738d7f1b3e5a7ca70fe4ff75f0.us-east-1.aws.found.io/app/kibana#/discover/Steve-Slow-Train-Analysis-(2080s-and-2083s)?_g=(refreshInterval:(display:Off,pause:!f,section:0,value:0),time:(from:'2017-07-21T07:03:32-0600',mode:absolute,to:'2017-07-21T09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197" t="str">
        <f>IF(AA172&lt;VLOOKUP(AG172,Variables!$AC$3:$AD$8,2,FALSE),"Y","N")</f>
        <v>N</v>
      </c>
      <c r="X172" s="197">
        <f t="shared" si="82"/>
        <v>1</v>
      </c>
      <c r="Y172" s="197">
        <f t="shared" si="80"/>
        <v>9.69E-2</v>
      </c>
      <c r="Z172" s="197">
        <f t="shared" si="81"/>
        <v>5.8963000000000001</v>
      </c>
      <c r="AA172" s="197">
        <f t="shared" si="61"/>
        <v>5.7994000000000003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2"/>
        <v>811</v>
      </c>
      <c r="AE172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72" s="74" t="str">
        <f t="shared" si="64"/>
        <v>"C:\Program Files (x86)\AstroGrep\AstroGrep.exe" /e /r /s /spath="%USERPROFILE%\AppData\Local\Temp\OnboardLogs" /stypes="app*4006*20170721*" /stext=" 14:.+((SYSTEM_STATE.+slice.+state.+changed )|(ment ac)|(multiple cpu faults)|(system.+state.+changed )|(\[timeout)|(PRM\|1\|D)|(kpr)|(kdp)|(train st.+moving)|(\|lc)|(penalty))"</v>
      </c>
      <c r="AG172" s="209" t="str">
        <f t="shared" si="65"/>
        <v>NW</v>
      </c>
      <c r="AH172" s="78" t="str">
        <f t="shared" si="66"/>
        <v>"%USERPROFILE%\Documents\GitHub\eaglep3\Utilities\RefineRTDCRunTimes.py" --tripid 811-21 --locoid 4006 --swversion DE.1.0.9.0 --startMP 204:969 --initTime 2017-07-21T08:03:32 --startdatetime 2017-07-21T08:21:18 --delay 1 --endMP 300:58963 --enddatetime 2017-07-21T08:35:51 --enforcementcount 0 &gt;&gt;C:\Users\stu\Documents\GitHub\eaglep3-reporting\EC\2017-07-21-refined-times.txt</v>
      </c>
      <c r="AI172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{"issue":{"subject":"","project_id":79,"tracker_id":40,"status_id":1,"priority_id":2,"assigned_to_id":23,"start_date":"2017-07-21","description":"","custom_fields":[{"id":1,"name":"Subdivision","value":"NW"},{"id":4,"name":"Milepost","value":"5.8963"},{"id":17,"name":"Train ID","value":"811-21"},{"id":16,"name":"Locomotive ID","value":"4006"},{"id":130,"name":"Impact","value":""},{"id":150,"name":"Time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8"/>
        <v>start /low /b %USERPROFILE%\Documents\GitHub\eaglep3\Utilities\DownloadLogsFromS3.py --loco 4006 --day 2017-07-21</v>
      </c>
      <c r="AN172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721</v>
      </c>
      <c r="B173" s="7">
        <v>4005</v>
      </c>
      <c r="C173" s="21" t="s">
        <v>198</v>
      </c>
      <c r="D173" s="21" t="s">
        <v>987</v>
      </c>
      <c r="E173" s="13">
        <v>42937.360243055555</v>
      </c>
      <c r="F173" s="13">
        <v>42937.362175925926</v>
      </c>
      <c r="G173" s="7">
        <v>1</v>
      </c>
      <c r="H173" s="21" t="s">
        <v>988</v>
      </c>
      <c r="I173" s="13">
        <v>42937.371435185189</v>
      </c>
      <c r="J173" s="7">
        <v>0</v>
      </c>
      <c r="K173" s="89" t="str">
        <f t="shared" si="57"/>
        <v>4005/4006</v>
      </c>
      <c r="L173" s="21" t="str">
        <f>VLOOKUP(A173,'Trips&amp;Operators'!$C$1:$G$99999,5,FALSE)</f>
        <v>NICHOLSON WESLEY</v>
      </c>
      <c r="M173" s="6">
        <f t="shared" si="58"/>
        <v>9.2592592627624981E-3</v>
      </c>
      <c r="N173" s="7">
        <f t="shared" si="74"/>
        <v>13.333333338377997</v>
      </c>
      <c r="O173" s="7"/>
      <c r="P173" s="7"/>
      <c r="Q173" s="22"/>
      <c r="R173" s="170"/>
      <c r="S173" s="213">
        <f t="shared" si="83"/>
        <v>1</v>
      </c>
      <c r="T173" s="195" t="str">
        <f t="shared" si="59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0"/>
        <v>https://d0f6bd738d7f1b3e5a7ca70fe4ff75f0.us-east-1.aws.found.io/app/kibana#/discover/Steve-Slow-Train-Analysis-(2080s-and-2083s)?_g=(refreshInterval:(display:Off,pause:!f,section:0,value:0),time:(from:'2017-07-21T07:38:45-0600',mode:absolute,to:'2017-07-21T09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197" t="str">
        <f>IF(AA173&lt;VLOOKUP(AG173,Variables!$AC$3:$AD$8,2,FALSE),"Y","N")</f>
        <v>N</v>
      </c>
      <c r="X173" s="197">
        <f t="shared" si="82"/>
        <v>1</v>
      </c>
      <c r="Y173" s="197">
        <f t="shared" si="80"/>
        <v>5.8643000000000001</v>
      </c>
      <c r="Z173" s="197">
        <f t="shared" si="81"/>
        <v>7.1199999999999999E-2</v>
      </c>
      <c r="AA173" s="197">
        <f t="shared" si="61"/>
        <v>5.7930999999999999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2"/>
        <v>812</v>
      </c>
      <c r="AE173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73" s="74" t="str">
        <f t="shared" si="64"/>
        <v>"C:\Program Files (x86)\AstroGrep\AstroGrep.exe" /e /r /s /spath="%USERPROFILE%\AppData\Local\Temp\OnboardLogs" /stypes="app*4005*20170721*" /stext=" 14:.+((SYSTEM_STATE.+slice.+state.+changed )|(ment ac)|(multiple cpu faults)|(system.+state.+changed )|(\[timeout)|(PRM\|1\|D)|(kpr)|(kdp)|(train st.+moving)|(\|lc)|(penalty))"</v>
      </c>
      <c r="AG173" s="209" t="str">
        <f t="shared" si="65"/>
        <v>NW</v>
      </c>
      <c r="AH173" s="78" t="str">
        <f t="shared" si="66"/>
        <v>"%USERPROFILE%\Documents\GitHub\eaglep3\Utilities\RefineRTDCRunTimes.py" --tripid 812-21 --locoid 4005 --swversion DE.1.0.9.0 --startMP 300:58643 --initTime 2017-07-21T08:38:45 --startdatetime 2017-07-21T08:41:32 --delay 1 --endMP 204:712 --enddatetime 2017-07-21T08:54:52 --enforcementcount 0 &gt;&gt;C:\Users\stu\Documents\GitHub\eaglep3-reporting\EC\2017-07-21-refined-times.txt</v>
      </c>
      <c r="AI173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{"issue":{"subject":"","project_id":79,"tracker_id":40,"status_id":1,"priority_id":2,"assigned_to_id":23,"start_date":"2017-07-21","description":"","custom_fields":[{"id":1,"name":"Subdivision","value":"NW"},{"id":4,"name":"Milepost","value":"0.0712"},{"id":17,"name":"Train ID","value":"812-21"},{"id":16,"name":"Locomotive ID","value":"4005"},{"id":130,"name":"Impact","value":""},{"id":150,"name":"Time of Event (Mountain Time)","value":"08:54:52"},{"id":151,"name":"Denver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8"/>
        <v>start /low /b %USERPROFILE%\Documents\GitHub\eaglep3\Utilities\DownloadLogsFromS3.py --loco 4005 --day 2017-07-21</v>
      </c>
      <c r="AN173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724</v>
      </c>
      <c r="B174" s="7">
        <v>4006</v>
      </c>
      <c r="C174" s="21" t="s">
        <v>198</v>
      </c>
      <c r="D174" s="21" t="s">
        <v>606</v>
      </c>
      <c r="E174" s="13">
        <v>42937.374131944445</v>
      </c>
      <c r="F174" s="13">
        <v>42937.389791666668</v>
      </c>
      <c r="G174" s="7">
        <v>1</v>
      </c>
      <c r="H174" s="21" t="s">
        <v>989</v>
      </c>
      <c r="I174" s="13">
        <v>42937.400671296295</v>
      </c>
      <c r="J174" s="7">
        <v>0</v>
      </c>
      <c r="K174" s="89" t="str">
        <f t="shared" si="57"/>
        <v>4005/4006</v>
      </c>
      <c r="L174" s="21" t="str">
        <f>VLOOKUP(A174,'Trips&amp;Operators'!$C$1:$G$99999,5,FALSE)</f>
        <v>NICHOLSON WESLEY</v>
      </c>
      <c r="M174" s="6">
        <f t="shared" si="58"/>
        <v>1.0879629626288079E-2</v>
      </c>
      <c r="N174" s="7">
        <f t="shared" si="74"/>
        <v>15.666666661854833</v>
      </c>
      <c r="O174" s="7"/>
      <c r="P174" s="7"/>
      <c r="Q174" s="22"/>
      <c r="R174" s="170"/>
      <c r="S174" s="213">
        <f t="shared" si="83"/>
        <v>1</v>
      </c>
      <c r="T174" s="195" t="str">
        <f t="shared" si="59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0"/>
        <v>https://d0f6bd738d7f1b3e5a7ca70fe4ff75f0.us-east-1.aws.found.io/app/kibana#/discover/Steve-Slow-Train-Analysis-(2080s-and-2083s)?_g=(refreshInterval:(display:Off,pause:!f,section:0,value:0),time:(from:'2017-07-21T07:58:45-0600',mode:absolute,to:'2017-07-21T10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197" t="str">
        <f>IF(AA174&lt;VLOOKUP(AG174,Variables!$AC$3:$AD$8,2,FALSE),"Y","N")</f>
        <v>N</v>
      </c>
      <c r="X174" s="197">
        <f t="shared" si="82"/>
        <v>1</v>
      </c>
      <c r="Y174" s="197">
        <f t="shared" si="80"/>
        <v>9.8500000000000004E-2</v>
      </c>
      <c r="Z174" s="197">
        <f t="shared" si="81"/>
        <v>5.8975999999999997</v>
      </c>
      <c r="AA174" s="197">
        <f t="shared" si="61"/>
        <v>5.7991000000000001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2"/>
        <v>813</v>
      </c>
      <c r="AE174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74" s="74" t="str">
        <f t="shared" si="64"/>
        <v>"C:\Program Files (x86)\AstroGrep\AstroGrep.exe" /e /r /s /spath="%USERPROFILE%\AppData\Local\Temp\OnboardLogs" /stypes="app*4006*20170721*" /stext=" 15:.+((SYSTEM_STATE.+slice.+state.+changed )|(ment ac)|(multiple cpu faults)|(system.+state.+changed )|(\[timeout)|(PRM\|1\|D)|(kpr)|(kdp)|(train st.+moving)|(\|lc)|(penalty))"</v>
      </c>
      <c r="AG174" s="209" t="str">
        <f t="shared" si="65"/>
        <v>NW</v>
      </c>
      <c r="AH174" s="78" t="str">
        <f t="shared" si="66"/>
        <v>"%USERPROFILE%\Documents\GitHub\eaglep3\Utilities\RefineRTDCRunTimes.py" --tripid 813-21 --locoid 4006 --swversion DE.1.0.9.0 --startMP 204:985 --initTime 2017-07-21T08:58:45 --startdatetime 2017-07-21T09:21:18 --delay 1 --endMP 300:58976 --enddatetime 2017-07-21T09:36:58 --enforcementcount 0 &gt;&gt;C:\Users\stu\Documents\GitHub\eaglep3-reporting\EC\2017-07-21-refined-times.txt</v>
      </c>
      <c r="AI174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{"issue":{"subject":"","project_id":79,"tracker_id":40,"status_id":1,"priority_id":2,"assigned_to_id":23,"start_date":"2017-07-21","description":"","custom_fields":[{"id":1,"name":"Subdivision","value":"NW"},{"id":4,"name":"Milepost","value":"5.8976"},{"id":17,"name":"Train ID","value":"813-21"},{"id":16,"name":"Locomotive ID","value":"4006"},{"id":130,"name":"Impact","value":""},{"id":150,"name":"Time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8"/>
        <v>start /low /b %USERPROFILE%\Documents\GitHub\eaglep3\Utilities\DownloadLogsFromS3.py --loco 4006 --day 2017-07-21</v>
      </c>
      <c r="AN174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732</v>
      </c>
      <c r="B175" s="7">
        <v>4005</v>
      </c>
      <c r="C175" s="21" t="s">
        <v>198</v>
      </c>
      <c r="D175" s="21" t="s">
        <v>990</v>
      </c>
      <c r="E175" s="13">
        <v>42937.401817129627</v>
      </c>
      <c r="F175" s="13">
        <v>42937.403715277775</v>
      </c>
      <c r="G175" s="7">
        <v>1</v>
      </c>
      <c r="H175" s="21" t="s">
        <v>991</v>
      </c>
      <c r="I175" s="13">
        <v>42937.413356481484</v>
      </c>
      <c r="J175" s="7">
        <v>0</v>
      </c>
      <c r="K175" s="89" t="str">
        <f t="shared" si="57"/>
        <v>4005/4006</v>
      </c>
      <c r="L175" s="21" t="str">
        <f>VLOOKUP(A175,'Trips&amp;Operators'!$C$1:$G$99999,5,FALSE)</f>
        <v>NICHOLSON WESLEY</v>
      </c>
      <c r="M175" s="6">
        <f t="shared" si="58"/>
        <v>9.6412037091795355E-3</v>
      </c>
      <c r="N175" s="7">
        <f t="shared" si="74"/>
        <v>13.883333341218531</v>
      </c>
      <c r="O175" s="7"/>
      <c r="P175" s="7"/>
      <c r="Q175" s="22"/>
      <c r="R175" s="170"/>
      <c r="S175" s="213">
        <f t="shared" si="83"/>
        <v>1</v>
      </c>
      <c r="T175" s="195" t="str">
        <f t="shared" si="59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0"/>
        <v>https://d0f6bd738d7f1b3e5a7ca70fe4ff75f0.us-east-1.aws.found.io/app/kibana#/discover/Steve-Slow-Train-Analysis-(2080s-and-2083s)?_g=(refreshInterval:(display:Off,pause:!f,section:0,value:0),time:(from:'2017-07-21T08:38:37-0600',mode:absolute,to:'2017-07-21T10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197" t="str">
        <f>IF(AA175&lt;VLOOKUP(AG175,Variables!$AC$3:$AD$8,2,FALSE),"Y","N")</f>
        <v>N</v>
      </c>
      <c r="X175" s="197">
        <f t="shared" si="82"/>
        <v>1</v>
      </c>
      <c r="Y175" s="197">
        <f t="shared" si="80"/>
        <v>5.8666</v>
      </c>
      <c r="Z175" s="197">
        <f t="shared" si="81"/>
        <v>6.8000000000000005E-2</v>
      </c>
      <c r="AA175" s="197">
        <f t="shared" si="61"/>
        <v>5.7986000000000004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2"/>
        <v>814</v>
      </c>
      <c r="AE175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75" s="74" t="str">
        <f t="shared" si="64"/>
        <v>"C:\Program Files (x86)\AstroGrep\AstroGrep.exe" /e /r /s /spath="%USERPROFILE%\AppData\Local\Temp\OnboardLogs" /stypes="app*4005*20170721*" /stext=" 15:.+((SYSTEM_STATE.+slice.+state.+changed )|(ment ac)|(multiple cpu faults)|(system.+state.+changed )|(\[timeout)|(PRM\|1\|D)|(kpr)|(kdp)|(train st.+moving)|(\|lc)|(penalty))"</v>
      </c>
      <c r="AG175" s="209" t="str">
        <f t="shared" si="65"/>
        <v>NW</v>
      </c>
      <c r="AH175" s="78" t="str">
        <f t="shared" si="66"/>
        <v>"%USERPROFILE%\Documents\GitHub\eaglep3\Utilities\RefineRTDCRunTimes.py" --tripid 814-21 --locoid 4005 --swversion DE.1.0.9.0 --startMP 300:58666 --initTime 2017-07-21T09:38:37 --startdatetime 2017-07-21T09:41:21 --delay 1 --endMP 204:680 --enddatetime 2017-07-21T09:55:14 --enforcementcount 0 &gt;&gt;C:\Users\stu\Documents\GitHub\eaglep3-reporting\EC\2017-07-21-refined-times.txt</v>
      </c>
      <c r="AI175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{"issue":{"subject":"","project_id":79,"tracker_id":40,"status_id":1,"priority_id":2,"assigned_to_id":23,"start_date":"2017-07-21","description":"","custom_fields":[{"id":1,"name":"Subdivision","value":"NW"},{"id":4,"name":"Milepost","value":"0.068"},{"id":17,"name":"Train ID","value":"814-21"},{"id":16,"name":"Locomotive ID","value":"4005"},{"id":130,"name":"Impact","value":""},{"id":150,"name":"Time of Event (Mountain Time)","value":"09:55:14"},{"id":151,"name":"Denver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8"/>
        <v>start /low /b %USERPROFILE%\Documents\GitHub\eaglep3\Utilities\DownloadLogsFromS3.py --loco 4005 --day 2017-07-21</v>
      </c>
      <c r="AN175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737</v>
      </c>
      <c r="B176" s="7">
        <v>4006</v>
      </c>
      <c r="C176" s="21" t="s">
        <v>198</v>
      </c>
      <c r="D176" s="21" t="s">
        <v>481</v>
      </c>
      <c r="E176" s="13">
        <v>42937.415543981479</v>
      </c>
      <c r="F176" s="13">
        <v>42937.431446759256</v>
      </c>
      <c r="G176" s="7">
        <v>1</v>
      </c>
      <c r="H176" s="21" t="s">
        <v>978</v>
      </c>
      <c r="I176" s="13">
        <v>42937.441469907404</v>
      </c>
      <c r="J176" s="7">
        <v>0</v>
      </c>
      <c r="K176" s="89" t="str">
        <f t="shared" si="57"/>
        <v>4005/4006</v>
      </c>
      <c r="L176" s="21" t="str">
        <f>VLOOKUP(A176,'Trips&amp;Operators'!$C$1:$G$99999,5,FALSE)</f>
        <v>NICHOLSON WESLEY</v>
      </c>
      <c r="M176" s="6">
        <f t="shared" si="58"/>
        <v>1.0023148148320615E-2</v>
      </c>
      <c r="N176" s="7">
        <f t="shared" si="74"/>
        <v>14.433333333581686</v>
      </c>
      <c r="O176" s="7"/>
      <c r="P176" s="7"/>
      <c r="Q176" s="22"/>
      <c r="R176" s="170"/>
      <c r="S176" s="213">
        <f t="shared" si="83"/>
        <v>1</v>
      </c>
      <c r="T176" s="195" t="str">
        <f t="shared" si="59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0"/>
        <v>https://d0f6bd738d7f1b3e5a7ca70fe4ff75f0.us-east-1.aws.found.io/app/kibana#/discover/Steve-Slow-Train-Analysis-(2080s-and-2083s)?_g=(refreshInterval:(display:Off,pause:!f,section:0,value:0),time:(from:'2017-07-21T08:58:23-0600',mode:absolute,to:'2017-07-21T11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197" t="str">
        <f>IF(AA176&lt;VLOOKUP(AG176,Variables!$AC$3:$AD$8,2,FALSE),"Y","N")</f>
        <v>N</v>
      </c>
      <c r="X176" s="197">
        <f t="shared" si="82"/>
        <v>1</v>
      </c>
      <c r="Y176" s="197">
        <f t="shared" si="80"/>
        <v>9.7900000000000001E-2</v>
      </c>
      <c r="Z176" s="197">
        <f t="shared" si="81"/>
        <v>5.8973000000000004</v>
      </c>
      <c r="AA176" s="197">
        <f t="shared" si="61"/>
        <v>5.7994000000000003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2"/>
        <v>815</v>
      </c>
      <c r="AE176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76" s="74" t="str">
        <f t="shared" si="64"/>
        <v>"C:\Program Files (x86)\AstroGrep\AstroGrep.exe" /e /r /s /spath="%USERPROFILE%\AppData\Local\Temp\OnboardLogs" /stypes="app*4006*20170721*" /stext=" 16:.+((SYSTEM_STATE.+slice.+state.+changed )|(ment ac)|(multiple cpu faults)|(system.+state.+changed )|(\[timeout)|(PRM\|1\|D)|(kpr)|(kdp)|(train st.+moving)|(\|lc)|(penalty))"</v>
      </c>
      <c r="AG176" s="209" t="str">
        <f t="shared" si="65"/>
        <v>NW</v>
      </c>
      <c r="AH176" s="78" t="str">
        <f t="shared" si="66"/>
        <v>"%USERPROFILE%\Documents\GitHub\eaglep3\Utilities\RefineRTDCRunTimes.py" --tripid 815-21 --locoid 4006 --swversion DE.1.0.9.0 --startMP 204:979 --initTime 2017-07-21T09:58:23 --startdatetime 2017-07-21T10:21:17 --delay 1 --endMP 300:58973 --enddatetime 2017-07-21T10:35:43 --enforcementcount 0 &gt;&gt;C:\Users\stu\Documents\GitHub\eaglep3-reporting\EC\2017-07-21-refined-times.txt</v>
      </c>
      <c r="AI176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{"issue":{"subject":"","project_id":79,"tracker_id":40,"status_id":1,"priority_id":2,"assigned_to_id":23,"start_date":"2017-07-21","description":"","custom_fields":[{"id":1,"name":"Subdivision","value":"NW"},{"id":4,"name":"Milepost","value":"5.8973"},{"id":17,"name":"Train ID","value":"815-21"},{"id":16,"name":"Locomotive ID","value":"4006"},{"id":130,"name":"Impact","value":""},{"id":150,"name":"Time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8"/>
        <v>start /low /b %USERPROFILE%\Documents\GitHub\eaglep3\Utilities\DownloadLogsFromS3.py --loco 4006 --day 2017-07-21</v>
      </c>
      <c r="AN176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627</v>
      </c>
      <c r="B177" s="7">
        <v>4005</v>
      </c>
      <c r="C177" s="21" t="s">
        <v>198</v>
      </c>
      <c r="D177" s="21" t="s">
        <v>992</v>
      </c>
      <c r="E177" s="13">
        <v>42937.442650462966</v>
      </c>
      <c r="F177" s="13">
        <v>42937.444756944446</v>
      </c>
      <c r="G177" s="7">
        <v>1</v>
      </c>
      <c r="H177" s="21" t="s">
        <v>993</v>
      </c>
      <c r="I177" s="13">
        <v>42937.455138888887</v>
      </c>
      <c r="J177" s="7">
        <v>0</v>
      </c>
      <c r="K177" s="89" t="str">
        <f t="shared" si="57"/>
        <v>4005/4006</v>
      </c>
      <c r="L177" s="21" t="str">
        <f>VLOOKUP(A177,'Trips&amp;Operators'!$C$1:$G$99999,5,FALSE)</f>
        <v>NICHOLSON WESLEY</v>
      </c>
      <c r="M177" s="6">
        <f t="shared" si="58"/>
        <v>1.0381944441178348E-2</v>
      </c>
      <c r="N177" s="7">
        <f t="shared" si="74"/>
        <v>14.949999995296821</v>
      </c>
      <c r="O177" s="7"/>
      <c r="P177" s="7"/>
      <c r="Q177" s="22"/>
      <c r="R177" s="170"/>
      <c r="S177" s="213">
        <f t="shared" si="83"/>
        <v>1</v>
      </c>
      <c r="T177" s="195" t="str">
        <f t="shared" si="59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0"/>
        <v>https://d0f6bd738d7f1b3e5a7ca70fe4ff75f0.us-east-1.aws.found.io/app/kibana#/discover/Steve-Slow-Train-Analysis-(2080s-and-2083s)?_g=(refreshInterval:(display:Off,pause:!f,section:0,value:0),time:(from:'2017-07-21T09:37:25-0600',mode:absolute,to:'2017-07-21T11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197" t="str">
        <f>IF(AA177&lt;VLOOKUP(AG177,Variables!$AC$3:$AD$8,2,FALSE),"Y","N")</f>
        <v>N</v>
      </c>
      <c r="X177" s="197">
        <f t="shared" si="82"/>
        <v>1</v>
      </c>
      <c r="Y177" s="197">
        <f t="shared" si="80"/>
        <v>5.8654999999999999</v>
      </c>
      <c r="Z177" s="197">
        <f t="shared" si="81"/>
        <v>7.5499999999999998E-2</v>
      </c>
      <c r="AA177" s="197">
        <f t="shared" si="61"/>
        <v>5.79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2"/>
        <v>816</v>
      </c>
      <c r="AE177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77" s="74" t="str">
        <f t="shared" si="64"/>
        <v>"C:\Program Files (x86)\AstroGrep\AstroGrep.exe" /e /r /s /spath="%USERPROFILE%\AppData\Local\Temp\OnboardLogs" /stypes="app*4005*20170721*" /stext=" 16:.+((SYSTEM_STATE.+slice.+state.+changed )|(ment ac)|(multiple cpu faults)|(system.+state.+changed )|(\[timeout)|(PRM\|1\|D)|(kpr)|(kdp)|(train st.+moving)|(\|lc)|(penalty))"</v>
      </c>
      <c r="AG177" s="209" t="str">
        <f t="shared" si="65"/>
        <v>NW</v>
      </c>
      <c r="AH177" s="78" t="str">
        <f t="shared" si="66"/>
        <v>"%USERPROFILE%\Documents\GitHub\eaglep3\Utilities\RefineRTDCRunTimes.py" --tripid 816-21 --locoid 4005 --swversion DE.1.0.9.0 --startMP 300:58655 --initTime 2017-07-21T10:37:25 --startdatetime 2017-07-21T10:40:27 --delay 1 --endMP 204:755 --enddatetime 2017-07-21T10:55:24 --enforcementcount 0 &gt;&gt;C:\Users\stu\Documents\GitHub\eaglep3-reporting\EC\2017-07-21-refined-times.txt</v>
      </c>
      <c r="AI177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{"issue":{"subject":"","project_id":79,"tracker_id":40,"status_id":1,"priority_id":2,"assigned_to_id":23,"start_date":"2017-07-21","description":"","custom_fields":[{"id":1,"name":"Subdivision","value":"NW"},{"id":4,"name":"Milepost","value":"0.0755"},{"id":17,"name":"Train ID","value":"816-21"},{"id":16,"name":"Locomotive ID","value":"4005"},{"id":130,"name":"Impact","value":""},{"id":150,"name":"Time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8"/>
        <v>start /low /b %USERPROFILE%\Documents\GitHub\eaglep3\Utilities\DownloadLogsFromS3.py --loco 4005 --day 2017-07-21</v>
      </c>
      <c r="AN177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16:55:24"},{"id":29,"name":"Sharepoint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745</v>
      </c>
      <c r="B178" s="7">
        <v>4006</v>
      </c>
      <c r="C178" s="21" t="s">
        <v>198</v>
      </c>
      <c r="D178" s="21" t="s">
        <v>994</v>
      </c>
      <c r="E178" s="13">
        <v>42937.457986111112</v>
      </c>
      <c r="F178" s="13">
        <v>42937.473101851851</v>
      </c>
      <c r="G178" s="7">
        <v>1</v>
      </c>
      <c r="H178" s="21" t="s">
        <v>995</v>
      </c>
      <c r="I178" s="13">
        <v>42937.483287037037</v>
      </c>
      <c r="J178" s="7">
        <v>0</v>
      </c>
      <c r="K178" s="89" t="str">
        <f t="shared" si="57"/>
        <v>4005/4006</v>
      </c>
      <c r="L178" s="21" t="str">
        <f>VLOOKUP(A178,'Trips&amp;Operators'!$C$1:$G$99999,5,FALSE)</f>
        <v>NICHOLSON WESLEY</v>
      </c>
      <c r="M178" s="6">
        <f t="shared" si="58"/>
        <v>1.0185185186855961E-2</v>
      </c>
      <c r="N178" s="7">
        <f t="shared" si="74"/>
        <v>14.666666669072583</v>
      </c>
      <c r="O178" s="7"/>
      <c r="P178" s="7"/>
      <c r="Q178" s="22"/>
      <c r="R178" s="170"/>
      <c r="S178" s="213">
        <f t="shared" si="83"/>
        <v>1</v>
      </c>
      <c r="T178" s="195" t="str">
        <f t="shared" si="59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0"/>
        <v>https://d0f6bd738d7f1b3e5a7ca70fe4ff75f0.us-east-1.aws.found.io/app/kibana#/discover/Steve-Slow-Train-Analysis-(2080s-and-2083s)?_g=(refreshInterval:(display:Off,pause:!f,section:0,value:0),time:(from:'2017-07-21T09:59:30-0600',mode:absolute,to:'2017-07-21T12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197" t="str">
        <f>IF(AA178&lt;VLOOKUP(AG178,Variables!$AC$3:$AD$8,2,FALSE),"Y","N")</f>
        <v>N</v>
      </c>
      <c r="X178" s="197">
        <f t="shared" si="82"/>
        <v>1</v>
      </c>
      <c r="Y178" s="197">
        <f t="shared" si="80"/>
        <v>0.1062</v>
      </c>
      <c r="Z178" s="197">
        <f t="shared" si="81"/>
        <v>5.8967000000000001</v>
      </c>
      <c r="AA178" s="197">
        <f t="shared" si="61"/>
        <v>5.7904999999999998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2"/>
        <v>817</v>
      </c>
      <c r="AE178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78" s="74" t="str">
        <f t="shared" si="64"/>
        <v>"C:\Program Files (x86)\AstroGrep\AstroGrep.exe" /e /r /s /spath="%USERPROFILE%\AppData\Local\Temp\OnboardLogs" /stypes="app*4006*20170721*" /stext=" 17:.+((SYSTEM_STATE.+slice.+state.+changed )|(ment ac)|(multiple cpu faults)|(system.+state.+changed )|(\[timeout)|(PRM\|1\|D)|(kpr)|(kdp)|(train st.+moving)|(\|lc)|(penalty))"</v>
      </c>
      <c r="AG178" s="209" t="str">
        <f t="shared" si="65"/>
        <v>NW</v>
      </c>
      <c r="AH178" s="78" t="str">
        <f t="shared" si="66"/>
        <v>"%USERPROFILE%\Documents\GitHub\eaglep3\Utilities\RefineRTDCRunTimes.py" --tripid 817-21 --locoid 4006 --swversion DE.1.0.9.0 --startMP 204:1062 --initTime 2017-07-21T10:59:30 --startdatetime 2017-07-21T11:21:16 --delay 1 --endMP 300:58967 --enddatetime 2017-07-21T11:35:56 --enforcementcount 0 &gt;&gt;C:\Users\stu\Documents\GitHub\eaglep3-reporting\EC\2017-07-21-refined-times.txt</v>
      </c>
      <c r="AI178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{"issue":{"subject":"","project_id":79,"tracker_id":40,"status_id":1,"priority_id":2,"assigned_to_id":23,"start_date":"2017-07-21","description":"","custom_fields":[{"id":1,"name":"Subdivision","value":"NW"},{"id":4,"name":"Milepost","value":"5.8967"},{"id":17,"name":"Train ID","value":"817-21"},{"id":16,"name":"Locomotive ID","value":"4006"},{"id":130,"name":"Impact","value":""},{"id":150,"name":"Time of Event (Mountain Time)","value":"11:35:56"},{"id":151,"name":"Denver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8"/>
        <v>start /low /b %USERPROFILE%\Documents\GitHub\eaglep3\Utilities\DownloadLogsFromS3.py --loco 4006 --day 2017-07-21</v>
      </c>
      <c r="AN178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752</v>
      </c>
      <c r="B179" s="7">
        <v>4005</v>
      </c>
      <c r="C179" s="21" t="s">
        <v>198</v>
      </c>
      <c r="D179" s="21" t="s">
        <v>542</v>
      </c>
      <c r="E179" s="13">
        <v>42937.4843287037</v>
      </c>
      <c r="F179" s="13">
        <v>42937.486168981479</v>
      </c>
      <c r="G179" s="7">
        <v>1</v>
      </c>
      <c r="H179" s="21" t="s">
        <v>604</v>
      </c>
      <c r="I179" s="13">
        <v>42937.496678240743</v>
      </c>
      <c r="J179" s="7">
        <v>0</v>
      </c>
      <c r="K179" s="89" t="str">
        <f t="shared" si="57"/>
        <v>4005/4006</v>
      </c>
      <c r="L179" s="21" t="str">
        <f>VLOOKUP(A179,'Trips&amp;Operators'!$C$1:$G$99999,5,FALSE)</f>
        <v>NICHOLSON WESLEY</v>
      </c>
      <c r="M179" s="6">
        <f t="shared" si="58"/>
        <v>1.0509259263926651E-2</v>
      </c>
      <c r="N179" s="7">
        <f t="shared" si="74"/>
        <v>15.133333340054378</v>
      </c>
      <c r="O179" s="7"/>
      <c r="P179" s="7"/>
      <c r="Q179" s="22"/>
      <c r="R179" s="170"/>
      <c r="S179" s="213">
        <f t="shared" si="83"/>
        <v>1</v>
      </c>
      <c r="T179" s="195" t="str">
        <f t="shared" si="59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0"/>
        <v>https://d0f6bd738d7f1b3e5a7ca70fe4ff75f0.us-east-1.aws.found.io/app/kibana#/discover/Steve-Slow-Train-Analysis-(2080s-and-2083s)?_g=(refreshInterval:(display:Off,pause:!f,section:0,value:0),time:(from:'2017-07-21T10:37:26-0600',mode:absolute,to:'2017-07-21T12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197" t="str">
        <f>IF(AA179&lt;VLOOKUP(AG179,Variables!$AC$3:$AD$8,2,FALSE),"Y","N")</f>
        <v>N</v>
      </c>
      <c r="X179" s="197">
        <f t="shared" si="82"/>
        <v>1</v>
      </c>
      <c r="Y179" s="197">
        <f t="shared" si="80"/>
        <v>5.8653000000000004</v>
      </c>
      <c r="Z179" s="197">
        <f t="shared" si="81"/>
        <v>6.7799999999999999E-2</v>
      </c>
      <c r="AA179" s="197">
        <f t="shared" si="61"/>
        <v>5.7975000000000003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2"/>
        <v>818</v>
      </c>
      <c r="AE179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79" s="74" t="str">
        <f t="shared" si="64"/>
        <v>"C:\Program Files (x86)\AstroGrep\AstroGrep.exe" /e /r /s /spath="%USERPROFILE%\AppData\Local\Temp\OnboardLogs" /stypes="app*4005*20170721*" /stext=" 17:.+((SYSTEM_STATE.+slice.+state.+changed )|(ment ac)|(multiple cpu faults)|(system.+state.+changed )|(\[timeout)|(PRM\|1\|D)|(kpr)|(kdp)|(train st.+moving)|(\|lc)|(penalty))"</v>
      </c>
      <c r="AG179" s="209" t="str">
        <f t="shared" si="65"/>
        <v>NW</v>
      </c>
      <c r="AH179" s="78" t="str">
        <f t="shared" si="66"/>
        <v>"%USERPROFILE%\Documents\GitHub\eaglep3\Utilities\RefineRTDCRunTimes.py" --tripid 818-21 --locoid 4005 --swversion DE.1.0.9.0 --startMP 300:58653 --initTime 2017-07-21T11:37:26 --startdatetime 2017-07-21T11:40:05 --delay 1 --endMP 204:678 --enddatetime 2017-07-21T11:55:13 --enforcementcount 0 &gt;&gt;C:\Users\stu\Documents\GitHub\eaglep3-reporting\EC\2017-07-21-refined-times.txt</v>
      </c>
      <c r="AI179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{"issue":{"subject":"","project_id":79,"tracker_id":40,"status_id":1,"priority_id":2,"assigned_to_id":23,"start_date":"2017-07-21","description":"","custom_fields":[{"id":1,"name":"Subdivision","value":"NW"},{"id":4,"name":"Milepost","value":"0.0678"},{"id":17,"name":"Train ID","value":"818-21"},{"id":16,"name":"Locomotive ID","value":"4005"},{"id":130,"name":"Impact","value":""},{"id":150,"name":"Time of Event (Mountain Time)","value":"11:55:13"},{"id":151,"name":"Denver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8"/>
        <v>start /low /b %USERPROFILE%\Documents\GitHub\eaglep3\Utilities\DownloadLogsFromS3.py --loco 4005 --day 2017-07-21</v>
      </c>
      <c r="AN179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17:55:13"},{"id":29,"name":"Sharepoint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755</v>
      </c>
      <c r="B180" s="7">
        <v>4006</v>
      </c>
      <c r="C180" s="21" t="s">
        <v>198</v>
      </c>
      <c r="D180" s="21" t="s">
        <v>974</v>
      </c>
      <c r="E180" s="13">
        <v>42937.499016203707</v>
      </c>
      <c r="F180" s="13">
        <v>42937.514745370368</v>
      </c>
      <c r="G180" s="7">
        <v>1</v>
      </c>
      <c r="H180" s="21" t="s">
        <v>986</v>
      </c>
      <c r="I180" s="13">
        <v>42937.524004629631</v>
      </c>
      <c r="J180" s="7">
        <v>0</v>
      </c>
      <c r="K180" s="89" t="str">
        <f t="shared" si="57"/>
        <v>4005/4006</v>
      </c>
      <c r="L180" s="21" t="str">
        <f>VLOOKUP(A180,'Trips&amp;Operators'!$C$1:$G$99999,5,FALSE)</f>
        <v>NICHOLSON WESLEY</v>
      </c>
      <c r="M180" s="6">
        <f t="shared" si="58"/>
        <v>9.2592592627624981E-3</v>
      </c>
      <c r="N180" s="7">
        <f t="shared" si="74"/>
        <v>13.333333338377997</v>
      </c>
      <c r="O180" s="7"/>
      <c r="P180" s="7"/>
      <c r="Q180" s="22"/>
      <c r="R180" s="170"/>
      <c r="S180" s="213">
        <f t="shared" si="83"/>
        <v>1</v>
      </c>
      <c r="T180" s="195" t="str">
        <f t="shared" si="59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0"/>
        <v>https://d0f6bd738d7f1b3e5a7ca70fe4ff75f0.us-east-1.aws.found.io/app/kibana#/discover/Steve-Slow-Train-Analysis-(2080s-and-2083s)?_g=(refreshInterval:(display:Off,pause:!f,section:0,value:0),time:(from:'2017-07-21T10:58:35-0600',mode:absolute,to:'2017-07-21T13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197" t="str">
        <f>IF(AA180&lt;VLOOKUP(AG180,Variables!$AC$3:$AD$8,2,FALSE),"Y","N")</f>
        <v>N</v>
      </c>
      <c r="X180" s="197">
        <f t="shared" si="82"/>
        <v>1</v>
      </c>
      <c r="Y180" s="197">
        <f t="shared" si="80"/>
        <v>9.69E-2</v>
      </c>
      <c r="Z180" s="197">
        <f t="shared" si="81"/>
        <v>5.8963000000000001</v>
      </c>
      <c r="AA180" s="197">
        <f t="shared" si="61"/>
        <v>5.7994000000000003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2"/>
        <v>819</v>
      </c>
      <c r="AE180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80" s="74" t="str">
        <f t="shared" si="64"/>
        <v>"C:\Program Files (x86)\AstroGrep\AstroGrep.exe" /e /r /s /spath="%USERPROFILE%\AppData\Local\Temp\OnboardLogs" /stypes="app*4006*20170721*" /stext=" 18:.+((SYSTEM_STATE.+slice.+state.+changed )|(ment ac)|(multiple cpu faults)|(system.+state.+changed )|(\[timeout)|(PRM\|1\|D)|(kpr)|(kdp)|(train st.+moving)|(\|lc)|(penalty))"</v>
      </c>
      <c r="AG180" s="209" t="str">
        <f t="shared" si="65"/>
        <v>NW</v>
      </c>
      <c r="AH180" s="78" t="str">
        <f t="shared" si="66"/>
        <v>"%USERPROFILE%\Documents\GitHub\eaglep3\Utilities\RefineRTDCRunTimes.py" --tripid 819-21 --locoid 4006 --swversion DE.1.0.9.0 --startMP 204:969 --initTime 2017-07-21T11:58:35 --startdatetime 2017-07-21T12:21:14 --delay 1 --endMP 300:58963 --enddatetime 2017-07-21T12:34:34 --enforcementcount 0 &gt;&gt;C:\Users\stu\Documents\GitHub\eaglep3-reporting\EC\2017-07-21-refined-times.txt</v>
      </c>
      <c r="AI180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{"issue":{"subject":"","project_id":79,"tracker_id":40,"status_id":1,"priority_id":2,"assigned_to_id":23,"start_date":"2017-07-21","description":"","custom_fields":[{"id":1,"name":"Subdivision","value":"NW"},{"id":4,"name":"Milepost","value":"5.8963"},{"id":17,"name":"Train ID","value":"819-21"},{"id":16,"name":"Locomotive ID","value":"4006"},{"id":130,"name":"Impact","value":""},{"id":150,"name":"Time of Event (Mountain Time)","value":"12:34:34"},{"id":151,"name":"Denver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8"/>
        <v>start /low /b %USERPROFILE%\Documents\GitHub\eaglep3\Utilities\DownloadLogsFromS3.py --loco 4006 --day 2017-07-21</v>
      </c>
      <c r="AN180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759</v>
      </c>
      <c r="B181" s="7">
        <v>4005</v>
      </c>
      <c r="C181" s="21" t="s">
        <v>198</v>
      </c>
      <c r="D181" s="21" t="s">
        <v>996</v>
      </c>
      <c r="E181" s="13">
        <v>42937.524895833332</v>
      </c>
      <c r="F181" s="13">
        <v>42937.526319444441</v>
      </c>
      <c r="G181" s="7">
        <v>1</v>
      </c>
      <c r="H181" s="21" t="s">
        <v>607</v>
      </c>
      <c r="I181" s="13">
        <v>42937.537789351853</v>
      </c>
      <c r="J181" s="7">
        <v>0</v>
      </c>
      <c r="K181" s="89" t="str">
        <f t="shared" si="57"/>
        <v>4005/4006</v>
      </c>
      <c r="L181" s="21" t="str">
        <f>VLOOKUP(A181,'Trips&amp;Operators'!$C$1:$G$99999,5,FALSE)</f>
        <v>NICHOLSON WESLEY</v>
      </c>
      <c r="M181" s="6">
        <f t="shared" si="58"/>
        <v>1.1469907411083113E-2</v>
      </c>
      <c r="N181" s="7">
        <f t="shared" si="74"/>
        <v>16.516666671959683</v>
      </c>
      <c r="O181" s="7"/>
      <c r="P181" s="7"/>
      <c r="Q181" s="22"/>
      <c r="R181" s="170"/>
      <c r="S181" s="213">
        <f t="shared" si="83"/>
        <v>1</v>
      </c>
      <c r="T181" s="195" t="str">
        <f t="shared" si="59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0"/>
        <v>https://d0f6bd738d7f1b3e5a7ca70fe4ff75f0.us-east-1.aws.found.io/app/kibana#/discover/Steve-Slow-Train-Analysis-(2080s-and-2083s)?_g=(refreshInterval:(display:Off,pause:!f,section:0,value:0),time:(from:'2017-07-21T11:35:51-0600',mode:absolute,to:'2017-07-21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197" t="str">
        <f>IF(AA181&lt;VLOOKUP(AG181,Variables!$AC$3:$AD$8,2,FALSE),"Y","N")</f>
        <v>N</v>
      </c>
      <c r="X181" s="197">
        <f t="shared" si="82"/>
        <v>1</v>
      </c>
      <c r="Y181" s="197">
        <f t="shared" si="80"/>
        <v>5.8639999999999999</v>
      </c>
      <c r="Z181" s="197">
        <f t="shared" si="81"/>
        <v>6.9800000000000001E-2</v>
      </c>
      <c r="AA181" s="197">
        <f t="shared" si="61"/>
        <v>5.7942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2"/>
        <v>820</v>
      </c>
      <c r="AE181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81" s="74" t="str">
        <f t="shared" si="64"/>
        <v>"C:\Program Files (x86)\AstroGrep\AstroGrep.exe" /e /r /s /spath="%USERPROFILE%\AppData\Local\Temp\OnboardLogs" /stypes="app*4005*20170721*" /stext=" 18:.+((SYSTEM_STATE.+slice.+state.+changed )|(ment ac)|(multiple cpu faults)|(system.+state.+changed )|(\[timeout)|(PRM\|1\|D)|(kpr)|(kdp)|(train st.+moving)|(\|lc)|(penalty))"</v>
      </c>
      <c r="AG181" s="209" t="str">
        <f t="shared" si="65"/>
        <v>NW</v>
      </c>
      <c r="AH181" s="78" t="str">
        <f t="shared" si="66"/>
        <v>"%USERPROFILE%\Documents\GitHub\eaglep3\Utilities\RefineRTDCRunTimes.py" --tripid 820-21 --locoid 4005 --swversion DE.1.0.9.0 --startMP 300:58640 --initTime 2017-07-21T12:35:51 --startdatetime 2017-07-21T12:37:54 --delay 1 --endMP 204:698 --enddatetime 2017-07-21T12:54:25 --enforcementcount 0 &gt;&gt;C:\Users\stu\Documents\GitHub\eaglep3-reporting\EC\2017-07-21-refined-times.txt</v>
      </c>
      <c r="AI181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{"issue":{"subject":"","project_id":79,"tracker_id":40,"status_id":1,"priority_id":2,"assigned_to_id":23,"start_date":"2017-07-21","description":"","custom_fields":[{"id":1,"name":"Subdivision","value":"NW"},{"id":4,"name":"Milepost","value":"0.0698"},{"id":17,"name":"Train ID","value":"820-21"},{"id":16,"name":"Locomotive ID","value":"4005"},{"id":130,"name":"Impact","value":""},{"id":150,"name":"Time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8"/>
        <v>start /low /b %USERPROFILE%\Documents\GitHub\eaglep3\Utilities\DownloadLogsFromS3.py --loco 4005 --day 2017-07-21</v>
      </c>
      <c r="AN181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766</v>
      </c>
      <c r="B182" s="7">
        <v>4006</v>
      </c>
      <c r="C182" s="21" t="s">
        <v>198</v>
      </c>
      <c r="D182" s="21" t="s">
        <v>980</v>
      </c>
      <c r="E182" s="13">
        <v>42937.551226851851</v>
      </c>
      <c r="F182" s="13">
        <v>42937.556886574072</v>
      </c>
      <c r="G182" s="7">
        <v>2</v>
      </c>
      <c r="H182" s="21" t="s">
        <v>614</v>
      </c>
      <c r="I182" s="13">
        <v>42937.566307870373</v>
      </c>
      <c r="J182" s="7">
        <v>0</v>
      </c>
      <c r="K182" s="89" t="str">
        <f t="shared" si="57"/>
        <v>4005/4006</v>
      </c>
      <c r="L182" s="21" t="str">
        <f>VLOOKUP(A182,'Trips&amp;Operators'!$C$1:$G$99999,5,FALSE)</f>
        <v>BIRKHOLZ NADINE</v>
      </c>
      <c r="M182" s="6">
        <f t="shared" si="58"/>
        <v>9.4212963012978435E-3</v>
      </c>
      <c r="N182" s="7">
        <f t="shared" si="74"/>
        <v>13.566666673868895</v>
      </c>
      <c r="O182" s="7"/>
      <c r="P182" s="7"/>
      <c r="Q182" s="22"/>
      <c r="R182" s="170"/>
      <c r="S182" s="213">
        <f t="shared" si="83"/>
        <v>1</v>
      </c>
      <c r="T182" s="195" t="str">
        <f t="shared" si="59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0"/>
        <v>https://d0f6bd738d7f1b3e5a7ca70fe4ff75f0.us-east-1.aws.found.io/app/kibana#/discover/Steve-Slow-Train-Analysis-(2080s-and-2083s)?_g=(refreshInterval:(display:Off,pause:!f,section:0,value:0),time:(from:'2017-07-21T12:13:46-0600',mode:absolute,to:'2017-07-21T14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97" t="str">
        <f>IF(AA182&lt;VLOOKUP(AG182,Variables!$AC$3:$AD$8,2,FALSE),"Y","N")</f>
        <v>N</v>
      </c>
      <c r="X182" s="197">
        <f t="shared" si="82"/>
        <v>1</v>
      </c>
      <c r="Y182" s="197">
        <f t="shared" si="80"/>
        <v>9.7600000000000006E-2</v>
      </c>
      <c r="Z182" s="197">
        <f t="shared" si="81"/>
        <v>5.8924000000000003</v>
      </c>
      <c r="AA182" s="197">
        <f t="shared" si="61"/>
        <v>5.7948000000000004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2"/>
        <v>821</v>
      </c>
      <c r="AE182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82" s="74" t="str">
        <f t="shared" si="64"/>
        <v>"C:\Program Files (x86)\AstroGrep\AstroGrep.exe" /e /r /s /spath="%USERPROFILE%\AppData\Local\Temp\OnboardLogs" /stypes="app*4006*20170721*" /stext=" 19:.+((SYSTEM_STATE.+slice.+state.+changed )|(ment ac)|(multiple cpu faults)|(system.+state.+changed )|(\[timeout)|(PRM\|1\|D)|(kpr)|(kdp)|(train st.+moving)|(\|lc)|(penalty))"</v>
      </c>
      <c r="AG182" s="209" t="str">
        <f t="shared" si="65"/>
        <v>NW</v>
      </c>
      <c r="AH182" s="78" t="str">
        <f t="shared" si="66"/>
        <v>"%USERPROFILE%\Documents\GitHub\eaglep3\Utilities\RefineRTDCRunTimes.py" --tripid 821-21 --locoid 4006 --swversion DE.1.0.9.0 --startMP 204:976 --initTime 2017-07-21T13:13:46 --startdatetime 2017-07-21T13:21:55 --delay 2 --endMP 300:58924 --enddatetime 2017-07-21T13:35:29 --enforcementcount 0 &gt;&gt;C:\Users\stu\Documents\GitHub\eaglep3-reporting\EC\2017-07-21-refined-times.txt</v>
      </c>
      <c r="AI182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{"issue":{"subject":"","project_id":79,"tracker_id":40,"status_id":1,"priority_id":2,"assigned_to_id":23,"start_date":"2017-07-21","description":"","custom_fields":[{"id":1,"name":"Subdivision","value":"NW"},{"id":4,"name":"Milepost","value":"5.8924"},{"id":17,"name":"Train ID","value":"821-21"},{"id":16,"name":"Locomotive ID","value":"4006"},{"id":130,"name":"Impact","value":""},{"id":150,"name":"Time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8"/>
        <v>start /low /b %USERPROFILE%\Documents\GitHub\eaglep3\Utilities\DownloadLogsFromS3.py --loco 4006 --day 2017-07-21</v>
      </c>
      <c r="AN182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769</v>
      </c>
      <c r="B183" s="7">
        <v>4005</v>
      </c>
      <c r="C183" s="21" t="s">
        <v>198</v>
      </c>
      <c r="D183" s="21" t="s">
        <v>516</v>
      </c>
      <c r="E183" s="13">
        <v>42937.56790509259</v>
      </c>
      <c r="F183" s="13">
        <v>42937.570208333331</v>
      </c>
      <c r="G183" s="7">
        <v>1</v>
      </c>
      <c r="H183" s="21" t="s">
        <v>997</v>
      </c>
      <c r="I183" s="13">
        <v>42937.579768518517</v>
      </c>
      <c r="J183" s="7">
        <v>0</v>
      </c>
      <c r="K183" s="89" t="str">
        <f t="shared" si="57"/>
        <v>4005/4006</v>
      </c>
      <c r="L183" s="21" t="str">
        <f>VLOOKUP(A183,'Trips&amp;Operators'!$C$1:$G$99999,5,FALSE)</f>
        <v>BIRKHOLZ NADINE</v>
      </c>
      <c r="M183" s="6">
        <f t="shared" si="58"/>
        <v>9.560185186273884E-3</v>
      </c>
      <c r="N183" s="7">
        <f t="shared" si="74"/>
        <v>13.766666668234393</v>
      </c>
      <c r="O183" s="7"/>
      <c r="P183" s="7"/>
      <c r="Q183" s="22"/>
      <c r="R183" s="170"/>
      <c r="S183" s="213">
        <f t="shared" si="83"/>
        <v>1</v>
      </c>
      <c r="T183" s="195" t="str">
        <f t="shared" si="59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0"/>
        <v>https://d0f6bd738d7f1b3e5a7ca70fe4ff75f0.us-east-1.aws.found.io/app/kibana#/discover/Steve-Slow-Train-Analysis-(2080s-and-2083s)?_g=(refreshInterval:(display:Off,pause:!f,section:0,value:0),time:(from:'2017-07-21T12:37:47-0600',mode:absolute,to:'2017-07-21T14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197" t="str">
        <f>IF(AA183&lt;VLOOKUP(AG183,Variables!$AC$3:$AD$8,2,FALSE),"Y","N")</f>
        <v>N</v>
      </c>
      <c r="X183" s="197">
        <f t="shared" si="82"/>
        <v>1</v>
      </c>
      <c r="Y183" s="197">
        <f t="shared" si="80"/>
        <v>5.8613</v>
      </c>
      <c r="Z183" s="197">
        <f t="shared" si="81"/>
        <v>6.8900000000000003E-2</v>
      </c>
      <c r="AA183" s="197">
        <f t="shared" si="61"/>
        <v>5.7923999999999998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2"/>
        <v>822</v>
      </c>
      <c r="AE183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83" s="74" t="str">
        <f t="shared" si="64"/>
        <v>"C:\Program Files (x86)\AstroGrep\AstroGrep.exe" /e /r /s /spath="%USERPROFILE%\AppData\Local\Temp\OnboardLogs" /stypes="app*4005*20170721*" /stext=" 19:.+((SYSTEM_STATE.+slice.+state.+changed )|(ment ac)|(multiple cpu faults)|(system.+state.+changed )|(\[timeout)|(PRM\|1\|D)|(kpr)|(kdp)|(train st.+moving)|(\|lc)|(penalty))"</v>
      </c>
      <c r="AG183" s="209" t="str">
        <f t="shared" si="65"/>
        <v>NW</v>
      </c>
      <c r="AH183" s="78" t="str">
        <f t="shared" si="66"/>
        <v>"%USERPROFILE%\Documents\GitHub\eaglep3\Utilities\RefineRTDCRunTimes.py" --tripid 822-21 --locoid 4005 --swversion DE.1.0.9.0 --startMP 300:58613 --initTime 2017-07-21T13:37:47 --startdatetime 2017-07-21T13:41:06 --delay 1 --endMP 204:689 --enddatetime 2017-07-21T13:54:52 --enforcementcount 0 &gt;&gt;C:\Users\stu\Documents\GitHub\eaglep3-reporting\EC\2017-07-21-refined-times.txt</v>
      </c>
      <c r="AI183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{"issue":{"subject":"","project_id":79,"tracker_id":40,"status_id":1,"priority_id":2,"assigned_to_id":23,"start_date":"2017-07-21","description":"","custom_fields":[{"id":1,"name":"Subdivision","value":"NW"},{"id":4,"name":"Milepost","value":"0.0689"},{"id":17,"name":"Train ID","value":"822-21"},{"id":16,"name":"Locomotive ID","value":"4005"},{"id":130,"name":"Impact","value":""},{"id":150,"name":"Time of Event (Mountain Time)","value":"13:54:52"},{"id":151,"name":"Denver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8"/>
        <v>start /low /b %USERPROFILE%\Documents\GitHub\eaglep3\Utilities\DownloadLogsFromS3.py --loco 4005 --day 2017-07-21</v>
      </c>
      <c r="AN183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19:54:52"},{"id":29,"name":"Sharepoint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773</v>
      </c>
      <c r="B184" s="7">
        <v>4006</v>
      </c>
      <c r="C184" s="21" t="s">
        <v>198</v>
      </c>
      <c r="D184" s="21" t="s">
        <v>998</v>
      </c>
      <c r="E184" s="13">
        <v>42937.588935185187</v>
      </c>
      <c r="F184" s="13">
        <v>42937.59815972222</v>
      </c>
      <c r="G184" s="7">
        <v>1</v>
      </c>
      <c r="H184" s="21" t="s">
        <v>999</v>
      </c>
      <c r="I184" s="13">
        <v>42937.607465277775</v>
      </c>
      <c r="J184" s="7">
        <v>0</v>
      </c>
      <c r="K184" s="89" t="str">
        <f t="shared" si="57"/>
        <v>4005/4006</v>
      </c>
      <c r="L184" s="21" t="str">
        <f>VLOOKUP(A184,'Trips&amp;Operators'!$C$1:$G$99999,5,FALSE)</f>
        <v>DELGADO DIANAH</v>
      </c>
      <c r="M184" s="6">
        <f t="shared" si="58"/>
        <v>9.3055555553291924E-3</v>
      </c>
      <c r="N184" s="7">
        <f t="shared" si="74"/>
        <v>13.399999999674037</v>
      </c>
      <c r="O184" s="7"/>
      <c r="P184" s="7"/>
      <c r="Q184" s="22"/>
      <c r="R184" s="170"/>
      <c r="S184" s="213">
        <f t="shared" si="83"/>
        <v>1</v>
      </c>
      <c r="T184" s="195" t="str">
        <f t="shared" si="59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0"/>
        <v>https://d0f6bd738d7f1b3e5a7ca70fe4ff75f0.us-east-1.aws.found.io/app/kibana#/discover/Steve-Slow-Train-Analysis-(2080s-and-2083s)?_g=(refreshInterval:(display:Off,pause:!f,section:0,value:0),time:(from:'2017-07-21T13:08:04-0600',mode:absolute,to:'2017-07-21T15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197" t="str">
        <f>IF(AA184&lt;VLOOKUP(AG184,Variables!$AC$3:$AD$8,2,FALSE),"Y","N")</f>
        <v>N</v>
      </c>
      <c r="X184" s="197">
        <f t="shared" si="82"/>
        <v>1</v>
      </c>
      <c r="Y184" s="197">
        <f t="shared" si="80"/>
        <v>9.5799999999999996E-2</v>
      </c>
      <c r="Z184" s="197">
        <f t="shared" si="81"/>
        <v>5.8987999999999996</v>
      </c>
      <c r="AA184" s="197">
        <f t="shared" si="61"/>
        <v>5.8029999999999999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2"/>
        <v>823</v>
      </c>
      <c r="AE184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84" s="74" t="str">
        <f t="shared" si="64"/>
        <v>"C:\Program Files (x86)\AstroGrep\AstroGrep.exe" /e /r /s /spath="%USERPROFILE%\AppData\Local\Temp\OnboardLogs" /stypes="app*4006*20170721*" /stext=" 20:.+((SYSTEM_STATE.+slice.+state.+changed )|(ment ac)|(multiple cpu faults)|(system.+state.+changed )|(\[timeout)|(PRM\|1\|D)|(kpr)|(kdp)|(train st.+moving)|(\|lc)|(penalty))"</v>
      </c>
      <c r="AG184" s="209" t="str">
        <f t="shared" si="65"/>
        <v>NW</v>
      </c>
      <c r="AH184" s="78" t="str">
        <f t="shared" si="66"/>
        <v>"%USERPROFILE%\Documents\GitHub\eaglep3\Utilities\RefineRTDCRunTimes.py" --tripid 823-21 --locoid 4006 --swversion DE.1.0.9.0 --startMP 204:958 --initTime 2017-07-21T14:08:04 --startdatetime 2017-07-21T14:21:21 --delay 1 --endMP 300:58988 --enddatetime 2017-07-21T14:34:45 --enforcementcount 0 &gt;&gt;C:\Users\stu\Documents\GitHub\eaglep3-reporting\EC\2017-07-21-refined-times.txt</v>
      </c>
      <c r="AI184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{"issue":{"subject":"","project_id":79,"tracker_id":40,"status_id":1,"priority_id":2,"assigned_to_id":23,"start_date":"2017-07-21","description":"","custom_fields":[{"id":1,"name":"Subdivision","value":"NW"},{"id":4,"name":"Milepost","value":"5.8988"},{"id":17,"name":"Train ID","value":"823-21"},{"id":16,"name":"Locomotive ID","value":"4006"},{"id":130,"name":"Impact","value":""},{"id":150,"name":"Time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8"/>
        <v>start /low /b %USERPROFILE%\Documents\GitHub\eaglep3\Utilities\DownloadLogsFromS3.py --loco 4006 --day 2017-07-21</v>
      </c>
      <c r="AN184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776</v>
      </c>
      <c r="B185" s="7">
        <v>4005</v>
      </c>
      <c r="C185" s="21" t="s">
        <v>198</v>
      </c>
      <c r="D185" s="21" t="s">
        <v>1000</v>
      </c>
      <c r="E185" s="13">
        <v>42937.608657407407</v>
      </c>
      <c r="F185" s="13">
        <v>42937.61010416667</v>
      </c>
      <c r="G185" s="7">
        <v>1</v>
      </c>
      <c r="H185" s="21" t="s">
        <v>991</v>
      </c>
      <c r="I185" s="13">
        <v>42937.621296296296</v>
      </c>
      <c r="J185" s="7">
        <v>0</v>
      </c>
      <c r="K185" s="89" t="str">
        <f t="shared" si="57"/>
        <v>4005/4006</v>
      </c>
      <c r="L185" s="21" t="str">
        <f>VLOOKUP(A185,'Trips&amp;Operators'!$C$1:$G$99999,5,FALSE)</f>
        <v>BIRKHOLZ NADINE</v>
      </c>
      <c r="M185" s="6">
        <f t="shared" si="58"/>
        <v>1.1192129626579117E-2</v>
      </c>
      <c r="N185" s="7">
        <f t="shared" ref="N185:N216" si="84">24*60*SUM($M185:$M185)</f>
        <v>16.116666662273929</v>
      </c>
      <c r="O185" s="7"/>
      <c r="P185" s="7"/>
      <c r="Q185" s="22"/>
      <c r="R185" s="170"/>
      <c r="S185" s="213">
        <f t="shared" si="83"/>
        <v>1</v>
      </c>
      <c r="T185" s="195" t="str">
        <f t="shared" si="59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0"/>
        <v>https://d0f6bd738d7f1b3e5a7ca70fe4ff75f0.us-east-1.aws.found.io/app/kibana#/discover/Steve-Slow-Train-Analysis-(2080s-and-2083s)?_g=(refreshInterval:(display:Off,pause:!f,section:0,value:0),time:(from:'2017-07-21T13:36:28-0600',mode:absolute,to:'2017-07-21T15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197" t="str">
        <f>IF(AA185&lt;VLOOKUP(AG185,Variables!$AC$3:$AD$8,2,FALSE),"Y","N")</f>
        <v>N</v>
      </c>
      <c r="X185" s="197">
        <f t="shared" si="82"/>
        <v>1</v>
      </c>
      <c r="Y185" s="197">
        <f t="shared" si="80"/>
        <v>5.867</v>
      </c>
      <c r="Z185" s="197">
        <f t="shared" si="81"/>
        <v>6.8000000000000005E-2</v>
      </c>
      <c r="AA185" s="197">
        <f t="shared" si="61"/>
        <v>5.7990000000000004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2"/>
        <v>824</v>
      </c>
      <c r="AE185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85" s="74" t="str">
        <f t="shared" si="64"/>
        <v>"C:\Program Files (x86)\AstroGrep\AstroGrep.exe" /e /r /s /spath="%USERPROFILE%\AppData\Local\Temp\OnboardLogs" /stypes="app*4005*20170721*" /stext=" 20:.+((SYSTEM_STATE.+slice.+state.+changed )|(ment ac)|(multiple cpu faults)|(system.+state.+changed )|(\[timeout)|(PRM\|1\|D)|(kpr)|(kdp)|(train st.+moving)|(\|lc)|(penalty))"</v>
      </c>
      <c r="AG185" s="209" t="str">
        <f t="shared" si="65"/>
        <v>NW</v>
      </c>
      <c r="AH185" s="78" t="str">
        <f t="shared" si="66"/>
        <v>"%USERPROFILE%\Documents\GitHub\eaglep3\Utilities\RefineRTDCRunTimes.py" --tripid 824-21 --locoid 4005 --swversion DE.1.0.9.0 --startMP 300:58670 --initTime 2017-07-21T14:36:28 --startdatetime 2017-07-21T14:38:33 --delay 1 --endMP 204:680 --enddatetime 2017-07-21T14:54:40 --enforcementcount 0 &gt;&gt;C:\Users\stu\Documents\GitHub\eaglep3-reporting\EC\2017-07-21-refined-times.txt</v>
      </c>
      <c r="AI185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{"issue":{"subject":"","project_id":79,"tracker_id":40,"status_id":1,"priority_id":2,"assigned_to_id":23,"start_date":"2017-07-21","description":"","custom_fields":[{"id":1,"name":"Subdivision","value":"NW"},{"id":4,"name":"Milepost","value":"0.068"},{"id":17,"name":"Train ID","value":"824-21"},{"id":16,"name":"Locomotive ID","value":"4005"},{"id":130,"name":"Impact","value":""},{"id":150,"name":"Time of Event (Mountain Time)","value":"14:54:40"},{"id":151,"name":"Denver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8"/>
        <v>start /low /b %USERPROFILE%\Documents\GitHub\eaglep3\Utilities\DownloadLogsFromS3.py --loco 4005 --day 2017-07-21</v>
      </c>
      <c r="AN185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779</v>
      </c>
      <c r="B186" s="7">
        <v>4006</v>
      </c>
      <c r="C186" s="21" t="s">
        <v>198</v>
      </c>
      <c r="D186" s="21" t="s">
        <v>1001</v>
      </c>
      <c r="E186" s="13">
        <v>42937.623784722222</v>
      </c>
      <c r="F186" s="13">
        <v>42937.639756944445</v>
      </c>
      <c r="G186" s="7">
        <v>8</v>
      </c>
      <c r="H186" s="21" t="s">
        <v>596</v>
      </c>
      <c r="I186" s="13">
        <v>42937.650335648148</v>
      </c>
      <c r="J186" s="7">
        <v>0</v>
      </c>
      <c r="K186" s="89" t="str">
        <f t="shared" si="57"/>
        <v>4005/4006</v>
      </c>
      <c r="L186" s="21" t="str">
        <f>VLOOKUP(A186,'Trips&amp;Operators'!$C$1:$G$99999,5,FALSE)</f>
        <v>BIRKHOLZ NADINE</v>
      </c>
      <c r="M186" s="6">
        <f t="shared" si="58"/>
        <v>1.0578703702776693E-2</v>
      </c>
      <c r="N186" s="7">
        <f t="shared" si="84"/>
        <v>15.233333331998438</v>
      </c>
      <c r="O186" s="7"/>
      <c r="P186" s="7"/>
      <c r="Q186" s="22"/>
      <c r="R186" s="170"/>
      <c r="S186" s="213">
        <f t="shared" si="83"/>
        <v>1</v>
      </c>
      <c r="T186" s="195" t="str">
        <f t="shared" si="59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0"/>
        <v>https://d0f6bd738d7f1b3e5a7ca70fe4ff75f0.us-east-1.aws.found.io/app/kibana#/discover/Steve-Slow-Train-Analysis-(2080s-and-2083s)?_g=(refreshInterval:(display:Off,pause:!f,section:0,value:0),time:(from:'2017-07-21T13:58:15-0600',mode:absolute,to:'2017-07-21T16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197" t="str">
        <f>IF(AA186&lt;VLOOKUP(AG186,Variables!$AC$3:$AD$8,2,FALSE),"Y","N")</f>
        <v>N</v>
      </c>
      <c r="X186" s="197">
        <f t="shared" si="82"/>
        <v>1</v>
      </c>
      <c r="Y186" s="197">
        <f t="shared" si="80"/>
        <v>9.6000000000000002E-2</v>
      </c>
      <c r="Z186" s="197">
        <f t="shared" si="81"/>
        <v>5.8940999999999999</v>
      </c>
      <c r="AA186" s="197">
        <f t="shared" si="61"/>
        <v>5.7980999999999998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2"/>
        <v>825</v>
      </c>
      <c r="AE186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86" s="74" t="str">
        <f t="shared" si="64"/>
        <v>"C:\Program Files (x86)\AstroGrep\AstroGrep.exe" /e /r /s /spath="%USERPROFILE%\AppData\Local\Temp\OnboardLogs" /stypes="app*4006*20170721*" /stext=" 21:.+((SYSTEM_STATE.+slice.+state.+changed )|(ment ac)|(multiple cpu faults)|(system.+state.+changed )|(\[timeout)|(PRM\|1\|D)|(kpr)|(kdp)|(train st.+moving)|(\|lc)|(penalty))"</v>
      </c>
      <c r="AG186" s="209" t="str">
        <f t="shared" si="65"/>
        <v>NW</v>
      </c>
      <c r="AH186" s="78" t="str">
        <f t="shared" si="66"/>
        <v>"%USERPROFILE%\Documents\GitHub\eaglep3\Utilities\RefineRTDCRunTimes.py" --tripid 825-21 --locoid 4006 --swversion DE.1.0.9.0 --startMP 204:960 --initTime 2017-07-21T14:58:15 --startdatetime 2017-07-21T15:21:15 --delay 8 --endMP 300:58941 --enddatetime 2017-07-21T15:36:29 --enforcementcount 0 &gt;&gt;C:\Users\stu\Documents\GitHub\eaglep3-reporting\EC\2017-07-21-refined-times.txt</v>
      </c>
      <c r="AI186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{"issue":{"subject":"","project_id":79,"tracker_id":40,"status_id":1,"priority_id":2,"assigned_to_id":23,"start_date":"2017-07-21","description":"","custom_fields":[{"id":1,"name":"Subdivision","value":"NW"},{"id":4,"name":"Milepost","value":"5.8941"},{"id":17,"name":"Train ID","value":"825-21"},{"id":16,"name":"Locomotive ID","value":"4006"},{"id":130,"name":"Impact","value":""},{"id":150,"name":"Time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8"/>
        <v>start /low /b %USERPROFILE%\Documents\GitHub\eaglep3\Utilities\DownloadLogsFromS3.py --loco 4006 --day 2017-07-21</v>
      </c>
      <c r="AN186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641</v>
      </c>
      <c r="B187" s="7">
        <v>4005</v>
      </c>
      <c r="C187" s="21" t="s">
        <v>198</v>
      </c>
      <c r="D187" s="21" t="s">
        <v>603</v>
      </c>
      <c r="E187" s="13">
        <v>42937.651365740741</v>
      </c>
      <c r="F187" s="13">
        <v>42937.653032407405</v>
      </c>
      <c r="G187" s="7">
        <v>1</v>
      </c>
      <c r="H187" s="21" t="s">
        <v>600</v>
      </c>
      <c r="I187" s="13">
        <v>42937.663541666669</v>
      </c>
      <c r="J187" s="7">
        <v>0</v>
      </c>
      <c r="K187" s="89" t="str">
        <f t="shared" si="57"/>
        <v>4005/4006</v>
      </c>
      <c r="L187" s="21" t="str">
        <f>VLOOKUP(A187,'Trips&amp;Operators'!$C$1:$G$99999,5,FALSE)</f>
        <v>BIRKHOLZ NADINE</v>
      </c>
      <c r="M187" s="6">
        <f t="shared" si="58"/>
        <v>1.0509259263926651E-2</v>
      </c>
      <c r="N187" s="7">
        <f t="shared" si="84"/>
        <v>15.133333340054378</v>
      </c>
      <c r="O187" s="7"/>
      <c r="P187" s="7"/>
      <c r="Q187" s="22"/>
      <c r="R187" s="170"/>
      <c r="S187" s="213">
        <f t="shared" si="83"/>
        <v>1</v>
      </c>
      <c r="T187" s="195" t="str">
        <f t="shared" si="59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0"/>
        <v>https://d0f6bd738d7f1b3e5a7ca70fe4ff75f0.us-east-1.aws.found.io/app/kibana#/discover/Steve-Slow-Train-Analysis-(2080s-and-2083s)?_g=(refreshInterval:(display:Off,pause:!f,section:0,value:0),time:(from:'2017-07-21T14:37:58-0600',mode:absolute,to:'2017-07-21T16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197" t="str">
        <f>IF(AA187&lt;VLOOKUP(AG187,Variables!$AC$3:$AD$8,2,FALSE),"Y","N")</f>
        <v>N</v>
      </c>
      <c r="X187" s="197">
        <f t="shared" si="82"/>
        <v>1</v>
      </c>
      <c r="Y187" s="197">
        <f t="shared" si="80"/>
        <v>5.8628</v>
      </c>
      <c r="Z187" s="197">
        <f t="shared" si="81"/>
        <v>6.8400000000000002E-2</v>
      </c>
      <c r="AA187" s="197">
        <f t="shared" si="61"/>
        <v>5.7944000000000004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2"/>
        <v>826</v>
      </c>
      <c r="AE187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87" s="74" t="str">
        <f t="shared" si="64"/>
        <v>"C:\Program Files (x86)\AstroGrep\AstroGrep.exe" /e /r /s /spath="%USERPROFILE%\AppData\Local\Temp\OnboardLogs" /stypes="app*4005*20170721*" /stext=" 21:.+((SYSTEM_STATE.+slice.+state.+changed )|(ment ac)|(multiple cpu faults)|(system.+state.+changed )|(\[timeout)|(PRM\|1\|D)|(kpr)|(kdp)|(train st.+moving)|(\|lc)|(penalty))"</v>
      </c>
      <c r="AG187" s="209" t="str">
        <f t="shared" si="65"/>
        <v>NW</v>
      </c>
      <c r="AH187" s="78" t="str">
        <f t="shared" si="66"/>
        <v>"%USERPROFILE%\Documents\GitHub\eaglep3\Utilities\RefineRTDCRunTimes.py" --tripid 826-21 --locoid 4005 --swversion DE.1.0.9.0 --startMP 300:58628 --initTime 2017-07-21T15:37:58 --startdatetime 2017-07-21T15:40:22 --delay 1 --endMP 204:684 --enddatetime 2017-07-21T15:55:30 --enforcementcount 0 &gt;&gt;C:\Users\stu\Documents\GitHub\eaglep3-reporting\EC\2017-07-21-refined-times.txt</v>
      </c>
      <c r="AI187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{"issue":{"subject":"","project_id":79,"tracker_id":40,"status_id":1,"priority_id":2,"assigned_to_id":23,"start_date":"2017-07-21","description":"","custom_fields":[{"id":1,"name":"Subdivision","value":"NW"},{"id":4,"name":"Milepost","value":"0.0684"},{"id":17,"name":"Train ID","value":"826-21"},{"id":16,"name":"Locomotive ID","value":"4005"},{"id":130,"name":"Impact","value":""},{"id":150,"name":"Time of Event (Mountain Time)","value":"15:55:30"},{"id":151,"name":"Denver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8"/>
        <v>start /low /b %USERPROFILE%\Documents\GitHub\eaglep3\Utilities\DownloadLogsFromS3.py --loco 4005 --day 2017-07-21</v>
      </c>
      <c r="AN187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788</v>
      </c>
      <c r="B188" s="7">
        <v>4052</v>
      </c>
      <c r="C188" s="21" t="s">
        <v>198</v>
      </c>
      <c r="D188" s="21" t="s">
        <v>470</v>
      </c>
      <c r="E188" s="13">
        <v>42937.649548611109</v>
      </c>
      <c r="F188" s="13">
        <v>42937.660578703704</v>
      </c>
      <c r="G188" s="7">
        <v>1</v>
      </c>
      <c r="H188" s="21" t="s">
        <v>983</v>
      </c>
      <c r="I188" s="13">
        <v>42937.67050925926</v>
      </c>
      <c r="J188" s="7">
        <v>0</v>
      </c>
      <c r="K188" s="89" t="str">
        <f t="shared" si="57"/>
        <v>4051/4052</v>
      </c>
      <c r="L188" s="21" t="str">
        <f>VLOOKUP(A188,'Trips&amp;Operators'!$C$1:$G$99999,5,FALSE)</f>
        <v>MCREYNOLDS KYLE</v>
      </c>
      <c r="M188" s="6">
        <f t="shared" si="58"/>
        <v>9.930555555911269E-3</v>
      </c>
      <c r="N188" s="7">
        <f t="shared" si="84"/>
        <v>14.300000000512227</v>
      </c>
      <c r="O188" s="7"/>
      <c r="P188" s="7"/>
      <c r="Q188" s="22"/>
      <c r="R188" s="170"/>
      <c r="S188" s="213">
        <f t="shared" si="83"/>
        <v>1</v>
      </c>
      <c r="T188" s="195" t="str">
        <f t="shared" si="59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0"/>
        <v>https://d0f6bd738d7f1b3e5a7ca70fe4ff75f0.us-east-1.aws.found.io/app/kibana#/discover/Steve-Slow-Train-Analysis-(2080s-and-2083s)?_g=(refreshInterval:(display:Off,pause:!f,section:0,value:0),time:(from:'2017-07-21T14:35:21-0600',mode:absolute,to:'2017-07-21T17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8" s="197" t="str">
        <f>IF(AA188&lt;VLOOKUP(AG188,Variables!$AC$3:$AD$8,2,FALSE),"Y","N")</f>
        <v>N</v>
      </c>
      <c r="X188" s="197">
        <f t="shared" si="82"/>
        <v>1</v>
      </c>
      <c r="Y188" s="197">
        <f t="shared" si="80"/>
        <v>9.7100000000000006E-2</v>
      </c>
      <c r="Z188" s="197">
        <f t="shared" si="81"/>
        <v>5.8964999999999996</v>
      </c>
      <c r="AA188" s="197">
        <f t="shared" si="61"/>
        <v>5.7993999999999994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2"/>
        <v>827</v>
      </c>
      <c r="AE188" s="77" t="str">
        <f t="shared" si="63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188" s="74" t="str">
        <f t="shared" si="64"/>
        <v>"C:\Program Files (x86)\AstroGrep\AstroGrep.exe" /e /r /s /spath="%USERPROFILE%\AppData\Local\Temp\OnboardLogs" /stypes="app*4052*20170721*" /stext=" 22:.+((SYSTEM_STATE.+slice.+state.+changed )|(ment ac)|(multiple cpu faults)|(system.+state.+changed )|(\[timeout)|(PRM\|1\|D)|(kpr)|(kdp)|(train st.+moving)|(\|lc)|(penalty))"</v>
      </c>
      <c r="AG188" s="209" t="str">
        <f t="shared" si="65"/>
        <v>NW</v>
      </c>
      <c r="AH188" s="78" t="str">
        <f t="shared" si="66"/>
        <v>"%USERPROFILE%\Documents\GitHub\eaglep3\Utilities\RefineRTDCRunTimes.py" --tripid 827-21 --locoid 4052 --swversion DE.1.0.9.0 --startMP 204:971 --initTime 2017-07-21T15:35:21 --startdatetime 2017-07-21T15:51:14 --delay 1 --endMP 300:58965 --enddatetime 2017-07-21T16:05:32 --enforcementcount 0 &gt;&gt;C:\Users\stu\Documents\GitHub\eaglep3-reporting\EC\2017-07-21-refined-times.txt</v>
      </c>
      <c r="AI188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{"issue":{"subject":"","project_id":79,"tracker_id":40,"status_id":1,"priority_id":2,"assigned_to_id":23,"start_date":"2017-07-21","description":"","custom_fields":[{"id":1,"name":"Subdivision","value":"NW"},{"id":4,"name":"Milepost","value":"5.8965"},{"id":17,"name":"Train ID","value":"827-21"},{"id":16,"name":"Locomotive ID","value":"4052"},{"id":130,"name":"Impact","value":""},{"id":150,"name":"Time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8"/>
        <v>start /low /b %USERPROFILE%\Documents\GitHub\eaglep3\Utilities\DownloadLogsFromS3.py --loco 4052 --day 2017-07-21</v>
      </c>
      <c r="AN188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792</v>
      </c>
      <c r="B189" s="7">
        <v>4051</v>
      </c>
      <c r="C189" s="21" t="s">
        <v>198</v>
      </c>
      <c r="D189" s="21" t="s">
        <v>1002</v>
      </c>
      <c r="E189" s="13">
        <v>42937.671724537038</v>
      </c>
      <c r="F189" s="13">
        <v>42937.673032407409</v>
      </c>
      <c r="G189" s="7">
        <v>1</v>
      </c>
      <c r="H189" s="21" t="s">
        <v>1003</v>
      </c>
      <c r="I189" s="13">
        <v>42937.685532407406</v>
      </c>
      <c r="J189" s="7">
        <v>0</v>
      </c>
      <c r="K189" s="89" t="str">
        <f t="shared" si="57"/>
        <v>4051/4052</v>
      </c>
      <c r="L189" s="21" t="str">
        <f>VLOOKUP(A189,'Trips&amp;Operators'!$C$1:$G$99999,5,FALSE)</f>
        <v>MCREYNOLDS KYLE</v>
      </c>
      <c r="M189" s="6">
        <f t="shared" si="58"/>
        <v>1.2499999997089617E-2</v>
      </c>
      <c r="N189" s="7">
        <f t="shared" si="84"/>
        <v>17.999999995809048</v>
      </c>
      <c r="O189" s="7"/>
      <c r="P189" s="7"/>
      <c r="Q189" s="22"/>
      <c r="R189" s="170"/>
      <c r="S189" s="213">
        <f t="shared" si="83"/>
        <v>1</v>
      </c>
      <c r="T189" s="195" t="str">
        <f t="shared" si="59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0"/>
        <v>https://d0f6bd738d7f1b3e5a7ca70fe4ff75f0.us-east-1.aws.found.io/app/kibana#/discover/Steve-Slow-Train-Analysis-(2080s-and-2083s)?_g=(refreshInterval:(display:Off,pause:!f,section:0,value:0),time:(from:'2017-07-21T15:07:17-0600',mode:absolute,to:'2017-07-21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9" s="197" t="str">
        <f>IF(AA189&lt;VLOOKUP(AG189,Variables!$AC$3:$AD$8,2,FALSE),"Y","N")</f>
        <v>N</v>
      </c>
      <c r="X189" s="197">
        <f t="shared" si="82"/>
        <v>1</v>
      </c>
      <c r="Y189" s="197">
        <f t="shared" si="80"/>
        <v>5.8648999999999996</v>
      </c>
      <c r="Z189" s="197">
        <f t="shared" si="81"/>
        <v>6.7000000000000004E-2</v>
      </c>
      <c r="AA189" s="197">
        <f t="shared" si="61"/>
        <v>5.7978999999999994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2"/>
        <v>828</v>
      </c>
      <c r="AE189" s="77" t="str">
        <f t="shared" si="63"/>
        <v>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 &amp; aws s3 cp s3://rtdc.mdm.uploadarchive.raw/RTDC4051/ "%USERPROFILE%\AppData\Local\Temp\OnboardLogs"\RTDC4051\2017-07-22 --exclude "*" --recursive --include "*20170722*" &amp; "%USERPROFILE%\Documents\GitHub\mrs-test-scripts\Headless Mode &amp; Sideloading\WalkAndUnGZ.bat" "%USERPROFILE%\AppData\Local\Temp\OnboardLogs"\RTDC4051\2017-07-22</v>
      </c>
      <c r="AF189" s="74" t="str">
        <f t="shared" si="64"/>
        <v>"C:\Program Files (x86)\AstroGrep\AstroGrep.exe" /e /r /s /spath="%USERPROFILE%\AppData\Local\Temp\OnboardLogs" /stypes="app*4051*20170721*" /stext=" 22:.+((SYSTEM_STATE.+slice.+state.+changed )|(ment ac)|(multiple cpu faults)|(system.+state.+changed )|(\[timeout)|(PRM\|1\|D)|(kpr)|(kdp)|(train st.+moving)|(\|lc)|(penalty))"</v>
      </c>
      <c r="AG189" s="209" t="str">
        <f t="shared" si="65"/>
        <v>NW</v>
      </c>
      <c r="AH189" s="78" t="str">
        <f t="shared" si="66"/>
        <v>"%USERPROFILE%\Documents\GitHub\eaglep3\Utilities\RefineRTDCRunTimes.py" --tripid 828-21 --locoid 4051 --swversion DE.1.0.9.0 --startMP 300:58649 --initTime 2017-07-21T16:07:17 --startdatetime 2017-07-21T16:09:10 --delay 1 --endMP 204:670 --enddatetime 2017-07-21T16:27:10 --enforcementcount 0 &gt;&gt;C:\Users\stu\Documents\GitHub\eaglep3-reporting\EC\2017-07-21-refined-times.txt</v>
      </c>
      <c r="AI189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{"issue":{"subject":"","project_id":79,"tracker_id":40,"status_id":1,"priority_id":2,"assigned_to_id":23,"start_date":"2017-07-21","description":"","custom_fields":[{"id":1,"name":"Subdivision","value":"NW"},{"id":4,"name":"Milepost","value":"0.067"},{"id":17,"name":"Train ID","value":"828-21"},{"id":16,"name":"Locomotive ID","value":"4051"},{"id":130,"name":"Impact","value":""},{"id":150,"name":"Time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8"/>
        <v>start /low /b %USERPROFILE%\Documents\GitHub\eaglep3\Utilities\DownloadLogsFromS3.py --loco 4051 --day 2017-07-21</v>
      </c>
      <c r="AN189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790</v>
      </c>
      <c r="B190" s="7">
        <v>4006</v>
      </c>
      <c r="C190" s="21" t="s">
        <v>198</v>
      </c>
      <c r="D190" s="21" t="s">
        <v>1004</v>
      </c>
      <c r="E190" s="13">
        <v>42937.665011574078</v>
      </c>
      <c r="F190" s="13">
        <v>42937.681469907409</v>
      </c>
      <c r="G190" s="7">
        <v>5</v>
      </c>
      <c r="H190" s="21" t="s">
        <v>608</v>
      </c>
      <c r="I190" s="13">
        <v>42937.690821759257</v>
      </c>
      <c r="J190" s="7">
        <v>0</v>
      </c>
      <c r="K190" s="89" t="str">
        <f t="shared" si="57"/>
        <v>4005/4006</v>
      </c>
      <c r="L190" s="21" t="str">
        <f>VLOOKUP(A190,'Trips&amp;Operators'!$C$1:$G$99999,5,FALSE)</f>
        <v>BIRKHOLZ NADINE</v>
      </c>
      <c r="M190" s="6">
        <f t="shared" si="58"/>
        <v>9.3518518478958867E-3</v>
      </c>
      <c r="N190" s="7">
        <f t="shared" si="84"/>
        <v>13.466666660970077</v>
      </c>
      <c r="O190" s="7"/>
      <c r="P190" s="7"/>
      <c r="Q190" s="22"/>
      <c r="R190" s="170"/>
      <c r="S190" s="213">
        <f t="shared" si="83"/>
        <v>1</v>
      </c>
      <c r="T190" s="195" t="str">
        <f t="shared" si="59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0"/>
        <v>https://d0f6bd738d7f1b3e5a7ca70fe4ff75f0.us-east-1.aws.found.io/app/kibana#/discover/Steve-Slow-Train-Analysis-(2080s-and-2083s)?_g=(refreshInterval:(display:Off,pause:!f,section:0,value:0),time:(from:'2017-07-21T14:57:37-0600',mode:absolute,to:'2017-07-21T17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197" t="str">
        <f>IF(AA190&lt;VLOOKUP(AG190,Variables!$AC$3:$AD$8,2,FALSE),"Y","N")</f>
        <v>N</v>
      </c>
      <c r="X190" s="197">
        <f t="shared" si="82"/>
        <v>1</v>
      </c>
      <c r="Y190" s="197">
        <f t="shared" si="80"/>
        <v>9.6699999999999994E-2</v>
      </c>
      <c r="Z190" s="197">
        <f t="shared" si="81"/>
        <v>5.8943000000000003</v>
      </c>
      <c r="AA190" s="197">
        <f t="shared" si="61"/>
        <v>5.7976000000000001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2"/>
        <v>829</v>
      </c>
      <c r="AE190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90" s="74" t="str">
        <f t="shared" si="64"/>
        <v>"C:\Program Files (x86)\AstroGrep\AstroGrep.exe" /e /r /s /spath="%USERPROFILE%\AppData\Local\Temp\OnboardLogs" /stypes="app*4006*20170721*" /stext=" 22:.+((SYSTEM_STATE.+slice.+state.+changed )|(ment ac)|(multiple cpu faults)|(system.+state.+changed )|(\[timeout)|(PRM\|1\|D)|(kpr)|(kdp)|(train st.+moving)|(\|lc)|(penalty))"</v>
      </c>
      <c r="AG190" s="209" t="str">
        <f t="shared" si="65"/>
        <v>NW</v>
      </c>
      <c r="AH190" s="78" t="str">
        <f t="shared" si="66"/>
        <v>"%USERPROFILE%\Documents\GitHub\eaglep3\Utilities\RefineRTDCRunTimes.py" --tripid 829-21 --locoid 4006 --swversion DE.1.0.9.0 --startMP 204:967 --initTime 2017-07-21T15:57:37 --startdatetime 2017-07-21T16:21:19 --delay 5 --endMP 300:58943 --enddatetime 2017-07-21T16:34:47 --enforcementcount 0 &gt;&gt;C:\Users\stu\Documents\GitHub\eaglep3-reporting\EC\2017-07-21-refined-times.txt</v>
      </c>
      <c r="AI190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{"issue":{"subject":"","project_id":79,"tracker_id":40,"status_id":1,"priority_id":2,"assigned_to_id":23,"start_date":"2017-07-21","description":"","custom_fields":[{"id":1,"name":"Subdivision","value":"NW"},{"id":4,"name":"Milepost","value":"5.8943"},{"id":17,"name":"Train ID","value":"829-21"},{"id":16,"name":"Locomotive ID","value":"4006"},{"id":130,"name":"Impact","value":""},{"id":150,"name":"Time of Event (Mountain Time)","value":"16:34:47"},{"id":151,"name":"Denver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8"/>
        <v>start /low /b %USERPROFILE%\Documents\GitHub\eaglep3\Utilities\DownloadLogsFromS3.py --loco 4006 --day 2017-07-21</v>
      </c>
      <c r="AN190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797</v>
      </c>
      <c r="B191" s="7">
        <v>4005</v>
      </c>
      <c r="C191" s="21" t="s">
        <v>198</v>
      </c>
      <c r="D191" s="21" t="s">
        <v>543</v>
      </c>
      <c r="E191" s="13">
        <v>42937.691990740743</v>
      </c>
      <c r="F191" s="13">
        <v>42937.693668981483</v>
      </c>
      <c r="G191" s="7">
        <v>1</v>
      </c>
      <c r="H191" s="21" t="s">
        <v>611</v>
      </c>
      <c r="I191" s="13">
        <v>42937.704525462963</v>
      </c>
      <c r="J191" s="7">
        <v>0</v>
      </c>
      <c r="K191" s="89" t="str">
        <f t="shared" si="57"/>
        <v>4005/4006</v>
      </c>
      <c r="L191" s="21" t="str">
        <f>VLOOKUP(A191,'Trips&amp;Operators'!$C$1:$G$99999,5,FALSE)</f>
        <v>BIRKHOLZ NADINE</v>
      </c>
      <c r="M191" s="6">
        <f t="shared" si="58"/>
        <v>1.0856481480004732E-2</v>
      </c>
      <c r="N191" s="7">
        <f t="shared" si="84"/>
        <v>15.633333331206813</v>
      </c>
      <c r="O191" s="7"/>
      <c r="P191" s="7"/>
      <c r="Q191" s="22"/>
      <c r="R191" s="170"/>
      <c r="S191" s="213">
        <f t="shared" si="83"/>
        <v>1</v>
      </c>
      <c r="T191" s="195" t="str">
        <f t="shared" si="59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0"/>
        <v>https://d0f6bd738d7f1b3e5a7ca70fe4ff75f0.us-east-1.aws.found.io/app/kibana#/discover/Steve-Slow-Train-Analysis-(2080s-and-2083s)?_g=(refreshInterval:(display:Off,pause:!f,section:0,value:0),time:(from:'2017-07-21T15:36:28-0600',mode:absolute,to:'2017-07-21T17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97" t="str">
        <f>IF(AA191&lt;VLOOKUP(AG191,Variables!$AC$3:$AD$8,2,FALSE),"Y","N")</f>
        <v>N</v>
      </c>
      <c r="X191" s="197">
        <f t="shared" si="82"/>
        <v>1</v>
      </c>
      <c r="Y191" s="197">
        <f t="shared" si="80"/>
        <v>5.8632</v>
      </c>
      <c r="Z191" s="197">
        <f t="shared" si="81"/>
        <v>8.8000000000000005E-3</v>
      </c>
      <c r="AA191" s="197">
        <f t="shared" si="61"/>
        <v>5.8544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2"/>
        <v>830</v>
      </c>
      <c r="AE191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91" s="74" t="str">
        <f t="shared" si="64"/>
        <v>"C:\Program Files (x86)\AstroGrep\AstroGrep.exe" /e /r /s /spath="%USERPROFILE%\AppData\Local\Temp\OnboardLogs" /stypes="app*4005*20170721*" /stext=" 22:.+((SYSTEM_STATE.+slice.+state.+changed )|(ment ac)|(multiple cpu faults)|(system.+state.+changed )|(\[timeout)|(PRM\|1\|D)|(kpr)|(kdp)|(train st.+moving)|(\|lc)|(penalty))"</v>
      </c>
      <c r="AG191" s="209" t="str">
        <f t="shared" si="65"/>
        <v>NW</v>
      </c>
      <c r="AH191" s="78" t="str">
        <f t="shared" si="66"/>
        <v>"%USERPROFILE%\Documents\GitHub\eaglep3\Utilities\RefineRTDCRunTimes.py" --tripid 830-21 --locoid 4005 --swversion DE.1.0.9.0 --startMP 300:58632 --initTime 2017-07-21T16:36:28 --startdatetime 2017-07-21T16:38:53 --delay 1 --endMP 204:88 --enddatetime 2017-07-21T16:54:31 --enforcementcount 0 &gt;&gt;C:\Users\stu\Documents\GitHub\eaglep3-reporting\EC\2017-07-21-refined-times.txt</v>
      </c>
      <c r="AI191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{"issue":{"subject":"","project_id":79,"tracker_id":40,"status_id":1,"priority_id":2,"assigned_to_id":23,"start_date":"2017-07-21","description":"","custom_fields":[{"id":1,"name":"Subdivision","value":"NW"},{"id":4,"name":"Milepost","value":"0.0088"},{"id":17,"name":"Train ID","value":"830-21"},{"id":16,"name":"Locomotive ID","value":"4005"},{"id":130,"name":"Impact","value":""},{"id":150,"name":"Time of Event (Mountain Time)","value":"16:54:31"},{"id":151,"name":"Denver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8"/>
        <v>start /low /b %USERPROFILE%\Documents\GitHub\eaglep3\Utilities\DownloadLogsFromS3.py --loco 4005 --day 2017-07-21</v>
      </c>
      <c r="AN191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796</v>
      </c>
      <c r="B192" s="7">
        <v>4028</v>
      </c>
      <c r="C192" s="21" t="s">
        <v>198</v>
      </c>
      <c r="D192" s="21" t="s">
        <v>1005</v>
      </c>
      <c r="E192" s="13">
        <v>42937.699618055558</v>
      </c>
      <c r="F192" s="13">
        <v>42937.70449074074</v>
      </c>
      <c r="G192" s="7">
        <v>1</v>
      </c>
      <c r="H192" s="21" t="s">
        <v>1006</v>
      </c>
      <c r="I192" s="13">
        <v>42937.714108796295</v>
      </c>
      <c r="J192" s="7">
        <v>0</v>
      </c>
      <c r="K192" s="89" t="str">
        <f t="shared" si="57"/>
        <v>4027/4028</v>
      </c>
      <c r="L192" s="21" t="str">
        <f>VLOOKUP(A192,'Trips&amp;Operators'!$C$1:$G$99999,5,FALSE)</f>
        <v>MCREYNOLDS KYLE</v>
      </c>
      <c r="M192" s="6">
        <f t="shared" si="58"/>
        <v>9.6180555556202307E-3</v>
      </c>
      <c r="N192" s="7">
        <f t="shared" si="84"/>
        <v>13.850000000093132</v>
      </c>
      <c r="O192" s="7"/>
      <c r="P192" s="7"/>
      <c r="Q192" s="22"/>
      <c r="R192" s="170"/>
      <c r="S192" s="213">
        <f t="shared" si="83"/>
        <v>1</v>
      </c>
      <c r="T192" s="195" t="str">
        <f t="shared" si="59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0"/>
        <v>https://d0f6bd738d7f1b3e5a7ca70fe4ff75f0.us-east-1.aws.found.io/app/kibana#/discover/Steve-Slow-Train-Analysis-(2080s-and-2083s)?_g=(refreshInterval:(display:Off,pause:!f,section:0,value:0),time:(from:'2017-07-21T15:47:27-0600',mode:absolute,to:'2017-07-21T18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197" t="str">
        <f>IF(AA192&lt;VLOOKUP(AG192,Variables!$AC$3:$AD$8,2,FALSE),"Y","N")</f>
        <v>N</v>
      </c>
      <c r="X192" s="197">
        <f t="shared" ref="X192:X198" si="85">VALUE(LEFT(AD192,4))-VALUE(LEFT(AD191,4))</f>
        <v>1</v>
      </c>
      <c r="Y192" s="197">
        <f t="shared" si="80"/>
        <v>0.1477</v>
      </c>
      <c r="Z192" s="197">
        <f t="shared" si="81"/>
        <v>5.8952</v>
      </c>
      <c r="AA192" s="197">
        <f t="shared" si="61"/>
        <v>5.7474999999999996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2"/>
        <v>831</v>
      </c>
      <c r="AE192" s="77" t="str">
        <f t="shared" si="63"/>
        <v>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 &amp; aws s3 cp s3://rtdc.mdm.uploadarchive.raw/RTDC4028/ "%USERPROFILE%\AppData\Local\Temp\OnboardLogs"\RTDC4028\2017-07-22 --exclude "*" --recursive --include "*20170722*" &amp; "%USERPROFILE%\Documents\GitHub\mrs-test-scripts\Headless Mode &amp; Sideloading\WalkAndUnGZ.bat" "%USERPROFILE%\AppData\Local\Temp\OnboardLogs"\RTDC4028\2017-07-22</v>
      </c>
      <c r="AF192" s="74" t="str">
        <f t="shared" si="64"/>
        <v>"C:\Program Files (x86)\AstroGrep\AstroGrep.exe" /e /r /s /spath="%USERPROFILE%\AppData\Local\Temp\OnboardLogs" /stypes="app*4028*20170721*" /stext=" 23:.+((SYSTEM_STATE.+slice.+state.+changed )|(ment ac)|(multiple cpu faults)|(system.+state.+changed )|(\[timeout)|(PRM\|1\|D)|(kpr)|(kdp)|(train st.+moving)|(\|lc)|(penalty))"</v>
      </c>
      <c r="AG192" s="209" t="str">
        <f t="shared" si="65"/>
        <v>NW</v>
      </c>
      <c r="AH192" s="78" t="str">
        <f t="shared" si="66"/>
        <v>"%USERPROFILE%\Documents\GitHub\eaglep3\Utilities\RefineRTDCRunTimes.py" --tripid 831-21 --locoid 4028 --swversion DE.1.0.9.0 --startMP 204:1477 --initTime 2017-07-21T16:47:27 --startdatetime 2017-07-21T16:54:28 --delay 1 --endMP 300:58952 --enddatetime 2017-07-21T17:08:19 --enforcementcount 0 &gt;&gt;C:\Users\stu\Documents\GitHub\eaglep3-reporting\EC\2017-07-21-refined-times.txt</v>
      </c>
      <c r="AI192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{"issue":{"subject":"","project_id":79,"tracker_id":40,"status_id":1,"priority_id":2,"assigned_to_id":23,"start_date":"2017-07-21","description":"","custom_fields":[{"id":1,"name":"Subdivision","value":"NW"},{"id":4,"name":"Milepost","value":"5.8952"},{"id":17,"name":"Train ID","value":"831-21"},{"id":16,"name":"Locomotive ID","value":"4028"},{"id":130,"name":"Impact","value":""},{"id":150,"name":"Time of Event (Mountain Time)","value":"17:08:19"},{"id":151,"name":"Denver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8"/>
        <v>start /low /b %USERPROFILE%\Documents\GitHub\eaglep3\Utilities\DownloadLogsFromS3.py --loco 4028 --day 2017-07-21</v>
      </c>
      <c r="AN192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804</v>
      </c>
      <c r="B193" s="7">
        <v>4027</v>
      </c>
      <c r="C193" s="21" t="s">
        <v>198</v>
      </c>
      <c r="D193" s="21" t="s">
        <v>996</v>
      </c>
      <c r="E193" s="13">
        <v>42937.716226851851</v>
      </c>
      <c r="F193" s="13">
        <v>42937.717418981483</v>
      </c>
      <c r="G193" s="7">
        <v>0</v>
      </c>
      <c r="H193" s="21" t="s">
        <v>1007</v>
      </c>
      <c r="I193" s="13">
        <v>42937.726435185185</v>
      </c>
      <c r="J193" s="7">
        <v>0</v>
      </c>
      <c r="K193" s="89" t="str">
        <f t="shared" si="57"/>
        <v>4027/4028</v>
      </c>
      <c r="L193" s="21" t="str">
        <f>VLOOKUP(A193,'Trips&amp;Operators'!$C$1:$G$99999,5,FALSE)</f>
        <v>MCREYNOLDS KYLE</v>
      </c>
      <c r="M193" s="6">
        <f t="shared" si="58"/>
        <v>9.0162037013215013E-3</v>
      </c>
      <c r="N193" s="7">
        <f t="shared" si="84"/>
        <v>12.983333329902962</v>
      </c>
      <c r="O193" s="7"/>
      <c r="P193" s="7"/>
      <c r="Q193" s="22"/>
      <c r="R193" s="170"/>
      <c r="S193" s="213">
        <f t="shared" si="83"/>
        <v>1</v>
      </c>
      <c r="T193" s="195" t="str">
        <f t="shared" si="59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0"/>
        <v>https://d0f6bd738d7f1b3e5a7ca70fe4ff75f0.us-east-1.aws.found.io/app/kibana#/discover/Steve-Slow-Train-Analysis-(2080s-and-2083s)?_g=(refreshInterval:(display:Off,pause:!f,section:0,value:0),time:(from:'2017-07-21T16:11:22-0600',mode:absolute,to:'2017-07-21T18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197" t="str">
        <f>IF(AA193&lt;VLOOKUP(AG193,Variables!$AC$3:$AD$8,2,FALSE),"Y","N")</f>
        <v>N</v>
      </c>
      <c r="X193" s="197">
        <f t="shared" si="85"/>
        <v>1</v>
      </c>
      <c r="Y193" s="197">
        <f t="shared" si="80"/>
        <v>5.8639999999999999</v>
      </c>
      <c r="Z193" s="197">
        <f t="shared" si="81"/>
        <v>7.4499999999999997E-2</v>
      </c>
      <c r="AA193" s="197">
        <f t="shared" si="61"/>
        <v>5.7895000000000003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2"/>
        <v>832</v>
      </c>
      <c r="AE193" s="77" t="str">
        <f t="shared" si="63"/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AF193" s="74" t="str">
        <f t="shared" si="64"/>
        <v>"C:\Program Files (x86)\AstroGrep\AstroGrep.exe" /e /r /s /spath="%USERPROFILE%\AppData\Local\Temp\OnboardLogs" /stypes="app*4027*20170721*" /stext=" 23:.+((SYSTEM_STATE.+slice.+state.+changed )|(ment ac)|(multiple cpu faults)|(system.+state.+changed )|(\[timeout)|(PRM\|1\|D)|(kpr)|(kdp)|(train st.+moving)|(\|lc)|(penalty))"</v>
      </c>
      <c r="AG193" s="209" t="str">
        <f t="shared" si="65"/>
        <v>NW</v>
      </c>
      <c r="AH193" s="78" t="str">
        <f t="shared" si="66"/>
        <v>"%USERPROFILE%\Documents\GitHub\eaglep3\Utilities\RefineRTDCRunTimes.py" --tripid 832-21 --locoid 4027 --swversion DE.1.0.9.0 --startMP 300:58640 --initTime 2017-07-21T17:11:22 --startdatetime 2017-07-21T17:13:05 --delay 0 --endMP 204:745 --enddatetime 2017-07-21T17:26:04 --enforcementcount 0 &gt;&gt;C:\Users\stu\Documents\GitHub\eaglep3-reporting\EC\2017-07-21-refined-times.txt</v>
      </c>
      <c r="AI193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{"issue":{"subject":"","project_id":79,"tracker_id":40,"status_id":1,"priority_id":2,"assigned_to_id":23,"start_date":"2017-07-21","description":"","custom_fields":[{"id":1,"name":"Subdivision","value":"NW"},{"id":4,"name":"Milepost","value":"0.0745"},{"id":17,"name":"Train ID","value":"832-21"},{"id":16,"name":"Locomotive ID","value":"4027"},{"id":130,"name":"Impact","value":""},{"id":150,"name":"Time of Event (Mountain Time)","value":"17:26:04"},{"id":151,"name":"Denver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8"/>
        <v>start /low /b %USERPROFILE%\Documents\GitHub\eaglep3\Utilities\DownloadLogsFromS3.py --loco 4027 --day 2017-07-21</v>
      </c>
      <c r="AN193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805</v>
      </c>
      <c r="B194" s="7">
        <v>4006</v>
      </c>
      <c r="C194" s="21" t="s">
        <v>198</v>
      </c>
      <c r="D194" s="21" t="s">
        <v>1008</v>
      </c>
      <c r="E194" s="13">
        <v>42937.716562499998</v>
      </c>
      <c r="F194" s="13">
        <v>42937.723194444443</v>
      </c>
      <c r="G194" s="7">
        <v>1</v>
      </c>
      <c r="H194" s="21" t="s">
        <v>1009</v>
      </c>
      <c r="I194" s="13">
        <v>42937.733738425923</v>
      </c>
      <c r="J194" s="7">
        <v>0</v>
      </c>
      <c r="K194" s="89" t="str">
        <f t="shared" si="57"/>
        <v>4005/4006</v>
      </c>
      <c r="L194" s="21" t="str">
        <f>VLOOKUP(A194,'Trips&amp;Operators'!$C$1:$G$99999,5,FALSE)</f>
        <v>BIRKHOLZ NADINE</v>
      </c>
      <c r="M194" s="6">
        <f t="shared" si="58"/>
        <v>1.0543981479713693E-2</v>
      </c>
      <c r="N194" s="7">
        <f t="shared" si="84"/>
        <v>15.183333330787718</v>
      </c>
      <c r="O194" s="7"/>
      <c r="P194" s="7"/>
      <c r="Q194" s="22"/>
      <c r="R194" s="170"/>
      <c r="S194" s="213">
        <f t="shared" si="83"/>
        <v>1</v>
      </c>
      <c r="T194" s="195" t="str">
        <f t="shared" si="59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0"/>
        <v>https://d0f6bd738d7f1b3e5a7ca70fe4ff75f0.us-east-1.aws.found.io/app/kibana#/discover/Steve-Slow-Train-Analysis-(2080s-and-2083s)?_g=(refreshInterval:(display:Off,pause:!f,section:0,value:0),time:(from:'2017-07-21T16:11:51-0600',mode:absolute,to:'2017-07-21T18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197" t="str">
        <f>IF(AA194&lt;VLOOKUP(AG194,Variables!$AC$3:$AD$8,2,FALSE),"Y","N")</f>
        <v>N</v>
      </c>
      <c r="X194" s="197">
        <f t="shared" si="85"/>
        <v>1</v>
      </c>
      <c r="Y194" s="197">
        <f t="shared" si="80"/>
        <v>3.9E-2</v>
      </c>
      <c r="Z194" s="197">
        <f t="shared" si="81"/>
        <v>5.8925999999999998</v>
      </c>
      <c r="AA194" s="197">
        <f t="shared" si="61"/>
        <v>5.8536000000000001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2"/>
        <v>833</v>
      </c>
      <c r="AE194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94" s="74" t="str">
        <f t="shared" si="64"/>
        <v>"C:\Program Files (x86)\AstroGrep\AstroGrep.exe" /e /r /s /spath="%USERPROFILE%\AppData\Local\Temp\OnboardLogs" /stypes="app*4006*20170721*" /stext=" 23:.+((SYSTEM_STATE.+slice.+state.+changed )|(ment ac)|(multiple cpu faults)|(system.+state.+changed )|(\[timeout)|(PRM\|1\|D)|(kpr)|(kdp)|(train st.+moving)|(\|lc)|(penalty))"</v>
      </c>
      <c r="AG194" s="209" t="str">
        <f t="shared" si="65"/>
        <v>NW</v>
      </c>
      <c r="AH194" s="78" t="str">
        <f t="shared" si="66"/>
        <v>"%USERPROFILE%\Documents\GitHub\eaglep3\Utilities\RefineRTDCRunTimes.py" --tripid 833-21 --locoid 4006 --swversion DE.1.0.9.0 --startMP 204:390 --initTime 2017-07-21T17:11:51 --startdatetime 2017-07-21T17:21:24 --delay 1 --endMP 300:58926 --enddatetime 2017-07-21T17:36:35 --enforcementcount 0 &gt;&gt;C:\Users\stu\Documents\GitHub\eaglep3-reporting\EC\2017-07-21-refined-times.txt</v>
      </c>
      <c r="AI194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{"issue":{"subject":"","project_id":79,"tracker_id":40,"status_id":1,"priority_id":2,"assigned_to_id":23,"start_date":"2017-07-21","description":"","custom_fields":[{"id":1,"name":"Subdivision","value":"NW"},{"id":4,"name":"Milepost","value":"5.8926"},{"id":17,"name":"Train ID","value":"833-21"},{"id":16,"name":"Locomotive ID","value":"4006"},{"id":130,"name":"Impact","value":""},{"id":150,"name":"Time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8"/>
        <v>start /low /b %USERPROFILE%\Documents\GitHub\eaglep3\Utilities\DownloadLogsFromS3.py --loco 4006 --day 2017-07-21</v>
      </c>
      <c r="AN194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810</v>
      </c>
      <c r="B195" s="7">
        <v>4005</v>
      </c>
      <c r="C195" s="21" t="s">
        <v>198</v>
      </c>
      <c r="D195" s="21" t="s">
        <v>1010</v>
      </c>
      <c r="E195" s="13">
        <v>42937.7346875</v>
      </c>
      <c r="F195" s="13">
        <v>42937.736909722225</v>
      </c>
      <c r="G195" s="7">
        <v>2</v>
      </c>
      <c r="H195" s="21" t="s">
        <v>997</v>
      </c>
      <c r="I195" s="13">
        <v>42937.747442129628</v>
      </c>
      <c r="J195" s="7">
        <v>0</v>
      </c>
      <c r="K195" s="89" t="str">
        <f t="shared" si="57"/>
        <v>4005/4006</v>
      </c>
      <c r="L195" s="21" t="str">
        <f>VLOOKUP(A195,'Trips&amp;Operators'!$C$1:$G$99999,5,FALSE)</f>
        <v>BIRKHOLZ NADINE</v>
      </c>
      <c r="M195" s="6">
        <f t="shared" si="58"/>
        <v>1.0532407402934041E-2</v>
      </c>
      <c r="N195" s="7">
        <f t="shared" si="84"/>
        <v>15.166666660225019</v>
      </c>
      <c r="O195" s="7"/>
      <c r="P195" s="7"/>
      <c r="Q195" s="22"/>
      <c r="R195" s="170"/>
      <c r="S195" s="213">
        <f t="shared" si="83"/>
        <v>1</v>
      </c>
      <c r="T195" s="195" t="str">
        <f t="shared" si="59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0"/>
        <v>https://d0f6bd738d7f1b3e5a7ca70fe4ff75f0.us-east-1.aws.found.io/app/kibana#/discover/Steve-Slow-Train-Analysis-(2080s-and-2083s)?_g=(refreshInterval:(display:Off,pause:!f,section:0,value:0),time:(from:'2017-07-21T16:37:57-0600',mode:absolute,to:'2017-07-21T18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197" t="str">
        <f>IF(AA195&lt;VLOOKUP(AG195,Variables!$AC$3:$AD$8,2,FALSE),"Y","N")</f>
        <v>N</v>
      </c>
      <c r="X195" s="197">
        <f t="shared" si="85"/>
        <v>1</v>
      </c>
      <c r="Y195" s="197">
        <f t="shared" si="80"/>
        <v>5.8582999999999998</v>
      </c>
      <c r="Z195" s="197">
        <f t="shared" si="81"/>
        <v>6.8900000000000003E-2</v>
      </c>
      <c r="AA195" s="197">
        <f t="shared" si="61"/>
        <v>5.7893999999999997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2"/>
        <v>834</v>
      </c>
      <c r="AE195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95" s="74" t="str">
        <f t="shared" si="64"/>
        <v>"C:\Program Files (x86)\AstroGrep\AstroGrep.exe" /e /r /s /spath="%USERPROFILE%\AppData\Local\Temp\OnboardLogs" /stypes="app*4005*20170721*" /stext=" 23:.+((SYSTEM_STATE.+slice.+state.+changed )|(ment ac)|(multiple cpu faults)|(system.+state.+changed )|(\[timeout)|(PRM\|1\|D)|(kpr)|(kdp)|(train st.+moving)|(\|lc)|(penalty))"</v>
      </c>
      <c r="AG195" s="209" t="str">
        <f t="shared" si="65"/>
        <v>NW</v>
      </c>
      <c r="AH195" s="78" t="str">
        <f t="shared" si="66"/>
        <v>"%USERPROFILE%\Documents\GitHub\eaglep3\Utilities\RefineRTDCRunTimes.py" --tripid 834-21 --locoid 4005 --swversion DE.1.0.9.0 --startMP 300:58583 --initTime 2017-07-21T17:37:57 --startdatetime 2017-07-21T17:41:09 --delay 2 --endMP 204:689 --enddatetime 2017-07-21T17:56:19 --enforcementcount 0 &gt;&gt;C:\Users\stu\Documents\GitHub\eaglep3-reporting\EC\2017-07-21-refined-times.txt</v>
      </c>
      <c r="AI195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{"issue":{"subject":"","project_id":79,"tracker_id":40,"status_id":1,"priority_id":2,"assigned_to_id":23,"start_date":"2017-07-21","description":"","custom_fields":[{"id":1,"name":"Subdivision","value":"NW"},{"id":4,"name":"Milepost","value":"0.0689"},{"id":17,"name":"Train ID","value":"834-21"},{"id":16,"name":"Locomotive ID","value":"4005"},{"id":130,"name":"Impact","value":""},{"id":150,"name":"Time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8"/>
        <v>start /low /b %USERPROFILE%\Documents\GitHub\eaglep3\Utilities\DownloadLogsFromS3.py --loco 4005 --day 2017-07-21</v>
      </c>
      <c r="AN195" s="151" t="str">
        <f t="shared" si="69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23:56:19"},{"id":29,"name":"Sharepoint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808</v>
      </c>
      <c r="B196" s="7">
        <v>4028</v>
      </c>
      <c r="C196" s="21" t="s">
        <v>198</v>
      </c>
      <c r="D196" s="21" t="s">
        <v>1011</v>
      </c>
      <c r="E196" s="13">
        <v>42937.727465277778</v>
      </c>
      <c r="F196" s="13">
        <v>42937.743981481479</v>
      </c>
      <c r="G196" s="7">
        <v>1</v>
      </c>
      <c r="H196" s="21" t="s">
        <v>610</v>
      </c>
      <c r="I196" s="13">
        <v>42937.753819444442</v>
      </c>
      <c r="J196" s="7">
        <v>0</v>
      </c>
      <c r="K196" s="89" t="str">
        <f t="shared" si="57"/>
        <v>4027/4028</v>
      </c>
      <c r="L196" s="21" t="str">
        <f>VLOOKUP(A196,'Trips&amp;Operators'!$C$1:$G$99999,5,FALSE)</f>
        <v>MCREYNOLDS KYLE</v>
      </c>
      <c r="M196" s="6">
        <f t="shared" si="58"/>
        <v>9.8379629635019228E-3</v>
      </c>
      <c r="N196" s="7">
        <f t="shared" si="84"/>
        <v>14.166666667442769</v>
      </c>
      <c r="O196" s="7"/>
      <c r="P196" s="7"/>
      <c r="Q196" s="22"/>
      <c r="R196" s="170"/>
      <c r="S196" s="213">
        <f t="shared" si="83"/>
        <v>1</v>
      </c>
      <c r="T196" s="195" t="str">
        <f t="shared" si="59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0"/>
        <v>https://d0f6bd738d7f1b3e5a7ca70fe4ff75f0.us-east-1.aws.found.io/app/kibana#/discover/Steve-Slow-Train-Analysis-(2080s-and-2083s)?_g=(refreshInterval:(display:Off,pause:!f,section:0,value:0),time:(from:'2017-07-21T16:27:33-0600',mode:absolute,to:'2017-07-21T19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197" t="str">
        <f>IF(AA196&lt;VLOOKUP(AG196,Variables!$AC$3:$AD$8,2,FALSE),"Y","N")</f>
        <v>N</v>
      </c>
      <c r="X196" s="197">
        <f t="shared" si="85"/>
        <v>1</v>
      </c>
      <c r="Y196" s="197">
        <f t="shared" si="80"/>
        <v>0.10249999999999999</v>
      </c>
      <c r="Z196" s="197">
        <f t="shared" si="81"/>
        <v>5.8930999999999996</v>
      </c>
      <c r="AA196" s="197">
        <f t="shared" si="61"/>
        <v>5.7905999999999995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2"/>
        <v>835</v>
      </c>
      <c r="AE196" s="77" t="str">
        <f t="shared" si="63"/>
        <v>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 &amp; aws s3 cp s3://rtdc.mdm.uploadarchive.raw/RTDC4028/ "%USERPROFILE%\AppData\Local\Temp\OnboardLogs"\RTDC4028\2017-07-22 --exclude "*" --recursive --include "*20170722*" &amp; "%USERPROFILE%\Documents\GitHub\mrs-test-scripts\Headless Mode &amp; Sideloading\WalkAndUnGZ.bat" "%USERPROFILE%\AppData\Local\Temp\OnboardLogs"\RTDC4028\2017-07-22</v>
      </c>
      <c r="AF196" s="74" t="str">
        <f t="shared" si="64"/>
        <v>"C:\Program Files (x86)\AstroGrep\AstroGrep.exe" /e /r /s /spath="%USERPROFILE%\AppData\Local\Temp\OnboardLogs" /stypes="app*4028*20170722*" /stext=" 00:.+((SYSTEM_STATE.+slice.+state.+changed )|(ment ac)|(multiple cpu faults)|(system.+state.+changed )|(\[timeout)|(PRM\|1\|D)|(kpr)|(kdp)|(train st.+moving)|(\|lc)|(penalty))"</v>
      </c>
      <c r="AG196" s="209" t="str">
        <f t="shared" si="65"/>
        <v>NW</v>
      </c>
      <c r="AH196" s="78" t="str">
        <f t="shared" si="66"/>
        <v>"%USERPROFILE%\Documents\GitHub\eaglep3\Utilities\RefineRTDCRunTimes.py" --tripid 835-21 --locoid 4028 --swversion DE.1.0.9.0 --startMP 204:1025 --initTime 2017-07-21T17:27:33 --startdatetime 2017-07-21T17:51:20 --delay 1 --endMP 300:58931 --enddatetime 2017-07-21T18:05:30 --enforcementcount 0 &gt;&gt;C:\Users\stu\Documents\GitHub\eaglep3-reporting\EC\2017-07-21-refined-times.txt</v>
      </c>
      <c r="AI196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{"issue":{"subject":"","project_id":79,"tracker_id":40,"status_id":1,"priority_id":2,"assigned_to_id":23,"start_date":"2017-07-21","description":"","custom_fields":[{"id":1,"name":"Subdivision","value":"NW"},{"id":4,"name":"Milepost","value":"5.8931"},{"id":17,"name":"Train ID","value":"835-21"},{"id":16,"name":"Locomotive ID","value":"4028"},{"id":130,"name":"Impact","value":""},{"id":150,"name":"Time of Event (Mountain Time)","value":"18:05:30"},{"id":151,"name":"Denver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8"/>
        <v>start /low /b %USERPROFILE%\Documents\GitHub\eaglep3\Utilities\DownloadLogsFromS3.py --loco 4028 --day 2017-07-21</v>
      </c>
      <c r="AN196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817</v>
      </c>
      <c r="B197" s="7">
        <v>4027</v>
      </c>
      <c r="C197" s="21" t="s">
        <v>198</v>
      </c>
      <c r="D197" s="21" t="s">
        <v>603</v>
      </c>
      <c r="E197" s="13">
        <v>42937.755601851852</v>
      </c>
      <c r="F197" s="13">
        <v>42937.757141203707</v>
      </c>
      <c r="G197" s="7">
        <v>1</v>
      </c>
      <c r="H197" s="21" t="s">
        <v>1012</v>
      </c>
      <c r="I197" s="13">
        <v>42937.767500000002</v>
      </c>
      <c r="J197" s="7">
        <v>0</v>
      </c>
      <c r="K197" s="89" t="str">
        <f t="shared" si="57"/>
        <v>4027/4028</v>
      </c>
      <c r="L197" s="21" t="str">
        <f>VLOOKUP(A197,'Trips&amp;Operators'!$C$1:$G$99999,5,FALSE)</f>
        <v>MCREYNOLDS KYLE</v>
      </c>
      <c r="M197" s="6">
        <f t="shared" si="58"/>
        <v>1.0358796294895001E-2</v>
      </c>
      <c r="N197" s="7">
        <f t="shared" si="84"/>
        <v>14.916666664648801</v>
      </c>
      <c r="O197" s="7"/>
      <c r="P197" s="7"/>
      <c r="Q197" s="22"/>
      <c r="R197" s="170"/>
      <c r="S197" s="213">
        <f t="shared" si="83"/>
        <v>1</v>
      </c>
      <c r="T197" s="195" t="str">
        <f t="shared" si="59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0"/>
        <v>https://d0f6bd738d7f1b3e5a7ca70fe4ff75f0.us-east-1.aws.found.io/app/kibana#/discover/Steve-Slow-Train-Analysis-(2080s-and-2083s)?_g=(refreshInterval:(display:Off,pause:!f,section:0,value:0),time:(from:'2017-07-21T17:08:04-0600',mode:absolute,to:'2017-07-21T19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197" t="str">
        <f>IF(AA197&lt;VLOOKUP(AG197,Variables!$AC$3:$AD$8,2,FALSE),"Y","N")</f>
        <v>N</v>
      </c>
      <c r="X197" s="197">
        <f t="shared" si="85"/>
        <v>1</v>
      </c>
      <c r="Y197" s="197">
        <f t="shared" si="80"/>
        <v>5.8628</v>
      </c>
      <c r="Z197" s="197">
        <f t="shared" si="81"/>
        <v>7.2700000000000001E-2</v>
      </c>
      <c r="AA197" s="197">
        <f t="shared" si="61"/>
        <v>5.7900999999999998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2"/>
        <v>836</v>
      </c>
      <c r="AE197" s="77" t="str">
        <f t="shared" si="63"/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AF197" s="74" t="str">
        <f t="shared" si="64"/>
        <v>"C:\Program Files (x86)\AstroGrep\AstroGrep.exe" /e /r /s /spath="%USERPROFILE%\AppData\Local\Temp\OnboardLogs" /stypes="app*4027*20170722*" /stext=" 00:.+((SYSTEM_STATE.+slice.+state.+changed )|(ment ac)|(multiple cpu faults)|(system.+state.+changed )|(\[timeout)|(PRM\|1\|D)|(kpr)|(kdp)|(train st.+moving)|(\|lc)|(penalty))"</v>
      </c>
      <c r="AG197" s="209" t="str">
        <f t="shared" si="65"/>
        <v>NW</v>
      </c>
      <c r="AH197" s="78" t="str">
        <f t="shared" si="66"/>
        <v>"%USERPROFILE%\Documents\GitHub\eaglep3\Utilities\RefineRTDCRunTimes.py" --tripid 836-21 --locoid 4027 --swversion DE.1.0.9.0 --startMP 300:58628 --initTime 2017-07-21T18:08:04 --startdatetime 2017-07-21T18:10:17 --delay 1 --endMP 204:727 --enddatetime 2017-07-21T18:25:12 --enforcementcount 0 &gt;&gt;C:\Users\stu\Documents\GitHub\eaglep3-reporting\EC\2017-07-21-refined-times.txt</v>
      </c>
      <c r="AI197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{"issue":{"subject":"","project_id":79,"tracker_id":40,"status_id":1,"priority_id":2,"assigned_to_id":23,"start_date":"2017-07-21","description":"","custom_fields":[{"id":1,"name":"Subdivision","value":"NW"},{"id":4,"name":"Milepost","value":"0.0727"},{"id":17,"name":"Train ID","value":"836-21"},{"id":16,"name":"Locomotive ID","value":"4027"},{"id":130,"name":"Impact","value":""},{"id":150,"name":"Time of Event (Mountain Time)","value":"18:25:12"},{"id":151,"name":"Denver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8"/>
        <v>start /low /b %USERPROFILE%\Documents\GitHub\eaglep3\Utilities\DownloadLogsFromS3.py --loco 4027 --day 2017-07-21</v>
      </c>
      <c r="AN197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816</v>
      </c>
      <c r="B198" s="7">
        <v>4006</v>
      </c>
      <c r="C198" s="21" t="s">
        <v>198</v>
      </c>
      <c r="D198" s="21" t="s">
        <v>470</v>
      </c>
      <c r="E198" s="13">
        <v>42937.748969907407</v>
      </c>
      <c r="F198" s="13">
        <v>42937.764756944445</v>
      </c>
      <c r="G198" s="7">
        <v>1</v>
      </c>
      <c r="H198" s="21" t="s">
        <v>1013</v>
      </c>
      <c r="I198" s="13">
        <v>42937.774085648147</v>
      </c>
      <c r="J198" s="7">
        <v>0</v>
      </c>
      <c r="K198" s="89" t="str">
        <f t="shared" si="57"/>
        <v>4005/4006</v>
      </c>
      <c r="L198" s="21" t="str">
        <f>VLOOKUP(A198,'Trips&amp;Operators'!$C$1:$G$99999,5,FALSE)</f>
        <v>BIRKHOLZ NADINE</v>
      </c>
      <c r="M198" s="6">
        <f t="shared" si="58"/>
        <v>9.3287037016125396E-3</v>
      </c>
      <c r="N198" s="7">
        <f t="shared" si="84"/>
        <v>13.433333330322057</v>
      </c>
      <c r="O198" s="7"/>
      <c r="P198" s="7"/>
      <c r="Q198" s="22"/>
      <c r="R198" s="170"/>
      <c r="S198" s="213">
        <f t="shared" si="83"/>
        <v>1</v>
      </c>
      <c r="T198" s="195" t="str">
        <f t="shared" si="59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0"/>
        <v>https://d0f6bd738d7f1b3e5a7ca70fe4ff75f0.us-east-1.aws.found.io/app/kibana#/discover/Steve-Slow-Train-Analysis-(2080s-and-2083s)?_g=(refreshInterval:(display:Off,pause:!f,section:0,value:0),time:(from:'2017-07-21T16:58:31-0600',mode:absolute,to:'2017-07-21T19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197" t="str">
        <f>IF(AA198&lt;VLOOKUP(AG198,Variables!$AC$3:$AD$8,2,FALSE),"Y","N")</f>
        <v>N</v>
      </c>
      <c r="X198" s="197">
        <f t="shared" si="85"/>
        <v>1</v>
      </c>
      <c r="Y198" s="197">
        <f t="shared" si="80"/>
        <v>9.7100000000000006E-2</v>
      </c>
      <c r="Z198" s="197">
        <f t="shared" si="81"/>
        <v>5.8954000000000004</v>
      </c>
      <c r="AA198" s="197">
        <f t="shared" si="61"/>
        <v>5.7983000000000002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2"/>
        <v>837</v>
      </c>
      <c r="AE198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198" s="74" t="str">
        <f t="shared" si="64"/>
        <v>"C:\Program Files (x86)\AstroGrep\AstroGrep.exe" /e /r /s /spath="%USERPROFILE%\AppData\Local\Temp\OnboardLogs" /stypes="app*4006*20170722*" /stext=" 00:.+((SYSTEM_STATE.+slice.+state.+changed )|(ment ac)|(multiple cpu faults)|(system.+state.+changed )|(\[timeout)|(PRM\|1\|D)|(kpr)|(kdp)|(train st.+moving)|(\|lc)|(penalty))"</v>
      </c>
      <c r="AG198" s="209" t="str">
        <f t="shared" si="65"/>
        <v>NW</v>
      </c>
      <c r="AH198" s="78" t="str">
        <f t="shared" si="66"/>
        <v>"%USERPROFILE%\Documents\GitHub\eaglep3\Utilities\RefineRTDCRunTimes.py" --tripid 837-21 --locoid 4006 --swversion DE.1.0.9.0 --startMP 204:971 --initTime 2017-07-21T17:58:31 --startdatetime 2017-07-21T18:21:15 --delay 1 --endMP 300:58954 --enddatetime 2017-07-21T18:34:41 --enforcementcount 0 &gt;&gt;C:\Users\stu\Documents\GitHub\eaglep3-reporting\EC\2017-07-21-refined-times.txt</v>
      </c>
      <c r="AI198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{"issue":{"subject":"","project_id":79,"tracker_id":40,"status_id":1,"priority_id":2,"assigned_to_id":23,"start_date":"2017-07-21","description":"","custom_fields":[{"id":1,"name":"Subdivision","value":"NW"},{"id":4,"name":"Milepost","value":"5.8954"},{"id":17,"name":"Train ID","value":"837-21"},{"id":16,"name":"Locomotive ID","value":"4006"},{"id":130,"name":"Impact","value":""},{"id":150,"name":"Time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8"/>
        <v>start /low /b %USERPROFILE%\Documents\GitHub\eaglep3\Utilities\DownloadLogsFromS3.py --loco 4006 --day 2017-07-21</v>
      </c>
      <c r="AN198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823</v>
      </c>
      <c r="B199" s="7">
        <v>4005</v>
      </c>
      <c r="C199" s="21" t="s">
        <v>198</v>
      </c>
      <c r="D199" s="21" t="s">
        <v>996</v>
      </c>
      <c r="E199" s="13">
        <v>42937.775104166663</v>
      </c>
      <c r="F199" s="13">
        <v>42937.776979166665</v>
      </c>
      <c r="G199" s="7">
        <v>1</v>
      </c>
      <c r="H199" s="21" t="s">
        <v>1014</v>
      </c>
      <c r="I199" s="13">
        <v>42937.789166666669</v>
      </c>
      <c r="J199" s="7">
        <v>0</v>
      </c>
      <c r="K199" s="89" t="str">
        <f t="shared" si="57"/>
        <v>4005/4006</v>
      </c>
      <c r="L199" s="21" t="str">
        <f>VLOOKUP(A199,'Trips&amp;Operators'!$C$1:$G$99999,5,FALSE)</f>
        <v>BIRKHOLZ NADINE</v>
      </c>
      <c r="M199" s="6">
        <f t="shared" si="58"/>
        <v>1.2187500004074536E-2</v>
      </c>
      <c r="N199" s="7">
        <f t="shared" si="84"/>
        <v>17.550000005867332</v>
      </c>
      <c r="O199" s="7"/>
      <c r="P199" s="7"/>
      <c r="Q199" s="22"/>
      <c r="R199" s="170"/>
      <c r="S199" s="213">
        <f t="shared" ref="S199:S230" si="86">1/IF(AG199="EC",12,1)*SUM(U199:U199)</f>
        <v>1</v>
      </c>
      <c r="T199" s="195" t="str">
        <f t="shared" si="59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0"/>
        <v>https://d0f6bd738d7f1b3e5a7ca70fe4ff75f0.us-east-1.aws.found.io/app/kibana#/discover/Steve-Slow-Train-Analysis-(2080s-and-2083s)?_g=(refreshInterval:(display:Off,pause:!f,section:0,value:0),time:(from:'2017-07-21T17:36:09-0600',mode:absolute,to:'2017-07-21T19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197" t="str">
        <f>IF(AA199&lt;VLOOKUP(AG199,Variables!$AC$3:$AD$8,2,FALSE),"Y","N")</f>
        <v>N</v>
      </c>
      <c r="X199" s="197">
        <f t="shared" ref="X199:X246" si="87">VALUE(LEFT(AD199,4))-VALUE(LEFT(AD198,4))</f>
        <v>1</v>
      </c>
      <c r="Y199" s="197">
        <f t="shared" si="80"/>
        <v>5.8639999999999999</v>
      </c>
      <c r="Z199" s="197">
        <f t="shared" si="81"/>
        <v>6.6100000000000006E-2</v>
      </c>
      <c r="AA199" s="197">
        <f t="shared" si="61"/>
        <v>5.7979000000000003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2"/>
        <v>838</v>
      </c>
      <c r="AE199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199" s="74" t="str">
        <f t="shared" si="64"/>
        <v>"C:\Program Files (x86)\AstroGrep\AstroGrep.exe" /e /r /s /spath="%USERPROFILE%\AppData\Local\Temp\OnboardLogs" /stypes="app*4005*20170722*" /stext=" 00:.+((SYSTEM_STATE.+slice.+state.+changed )|(ment ac)|(multiple cpu faults)|(system.+state.+changed )|(\[timeout)|(PRM\|1\|D)|(kpr)|(kdp)|(train st.+moving)|(\|lc)|(penalty))"</v>
      </c>
      <c r="AG199" s="209" t="str">
        <f t="shared" si="65"/>
        <v>NW</v>
      </c>
      <c r="AH199" s="78" t="str">
        <f t="shared" si="66"/>
        <v>"%USERPROFILE%\Documents\GitHub\eaglep3\Utilities\RefineRTDCRunTimes.py" --tripid 838-21 --locoid 4005 --swversion DE.1.0.9.0 --startMP 300:58640 --initTime 2017-07-21T18:36:09 --startdatetime 2017-07-21T18:38:51 --delay 1 --endMP 204:661 --enddatetime 2017-07-21T18:56:24 --enforcementcount 0 &gt;&gt;C:\Users\stu\Documents\GitHub\eaglep3-reporting\EC\2017-07-21-refined-times.txt</v>
      </c>
      <c r="AI199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{"issue":{"subject":"","project_id":79,"tracker_id":40,"status_id":1,"priority_id":2,"assigned_to_id":23,"start_date":"2017-07-21","description":"","custom_fields":[{"id":1,"name":"Subdivision","value":"NW"},{"id":4,"name":"Milepost","value":"0.0661"},{"id":17,"name":"Train ID","value":"838-21"},{"id":16,"name":"Locomotive ID","value":"4005"},{"id":130,"name":"Impact","value":""},{"id":150,"name":"Time of Event (Mountain Time)","value":"18:56:24"},{"id":151,"name":"Denver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8"/>
        <v>start /low /b %USERPROFILE%\Documents\GitHub\eaglep3\Utilities\DownloadLogsFromS3.py --loco 4005 --day 2017-07-21</v>
      </c>
      <c r="AN199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825</v>
      </c>
      <c r="B200" s="7">
        <v>4028</v>
      </c>
      <c r="C200" s="21" t="s">
        <v>198</v>
      </c>
      <c r="D200" s="21" t="s">
        <v>613</v>
      </c>
      <c r="E200" s="13">
        <v>42937.777951388889</v>
      </c>
      <c r="F200" s="13">
        <v>42937.785636574074</v>
      </c>
      <c r="G200" s="7">
        <v>1</v>
      </c>
      <c r="H200" s="21" t="s">
        <v>1015</v>
      </c>
      <c r="I200" s="13">
        <v>42937.795891203707</v>
      </c>
      <c r="J200" s="7">
        <v>0</v>
      </c>
      <c r="K200" s="89" t="str">
        <f t="shared" si="57"/>
        <v>4027/4028</v>
      </c>
      <c r="L200" s="21" t="str">
        <f>VLOOKUP(A200,'Trips&amp;Operators'!$C$1:$G$99999,5,FALSE)</f>
        <v>MCREYNOLDS KYLE</v>
      </c>
      <c r="M200" s="6">
        <f t="shared" si="58"/>
        <v>1.025462963298196E-2</v>
      </c>
      <c r="N200" s="7">
        <f t="shared" si="84"/>
        <v>14.766666671494022</v>
      </c>
      <c r="O200" s="7"/>
      <c r="P200" s="7"/>
      <c r="Q200" s="22"/>
      <c r="R200" s="170"/>
      <c r="S200" s="213">
        <f t="shared" si="86"/>
        <v>1</v>
      </c>
      <c r="T200" s="195" t="str">
        <f t="shared" si="59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0"/>
        <v>https://d0f6bd738d7f1b3e5a7ca70fe4ff75f0.us-east-1.aws.found.io/app/kibana#/discover/Steve-Slow-Train-Analysis-(2080s-and-2083s)?_g=(refreshInterval:(display:Off,pause:!f,section:0,value:0),time:(from:'2017-07-21T17:40:15-0600',mode:absolute,to:'2017-07-21T20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197" t="str">
        <f>IF(AA200&lt;VLOOKUP(AG200,Variables!$AC$3:$AD$8,2,FALSE),"Y","N")</f>
        <v>N</v>
      </c>
      <c r="X200" s="197">
        <f t="shared" si="87"/>
        <v>1</v>
      </c>
      <c r="Y200" s="197">
        <f t="shared" si="80"/>
        <v>9.8799999999999999E-2</v>
      </c>
      <c r="Z200" s="197">
        <f t="shared" si="81"/>
        <v>5.8958000000000004</v>
      </c>
      <c r="AA200" s="197">
        <f t="shared" si="61"/>
        <v>5.7970000000000006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2"/>
        <v>839</v>
      </c>
      <c r="AE200" s="77" t="str">
        <f t="shared" si="63"/>
        <v>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 &amp; aws s3 cp s3://rtdc.mdm.uploadarchive.raw/RTDC4028/ "%USERPROFILE%\AppData\Local\Temp\OnboardLogs"\RTDC4028\2017-07-22 --exclude "*" --recursive --include "*20170722*" &amp; "%USERPROFILE%\Documents\GitHub\mrs-test-scripts\Headless Mode &amp; Sideloading\WalkAndUnGZ.bat" "%USERPROFILE%\AppData\Local\Temp\OnboardLogs"\RTDC4028\2017-07-22</v>
      </c>
      <c r="AF200" s="74" t="str">
        <f t="shared" si="64"/>
        <v>"C:\Program Files (x86)\AstroGrep\AstroGrep.exe" /e /r /s /spath="%USERPROFILE%\AppData\Local\Temp\OnboardLogs" /stypes="app*4028*20170722*" /stext=" 01:.+((SYSTEM_STATE.+slice.+state.+changed )|(ment ac)|(multiple cpu faults)|(system.+state.+changed )|(\[timeout)|(PRM\|1\|D)|(kpr)|(kdp)|(train st.+moving)|(\|lc)|(penalty))"</v>
      </c>
      <c r="AG200" s="209" t="str">
        <f t="shared" si="65"/>
        <v>NW</v>
      </c>
      <c r="AH200" s="78" t="str">
        <f t="shared" si="66"/>
        <v>"%USERPROFILE%\Documents\GitHub\eaglep3\Utilities\RefineRTDCRunTimes.py" --tripid 839-21 --locoid 4028 --swversion DE.1.0.9.0 --startMP 204:988 --initTime 2017-07-21T18:40:15 --startdatetime 2017-07-21T18:51:19 --delay 1 --endMP 300:58958 --enddatetime 2017-07-21T19:06:05 --enforcementcount 0 &gt;&gt;C:\Users\stu\Documents\GitHub\eaglep3-reporting\EC\2017-07-21-refined-times.txt</v>
      </c>
      <c r="AI200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{"issue":{"subject":"","project_id":79,"tracker_id":40,"status_id":1,"priority_id":2,"assigned_to_id":23,"start_date":"2017-07-21","description":"","custom_fields":[{"id":1,"name":"Subdivision","value":"NW"},{"id":4,"name":"Milepost","value":"5.8958"},{"id":17,"name":"Train ID","value":"839-21"},{"id":16,"name":"Locomotive ID","value":"4028"},{"id":130,"name":"Impact","value":""},{"id":150,"name":"Time of Event (Mountain Time)","value":"19:06:05"},{"id":151,"name":"Denver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8"/>
        <v>start /low /b %USERPROFILE%\Documents\GitHub\eaglep3\Utilities\DownloadLogsFromS3.py --loco 4028 --day 2017-07-21</v>
      </c>
      <c r="AN200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652</v>
      </c>
      <c r="B201" s="7">
        <v>4005</v>
      </c>
      <c r="C201" s="21" t="s">
        <v>198</v>
      </c>
      <c r="D201" s="21" t="s">
        <v>541</v>
      </c>
      <c r="E201" s="13">
        <v>42937.81759259259</v>
      </c>
      <c r="F201" s="13">
        <v>42937.818981481483</v>
      </c>
      <c r="G201" s="7">
        <v>1</v>
      </c>
      <c r="H201" s="21" t="s">
        <v>1003</v>
      </c>
      <c r="I201" s="13">
        <v>42937.830648148149</v>
      </c>
      <c r="J201" s="7">
        <v>0</v>
      </c>
      <c r="K201" s="89" t="str">
        <f t="shared" si="57"/>
        <v>4005/4006</v>
      </c>
      <c r="L201" s="21" t="str">
        <f>VLOOKUP(A201,'Trips&amp;Operators'!$C$1:$G$99999,5,FALSE)</f>
        <v>BIRKHOLZ NADINE</v>
      </c>
      <c r="M201" s="6">
        <f t="shared" si="58"/>
        <v>1.1666666665405501E-2</v>
      </c>
      <c r="N201" s="7">
        <f t="shared" si="84"/>
        <v>16.799999998183921</v>
      </c>
      <c r="O201" s="7"/>
      <c r="P201" s="7"/>
      <c r="Q201" s="22"/>
      <c r="R201" s="170"/>
      <c r="S201" s="213">
        <f t="shared" si="86"/>
        <v>1</v>
      </c>
      <c r="T201" s="195" t="str">
        <f t="shared" si="59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0"/>
        <v>https://d0f6bd738d7f1b3e5a7ca70fe4ff75f0.us-east-1.aws.found.io/app/kibana#/discover/Steve-Slow-Train-Analysis-(2080s-and-2083s)?_g=(refreshInterval:(display:Off,pause:!f,section:0,value:0),time:(from:'2017-07-21T18:37:20-0600',mode:absolute,to:'2017-07-21T20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197" t="str">
        <f>IF(AA201&lt;VLOOKUP(AG201,Variables!$AC$3:$AD$8,2,FALSE),"Y","N")</f>
        <v>N</v>
      </c>
      <c r="X201" s="197">
        <f t="shared" si="87"/>
        <v>1</v>
      </c>
      <c r="Y201" s="197">
        <f t="shared" si="80"/>
        <v>5.8620999999999999</v>
      </c>
      <c r="Z201" s="197">
        <f t="shared" si="81"/>
        <v>6.7000000000000004E-2</v>
      </c>
      <c r="AA201" s="197">
        <f t="shared" si="61"/>
        <v>5.7950999999999997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2"/>
        <v>840</v>
      </c>
      <c r="AE201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201" s="74" t="str">
        <f t="shared" si="64"/>
        <v>"C:\Program Files (x86)\AstroGrep\AstroGrep.exe" /e /r /s /spath="%USERPROFILE%\AppData\Local\Temp\OnboardLogs" /stypes="app*4005*20170722*" /stext=" 01:.+((SYSTEM_STATE.+slice.+state.+changed )|(ment ac)|(multiple cpu faults)|(system.+state.+changed )|(\[timeout)|(PRM\|1\|D)|(kpr)|(kdp)|(train st.+moving)|(\|lc)|(penalty))"</v>
      </c>
      <c r="AG201" s="209" t="str">
        <f t="shared" si="65"/>
        <v>NW</v>
      </c>
      <c r="AH201" s="78" t="str">
        <f t="shared" si="66"/>
        <v>"%USERPROFILE%\Documents\GitHub\eaglep3\Utilities\RefineRTDCRunTimes.py" --tripid 840-21 --locoid 4005 --swversion DE.1.0.9.0 --startMP 300:58621 --initTime 2017-07-21T19:37:20 --startdatetime 2017-07-21T19:39:20 --delay 1 --endMP 204:670 --enddatetime 2017-07-21T19:56:08 --enforcementcount 0 &gt;&gt;C:\Users\stu\Documents\GitHub\eaglep3-reporting\EC\2017-07-21-refined-times.txt</v>
      </c>
      <c r="AI201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{"issue":{"subject":"","project_id":79,"tracker_id":40,"status_id":1,"priority_id":2,"assigned_to_id":23,"start_date":"2017-07-21","description":"","custom_fields":[{"id":1,"name":"Subdivision","value":"NW"},{"id":4,"name":"Milepost","value":"0.067"},{"id":17,"name":"Train ID","value":"840-21"},{"id":16,"name":"Locomotive ID","value":"4005"},{"id":130,"name":"Impact","value":""},{"id":150,"name":"Time of Event (Mountain Time)","value":"19:56:08"},{"id":151,"name":"Denver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8"/>
        <v>start /low /b %USERPROFILE%\Documents\GitHub\eaglep3\Utilities\DownloadLogsFromS3.py --loco 4005 --day 2017-07-21</v>
      </c>
      <c r="AN201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827</v>
      </c>
      <c r="B202" s="7">
        <v>4006</v>
      </c>
      <c r="C202" s="21" t="s">
        <v>198</v>
      </c>
      <c r="D202" s="21" t="s">
        <v>1016</v>
      </c>
      <c r="E202" s="13">
        <v>42937.793668981481</v>
      </c>
      <c r="F202" s="13">
        <v>42937.806423611109</v>
      </c>
      <c r="G202" s="7">
        <v>1</v>
      </c>
      <c r="H202" s="21" t="s">
        <v>1017</v>
      </c>
      <c r="I202" s="13">
        <v>42937.816469907404</v>
      </c>
      <c r="J202" s="7">
        <v>0</v>
      </c>
      <c r="K202" s="89" t="str">
        <f t="shared" si="57"/>
        <v>4005/4006</v>
      </c>
      <c r="L202" s="21" t="str">
        <f>VLOOKUP(A202,'Trips&amp;Operators'!$C$1:$G$99999,5,FALSE)</f>
        <v>BIRKHOLZ NADINE</v>
      </c>
      <c r="M202" s="6">
        <f t="shared" si="58"/>
        <v>1.0046296294603962E-2</v>
      </c>
      <c r="N202" s="7">
        <f t="shared" si="84"/>
        <v>14.466666664229706</v>
      </c>
      <c r="O202" s="7"/>
      <c r="P202" s="7"/>
      <c r="Q202" s="22"/>
      <c r="R202" s="170"/>
      <c r="S202" s="213">
        <f t="shared" si="86"/>
        <v>1</v>
      </c>
      <c r="T202" s="195" t="str">
        <f t="shared" si="59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0"/>
        <v>https://d0f6bd738d7f1b3e5a7ca70fe4ff75f0.us-east-1.aws.found.io/app/kibana#/discover/Steve-Slow-Train-Analysis-(2080s-and-2083s)?_g=(refreshInterval:(display:Off,pause:!f,section:0,value:0),time:(from:'2017-07-21T18:02:53-0600',mode:absolute,to:'2017-07-21T20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197" t="str">
        <f>IF(AA202&lt;VLOOKUP(AG202,Variables!$AC$3:$AD$8,2,FALSE),"Y","N")</f>
        <v>N</v>
      </c>
      <c r="X202" s="197">
        <f t="shared" si="87"/>
        <v>1</v>
      </c>
      <c r="Y202" s="197">
        <f t="shared" si="80"/>
        <v>9.4600000000000004E-2</v>
      </c>
      <c r="Z202" s="197">
        <f t="shared" si="81"/>
        <v>5.8929</v>
      </c>
      <c r="AA202" s="197">
        <f t="shared" si="61"/>
        <v>5.7983000000000002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2"/>
        <v>841</v>
      </c>
      <c r="AE202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202" s="74" t="str">
        <f t="shared" si="64"/>
        <v>"C:\Program Files (x86)\AstroGrep\AstroGrep.exe" /e /r /s /spath="%USERPROFILE%\AppData\Local\Temp\OnboardLogs" /stypes="app*4006*20170722*" /stext=" 01:.+((SYSTEM_STATE.+slice.+state.+changed )|(ment ac)|(multiple cpu faults)|(system.+state.+changed )|(\[timeout)|(PRM\|1\|D)|(kpr)|(kdp)|(train st.+moving)|(\|lc)|(penalty))"</v>
      </c>
      <c r="AG202" s="209" t="str">
        <f t="shared" si="65"/>
        <v>NW</v>
      </c>
      <c r="AH202" s="78" t="str">
        <f t="shared" si="66"/>
        <v>"%USERPROFILE%\Documents\GitHub\eaglep3\Utilities\RefineRTDCRunTimes.py" --tripid 841-21 --locoid 4006 --swversion DE.1.0.9.0 --startMP 204:946 --initTime 2017-07-21T19:02:53 --startdatetime 2017-07-21T19:21:15 --delay 1 --endMP 300:58929 --enddatetime 2017-07-21T19:35:43 --enforcementcount 0 &gt;&gt;C:\Users\stu\Documents\GitHub\eaglep3-reporting\EC\2017-07-21-refined-times.txt</v>
      </c>
      <c r="AI202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{"issue":{"subject":"","project_id":79,"tracker_id":40,"status_id":1,"priority_id":2,"assigned_to_id":23,"start_date":"2017-07-21","description":"","custom_fields":[{"id":1,"name":"Subdivision","value":"NW"},{"id":4,"name":"Milepost","value":"5.8929"},{"id":17,"name":"Train ID","value":"841-21"},{"id":16,"name":"Locomotive ID","value":"4006"},{"id":130,"name":"Impact","value":""},{"id":150,"name":"Time of Event (Mountain Time)","value":"19:35:43"},{"id":151,"name":"Denver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8"/>
        <v>start /low /b %USERPROFILE%\Documents\GitHub\eaglep3\Utilities\DownloadLogsFromS3.py --loco 4006 --day 2017-07-21</v>
      </c>
      <c r="AN202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839</v>
      </c>
      <c r="B203" s="7">
        <v>4005</v>
      </c>
      <c r="C203" s="21" t="s">
        <v>198</v>
      </c>
      <c r="D203" s="21" t="s">
        <v>1018</v>
      </c>
      <c r="E203" s="13">
        <v>42937.859212962961</v>
      </c>
      <c r="F203" s="13">
        <v>42937.86078703704</v>
      </c>
      <c r="G203" s="7">
        <v>1</v>
      </c>
      <c r="H203" s="21" t="s">
        <v>595</v>
      </c>
      <c r="I203" s="13">
        <v>42937.871134259258</v>
      </c>
      <c r="J203" s="7">
        <v>0</v>
      </c>
      <c r="K203" s="89" t="str">
        <f t="shared" si="57"/>
        <v>4005/4006</v>
      </c>
      <c r="L203" s="21" t="str">
        <f>VLOOKUP(A203,'Trips&amp;Operators'!$C$1:$G$99999,5,FALSE)</f>
        <v>BIRKHOLZ NADINE</v>
      </c>
      <c r="M203" s="6">
        <f t="shared" si="58"/>
        <v>1.0347222218115348E-2</v>
      </c>
      <c r="N203" s="7">
        <f t="shared" si="84"/>
        <v>14.899999994086102</v>
      </c>
      <c r="O203" s="7"/>
      <c r="P203" s="7"/>
      <c r="Q203" s="22"/>
      <c r="R203" s="170"/>
      <c r="S203" s="213">
        <f t="shared" si="86"/>
        <v>1</v>
      </c>
      <c r="T203" s="195" t="str">
        <f t="shared" si="59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0"/>
        <v>https://d0f6bd738d7f1b3e5a7ca70fe4ff75f0.us-east-1.aws.found.io/app/kibana#/discover/Steve-Slow-Train-Analysis-(2080s-and-2083s)?_g=(refreshInterval:(display:Off,pause:!f,section:0,value:0),time:(from:'2017-07-21T19:37:16-0600',mode:absolute,to:'2017-07-21T21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197" t="str">
        <f>IF(AA203&lt;VLOOKUP(AG203,Variables!$AC$3:$AD$8,2,FALSE),"Y","N")</f>
        <v>N</v>
      </c>
      <c r="X203" s="197">
        <f t="shared" si="87"/>
        <v>1</v>
      </c>
      <c r="Y203" s="197">
        <f t="shared" si="80"/>
        <v>5.8635999999999999</v>
      </c>
      <c r="Z203" s="197">
        <f t="shared" si="81"/>
        <v>6.6299999999999998E-2</v>
      </c>
      <c r="AA203" s="197">
        <f t="shared" si="61"/>
        <v>5.7972999999999999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2"/>
        <v>842</v>
      </c>
      <c r="AE203" s="77" t="str">
        <f t="shared" si="63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203" s="74" t="str">
        <f t="shared" si="64"/>
        <v>"C:\Program Files (x86)\AstroGrep\AstroGrep.exe" /e /r /s /spath="%USERPROFILE%\AppData\Local\Temp\OnboardLogs" /stypes="app*4005*20170722*" /stext=" 02:.+((SYSTEM_STATE.+slice.+state.+changed )|(ment ac)|(multiple cpu faults)|(system.+state.+changed )|(\[timeout)|(PRM\|1\|D)|(kpr)|(kdp)|(train st.+moving)|(\|lc)|(penalty))"</v>
      </c>
      <c r="AG203" s="209" t="str">
        <f t="shared" si="65"/>
        <v>NW</v>
      </c>
      <c r="AH203" s="78" t="str">
        <f t="shared" si="66"/>
        <v>"%USERPROFILE%\Documents\GitHub\eaglep3\Utilities\RefineRTDCRunTimes.py" --tripid 842-21 --locoid 4005 --swversion DE.1.0.9.0 --startMP 300:58636 --initTime 2017-07-21T20:37:16 --startdatetime 2017-07-21T20:39:32 --delay 1 --endMP 204:663 --enddatetime 2017-07-21T20:54:26 --enforcementcount 0 &gt;&gt;C:\Users\stu\Documents\GitHub\eaglep3-reporting\EC\2017-07-21-refined-times.txt</v>
      </c>
      <c r="AI203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{"issue":{"subject":"","project_id":79,"tracker_id":40,"status_id":1,"priority_id":2,"assigned_to_id":23,"start_date":"2017-07-21","description":"","custom_fields":[{"id":1,"name":"Subdivision","value":"NW"},{"id":4,"name":"Milepost","value":"0.0663"},{"id":17,"name":"Train ID","value":"842-21"},{"id":16,"name":"Locomotive ID","value":"4005"},{"id":130,"name":"Impact","value":""},{"id":150,"name":"Time of Event (Mountain Time)","value":"20:54:26"},{"id":151,"name":"Denver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8"/>
        <v>start /low /b %USERPROFILE%\Documents\GitHub\eaglep3\Utilities\DownloadLogsFromS3.py --loco 4005 --day 2017-07-21</v>
      </c>
      <c r="AN203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836</v>
      </c>
      <c r="B204" s="7">
        <v>4006</v>
      </c>
      <c r="C204" s="21" t="s">
        <v>198</v>
      </c>
      <c r="D204" s="21" t="s">
        <v>1019</v>
      </c>
      <c r="E204" s="13">
        <v>42937.832499999997</v>
      </c>
      <c r="F204" s="13">
        <v>42937.848067129627</v>
      </c>
      <c r="G204" s="7">
        <v>1</v>
      </c>
      <c r="H204" s="21" t="s">
        <v>602</v>
      </c>
      <c r="I204" s="13">
        <v>42937.857673611114</v>
      </c>
      <c r="J204" s="7">
        <v>0</v>
      </c>
      <c r="K204" s="89" t="str">
        <f t="shared" si="57"/>
        <v>4005/4006</v>
      </c>
      <c r="L204" s="21" t="str">
        <f>VLOOKUP(A204,'Trips&amp;Operators'!$C$1:$G$99999,5,FALSE)</f>
        <v>BIRKHOLZ NADINE</v>
      </c>
      <c r="M204" s="6">
        <f t="shared" si="58"/>
        <v>9.606481486116536E-3</v>
      </c>
      <c r="N204" s="7">
        <f t="shared" si="84"/>
        <v>13.833333340007812</v>
      </c>
      <c r="O204" s="7"/>
      <c r="P204" s="7"/>
      <c r="Q204" s="22"/>
      <c r="R204" s="170"/>
      <c r="S204" s="213">
        <f t="shared" si="86"/>
        <v>1</v>
      </c>
      <c r="T204" s="195" t="str">
        <f t="shared" si="59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0"/>
        <v>https://d0f6bd738d7f1b3e5a7ca70fe4ff75f0.us-east-1.aws.found.io/app/kibana#/discover/Steve-Slow-Train-Analysis-(2080s-and-2083s)?_g=(refreshInterval:(display:Off,pause:!f,section:0,value:0),time:(from:'2017-07-21T18:58:48-0600',mode:absolute,to:'2017-07-21T21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97" t="str">
        <f>IF(AA204&lt;VLOOKUP(AG204,Variables!$AC$3:$AD$8,2,FALSE),"Y","N")</f>
        <v>N</v>
      </c>
      <c r="X204" s="197">
        <f t="shared" si="87"/>
        <v>1</v>
      </c>
      <c r="Y204" s="197">
        <f t="shared" si="80"/>
        <v>9.8299999999999998E-2</v>
      </c>
      <c r="Z204" s="197">
        <f t="shared" si="81"/>
        <v>5.8944000000000001</v>
      </c>
      <c r="AA204" s="197">
        <f t="shared" si="61"/>
        <v>5.7961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2"/>
        <v>843</v>
      </c>
      <c r="AE204" s="77" t="str">
        <f t="shared" si="63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204" s="74" t="str">
        <f t="shared" si="64"/>
        <v>"C:\Program Files (x86)\AstroGrep\AstroGrep.exe" /e /r /s /spath="%USERPROFILE%\AppData\Local\Temp\OnboardLogs" /stypes="app*4006*20170722*" /stext=" 02:.+((SYSTEM_STATE.+slice.+state.+changed )|(ment ac)|(multiple cpu faults)|(system.+state.+changed )|(\[timeout)|(PRM\|1\|D)|(kpr)|(kdp)|(train st.+moving)|(\|lc)|(penalty))"</v>
      </c>
      <c r="AG204" s="209" t="str">
        <f t="shared" si="65"/>
        <v>NW</v>
      </c>
      <c r="AH204" s="78" t="str">
        <f t="shared" si="66"/>
        <v>"%USERPROFILE%\Documents\GitHub\eaglep3\Utilities\RefineRTDCRunTimes.py" --tripid 843-21 --locoid 4006 --swversion DE.1.0.9.0 --startMP 204:983 --initTime 2017-07-21T19:58:48 --startdatetime 2017-07-21T20:21:13 --delay 1 --endMP 300:58944 --enddatetime 2017-07-21T20:35:03 --enforcementcount 0 &gt;&gt;C:\Users\stu\Documents\GitHub\eaglep3-reporting\EC\2017-07-21-refined-times.txt</v>
      </c>
      <c r="AI204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{"issue":{"subject":"","project_id":79,"tracker_id":40,"status_id":1,"priority_id":2,"assigned_to_id":23,"start_date":"2017-07-21","description":"","custom_fields":[{"id":1,"name":"Subdivision","value":"NW"},{"id":4,"name":"Milepost","value":"5.8944"},{"id":17,"name":"Train ID","value":"843-21"},{"id":16,"name":"Locomotive ID","value":"4006"},{"id":130,"name":"Impact","value":""},{"id":150,"name":"Time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8"/>
        <v>start /low /b %USERPROFILE%\Documents\GitHub\eaglep3\Utilities\DownloadLogsFromS3.py --loco 4006 --day 2017-07-21</v>
      </c>
      <c r="AN204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844</v>
      </c>
      <c r="B205" s="7">
        <v>4005</v>
      </c>
      <c r="C205" s="21" t="s">
        <v>198</v>
      </c>
      <c r="D205" s="21" t="s">
        <v>1020</v>
      </c>
      <c r="E205" s="13">
        <v>42937.901817129627</v>
      </c>
      <c r="F205" s="13">
        <v>42937.903831018521</v>
      </c>
      <c r="G205" s="7">
        <v>1</v>
      </c>
      <c r="H205" s="21" t="s">
        <v>609</v>
      </c>
      <c r="I205" s="13">
        <v>42937.913368055553</v>
      </c>
      <c r="J205" s="7">
        <v>0</v>
      </c>
      <c r="K205" s="89" t="str">
        <f t="shared" ref="K205:K246" si="88">IF(ISEVEN(B205),(B205-1)&amp;"/"&amp;B205,B205&amp;"/"&amp;(B205+1))</f>
        <v>4005/4006</v>
      </c>
      <c r="L205" s="21" t="str">
        <f>VLOOKUP(A205,'Trips&amp;Operators'!$C$1:$G$99999,5,FALSE)</f>
        <v>MCREYNOLDS KYLE</v>
      </c>
      <c r="M205" s="6">
        <f t="shared" ref="M205:M246" si="89">I205-F205</f>
        <v>9.5370370327145793E-3</v>
      </c>
      <c r="N205" s="7">
        <f t="shared" si="84"/>
        <v>13.733333327108994</v>
      </c>
      <c r="O205" s="7"/>
      <c r="P205" s="7"/>
      <c r="Q205" s="22"/>
      <c r="R205" s="170"/>
      <c r="S205" s="213">
        <f t="shared" si="86"/>
        <v>1</v>
      </c>
      <c r="T205" s="195" t="str">
        <f t="shared" ref="T205:T246" si="90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6" si="9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-21T20:38:37-0600',mode:absolute,to:'2017-07-21T22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5" s="197" t="str">
        <f>IF(AA205&lt;VLOOKUP(AG205,Variables!$AC$3:$AD$8,2,FALSE),"Y","N")</f>
        <v>N</v>
      </c>
      <c r="X205" s="197">
        <f t="shared" si="87"/>
        <v>1</v>
      </c>
      <c r="Y205" s="197">
        <f t="shared" si="80"/>
        <v>5.8704000000000001</v>
      </c>
      <c r="Z205" s="197">
        <f t="shared" si="81"/>
        <v>7.2400000000000006E-2</v>
      </c>
      <c r="AA205" s="197">
        <f t="shared" ref="AA205:AA246" si="92">ABS(Z205-Y205)</f>
        <v>5.798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6" si="93">VALUE(LEFT(A205,LEN(A205)-3))</f>
        <v>844</v>
      </c>
      <c r="AE205" s="77" t="str">
        <f t="shared" ref="AE205:AE246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205" s="74" t="str">
        <f t="shared" ref="AF205:AF246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/stypes="app*4005*20170722*" /stext=" 03:.+((SYSTEM_STATE.+slice.+state.+changed )|(ment ac)|(multiple cpu faults)|(system.+state.+changed )|(\[timeout)|(PRM\|1\|D)|(kpr)|(kdp)|(train st.+moving)|(\|lc)|(penalty))"</v>
      </c>
      <c r="AG205" s="209" t="str">
        <f t="shared" ref="AG205:AG246" si="96">DetSubdiv(A205)</f>
        <v>NW</v>
      </c>
      <c r="AH205" s="78" t="str">
        <f t="shared" si="66"/>
        <v>"%USERPROFILE%\Documents\GitHub\eaglep3\Utilities\RefineRTDCRunTimes.py" --tripid 844-21 --locoid 4005 --swversion DE.1.0.9.0 --startMP 300:58704 --initTime 2017-07-21T21:38:37 --startdatetime 2017-07-21T21:41:31 --delay 1 --endMP 204:724 --enddatetime 2017-07-21T21:55:15 --enforcementcount 0 &gt;&gt;C:\Users\stu\Documents\GitHub\eaglep3-reporting\EC\2017-07-21-refined-times.txt</v>
      </c>
      <c r="AI205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{"issue":{"subject":"","project_id":79,"tracker_id":40,"status_id":1,"priority_id":2,"assigned_to_id":23,"start_date":"2017-07-21","description":"","custom_fields":[{"id":1,"name":"Subdivision","value":"NW"},{"id":4,"name":"Milepost","value":"0.0724"},{"id":17,"name":"Train ID","value":"844-21"},{"id":16,"name":"Locomotive ID","value":"4005"},{"id":130,"name":"Impact","value":""},{"id":150,"name":"Time of Event (Mountain Time)","value":"21:55:15"},{"id":151,"name":"Denver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8"/>
        <v>start /low /b %USERPROFILE%\Documents\GitHub\eaglep3\Utilities\DownloadLogsFromS3.py --loco 4005 --day 2017-07-21</v>
      </c>
      <c r="AN205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655</v>
      </c>
      <c r="B206" s="7">
        <v>4006</v>
      </c>
      <c r="C206" s="21" t="s">
        <v>198</v>
      </c>
      <c r="D206" s="21" t="s">
        <v>612</v>
      </c>
      <c r="E206" s="13">
        <v>42937.879386574074</v>
      </c>
      <c r="F206" s="13">
        <v>42937.889756944445</v>
      </c>
      <c r="G206" s="7">
        <v>1</v>
      </c>
      <c r="H206" s="21" t="s">
        <v>615</v>
      </c>
      <c r="I206" s="13">
        <v>42937.900185185186</v>
      </c>
      <c r="J206" s="7">
        <v>0</v>
      </c>
      <c r="K206" s="89" t="str">
        <f t="shared" si="88"/>
        <v>4005/4006</v>
      </c>
      <c r="L206" s="21" t="str">
        <f>VLOOKUP(A206,'Trips&amp;Operators'!$C$1:$G$99999,5,FALSE)</f>
        <v>MCREYNOLDS KYLE</v>
      </c>
      <c r="M206" s="6">
        <f t="shared" si="89"/>
        <v>1.0428240741021E-2</v>
      </c>
      <c r="N206" s="7">
        <f t="shared" si="84"/>
        <v>15.01666666707024</v>
      </c>
      <c r="O206" s="7"/>
      <c r="P206" s="7"/>
      <c r="Q206" s="22"/>
      <c r="R206" s="170"/>
      <c r="S206" s="213">
        <f t="shared" si="86"/>
        <v>1</v>
      </c>
      <c r="T206" s="195" t="str">
        <f t="shared" si="90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1"/>
        <v>https://d0f6bd738d7f1b3e5a7ca70fe4ff75f0.us-east-1.aws.found.io/app/kibana#/discover/Steve-Slow-Train-Analysis-(2080s-and-2083s)?_g=(refreshInterval:(display:Off,pause:!f,section:0,value:0),time:(from:'2017-07-21T20:06:19-0600',mode:absolute,to:'2017-07-21T22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197" t="str">
        <f>IF(AA206&lt;VLOOKUP(AG206,Variables!$AC$3:$AD$8,2,FALSE),"Y","N")</f>
        <v>N</v>
      </c>
      <c r="X206" s="197">
        <f t="shared" si="87"/>
        <v>1</v>
      </c>
      <c r="Y206" s="197">
        <f t="shared" si="80"/>
        <v>9.5699999999999993E-2</v>
      </c>
      <c r="Z206" s="197">
        <f t="shared" si="81"/>
        <v>5.9013999999999998</v>
      </c>
      <c r="AA206" s="197">
        <f t="shared" si="92"/>
        <v>5.8056999999999999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3"/>
        <v>845</v>
      </c>
      <c r="AE206" s="77" t="str">
        <f t="shared" si="94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206" s="74" t="str">
        <f t="shared" si="95"/>
        <v>"C:\Program Files (x86)\AstroGrep\AstroGrep.exe" /e /r /s /spath="%USERPROFILE%\AppData\Local\Temp\OnboardLogs" /stypes="app*4006*20170722*" /stext=" 03:.+((SYSTEM_STATE.+slice.+state.+changed )|(ment ac)|(multiple cpu faults)|(system.+state.+changed )|(\[timeout)|(PRM\|1\|D)|(kpr)|(kdp)|(train st.+moving)|(\|lc)|(penalty))"</v>
      </c>
      <c r="AG206" s="209" t="str">
        <f t="shared" si="96"/>
        <v>NW</v>
      </c>
      <c r="AH206" s="78" t="str">
        <f t="shared" si="66"/>
        <v>"%USERPROFILE%\Documents\GitHub\eaglep3\Utilities\RefineRTDCRunTimes.py" --tripid 845-21 --locoid 4006 --swversion DE.1.0.9.0 --startMP 204:957 --initTime 2017-07-21T21:06:19 --startdatetime 2017-07-21T21:21:15 --delay 1 --endMP 300:59014 --enddatetime 2017-07-21T21:36:16 --enforcementcount 0 &gt;&gt;C:\Users\stu\Documents\GitHub\eaglep3-reporting\EC\2017-07-21-refined-times.txt</v>
      </c>
      <c r="AI206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{"issue":{"subject":"","project_id":79,"tracker_id":40,"status_id":1,"priority_id":2,"assigned_to_id":23,"start_date":"2017-07-21","description":"","custom_fields":[{"id":1,"name":"Subdivision","value":"NW"},{"id":4,"name":"Milepost","value":"5.9014"},{"id":17,"name":"Train ID","value":"845-21"},{"id":16,"name":"Locomotive ID","value":"4006"},{"id":130,"name":"Impact","value":""},{"id":150,"name":"Time of Event (Mountain Time)","value":"21:36:16"},{"id":151,"name":"Denver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68"/>
        <v>start /low /b %USERPROFILE%\Documents\GitHub\eaglep3\Utilities\DownloadLogsFromS3.py --loco 4006 --day 2017-07-21</v>
      </c>
      <c r="AN206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847</v>
      </c>
      <c r="B207" s="7">
        <v>4006</v>
      </c>
      <c r="C207" s="21" t="s">
        <v>198</v>
      </c>
      <c r="D207" s="21" t="s">
        <v>1021</v>
      </c>
      <c r="E207" s="13">
        <v>42937.916284722225</v>
      </c>
      <c r="F207" s="13">
        <v>42937.932210648149</v>
      </c>
      <c r="G207" s="7">
        <v>1</v>
      </c>
      <c r="H207" s="21" t="s">
        <v>608</v>
      </c>
      <c r="I207" s="13">
        <v>42937.942361111112</v>
      </c>
      <c r="J207" s="7">
        <v>0</v>
      </c>
      <c r="K207" s="89" t="str">
        <f t="shared" si="88"/>
        <v>4005/4006</v>
      </c>
      <c r="L207" s="21" t="str">
        <f>VLOOKUP(A207,'Trips&amp;Operators'!$C$1:$G$99999,5,FALSE)</f>
        <v>MCREYNOLDS KYLE</v>
      </c>
      <c r="M207" s="6">
        <f t="shared" si="89"/>
        <v>1.0150462963792961E-2</v>
      </c>
      <c r="N207" s="7">
        <f t="shared" si="84"/>
        <v>14.616666667861864</v>
      </c>
      <c r="O207" s="7"/>
      <c r="P207" s="7"/>
      <c r="Q207" s="22"/>
      <c r="R207" s="170"/>
      <c r="S207" s="213">
        <f t="shared" si="86"/>
        <v>1</v>
      </c>
      <c r="T207" s="195" t="str">
        <f t="shared" si="90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1"/>
        <v>https://d0f6bd738d7f1b3e5a7ca70fe4ff75f0.us-east-1.aws.found.io/app/kibana#/discover/Steve-Slow-Train-Analysis-(2080s-and-2083s)?_g=(refreshInterval:(display:Off,pause:!f,section:0,value:0),time:(from:'2017-07-21T20:59:27-0600',mode:absolute,to:'2017-07-21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197" t="str">
        <f>IF(AA207&lt;VLOOKUP(AG207,Variables!$AC$3:$AD$8,2,FALSE),"Y","N")</f>
        <v>N</v>
      </c>
      <c r="X207" s="197">
        <f t="shared" si="87"/>
        <v>2</v>
      </c>
      <c r="Y207" s="197">
        <f t="shared" si="80"/>
        <v>9.9900000000000003E-2</v>
      </c>
      <c r="Z207" s="197">
        <f t="shared" si="81"/>
        <v>5.8943000000000003</v>
      </c>
      <c r="AA207" s="197">
        <f t="shared" si="92"/>
        <v>5.7944000000000004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3"/>
        <v>847</v>
      </c>
      <c r="AE207" s="77" t="str">
        <f t="shared" si="94"/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AF207" s="74" t="str">
        <f t="shared" si="95"/>
        <v>"C:\Program Files (x86)\AstroGrep\AstroGrep.exe" /e /r /s /spath="%USERPROFILE%\AppData\Local\Temp\OnboardLogs" /stypes="app*4006*20170722*" /stext=" 04:.+((SYSTEM_STATE.+slice.+state.+changed )|(ment ac)|(multiple cpu faults)|(system.+state.+changed )|(\[timeout)|(PRM\|1\|D)|(kpr)|(kdp)|(train st.+moving)|(\|lc)|(penalty))"</v>
      </c>
      <c r="AG207" s="209" t="str">
        <f t="shared" si="96"/>
        <v>NW</v>
      </c>
      <c r="AH207" s="78" t="str">
        <f t="shared" si="66"/>
        <v>"%USERPROFILE%\Documents\GitHub\eaglep3\Utilities\RefineRTDCRunTimes.py" --tripid 847-21 --locoid 4006 --swversion DE.1.0.9.0 --startMP 204:999 --initTime 2017-07-21T21:59:27 --startdatetime 2017-07-21T22:22:23 --delay 1 --endMP 300:58943 --enddatetime 2017-07-21T22:37:00 --enforcementcount 0 &gt;&gt;C:\Users\stu\Documents\GitHub\eaglep3-reporting\EC\2017-07-21-refined-times.txt</v>
      </c>
      <c r="AI207" s="96" t="str">
        <f t="shared" si="67"/>
        <v>echo {"issue":{"subject":"","project_id":79,"tracker_id":40,"status_id":1,"priority_id":2,"assigned_to_id":23,"start_date":"2017-07-21","description":"","custom_fields":[{"id":1,"name":"Subdivision","value":"NW"},{"id":4,"name":"Milepost","value":"5.8943"},{"id":17,"name":"Train ID","value":"847-21"},{"id":16,"name":"Locomotive ID","value":"4006"},{"id":130,"name":"Impact","value":""},{"id":150,"name":"Time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68"/>
        <v>start /low /b %USERPROFILE%\Documents\GitHub\eaglep3\Utilities\DownloadLogsFromS3.py --loco 4006 --day 2017-07-21</v>
      </c>
      <c r="AN207" s="151" t="str">
        <f t="shared" si="69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559</v>
      </c>
      <c r="B208" s="7">
        <v>4031</v>
      </c>
      <c r="C208" s="21" t="s">
        <v>198</v>
      </c>
      <c r="D208" s="21" t="s">
        <v>589</v>
      </c>
      <c r="E208" s="13">
        <v>42937.111898148149</v>
      </c>
      <c r="F208" s="13">
        <v>42937.113645833335</v>
      </c>
      <c r="G208" s="7">
        <v>1</v>
      </c>
      <c r="H208" s="21" t="s">
        <v>341</v>
      </c>
      <c r="I208" s="13">
        <v>42937.113807870373</v>
      </c>
      <c r="J208" s="7">
        <v>0</v>
      </c>
      <c r="K208" s="89" t="str">
        <f t="shared" si="88"/>
        <v>4031/4032</v>
      </c>
      <c r="L208" s="21" t="str">
        <f>VLOOKUP(A208,'Trips&amp;Operators'!$C$1:$G$99999,5,FALSE)</f>
        <v>STARKS ANGELINA</v>
      </c>
      <c r="M208" s="6">
        <f t="shared" si="89"/>
        <v>1.6203703853534535E-4</v>
      </c>
      <c r="N208" s="7">
        <f t="shared" si="84"/>
        <v>0.2333333354908973</v>
      </c>
      <c r="O208" s="7"/>
      <c r="P208" s="7"/>
      <c r="Q208" s="22"/>
      <c r="R208" s="170"/>
      <c r="S208" s="213">
        <f t="shared" si="86"/>
        <v>1</v>
      </c>
      <c r="T208" s="195" t="str">
        <f t="shared" si="90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1"/>
        <v>https://d0f6bd738d7f1b3e5a7ca70fe4ff75f0.us-east-1.aws.found.io/app/kibana#/discover/Steve-Slow-Train-Analysis-(2080s-and-2083s)?_g=(refreshInterval:(display:Off,pause:!f,section:0,value:0),time:(from:'2017-07-21T01:41:08-0600',mode:absolute,to:'2017-07-21T03:43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97" t="str">
        <f>IF(AA208&lt;VLOOKUP(AG208,Variables!$AC$3:$AD$8,2,FALSE),"Y","N")</f>
        <v>Y</v>
      </c>
      <c r="X208" s="197">
        <f t="shared" si="87"/>
        <v>-547</v>
      </c>
      <c r="Y208" s="197">
        <f t="shared" si="80"/>
        <v>2.5118</v>
      </c>
      <c r="Z208" s="197">
        <f t="shared" si="81"/>
        <v>1.4999999999999999E-2</v>
      </c>
      <c r="AA208" s="197">
        <f t="shared" si="92"/>
        <v>2.4967999999999999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3"/>
        <v>300</v>
      </c>
      <c r="AE208" s="77" t="str">
        <f t="shared" si="94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208" s="74" t="str">
        <f t="shared" si="95"/>
        <v>"C:\Program Files (x86)\AstroGrep\AstroGrep.exe" /e /r /s /spath="%USERPROFILE%\AppData\Local\Temp\OnboardLogs" /stypes="app*4031*20170721*" /stext=" 08:.+((SYSTEM_STATE.+slice.+state.+changed )|(ment ac)|(multiple cpu faults)|(system.+state.+changed )|(\[timeout)|(PRM\|1\|D)|(kpr)|(kdp)|(train st.+moving)|(\|lc)|(penalty))"</v>
      </c>
      <c r="AG208" s="209" t="str">
        <f t="shared" si="96"/>
        <v>Other</v>
      </c>
      <c r="AH208" s="78" t="str">
        <f t="shared" ref="AH208:AH246" si="9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300-21 --locoid 4031 --swversion DE.1.0.9.0 --startMP 300:25118 --initTime 2017-07-21T02:41:08 --startdatetime 2017-07-21T02:43:39 --delay 1 --endMP 204:150 --enddatetime 2017-07-21T02:43:53 --enforcementcount 0 &gt;&gt;C:\Users\stu\Documents\GitHub\eaglep3-reporting\EC\2017-07-21-refined-times.txt</v>
      </c>
      <c r="AI208" s="96" t="str">
        <f t="shared" ref="AI208:AI246" si="9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{"issue":{"subject":"","project_id":79,"tracker_id":40,"status_id":1,"priority_id":2,"assigned_to_id":23,"start_date":"2017-07-21","description":"","custom_fields":[{"id":1,"name":"Subdivision","value":"Other"},{"id":4,"name":"Milepost","value":"0.015"},{"id":17,"name":"Train ID","value":"300-21"},{"id":16,"name":"Locomotive ID","value":"4031"},{"id":130,"name":"Impact","value":""},{"id":150,"name":"Time of Event (Mountain Time)","value":"02:43:53"},{"id":151,"name":"Denver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46" si="99">"start /low /b "&amp;dls3logs&amp;" --loco "&amp;B208&amp;" --day "&amp;TEXT(F208,"YYYY-MM-DD")</f>
        <v>start /low /b %USERPROFILE%\Documents\GitHub\eaglep3\Utilities\DownloadLogsFromS3.py --loco 4031 --day 2017-07-21</v>
      </c>
      <c r="AN208" s="151" t="str">
        <f t="shared" ref="AN208:AN246" si="100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08:43:53"},{"id":29,"name":"Sharepoint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647</v>
      </c>
      <c r="B209" s="7">
        <v>4050</v>
      </c>
      <c r="C209" s="21" t="s">
        <v>198</v>
      </c>
      <c r="D209" s="21" t="s">
        <v>475</v>
      </c>
      <c r="E209" s="13">
        <v>42937.776932870373</v>
      </c>
      <c r="F209" s="13">
        <v>42937.779351851852</v>
      </c>
      <c r="G209" s="7">
        <v>1</v>
      </c>
      <c r="H209" s="21" t="s">
        <v>590</v>
      </c>
      <c r="I209" s="13">
        <v>42937.786493055559</v>
      </c>
      <c r="J209" s="7">
        <v>0</v>
      </c>
      <c r="K209" s="89" t="str">
        <f t="shared" si="88"/>
        <v>4049/4050</v>
      </c>
      <c r="L209" s="21" t="str">
        <f>VLOOKUP(A209,'Trips&amp;Operators'!$C$1:$G$99999,5,FALSE)</f>
        <v>GONZALEZ ARMANDO</v>
      </c>
      <c r="M209" s="6">
        <f t="shared" si="89"/>
        <v>7.1412037068512291E-3</v>
      </c>
      <c r="N209" s="7">
        <f t="shared" si="84"/>
        <v>10.28333333786577</v>
      </c>
      <c r="O209" s="7"/>
      <c r="P209" s="7"/>
      <c r="Q209" s="22"/>
      <c r="R209" s="170"/>
      <c r="S209" s="213">
        <f t="shared" si="86"/>
        <v>1</v>
      </c>
      <c r="T209" s="195" t="str">
        <f t="shared" si="90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1"/>
        <v>https://d0f6bd738d7f1b3e5a7ca70fe4ff75f0.us-east-1.aws.found.io/app/kibana#/discover/Steve-Slow-Train-Analysis-(2080s-and-2083s)?_g=(refreshInterval:(display:Off,pause:!f,section:0,value:0),time:(from:'2017-07-21T17:38:47-0600',mode:absolute,to:'2017-07-21T19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9" s="197" t="str">
        <f>IF(AA209&lt;VLOOKUP(AG209,Variables!$AC$3:$AD$8,2,FALSE),"Y","N")</f>
        <v>Y</v>
      </c>
      <c r="X209" s="197">
        <f t="shared" si="87"/>
        <v>1</v>
      </c>
      <c r="Y209" s="197">
        <f t="shared" si="80"/>
        <v>4.5999999999999999E-2</v>
      </c>
      <c r="Z209" s="197">
        <f t="shared" si="81"/>
        <v>2.3302</v>
      </c>
      <c r="AA209" s="197">
        <f t="shared" si="92"/>
        <v>2.2842000000000002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3"/>
        <v>301</v>
      </c>
      <c r="AE209" s="77" t="str">
        <f t="shared" si="94"/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AF209" s="74" t="str">
        <f t="shared" si="95"/>
        <v>"C:\Program Files (x86)\AstroGrep\AstroGrep.exe" /e /r /s /spath="%USERPROFILE%\AppData\Local\Temp\OnboardLogs" /stypes="app*4050*20170722*" /stext=" 00:.+((SYSTEM_STATE.+slice.+state.+changed )|(ment ac)|(multiple cpu faults)|(system.+state.+changed )|(\[timeout)|(PRM\|1\|D)|(kpr)|(kdp)|(train st.+moving)|(\|lc)|(penalty))"</v>
      </c>
      <c r="AG209" s="209" t="str">
        <f t="shared" si="96"/>
        <v>Other</v>
      </c>
      <c r="AH209" s="78" t="str">
        <f t="shared" si="97"/>
        <v>"%USERPROFILE%\Documents\GitHub\eaglep3\Utilities\RefineRTDCRunTimes.py" --tripid 301-21 --locoid 4050 --swversion DE.1.0.9.0 --startMP 204:460 --initTime 2017-07-21T18:38:47 --startdatetime 2017-07-21T18:42:16 --delay 1 --endMP 300:23302 --enddatetime 2017-07-21T18:52:33 --enforcementcount 0 &gt;&gt;C:\Users\stu\Documents\GitHub\eaglep3-reporting\EC\2017-07-21-refined-times.txt</v>
      </c>
      <c r="AI209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{"issue":{"subject":"","project_id":79,"tracker_id":40,"status_id":1,"priority_id":2,"assigned_to_id":23,"start_date":"2017-07-21","description":"","custom_fields":[{"id":1,"name":"Subdivision","value":"Other"},{"id":4,"name":"Milepost","value":"2.3302"},{"id":17,"name":"Train ID","value":"301-21"},{"id":16,"name":"Locomotive ID","value":"4050"},{"id":130,"name":"Impact","value":""},{"id":150,"name":"Time of Event (Mountain Time)","value":"18:52:33"},{"id":151,"name":"Denver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9"/>
        <v>start /low /b %USERPROFILE%\Documents\GitHub\eaglep3\Utilities\DownloadLogsFromS3.py --loco 4050 --day 2017-07-21</v>
      </c>
      <c r="AN209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663</v>
      </c>
      <c r="B210" s="7">
        <v>4053</v>
      </c>
      <c r="C210" s="21" t="s">
        <v>198</v>
      </c>
      <c r="D210" s="21" t="s">
        <v>938</v>
      </c>
      <c r="E210" s="13">
        <v>42937.136956018519</v>
      </c>
      <c r="F210" s="13">
        <v>42937.140034722222</v>
      </c>
      <c r="G210" s="7">
        <v>4</v>
      </c>
      <c r="H210" s="21" t="s">
        <v>565</v>
      </c>
      <c r="I210" s="13">
        <v>42937.145787037036</v>
      </c>
      <c r="J210" s="7">
        <v>0</v>
      </c>
      <c r="K210" s="89" t="str">
        <f t="shared" si="88"/>
        <v>4053/4054</v>
      </c>
      <c r="L210" s="21" t="str">
        <f>VLOOKUP(A210,'Trips&amp;Operators'!$C$1:$G$99999,5,FALSE)</f>
        <v>WILLIAMS DONTE</v>
      </c>
      <c r="M210" s="6">
        <f t="shared" si="89"/>
        <v>5.7523148134350777E-3</v>
      </c>
      <c r="N210" s="7">
        <f t="shared" si="84"/>
        <v>8.2833333313465118</v>
      </c>
      <c r="O210" s="7"/>
      <c r="P210" s="7"/>
      <c r="Q210" s="22"/>
      <c r="R210" s="170"/>
      <c r="S210" s="213">
        <f t="shared" si="86"/>
        <v>1</v>
      </c>
      <c r="T210" s="195" t="str">
        <f t="shared" si="90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1"/>
        <v>https://d0f6bd738d7f1b3e5a7ca70fe4ff75f0.us-east-1.aws.found.io/app/kibana#/discover/Steve-Slow-Train-Analysis-(2080s-and-2083s)?_g=(refreshInterval:(display:Off,pause:!f,section:0,value:0),time:(from:'2017-07-21T02:17:13-0600',mode:absolute,to:'2017-07-21T04:29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97" t="str">
        <f>IF(AA210&lt;VLOOKUP(AG210,Variables!$AC$3:$AD$8,2,FALSE),"Y","N")</f>
        <v>Y</v>
      </c>
      <c r="X210" s="197">
        <f t="shared" si="87"/>
        <v>1</v>
      </c>
      <c r="Y210" s="197">
        <f t="shared" si="80"/>
        <v>2.3652000000000002</v>
      </c>
      <c r="Z210" s="197">
        <f t="shared" si="81"/>
        <v>1.6E-2</v>
      </c>
      <c r="AA210" s="197">
        <f t="shared" si="92"/>
        <v>2.3492000000000002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3"/>
        <v>302</v>
      </c>
      <c r="AE210" s="77" t="str">
        <f t="shared" si="94"/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AF210" s="74" t="str">
        <f t="shared" si="95"/>
        <v>"C:\Program Files (x86)\AstroGrep\AstroGrep.exe" /e /r /s /spath="%USERPROFILE%\AppData\Local\Temp\OnboardLogs" /stypes="app*4053*20170721*" /stext=" 09:.+((SYSTEM_STATE.+slice.+state.+changed )|(ment ac)|(multiple cpu faults)|(system.+state.+changed )|(\[timeout)|(PRM\|1\|D)|(kpr)|(kdp)|(train st.+moving)|(\|lc)|(penalty))"</v>
      </c>
      <c r="AG210" s="209" t="str">
        <f t="shared" si="96"/>
        <v>Other</v>
      </c>
      <c r="AH210" s="78" t="str">
        <f t="shared" si="97"/>
        <v>"%USERPROFILE%\Documents\GitHub\eaglep3\Utilities\RefineRTDCRunTimes.py" --tripid 302-21 --locoid 4053 --swversion DE.1.0.9.0 --startMP 300:23652 --initTime 2017-07-21T03:17:13 --startdatetime 2017-07-21T03:21:39 --delay 4 --endMP 204:160 --enddatetime 2017-07-21T03:29:56 --enforcementcount 0 &gt;&gt;C:\Users\stu\Documents\GitHub\eaglep3-reporting\EC\2017-07-21-refined-times.txt</v>
      </c>
      <c r="AI210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{"issue":{"subject":"","project_id":79,"tracker_id":40,"status_id":1,"priority_id":2,"assigned_to_id":23,"start_date":"2017-07-21","description":"","custom_fields":[{"id":1,"name":"Subdivision","value":"Other"},{"id":4,"name":"Milepost","value":"0.016"},{"id":17,"name":"Train ID","value":"302-21"},{"id":16,"name":"Locomotive ID","value":"4053"},{"id":130,"name":"Impact","value":""},{"id":150,"name":"Time of Event (Mountain Time)","value":"03:29:56"},{"id":151,"name":"Denver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9"/>
        <v>start /low /b %USERPROFILE%\Documents\GitHub\eaglep3\Utilities\DownloadLogsFromS3.py --loco 4053 --day 2017-07-21</v>
      </c>
      <c r="AN210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09:29:56"},{"id":29,"name":"Sharepoint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830</v>
      </c>
      <c r="B211" s="7">
        <v>4026</v>
      </c>
      <c r="C211" s="21" t="s">
        <v>198</v>
      </c>
      <c r="D211" s="21" t="s">
        <v>416</v>
      </c>
      <c r="E211" s="13">
        <v>42937.797337962962</v>
      </c>
      <c r="F211" s="13">
        <v>42937.798761574071</v>
      </c>
      <c r="G211" s="7">
        <v>1</v>
      </c>
      <c r="H211" s="21" t="s">
        <v>939</v>
      </c>
      <c r="I211" s="13">
        <v>42937.805150462962</v>
      </c>
      <c r="J211" s="7">
        <v>0</v>
      </c>
      <c r="K211" s="89" t="str">
        <f t="shared" si="88"/>
        <v>4025/4026</v>
      </c>
      <c r="L211" s="21" t="str">
        <f>VLOOKUP(A211,'Trips&amp;Operators'!$C$1:$G$99999,5,FALSE)</f>
        <v>LEVIN SCOTT</v>
      </c>
      <c r="M211" s="6">
        <f t="shared" si="89"/>
        <v>6.3888888907968067E-3</v>
      </c>
      <c r="N211" s="7">
        <f t="shared" si="84"/>
        <v>9.2000000027474016</v>
      </c>
      <c r="O211" s="7"/>
      <c r="P211" s="7"/>
      <c r="Q211" s="22"/>
      <c r="R211" s="170"/>
      <c r="S211" s="213">
        <f t="shared" si="86"/>
        <v>1</v>
      </c>
      <c r="T211" s="195" t="str">
        <f t="shared" si="90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1"/>
        <v>https://d0f6bd738d7f1b3e5a7ca70fe4ff75f0.us-east-1.aws.found.io/app/kibana#/discover/Steve-Slow-Train-Analysis-(2080s-and-2083s)?_g=(refreshInterval:(display:Off,pause:!f,section:0,value:0),time:(from:'2017-07-21T18:08:10-0600',mode:absolute,to:'2017-07-21T20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197" t="str">
        <f>IF(AA211&lt;VLOOKUP(AG211,Variables!$AC$3:$AD$8,2,FALSE),"Y","N")</f>
        <v>Y</v>
      </c>
      <c r="X211" s="197">
        <f t="shared" si="87"/>
        <v>1</v>
      </c>
      <c r="Y211" s="197">
        <f t="shared" si="80"/>
        <v>4.3499999999999997E-2</v>
      </c>
      <c r="Z211" s="197">
        <f t="shared" si="81"/>
        <v>2.3315999999999999</v>
      </c>
      <c r="AA211" s="197">
        <f t="shared" si="92"/>
        <v>2.2881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3"/>
        <v>303</v>
      </c>
      <c r="AE211" s="77" t="str">
        <f t="shared" si="94"/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AF211" s="74" t="str">
        <f t="shared" si="95"/>
        <v>"C:\Program Files (x86)\AstroGrep\AstroGrep.exe" /e /r /s /spath="%USERPROFILE%\AppData\Local\Temp\OnboardLogs" /stypes="app*4026*20170722*" /stext=" 01:.+((SYSTEM_STATE.+slice.+state.+changed )|(ment ac)|(multiple cpu faults)|(system.+state.+changed )|(\[timeout)|(PRM\|1\|D)|(kpr)|(kdp)|(train st.+moving)|(\|lc)|(penalty))"</v>
      </c>
      <c r="AG211" s="209" t="str">
        <f t="shared" si="96"/>
        <v>Other</v>
      </c>
      <c r="AH211" s="78" t="str">
        <f t="shared" si="97"/>
        <v>"%USERPROFILE%\Documents\GitHub\eaglep3\Utilities\RefineRTDCRunTimes.py" --tripid 303-21 --locoid 4026 --swversion DE.1.0.9.0 --startMP 204:435 --initTime 2017-07-21T19:08:10 --startdatetime 2017-07-21T19:10:13 --delay 1 --endMP 300:23316 --enddatetime 2017-07-21T19:19:25 --enforcementcount 0 &gt;&gt;C:\Users\stu\Documents\GitHub\eaglep3-reporting\EC\2017-07-21-refined-times.txt</v>
      </c>
      <c r="AI211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{"issue":{"subject":"","project_id":79,"tracker_id":40,"status_id":1,"priority_id":2,"assigned_to_id":23,"start_date":"2017-07-21","description":"","custom_fields":[{"id":1,"name":"Subdivision","value":"Other"},{"id":4,"name":"Milepost","value":"2.3316"},{"id":17,"name":"Train ID","value":"303-21"},{"id":16,"name":"Locomotive ID","value":"4026"},{"id":130,"name":"Impact","value":""},{"id":150,"name":"Time of Event (Mountain Time)","value":"19:19:25"},{"id":151,"name":"Denver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9"/>
        <v>start /low /b %USERPROFILE%\Documents\GitHub\eaglep3\Utilities\DownloadLogsFromS3.py --loco 4026 --day 2017-07-21</v>
      </c>
      <c r="AN211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666</v>
      </c>
      <c r="B212" s="7">
        <v>4029</v>
      </c>
      <c r="C212" s="21" t="s">
        <v>198</v>
      </c>
      <c r="D212" s="21" t="s">
        <v>940</v>
      </c>
      <c r="E212" s="13">
        <v>42937.161192129628</v>
      </c>
      <c r="F212" s="13">
        <v>42937.164421296293</v>
      </c>
      <c r="G212" s="7">
        <v>4</v>
      </c>
      <c r="H212" s="21" t="s">
        <v>378</v>
      </c>
      <c r="I212" s="13">
        <v>42937.168703703705</v>
      </c>
      <c r="J212" s="7">
        <v>0</v>
      </c>
      <c r="K212" s="89" t="str">
        <f t="shared" si="88"/>
        <v>4029/4030</v>
      </c>
      <c r="L212" s="21" t="str">
        <f>VLOOKUP(A212,'Trips&amp;Operators'!$C$1:$G$99999,5,FALSE)</f>
        <v>PAGE MARCUS</v>
      </c>
      <c r="M212" s="6">
        <f t="shared" si="89"/>
        <v>4.28240741166519E-3</v>
      </c>
      <c r="N212" s="7">
        <f t="shared" si="84"/>
        <v>6.1666666727978736</v>
      </c>
      <c r="O212" s="7"/>
      <c r="P212" s="7"/>
      <c r="Q212" s="22"/>
      <c r="R212" s="170"/>
      <c r="S212" s="213">
        <f t="shared" si="86"/>
        <v>1</v>
      </c>
      <c r="T212" s="195" t="str">
        <f t="shared" si="90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1"/>
        <v>https://d0f6bd738d7f1b3e5a7ca70fe4ff75f0.us-east-1.aws.found.io/app/kibana#/discover/Steve-Slow-Train-Analysis-(2080s-and-2083s)?_g=(refreshInterval:(display:Off,pause:!f,section:0,value:0),time:(from:'2017-07-21T02:52:07-0600',mode:absolute,to:'2017-07-21T05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197" t="str">
        <f>IF(AA212&lt;VLOOKUP(AG212,Variables!$AC$3:$AD$8,2,FALSE),"Y","N")</f>
        <v>Y</v>
      </c>
      <c r="X212" s="197">
        <f t="shared" si="87"/>
        <v>1</v>
      </c>
      <c r="Y212" s="197">
        <f t="shared" si="80"/>
        <v>1.9669000000000001</v>
      </c>
      <c r="Z212" s="197">
        <f t="shared" si="81"/>
        <v>1.54E-2</v>
      </c>
      <c r="AA212" s="197">
        <f t="shared" si="92"/>
        <v>1.9515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3"/>
        <v>304</v>
      </c>
      <c r="AE212" s="77" t="str">
        <f t="shared" si="94"/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AF212" s="74" t="str">
        <f t="shared" si="95"/>
        <v>"C:\Program Files (x86)\AstroGrep\AstroGrep.exe" /e /r /s /spath="%USERPROFILE%\AppData\Local\Temp\OnboardLogs" /stypes="app*4029*20170721*" /stext=" 10:.+((SYSTEM_STATE.+slice.+state.+changed )|(ment ac)|(multiple cpu faults)|(system.+state.+changed )|(\[timeout)|(PRM\|1\|D)|(kpr)|(kdp)|(train st.+moving)|(\|lc)|(penalty))"</v>
      </c>
      <c r="AG212" s="209" t="str">
        <f t="shared" si="96"/>
        <v>Other</v>
      </c>
      <c r="AH212" s="78" t="str">
        <f t="shared" si="97"/>
        <v>"%USERPROFILE%\Documents\GitHub\eaglep3\Utilities\RefineRTDCRunTimes.py" --tripid 304-21 --locoid 4029 --swversion DE.1.0.9.0 --startMP 300:19669 --initTime 2017-07-21T03:52:07 --startdatetime 2017-07-21T03:56:46 --delay 4 --endMP 204:154 --enddatetime 2017-07-21T04:02:56 --enforcementcount 0 &gt;&gt;C:\Users\stu\Documents\GitHub\eaglep3-reporting\EC\2017-07-21-refined-times.txt</v>
      </c>
      <c r="AI212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{"issue":{"subject":"","project_id":79,"tracker_id":40,"status_id":1,"priority_id":2,"assigned_to_id":23,"start_date":"2017-07-21","description":"","custom_fields":[{"id":1,"name":"Subdivision","value":"Other"},{"id":4,"name":"Milepost","value":"0.0154"},{"id":17,"name":"Train ID","value":"304-21"},{"id":16,"name":"Locomotive ID","value":"4029"},{"id":130,"name":"Impact","value":""},{"id":150,"name":"Time of Event (Mountain Time)","value":"04:02:56"},{"id":151,"name":"Denver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9"/>
        <v>start /low /b %USERPROFILE%\Documents\GitHub\eaglep3\Utilities\DownloadLogsFromS3.py --loco 4029 --day 2017-07-21</v>
      </c>
      <c r="AN212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834</v>
      </c>
      <c r="B213" s="7">
        <v>4058</v>
      </c>
      <c r="C213" s="21" t="s">
        <v>198</v>
      </c>
      <c r="D213" s="21" t="s">
        <v>465</v>
      </c>
      <c r="E213" s="13">
        <v>42937.821319444447</v>
      </c>
      <c r="F213" s="13">
        <v>42937.823125000003</v>
      </c>
      <c r="G213" s="7">
        <v>1</v>
      </c>
      <c r="H213" s="21" t="s">
        <v>591</v>
      </c>
      <c r="I213" s="13">
        <v>42937.830300925925</v>
      </c>
      <c r="J213" s="7">
        <v>0</v>
      </c>
      <c r="K213" s="89" t="str">
        <f t="shared" si="88"/>
        <v>4057/4058</v>
      </c>
      <c r="L213" s="21" t="str">
        <f>VLOOKUP(A213,'Trips&amp;Operators'!$C$1:$G$99999,5,FALSE)</f>
        <v>ELBAUM MIKE</v>
      </c>
      <c r="M213" s="6">
        <f t="shared" si="89"/>
        <v>7.175925922638271E-3</v>
      </c>
      <c r="N213" s="7">
        <f t="shared" si="84"/>
        <v>10.33333332859911</v>
      </c>
      <c r="O213" s="7"/>
      <c r="P213" s="7"/>
      <c r="Q213" s="22"/>
      <c r="R213" s="170"/>
      <c r="S213" s="213">
        <f t="shared" si="86"/>
        <v>1</v>
      </c>
      <c r="T213" s="195" t="str">
        <f t="shared" si="90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1"/>
        <v>https://d0f6bd738d7f1b3e5a7ca70fe4ff75f0.us-east-1.aws.found.io/app/kibana#/discover/Steve-Slow-Train-Analysis-(2080s-and-2083s)?_g=(refreshInterval:(display:Off,pause:!f,section:0,value:0),time:(from:'2017-07-21T18:42:42-0600',mode:absolute,to:'2017-07-21T20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3" s="197" t="str">
        <f>IF(AA213&lt;VLOOKUP(AG213,Variables!$AC$3:$AD$8,2,FALSE),"Y","N")</f>
        <v>Y</v>
      </c>
      <c r="X213" s="197">
        <f t="shared" si="87"/>
        <v>1</v>
      </c>
      <c r="Y213" s="197">
        <f t="shared" si="80"/>
        <v>4.6699999999999998E-2</v>
      </c>
      <c r="Z213" s="197">
        <f t="shared" si="81"/>
        <v>2.331</v>
      </c>
      <c r="AA213" s="197">
        <f t="shared" si="92"/>
        <v>2.2843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3"/>
        <v>305</v>
      </c>
      <c r="AE213" s="77" t="str">
        <f t="shared" si="94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213" s="74" t="str">
        <f t="shared" si="95"/>
        <v>"C:\Program Files (x86)\AstroGrep\AstroGrep.exe" /e /r /s /spath="%USERPROFILE%\AppData\Local\Temp\OnboardLogs" /stypes="app*4058*20170722*" /stext=" 01:.+((SYSTEM_STATE.+slice.+state.+changed )|(ment ac)|(multiple cpu faults)|(system.+state.+changed )|(\[timeout)|(PRM\|1\|D)|(kpr)|(kdp)|(train st.+moving)|(\|lc)|(penalty))"</v>
      </c>
      <c r="AG213" s="209" t="str">
        <f t="shared" si="96"/>
        <v>Other</v>
      </c>
      <c r="AH213" s="78" t="str">
        <f t="shared" si="97"/>
        <v>"%USERPROFILE%\Documents\GitHub\eaglep3\Utilities\RefineRTDCRunTimes.py" --tripid 305-21 --locoid 4058 --swversion DE.1.0.9.0 --startMP 204:467 --initTime 2017-07-21T19:42:42 --startdatetime 2017-07-21T19:45:18 --delay 1 --endMP 300:23310 --enddatetime 2017-07-21T19:55:38 --enforcementcount 0 &gt;&gt;C:\Users\stu\Documents\GitHub\eaglep3-reporting\EC\2017-07-21-refined-times.txt</v>
      </c>
      <c r="AI213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{"issue":{"subject":"","project_id":79,"tracker_id":40,"status_id":1,"priority_id":2,"assigned_to_id":23,"start_date":"2017-07-21","description":"","custom_fields":[{"id":1,"name":"Subdivision","value":"Other"},{"id":4,"name":"Milepost","value":"2.331"},{"id":17,"name":"Train ID","value":"305-21"},{"id":16,"name":"Locomotive ID","value":"4058"},{"id":130,"name":"Impact","value":""},{"id":150,"name":"Time of Event (Mountain Time)","value":"19:55:38"},{"id":151,"name":"Denver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99"/>
        <v>start /low /b %USERPROFILE%\Documents\GitHub\eaglep3\Utilities\DownloadLogsFromS3.py --loco 4058 --day 2017-07-21</v>
      </c>
      <c r="AN213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01:55:38"},{"id":29,"name":"Sharepoint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667</v>
      </c>
      <c r="B214" s="7">
        <v>4045</v>
      </c>
      <c r="C214" s="21" t="s">
        <v>198</v>
      </c>
      <c r="D214" s="21" t="s">
        <v>941</v>
      </c>
      <c r="E214" s="13">
        <v>42937.170636574076</v>
      </c>
      <c r="F214" s="13">
        <v>42937.175682870373</v>
      </c>
      <c r="G214" s="7">
        <v>7</v>
      </c>
      <c r="H214" s="21" t="s">
        <v>383</v>
      </c>
      <c r="I214" s="13">
        <v>42937.181145833332</v>
      </c>
      <c r="J214" s="7">
        <v>0</v>
      </c>
      <c r="K214" s="89" t="str">
        <f t="shared" si="88"/>
        <v>4045/4046</v>
      </c>
      <c r="L214" s="21" t="str">
        <f>VLOOKUP(A214,'Trips&amp;Operators'!$C$1:$G$99999,5,FALSE)</f>
        <v>ANDERS STEVEN</v>
      </c>
      <c r="M214" s="6">
        <f t="shared" si="89"/>
        <v>5.4629629594273865E-3</v>
      </c>
      <c r="N214" s="7">
        <f t="shared" si="84"/>
        <v>7.8666666615754366</v>
      </c>
      <c r="O214" s="7"/>
      <c r="P214" s="7"/>
      <c r="Q214" s="22"/>
      <c r="R214" s="170"/>
      <c r="S214" s="213">
        <f t="shared" si="86"/>
        <v>1</v>
      </c>
      <c r="T214" s="195" t="str">
        <f t="shared" si="90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1"/>
        <v>https://d0f6bd738d7f1b3e5a7ca70fe4ff75f0.us-east-1.aws.found.io/app/kibana#/discover/Steve-Slow-Train-Analysis-(2080s-and-2083s)?_g=(refreshInterval:(display:Off,pause:!f,section:0,value:0),time:(from:'2017-07-21T03:05:43-0600',mode:absolute,to:'2017-07-21T05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87"/>
        <v>1</v>
      </c>
      <c r="Y214" s="197">
        <f t="shared" si="80"/>
        <v>2.3403999999999998</v>
      </c>
      <c r="Z214" s="197">
        <f t="shared" si="81"/>
        <v>1.4500000000000001E-2</v>
      </c>
      <c r="AA214" s="197">
        <f t="shared" si="92"/>
        <v>2.3258999999999999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3"/>
        <v>306</v>
      </c>
      <c r="AE214" s="77" t="str">
        <f t="shared" si="94"/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AF214" s="74" t="str">
        <f t="shared" si="95"/>
        <v>"C:\Program Files (x86)\AstroGrep\AstroGrep.exe" /e /r /s /spath="%USERPROFILE%\AppData\Local\Temp\OnboardLogs" /stypes="app*4045*20170721*" /stext=" 10:.+((SYSTEM_STATE.+slice.+state.+changed )|(ment ac)|(multiple cpu faults)|(system.+state.+changed )|(\[timeout)|(PRM\|1\|D)|(kpr)|(kdp)|(train st.+moving)|(\|lc)|(penalty))"</v>
      </c>
      <c r="AG214" s="209" t="str">
        <f t="shared" si="96"/>
        <v>Other</v>
      </c>
      <c r="AH214" s="78" t="str">
        <f t="shared" si="97"/>
        <v>"%USERPROFILE%\Documents\GitHub\eaglep3\Utilities\RefineRTDCRunTimes.py" --tripid 306-21 --locoid 4045 --swversion DE.1.0.9.0 --startMP 300:23404 --initTime 2017-07-21T04:05:43 --startdatetime 2017-07-21T04:12:59 --delay 7 --endMP 204:145 --enddatetime 2017-07-21T04:20:51 --enforcementcount 0 &gt;&gt;C:\Users\stu\Documents\GitHub\eaglep3-reporting\EC\2017-07-21-refined-times.txt</v>
      </c>
      <c r="AI214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{"issue":{"subject":"","project_id":79,"tracker_id":40,"status_id":1,"priority_id":2,"assigned_to_id":23,"start_date":"2017-07-21","description":"","custom_fields":[{"id":1,"name":"Subdivision","value":"Other"},{"id":4,"name":"Milepost","value":"0.0145"},{"id":17,"name":"Train ID","value":"306-21"},{"id":16,"name":"Locomotive ID","value":"4045"},{"id":130,"name":"Impact","value":""},{"id":150,"name":"Time of Event (Mountain Time)","value":"04:20:51"},{"id":151,"name":"Denver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9"/>
        <v>start /low /b %USERPROFILE%\Documents\GitHub\eaglep3\Utilities\DownloadLogsFromS3.py --loco 4045 --day 2017-07-21</v>
      </c>
      <c r="AN214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860</v>
      </c>
      <c r="B215" s="7">
        <v>4054</v>
      </c>
      <c r="C215" s="21" t="s">
        <v>198</v>
      </c>
      <c r="D215" s="21" t="s">
        <v>475</v>
      </c>
      <c r="E215" s="13">
        <v>42938.046712962961</v>
      </c>
      <c r="F215" s="13">
        <v>42938.048495370371</v>
      </c>
      <c r="G215" s="7">
        <v>1</v>
      </c>
      <c r="H215" s="21" t="s">
        <v>942</v>
      </c>
      <c r="I215" s="13">
        <v>42938.055231481485</v>
      </c>
      <c r="J215" s="7">
        <v>0</v>
      </c>
      <c r="K215" s="89" t="str">
        <f t="shared" si="88"/>
        <v>4053/4054</v>
      </c>
      <c r="L215" s="21" t="str">
        <f>VLOOKUP(A215,'Trips&amp;Operators'!$C$1:$G$99999,5,FALSE)</f>
        <v>BIRENBAUM THOMAS</v>
      </c>
      <c r="M215" s="6">
        <f t="shared" si="89"/>
        <v>6.7361111141508445E-3</v>
      </c>
      <c r="N215" s="7">
        <f t="shared" si="84"/>
        <v>9.7000000043772161</v>
      </c>
      <c r="O215" s="7"/>
      <c r="P215" s="7"/>
      <c r="Q215" s="22"/>
      <c r="R215" s="170"/>
      <c r="S215" s="213">
        <f t="shared" si="86"/>
        <v>1</v>
      </c>
      <c r="T215" s="195" t="str">
        <f t="shared" si="90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1"/>
        <v>https://d0f6bd738d7f1b3e5a7ca70fe4ff75f0.us-east-1.aws.found.io/app/kibana#/discover/Steve-Slow-Train-Analysis-(2080s-and-2083s)?_g=(refreshInterval:(display:Off,pause:!f,section:0,value:0),time:(from:'2017-07-22T00:07:16-0600',mode:absolute,to:'2017-07-22T02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7" t="str">
        <f>IF(AA215&lt;VLOOKUP(AG215,Variables!$AC$3:$AD$8,2,FALSE),"Y","N")</f>
        <v>Y</v>
      </c>
      <c r="X215" s="197">
        <f t="shared" si="87"/>
        <v>1</v>
      </c>
      <c r="Y215" s="197">
        <f t="shared" si="80"/>
        <v>4.5999999999999999E-2</v>
      </c>
      <c r="Z215" s="197">
        <f t="shared" si="81"/>
        <v>2.3306</v>
      </c>
      <c r="AA215" s="197">
        <f t="shared" si="92"/>
        <v>2.2846000000000002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3"/>
        <v>307</v>
      </c>
      <c r="AE215" s="77" t="str">
        <f t="shared" si="94"/>
        <v>aws s3 cp s3://rtdc.mdm.uploadarchive.raw/RTDC4054/ "%USERPROFILE%\AppData\Local\Temp\OnboardLogs"\RTDC4054\2017-07-22 --exclude "*" --recursive --include "*20170722*" &amp; "%USERPROFILE%\Documents\GitHub\mrs-test-scripts\Headless Mode &amp; Sideloading\WalkAndUnGZ.bat" "%USERPROFILE%\AppData\Local\Temp\OnboardLogs"\RTDC4054\2017-07-22 &amp; 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</v>
      </c>
      <c r="AF215" s="74" t="str">
        <f t="shared" si="95"/>
        <v>"C:\Program Files (x86)\AstroGrep\AstroGrep.exe" /e /r /s /spath="%USERPROFILE%\AppData\Local\Temp\OnboardLogs" /stypes="app*4054*20170722*" /stext=" 07:.+((SYSTEM_STATE.+slice.+state.+changed )|(ment ac)|(multiple cpu faults)|(system.+state.+changed )|(\[timeout)|(PRM\|1\|D)|(kpr)|(kdp)|(train st.+moving)|(\|lc)|(penalty))"</v>
      </c>
      <c r="AG215" s="209" t="str">
        <f t="shared" si="96"/>
        <v>Other</v>
      </c>
      <c r="AH215" s="78" t="str">
        <f t="shared" si="97"/>
        <v>"%USERPROFILE%\Documents\GitHub\eaglep3\Utilities\RefineRTDCRunTimes.py" --tripid 307-21 --locoid 4054 --swversion DE.1.0.9.0 --startMP 204:460 --initTime 2017-07-22T01:07:16 --startdatetime 2017-07-22T01:09:50 --delay 1 --endMP 300:23306 --enddatetime 2017-07-22T01:19:32 --enforcementcount 0 &gt;&gt;C:\Users\stu\Documents\GitHub\eaglep3-reporting\EC\2017-07-21-refined-times.txt</v>
      </c>
      <c r="AI215" s="96" t="str">
        <f t="shared" si="98"/>
        <v>echo {"issue":{"subject":"","project_id":79,"tracker_id":40,"status_id":1,"priority_id":2,"assigned_to_id":23,"start_date":"2017-07-22","description":"","custom_fields":[{"id":1,"name":"Subdivision","value":"Other"},{"id":4,"name":"Milepost","value":"2.3306"},{"id":17,"name":"Train ID","value":"307-21"},{"id":16,"name":"Locomotive ID","value":"4054"},{"id":130,"name":"Impact","value":""},{"id":150,"name":"Time of Event (Mountain Time)","value":"01:19:32"},{"id":151,"name":"Denver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9"/>
        <v>start /low /b %USERPROFILE%\Documents\GitHub\eaglep3\Utilities\DownloadLogsFromS3.py --loco 4054 --day 2017-07-22</v>
      </c>
      <c r="AN215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07:19:32"},{"id":29,"name":"Sharepoint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669</v>
      </c>
      <c r="B216" s="7">
        <v>4049</v>
      </c>
      <c r="C216" s="21" t="s">
        <v>198</v>
      </c>
      <c r="D216" s="21" t="s">
        <v>943</v>
      </c>
      <c r="E216" s="13">
        <v>42937.17931712963</v>
      </c>
      <c r="F216" s="13">
        <v>42937.183356481481</v>
      </c>
      <c r="G216" s="7">
        <v>5</v>
      </c>
      <c r="H216" s="21" t="s">
        <v>388</v>
      </c>
      <c r="I216" s="13">
        <v>42937.190671296295</v>
      </c>
      <c r="J216" s="7">
        <v>0</v>
      </c>
      <c r="K216" s="89" t="str">
        <f t="shared" si="88"/>
        <v>4049/4050</v>
      </c>
      <c r="L216" s="21" t="str">
        <f>VLOOKUP(A216,'Trips&amp;Operators'!$C$1:$G$99999,5,FALSE)</f>
        <v>DAVIS WENDY</v>
      </c>
      <c r="M216" s="6">
        <f t="shared" si="89"/>
        <v>7.3148148148902692E-3</v>
      </c>
      <c r="N216" s="7">
        <f t="shared" si="84"/>
        <v>10.533333333441988</v>
      </c>
      <c r="O216" s="7"/>
      <c r="P216" s="7"/>
      <c r="Q216" s="22"/>
      <c r="R216" s="170"/>
      <c r="S216" s="213">
        <f t="shared" si="86"/>
        <v>1</v>
      </c>
      <c r="T216" s="195" t="str">
        <f t="shared" si="90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1"/>
        <v>https://d0f6bd738d7f1b3e5a7ca70fe4ff75f0.us-east-1.aws.found.io/app/kibana#/discover/Steve-Slow-Train-Analysis-(2080s-and-2083s)?_g=(refreshInterval:(display:Off,pause:!f,section:0,value:0),time:(from:'2017-07-21T03:18:13-0600',mode:absolute,to:'2017-07-21T05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197" t="str">
        <f>IF(AA216&lt;VLOOKUP(AG216,Variables!$AC$3:$AD$8,2,FALSE),"Y","N")</f>
        <v>Y</v>
      </c>
      <c r="X216" s="197">
        <f t="shared" si="87"/>
        <v>1</v>
      </c>
      <c r="Y216" s="197">
        <f t="shared" si="80"/>
        <v>2.3321999999999998</v>
      </c>
      <c r="Z216" s="197">
        <f t="shared" si="81"/>
        <v>1.5599999999999999E-2</v>
      </c>
      <c r="AA216" s="197">
        <f t="shared" si="92"/>
        <v>2.3165999999999998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3"/>
        <v>308</v>
      </c>
      <c r="AE216" s="77" t="str">
        <f t="shared" si="94"/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AF216" s="74" t="str">
        <f t="shared" si="95"/>
        <v>"C:\Program Files (x86)\AstroGrep\AstroGrep.exe" /e /r /s /spath="%USERPROFILE%\AppData\Local\Temp\OnboardLogs" /stypes="app*4049*20170721*" /stext=" 10:.+((SYSTEM_STATE.+slice.+state.+changed )|(ment ac)|(multiple cpu faults)|(system.+state.+changed )|(\[timeout)|(PRM\|1\|D)|(kpr)|(kdp)|(train st.+moving)|(\|lc)|(penalty))"</v>
      </c>
      <c r="AG216" s="209" t="str">
        <f t="shared" si="96"/>
        <v>Other</v>
      </c>
      <c r="AH216" s="78" t="str">
        <f t="shared" si="97"/>
        <v>"%USERPROFILE%\Documents\GitHub\eaglep3\Utilities\RefineRTDCRunTimes.py" --tripid 308-21 --locoid 4049 --swversion DE.1.0.9.0 --startMP 300:23322 --initTime 2017-07-21T04:18:13 --startdatetime 2017-07-21T04:24:02 --delay 5 --endMP 204:156 --enddatetime 2017-07-21T04:34:34 --enforcementcount 0 &gt;&gt;C:\Users\stu\Documents\GitHub\eaglep3-reporting\EC\2017-07-21-refined-times.txt</v>
      </c>
      <c r="AI216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{"issue":{"subject":"","project_id":79,"tracker_id":40,"status_id":1,"priority_id":2,"assigned_to_id":23,"start_date":"2017-07-21","description":"","custom_fields":[{"id":1,"name":"Subdivision","value":"Other"},{"id":4,"name":"Milepost","value":"0.0156"},{"id":17,"name":"Train ID","value":"308-21"},{"id":16,"name":"Locomotive ID","value":"4049"},{"id":130,"name":"Impact","value":""},{"id":150,"name":"Time of Event (Mountain Time)","value":"04:34:34"},{"id":151,"name":"Denver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99"/>
        <v>start /low /b %USERPROFILE%\Documents\GitHub\eaglep3\Utilities\DownloadLogsFromS3.py --loco 4049 --day 2017-07-21</v>
      </c>
      <c r="AN216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862</v>
      </c>
      <c r="B217" s="7">
        <v>4030</v>
      </c>
      <c r="C217" s="21" t="s">
        <v>198</v>
      </c>
      <c r="D217" s="21" t="s">
        <v>867</v>
      </c>
      <c r="E217" s="13">
        <v>42938.06832175926</v>
      </c>
      <c r="F217" s="13">
        <v>42938.069780092592</v>
      </c>
      <c r="G217" s="7">
        <v>1</v>
      </c>
      <c r="H217" s="21" t="s">
        <v>939</v>
      </c>
      <c r="I217" s="13">
        <v>42938.077662037038</v>
      </c>
      <c r="J217" s="7">
        <v>0</v>
      </c>
      <c r="K217" s="89" t="str">
        <f t="shared" si="88"/>
        <v>4029/4030</v>
      </c>
      <c r="L217" s="21" t="str">
        <f>VLOOKUP(A217,'Trips&amp;Operators'!$C$1:$G$99999,5,FALSE)</f>
        <v>PERKINS DARREN</v>
      </c>
      <c r="M217" s="6">
        <f t="shared" si="89"/>
        <v>7.8819444461259991E-3</v>
      </c>
      <c r="N217" s="7">
        <f t="shared" ref="N217:N246" si="101">24*60*SUM($M217:$M217)</f>
        <v>11.350000002421439</v>
      </c>
      <c r="O217" s="7"/>
      <c r="P217" s="7"/>
      <c r="Q217" s="22"/>
      <c r="R217" s="170"/>
      <c r="S217" s="213">
        <f t="shared" si="86"/>
        <v>1</v>
      </c>
      <c r="T217" s="195" t="str">
        <f t="shared" si="90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91"/>
        <v>https://d0f6bd738d7f1b3e5a7ca70fe4ff75f0.us-east-1.aws.found.io/app/kibana#/discover/Steve-Slow-Train-Analysis-(2080s-and-2083s)?_g=(refreshInterval:(display:Off,pause:!f,section:0,value:0),time:(from:'2017-07-22T00:38:23-0600',mode:absolute,to:'2017-07-22T02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197" t="str">
        <f>IF(AA217&lt;VLOOKUP(AG217,Variables!$AC$3:$AD$8,2,FALSE),"Y","N")</f>
        <v>Y</v>
      </c>
      <c r="X217" s="197">
        <f t="shared" si="87"/>
        <v>1</v>
      </c>
      <c r="Y217" s="197">
        <f t="shared" si="80"/>
        <v>4.5699999999999998E-2</v>
      </c>
      <c r="Z217" s="197">
        <f t="shared" si="81"/>
        <v>2.3315999999999999</v>
      </c>
      <c r="AA217" s="197">
        <f t="shared" si="92"/>
        <v>2.2858999999999998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3"/>
        <v>309</v>
      </c>
      <c r="AE217" s="77" t="str">
        <f t="shared" si="94"/>
        <v>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 &amp; 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</v>
      </c>
      <c r="AF217" s="74" t="str">
        <f t="shared" si="95"/>
        <v>"C:\Program Files (x86)\AstroGrep\AstroGrep.exe" /e /r /s /spath="%USERPROFILE%\AppData\Local\Temp\OnboardLogs" /stypes="app*4030*20170722*" /stext=" 07:.+((SYSTEM_STATE.+slice.+state.+changed )|(ment ac)|(multiple cpu faults)|(system.+state.+changed )|(\[timeout)|(PRM\|1\|D)|(kpr)|(kdp)|(train st.+moving)|(\|lc)|(penalty))"</v>
      </c>
      <c r="AG217" s="209" t="str">
        <f t="shared" si="96"/>
        <v>Other</v>
      </c>
      <c r="AH217" s="78" t="str">
        <f t="shared" si="97"/>
        <v>"%USERPROFILE%\Documents\GitHub\eaglep3\Utilities\RefineRTDCRunTimes.py" --tripid 309-21 --locoid 4030 --swversion DE.1.0.9.0 --startMP 204:457 --initTime 2017-07-22T01:38:23 --startdatetime 2017-07-22T01:40:29 --delay 1 --endMP 300:23316 --enddatetime 2017-07-22T01:51:50 --enforcementcount 0 &gt;&gt;C:\Users\stu\Documents\GitHub\eaglep3-reporting\EC\2017-07-21-refined-times.txt</v>
      </c>
      <c r="AI217" s="96" t="str">
        <f t="shared" si="98"/>
        <v>echo {"issue":{"subject":"","project_id":79,"tracker_id":40,"status_id":1,"priority_id":2,"assigned_to_id":23,"start_date":"2017-07-22","description":"","custom_fields":[{"id":1,"name":"Subdivision","value":"Other"},{"id":4,"name":"Milepost","value":"2.3316"},{"id":17,"name":"Train ID","value":"309-21"},{"id":16,"name":"Locomotive ID","value":"4030"},{"id":130,"name":"Impact","value":""},{"id":150,"name":"Time of Event (Mountain Time)","value":"01:51:50"},{"id":151,"name":"Denver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9"/>
        <v>start /low /b %USERPROFILE%\Documents\GitHub\eaglep3\Utilities\DownloadLogsFromS3.py --loco 4030 --day 2017-07-22</v>
      </c>
      <c r="AN217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07:51:50"},{"id":29,"name":"Sharepoint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675</v>
      </c>
      <c r="B218" s="7">
        <v>4025</v>
      </c>
      <c r="C218" s="21" t="s">
        <v>198</v>
      </c>
      <c r="D218" s="21" t="s">
        <v>944</v>
      </c>
      <c r="E218" s="13">
        <v>42937.195821759262</v>
      </c>
      <c r="F218" s="13">
        <v>42937.199293981481</v>
      </c>
      <c r="G218" s="7">
        <v>4</v>
      </c>
      <c r="H218" s="21" t="s">
        <v>350</v>
      </c>
      <c r="I218" s="13">
        <v>42937.206805555557</v>
      </c>
      <c r="J218" s="7">
        <v>0</v>
      </c>
      <c r="K218" s="89" t="str">
        <f t="shared" si="88"/>
        <v>4025/4026</v>
      </c>
      <c r="L218" s="21" t="str">
        <f>VLOOKUP(A218,'Trips&amp;Operators'!$C$1:$G$99999,5,FALSE)</f>
        <v>DAVIDSON DAVID</v>
      </c>
      <c r="M218" s="6">
        <f t="shared" si="89"/>
        <v>7.5115740764886141E-3</v>
      </c>
      <c r="N218" s="7">
        <f t="shared" si="101"/>
        <v>10.816666670143604</v>
      </c>
      <c r="O218" s="7"/>
      <c r="P218" s="7"/>
      <c r="Q218" s="22"/>
      <c r="R218" s="170"/>
      <c r="S218" s="213">
        <f t="shared" si="86"/>
        <v>1</v>
      </c>
      <c r="T218" s="195" t="str">
        <f t="shared" si="90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1"/>
        <v>https://d0f6bd738d7f1b3e5a7ca70fe4ff75f0.us-east-1.aws.found.io/app/kibana#/discover/Steve-Slow-Train-Analysis-(2080s-and-2083s)?_g=(refreshInterval:(display:Off,pause:!f,section:0,value:0),time:(from:'2017-07-21T03:41:59-0600',mode:absolute,to:'2017-07-21T05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97" t="str">
        <f>IF(AA218&lt;VLOOKUP(AG218,Variables!$AC$3:$AD$8,2,FALSE),"Y","N")</f>
        <v>Y</v>
      </c>
      <c r="X218" s="197">
        <f t="shared" si="87"/>
        <v>1</v>
      </c>
      <c r="Y218" s="197">
        <f t="shared" si="80"/>
        <v>2.3355000000000001</v>
      </c>
      <c r="Z218" s="197">
        <f t="shared" si="81"/>
        <v>1.41E-2</v>
      </c>
      <c r="AA218" s="197">
        <f t="shared" si="92"/>
        <v>2.3214000000000001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3"/>
        <v>310</v>
      </c>
      <c r="AE218" s="77" t="str">
        <f t="shared" si="94"/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AF218" s="74" t="str">
        <f t="shared" si="95"/>
        <v>"C:\Program Files (x86)\AstroGrep\AstroGrep.exe" /e /r /s /spath="%USERPROFILE%\AppData\Local\Temp\OnboardLogs" /stypes="app*4025*20170721*" /stext=" 10:.+((SYSTEM_STATE.+slice.+state.+changed )|(ment ac)|(multiple cpu faults)|(system.+state.+changed )|(\[timeout)|(PRM\|1\|D)|(kpr)|(kdp)|(train st.+moving)|(\|lc)|(penalty))"</v>
      </c>
      <c r="AG218" s="209" t="str">
        <f t="shared" si="96"/>
        <v>Other</v>
      </c>
      <c r="AH218" s="78" t="str">
        <f t="shared" si="97"/>
        <v>"%USERPROFILE%\Documents\GitHub\eaglep3\Utilities\RefineRTDCRunTimes.py" --tripid 310-21 --locoid 4025 --swversion DE.1.0.9.0 --startMP 300:23355 --initTime 2017-07-21T04:41:59 --startdatetime 2017-07-21T04:46:59 --delay 4 --endMP 204:141 --enddatetime 2017-07-21T04:57:48 --enforcementcount 0 &gt;&gt;C:\Users\stu\Documents\GitHub\eaglep3-reporting\EC\2017-07-21-refined-times.txt</v>
      </c>
      <c r="AI218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{"issue":{"subject":"","project_id":79,"tracker_id":40,"status_id":1,"priority_id":2,"assigned_to_id":23,"start_date":"2017-07-21","description":"","custom_fields":[{"id":1,"name":"Subdivision","value":"Other"},{"id":4,"name":"Milepost","value":"0.0141"},{"id":17,"name":"Train ID","value":"310-21"},{"id":16,"name":"Locomotive ID","value":"4025"},{"id":130,"name":"Impact","value":""},{"id":150,"name":"Time of Event (Mountain Time)","value":"04:57:48"},{"id":151,"name":"Denver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9"/>
        <v>start /low /b %USERPROFILE%\Documents\GitHub\eaglep3\Utilities\DownloadLogsFromS3.py --loco 4025 --day 2017-07-21</v>
      </c>
      <c r="AN218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10:57:48"},{"id":29,"name":"Sharepoint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863</v>
      </c>
      <c r="B219" s="7">
        <v>4046</v>
      </c>
      <c r="C219" s="21" t="s">
        <v>198</v>
      </c>
      <c r="D219" s="21" t="s">
        <v>463</v>
      </c>
      <c r="E219" s="13">
        <v>42938.089560185188</v>
      </c>
      <c r="F219" s="13">
        <v>42938.09097222222</v>
      </c>
      <c r="G219" s="7">
        <v>1</v>
      </c>
      <c r="H219" s="21" t="s">
        <v>345</v>
      </c>
      <c r="I219" s="13">
        <v>42938.099664351852</v>
      </c>
      <c r="J219" s="7">
        <v>0</v>
      </c>
      <c r="K219" s="89" t="str">
        <f t="shared" si="88"/>
        <v>4045/4046</v>
      </c>
      <c r="L219" s="21" t="str">
        <f>VLOOKUP(A219,'Trips&amp;Operators'!$C$1:$G$99999,5,FALSE)</f>
        <v>FORTUNATO FRANK</v>
      </c>
      <c r="M219" s="6">
        <f t="shared" si="89"/>
        <v>8.6921296315267682E-3</v>
      </c>
      <c r="N219" s="7">
        <f t="shared" si="101"/>
        <v>12.516666669398546</v>
      </c>
      <c r="O219" s="7"/>
      <c r="P219" s="7"/>
      <c r="Q219" s="22"/>
      <c r="R219" s="170"/>
      <c r="S219" s="213">
        <f t="shared" si="86"/>
        <v>1</v>
      </c>
      <c r="T219" s="195" t="str">
        <f t="shared" si="90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1"/>
        <v>https://d0f6bd738d7f1b3e5a7ca70fe4ff75f0.us-east-1.aws.found.io/app/kibana#/discover/Steve-Slow-Train-Analysis-(2080s-and-2083s)?_g=(refreshInterval:(display:Off,pause:!f,section:0,value:0),time:(from:'2017-07-22T01:08:58-0600',mode:absolute,to:'2017-07-22T03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si="87"/>
        <v>1</v>
      </c>
      <c r="Y219" s="197">
        <f t="shared" si="80"/>
        <v>4.4200000000000003E-2</v>
      </c>
      <c r="Z219" s="197">
        <f t="shared" si="81"/>
        <v>2.3346</v>
      </c>
      <c r="AA219" s="197">
        <f t="shared" si="92"/>
        <v>2.2904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3"/>
        <v>311</v>
      </c>
      <c r="AE219" s="77" t="str">
        <f t="shared" si="94"/>
        <v>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 &amp; 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</v>
      </c>
      <c r="AF219" s="74" t="str">
        <f t="shared" si="95"/>
        <v>"C:\Program Files (x86)\AstroGrep\AstroGrep.exe" /e /r /s /spath="%USERPROFILE%\AppData\Local\Temp\OnboardLogs" /stypes="app*4046*20170722*" /stext=" 08:.+((SYSTEM_STATE.+slice.+state.+changed )|(ment ac)|(multiple cpu faults)|(system.+state.+changed )|(\[timeout)|(PRM\|1\|D)|(kpr)|(kdp)|(train st.+moving)|(\|lc)|(penalty))"</v>
      </c>
      <c r="AG219" s="209" t="str">
        <f t="shared" si="96"/>
        <v>Other</v>
      </c>
      <c r="AH219" s="78" t="str">
        <f t="shared" si="97"/>
        <v>"%USERPROFILE%\Documents\GitHub\eaglep3\Utilities\RefineRTDCRunTimes.py" --tripid 311-21 --locoid 4046 --swversion DE.1.0.9.0 --startMP 204:442 --initTime 2017-07-22T02:08:58 --startdatetime 2017-07-22T02:11:00 --delay 1 --endMP 300:23346 --enddatetime 2017-07-22T02:23:31 --enforcementcount 0 &gt;&gt;C:\Users\stu\Documents\GitHub\eaglep3-reporting\EC\2017-07-21-refined-times.txt</v>
      </c>
      <c r="AI219" s="96" t="str">
        <f t="shared" si="98"/>
        <v>echo {"issue":{"subject":"","project_id":79,"tracker_id":40,"status_id":1,"priority_id":2,"assigned_to_id":23,"start_date":"2017-07-22","description":"","custom_fields":[{"id":1,"name":"Subdivision","value":"Other"},{"id":4,"name":"Milepost","value":"2.3346"},{"id":17,"name":"Train ID","value":"311-21"},{"id":16,"name":"Locomotive ID","value":"4046"},{"id":130,"name":"Impact","value":""},{"id":150,"name":"Time of Event (Mountain Time)","value":"02:23:31"},{"id":151,"name":"Denver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9"/>
        <v>start /low /b %USERPROFILE%\Documents\GitHub\eaglep3\Utilities\DownloadLogsFromS3.py --loco 4046 --day 2017-07-22</v>
      </c>
      <c r="AN219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685</v>
      </c>
      <c r="B220" s="7">
        <v>4027</v>
      </c>
      <c r="C220" s="21" t="s">
        <v>198</v>
      </c>
      <c r="D220" s="21" t="s">
        <v>945</v>
      </c>
      <c r="E220" s="13">
        <v>42937.228368055556</v>
      </c>
      <c r="F220" s="13">
        <v>42937.232777777775</v>
      </c>
      <c r="G220" s="7">
        <v>6</v>
      </c>
      <c r="H220" s="21" t="s">
        <v>482</v>
      </c>
      <c r="I220" s="13">
        <v>42937.23841435185</v>
      </c>
      <c r="J220" s="7">
        <v>0</v>
      </c>
      <c r="K220" s="89" t="str">
        <f t="shared" si="88"/>
        <v>4027/4028</v>
      </c>
      <c r="L220" s="21" t="str">
        <f>VLOOKUP(A220,'Trips&amp;Operators'!$C$1:$G$99999,5,FALSE)</f>
        <v>LANGERAK WILLIAM</v>
      </c>
      <c r="M220" s="6">
        <f t="shared" si="89"/>
        <v>5.6365740747423843E-3</v>
      </c>
      <c r="N220" s="7">
        <f t="shared" si="101"/>
        <v>8.1166666676290333</v>
      </c>
      <c r="O220" s="7"/>
      <c r="P220" s="7"/>
      <c r="Q220" s="22"/>
      <c r="R220" s="170"/>
      <c r="S220" s="213">
        <f t="shared" si="86"/>
        <v>1</v>
      </c>
      <c r="T220" s="195" t="str">
        <f t="shared" si="90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1"/>
        <v>https://d0f6bd738d7f1b3e5a7ca70fe4ff75f0.us-east-1.aws.found.io/app/kibana#/discover/Steve-Slow-Train-Analysis-(2080s-and-2083s)?_g=(refreshInterval:(display:Off,pause:!f,section:0,value:0),time:(from:'2017-07-21T04:28:51-0600',mode:absolute,to:'2017-07-21T06:43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0" s="197" t="str">
        <f>IF(AA220&lt;VLOOKUP(AG220,Variables!$AC$3:$AD$8,2,FALSE),"Y","N")</f>
        <v>Y</v>
      </c>
      <c r="X220" s="197">
        <f t="shared" si="87"/>
        <v>1</v>
      </c>
      <c r="Y220" s="197">
        <f t="shared" si="80"/>
        <v>2.3572000000000002</v>
      </c>
      <c r="Z220" s="197">
        <f t="shared" si="81"/>
        <v>1.34E-2</v>
      </c>
      <c r="AA220" s="197">
        <f t="shared" si="92"/>
        <v>2.3438000000000003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3"/>
        <v>312</v>
      </c>
      <c r="AE220" s="77" t="str">
        <f t="shared" si="94"/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AF220" s="74" t="str">
        <f t="shared" si="95"/>
        <v>"C:\Program Files (x86)\AstroGrep\AstroGrep.exe" /e /r /s /spath="%USERPROFILE%\AppData\Local\Temp\OnboardLogs" /stypes="app*4027*20170721*" /stext=" 11:.+((SYSTEM_STATE.+slice.+state.+changed )|(ment ac)|(multiple cpu faults)|(system.+state.+changed )|(\[timeout)|(PRM\|1\|D)|(kpr)|(kdp)|(train st.+moving)|(\|lc)|(penalty))"</v>
      </c>
      <c r="AG220" s="209" t="str">
        <f t="shared" si="96"/>
        <v>Other</v>
      </c>
      <c r="AH220" s="78" t="str">
        <f t="shared" si="97"/>
        <v>"%USERPROFILE%\Documents\GitHub\eaglep3\Utilities\RefineRTDCRunTimes.py" --tripid 312-21 --locoid 4027 --swversion DE.1.0.9.0 --startMP 300:23572 --initTime 2017-07-21T05:28:51 --startdatetime 2017-07-21T05:35:12 --delay 6 --endMP 204:134 --enddatetime 2017-07-21T05:43:19 --enforcementcount 0 &gt;&gt;C:\Users\stu\Documents\GitHub\eaglep3-reporting\EC\2017-07-21-refined-times.txt</v>
      </c>
      <c r="AI220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{"issue":{"subject":"","project_id":79,"tracker_id":40,"status_id":1,"priority_id":2,"assigned_to_id":23,"start_date":"2017-07-21","description":"","custom_fields":[{"id":1,"name":"Subdivision","value":"Other"},{"id":4,"name":"Milepost","value":"0.0134"},{"id":17,"name":"Train ID","value":"312-21"},{"id":16,"name":"Locomotive ID","value":"4027"},{"id":130,"name":"Impact","value":""},{"id":150,"name":"Time of Event (Mountain Time)","value":"05:43:19"},{"id":151,"name":"Denver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9"/>
        <v>start /low /b %USERPROFILE%\Documents\GitHub\eaglep3\Utilities\DownloadLogsFromS3.py --loco 4027 --day 2017-07-21</v>
      </c>
      <c r="AN220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11:43:19"},{"id":29,"name":"Sharepoint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547</v>
      </c>
      <c r="B221" s="7">
        <v>4056</v>
      </c>
      <c r="C221" s="21" t="s">
        <v>198</v>
      </c>
      <c r="D221" s="21" t="s">
        <v>377</v>
      </c>
      <c r="E221" s="13">
        <v>42937.089942129627</v>
      </c>
      <c r="F221" s="13">
        <v>42937.090983796297</v>
      </c>
      <c r="G221" s="7">
        <v>1</v>
      </c>
      <c r="H221" s="21" t="s">
        <v>345</v>
      </c>
      <c r="I221" s="13">
        <v>42937.099872685183</v>
      </c>
      <c r="J221" s="7">
        <v>0</v>
      </c>
      <c r="K221" s="89" t="str">
        <f t="shared" si="88"/>
        <v>4055/4056</v>
      </c>
      <c r="L221" s="21" t="str">
        <f>VLOOKUP(A221,'Trips&amp;Operators'!$C$1:$G$99999,5,FALSE)</f>
        <v>FORTUNATO FRANK</v>
      </c>
      <c r="M221" s="6">
        <f t="shared" si="89"/>
        <v>8.8888888858491555E-3</v>
      </c>
      <c r="N221" s="7">
        <f t="shared" si="101"/>
        <v>12.799999995622784</v>
      </c>
      <c r="O221" s="7"/>
      <c r="P221" s="7"/>
      <c r="Q221" s="22"/>
      <c r="R221" s="170"/>
      <c r="S221" s="213">
        <f t="shared" si="86"/>
        <v>1</v>
      </c>
      <c r="T221" s="195" t="str">
        <f t="shared" si="90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1"/>
        <v>https://d0f6bd738d7f1b3e5a7ca70fe4ff75f0.us-east-1.aws.found.io/app/kibana#/discover/Steve-Slow-Train-Analysis-(2080s-and-2083s)?_g=(refreshInterval:(display:Off,pause:!f,section:0,value:0),time:(from:'2017-07-21T01:09:31-0600',mode:absolute,to:'2017-07-21T03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1" s="197" t="str">
        <f>IF(AA221&lt;VLOOKUP(AG221,Variables!$AC$3:$AD$8,2,FALSE),"Y","N")</f>
        <v>Y</v>
      </c>
      <c r="X221" s="197">
        <f t="shared" si="87"/>
        <v>1</v>
      </c>
      <c r="Y221" s="197">
        <f t="shared" si="80"/>
        <v>4.6199999999999998E-2</v>
      </c>
      <c r="Z221" s="197">
        <f t="shared" si="81"/>
        <v>2.3346</v>
      </c>
      <c r="AA221" s="197">
        <f t="shared" si="92"/>
        <v>2.2884000000000002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3"/>
        <v>313</v>
      </c>
      <c r="AE221" s="77" t="str">
        <f t="shared" si="94"/>
        <v>aws s3 cp s3://rtdc.mdm.uploadarchive.raw/RTDC4056/ "%USERPROFILE%\AppData\Local\Temp\OnboardLogs"\RTDC4056\2017-07-21 --exclude "*" --recursive --include "*20170721*" &amp; "%USERPROFILE%\Documents\GitHub\mrs-test-scripts\Headless Mode &amp; Sideloading\WalkAndUnGZ.bat" "%USERPROFILE%\AppData\Local\Temp\OnboardLogs"\RTDC4056\2017-07-21 &amp; 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</v>
      </c>
      <c r="AF221" s="74" t="str">
        <f t="shared" si="95"/>
        <v>"C:\Program Files (x86)\AstroGrep\AstroGrep.exe" /e /r /s /spath="%USERPROFILE%\AppData\Local\Temp\OnboardLogs" /stypes="app*4056*20170721*" /stext=" 08:.+((SYSTEM_STATE.+slice.+state.+changed )|(ment ac)|(multiple cpu faults)|(system.+state.+changed )|(\[timeout)|(PRM\|1\|D)|(kpr)|(kdp)|(train st.+moving)|(\|lc)|(penalty))"</v>
      </c>
      <c r="AG221" s="209" t="str">
        <f t="shared" si="96"/>
        <v>Other</v>
      </c>
      <c r="AH221" s="78" t="str">
        <f t="shared" si="97"/>
        <v>"%USERPROFILE%\Documents\GitHub\eaglep3\Utilities\RefineRTDCRunTimes.py" --tripid 313-20 --locoid 4056 --swversion DE.1.0.9.0 --startMP 204:462 --initTime 2017-07-21T02:09:31 --startdatetime 2017-07-21T02:11:01 --delay 1 --endMP 300:23346 --enddatetime 2017-07-21T02:23:49 --enforcementcount 0 &gt;&gt;C:\Users\stu\Documents\GitHub\eaglep3-reporting\EC\2017-07-21-refined-times.txt</v>
      </c>
      <c r="AI221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{"issue":{"subject":"","project_id":79,"tracker_id":40,"status_id":1,"priority_id":2,"assigned_to_id":23,"start_date":"2017-07-21","description":"","custom_fields":[{"id":1,"name":"Subdivision","value":"Other"},{"id":4,"name":"Milepost","value":"2.3346"},{"id":17,"name":"Train ID","value":"313-20"},{"id":16,"name":"Locomotive ID","value":"4056"},{"id":130,"name":"Impact","value":""},{"id":150,"name":"Time of Event (Mountain Time)","value":"02:23:49"},{"id":151,"name":"Denver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9"/>
        <v>start /low /b %USERPROFILE%\Documents\GitHub\eaglep3\Utilities\DownloadLogsFromS3.py --loco 4056 --day 2017-07-21</v>
      </c>
      <c r="AN221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678</v>
      </c>
      <c r="B222" s="7">
        <v>4052</v>
      </c>
      <c r="C222" s="21" t="s">
        <v>198</v>
      </c>
      <c r="D222" s="21" t="s">
        <v>1022</v>
      </c>
      <c r="E222" s="13">
        <v>42937.198750000003</v>
      </c>
      <c r="F222" s="13">
        <v>42937.204618055555</v>
      </c>
      <c r="G222" s="7">
        <v>8</v>
      </c>
      <c r="H222" s="21" t="s">
        <v>1023</v>
      </c>
      <c r="I222" s="13">
        <v>42937.210520833331</v>
      </c>
      <c r="J222" s="7">
        <v>0</v>
      </c>
      <c r="K222" s="89" t="str">
        <f t="shared" si="88"/>
        <v>4051/4052</v>
      </c>
      <c r="L222" s="21" t="str">
        <f>VLOOKUP(A222,'Trips&amp;Operators'!$C$1:$G$99999,5,FALSE)</f>
        <v>GUZMAN DANNY</v>
      </c>
      <c r="M222" s="6">
        <f t="shared" si="89"/>
        <v>5.9027777751907706E-3</v>
      </c>
      <c r="N222" s="7">
        <f t="shared" si="101"/>
        <v>8.4999999962747097</v>
      </c>
      <c r="O222" s="7"/>
      <c r="P222" s="7"/>
      <c r="Q222" s="22"/>
      <c r="R222" s="170"/>
      <c r="S222" s="213">
        <f t="shared" si="86"/>
        <v>0</v>
      </c>
      <c r="T222" s="195" t="str">
        <f t="shared" si="90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91"/>
        <v>https://d0f6bd738d7f1b3e5a7ca70fe4ff75f0.us-east-1.aws.found.io/app/kibana#/discover/Steve-Slow-Train-Analysis-(2080s-and-2083s)?_g=(refreshInterval:(display:Off,pause:!f,section:0,value:0),time:(from:'2017-07-21T03:46:12-0600',mode:absolute,to:'2017-07-21T06:03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2" s="197" t="str">
        <f>IF(AA222&lt;VLOOKUP(AG222,Variables!$AC$3:$AD$8,2,FALSE),"Y","N")</f>
        <v>Y</v>
      </c>
      <c r="X222" s="197">
        <f t="shared" si="87"/>
        <v>588</v>
      </c>
      <c r="Y222" s="197">
        <f t="shared" ref="Y222:Y246" si="102">RIGHT(D222,LEN(D222)-4)/10000</f>
        <v>3.0234999999999999</v>
      </c>
      <c r="Z222" s="197">
        <f t="shared" ref="Z222:Z246" si="103">RIGHT(H222,LEN(H222)-4)/10000</f>
        <v>5.8945999999999996</v>
      </c>
      <c r="AA222" s="197">
        <f t="shared" si="92"/>
        <v>2.8710999999999998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3"/>
        <v>901</v>
      </c>
      <c r="AE222" s="77" t="str">
        <f t="shared" si="94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222" s="74" t="str">
        <f t="shared" si="95"/>
        <v>"C:\Program Files (x86)\AstroGrep\AstroGrep.exe" /e /r /s /spath="%USERPROFILE%\AppData\Local\Temp\OnboardLogs" /stypes="app*4052*20170721*" /stext=" 11:.+((SYSTEM_STATE.+slice.+state.+changed )|(ment ac)|(multiple cpu faults)|(system.+state.+changed )|(\[timeout)|(PRM\|1\|D)|(kpr)|(kdp)|(train st.+moving)|(\|lc)|(penalty))"</v>
      </c>
      <c r="AG222" s="209" t="str">
        <f t="shared" si="96"/>
        <v>Other</v>
      </c>
      <c r="AH222" s="78" t="str">
        <f t="shared" si="97"/>
        <v>"%USERPROFILE%\Documents\GitHub\eaglep3\Utilities\RefineRTDCRunTimes.py" --tripid 901-21 --locoid 4052 --swversion DE.1.0.9.0 --startMP 300:30235 --initTime 2017-07-21T04:46:12 --startdatetime 2017-07-21T04:54:39 --delay 8 --endMP 300:58946 --enddatetime 2017-07-21T05:03:09 --enforcementcount 0 &gt;&gt;C:\Users\stu\Documents\GitHub\eaglep3-reporting\EC\2017-07-21-refined-times.txt</v>
      </c>
      <c r="AI222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{"issue":{"subject":"","project_id":79,"tracker_id":40,"status_id":1,"priority_id":2,"assigned_to_id":23,"start_date":"2017-07-21","description":"","custom_fields":[{"id":1,"name":"Subdivision","value":"Other"},{"id":4,"name":"Milepost","value":"5.8946"},{"id":17,"name":"Train ID","value":"901-21"},{"id":16,"name":"Locomotive ID","value":"4052"},{"id":130,"name":"Impact","value":""},{"id":150,"name":"Time of Event (Mountain Time)","value":"05:03:09"},{"id":151,"name":"Denver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9"/>
        <v>start /low /b %USERPROFILE%\Documents\GitHub\eaglep3\Utilities\DownloadLogsFromS3.py --loco 4052 --day 2017-07-21</v>
      </c>
      <c r="AN222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11:03:09"},{"id":29,"name":"Sharepoint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687</v>
      </c>
      <c r="B223" s="7">
        <v>4005</v>
      </c>
      <c r="C223" s="21" t="s">
        <v>198</v>
      </c>
      <c r="D223" s="21" t="s">
        <v>592</v>
      </c>
      <c r="E223" s="13">
        <v>42937.24491898148</v>
      </c>
      <c r="F223" s="13">
        <v>42937.249398148146</v>
      </c>
      <c r="G223" s="7">
        <v>6</v>
      </c>
      <c r="H223" s="21" t="s">
        <v>600</v>
      </c>
      <c r="I223" s="13">
        <v>42937.254641203705</v>
      </c>
      <c r="J223" s="7">
        <v>0</v>
      </c>
      <c r="K223" s="89" t="str">
        <f t="shared" si="88"/>
        <v>4005/4006</v>
      </c>
      <c r="L223" s="21" t="str">
        <f>VLOOKUP(A223,'Trips&amp;Operators'!$C$1:$G$99999,5,FALSE)</f>
        <v>NICHOLSON WESLEY</v>
      </c>
      <c r="M223" s="6">
        <f t="shared" si="89"/>
        <v>5.2430555588216521E-3</v>
      </c>
      <c r="N223" s="7">
        <f t="shared" si="101"/>
        <v>7.550000004703179</v>
      </c>
      <c r="O223" s="7"/>
      <c r="P223" s="7"/>
      <c r="Q223" s="22"/>
      <c r="R223" s="170"/>
      <c r="S223" s="213">
        <f t="shared" si="86"/>
        <v>1</v>
      </c>
      <c r="T223" s="195" t="str">
        <f t="shared" si="90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91"/>
        <v>https://d0f6bd738d7f1b3e5a7ca70fe4ff75f0.us-east-1.aws.found.io/app/kibana#/discover/Steve-Slow-Train-Analysis-(2080s-and-2083s)?_g=(refreshInterval:(display:Off,pause:!f,section:0,value:0),time:(from:'2017-07-21T04:52:41-0600',mode:absolute,to:'2017-07-21T07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197" t="str">
        <f>IF(AA223&lt;VLOOKUP(AG223,Variables!$AC$3:$AD$8,2,FALSE),"Y","N")</f>
        <v>Y</v>
      </c>
      <c r="X223" s="197">
        <f t="shared" si="87"/>
        <v>1</v>
      </c>
      <c r="Y223" s="197">
        <f t="shared" si="102"/>
        <v>2.3433999999999999</v>
      </c>
      <c r="Z223" s="197">
        <f t="shared" si="103"/>
        <v>6.8400000000000002E-2</v>
      </c>
      <c r="AA223" s="197">
        <f t="shared" si="92"/>
        <v>2.2749999999999999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3"/>
        <v>902</v>
      </c>
      <c r="AE223" s="77" t="str">
        <f t="shared" si="94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223" s="74" t="str">
        <f t="shared" si="95"/>
        <v>"C:\Program Files (x86)\AstroGrep\AstroGrep.exe" /e /r /s /spath="%USERPROFILE%\AppData\Local\Temp\OnboardLogs" /stypes="app*4005*20170721*" /stext=" 12:.+((SYSTEM_STATE.+slice.+state.+changed )|(ment ac)|(multiple cpu faults)|(system.+state.+changed )|(\[timeout)|(PRM\|1\|D)|(kpr)|(kdp)|(train st.+moving)|(\|lc)|(penalty))"</v>
      </c>
      <c r="AG223" s="209" t="str">
        <f t="shared" si="96"/>
        <v>Other</v>
      </c>
      <c r="AH223" s="78" t="str">
        <f t="shared" si="97"/>
        <v>"%USERPROFILE%\Documents\GitHub\eaglep3\Utilities\RefineRTDCRunTimes.py" --tripid 902-21 --locoid 4005 --swversion DE.1.0.9.0 --startMP 300:23434 --initTime 2017-07-21T05:52:41 --startdatetime 2017-07-21T05:59:08 --delay 6 --endMP 204:684 --enddatetime 2017-07-21T06:06:41 --enforcementcount 0 &gt;&gt;C:\Users\stu\Documents\GitHub\eaglep3-reporting\EC\2017-07-21-refined-times.txt</v>
      </c>
      <c r="AI223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{"issue":{"subject":"","project_id":79,"tracker_id":40,"status_id":1,"priority_id":2,"assigned_to_id":23,"start_date":"2017-07-21","description":"","custom_fields":[{"id":1,"name":"Subdivision","value":"Other"},{"id":4,"name":"Milepost","value":"0.0684"},{"id":17,"name":"Train ID","value":"902-21"},{"id":16,"name":"Locomotive ID","value":"4005"},{"id":130,"name":"Impact","value":""},{"id":150,"name":"Time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9"/>
        <v>start /low /b %USERPROFILE%\Documents\GitHub\eaglep3\Utilities\DownloadLogsFromS3.py --loco 4005 --day 2017-07-21</v>
      </c>
      <c r="AN223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718</v>
      </c>
      <c r="B224" s="7">
        <v>4052</v>
      </c>
      <c r="C224" s="21" t="s">
        <v>198</v>
      </c>
      <c r="D224" s="21" t="s">
        <v>1024</v>
      </c>
      <c r="E224" s="13">
        <v>42937.352916666663</v>
      </c>
      <c r="F224" s="13">
        <v>42937.354756944442</v>
      </c>
      <c r="G224" s="7">
        <v>1</v>
      </c>
      <c r="H224" s="21" t="s">
        <v>616</v>
      </c>
      <c r="I224" s="13">
        <v>42937.361388888887</v>
      </c>
      <c r="J224" s="7">
        <v>0</v>
      </c>
      <c r="K224" s="89" t="str">
        <f t="shared" si="88"/>
        <v>4051/4052</v>
      </c>
      <c r="L224" s="21" t="str">
        <f>VLOOKUP(A224,'Trips&amp;Operators'!$C$1:$G$99999,5,FALSE)</f>
        <v>GUZMAN DANNY</v>
      </c>
      <c r="M224" s="6">
        <f t="shared" si="89"/>
        <v>6.6319444449618459E-3</v>
      </c>
      <c r="N224" s="7">
        <f t="shared" si="101"/>
        <v>9.5500000007450581</v>
      </c>
      <c r="O224" s="7"/>
      <c r="P224" s="7"/>
      <c r="Q224" s="22"/>
      <c r="R224" s="170"/>
      <c r="S224" s="213">
        <f t="shared" si="86"/>
        <v>1</v>
      </c>
      <c r="T224" s="195" t="str">
        <f t="shared" si="90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1"/>
        <v>https://d0f6bd738d7f1b3e5a7ca70fe4ff75f0.us-east-1.aws.found.io/app/kibana#/discover/Steve-Slow-Train-Analysis-(2080s-and-2083s)?_g=(refreshInterval:(display:Off,pause:!f,section:0,value:0),time:(from:'2017-07-21T07:28:12-0600',mode:absolute,to:'2017-07-21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197" t="str">
        <f>IF(AA224&lt;VLOOKUP(AG224,Variables!$AC$3:$AD$8,2,FALSE),"Y","N")</f>
        <v>Y</v>
      </c>
      <c r="X224" s="197">
        <f t="shared" si="87"/>
        <v>1</v>
      </c>
      <c r="Y224" s="197">
        <f t="shared" si="102"/>
        <v>4.2099999999999999E-2</v>
      </c>
      <c r="Z224" s="197">
        <f t="shared" si="103"/>
        <v>2.4262999999999999</v>
      </c>
      <c r="AA224" s="197">
        <f t="shared" si="92"/>
        <v>2.3841999999999999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3"/>
        <v>903</v>
      </c>
      <c r="AE224" s="77" t="str">
        <f t="shared" si="94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224" s="74" t="str">
        <f t="shared" si="95"/>
        <v>"C:\Program Files (x86)\AstroGrep\AstroGrep.exe" /e /r /s /spath="%USERPROFILE%\AppData\Local\Temp\OnboardLogs" /stypes="app*4052*20170721*" /stext=" 14:.+((SYSTEM_STATE.+slice.+state.+changed )|(ment ac)|(multiple cpu faults)|(system.+state.+changed )|(\[timeout)|(PRM\|1\|D)|(kpr)|(kdp)|(train st.+moving)|(\|lc)|(penalty))"</v>
      </c>
      <c r="AG224" s="209" t="str">
        <f t="shared" si="96"/>
        <v>Other</v>
      </c>
      <c r="AH224" s="78" t="str">
        <f t="shared" si="97"/>
        <v>"%USERPROFILE%\Documents\GitHub\eaglep3\Utilities\RefineRTDCRunTimes.py" --tripid 903-21 --locoid 4052 --swversion DE.1.0.9.0 --startMP 204:421 --initTime 2017-07-21T08:28:12 --startdatetime 2017-07-21T08:30:51 --delay 1 --endMP 300:24263 --enddatetime 2017-07-21T08:40:24 --enforcementcount 0 &gt;&gt;C:\Users\stu\Documents\GitHub\eaglep3-reporting\EC\2017-07-21-refined-times.txt</v>
      </c>
      <c r="AI224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{"issue":{"subject":"","project_id":79,"tracker_id":40,"status_id":1,"priority_id":2,"assigned_to_id":23,"start_date":"2017-07-21","description":"","custom_fields":[{"id":1,"name":"Subdivision","value":"Other"},{"id":4,"name":"Milepost","value":"2.4263"},{"id":17,"name":"Train ID","value":"903-21"},{"id":16,"name":"Locomotive ID","value":"4052"},{"id":130,"name":"Impact","value":""},{"id":150,"name":"Time of Event (Mountain Time)","value":"08:40:24"},{"id":151,"name":"Denver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9"/>
        <v>start /low /b %USERPROFILE%\Documents\GitHub\eaglep3\Utilities\DownloadLogsFromS3.py --loco 4052 --day 2017-07-21</v>
      </c>
      <c r="AN224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14:40:24"},{"id":29,"name":"Sharepoint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850</v>
      </c>
      <c r="B225" s="7">
        <v>4005</v>
      </c>
      <c r="C225" s="21" t="s">
        <v>198</v>
      </c>
      <c r="D225" s="21" t="s">
        <v>597</v>
      </c>
      <c r="E225" s="13">
        <v>42937.944004629629</v>
      </c>
      <c r="F225" s="13">
        <v>42937.945416666669</v>
      </c>
      <c r="G225" s="7">
        <v>1</v>
      </c>
      <c r="H225" s="21" t="s">
        <v>1025</v>
      </c>
      <c r="I225" s="13">
        <v>42937.961331018516</v>
      </c>
      <c r="J225" s="7">
        <v>0</v>
      </c>
      <c r="K225" s="89" t="str">
        <f t="shared" si="88"/>
        <v>4005/4006</v>
      </c>
      <c r="L225" s="21" t="str">
        <f>VLOOKUP(A225,'Trips&amp;Operators'!$C$1:$G$99999,5,FALSE)</f>
        <v>MCREYNOLDS KYLE</v>
      </c>
      <c r="M225" s="6">
        <f t="shared" si="89"/>
        <v>1.5914351846731734E-2</v>
      </c>
      <c r="N225" s="7">
        <f t="shared" si="101"/>
        <v>22.916666659293696</v>
      </c>
      <c r="O225" s="7"/>
      <c r="P225" s="7"/>
      <c r="Q225" s="22"/>
      <c r="R225" s="170"/>
      <c r="S225" s="213">
        <f t="shared" si="86"/>
        <v>0</v>
      </c>
      <c r="T225" s="195" t="str">
        <f t="shared" si="90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91"/>
        <v>https://d0f6bd738d7f1b3e5a7ca70fe4ff75f0.us-east-1.aws.found.io/app/kibana#/discover/Steve-Slow-Train-Analysis-(2080s-and-2083s)?_g=(refreshInterval:(display:Off,pause:!f,section:0,value:0),time:(from:'2017-07-21T21:39:22-0600',mode:absolute,to:'2017-07-22T00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97" t="str">
        <f>IF(AA225&lt;VLOOKUP(AG225,Variables!$AC$3:$AD$8,2,FALSE),"Y","N")</f>
        <v>Y</v>
      </c>
      <c r="X225" s="197">
        <f t="shared" si="87"/>
        <v>5</v>
      </c>
      <c r="Y225" s="197">
        <f t="shared" si="102"/>
        <v>5.8623000000000003</v>
      </c>
      <c r="Z225" s="197">
        <f t="shared" si="103"/>
        <v>2.8778000000000001</v>
      </c>
      <c r="AA225" s="197">
        <f t="shared" si="92"/>
        <v>2.9845000000000002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3"/>
        <v>908</v>
      </c>
      <c r="AE225" s="77" t="str">
        <f t="shared" si="94"/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AF225" s="74" t="str">
        <f t="shared" si="95"/>
        <v>"C:\Program Files (x86)\AstroGrep\AstroGrep.exe" /e /r /s /spath="%USERPROFILE%\AppData\Local\Temp\OnboardLogs" /stypes="app*4005*20170722*" /stext=" 05:.+((SYSTEM_STATE.+slice.+state.+changed )|(ment ac)|(multiple cpu faults)|(system.+state.+changed )|(\[timeout)|(PRM\|1\|D)|(kpr)|(kdp)|(train st.+moving)|(\|lc)|(penalty))"</v>
      </c>
      <c r="AG225" s="209" t="str">
        <f t="shared" si="96"/>
        <v>Other</v>
      </c>
      <c r="AH225" s="78" t="str">
        <f t="shared" si="97"/>
        <v>"%USERPROFILE%\Documents\GitHub\eaglep3\Utilities\RefineRTDCRunTimes.py" --tripid 908-21 --locoid 4005 --swversion DE.1.0.9.0 --startMP 300:58623 --initTime 2017-07-21T22:39:22 --startdatetime 2017-07-21T22:41:24 --delay 1 --endMP 300:28778 --enddatetime 2017-07-21T23:04:19 --enforcementcount 0 &gt;&gt;C:\Users\stu\Documents\GitHub\eaglep3-reporting\EC\2017-07-21-refined-times.txt</v>
      </c>
      <c r="AI225" s="96" t="str">
        <f t="shared" si="98"/>
        <v>echo {"issue":{"subject":"","project_id":79,"tracker_id":40,"status_id":1,"priority_id":2,"assigned_to_id":23,"start_date":"2017-07-21","description":"","custom_fields":[{"id":1,"name":"Subdivision","value":"Other"},{"id":4,"name":"Milepost","value":"2.8778"},{"id":17,"name":"Train ID","value":"908-21"},{"id":16,"name":"Locomotive ID","value":"4005"},{"id":130,"name":"Impact","value":""},{"id":150,"name":"Time of Event (Mountain Time)","value":"23:04:19"},{"id":151,"name":"Denver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9"/>
        <v>start /low /b %USERPROFILE%\Documents\GitHub\eaglep3\Utilities\DownloadLogsFromS3.py --loco 4005 --day 2017-07-21</v>
      </c>
      <c r="AN225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05:04:19"},{"id":29,"name":"Sharepoint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783</v>
      </c>
      <c r="B226" s="7">
        <v>4051</v>
      </c>
      <c r="C226" s="21" t="s">
        <v>198</v>
      </c>
      <c r="D226" s="21" t="s">
        <v>946</v>
      </c>
      <c r="E226" s="13">
        <v>42937.635682870372</v>
      </c>
      <c r="F226" s="13">
        <v>42937.638310185182</v>
      </c>
      <c r="G226" s="7">
        <v>3</v>
      </c>
      <c r="H226" s="21" t="s">
        <v>947</v>
      </c>
      <c r="I226" s="13">
        <v>42937.643854166665</v>
      </c>
      <c r="J226" s="7">
        <v>0</v>
      </c>
      <c r="K226" s="89" t="str">
        <f t="shared" si="88"/>
        <v>4051/4052</v>
      </c>
      <c r="L226" s="21" t="str">
        <f>VLOOKUP(A226,'Trips&amp;Operators'!$C$1:$G$99999,5,FALSE)</f>
        <v>MCREYNOLDS KYLE</v>
      </c>
      <c r="M226" s="6">
        <f t="shared" si="89"/>
        <v>5.543981482333038E-3</v>
      </c>
      <c r="N226" s="7">
        <f t="shared" si="101"/>
        <v>7.9833333345595747</v>
      </c>
      <c r="O226" s="7"/>
      <c r="P226" s="7"/>
      <c r="Q226" s="22"/>
      <c r="R226" s="170"/>
      <c r="S226" s="213">
        <f t="shared" si="86"/>
        <v>1</v>
      </c>
      <c r="T226" s="195" t="str">
        <f t="shared" si="90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91"/>
        <v>https://d0f6bd738d7f1b3e5a7ca70fe4ff75f0.us-east-1.aws.found.io/app/kibana#/discover/Steve-Slow-Train-Analysis-(2080s-and-2083s)?_g=(refreshInterval:(display:Off,pause:!f,section:0,value:0),time:(from:'2017-07-21T14:15:23-0600',mode:absolute,to:'2017-07-21T16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6" s="197" t="str">
        <f>IF(AA226&lt;VLOOKUP(AG226,Variables!$AC$3:$AD$8,2,FALSE),"Y","N")</f>
        <v>Y</v>
      </c>
      <c r="X226" s="197">
        <f t="shared" si="87"/>
        <v>-858</v>
      </c>
      <c r="Y226" s="197">
        <f t="shared" si="102"/>
        <v>2.3730000000000002</v>
      </c>
      <c r="Z226" s="197">
        <f t="shared" si="103"/>
        <v>6.6799999999999998E-2</v>
      </c>
      <c r="AA226" s="197">
        <f t="shared" si="92"/>
        <v>2.3062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3"/>
        <v>50</v>
      </c>
      <c r="AE226" s="77" t="str">
        <f t="shared" si="94"/>
        <v>aws s3 cp s3://rtdc.mdm.uploadarchive.raw/RTDC4051/ "%USERPROFILE%\AppData\Local\Temp\OnboardLogs"\RTDC4051\2017-07-21 --exclude "*" --recursive --include "*20170721*" &amp; "%USERPROFILE%\Documents\GitHub\mrs-test-scripts\Headless Mode &amp; Sideloading\WalkAndUnGZ.bat" "%USERPROFILE%\AppData\Local\Temp\OnboardLogs"\RTDC4051\2017-07-21 &amp; aws s3 cp s3://rtdc.mdm.uploadarchive.raw/RTDC4051/ "%USERPROFILE%\AppData\Local\Temp\OnboardLogs"\RTDC4051\2017-07-22 --exclude "*" --recursive --include "*20170722*" &amp; "%USERPROFILE%\Documents\GitHub\mrs-test-scripts\Headless Mode &amp; Sideloading\WalkAndUnGZ.bat" "%USERPROFILE%\AppData\Local\Temp\OnboardLogs"\RTDC4051\2017-07-22</v>
      </c>
      <c r="AF226" s="74" t="str">
        <f t="shared" si="95"/>
        <v>"C:\Program Files (x86)\AstroGrep\AstroGrep.exe" /e /r /s /spath="%USERPROFILE%\AppData\Local\Temp\OnboardLogs" /stypes="app*4051*20170721*" /stext=" 21:.+((SYSTEM_STATE.+slice.+state.+changed )|(ment ac)|(multiple cpu faults)|(system.+state.+changed )|(\[timeout)|(PRM\|1\|D)|(kpr)|(kdp)|(train st.+moving)|(\|lc)|(penalty))"</v>
      </c>
      <c r="AG226" s="209" t="str">
        <f t="shared" si="96"/>
        <v>Shuttle/Test</v>
      </c>
      <c r="AH226" s="78" t="str">
        <f t="shared" si="97"/>
        <v>"%USERPROFILE%\Documents\GitHub\eaglep3\Utilities\RefineRTDCRunTimes.py" --tripid 50-21 --locoid 4051 --swversion DE.1.0.9.0 --startMP 300:23730 --initTime 2017-07-21T15:15:23 --startdatetime 2017-07-21T15:19:10 --delay 3 --endMP 204:668 --enddatetime 2017-07-21T15:27:09 --enforcementcount 0 &gt;&gt;C:\Users\stu\Documents\GitHub\eaglep3-reporting\EC\2017-07-21-refined-times.txt</v>
      </c>
      <c r="AI226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0.0668"},{"id":17,"name":"Train ID","value":"50-21"},{"id":16,"name":"Locomotive ID","value":"4051"},{"id":130,"name":"Impact","value":""},{"id":150,"name":"Time of Event (Mountain Time)","value":"15:27:09"},{"id":151,"name":"Denver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9"/>
        <v>start /low /b %USERPROFILE%\Documents\GitHub\eaglep3\Utilities\DownloadLogsFromS3.py --loco 4051 --day 2017-07-21</v>
      </c>
      <c r="AN226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21:27:09"},{"id":29,"name":"Sharepoint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648</v>
      </c>
      <c r="B227" s="7">
        <v>4035</v>
      </c>
      <c r="C227" s="21" t="s">
        <v>198</v>
      </c>
      <c r="D227" s="21" t="s">
        <v>563</v>
      </c>
      <c r="E227" s="13">
        <v>42937.877118055556</v>
      </c>
      <c r="F227" s="13">
        <v>42937.925937499997</v>
      </c>
      <c r="G227" s="7">
        <v>1</v>
      </c>
      <c r="H227" s="21" t="s">
        <v>948</v>
      </c>
      <c r="I227" s="13">
        <v>42937.935266203705</v>
      </c>
      <c r="J227" s="7">
        <v>0</v>
      </c>
      <c r="K227" s="89" t="str">
        <f t="shared" si="88"/>
        <v>4035/4036</v>
      </c>
      <c r="L227" s="21" t="str">
        <f>VLOOKUP(A227,'Trips&amp;Operators'!$C$1:$G$99999,5,FALSE)</f>
        <v>RESPASS AARON</v>
      </c>
      <c r="M227" s="6">
        <f t="shared" si="89"/>
        <v>9.3287037088884972E-3</v>
      </c>
      <c r="N227" s="7">
        <f t="shared" si="101"/>
        <v>13.433333340799436</v>
      </c>
      <c r="O227" s="7"/>
      <c r="P227" s="7"/>
      <c r="Q227" s="22"/>
      <c r="R227" s="170"/>
      <c r="S227" s="213">
        <f t="shared" si="86"/>
        <v>1</v>
      </c>
      <c r="T227" s="195" t="str">
        <f t="shared" si="90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91"/>
        <v>https://d0f6bd738d7f1b3e5a7ca70fe4ff75f0.us-east-1.aws.found.io/app/kibana#/discover/Steve-Slow-Train-Analysis-(2080s-and-2083s)?_g=(refreshInterval:(display:Off,pause:!f,section:0,value:0),time:(from:'2017-07-21T20:03:03-0600',mode:absolute,to:'2017-07-21T23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197" t="str">
        <f>IF(AA227&lt;VLOOKUP(AG227,Variables!$AC$3:$AD$8,2,FALSE),"Y","N")</f>
        <v>Y</v>
      </c>
      <c r="X227" s="197">
        <f t="shared" si="87"/>
        <v>2</v>
      </c>
      <c r="Y227" s="197">
        <f t="shared" si="102"/>
        <v>23.299099999999999</v>
      </c>
      <c r="Z227" s="197">
        <f t="shared" si="103"/>
        <v>0.11559999999999999</v>
      </c>
      <c r="AA227" s="197">
        <f t="shared" si="92"/>
        <v>23.183499999999999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3"/>
        <v>52</v>
      </c>
      <c r="AE227" s="77" t="str">
        <f t="shared" si="94"/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27" s="74" t="str">
        <f t="shared" si="95"/>
        <v>"C:\Program Files (x86)\AstroGrep\AstroGrep.exe" /e /r /s /spath="%USERPROFILE%\AppData\Local\Temp\OnboardLogs" /stypes="app*4035*20170722*" /stext=" 04:.+((SYSTEM_STATE.+slice.+state.+changed )|(ment ac)|(multiple cpu faults)|(system.+state.+changed )|(\[timeout)|(PRM\|1\|D)|(kpr)|(kdp)|(train st.+moving)|(\|lc)|(penalty))"</v>
      </c>
      <c r="AG227" s="209" t="str">
        <f t="shared" si="96"/>
        <v>Shuttle/Test</v>
      </c>
      <c r="AH227" s="78" t="str">
        <f t="shared" si="97"/>
        <v>"%USERPROFILE%\Documents\GitHub\eaglep3\Utilities\RefineRTDCRunTimes.py" --tripid 52-21 --locoid 4035 --swversion DE.1.0.9.0 --startMP 204:232991 --initTime 2017-07-21T21:03:03 --startdatetime 2017-07-21T22:13:21 --delay 1 --endMP 204:1156 --enddatetime 2017-07-21T22:26:47 --enforcementcount 0 &gt;&gt;C:\Users\stu\Documents\GitHub\eaglep3-reporting\EC\2017-07-21-refined-times.txt</v>
      </c>
      <c r="AI227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0.1156"},{"id":17,"name":"Train ID","value":"52-21"},{"id":16,"name":"Locomotive ID","value":"4035"},{"id":130,"name":"Impact","value":""},{"id":150,"name":"Time of Event (Mountain Time)","value":"22:26:47"},{"id":151,"name":"Denver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99"/>
        <v>start /low /b %USERPROFILE%\Documents\GitHub\eaglep3\Utilities\DownloadLogsFromS3.py --loco 4035 --day 2017-07-21</v>
      </c>
      <c r="AN227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648</v>
      </c>
      <c r="B228" s="7">
        <v>4035</v>
      </c>
      <c r="C228" s="21" t="s">
        <v>198</v>
      </c>
      <c r="D228" s="21" t="s">
        <v>949</v>
      </c>
      <c r="E228" s="13">
        <v>42937.798946759256</v>
      </c>
      <c r="F228" s="13">
        <v>42937.843958333331</v>
      </c>
      <c r="G228" s="7">
        <v>12</v>
      </c>
      <c r="H228" s="21" t="s">
        <v>950</v>
      </c>
      <c r="I228" s="13">
        <v>42937.871423611112</v>
      </c>
      <c r="J228" s="7">
        <v>0</v>
      </c>
      <c r="K228" s="89" t="str">
        <f t="shared" si="88"/>
        <v>4035/4036</v>
      </c>
      <c r="L228" s="21" t="str">
        <f>VLOOKUP(A228,'Trips&amp;Operators'!$C$1:$G$99999,5,FALSE)</f>
        <v>RESPASS AARON</v>
      </c>
      <c r="M228" s="6">
        <f t="shared" si="89"/>
        <v>2.7465277780720498E-2</v>
      </c>
      <c r="N228" s="7">
        <f t="shared" si="101"/>
        <v>39.550000004237518</v>
      </c>
      <c r="O228" s="7"/>
      <c r="P228" s="7"/>
      <c r="Q228" s="22"/>
      <c r="R228" s="170"/>
      <c r="S228" s="213">
        <f t="shared" si="86"/>
        <v>0</v>
      </c>
      <c r="T228" s="195" t="str">
        <f t="shared" si="90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1"/>
        <v>https://d0f6bd738d7f1b3e5a7ca70fe4ff75f0.us-east-1.aws.found.io/app/kibana#/discover/Steve-Slow-Train-Analysis-(2080s-and-2083s)?_g=(refreshInterval:(display:Off,pause:!f,section:0,value:0),time:(from:'2017-07-21T18:10:29-0600',mode:absolute,to:'2017-07-21T21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8" s="197" t="str">
        <f>IF(AA228&lt;VLOOKUP(AG228,Variables!$AC$3:$AD$8,2,FALSE),"Y","N")</f>
        <v>Y</v>
      </c>
      <c r="X228" s="197">
        <f t="shared" si="87"/>
        <v>0</v>
      </c>
      <c r="Y228" s="197">
        <f t="shared" si="102"/>
        <v>2.3311999999999999</v>
      </c>
      <c r="Z228" s="197">
        <f t="shared" si="103"/>
        <v>2.2440000000000002</v>
      </c>
      <c r="AA228" s="197">
        <f t="shared" si="92"/>
        <v>8.7199999999999722E-2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3"/>
        <v>52</v>
      </c>
      <c r="AE228" s="77" t="str">
        <f t="shared" si="94"/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28" s="74" t="str">
        <f t="shared" si="95"/>
        <v>"C:\Program Files (x86)\AstroGrep\AstroGrep.exe" /e /r /s /spath="%USERPROFILE%\AppData\Local\Temp\OnboardLogs" /stypes="app*4035*20170722*" /stext=" 02:.+((SYSTEM_STATE.+slice.+state.+changed )|(ment ac)|(multiple cpu faults)|(system.+state.+changed )|(\[timeout)|(PRM\|1\|D)|(kpr)|(kdp)|(train st.+moving)|(\|lc)|(penalty))"</v>
      </c>
      <c r="AG228" s="209" t="str">
        <f t="shared" si="96"/>
        <v>Shuttle/Test</v>
      </c>
      <c r="AH228" s="78" t="str">
        <f t="shared" si="97"/>
        <v>"%USERPROFILE%\Documents\GitHub\eaglep3\Utilities\RefineRTDCRunTimes.py" --tripid 52-21 --locoid 4035 --swversion DE.1.0.9.0 --startMP 300:23312 --initTime 2017-07-21T19:10:29 --startdatetime 2017-07-21T20:15:18 --delay 12 --endMP 300:22440 --enddatetime 2017-07-21T20:54:51 --enforcementcount 0 &gt;&gt;C:\Users\stu\Documents\GitHub\eaglep3-reporting\EC\2017-07-21-refined-times.txt</v>
      </c>
      <c r="AI228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2.244"},{"id":17,"name":"Train ID","value":"52-21"},{"id":16,"name":"Locomotive ID","value":"4035"},{"id":130,"name":"Impact","value":""},{"id":150,"name":"Time of Event (Mountain Time)","value":"20:54:51"},{"id":151,"name":"Denver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9"/>
        <v>start /low /b %USERPROFILE%\Documents\GitHub\eaglep3\Utilities\DownloadLogsFromS3.py --loco 4035 --day 2017-07-21</v>
      </c>
      <c r="AN228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648</v>
      </c>
      <c r="B229" s="7">
        <v>4036</v>
      </c>
      <c r="C229" s="21" t="s">
        <v>198</v>
      </c>
      <c r="D229" s="21" t="s">
        <v>951</v>
      </c>
      <c r="E229" s="13">
        <v>42937.924363425926</v>
      </c>
      <c r="F229" s="13">
        <v>42937.925937499997</v>
      </c>
      <c r="G229" s="7">
        <v>1</v>
      </c>
      <c r="H229" s="21" t="s">
        <v>591</v>
      </c>
      <c r="I229" s="13">
        <v>42937.935266203705</v>
      </c>
      <c r="J229" s="7">
        <v>0</v>
      </c>
      <c r="K229" s="89" t="str">
        <f t="shared" si="88"/>
        <v>4035/4036</v>
      </c>
      <c r="L229" s="21" t="str">
        <f>VLOOKUP(A229,'Trips&amp;Operators'!$C$1:$G$99999,5,FALSE)</f>
        <v>RESPASS AARON</v>
      </c>
      <c r="M229" s="6">
        <f t="shared" si="89"/>
        <v>9.3287037088884972E-3</v>
      </c>
      <c r="N229" s="7">
        <f t="shared" si="101"/>
        <v>13.433333340799436</v>
      </c>
      <c r="O229" s="7"/>
      <c r="P229" s="7"/>
      <c r="Q229" s="22"/>
      <c r="R229" s="170"/>
      <c r="S229" s="213">
        <f t="shared" si="86"/>
        <v>0</v>
      </c>
      <c r="T229" s="195" t="str">
        <f t="shared" si="90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1"/>
        <v>https://d0f6bd738d7f1b3e5a7ca70fe4ff75f0.us-east-1.aws.found.io/app/kibana#/discover/Steve-Slow-Train-Analysis-(2080s-and-2083s)?_g=(refreshInterval:(display:Off,pause:!f,section:0,value:0),time:(from:'2017-07-21T21:11:05-0600',mode:absolute,to:'2017-07-21T23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9" s="197" t="str">
        <f>IF(AA229&lt;VLOOKUP(AG229,Variables!$AC$3:$AD$8,2,FALSE),"Y","N")</f>
        <v>Y</v>
      </c>
      <c r="X229" s="197">
        <f t="shared" si="87"/>
        <v>0</v>
      </c>
      <c r="Y229" s="197">
        <f t="shared" si="102"/>
        <v>0.14729999999999999</v>
      </c>
      <c r="Z229" s="197">
        <f t="shared" si="103"/>
        <v>2.331</v>
      </c>
      <c r="AA229" s="197">
        <f t="shared" si="92"/>
        <v>2.1837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3"/>
        <v>52</v>
      </c>
      <c r="AE229" s="77" t="str">
        <f t="shared" si="94"/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29" s="74" t="str">
        <f t="shared" si="95"/>
        <v>"C:\Program Files (x86)\AstroGrep\AstroGrep.exe" /e /r /s /spath="%USERPROFILE%\AppData\Local\Temp\OnboardLogs" /stypes="app*4036*20170722*" /stext=" 04:.+((SYSTEM_STATE.+slice.+state.+changed )|(ment ac)|(multiple cpu faults)|(system.+state.+changed )|(\[timeout)|(PRM\|1\|D)|(kpr)|(kdp)|(train st.+moving)|(\|lc)|(penalty))"</v>
      </c>
      <c r="AG229" s="209" t="str">
        <f t="shared" si="96"/>
        <v>Shuttle/Test</v>
      </c>
      <c r="AH229" s="78" t="str">
        <f t="shared" si="97"/>
        <v>"%USERPROFILE%\Documents\GitHub\eaglep3\Utilities\RefineRTDCRunTimes.py" --tripid 52-21 --locoid 4036 --swversion DE.1.0.9.0 --startMP 204:1473 --initTime 2017-07-21T22:11:05 --startdatetime 2017-07-21T22:13:21 --delay 1 --endMP 300:23310 --enddatetime 2017-07-21T22:26:47 --enforcementcount 0 &gt;&gt;C:\Users\stu\Documents\GitHub\eaglep3-reporting\EC\2017-07-21-refined-times.txt</v>
      </c>
      <c r="AI229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2.331"},{"id":17,"name":"Train ID","value":"52-21"},{"id":16,"name":"Locomotive ID","value":"4036"},{"id":130,"name":"Impact","value":""},{"id":150,"name":"Time of Event (Mountain Time)","value":"22:26:47"},{"id":151,"name":"Denver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9"/>
        <v>start /low /b %USERPROFILE%\Documents\GitHub\eaglep3\Utilities\DownloadLogsFromS3.py --loco 4036 --day 2017-07-21</v>
      </c>
      <c r="AN229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04:26:47"},{"id":29,"name":"Sharepoint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648</v>
      </c>
      <c r="B230" s="7">
        <v>4036</v>
      </c>
      <c r="C230" s="21" t="s">
        <v>198</v>
      </c>
      <c r="D230" s="21" t="s">
        <v>475</v>
      </c>
      <c r="E230" s="13">
        <v>42937.822905092595</v>
      </c>
      <c r="F230" s="13">
        <v>42937.885810185187</v>
      </c>
      <c r="G230" s="7">
        <v>1</v>
      </c>
      <c r="H230" s="21" t="s">
        <v>473</v>
      </c>
      <c r="I230" s="13">
        <v>42937.91505787037</v>
      </c>
      <c r="J230" s="7">
        <v>0</v>
      </c>
      <c r="K230" s="89" t="str">
        <f t="shared" si="88"/>
        <v>4035/4036</v>
      </c>
      <c r="L230" s="21" t="str">
        <f>VLOOKUP(A230,'Trips&amp;Operators'!$C$1:$G$99999,5,FALSE)</f>
        <v>RESPASS AARON</v>
      </c>
      <c r="M230" s="6">
        <f t="shared" si="89"/>
        <v>2.9247685182781424E-2</v>
      </c>
      <c r="N230" s="7">
        <f t="shared" si="101"/>
        <v>42.116666663205251</v>
      </c>
      <c r="O230" s="7"/>
      <c r="P230" s="7"/>
      <c r="Q230" s="22"/>
      <c r="R230" s="170"/>
      <c r="S230" s="213">
        <f t="shared" si="86"/>
        <v>0</v>
      </c>
      <c r="T230" s="195" t="str">
        <f t="shared" si="90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1"/>
        <v>https://d0f6bd738d7f1b3e5a7ca70fe4ff75f0.us-east-1.aws.found.io/app/kibana#/discover/Steve-Slow-Train-Analysis-(2080s-and-2083s)?_g=(refreshInterval:(display:Off,pause:!f,section:0,value:0),time:(from:'2017-07-21T18:44:59-0600',mode:absolute,to:'2017-07-21T22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0" s="197" t="str">
        <f>IF(AA230&lt;VLOOKUP(AG230,Variables!$AC$3:$AD$8,2,FALSE),"Y","N")</f>
        <v>Y</v>
      </c>
      <c r="X230" s="197">
        <f t="shared" si="87"/>
        <v>0</v>
      </c>
      <c r="Y230" s="197">
        <f t="shared" si="102"/>
        <v>4.5999999999999999E-2</v>
      </c>
      <c r="Z230" s="197">
        <f t="shared" si="103"/>
        <v>23.3291</v>
      </c>
      <c r="AA230" s="197">
        <f t="shared" si="92"/>
        <v>23.283100000000001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3"/>
        <v>52</v>
      </c>
      <c r="AE230" s="77" t="str">
        <f t="shared" si="94"/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30" s="74" t="str">
        <f t="shared" si="95"/>
        <v>"C:\Program Files (x86)\AstroGrep\AstroGrep.exe" /e /r /s /spath="%USERPROFILE%\AppData\Local\Temp\OnboardLogs" /stypes="app*4036*20170722*" /stext=" 03:.+((SYSTEM_STATE.+slice.+state.+changed )|(ment ac)|(multiple cpu faults)|(system.+state.+changed )|(\[timeout)|(PRM\|1\|D)|(kpr)|(kdp)|(train st.+moving)|(\|lc)|(penalty))"</v>
      </c>
      <c r="AG230" s="209" t="str">
        <f t="shared" si="96"/>
        <v>Shuttle/Test</v>
      </c>
      <c r="AH230" s="78" t="str">
        <f t="shared" si="97"/>
        <v>"%USERPROFILE%\Documents\GitHub\eaglep3\Utilities\RefineRTDCRunTimes.py" --tripid 52-21 --locoid 4036 --swversion DE.1.0.9.0 --startMP 204:460 --initTime 2017-07-21T19:44:59 --startdatetime 2017-07-21T21:15:34 --delay 1 --endMP 204:233291 --enddatetime 2017-07-21T21:57:41 --enforcementcount 0 &gt;&gt;C:\Users\stu\Documents\GitHub\eaglep3-reporting\EC\2017-07-21-refined-times.txt</v>
      </c>
      <c r="AI230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23.3291"},{"id":17,"name":"Train ID","value":"52-21"},{"id":16,"name":"Locomotive ID","value":"4036"},{"id":130,"name":"Impact","value":""},{"id":150,"name":"Time of Event (Mountain Time)","value":"21:57:41"},{"id":151,"name":"Denver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9"/>
        <v>start /low /b %USERPROFILE%\Documents\GitHub\eaglep3\Utilities\DownloadLogsFromS3.py --loco 4036 --day 2017-07-21</v>
      </c>
      <c r="AN230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03:57:41"},{"id":29,"name":"Sharepoint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662</v>
      </c>
      <c r="B231" s="7">
        <v>4032</v>
      </c>
      <c r="C231" s="21" t="s">
        <v>198</v>
      </c>
      <c r="D231" s="21" t="s">
        <v>478</v>
      </c>
      <c r="E231" s="13">
        <v>42937.125671296293</v>
      </c>
      <c r="F231" s="13">
        <v>42937.137974537036</v>
      </c>
      <c r="G231" s="7">
        <v>1</v>
      </c>
      <c r="H231" s="21" t="s">
        <v>952</v>
      </c>
      <c r="I231" s="13">
        <v>42937.138993055552</v>
      </c>
      <c r="J231" s="7">
        <v>0</v>
      </c>
      <c r="K231" s="89" t="str">
        <f t="shared" si="88"/>
        <v>4031/4032</v>
      </c>
      <c r="L231" s="21" t="str">
        <f>VLOOKUP(A231,'Trips&amp;Operators'!$C$1:$G$99999,5,FALSE)</f>
        <v>SPECTOR MICHAEL</v>
      </c>
      <c r="M231" s="6">
        <f t="shared" si="89"/>
        <v>1.0185185165028088E-3</v>
      </c>
      <c r="N231" s="7">
        <f t="shared" si="101"/>
        <v>1.4666666637640446</v>
      </c>
      <c r="O231" s="7"/>
      <c r="P231" s="7"/>
      <c r="Q231" s="22"/>
      <c r="R231" s="170"/>
      <c r="S231" s="213">
        <f t="shared" ref="S231:S246" si="104">1/IF(AG231="EC",12,1)*SUM(U231:U231)</f>
        <v>0</v>
      </c>
      <c r="T231" s="195" t="str">
        <f t="shared" si="90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91"/>
        <v>https://d0f6bd738d7f1b3e5a7ca70fe4ff75f0.us-east-1.aws.found.io/app/kibana#/discover/Steve-Slow-Train-Analysis-(2080s-and-2083s)?_g=(refreshInterval:(display:Off,pause:!f,section:0,value:0),time:(from:'2017-07-21T02:00:58-0600',mode:absolute,to:'2017-07-21T04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1" s="197" t="str">
        <f>IF(AA231&lt;VLOOKUP(AG231,Variables!$AC$3:$AD$8,2,FALSE),"Y","N")</f>
        <v>Y</v>
      </c>
      <c r="X231" s="197">
        <f t="shared" si="87"/>
        <v>1</v>
      </c>
      <c r="Y231" s="197">
        <f t="shared" si="102"/>
        <v>4.3700000000000003E-2</v>
      </c>
      <c r="Z231" s="197">
        <f t="shared" si="103"/>
        <v>0.35659999999999997</v>
      </c>
      <c r="AA231" s="197">
        <f t="shared" si="92"/>
        <v>0.31289999999999996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3"/>
        <v>53</v>
      </c>
      <c r="AE231" s="77" t="str">
        <f t="shared" si="94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231" s="74" t="str">
        <f t="shared" si="95"/>
        <v>"C:\Program Files (x86)\AstroGrep\AstroGrep.exe" /e /r /s /spath="%USERPROFILE%\AppData\Local\Temp\OnboardLogs" /stypes="app*4032*20170721*" /stext=" 09:.+((SYSTEM_STATE.+slice.+state.+changed )|(ment ac)|(multiple cpu faults)|(system.+state.+changed )|(\[timeout)|(PRM\|1\|D)|(kpr)|(kdp)|(train st.+moving)|(\|lc)|(penalty))"</v>
      </c>
      <c r="AG231" s="209" t="str">
        <f t="shared" si="96"/>
        <v>Shuttle/Test</v>
      </c>
      <c r="AH231" s="78" t="str">
        <f t="shared" si="97"/>
        <v>"%USERPROFILE%\Documents\GitHub\eaglep3\Utilities\RefineRTDCRunTimes.py" --tripid 53-21 --locoid 4032 --swversion DE.1.0.9.0 --startMP 204:437 --initTime 2017-07-21T03:00:58 --startdatetime 2017-07-21T03:18:41 --delay 1 --endMP 204:3566 --enddatetime 2017-07-21T03:20:09 --enforcementcount 0 &gt;&gt;C:\Users\stu\Documents\GitHub\eaglep3-reporting\EC\2017-07-21-refined-times.txt</v>
      </c>
      <c r="AI231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0.3566"},{"id":17,"name":"Train ID","value":"53-21"},{"id":16,"name":"Locomotive ID","value":"4032"},{"id":130,"name":"Impact","value":""},{"id":150,"name":"Time of Event (Mountain Time)","value":"03:20:09"},{"id":151,"name":"Denver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99"/>
        <v>start /low /b %USERPROFILE%\Documents\GitHub\eaglep3\Utilities\DownloadLogsFromS3.py --loco 4032 --day 2017-07-21</v>
      </c>
      <c r="AN231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09:20:09"},{"id":29,"name":"Sharepoint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662</v>
      </c>
      <c r="B232" s="7">
        <v>4058</v>
      </c>
      <c r="C232" s="21" t="s">
        <v>198</v>
      </c>
      <c r="D232" s="21" t="s">
        <v>953</v>
      </c>
      <c r="E232" s="13">
        <v>42937.364999999998</v>
      </c>
      <c r="F232" s="13">
        <v>42937.38690972222</v>
      </c>
      <c r="G232" s="7">
        <v>7</v>
      </c>
      <c r="H232" s="21" t="s">
        <v>954</v>
      </c>
      <c r="I232" s="13">
        <v>42937.410185185188</v>
      </c>
      <c r="J232" s="7">
        <v>0</v>
      </c>
      <c r="K232" s="89" t="str">
        <f t="shared" si="88"/>
        <v>4057/4058</v>
      </c>
      <c r="L232" s="21" t="str">
        <f>VLOOKUP(A232,'Trips&amp;Operators'!$C$1:$G$99999,5,FALSE)</f>
        <v>SPECTOR MICHAEL</v>
      </c>
      <c r="M232" s="6">
        <f t="shared" si="89"/>
        <v>2.3275462968740612E-2</v>
      </c>
      <c r="N232" s="7">
        <f t="shared" si="101"/>
        <v>33.516666674986482</v>
      </c>
      <c r="O232" s="7"/>
      <c r="P232" s="7"/>
      <c r="Q232" s="22"/>
      <c r="R232" s="170"/>
      <c r="S232" s="213">
        <f t="shared" si="104"/>
        <v>0</v>
      </c>
      <c r="T232" s="195" t="str">
        <f t="shared" si="90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91"/>
        <v>https://d0f6bd738d7f1b3e5a7ca70fe4ff75f0.us-east-1.aws.found.io/app/kibana#/discover/Steve-Slow-Train-Analysis-(2080s-and-2083s)?_g=(refreshInterval:(display:Off,pause:!f,section:0,value:0),time:(from:'2017-07-21T07:45:36-0600',mode:absolute,to:'2017-07-21T10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2" s="197" t="str">
        <f>IF(AA232&lt;VLOOKUP(AG232,Variables!$AC$3:$AD$8,2,FALSE),"Y","N")</f>
        <v>Y</v>
      </c>
      <c r="X232" s="197">
        <f t="shared" si="87"/>
        <v>0</v>
      </c>
      <c r="Y232" s="197">
        <f t="shared" si="102"/>
        <v>0.11840000000000001</v>
      </c>
      <c r="Z232" s="197">
        <f t="shared" si="103"/>
        <v>0.1192</v>
      </c>
      <c r="AA232" s="197">
        <f t="shared" si="92"/>
        <v>7.9999999999999516E-4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3"/>
        <v>53</v>
      </c>
      <c r="AE232" s="77" t="str">
        <f t="shared" si="94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232" s="74" t="str">
        <f t="shared" si="95"/>
        <v>"C:\Program Files (x86)\AstroGrep\AstroGrep.exe" /e /r /s /spath="%USERPROFILE%\AppData\Local\Temp\OnboardLogs" /stypes="app*4058*20170721*" /stext=" 15:.+((SYSTEM_STATE.+slice.+state.+changed )|(ment ac)|(multiple cpu faults)|(system.+state.+changed )|(\[timeout)|(PRM\|1\|D)|(kpr)|(kdp)|(train st.+moving)|(\|lc)|(penalty))"</v>
      </c>
      <c r="AG232" s="209" t="str">
        <f t="shared" si="96"/>
        <v>Shuttle/Test</v>
      </c>
      <c r="AH232" s="78" t="str">
        <f t="shared" si="97"/>
        <v>"%USERPROFILE%\Documents\GitHub\eaglep3\Utilities\RefineRTDCRunTimes.py" --tripid 53-21 --locoid 4058 --swversion DE.1.0.9.0 --startMP 204:1184 --initTime 2017-07-21T08:45:36 --startdatetime 2017-07-21T09:17:09 --delay 7 --endMP 204:1192 --enddatetime 2017-07-21T09:50:40 --enforcementcount 0 &gt;&gt;C:\Users\stu\Documents\GitHub\eaglep3-reporting\EC\2017-07-21-refined-times.txt</v>
      </c>
      <c r="AI232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0.1192"},{"id":17,"name":"Train ID","value":"53-21"},{"id":16,"name":"Locomotive ID","value":"4058"},{"id":130,"name":"Impact","value":""},{"id":150,"name":"Time of Event (Mountain Time)","value":"09:50:40"},{"id":151,"name":"Denver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9"/>
        <v>start /low /b %USERPROFILE%\Documents\GitHub\eaglep3\Utilities\DownloadLogsFromS3.py --loco 4058 --day 2017-07-21</v>
      </c>
      <c r="AN232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662</v>
      </c>
      <c r="B233" s="7">
        <v>4058</v>
      </c>
      <c r="C233" s="21" t="s">
        <v>198</v>
      </c>
      <c r="D233" s="21" t="s">
        <v>463</v>
      </c>
      <c r="E233" s="13">
        <v>42937.364999999998</v>
      </c>
      <c r="F233" s="13">
        <v>42937.38690972222</v>
      </c>
      <c r="G233" s="7">
        <v>30</v>
      </c>
      <c r="H233" s="21" t="s">
        <v>885</v>
      </c>
      <c r="I233" s="13">
        <v>42937.410185185188</v>
      </c>
      <c r="J233" s="7">
        <v>0</v>
      </c>
      <c r="K233" s="89" t="str">
        <f t="shared" si="88"/>
        <v>4057/4058</v>
      </c>
      <c r="L233" s="21" t="str">
        <f>VLOOKUP(A233,'Trips&amp;Operators'!$C$1:$G$99999,5,FALSE)</f>
        <v>SPECTOR MICHAEL</v>
      </c>
      <c r="M233" s="6">
        <f t="shared" si="89"/>
        <v>2.3275462968740612E-2</v>
      </c>
      <c r="N233" s="7">
        <f t="shared" si="101"/>
        <v>33.516666674986482</v>
      </c>
      <c r="O233" s="7"/>
      <c r="P233" s="7"/>
      <c r="Q233" s="22"/>
      <c r="R233" s="170"/>
      <c r="S233" s="213">
        <f t="shared" si="104"/>
        <v>1</v>
      </c>
      <c r="T233" s="195" t="str">
        <f t="shared" si="90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91"/>
        <v>https://d0f6bd738d7f1b3e5a7ca70fe4ff75f0.us-east-1.aws.found.io/app/kibana#/discover/Steve-Slow-Train-Analysis-(2080s-and-2083s)?_g=(refreshInterval:(display:Off,pause:!f,section:0,value:0),time:(from:'2017-07-21T07:45:36-0600',mode:absolute,to:'2017-07-21T10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197" t="str">
        <f>IF(AA233&lt;VLOOKUP(AG233,Variables!$AC$3:$AD$8,2,FALSE),"Y","N")</f>
        <v>Y</v>
      </c>
      <c r="X233" s="197">
        <f t="shared" si="87"/>
        <v>0</v>
      </c>
      <c r="Y233" s="197">
        <f t="shared" si="102"/>
        <v>4.4200000000000003E-2</v>
      </c>
      <c r="Z233" s="197">
        <f t="shared" si="103"/>
        <v>23.3309</v>
      </c>
      <c r="AA233" s="197">
        <f t="shared" si="92"/>
        <v>23.2867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3"/>
        <v>53</v>
      </c>
      <c r="AE233" s="77" t="str">
        <f t="shared" si="94"/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AF233" s="74" t="str">
        <f t="shared" si="95"/>
        <v>"C:\Program Files (x86)\AstroGrep\AstroGrep.exe" /e /r /s /spath="%USERPROFILE%\AppData\Local\Temp\OnboardLogs" /stypes="app*4058*20170721*" /stext=" 15:.+((SYSTEM_STATE.+slice.+state.+changed )|(ment ac)|(multiple cpu faults)|(system.+state.+changed )|(\[timeout)|(PRM\|1\|D)|(kpr)|(kdp)|(train st.+moving)|(\|lc)|(penalty))"</v>
      </c>
      <c r="AG233" s="209" t="str">
        <f t="shared" si="96"/>
        <v>Shuttle/Test</v>
      </c>
      <c r="AH233" s="78" t="str">
        <f t="shared" si="97"/>
        <v>"%USERPROFILE%\Documents\GitHub\eaglep3\Utilities\RefineRTDCRunTimes.py" --tripid 53-21 --locoid 4058 --swversion DE.1.0.9.0 --startMP 204:442 --initTime 2017-07-21T08:45:36 --startdatetime 2017-07-21T09:17:09 --delay 30 --endMP 204:233309 --enddatetime 2017-07-21T09:50:40 --enforcementcount 0 &gt;&gt;C:\Users\stu\Documents\GitHub\eaglep3-reporting\EC\2017-07-21-refined-times.txt</v>
      </c>
      <c r="AI233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23.3309"},{"id":17,"name":"Train ID","value":"53-21"},{"id":16,"name":"Locomotive ID","value":"4058"},{"id":130,"name":"Impact","value":""},{"id":150,"name":"Time of Event (Mountain Time)","value":"09:50:40"},{"id":151,"name":"Denver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99"/>
        <v>start /low /b %USERPROFILE%\Documents\GitHub\eaglep3\Utilities\DownloadLogsFromS3.py --loco 4058 --day 2017-07-21</v>
      </c>
      <c r="AN233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662</v>
      </c>
      <c r="B234" s="7">
        <v>4060</v>
      </c>
      <c r="C234" s="21" t="s">
        <v>198</v>
      </c>
      <c r="D234" s="21" t="s">
        <v>593</v>
      </c>
      <c r="E234" s="13">
        <v>42937.730370370373</v>
      </c>
      <c r="F234" s="13">
        <v>42937.749479166669</v>
      </c>
      <c r="G234" s="7">
        <v>1</v>
      </c>
      <c r="H234" s="21" t="s">
        <v>345</v>
      </c>
      <c r="I234" s="13">
        <v>42937.755578703705</v>
      </c>
      <c r="J234" s="7">
        <v>0</v>
      </c>
      <c r="K234" s="89" t="str">
        <f t="shared" si="88"/>
        <v>4059/4060</v>
      </c>
      <c r="L234" s="21" t="str">
        <f>VLOOKUP(A234,'Trips&amp;Operators'!$C$1:$G$99999,5,FALSE)</f>
        <v>SPECTOR MICHAEL</v>
      </c>
      <c r="M234" s="6">
        <f t="shared" si="89"/>
        <v>6.0995370367891155E-3</v>
      </c>
      <c r="N234" s="7">
        <f t="shared" si="101"/>
        <v>8.7833333329763263</v>
      </c>
      <c r="O234" s="7"/>
      <c r="P234" s="7"/>
      <c r="Q234" s="22"/>
      <c r="R234" s="170"/>
      <c r="S234" s="213">
        <f t="shared" si="104"/>
        <v>1</v>
      </c>
      <c r="T234" s="195" t="str">
        <f t="shared" si="90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91"/>
        <v>https://d0f6bd738d7f1b3e5a7ca70fe4ff75f0.us-east-1.aws.found.io/app/kibana#/discover/Steve-Slow-Train-Analysis-(2080s-and-2083s)?_g=(refreshInterval:(display:Off,pause:!f,section:0,value:0),time:(from:'2017-07-21T16:31:44-0600',mode:absolute,to:'2017-07-21T19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4" s="197" t="str">
        <f>IF(AA234&lt;VLOOKUP(AG234,Variables!$AC$3:$AD$8,2,FALSE),"Y","N")</f>
        <v>Y</v>
      </c>
      <c r="X234" s="197">
        <f t="shared" si="87"/>
        <v>0</v>
      </c>
      <c r="Y234" s="197">
        <f t="shared" si="102"/>
        <v>0.115</v>
      </c>
      <c r="Z234" s="197">
        <f t="shared" si="103"/>
        <v>2.3346</v>
      </c>
      <c r="AA234" s="197">
        <f t="shared" si="92"/>
        <v>2.2195999999999998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3"/>
        <v>53</v>
      </c>
      <c r="AE234" s="77" t="str">
        <f t="shared" si="94"/>
        <v>aws s3 cp s3://rtdc.mdm.uploadarchive.raw/RTDC4060/ "%USERPROFILE%\AppData\Local\Temp\OnboardLogs"\RTDC4060\2017-07-21 --exclude "*" --recursive --include "*20170721*" &amp; "%USERPROFILE%\Documents\GitHub\mrs-test-scripts\Headless Mode &amp; Sideloading\WalkAndUnGZ.bat" "%USERPROFILE%\AppData\Local\Temp\OnboardLogs"\RTDC4060\2017-07-21 &amp; aws s3 cp s3://rtdc.mdm.uploadarchive.raw/RTDC4060/ "%USERPROFILE%\AppData\Local\Temp\OnboardLogs"\RTDC4060\2017-07-22 --exclude "*" --recursive --include "*20170722*" &amp; "%USERPROFILE%\Documents\GitHub\mrs-test-scripts\Headless Mode &amp; Sideloading\WalkAndUnGZ.bat" "%USERPROFILE%\AppData\Local\Temp\OnboardLogs"\RTDC4060\2017-07-22</v>
      </c>
      <c r="AF234" s="74" t="str">
        <f t="shared" si="95"/>
        <v>"C:\Program Files (x86)\AstroGrep\AstroGrep.exe" /e /r /s /spath="%USERPROFILE%\AppData\Local\Temp\OnboardLogs" /stypes="app*4060*20170722*" /stext=" 00:.+((SYSTEM_STATE.+slice.+state.+changed )|(ment ac)|(multiple cpu faults)|(system.+state.+changed )|(\[timeout)|(PRM\|1\|D)|(kpr)|(kdp)|(train st.+moving)|(\|lc)|(penalty))"</v>
      </c>
      <c r="AG234" s="209" t="str">
        <f t="shared" si="96"/>
        <v>Shuttle/Test</v>
      </c>
      <c r="AH234" s="78" t="str">
        <f t="shared" si="97"/>
        <v>"%USERPROFILE%\Documents\GitHub\eaglep3\Utilities\RefineRTDCRunTimes.py" --tripid 53-21 --locoid 4060 --swversion DE.1.0.9.0 --startMP 204:1150 --initTime 2017-07-21T17:31:44 --startdatetime 2017-07-21T17:59:15 --delay 1 --endMP 300:23346 --enddatetime 2017-07-21T18:08:02 --enforcementcount 0 &gt;&gt;C:\Users\stu\Documents\GitHub\eaglep3-reporting\EC\2017-07-21-refined-times.txt</v>
      </c>
      <c r="AI234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2.3346"},{"id":17,"name":"Train ID","value":"53-21"},{"id":16,"name":"Locomotive ID","value":"4060"},{"id":130,"name":"Impact","value":""},{"id":150,"name":"Time of Event (Mountain Time)","value":"18:08:02"},{"id":151,"name":"Denver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9"/>
        <v>start /low /b %USERPROFILE%\Documents\GitHub\eaglep3\Utilities\DownloadLogsFromS3.py --loco 4060 --day 2017-07-21</v>
      </c>
      <c r="AN234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00:08:02"},{"id":29,"name":"Sharepoint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664</v>
      </c>
      <c r="B235" s="7">
        <v>4031</v>
      </c>
      <c r="C235" s="21" t="s">
        <v>198</v>
      </c>
      <c r="D235" s="21" t="s">
        <v>955</v>
      </c>
      <c r="E235" s="13">
        <v>42937.139953703707</v>
      </c>
      <c r="F235" s="13">
        <v>42937.141423611109</v>
      </c>
      <c r="G235" s="7">
        <v>1</v>
      </c>
      <c r="H235" s="21" t="s">
        <v>956</v>
      </c>
      <c r="I235" s="13">
        <v>42937.142604166664</v>
      </c>
      <c r="J235" s="7">
        <v>0</v>
      </c>
      <c r="K235" s="89" t="str">
        <f t="shared" si="88"/>
        <v>4031/4032</v>
      </c>
      <c r="L235" s="21" t="str">
        <f>VLOOKUP(A235,'Trips&amp;Operators'!$C$1:$G$99999,5,FALSE)</f>
        <v>SPECTOR MICHAEL</v>
      </c>
      <c r="M235" s="6">
        <f t="shared" si="89"/>
        <v>1.1805555550381541E-3</v>
      </c>
      <c r="N235" s="7">
        <f t="shared" si="101"/>
        <v>1.6999999992549419</v>
      </c>
      <c r="O235" s="7"/>
      <c r="P235" s="7"/>
      <c r="Q235" s="22"/>
      <c r="R235" s="170"/>
      <c r="S235" s="213">
        <f t="shared" si="104"/>
        <v>0</v>
      </c>
      <c r="T235" s="195" t="str">
        <f t="shared" si="90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91"/>
        <v>https://d0f6bd738d7f1b3e5a7ca70fe4ff75f0.us-east-1.aws.found.io/app/kibana#/discover/Steve-Slow-Train-Analysis-(2080s-and-2083s)?_g=(refreshInterval:(display:Off,pause:!f,section:0,value:0),time:(from:'2017-07-21T02:21:32-0600',mode:absolute,to:'2017-07-21T04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5" s="197" t="str">
        <f>IF(AA235&lt;VLOOKUP(AG235,Variables!$AC$3:$AD$8,2,FALSE),"Y","N")</f>
        <v>Y</v>
      </c>
      <c r="X235" s="197">
        <f t="shared" si="87"/>
        <v>1</v>
      </c>
      <c r="Y235" s="197">
        <f t="shared" si="102"/>
        <v>0.3241</v>
      </c>
      <c r="Z235" s="197">
        <f t="shared" si="103"/>
        <v>0.11650000000000001</v>
      </c>
      <c r="AA235" s="197">
        <f t="shared" si="92"/>
        <v>0.20760000000000001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3"/>
        <v>54</v>
      </c>
      <c r="AE235" s="77" t="str">
        <f t="shared" si="94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235" s="74" t="str">
        <f t="shared" si="95"/>
        <v>"C:\Program Files (x86)\AstroGrep\AstroGrep.exe" /e /r /s /spath="%USERPROFILE%\AppData\Local\Temp\OnboardLogs" /stypes="app*4031*20170721*" /stext=" 09:.+((SYSTEM_STATE.+slice.+state.+changed )|(ment ac)|(multiple cpu faults)|(system.+state.+changed )|(\[timeout)|(PRM\|1\|D)|(kpr)|(kdp)|(train st.+moving)|(\|lc)|(penalty))"</v>
      </c>
      <c r="AG235" s="209" t="str">
        <f t="shared" si="96"/>
        <v>Shuttle/Test</v>
      </c>
      <c r="AH235" s="78" t="str">
        <f t="shared" si="97"/>
        <v>"%USERPROFILE%\Documents\GitHub\eaglep3\Utilities\RefineRTDCRunTimes.py" --tripid 54-21 --locoid 4031 --swversion DE.1.0.9.0 --startMP 204:3241 --initTime 2017-07-21T03:21:32 --startdatetime 2017-07-21T03:23:39 --delay 1 --endMP 204:1165 --enddatetime 2017-07-21T03:25:21 --enforcementcount 0 &gt;&gt;C:\Users\stu\Documents\GitHub\eaglep3-reporting\EC\2017-07-21-refined-times.txt</v>
      </c>
      <c r="AI235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0.1165"},{"id":17,"name":"Train ID","value":"54-21"},{"id":16,"name":"Locomotive ID","value":"4031"},{"id":130,"name":"Impact","value":""},{"id":150,"name":"Time of Event (Mountain Time)","value":"03:25:21"},{"id":151,"name":"Denver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9"/>
        <v>start /low /b %USERPROFILE%\Documents\GitHub\eaglep3\Utilities\DownloadLogsFromS3.py --loco 4031 --day 2017-07-21</v>
      </c>
      <c r="AN235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09:25:21"},{"id":29,"name":"Sharepoint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691</v>
      </c>
      <c r="B236" s="7">
        <v>4032</v>
      </c>
      <c r="C236" s="21" t="s">
        <v>198</v>
      </c>
      <c r="D236" s="21" t="s">
        <v>957</v>
      </c>
      <c r="E236" s="13">
        <v>42937.257800925923</v>
      </c>
      <c r="F236" s="13">
        <v>42937.264965277776</v>
      </c>
      <c r="G236" s="7">
        <v>1</v>
      </c>
      <c r="H236" s="21" t="s">
        <v>958</v>
      </c>
      <c r="I236" s="13">
        <v>42937.265694444446</v>
      </c>
      <c r="J236" s="7">
        <v>0</v>
      </c>
      <c r="K236" s="89" t="str">
        <f t="shared" si="88"/>
        <v>4031/4032</v>
      </c>
      <c r="L236" s="21" t="str">
        <f>VLOOKUP(A236,'Trips&amp;Operators'!$C$1:$G$99999,5,FALSE)</f>
        <v>SPECTOR MICHAEL</v>
      </c>
      <c r="M236" s="6">
        <f t="shared" si="89"/>
        <v>7.2916666977107525E-4</v>
      </c>
      <c r="N236" s="7">
        <f t="shared" si="101"/>
        <v>1.0500000044703484</v>
      </c>
      <c r="O236" s="7"/>
      <c r="P236" s="7"/>
      <c r="Q236" s="22"/>
      <c r="R236" s="170"/>
      <c r="S236" s="213">
        <f t="shared" si="104"/>
        <v>0</v>
      </c>
      <c r="T236" s="195" t="str">
        <f t="shared" si="90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91"/>
        <v>https://d0f6bd738d7f1b3e5a7ca70fe4ff75f0.us-east-1.aws.found.io/app/kibana#/discover/Steve-Slow-Train-Analysis-(2080s-and-2083s)?_g=(refreshInterval:(display:Off,pause:!f,section:0,value:0),time:(from:'2017-07-21T05:11:14-0600',mode:absolute,to:'2017-07-21T07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6" s="197" t="str">
        <f>IF(AA236&lt;VLOOKUP(AG236,Variables!$AC$3:$AD$8,2,FALSE),"Y","N")</f>
        <v>Y</v>
      </c>
      <c r="X236" s="197">
        <f t="shared" si="87"/>
        <v>13</v>
      </c>
      <c r="Y236" s="197">
        <f t="shared" si="102"/>
        <v>0.1484</v>
      </c>
      <c r="Z236" s="197">
        <f t="shared" si="103"/>
        <v>0.35299999999999998</v>
      </c>
      <c r="AA236" s="197">
        <f t="shared" si="92"/>
        <v>0.20459999999999998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3"/>
        <v>67</v>
      </c>
      <c r="AE236" s="77" t="str">
        <f t="shared" si="94"/>
        <v>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 &amp; 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</v>
      </c>
      <c r="AF236" s="74" t="str">
        <f t="shared" si="95"/>
        <v>"C:\Program Files (x86)\AstroGrep\AstroGrep.exe" /e /r /s /spath="%USERPROFILE%\AppData\Local\Temp\OnboardLogs" /stypes="app*4032*20170721*" /stext=" 12:.+((SYSTEM_STATE.+slice.+state.+changed )|(ment ac)|(multiple cpu faults)|(system.+state.+changed )|(\[timeout)|(PRM\|1\|D)|(kpr)|(kdp)|(train st.+moving)|(\|lc)|(penalty))"</v>
      </c>
      <c r="AG236" s="209" t="str">
        <f t="shared" si="96"/>
        <v>Shuttle/Test</v>
      </c>
      <c r="AH236" s="78" t="str">
        <f t="shared" si="97"/>
        <v>"%USERPROFILE%\Documents\GitHub\eaglep3\Utilities\RefineRTDCRunTimes.py" --tripid 67-21 --locoid 4032 --swversion DE.1.0.9.0 --startMP 204:1484 --initTime 2017-07-21T06:11:14 --startdatetime 2017-07-21T06:21:33 --delay 1 --endMP 204:3530 --enddatetime 2017-07-21T06:22:36 --enforcementcount 0 &gt;&gt;C:\Users\stu\Documents\GitHub\eaglep3-reporting\EC\2017-07-21-refined-times.txt</v>
      </c>
      <c r="AI236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0.353"},{"id":17,"name":"Train ID","value":"67-21"},{"id":16,"name":"Locomotive ID","value":"4032"},{"id":130,"name":"Impact","value":""},{"id":150,"name":"Time of Event (Mountain Time)","value":"06:22:36"},{"id":151,"name":"Denver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9"/>
        <v>start /low /b %USERPROFILE%\Documents\GitHub\eaglep3\Utilities\DownloadLogsFromS3.py --loco 4032 --day 2017-07-21</v>
      </c>
      <c r="AN236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691</v>
      </c>
      <c r="B237" s="7">
        <v>4052</v>
      </c>
      <c r="C237" s="21" t="s">
        <v>198</v>
      </c>
      <c r="D237" s="21" t="s">
        <v>481</v>
      </c>
      <c r="E237" s="13">
        <v>42937.697870370372</v>
      </c>
      <c r="F237" s="13">
        <v>42937.705659722225</v>
      </c>
      <c r="G237" s="7">
        <v>1</v>
      </c>
      <c r="H237" s="21" t="s">
        <v>959</v>
      </c>
      <c r="I237" s="13">
        <v>42937.70722222222</v>
      </c>
      <c r="J237" s="7">
        <v>0</v>
      </c>
      <c r="K237" s="89" t="str">
        <f t="shared" si="88"/>
        <v>4051/4052</v>
      </c>
      <c r="L237" s="21" t="str">
        <f>VLOOKUP(A237,'Trips&amp;Operators'!$C$1:$G$99999,5,FALSE)</f>
        <v>SPECTOR MICHAEL</v>
      </c>
      <c r="M237" s="6">
        <f t="shared" si="89"/>
        <v>1.5624999941792339E-3</v>
      </c>
      <c r="N237" s="7">
        <f t="shared" si="101"/>
        <v>2.2499999916180968</v>
      </c>
      <c r="O237" s="7"/>
      <c r="P237" s="7"/>
      <c r="Q237" s="22"/>
      <c r="R237" s="170"/>
      <c r="S237" s="213">
        <f t="shared" si="104"/>
        <v>0</v>
      </c>
      <c r="T237" s="195" t="str">
        <f t="shared" si="90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91"/>
        <v>https://d0f6bd738d7f1b3e5a7ca70fe4ff75f0.us-east-1.aws.found.io/app/kibana#/discover/Steve-Slow-Train-Analysis-(2080s-and-2083s)?_g=(refreshInterval:(display:Off,pause:!f,section:0,value:0),time:(from:'2017-07-21T15:44:56-0600',mode:absolute,to:'2017-07-21T17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7" s="197" t="str">
        <f>IF(AA237&lt;VLOOKUP(AG237,Variables!$AC$3:$AD$8,2,FALSE),"Y","N")</f>
        <v>Y</v>
      </c>
      <c r="X237" s="197">
        <f t="shared" si="87"/>
        <v>0</v>
      </c>
      <c r="Y237" s="197">
        <f t="shared" si="102"/>
        <v>9.7900000000000001E-2</v>
      </c>
      <c r="Z237" s="197">
        <f t="shared" si="103"/>
        <v>0.42980000000000002</v>
      </c>
      <c r="AA237" s="197">
        <f t="shared" si="92"/>
        <v>0.33190000000000003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3"/>
        <v>67</v>
      </c>
      <c r="AE237" s="77" t="str">
        <f t="shared" si="94"/>
        <v>aws s3 cp s3://rtdc.mdm.uploadarchive.raw/RTDC4052/ "%USERPROFILE%\AppData\Local\Temp\OnboardLogs"\RTDC4052\2017-07-21 --exclude "*" --recursive --include "*20170721*" &amp; "%USERPROFILE%\Documents\GitHub\mrs-test-scripts\Headless Mode &amp; Sideloading\WalkAndUnGZ.bat" "%USERPROFILE%\AppData\Local\Temp\OnboardLogs"\RTDC4052\2017-07-21 &amp; aws s3 cp s3://rtdc.mdm.uploadarchive.raw/RTDC4052/ "%USERPROFILE%\AppData\Local\Temp\OnboardLogs"\RTDC4052\2017-07-22 --exclude "*" --recursive --include "*20170722*" &amp; "%USERPROFILE%\Documents\GitHub\mrs-test-scripts\Headless Mode &amp; Sideloading\WalkAndUnGZ.bat" "%USERPROFILE%\AppData\Local\Temp\OnboardLogs"\RTDC4052\2017-07-22</v>
      </c>
      <c r="AF237" s="74" t="str">
        <f t="shared" si="95"/>
        <v>"C:\Program Files (x86)\AstroGrep\AstroGrep.exe" /e /r /s /spath="%USERPROFILE%\AppData\Local\Temp\OnboardLogs" /stypes="app*4052*20170721*" /stext=" 22:.+((SYSTEM_STATE.+slice.+state.+changed )|(ment ac)|(multiple cpu faults)|(system.+state.+changed )|(\[timeout)|(PRM\|1\|D)|(kpr)|(kdp)|(train st.+moving)|(\|lc)|(penalty))"</v>
      </c>
      <c r="AG237" s="209" t="str">
        <f t="shared" si="96"/>
        <v>Shuttle/Test</v>
      </c>
      <c r="AH237" s="78" t="str">
        <f t="shared" si="97"/>
        <v>"%USERPROFILE%\Documents\GitHub\eaglep3\Utilities\RefineRTDCRunTimes.py" --tripid 67-21 --locoid 4052 --swversion DE.1.0.9.0 --startMP 204:979 --initTime 2017-07-21T16:44:56 --startdatetime 2017-07-21T16:56:09 --delay 1 --endMP 204:4298 --enddatetime 2017-07-21T16:58:24 --enforcementcount 0 &gt;&gt;C:\Users\stu\Documents\GitHub\eaglep3-reporting\EC\2017-07-21-refined-times.txt</v>
      </c>
      <c r="AI237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0.4298"},{"id":17,"name":"Train ID","value":"67-21"},{"id":16,"name":"Locomotive ID","value":"4052"},{"id":130,"name":"Impact","value":""},{"id":150,"name":"Time of Event (Mountain Time)","value":"16:58:24"},{"id":151,"name":"Denver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99"/>
        <v>start /low /b %USERPROFILE%\Documents\GitHub\eaglep3\Utilities\DownloadLogsFromS3.py --loco 4052 --day 2017-07-21</v>
      </c>
      <c r="AN237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22:58:24"},{"id":29,"name":"Sharepoint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694</v>
      </c>
      <c r="B238" s="7">
        <v>4031</v>
      </c>
      <c r="C238" s="21" t="s">
        <v>198</v>
      </c>
      <c r="D238" s="21" t="s">
        <v>960</v>
      </c>
      <c r="E238" s="13">
        <v>42937.26635416667</v>
      </c>
      <c r="F238" s="13">
        <v>42937.26771990741</v>
      </c>
      <c r="G238" s="7">
        <v>1</v>
      </c>
      <c r="H238" s="21" t="s">
        <v>378</v>
      </c>
      <c r="I238" s="13">
        <v>42937.26939814815</v>
      </c>
      <c r="J238" s="7">
        <v>0</v>
      </c>
      <c r="K238" s="89" t="str">
        <f t="shared" si="88"/>
        <v>4031/4032</v>
      </c>
      <c r="L238" s="21" t="str">
        <f>VLOOKUP(A238,'Trips&amp;Operators'!$C$1:$G$99999,5,FALSE)</f>
        <v>SPECTOR MICHAEL</v>
      </c>
      <c r="M238" s="6">
        <f t="shared" si="89"/>
        <v>1.6782407401478849E-3</v>
      </c>
      <c r="N238" s="7">
        <f t="shared" si="101"/>
        <v>2.4166666658129543</v>
      </c>
      <c r="O238" s="7"/>
      <c r="P238" s="7"/>
      <c r="Q238" s="22"/>
      <c r="R238" s="170"/>
      <c r="S238" s="213">
        <f t="shared" si="104"/>
        <v>0</v>
      </c>
      <c r="T238" s="195" t="str">
        <f t="shared" si="90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91"/>
        <v>https://d0f6bd738d7f1b3e5a7ca70fe4ff75f0.us-east-1.aws.found.io/app/kibana#/discover/Steve-Slow-Train-Analysis-(2080s-and-2083s)?_g=(refreshInterval:(display:Off,pause:!f,section:0,value:0),time:(from:'2017-07-21T05:23:33-0600',mode:absolute,to:'2017-07-21T07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8" s="197" t="str">
        <f>IF(AA238&lt;VLOOKUP(AG238,Variables!$AC$3:$AD$8,2,FALSE),"Y","N")</f>
        <v>Y</v>
      </c>
      <c r="X238" s="197">
        <f t="shared" si="87"/>
        <v>1</v>
      </c>
      <c r="Y238" s="197">
        <f t="shared" si="102"/>
        <v>0.32140000000000002</v>
      </c>
      <c r="Z238" s="197">
        <f t="shared" si="103"/>
        <v>1.54E-2</v>
      </c>
      <c r="AA238" s="197">
        <f t="shared" si="92"/>
        <v>0.30599999999999999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3"/>
        <v>68</v>
      </c>
      <c r="AE238" s="77" t="str">
        <f t="shared" si="94"/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AF238" s="74" t="str">
        <f t="shared" si="95"/>
        <v>"C:\Program Files (x86)\AstroGrep\AstroGrep.exe" /e /r /s /spath="%USERPROFILE%\AppData\Local\Temp\OnboardLogs" /stypes="app*4031*20170721*" /stext=" 12:.+((SYSTEM_STATE.+slice.+state.+changed )|(ment ac)|(multiple cpu faults)|(system.+state.+changed )|(\[timeout)|(PRM\|1\|D)|(kpr)|(kdp)|(train st.+moving)|(\|lc)|(penalty))"</v>
      </c>
      <c r="AG238" s="209" t="str">
        <f t="shared" si="96"/>
        <v>Shuttle/Test</v>
      </c>
      <c r="AH238" s="78" t="str">
        <f t="shared" si="97"/>
        <v>"%USERPROFILE%\Documents\GitHub\eaglep3\Utilities\RefineRTDCRunTimes.py" --tripid 68-21 --locoid 4031 --swversion DE.1.0.9.0 --startMP 204:3214 --initTime 2017-07-21T06:23:33 --startdatetime 2017-07-21T06:25:31 --delay 1 --endMP 204:154 --enddatetime 2017-07-21T06:27:56 --enforcementcount 0 &gt;&gt;C:\Users\stu\Documents\GitHub\eaglep3-reporting\EC\2017-07-21-refined-times.txt</v>
      </c>
      <c r="AI238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0.0154"},{"id":17,"name":"Train ID","value":"68-21"},{"id":16,"name":"Locomotive ID","value":"4031"},{"id":130,"name":"Impact","value":""},{"id":150,"name":"Time of Event (Mountain Time)","value":"06:27:56"},{"id":151,"name":"Denver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9"/>
        <v>start /low /b %USERPROFILE%\Documents\GitHub\eaglep3\Utilities\DownloadLogsFromS3.py --loco 4031 --day 2017-07-21</v>
      </c>
      <c r="AN238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12:27:56"},{"id":29,"name":"Sharepoint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546</v>
      </c>
      <c r="B239" s="7">
        <v>4035</v>
      </c>
      <c r="C239" s="21" t="s">
        <v>198</v>
      </c>
      <c r="D239" s="21" t="s">
        <v>594</v>
      </c>
      <c r="E239" s="13">
        <v>42937.096944444442</v>
      </c>
      <c r="F239" s="13">
        <v>42937.098460648151</v>
      </c>
      <c r="G239" s="7">
        <v>1</v>
      </c>
      <c r="H239" s="21" t="s">
        <v>515</v>
      </c>
      <c r="I239" s="13">
        <v>42937.122708333336</v>
      </c>
      <c r="J239" s="7">
        <v>0</v>
      </c>
      <c r="K239" s="89" t="str">
        <f t="shared" si="88"/>
        <v>4035/4036</v>
      </c>
      <c r="L239" s="21" t="str">
        <f>VLOOKUP(A239,'Trips&amp;Operators'!$C$1:$G$99999,5,FALSE)</f>
        <v>BIRENBAUM THOMAS</v>
      </c>
      <c r="M239" s="6">
        <f t="shared" si="89"/>
        <v>2.4247685185400769E-2</v>
      </c>
      <c r="N239" s="7">
        <f t="shared" si="101"/>
        <v>34.916666666977108</v>
      </c>
      <c r="O239" s="7"/>
      <c r="P239" s="7"/>
      <c r="Q239" s="22"/>
      <c r="R239" s="170"/>
      <c r="S239" s="213">
        <f t="shared" si="104"/>
        <v>1</v>
      </c>
      <c r="T239" s="195" t="str">
        <f t="shared" si="90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91"/>
        <v>https://d0f6bd738d7f1b3e5a7ca70fe4ff75f0.us-east-1.aws.found.io/app/kibana#/discover/Steve-Slow-Train-Analysis-(2080s-and-2083s)?_g=(refreshInterval:(display:Off,pause:!f,section:0,value:0),time:(from:'2017-07-21T01:19:36-0600',mode:absolute,to:'2017-07-21T03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9" s="197" t="str">
        <f>IF(AA239&lt;VLOOKUP(AG239,Variables!$AC$3:$AD$8,2,FALSE),"Y","N")</f>
        <v>Y</v>
      </c>
      <c r="X239" s="197">
        <f t="shared" si="87"/>
        <v>2</v>
      </c>
      <c r="Y239" s="197">
        <f t="shared" si="102"/>
        <v>23.316199999999998</v>
      </c>
      <c r="Z239" s="197">
        <f t="shared" si="103"/>
        <v>0.1145</v>
      </c>
      <c r="AA239" s="197">
        <f t="shared" si="92"/>
        <v>23.201699999999999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3"/>
        <v>70</v>
      </c>
      <c r="AE239" s="77" t="str">
        <f t="shared" si="94"/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AF239" s="74" t="str">
        <f t="shared" si="95"/>
        <v>"C:\Program Files (x86)\AstroGrep\AstroGrep.exe" /e /r /s /spath="%USERPROFILE%\AppData\Local\Temp\OnboardLogs" /stypes="app*4035*20170721*" /stext=" 08:.+((SYSTEM_STATE.+slice.+state.+changed )|(ment ac)|(multiple cpu faults)|(system.+state.+changed )|(\[timeout)|(PRM\|1\|D)|(kpr)|(kdp)|(train st.+moving)|(\|lc)|(penalty))"</v>
      </c>
      <c r="AG239" s="209" t="str">
        <f t="shared" si="96"/>
        <v>Shuttle/Test</v>
      </c>
      <c r="AH239" s="78" t="str">
        <f t="shared" si="97"/>
        <v>"%USERPROFILE%\Documents\GitHub\eaglep3\Utilities\RefineRTDCRunTimes.py" --tripid 70-20 --locoid 4035 --swversion DE.1.0.9.0 --startMP 204:233162 --initTime 2017-07-21T02:19:36 --startdatetime 2017-07-21T02:21:47 --delay 1 --endMP 204:1145 --enddatetime 2017-07-21T02:56:42 --enforcementcount 0 &gt;&gt;C:\Users\stu\Documents\GitHub\eaglep3-reporting\EC\2017-07-21-refined-times.txt</v>
      </c>
      <c r="AI239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0.1145"},{"id":17,"name":"Train ID","value":"70-20"},{"id":16,"name":"Locomotive ID","value":"4035"},{"id":130,"name":"Impact","value":""},{"id":150,"name":"Time of Event (Mountain Time)","value":"02:56:42"},{"id":151,"name":"Denver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99"/>
        <v>start /low /b %USERPROFILE%\Documents\GitHub\eaglep3\Utilities\DownloadLogsFromS3.py --loco 4035 --day 2017-07-21</v>
      </c>
      <c r="AN239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08:56:42"},{"id":29,"name":"Sharepoint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555</v>
      </c>
      <c r="B240" s="7">
        <v>4036</v>
      </c>
      <c r="C240" s="21" t="s">
        <v>198</v>
      </c>
      <c r="D240" s="21" t="s">
        <v>961</v>
      </c>
      <c r="E240" s="13">
        <v>42937.123981481483</v>
      </c>
      <c r="F240" s="13">
        <v>42937.142430555556</v>
      </c>
      <c r="G240" s="7">
        <v>1</v>
      </c>
      <c r="H240" s="21" t="s">
        <v>345</v>
      </c>
      <c r="I240" s="13">
        <v>42937.153124999997</v>
      </c>
      <c r="J240" s="7">
        <v>0</v>
      </c>
      <c r="K240" s="89" t="str">
        <f t="shared" si="88"/>
        <v>4035/4036</v>
      </c>
      <c r="L240" s="21" t="str">
        <f>VLOOKUP(A240,'Trips&amp;Operators'!$C$1:$G$99999,5,FALSE)</f>
        <v>BIRENBAUM THOMAS</v>
      </c>
      <c r="M240" s="6">
        <f t="shared" si="89"/>
        <v>1.0694444441469386E-2</v>
      </c>
      <c r="N240" s="7">
        <f t="shared" si="101"/>
        <v>15.399999995715916</v>
      </c>
      <c r="O240" s="7"/>
      <c r="P240" s="7"/>
      <c r="Q240" s="22"/>
      <c r="R240" s="170"/>
      <c r="S240" s="213">
        <f t="shared" si="104"/>
        <v>1</v>
      </c>
      <c r="T240" s="195" t="str">
        <f t="shared" si="90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91"/>
        <v>https://d0f6bd738d7f1b3e5a7ca70fe4ff75f0.us-east-1.aws.found.io/app/kibana#/discover/Steve-Slow-Train-Analysis-(2080s-and-2083s)?_g=(refreshInterval:(display:Off,pause:!f,section:0,value:0),time:(from:'2017-07-21T01:58:32-0600',mode:absolute,to:'2017-07-21T04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0" s="197" t="str">
        <f>IF(AA240&lt;VLOOKUP(AG240,Variables!$AC$3:$AD$8,2,FALSE),"Y","N")</f>
        <v>Y</v>
      </c>
      <c r="X240" s="197">
        <f t="shared" si="87"/>
        <v>1</v>
      </c>
      <c r="Y240" s="197">
        <f t="shared" si="102"/>
        <v>0.1454</v>
      </c>
      <c r="Z240" s="197">
        <f t="shared" si="103"/>
        <v>2.3346</v>
      </c>
      <c r="AA240" s="197">
        <f t="shared" si="92"/>
        <v>2.1892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3"/>
        <v>71</v>
      </c>
      <c r="AE240" s="77" t="str">
        <f t="shared" si="94"/>
        <v>aws s3 cp s3://rtdc.mdm.uploadarchive.raw/RTDC4036/ "%USERPROFILE%\AppData\Local\Temp\OnboardLogs"\RTDC4036\2017-07-21 --exclude "*" --recursive --include "*20170721*" &amp; "%USERPROFILE%\Documents\GitHub\mrs-test-scripts\Headless Mode &amp; Sideloading\WalkAndUnGZ.bat" "%USERPROFILE%\AppData\Local\Temp\OnboardLogs"\RTDC4036\2017-07-21 &amp; aws s3 cp s3://rtdc.mdm.uploadarchive.raw/RTDC4036/ "%USERPROFILE%\AppData\Local\Temp\OnboardLogs"\RTDC4036\2017-07-22 --exclude "*" --recursive --include "*20170722*" &amp; "%USERPROFILE%\Documents\GitHub\mrs-test-scripts\Headless Mode &amp; Sideloading\WalkAndUnGZ.bat" "%USERPROFILE%\AppData\Local\Temp\OnboardLogs"\RTDC4036\2017-07-22</v>
      </c>
      <c r="AF240" s="74" t="str">
        <f t="shared" si="95"/>
        <v>"C:\Program Files (x86)\AstroGrep\AstroGrep.exe" /e /r /s /spath="%USERPROFILE%\AppData\Local\Temp\OnboardLogs" /stypes="app*4036*20170721*" /stext=" 09:.+((SYSTEM_STATE.+slice.+state.+changed )|(ment ac)|(multiple cpu faults)|(system.+state.+changed )|(\[timeout)|(PRM\|1\|D)|(kpr)|(kdp)|(train st.+moving)|(\|lc)|(penalty))"</v>
      </c>
      <c r="AG240" s="209" t="str">
        <f t="shared" si="96"/>
        <v>Shuttle/Test</v>
      </c>
      <c r="AH240" s="78" t="str">
        <f t="shared" si="97"/>
        <v>"%USERPROFILE%\Documents\GitHub\eaglep3\Utilities\RefineRTDCRunTimes.py" --tripid 71-20 --locoid 4036 --swversion DE.1.0.9.0 --startMP 204:1454 --initTime 2017-07-21T02:58:32 --startdatetime 2017-07-21T03:25:06 --delay 1 --endMP 300:23346 --enddatetime 2017-07-21T03:40:30 --enforcementcount 0 &gt;&gt;C:\Users\stu\Documents\GitHub\eaglep3-reporting\EC\2017-07-21-refined-times.txt</v>
      </c>
      <c r="AI240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2.3346"},{"id":17,"name":"Train ID","value":"71-20"},{"id":16,"name":"Locomotive ID","value":"4036"},{"id":130,"name":"Impact","value":""},{"id":150,"name":"Time of Event (Mountain Time)","value":"03:40:30"},{"id":151,"name":"Denver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9"/>
        <v>start /low /b %USERPROFILE%\Documents\GitHub\eaglep3\Utilities\DownloadLogsFromS3.py --loco 4036 --day 2017-07-21</v>
      </c>
      <c r="AN240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09:40:30"},{"id":29,"name":"Sharepoint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730</v>
      </c>
      <c r="B241" s="7">
        <v>4023</v>
      </c>
      <c r="C241" s="21" t="s">
        <v>198</v>
      </c>
      <c r="D241" s="21" t="s">
        <v>962</v>
      </c>
      <c r="E241" s="13">
        <v>42937.743761574071</v>
      </c>
      <c r="F241" s="13">
        <v>25568.708333333332</v>
      </c>
      <c r="G241" s="7">
        <v>16</v>
      </c>
      <c r="H241" s="21" t="s">
        <v>963</v>
      </c>
      <c r="I241" s="13">
        <v>25568.708333333332</v>
      </c>
      <c r="J241" s="7">
        <v>0</v>
      </c>
      <c r="K241" s="89" t="str">
        <f t="shared" si="88"/>
        <v>4023/4024</v>
      </c>
      <c r="L241" s="21" t="str">
        <f>VLOOKUP(A241,'Trips&amp;Operators'!$C$1:$G$99999,5,FALSE)</f>
        <v>DE LA ROSA ALEX</v>
      </c>
      <c r="M241" s="6">
        <f t="shared" si="89"/>
        <v>0</v>
      </c>
      <c r="N241" s="7">
        <f t="shared" si="101"/>
        <v>0</v>
      </c>
      <c r="O241" s="7"/>
      <c r="P241" s="7"/>
      <c r="Q241" s="22"/>
      <c r="R241" s="170"/>
      <c r="S241" s="213">
        <f t="shared" si="104"/>
        <v>0</v>
      </c>
      <c r="T241" s="195" t="str">
        <f t="shared" si="90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91"/>
        <v>https://d0f6bd738d7f1b3e5a7ca70fe4ff75f0.us-east-1.aws.found.io/app/kibana#/discover/Steve-Slow-Train-Analysis-(2080s-and-2083s)?_g=(refreshInterval:(display:Off,pause:!f,section:0,value:0),time:(from:'2017-07-21T16:51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1" s="197" t="str">
        <f>IF(AA241&lt;VLOOKUP(AG241,Variables!$AC$3:$AD$8,2,FALSE),"Y","N")</f>
        <v>Y</v>
      </c>
      <c r="X241" s="197">
        <f t="shared" si="87"/>
        <v>6</v>
      </c>
      <c r="Y241" s="197">
        <f t="shared" si="102"/>
        <v>2.3228</v>
      </c>
      <c r="Z241" s="197">
        <f t="shared" si="103"/>
        <v>0.19040000000000001</v>
      </c>
      <c r="AA241" s="197">
        <f t="shared" si="92"/>
        <v>2.1324000000000001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3"/>
        <v>77</v>
      </c>
      <c r="AE241" s="77" t="str">
        <f t="shared" si="94"/>
        <v>aws s3 cp s3://rtdc.mdm.uploadarchive.raw/RTDC4023/ "%USERPROFILE%\AppData\Local\Temp\OnboardLogs"\RTDC4023\1969-12-31 --exclude "*" --recursive --include "*19691231*" &amp; "%USERPROFILE%\Documents\GitHub\mrs-test-scripts\Headless Mode &amp; Sideloading\WalkAndUnGZ.bat" "%USERPROFILE%\AppData\Local\Temp\OnboardLogs"\RTDC4023\1969-12-31 &amp; aws s3 cp s3://rtdc.mdm.uploadarchive.raw/RTDC4023/ "%USERPROFILE%\AppData\Local\Temp\OnboardLogs"\RTDC4023\1970-01-01 --exclude "*" --recursive --include "*19700101*" &amp; "%USERPROFILE%\Documents\GitHub\mrs-test-scripts\Headless Mode &amp; Sideloading\WalkAndUnGZ.bat" "%USERPROFILE%\AppData\Local\Temp\OnboardLogs"\RTDC4023\1970-01-01</v>
      </c>
      <c r="AF241" s="74" t="str">
        <f t="shared" si="95"/>
        <v>"C:\Program Files (x86)\AstroGrep\AstroGrep.exe" /e /r /s /spath="%USERPROFILE%\AppData\Local\Temp\OnboardLogs" /stypes="app*4023*19691231*" /stext=" 23:.+((SYSTEM_STATE.+slice.+state.+changed )|(ment ac)|(multiple cpu faults)|(system.+state.+changed )|(\[timeout)|(PRM\|1\|D)|(kpr)|(kdp)|(train st.+moving)|(\|lc)|(penalty))"</v>
      </c>
      <c r="AG241" s="209" t="str">
        <f t="shared" si="96"/>
        <v>Shuttle/Test</v>
      </c>
      <c r="AH241" s="78" t="str">
        <f t="shared" si="97"/>
        <v>"%USERPROFILE%\Documents\GitHub\eaglep3\Utilities\RefineRTDCRunTimes.py" --tripid 77-21 --locoid 4023 --swversion DE.1.0.9.0 --startMP 300:23228 --initTime 2017-07-21T17:51:01 --startdatetime 1969-12-31T17:00:00 --delay 16 --endMP 204:1904 --enddatetime 1969-12-31T17:00:00 --enforcementcount 0 &gt;&gt;C:\Users\stu\Documents\GitHub\eaglep3-reporting\EC\2017-07-21-refined-times.txt</v>
      </c>
      <c r="AI241" s="96" t="str">
        <f t="shared" si="98"/>
        <v>echo {"issue":{"subject":"","project_id":79,"tracker_id":40,"status_id":1,"priority_id":2,"assigned_to_id":23,"start_date":"1969-12-31","description":"","custom_fields":[{"id":1,"name":"Subdivision","value":"Shuttle/Test"},{"id":4,"name":"Milepost","value":"0.1904"},{"id":17,"name":"Train ID","value":"77-21"},{"id":16,"name":"Locomotive ID","value":"4023"},{"id":130,"name":"Impact","value":""},{"id":150,"name":"Time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9"/>
        <v>start /low /b %USERPROFILE%\Documents\GitHub\eaglep3\Utilities\DownloadLogsFromS3.py --loco 4023 --day 1969-12-31</v>
      </c>
      <c r="AN241" s="151" t="str">
        <f t="shared" si="10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730</v>
      </c>
      <c r="B242" s="7">
        <v>4024</v>
      </c>
      <c r="C242" s="21" t="s">
        <v>198</v>
      </c>
      <c r="D242" s="21" t="s">
        <v>964</v>
      </c>
      <c r="E242" s="13">
        <v>42938.014155092591</v>
      </c>
      <c r="F242" s="13">
        <v>42938.083541666667</v>
      </c>
      <c r="G242" s="7">
        <v>3</v>
      </c>
      <c r="H242" s="21" t="s">
        <v>965</v>
      </c>
      <c r="I242" s="13">
        <v>42938.111851851849</v>
      </c>
      <c r="J242" s="7">
        <v>0</v>
      </c>
      <c r="K242" s="89" t="str">
        <f t="shared" si="88"/>
        <v>4023/4024</v>
      </c>
      <c r="L242" s="21" t="str">
        <f>VLOOKUP(A242,'Trips&amp;Operators'!$C$1:$G$99999,5,FALSE)</f>
        <v>DE LA ROSA ALEX</v>
      </c>
      <c r="M242" s="6">
        <f t="shared" si="89"/>
        <v>2.8310185181908309E-2</v>
      </c>
      <c r="N242" s="7">
        <f t="shared" si="101"/>
        <v>40.766666661947966</v>
      </c>
      <c r="O242" s="7"/>
      <c r="P242" s="7"/>
      <c r="Q242" s="22"/>
      <c r="R242" s="170"/>
      <c r="S242" s="213">
        <f t="shared" si="104"/>
        <v>0</v>
      </c>
      <c r="T242" s="195" t="str">
        <f t="shared" si="90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91"/>
        <v>https://d0f6bd738d7f1b3e5a7ca70fe4ff75f0.us-east-1.aws.found.io/app/kibana#/discover/Steve-Slow-Train-Analysis-(2080s-and-2083s)?_g=(refreshInterval:(display:Off,pause:!f,section:0,value:0),time:(from:'2017-07-21T23:20:23-0600',mode:absolute,to:'2017-07-22T03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2" s="197" t="str">
        <f>IF(AA242&lt;VLOOKUP(AG242,Variables!$AC$3:$AD$8,2,FALSE),"Y","N")</f>
        <v>Y</v>
      </c>
      <c r="X242" s="197">
        <f t="shared" si="87"/>
        <v>0</v>
      </c>
      <c r="Y242" s="197">
        <f t="shared" si="102"/>
        <v>0.1158</v>
      </c>
      <c r="Z242" s="197">
        <f t="shared" si="103"/>
        <v>0.27829999999999999</v>
      </c>
      <c r="AA242" s="197">
        <f t="shared" si="92"/>
        <v>0.16249999999999998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3"/>
        <v>77</v>
      </c>
      <c r="AE242" s="77" t="str">
        <f t="shared" si="94"/>
        <v>aws s3 cp s3://rtdc.mdm.uploadarchive.raw/RTDC4024/ "%USERPROFILE%\AppData\Local\Temp\OnboardLogs"\RTDC4024\2017-07-22 --exclude "*" --recursive --include "*20170722*" &amp; "%USERPROFILE%\Documents\GitHub\mrs-test-scripts\Headless Mode &amp; Sideloading\WalkAndUnGZ.bat" "%USERPROFILE%\AppData\Local\Temp\OnboardLogs"\RTDC4024\2017-07-22 &amp; 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</v>
      </c>
      <c r="AF242" s="74" t="str">
        <f t="shared" si="95"/>
        <v>"C:\Program Files (x86)\AstroGrep\AstroGrep.exe" /e /r /s /spath="%USERPROFILE%\AppData\Local\Temp\OnboardLogs" /stypes="app*4024*20170722*" /stext=" 08:.+((SYSTEM_STATE.+slice.+state.+changed )|(ment ac)|(multiple cpu faults)|(system.+state.+changed )|(\[timeout)|(PRM\|1\|D)|(kpr)|(kdp)|(train st.+moving)|(\|lc)|(penalty))"</v>
      </c>
      <c r="AG242" s="209" t="str">
        <f t="shared" si="96"/>
        <v>Shuttle/Test</v>
      </c>
      <c r="AH242" s="78" t="str">
        <f t="shared" si="97"/>
        <v>"%USERPROFILE%\Documents\GitHub\eaglep3\Utilities\RefineRTDCRunTimes.py" --tripid 77-21 --locoid 4024 --swversion DE.1.0.9.0 --startMP 204:1158 --initTime 2017-07-22T00:20:23 --startdatetime 2017-07-22T02:00:18 --delay 3 --endMP 204:2783 --enddatetime 2017-07-22T02:41:04 --enforcementcount 0 &gt;&gt;C:\Users\stu\Documents\GitHub\eaglep3-reporting\EC\2017-07-21-refined-times.txt</v>
      </c>
      <c r="AI242" s="96" t="str">
        <f t="shared" si="98"/>
        <v>echo {"issue":{"subject":"","project_id":79,"tracker_id":40,"status_id":1,"priority_id":2,"assigned_to_id":23,"start_date":"2017-07-22","description":"","custom_fields":[{"id":1,"name":"Subdivision","value":"Shuttle/Test"},{"id":4,"name":"Milepost","value":"0.2783"},{"id":17,"name":"Train ID","value":"77-21"},{"id":16,"name":"Locomotive ID","value":"4024"},{"id":130,"name":"Impact","value":""},{"id":150,"name":"Time of Event (Mountain Time)","value":"02:41:04"},{"id":151,"name":"Denver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99"/>
        <v>start /low /b %USERPROFILE%\Documents\GitHub\eaglep3\Utilities\DownloadLogsFromS3.py --loco 4024 --day 2017-07-22</v>
      </c>
      <c r="AN242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730</v>
      </c>
      <c r="B243" s="7">
        <v>4024</v>
      </c>
      <c r="C243" s="21" t="s">
        <v>198</v>
      </c>
      <c r="D243" s="21" t="s">
        <v>966</v>
      </c>
      <c r="E243" s="13">
        <v>42938.02820601852</v>
      </c>
      <c r="F243" s="13">
        <v>42938.083541666667</v>
      </c>
      <c r="G243" s="7">
        <v>1</v>
      </c>
      <c r="H243" s="21" t="s">
        <v>967</v>
      </c>
      <c r="I243" s="13">
        <v>42938.111851851849</v>
      </c>
      <c r="J243" s="7">
        <v>0</v>
      </c>
      <c r="K243" s="89" t="str">
        <f t="shared" si="88"/>
        <v>4023/4024</v>
      </c>
      <c r="L243" s="21" t="str">
        <f>VLOOKUP(A243,'Trips&amp;Operators'!$C$1:$G$99999,5,FALSE)</f>
        <v>DE LA ROSA ALEX</v>
      </c>
      <c r="M243" s="6">
        <f t="shared" si="89"/>
        <v>2.8310185181908309E-2</v>
      </c>
      <c r="N243" s="7">
        <f t="shared" si="101"/>
        <v>40.766666661947966</v>
      </c>
      <c r="O243" s="7"/>
      <c r="P243" s="7"/>
      <c r="Q243" s="22"/>
      <c r="R243" s="170"/>
      <c r="S243" s="213">
        <f t="shared" si="104"/>
        <v>0</v>
      </c>
      <c r="T243" s="195" t="str">
        <f t="shared" si="90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91"/>
        <v>https://d0f6bd738d7f1b3e5a7ca70fe4ff75f0.us-east-1.aws.found.io/app/kibana#/discover/Steve-Slow-Train-Analysis-(2080s-and-2083s)?_g=(refreshInterval:(display:Off,pause:!f,section:0,value:0),time:(from:'2017-07-21T23:40:37-0600',mode:absolute,to:'2017-07-22T03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3" s="197" t="str">
        <f>IF(AA243&lt;VLOOKUP(AG243,Variables!$AC$3:$AD$8,2,FALSE),"Y","N")</f>
        <v>Y</v>
      </c>
      <c r="X243" s="197">
        <f t="shared" si="87"/>
        <v>0</v>
      </c>
      <c r="Y243" s="197">
        <f t="shared" si="102"/>
        <v>0.2757</v>
      </c>
      <c r="Z243" s="197">
        <f t="shared" si="103"/>
        <v>0.34749999999999998</v>
      </c>
      <c r="AA243" s="197">
        <f t="shared" si="92"/>
        <v>7.1799999999999975E-2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3"/>
        <v>77</v>
      </c>
      <c r="AE243" s="77" t="str">
        <f t="shared" si="94"/>
        <v>aws s3 cp s3://rtdc.mdm.uploadarchive.raw/RTDC4024/ "%USERPROFILE%\AppData\Local\Temp\OnboardLogs"\RTDC4024\2017-07-22 --exclude "*" --recursive --include "*20170722*" &amp; "%USERPROFILE%\Documents\GitHub\mrs-test-scripts\Headless Mode &amp; Sideloading\WalkAndUnGZ.bat" "%USERPROFILE%\AppData\Local\Temp\OnboardLogs"\RTDC4024\2017-07-22 &amp; 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</v>
      </c>
      <c r="AF243" s="74" t="str">
        <f t="shared" si="95"/>
        <v>"C:\Program Files (x86)\AstroGrep\AstroGrep.exe" /e /r /s /spath="%USERPROFILE%\AppData\Local\Temp\OnboardLogs" /stypes="app*4024*20170722*" /stext=" 08:.+((SYSTEM_STATE.+slice.+state.+changed )|(ment ac)|(multiple cpu faults)|(system.+state.+changed )|(\[timeout)|(PRM\|1\|D)|(kpr)|(kdp)|(train st.+moving)|(\|lc)|(penalty))"</v>
      </c>
      <c r="AG243" s="209" t="str">
        <f t="shared" si="96"/>
        <v>Shuttle/Test</v>
      </c>
      <c r="AH243" s="78" t="str">
        <f t="shared" si="97"/>
        <v>"%USERPROFILE%\Documents\GitHub\eaglep3\Utilities\RefineRTDCRunTimes.py" --tripid 77-21 --locoid 4024 --swversion DE.1.0.9.0 --startMP 204:2757 --initTime 2017-07-22T00:40:37 --startdatetime 2017-07-22T02:00:18 --delay 1 --endMP 204:3475 --enddatetime 2017-07-22T02:41:04 --enforcementcount 0 &gt;&gt;C:\Users\stu\Documents\GitHub\eaglep3-reporting\EC\2017-07-21-refined-times.txt</v>
      </c>
      <c r="AI243" s="96" t="str">
        <f t="shared" si="98"/>
        <v>echo {"issue":{"subject":"","project_id":79,"tracker_id":40,"status_id":1,"priority_id":2,"assigned_to_id":23,"start_date":"2017-07-22","description":"","custom_fields":[{"id":1,"name":"Subdivision","value":"Shuttle/Test"},{"id":4,"name":"Milepost","value":"0.3475"},{"id":17,"name":"Train ID","value":"77-21"},{"id":16,"name":"Locomotive ID","value":"4024"},{"id":130,"name":"Impact","value":""},{"id":150,"name":"Time of Event (Mountain Time)","value":"02:41:04"},{"id":151,"name":"Denver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99"/>
        <v>start /low /b %USERPROFILE%\Documents\GitHub\eaglep3\Utilities\DownloadLogsFromS3.py --loco 4024 --day 2017-07-22</v>
      </c>
      <c r="AN243" s="151" t="str">
        <f t="shared" si="100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730</v>
      </c>
      <c r="B244" s="7">
        <v>4027</v>
      </c>
      <c r="C244" s="21" t="s">
        <v>198</v>
      </c>
      <c r="D244" s="21" t="s">
        <v>968</v>
      </c>
      <c r="E244" s="13">
        <v>42937.401331018518</v>
      </c>
      <c r="F244" s="13">
        <v>42937.403090277781</v>
      </c>
      <c r="G244" s="7">
        <v>1</v>
      </c>
      <c r="H244" s="21" t="s">
        <v>969</v>
      </c>
      <c r="I244" s="13">
        <v>42937.40421296296</v>
      </c>
      <c r="J244" s="7">
        <v>0</v>
      </c>
      <c r="K244" s="89" t="str">
        <f t="shared" si="88"/>
        <v>4027/4028</v>
      </c>
      <c r="L244" s="21" t="str">
        <f>VLOOKUP(A244,'Trips&amp;Operators'!$C$1:$G$99999,5,FALSE)</f>
        <v>DE LA ROSA ALEX</v>
      </c>
      <c r="M244" s="6">
        <f t="shared" si="89"/>
        <v>1.1226851784158498E-3</v>
      </c>
      <c r="N244" s="7">
        <f t="shared" si="101"/>
        <v>1.6166666569188237</v>
      </c>
      <c r="O244" s="7"/>
      <c r="P244" s="7"/>
      <c r="Q244" s="22"/>
      <c r="R244" s="170"/>
      <c r="S244" s="213">
        <f t="shared" si="104"/>
        <v>0</v>
      </c>
      <c r="T244" s="195" t="str">
        <f t="shared" si="90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91"/>
        <v>https://d0f6bd738d7f1b3e5a7ca70fe4ff75f0.us-east-1.aws.found.io/app/kibana#/discover/Steve-Slow-Train-Analysis-(2080s-and-2083s)?_g=(refreshInterval:(display:Off,pause:!f,section:0,value:0),time:(from:'2017-07-21T08:37:55-0600',mode:absolute,to:'2017-07-21T10:42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4" s="197" t="str">
        <f>IF(AA244&lt;VLOOKUP(AG244,Variables!$AC$3:$AD$8,2,FALSE),"Y","N")</f>
        <v>Y</v>
      </c>
      <c r="X244" s="197">
        <f t="shared" si="87"/>
        <v>0</v>
      </c>
      <c r="Y244" s="197">
        <f t="shared" si="102"/>
        <v>0.32790000000000002</v>
      </c>
      <c r="Z244" s="197">
        <f t="shared" si="103"/>
        <v>0.1154</v>
      </c>
      <c r="AA244" s="197">
        <f t="shared" si="92"/>
        <v>0.21250000000000002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93"/>
        <v>77</v>
      </c>
      <c r="AE244" s="77" t="str">
        <f t="shared" si="94"/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AF244" s="74" t="str">
        <f t="shared" si="95"/>
        <v>"C:\Program Files (x86)\AstroGrep\AstroGrep.exe" /e /r /s /spath="%USERPROFILE%\AppData\Local\Temp\OnboardLogs" /stypes="app*4027*20170721*" /stext=" 15:.+((SYSTEM_STATE.+slice.+state.+changed )|(ment ac)|(multiple cpu faults)|(system.+state.+changed )|(\[timeout)|(PRM\|1\|D)|(kpr)|(kdp)|(train st.+moving)|(\|lc)|(penalty))"</v>
      </c>
      <c r="AG244" s="209" t="str">
        <f t="shared" si="96"/>
        <v>Shuttle/Test</v>
      </c>
      <c r="AH244" s="78" t="str">
        <f t="shared" si="97"/>
        <v>"%USERPROFILE%\Documents\GitHub\eaglep3\Utilities\RefineRTDCRunTimes.py" --tripid 77-21 --locoid 4027 --swversion DE.1.0.9.0 --startMP 204:3279 --initTime 2017-07-21T09:37:55 --startdatetime 2017-07-21T09:40:27 --delay 1 --endMP 204:1154 --enddatetime 2017-07-21T09:42:04 --enforcementcount 0 &gt;&gt;C:\Users\stu\Documents\GitHub\eaglep3-reporting\EC\2017-07-21-refined-times.txt</v>
      </c>
      <c r="AI244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0.1154"},{"id":17,"name":"Train ID","value":"77-21"},{"id":16,"name":"Locomotive ID","value":"4027"},{"id":130,"name":"Impact","value":""},{"id":150,"name":"Time of Event (Mountain Time)","value":"09:42:04"},{"id":151,"name":"Denver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99"/>
        <v>start /low /b %USERPROFILE%\Documents\GitHub\eaglep3\Utilities\DownloadLogsFromS3.py --loco 4027 --day 2017-07-21</v>
      </c>
      <c r="AN244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730</v>
      </c>
      <c r="B245" s="7">
        <v>4028</v>
      </c>
      <c r="C245" s="21" t="s">
        <v>198</v>
      </c>
      <c r="D245" s="21" t="s">
        <v>970</v>
      </c>
      <c r="E245" s="13">
        <v>42937.390856481485</v>
      </c>
      <c r="F245" s="13">
        <v>42937.403090277781</v>
      </c>
      <c r="G245" s="7">
        <v>5</v>
      </c>
      <c r="H245" s="21" t="s">
        <v>970</v>
      </c>
      <c r="I245" s="13">
        <v>42937.40421296296</v>
      </c>
      <c r="J245" s="7">
        <v>0</v>
      </c>
      <c r="K245" s="89" t="str">
        <f t="shared" si="88"/>
        <v>4027/4028</v>
      </c>
      <c r="L245" s="21" t="str">
        <f>VLOOKUP(A245,'Trips&amp;Operators'!$C$1:$G$99999,5,FALSE)</f>
        <v>DE LA ROSA ALEX</v>
      </c>
      <c r="M245" s="6">
        <f t="shared" si="89"/>
        <v>1.1226851784158498E-3</v>
      </c>
      <c r="N245" s="7">
        <f t="shared" si="101"/>
        <v>1.6166666569188237</v>
      </c>
      <c r="O245" s="7"/>
      <c r="P245" s="7"/>
      <c r="Q245" s="22"/>
      <c r="R245" s="170"/>
      <c r="S245" s="213">
        <f t="shared" si="104"/>
        <v>0</v>
      </c>
      <c r="T245" s="195" t="str">
        <f t="shared" si="90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91"/>
        <v>https://d0f6bd738d7f1b3e5a7ca70fe4ff75f0.us-east-1.aws.found.io/app/kibana#/discover/Steve-Slow-Train-Analysis-(2080s-and-2083s)?_g=(refreshInterval:(display:Off,pause:!f,section:0,value:0),time:(from:'2017-07-21T08:22:50-0600',mode:absolute,to:'2017-07-21T10:42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5" s="197" t="str">
        <f>IF(AA245&lt;VLOOKUP(AG245,Variables!$AC$3:$AD$8,2,FALSE),"Y","N")</f>
        <v>Y</v>
      </c>
      <c r="X245" s="197">
        <f t="shared" si="87"/>
        <v>0</v>
      </c>
      <c r="Y245" s="197">
        <f t="shared" si="102"/>
        <v>3.1099999999999999E-2</v>
      </c>
      <c r="Z245" s="197">
        <f t="shared" si="103"/>
        <v>3.1099999999999999E-2</v>
      </c>
      <c r="AA245" s="197">
        <f t="shared" si="92"/>
        <v>0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93"/>
        <v>77</v>
      </c>
      <c r="AE245" s="77" t="str">
        <f t="shared" si="94"/>
        <v>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 &amp; aws s3 cp s3://rtdc.mdm.uploadarchive.raw/RTDC4028/ "%USERPROFILE%\AppData\Local\Temp\OnboardLogs"\RTDC4028\2017-07-22 --exclude "*" --recursive --include "*20170722*" &amp; "%USERPROFILE%\Documents\GitHub\mrs-test-scripts\Headless Mode &amp; Sideloading\WalkAndUnGZ.bat" "%USERPROFILE%\AppData\Local\Temp\OnboardLogs"\RTDC4028\2017-07-22</v>
      </c>
      <c r="AF245" s="74" t="str">
        <f t="shared" si="95"/>
        <v>"C:\Program Files (x86)\AstroGrep\AstroGrep.exe" /e /r /s /spath="%USERPROFILE%\AppData\Local\Temp\OnboardLogs" /stypes="app*4028*20170721*" /stext=" 15:.+((SYSTEM_STATE.+slice.+state.+changed )|(ment ac)|(multiple cpu faults)|(system.+state.+changed )|(\[timeout)|(PRM\|1\|D)|(kpr)|(kdp)|(train st.+moving)|(\|lc)|(penalty))"</v>
      </c>
      <c r="AG245" s="209" t="str">
        <f t="shared" si="96"/>
        <v>Shuttle/Test</v>
      </c>
      <c r="AH245" s="78" t="str">
        <f t="shared" si="97"/>
        <v>"%USERPROFILE%\Documents\GitHub\eaglep3\Utilities\RefineRTDCRunTimes.py" --tripid 77-21 --locoid 4028 --swversion DE.1.0.9.0 --startMP 204:311 --initTime 2017-07-21T09:22:50 --startdatetime 2017-07-21T09:40:27 --delay 5 --endMP 204:311 --enddatetime 2017-07-21T09:42:04 --enforcementcount 0 &gt;&gt;C:\Users\stu\Documents\GitHub\eaglep3-reporting\EC\2017-07-21-refined-times.txt</v>
      </c>
      <c r="AI245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0.0311"},{"id":17,"name":"Train ID","value":"77-21"},{"id":16,"name":"Locomotive ID","value":"4028"},{"id":130,"name":"Impact","value":""},{"id":150,"name":"Time of Event (Mountain Time)","value":"09:42:04"},{"id":151,"name":"Denver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99"/>
        <v>start /low /b %USERPROFILE%\Documents\GitHub\eaglep3\Utilities\DownloadLogsFromS3.py --loco 4028 --day 2017-07-21</v>
      </c>
      <c r="AN245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730</v>
      </c>
      <c r="B246" s="7">
        <v>4028</v>
      </c>
      <c r="C246" s="21" t="s">
        <v>198</v>
      </c>
      <c r="D246" s="21" t="s">
        <v>971</v>
      </c>
      <c r="E246" s="13">
        <v>42937.397337962961</v>
      </c>
      <c r="F246" s="13">
        <v>42937.403090277781</v>
      </c>
      <c r="G246" s="7">
        <v>2</v>
      </c>
      <c r="H246" s="21" t="s">
        <v>972</v>
      </c>
      <c r="I246" s="13">
        <v>42937.40421296296</v>
      </c>
      <c r="J246" s="7">
        <v>0</v>
      </c>
      <c r="K246" s="89" t="str">
        <f t="shared" si="88"/>
        <v>4027/4028</v>
      </c>
      <c r="L246" s="21" t="str">
        <f>VLOOKUP(A246,'Trips&amp;Operators'!$C$1:$G$99999,5,FALSE)</f>
        <v>DE LA ROSA ALEX</v>
      </c>
      <c r="M246" s="6">
        <f t="shared" si="89"/>
        <v>1.1226851784158498E-3</v>
      </c>
      <c r="N246" s="7">
        <f t="shared" si="101"/>
        <v>1.6166666569188237</v>
      </c>
      <c r="O246" s="7"/>
      <c r="P246" s="7"/>
      <c r="Q246" s="22"/>
      <c r="R246" s="170"/>
      <c r="S246" s="213">
        <f t="shared" si="104"/>
        <v>0</v>
      </c>
      <c r="T246" s="195" t="str">
        <f t="shared" si="90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91"/>
        <v>https://d0f6bd738d7f1b3e5a7ca70fe4ff75f0.us-east-1.aws.found.io/app/kibana#/discover/Steve-Slow-Train-Analysis-(2080s-and-2083s)?_g=(refreshInterval:(display:Off,pause:!f,section:0,value:0),time:(from:'2017-07-21T08:32:10-0600',mode:absolute,to:'2017-07-21T10:42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6" s="197" t="str">
        <f>IF(AA246&lt;VLOOKUP(AG246,Variables!$AC$3:$AD$8,2,FALSE),"Y","N")</f>
        <v>Y</v>
      </c>
      <c r="X246" s="197">
        <f t="shared" si="87"/>
        <v>0</v>
      </c>
      <c r="Y246" s="197">
        <f t="shared" si="102"/>
        <v>3.2899999999999999E-2</v>
      </c>
      <c r="Z246" s="197">
        <f t="shared" si="103"/>
        <v>0.35980000000000001</v>
      </c>
      <c r="AA246" s="197">
        <f t="shared" si="92"/>
        <v>0.32690000000000002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93"/>
        <v>77</v>
      </c>
      <c r="AE246" s="77" t="str">
        <f t="shared" si="94"/>
        <v>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 &amp; aws s3 cp s3://rtdc.mdm.uploadarchive.raw/RTDC4028/ "%USERPROFILE%\AppData\Local\Temp\OnboardLogs"\RTDC4028\2017-07-22 --exclude "*" --recursive --include "*20170722*" &amp; "%USERPROFILE%\Documents\GitHub\mrs-test-scripts\Headless Mode &amp; Sideloading\WalkAndUnGZ.bat" "%USERPROFILE%\AppData\Local\Temp\OnboardLogs"\RTDC4028\2017-07-22</v>
      </c>
      <c r="AF246" s="74" t="str">
        <f t="shared" si="95"/>
        <v>"C:\Program Files (x86)\AstroGrep\AstroGrep.exe" /e /r /s /spath="%USERPROFILE%\AppData\Local\Temp\OnboardLogs" /stypes="app*4028*20170721*" /stext=" 15:.+((SYSTEM_STATE.+slice.+state.+changed )|(ment ac)|(multiple cpu faults)|(system.+state.+changed )|(\[timeout)|(PRM\|1\|D)|(kpr)|(kdp)|(train st.+moving)|(\|lc)|(penalty))"</v>
      </c>
      <c r="AG246" s="209" t="str">
        <f t="shared" si="96"/>
        <v>Shuttle/Test</v>
      </c>
      <c r="AH246" s="78" t="str">
        <f t="shared" si="97"/>
        <v>"%USERPROFILE%\Documents\GitHub\eaglep3\Utilities\RefineRTDCRunTimes.py" --tripid 77-21 --locoid 4028 --swversion DE.1.0.9.0 --startMP 204:329 --initTime 2017-07-21T09:32:10 --startdatetime 2017-07-21T09:40:27 --delay 2 --endMP 204:3598 --enddatetime 2017-07-21T09:42:04 --enforcementcount 0 &gt;&gt;C:\Users\stu\Documents\GitHub\eaglep3-reporting\EC\2017-07-21-refined-times.txt</v>
      </c>
      <c r="AI246" s="96" t="str">
        <f t="shared" si="98"/>
        <v>echo {"issue":{"subject":"","project_id":79,"tracker_id":40,"status_id":1,"priority_id":2,"assigned_to_id":23,"start_date":"2017-07-21","description":"","custom_fields":[{"id":1,"name":"Subdivision","value":"Shuttle/Test"},{"id":4,"name":"Milepost","value":"0.3598"},{"id":17,"name":"Train ID","value":"77-21"},{"id":16,"name":"Locomotive ID","value":"4028"},{"id":130,"name":"Impact","value":""},{"id":150,"name":"Time of Event (Mountain Time)","value":"09:42:04"},{"id":151,"name":"Denver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99"/>
        <v>start /low /b %USERPROFILE%\Documents\GitHub\eaglep3\Utilities\DownloadLogsFromS3.py --loco 4028 --day 2017-07-21</v>
      </c>
      <c r="AN246" s="151" t="str">
        <f t="shared" si="100"/>
        <v>echo {"issue":{"subject":"","project_id":30,"tracker_id":4,"status_id":1,"priority_id":1,"assigned_to_id":10,"start_date":"2017-07-21","description":"","custom_fields":[{"id":30,"name":"Category","value":"Issue"},{"id":3,"name":"Functional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UTC","value":"2017-07-21 15:42:04"},{"id":29,"name":"Sharepoint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</sheetData>
  <autoFilter ref="A12:AG268">
    <sortState ref="A13:AG268">
      <sortCondition ref="AG13:AG246"/>
      <sortCondition ref="AD13:AD246"/>
    </sortState>
  </autoFilter>
  <sortState ref="A13:AN225">
    <sortCondition ref="AG13:AG225"/>
    <sortCondition ref="AD13:AD225"/>
  </sortState>
  <mergeCells count="1">
    <mergeCell ref="A11:P11"/>
  </mergeCells>
  <conditionalFormatting sqref="W11:W12 W273:X1048576 W13:X246">
    <cfRule type="cellIs" dxfId="10" priority="415" operator="equal">
      <formula>"Y"</formula>
    </cfRule>
  </conditionalFormatting>
  <conditionalFormatting sqref="X273:X1048576 X13:X246">
    <cfRule type="cellIs" dxfId="9" priority="398" operator="greaterThan">
      <formula>1</formula>
    </cfRule>
  </conditionalFormatting>
  <conditionalFormatting sqref="X273:X1048576 X12:X246">
    <cfRule type="cellIs" dxfId="8" priority="395" operator="equal">
      <formula>0</formula>
    </cfRule>
  </conditionalFormatting>
  <conditionalFormatting sqref="A13:S24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0"/>
  <sheetViews>
    <sheetView topLeftCell="A2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COUNTIF($O$7:$O$271,"=Y")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COUNTA($O$7:$O$271)-O2</f>
        <v>36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407</v>
      </c>
      <c r="X6" s="208" t="s">
        <v>400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42937.634652777779</v>
      </c>
      <c r="B7" s="30" t="s">
        <v>455</v>
      </c>
      <c r="C7" s="30" t="s">
        <v>638</v>
      </c>
      <c r="D7" s="30" t="s">
        <v>96</v>
      </c>
      <c r="E7" s="30" t="s">
        <v>187</v>
      </c>
      <c r="F7" s="42">
        <v>160</v>
      </c>
      <c r="G7" s="42">
        <v>216</v>
      </c>
      <c r="H7" s="42">
        <v>27031</v>
      </c>
      <c r="I7" s="42">
        <v>26672</v>
      </c>
      <c r="J7" s="30" t="s">
        <v>188</v>
      </c>
      <c r="K7" s="42">
        <v>27350</v>
      </c>
      <c r="L7" s="131" t="s">
        <v>51</v>
      </c>
      <c r="M7" s="132">
        <f t="shared" ref="M7:M45" si="0">CONVERT((I7-K7)/10000,"mi","ft")*IF(L7="Increasing Mileposts (1)",-1,1)</f>
        <v>-357.98399999999998</v>
      </c>
      <c r="N7" s="133" t="str">
        <f>VLOOKUP(C7,'Trips&amp;Operators'!$C$1:$G$99999,5,FALSE)</f>
        <v>CASSIDY BRANDON</v>
      </c>
      <c r="O7" s="203" t="s">
        <v>180</v>
      </c>
      <c r="P7" s="134" t="s">
        <v>412</v>
      </c>
      <c r="Q7" s="30"/>
      <c r="R7" s="81" t="str">
        <f>VLOOKUP(C7,'Train Runs'!$A$13:$AE$9927,31,0)</f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S7" s="84" t="str">
        <f>VLOOKUP(C7,'Train Runs'!$A$13:$AE$9927,22,0)</f>
        <v>https://d0f6bd738d7f1b3e5a7ca70fe4ff75f0.us-east-1.aws.found.io/app/kibana#/discover/Steve-Slow-Train-Analysis-(2080s-and-2083s)?_g=(refreshInterval:(display:Off,pause:!f,section:0,value:0),time:(from:'2017-07-21T13:40:01-0600',mode:absolute,to:'2017-07-21T16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6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/stypes="*4031*201707212*" /stext=" 21:.+((SYSTEM_STATE.+slice.+state.+changed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4031</v>
      </c>
      <c r="V7" s="31">
        <f t="shared" ref="V7:V45" si="3">A7-utc_offset/24</f>
        <v>42937.884652777779</v>
      </c>
      <c r="W7" s="45" t="str">
        <f t="shared" ref="W7:W45" si="4">DetSubdiv(C7)</f>
        <v>EC</v>
      </c>
      <c r="X7" s="22">
        <f t="shared" ref="X7:X45" si="5">VALUE(LEFT(C7,LEN(C7)-3))</f>
        <v>182</v>
      </c>
      <c r="Y7" s="96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arrival","project_id":79,"tracker_id":40,"status_id":1,"priority_id":2,"assigned_to_id":23,"start_date":"2017-07-21","description":"","custom_fields":[{"id":1,"name":"Subdivision","value":"EC"},{"id":4,"name":"Milepost","value":"2.735"},{"id":17,"name":"Train ID","value":"182-21"},{"id":16,"name":"Locomotive ID","value":"4031"},{"id":130,"name":"Impact","value":""},{"id":150,"name":"Time of Event (Mountain Time)","value":"15:13:54"},{"id":151,"name":"Denver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/c/Users/stu/AppData/Local/Temp/OnboardLogs/RTDC4031 --include="*4031*201707212*"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"%USERPROFILE%\AppData\Local\Temp\OnboardLogs"\RTDC4031\*4031*201707212* &gt;&gt; 2017-07-21-SliceDisagreementCheck.txt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4031 --day 2017-07-21</v>
      </c>
    </row>
    <row r="8" spans="1:32" s="1" customFormat="1" x14ac:dyDescent="0.25">
      <c r="A8" s="31">
        <v>42937.477199074077</v>
      </c>
      <c r="B8" s="30" t="s">
        <v>628</v>
      </c>
      <c r="C8" s="30" t="s">
        <v>629</v>
      </c>
      <c r="D8" s="30" t="s">
        <v>96</v>
      </c>
      <c r="E8" s="30" t="s">
        <v>187</v>
      </c>
      <c r="F8" s="42">
        <v>0</v>
      </c>
      <c r="G8" s="42">
        <v>194</v>
      </c>
      <c r="H8" s="42">
        <v>33256</v>
      </c>
      <c r="I8" s="42">
        <v>33030</v>
      </c>
      <c r="J8" s="30" t="s">
        <v>188</v>
      </c>
      <c r="K8" s="42">
        <v>33257</v>
      </c>
      <c r="L8" s="131" t="s">
        <v>51</v>
      </c>
      <c r="M8" s="132">
        <f t="shared" si="0"/>
        <v>-119.85599999999999</v>
      </c>
      <c r="N8" s="133" t="str">
        <f>VLOOKUP(C8,'Trips&amp;Operators'!$C$1:$G$99999,5,FALSE)</f>
        <v>DAVIS WENDY</v>
      </c>
      <c r="O8" s="203" t="s">
        <v>180</v>
      </c>
      <c r="P8" s="134" t="s">
        <v>412</v>
      </c>
      <c r="Q8" s="30"/>
      <c r="R8" s="81" t="str">
        <f>VLOOKUP(C8,'Train Runs'!$A$13:$AE$9927,31,0)</f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S8" s="84" t="str">
        <f>VLOOKUP(C8,'Train Runs'!$A$13:$AE$9927,22,0)</f>
        <v>https://d0f6bd738d7f1b3e5a7ca70fe4ff75f0.us-east-1.aws.found.io/app/kibana#/discover/Steve-Slow-Train-Analysis-(2080s-and-2083s)?_g=(refreshInterval:(display:Off,pause:!f,section:0,value:0),time:(from:'2017-07-21T09:53:01-0600',mode:absolute,to:'2017-07-21T12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8" s="86" t="str">
        <f t="shared" si="1"/>
        <v>"C:\Program Files (x86)\AstroGrep\AstroGrep.exe" /e /r /s /spath="%USERPROFILE%\AppData\Local\Temp\OnboardLogs" /stypes="*4049*201707211*"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4049</v>
      </c>
      <c r="V8" s="31">
        <f t="shared" si="3"/>
        <v>42937.727199074077</v>
      </c>
      <c r="W8" s="45" t="str">
        <f t="shared" si="4"/>
        <v>EC</v>
      </c>
      <c r="X8" s="22">
        <f t="shared" si="5"/>
        <v>152</v>
      </c>
      <c r="Y8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arrival","project_id":79,"tracker_id":40,"status_id":1,"priority_id":2,"assigned_to_id":23,"start_date":"2017-07-21","description":"","custom_fields":[{"id":1,"name":"Subdivision","value":"EC"},{"id":4,"name":"Milepost","value":"3.3257"},{"id":17,"name":"Train ID","value":"152-21"},{"id":16,"name":"Locomotive ID","value":"4049"},{"id":130,"name":"Impact","value":""},{"id":150,"name":"Time of Event (Mountain Time)","value":"11:27:10"},{"id":151,"name":"Denver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/c/Users/stu/AppData/Local/Temp/OnboardLogs/RTDC4049 --include="*4049*201707211*"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"%USERPROFILE%\AppData\Local\Temp\OnboardLogs"\RTDC4049\*4049*201707211* &gt;&gt; 2017-07-21-SliceDisagreementCheck.txt</v>
      </c>
      <c r="AE8" s="145" t="str">
        <f t="shared" ref="AE8:AE45" si="9">"start /low /b "&amp;dls3logs&amp;" --loco "&amp;U8&amp;" --day "&amp;TEXT(V8,"YYYY-MM-DD")</f>
        <v>start /low /b %USERPROFILE%\Documents\GitHub\eaglep3\Utilities\DownloadLogsFromS3.py --loco 4049 --day 2017-07-21</v>
      </c>
    </row>
    <row r="9" spans="1:32" s="1" customFormat="1" x14ac:dyDescent="0.25">
      <c r="A9" s="31">
        <v>42937.370578703703</v>
      </c>
      <c r="B9" s="30" t="s">
        <v>624</v>
      </c>
      <c r="C9" s="30" t="s">
        <v>625</v>
      </c>
      <c r="D9" s="30" t="s">
        <v>49</v>
      </c>
      <c r="E9" s="30" t="s">
        <v>187</v>
      </c>
      <c r="F9" s="42">
        <v>0</v>
      </c>
      <c r="G9" s="42">
        <v>389</v>
      </c>
      <c r="H9" s="42">
        <v>48649</v>
      </c>
      <c r="I9" s="42">
        <v>47917</v>
      </c>
      <c r="J9" s="30" t="s">
        <v>188</v>
      </c>
      <c r="K9" s="42">
        <v>48048</v>
      </c>
      <c r="L9" s="131" t="s">
        <v>51</v>
      </c>
      <c r="M9" s="132">
        <f t="shared" si="0"/>
        <v>-69.168000000000006</v>
      </c>
      <c r="N9" s="133" t="str">
        <f>VLOOKUP(C9,'Trips&amp;Operators'!$C$1:$G$99999,5,FALSE)</f>
        <v>LANGERAK WILLIAM</v>
      </c>
      <c r="O9" s="203" t="s">
        <v>180</v>
      </c>
      <c r="P9" s="134" t="s">
        <v>412</v>
      </c>
      <c r="Q9" s="30"/>
      <c r="R9" s="81" t="str">
        <f>VLOOKUP(C9,'Train Runs'!$A$13:$AE$9927,31,0)</f>
        <v>aws s3 cp s3://rtdc.mdm.uploadarchive.raw/RTDC4027/ "%USERPROFILE%\AppData\Local\Temp\OnboardLogs"\RTDC4027\2017-07-21 --exclude "*" --recursive --include "*20170721*" &amp; "%USERPROFILE%\Documents\GitHub\mrs-test-scripts\Headless Mode &amp; Sideloading\WalkAndUnGZ.bat" "%USERPROFILE%\AppData\Local\Temp\OnboardLogs"\RTDC4027\2017-07-21 &amp; aws s3 cp s3://rtdc.mdm.uploadarchive.raw/RTDC4027/ "%USERPROFILE%\AppData\Local\Temp\OnboardLogs"\RTDC4027\2017-07-22 --exclude "*" --recursive --include "*20170722*" &amp; "%USERPROFILE%\Documents\GitHub\mrs-test-scripts\Headless Mode &amp; Sideloading\WalkAndUnGZ.bat" "%USERPROFILE%\AppData\Local\Temp\OnboardLogs"\RTDC4027\2017-07-22</v>
      </c>
      <c r="S9" s="84" t="str">
        <f>VLOOKUP(C9,'Train Runs'!$A$13:$AE$9927,22,0)</f>
        <v>https://d0f6bd738d7f1b3e5a7ca70fe4ff75f0.us-east-1.aws.found.io/app/kibana#/discover/Steve-Slow-Train-Analysis-(2080s-and-2083s)?_g=(refreshInterval:(display:Off,pause:!f,section:0,value:0),time:(from:'2017-07-21T07:20:41-0600',mode:absolute,to:'2017-07-21T10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/stypes="*4027*201707211*"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42937.620578703703</v>
      </c>
      <c r="W9" s="45" t="str">
        <f t="shared" si="4"/>
        <v>EC</v>
      </c>
      <c r="X9" s="22">
        <f t="shared" si="5"/>
        <v>132</v>
      </c>
      <c r="Y9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arrival","project_id":79,"tracker_id":40,"status_id":1,"priority_id":2,"assigned_to_id":23,"start_date":"2017-07-21","description":"","custom_fields":[{"id":1,"name":"Subdivision","value":"EC"},{"id":4,"name":"Milepost","value":"4.8048"},{"id":17,"name":"Train ID","value":"132-21"},{"id":16,"name":"Locomotive ID","value":"4027"},{"id":130,"name":"Impact","value":""},{"id":150,"name":"Time of Event (Mountain Time)","value":"08:53:38"},{"id":151,"name":"Denver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/c/Users/stu/AppData/Local/Temp/OnboardLogs/RTDC4027 --include="*4027*201707211*"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"%USERPROFILE%\AppData\Local\Temp\OnboardLogs"\RTDC4027\*4027*201707211* &gt;&gt; 2017-07-21-SliceDisagreementCheck.txt</v>
      </c>
      <c r="AE9" s="145" t="str">
        <f t="shared" si="9"/>
        <v>start /low /b %USERPROFILE%\Documents\GitHub\eaglep3\Utilities\DownloadLogsFromS3.py --loco 4027 --day 2017-07-21</v>
      </c>
    </row>
    <row r="10" spans="1:32" s="1" customFormat="1" x14ac:dyDescent="0.25">
      <c r="A10" s="31">
        <v>42937.195185185185</v>
      </c>
      <c r="B10" s="30" t="s">
        <v>522</v>
      </c>
      <c r="C10" s="30" t="s">
        <v>620</v>
      </c>
      <c r="D10" s="30" t="s">
        <v>49</v>
      </c>
      <c r="E10" s="30" t="s">
        <v>187</v>
      </c>
      <c r="F10" s="42">
        <v>530</v>
      </c>
      <c r="G10" s="42">
        <v>590</v>
      </c>
      <c r="H10" s="42">
        <v>49431</v>
      </c>
      <c r="I10" s="42">
        <v>47324</v>
      </c>
      <c r="J10" s="30" t="s">
        <v>188</v>
      </c>
      <c r="K10" s="42">
        <v>48048</v>
      </c>
      <c r="L10" s="131" t="s">
        <v>51</v>
      </c>
      <c r="M10" s="132">
        <f t="shared" si="0"/>
        <v>-382.27199999999999</v>
      </c>
      <c r="N10" s="133" t="str">
        <f>VLOOKUP(C10,'Trips&amp;Operators'!$C$1:$G$99999,5,FALSE)</f>
        <v>STARKS ANGELINA</v>
      </c>
      <c r="O10" s="203" t="s">
        <v>180</v>
      </c>
      <c r="P10" s="134" t="s">
        <v>412</v>
      </c>
      <c r="Q10" s="30"/>
      <c r="R10" s="81" t="str">
        <f>VLOOKUP(C10,'Train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10" s="84" t="str">
        <f>VLOOKUP(C10,'Train Runs'!$A$13:$AE$9927,22,0)</f>
        <v>https://d0f6bd738d7f1b3e5a7ca70fe4ff75f0.us-east-1.aws.found.io/app/kibana#/discover/Steve-Slow-Train-Analysis-(2080s-and-2083s)?_g=(refreshInterval:(display:Off,pause:!f,section:0,value:0),time:(from:'2017-07-21T03:09:28-0600',mode:absolute,to:'2017-07-21T05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 t="shared" si="1"/>
        <v>"C:\Program Files (x86)\AstroGrep\AstroGrep.exe" /e /r /s /spath="%USERPROFILE%\AppData\Local\Temp\OnboardLogs" /stypes="*4057*201707211*" /stext=" 10:.+((SYSTEM_STATE.+slice.+state.+changed )|(ment ac)|(multiple cpu faults)|(system.+state.+changed )|(\[timeout)|(PRM\|1\|D)|(kpr)|(kdp)|(train st.+moving)|(\|lc)|(penalty))"</v>
      </c>
      <c r="U10" s="9" t="str">
        <f t="shared" si="2"/>
        <v>4057</v>
      </c>
      <c r="V10" s="31">
        <f t="shared" si="3"/>
        <v>42937.445185185185</v>
      </c>
      <c r="W10" s="45" t="str">
        <f t="shared" si="4"/>
        <v>EC</v>
      </c>
      <c r="X10" s="22">
        <f t="shared" si="5"/>
        <v>102</v>
      </c>
      <c r="Y10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arrival","project_id":79,"tracker_id":40,"status_id":1,"priority_id":2,"assigned_to_id":23,"start_date":"2017-07-21","description":"","custom_fields":[{"id":1,"name":"Subdivision","value":"EC"},{"id":4,"name":"Milepost","value":"4.8048"},{"id":17,"name":"Train ID","value":"102-21"},{"id":16,"name":"Locomotive ID","value":"4057"},{"id":130,"name":"Impact","value":""},{"id":150,"name":"Time of Event (Mountain Time)","value":"04:41:04"},{"id":151,"name":"Denver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/c/Users/stu/AppData/Local/Temp/OnboardLogs/RTDC4057 --include="*4057*201707211*"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"%USERPROFILE%\AppData\Local\Temp\OnboardLogs"\RTDC4057\*4057*201707211* &gt;&gt; 2017-07-21-SliceDisagreementCheck.txt</v>
      </c>
      <c r="AE10" s="145" t="str">
        <f t="shared" si="9"/>
        <v>start /low /b %USERPROFILE%\Documents\GitHub\eaglep3\Utilities\DownloadLogsFromS3.py --loco 4057 --day 2017-07-21</v>
      </c>
    </row>
    <row r="11" spans="1:32" s="1" customFormat="1" x14ac:dyDescent="0.25">
      <c r="A11" s="31">
        <v>42937.842789351853</v>
      </c>
      <c r="B11" s="30" t="s">
        <v>521</v>
      </c>
      <c r="C11" s="30" t="s">
        <v>653</v>
      </c>
      <c r="D11" s="30" t="s">
        <v>49</v>
      </c>
      <c r="E11" s="30" t="s">
        <v>187</v>
      </c>
      <c r="F11" s="42">
        <v>320</v>
      </c>
      <c r="G11" s="42">
        <v>490</v>
      </c>
      <c r="H11" s="42">
        <v>61895</v>
      </c>
      <c r="I11" s="42">
        <v>63095</v>
      </c>
      <c r="J11" s="30" t="s">
        <v>188</v>
      </c>
      <c r="K11" s="42">
        <v>63069</v>
      </c>
      <c r="L11" s="131" t="s">
        <v>50</v>
      </c>
      <c r="M11" s="132">
        <f t="shared" si="0"/>
        <v>-13.728</v>
      </c>
      <c r="N11" s="133" t="str">
        <f>VLOOKUP(C11,'Trips&amp;Operators'!$C$1:$G$99999,5,FALSE)</f>
        <v>PERKINS DARREN</v>
      </c>
      <c r="O11" s="203" t="s">
        <v>180</v>
      </c>
      <c r="P11" s="134" t="s">
        <v>412</v>
      </c>
      <c r="Q11" s="30"/>
      <c r="R11" s="81" t="str">
        <f>VLOOKUP(C11,'Train Runs'!$A$13:$AE$9927,31,0)</f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S11" s="84" t="str">
        <f>VLOOKUP(C11,'Train Runs'!$A$13:$AE$9927,22,0)</f>
        <v>https://d0f6bd738d7f1b3e5a7ca70fe4ff75f0.us-east-1.aws.found.io/app/kibana#/discover/Steve-Slow-Train-Analysis-(2080s-and-2083s)?_g=(refreshInterval:(display:Off,pause:!f,section:0,value:0),time:(from:'2017-07-21T18:53:12-0600',mode:absolute,to:'2017-07-21T21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86" t="str">
        <f t="shared" si="1"/>
        <v>"C:\Program Files (x86)\AstroGrep\AstroGrep.exe" /e /r /s /spath="%USERPROFILE%\AppData\Local\Temp\OnboardLogs" /stypes="*4030*201707220*"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4030</v>
      </c>
      <c r="V11" s="31">
        <f t="shared" si="3"/>
        <v>42938.092789351853</v>
      </c>
      <c r="W11" s="45" t="str">
        <f t="shared" si="4"/>
        <v>EC</v>
      </c>
      <c r="X11" s="22">
        <f t="shared" si="5"/>
        <v>225</v>
      </c>
      <c r="Y11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arrival","project_id":79,"tracker_id":40,"status_id":1,"priority_id":2,"assigned_to_id":23,"start_date":"2017-07-21","description":"","custom_fields":[{"id":1,"name":"Subdivision","value":"EC"},{"id":4,"name":"Milepost","value":"6.3069"},{"id":17,"name":"Train ID","value":"225-21"},{"id":16,"name":"Locomotive ID","value":"4030"},{"id":130,"name":"Impact","value":""},{"id":150,"name":"Time of Event (Mountain Time)","value":"20:13:37"},{"id":151,"name":"Denver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/c/Users/stu/AppData/Local/Temp/OnboardLogs/RTDC4030 --include="*4030*201707220*"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"%USERPROFILE%\AppData\Local\Temp\OnboardLogs"\RTDC4030\*4030*201707220* &gt;&gt; 2017-07-21-SliceDisagreementCheck.txt</v>
      </c>
      <c r="AE11" s="145" t="str">
        <f t="shared" si="9"/>
        <v>start /low /b %USERPROFILE%\Documents\GitHub\eaglep3\Utilities\DownloadLogsFromS3.py --loco 4030 --day 2017-07-22</v>
      </c>
    </row>
    <row r="12" spans="1:32" s="1" customFormat="1" x14ac:dyDescent="0.25">
      <c r="A12" s="31">
        <v>42937.58803240741</v>
      </c>
      <c r="B12" s="30" t="s">
        <v>522</v>
      </c>
      <c r="C12" s="30" t="s">
        <v>635</v>
      </c>
      <c r="D12" s="30" t="s">
        <v>49</v>
      </c>
      <c r="E12" s="30" t="s">
        <v>187</v>
      </c>
      <c r="F12" s="42">
        <v>100</v>
      </c>
      <c r="G12" s="42">
        <v>420</v>
      </c>
      <c r="H12" s="42">
        <v>65858</v>
      </c>
      <c r="I12" s="42">
        <v>64693</v>
      </c>
      <c r="J12" s="30" t="s">
        <v>188</v>
      </c>
      <c r="K12" s="42">
        <v>63309</v>
      </c>
      <c r="L12" s="131" t="s">
        <v>51</v>
      </c>
      <c r="M12" s="132">
        <f t="shared" si="0"/>
        <v>730.75199999999995</v>
      </c>
      <c r="N12" s="133" t="str">
        <f>VLOOKUP(C12,'Trips&amp;Operators'!$C$1:$G$99999,5,FALSE)</f>
        <v>ELBAUM MIKE</v>
      </c>
      <c r="O12" s="203" t="s">
        <v>180</v>
      </c>
      <c r="P12" s="134" t="s">
        <v>412</v>
      </c>
      <c r="Q12" s="30"/>
      <c r="R12" s="81" t="str">
        <f>VLOOKUP(C12,'Train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12" s="84" t="str">
        <f>VLOOKUP(C12,'Train Runs'!$A$13:$AE$9927,22,0)</f>
        <v>https://d0f6bd738d7f1b3e5a7ca70fe4ff75f0.us-east-1.aws.found.io/app/kibana#/discover/Steve-Slow-Train-Analysis-(2080s-and-2083s)?_g=(refreshInterval:(display:Off,pause:!f,section:0,value:0),time:(from:'2017-07-21T12:24:59-0600',mode:absolute,to:'2017-07-21T15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2" s="86" t="str">
        <f t="shared" si="1"/>
        <v>"C:\Program Files (x86)\AstroGrep\AstroGrep.exe" /e /r /s /spath="%USERPROFILE%\AppData\Local\Temp\OnboardLogs" /stypes="*4057*201707212*"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4057</v>
      </c>
      <c r="V12" s="31">
        <f t="shared" si="3"/>
        <v>42937.83803240741</v>
      </c>
      <c r="W12" s="45" t="str">
        <f t="shared" si="4"/>
        <v>EC</v>
      </c>
      <c r="X12" s="22">
        <f t="shared" si="5"/>
        <v>174</v>
      </c>
      <c r="Y12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arrival","project_id":79,"tracker_id":40,"status_id":1,"priority_id":2,"assigned_to_id":23,"start_date":"2017-07-21","description":"","custom_fields":[{"id":1,"name":"Subdivision","value":"EC"},{"id":4,"name":"Milepost","value":"6.3309"},{"id":17,"name":"Train ID","value":"174-21"},{"id":16,"name":"Locomotive ID","value":"4057"},{"id":130,"name":"Impact","value":""},{"id":150,"name":"Time of Event (Mountain Time)","value":"14:06:46"},{"id":151,"name":"Denver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/c/Users/stu/AppData/Local/Temp/OnboardLogs/RTDC4057 --include="*4057*201707212*"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"%USERPROFILE%\AppData\Local\Temp\OnboardLogs"\RTDC4057\*4057*201707212* &gt;&gt; 2017-07-21-SliceDisagreementCheck.txt</v>
      </c>
      <c r="AE12" s="145" t="str">
        <f t="shared" si="9"/>
        <v>start /low /b %USERPROFILE%\Documents\GitHub\eaglep3\Utilities\DownloadLogsFromS3.py --loco 4057 --day 2017-07-21</v>
      </c>
    </row>
    <row r="13" spans="1:32" s="1" customFormat="1" x14ac:dyDescent="0.25">
      <c r="A13" s="31">
        <v>42937.598402777781</v>
      </c>
      <c r="B13" s="30" t="s">
        <v>518</v>
      </c>
      <c r="C13" s="30" t="s">
        <v>636</v>
      </c>
      <c r="D13" s="30" t="s">
        <v>96</v>
      </c>
      <c r="E13" s="30" t="s">
        <v>187</v>
      </c>
      <c r="F13" s="42">
        <v>120</v>
      </c>
      <c r="G13" s="42">
        <v>175</v>
      </c>
      <c r="H13" s="42">
        <v>63155</v>
      </c>
      <c r="I13" s="42">
        <v>62883</v>
      </c>
      <c r="J13" s="30" t="s">
        <v>188</v>
      </c>
      <c r="K13" s="42">
        <v>63309</v>
      </c>
      <c r="L13" s="131" t="s">
        <v>51</v>
      </c>
      <c r="M13" s="132">
        <f t="shared" si="0"/>
        <v>-224.928</v>
      </c>
      <c r="N13" s="133" t="str">
        <f>VLOOKUP(C13,'Trips&amp;Operators'!$C$1:$G$99999,5,FALSE)</f>
        <v>BERLING GARY</v>
      </c>
      <c r="O13" s="203" t="s">
        <v>180</v>
      </c>
      <c r="P13" s="134" t="s">
        <v>412</v>
      </c>
      <c r="Q13" s="30"/>
      <c r="R13" s="81" t="str">
        <f>VLOOKUP(C13,'Train Runs'!$A$13:$AE$9927,31,0)</f>
        <v>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 &amp; aws s3 cp s3://rtdc.mdm.uploadarchive.raw/RTDC4029/ "%USERPROFILE%\AppData\Local\Temp\OnboardLogs"\RTDC4029\2017-07-22 --exclude "*" --recursive --include "*20170722*" &amp; "%USERPROFILE%\Documents\GitHub\mrs-test-scripts\Headless Mode &amp; Sideloading\WalkAndUnGZ.bat" "%USERPROFILE%\AppData\Local\Temp\OnboardLogs"\RTDC4029\2017-07-22</v>
      </c>
      <c r="S13" s="84" t="str">
        <f>VLOOKUP(C13,'Train Runs'!$A$13:$AE$9927,22,0)</f>
        <v>https://d0f6bd738d7f1b3e5a7ca70fe4ff75f0.us-east-1.aws.found.io/app/kibana#/discover/Steve-Slow-Train-Analysis-(2080s-and-2083s)?_g=(refreshInterval:(display:Off,pause:!f,section:0,value:0),time:(from:'2017-07-21T12:43:12-0600',mode:absolute,to:'2017-07-21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 t="shared" si="1"/>
        <v>"C:\Program Files (x86)\AstroGrep\AstroGrep.exe" /e /r /s /spath="%USERPROFILE%\AppData\Local\Temp\OnboardLogs" /stypes="*4029*201707212*"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42937.848402777781</v>
      </c>
      <c r="W13" s="45" t="str">
        <f t="shared" si="4"/>
        <v>EC</v>
      </c>
      <c r="X13" s="22">
        <f t="shared" si="5"/>
        <v>176</v>
      </c>
      <c r="Y13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arrival","project_id":79,"tracker_id":40,"status_id":1,"priority_id":2,"assigned_to_id":23,"start_date":"2017-07-21","description":"","custom_fields":[{"id":1,"name":"Subdivision","value":"EC"},{"id":4,"name":"Milepost","value":"6.3309"},{"id":17,"name":"Train ID","value":"176-21"},{"id":16,"name":"Locomotive ID","value":"4029"},{"id":130,"name":"Impact","value":""},{"id":150,"name":"Time of Event (Mountain Time)","value":"14:21:42"},{"id":151,"name":"Denver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/c/Users/stu/AppData/Local/Temp/OnboardLogs/RTDC4029 --include="*4029*201707212*"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"%USERPROFILE%\AppData\Local\Temp\OnboardLogs"\RTDC4029\*4029*201707212* &gt;&gt; 2017-07-21-SliceDisagreementCheck.txt</v>
      </c>
      <c r="AE13" s="145" t="str">
        <f t="shared" si="9"/>
        <v>start /low /b %USERPROFILE%\Documents\GitHub\eaglep3\Utilities\DownloadLogsFromS3.py --loco 4029 --day 2017-07-21</v>
      </c>
    </row>
    <row r="14" spans="1:32" x14ac:dyDescent="0.25">
      <c r="A14" s="31">
        <v>42937.262824074074</v>
      </c>
      <c r="B14" s="30" t="s">
        <v>522</v>
      </c>
      <c r="C14" s="30" t="s">
        <v>622</v>
      </c>
      <c r="D14" s="30" t="s">
        <v>49</v>
      </c>
      <c r="E14" s="30" t="s">
        <v>187</v>
      </c>
      <c r="F14" s="42">
        <v>480</v>
      </c>
      <c r="G14" s="42">
        <v>535</v>
      </c>
      <c r="H14" s="42">
        <v>80381</v>
      </c>
      <c r="I14" s="42">
        <v>78404</v>
      </c>
      <c r="J14" s="30" t="s">
        <v>188</v>
      </c>
      <c r="K14" s="42">
        <v>78469</v>
      </c>
      <c r="L14" s="131" t="s">
        <v>51</v>
      </c>
      <c r="M14" s="132">
        <f t="shared" si="0"/>
        <v>-34.32</v>
      </c>
      <c r="N14" s="133" t="str">
        <f>VLOOKUP(C14,'Trips&amp;Operators'!$C$1:$G$99999,5,FALSE)</f>
        <v>STARKS ANGELINA</v>
      </c>
      <c r="O14" s="203" t="s">
        <v>180</v>
      </c>
      <c r="P14" s="134" t="s">
        <v>412</v>
      </c>
      <c r="Q14" s="30"/>
      <c r="R14" s="81" t="str">
        <f>VLOOKUP(C14,'Train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14" s="84" t="str">
        <f>VLOOKUP(C14,'Train Runs'!$A$13:$AE$9927,22,0)</f>
        <v>https://d0f6bd738d7f1b3e5a7ca70fe4ff75f0.us-east-1.aws.found.io/app/kibana#/discover/Steve-Slow-Train-Analysis-(2080s-and-2083s)?_g=(refreshInterval:(display:Off,pause:!f,section:0,value:0),time:(from:'2017-07-21T04:54:57-0600',mode:absolute,to:'2017-07-21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86" t="str">
        <f t="shared" si="1"/>
        <v>"C:\Program Files (x86)\AstroGrep\AstroGrep.exe" /e /r /s /spath="%USERPROFILE%\AppData\Local\Temp\OnboardLogs" /stypes="*4057*201707211*"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4057</v>
      </c>
      <c r="V14" s="31">
        <f t="shared" si="3"/>
        <v>42937.512824074074</v>
      </c>
      <c r="W14" s="45" t="str">
        <f t="shared" si="4"/>
        <v>EC</v>
      </c>
      <c r="X14" s="22">
        <f t="shared" si="5"/>
        <v>112</v>
      </c>
      <c r="Y14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arrival","project_id":79,"tracker_id":40,"status_id":1,"priority_id":2,"assigned_to_id":23,"start_date":"2017-07-21","description":"","custom_fields":[{"id":1,"name":"Subdivision","value":"EC"},{"id":4,"name":"Milepost","value":"7.8469"},{"id":17,"name":"Train ID","value":"112-21"},{"id":16,"name":"Locomotive ID","value":"4057"},{"id":130,"name":"Impact","value":""},{"id":150,"name":"Time of Event (Mountain Time)","value":"06:18:28"},{"id":151,"name":"Denver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/c/Users/stu/AppData/Local/Temp/OnboardLogs/RTDC4057 --include="*4057*201707211*"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"%USERPROFILE%\AppData\Local\Temp\OnboardLogs"\RTDC4057\*4057*201707211* &gt;&gt; 2017-07-21-SliceDisagreementCheck.txt</v>
      </c>
      <c r="AE14" s="145" t="str">
        <f t="shared" si="9"/>
        <v>start /low /b %USERPROFILE%\Documents\GitHub\eaglep3\Utilities\DownloadLogsFromS3.py --loco 4057 --day 2017-07-21</v>
      </c>
      <c r="AF14" s="1"/>
    </row>
    <row r="15" spans="1:32" x14ac:dyDescent="0.25">
      <c r="A15" s="31">
        <v>42937.678217592591</v>
      </c>
      <c r="B15" s="30" t="s">
        <v>392</v>
      </c>
      <c r="C15" s="30" t="s">
        <v>643</v>
      </c>
      <c r="D15" s="30" t="s">
        <v>49</v>
      </c>
      <c r="E15" s="30" t="s">
        <v>187</v>
      </c>
      <c r="F15" s="42">
        <v>380</v>
      </c>
      <c r="G15" s="42">
        <v>430</v>
      </c>
      <c r="H15" s="42">
        <v>109913</v>
      </c>
      <c r="I15" s="42">
        <v>105225</v>
      </c>
      <c r="J15" s="30" t="s">
        <v>188</v>
      </c>
      <c r="K15" s="42">
        <v>109135</v>
      </c>
      <c r="L15" s="131" t="s">
        <v>51</v>
      </c>
      <c r="M15" s="132">
        <f t="shared" si="0"/>
        <v>-2064.48</v>
      </c>
      <c r="N15" s="133" t="str">
        <f>VLOOKUP(C15,'Trips&amp;Operators'!$C$1:$G$99999,5,FALSE)</f>
        <v>STEWART MICHAEL</v>
      </c>
      <c r="O15" s="203" t="s">
        <v>180</v>
      </c>
      <c r="P15" s="134" t="s">
        <v>412</v>
      </c>
      <c r="Q15" s="30"/>
      <c r="R15" s="81" t="str">
        <f>VLOOKUP(C15,'Train Runs'!$A$13:$AE$9927,31,0)</f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S15" s="84" t="str">
        <f>VLOOKUP(C15,'Train Runs'!$A$13:$AE$9927,22,0)</f>
        <v>https://d0f6bd738d7f1b3e5a7ca70fe4ff75f0.us-east-1.aws.found.io/app/kibana#/discover/Steve-Slow-Train-Analysis-(2080s-and-2083s)?_g=(refreshInterval:(display:Off,pause:!f,section:0,value:0),time:(from:'2017-07-21T14:50:46-0600',mode:absolute,to:'2017-07-21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86" t="str">
        <f t="shared" si="1"/>
        <v>"C:\Program Files (x86)\AstroGrep\AstroGrep.exe" /e /r /s /spath="%USERPROFILE%\AppData\Local\Temp\OnboardLogs" /stypes="*4045*201707212*"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4045</v>
      </c>
      <c r="V15" s="31">
        <f t="shared" si="3"/>
        <v>42937.928217592591</v>
      </c>
      <c r="W15" s="45" t="str">
        <f t="shared" si="4"/>
        <v>EC</v>
      </c>
      <c r="X15" s="22">
        <f t="shared" si="5"/>
        <v>192</v>
      </c>
      <c r="Y15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arrival","project_id":79,"tracker_id":40,"status_id":1,"priority_id":2,"assigned_to_id":23,"start_date":"2017-07-21","description":"","custom_fields":[{"id":1,"name":"Subdivision","value":"EC"},{"id":4,"name":"Milepost","value":"10.9135"},{"id":17,"name":"Train ID","value":"192-21"},{"id":16,"name":"Locomotive ID","value":"4045"},{"id":130,"name":"Impact","value":""},{"id":150,"name":"Time of Event (Mountain Time)","value":"16:16:38"},{"id":151,"name":"Denver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/c/Users/stu/AppData/Local/Temp/OnboardLogs/RTDC4045 --include="*4045*201707212*"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"%USERPROFILE%\AppData\Local\Temp\OnboardLogs"\RTDC4045\*4045*201707212* &gt;&gt; 2017-07-21-SliceDisagreementCheck.txt</v>
      </c>
      <c r="AE15" s="145" t="str">
        <f t="shared" si="9"/>
        <v>start /low /b %USERPROFILE%\Documents\GitHub\eaglep3\Utilities\DownloadLogsFromS3.py --loco 4045 --day 2017-07-21</v>
      </c>
      <c r="AF15" s="1"/>
    </row>
    <row r="16" spans="1:32" x14ac:dyDescent="0.25">
      <c r="A16" s="31">
        <v>42937.583472222221</v>
      </c>
      <c r="B16" s="30" t="s">
        <v>522</v>
      </c>
      <c r="C16" s="30" t="s">
        <v>635</v>
      </c>
      <c r="D16" s="30" t="s">
        <v>49</v>
      </c>
      <c r="E16" s="30" t="s">
        <v>187</v>
      </c>
      <c r="F16" s="42">
        <v>390</v>
      </c>
      <c r="G16" s="42">
        <v>466</v>
      </c>
      <c r="H16" s="42">
        <v>110576</v>
      </c>
      <c r="I16" s="42">
        <v>109045</v>
      </c>
      <c r="J16" s="30" t="s">
        <v>188</v>
      </c>
      <c r="K16" s="42">
        <v>109135</v>
      </c>
      <c r="L16" s="131" t="s">
        <v>51</v>
      </c>
      <c r="M16" s="132">
        <f t="shared" si="0"/>
        <v>-47.52</v>
      </c>
      <c r="N16" s="133" t="str">
        <f>VLOOKUP(C16,'Trips&amp;Operators'!$C$1:$G$99999,5,FALSE)</f>
        <v>ELBAUM MIKE</v>
      </c>
      <c r="O16" s="203" t="s">
        <v>180</v>
      </c>
      <c r="P16" s="134" t="s">
        <v>412</v>
      </c>
      <c r="Q16" s="30"/>
      <c r="R16" s="81" t="str">
        <f>VLOOKUP(C16,'Train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16" s="84" t="str">
        <f>VLOOKUP(C16,'Train Runs'!$A$13:$AE$9927,22,0)</f>
        <v>https://d0f6bd738d7f1b3e5a7ca70fe4ff75f0.us-east-1.aws.found.io/app/kibana#/discover/Steve-Slow-Train-Analysis-(2080s-and-2083s)?_g=(refreshInterval:(display:Off,pause:!f,section:0,value:0),time:(from:'2017-07-21T12:24:59-0600',mode:absolute,to:'2017-07-21T15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6" s="86" t="str">
        <f t="shared" si="1"/>
        <v>"C:\Program Files (x86)\AstroGrep\AstroGrep.exe" /e /r /s /spath="%USERPROFILE%\AppData\Local\Temp\OnboardLogs" /stypes="*4057*201707212*"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4057</v>
      </c>
      <c r="V16" s="31">
        <f t="shared" si="3"/>
        <v>42937.833472222221</v>
      </c>
      <c r="W16" s="45" t="str">
        <f t="shared" si="4"/>
        <v>EC</v>
      </c>
      <c r="X16" s="22">
        <f t="shared" si="5"/>
        <v>174</v>
      </c>
      <c r="Y16" s="96" t="str">
        <f t="shared" si="6"/>
        <v>echo {"issue":{"subject":"Early arrival","project_id":79,"tracker_id":40,"status_id":1,"priority_id":2,"assigned_to_id":23,"start_date":"2017-07-21","description":"","custom_fields":[{"id":1,"name":"Subdivision","value":"EC"},{"id":4,"name":"Milepost","value":"10.9135"},{"id":17,"name":"Train ID","value":"174-21"},{"id":16,"name":"Locomotive ID","value":"4057"},{"id":130,"name":"Impact","value":""},{"id":150,"name":"Time of Event (Mountain Time)","value":"14:00:12"},{"id":151,"name":"Denver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/c/Users/stu/AppData/Local/Temp/OnboardLogs/RTDC4057 --include="*4057*201707212*"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"%USERPROFILE%\AppData\Local\Temp\OnboardLogs"\RTDC4057\*4057*201707212* &gt;&gt; 2017-07-21-SliceDisagreementCheck.txt</v>
      </c>
      <c r="AE16" s="145" t="str">
        <f t="shared" si="9"/>
        <v>start /low /b %USERPROFILE%\Documents\GitHub\eaglep3\Utilities\DownloadLogsFromS3.py --loco 4057 --day 2017-07-21</v>
      </c>
      <c r="AF16" s="1"/>
    </row>
    <row r="17" spans="1:32" x14ac:dyDescent="0.25">
      <c r="A17" s="31">
        <v>42937.752986111111</v>
      </c>
      <c r="B17" s="30" t="s">
        <v>544</v>
      </c>
      <c r="C17" s="30" t="s">
        <v>646</v>
      </c>
      <c r="D17" s="30" t="s">
        <v>49</v>
      </c>
      <c r="E17" s="30" t="s">
        <v>196</v>
      </c>
      <c r="F17" s="42">
        <v>400</v>
      </c>
      <c r="G17" s="42">
        <v>565</v>
      </c>
      <c r="H17" s="42">
        <v>15814</v>
      </c>
      <c r="I17" s="42">
        <v>17911</v>
      </c>
      <c r="J17" s="30" t="s">
        <v>197</v>
      </c>
      <c r="K17" s="42">
        <v>17867</v>
      </c>
      <c r="L17" s="131" t="s">
        <v>50</v>
      </c>
      <c r="M17" s="132">
        <f t="shared" si="0"/>
        <v>-23.231999999999999</v>
      </c>
      <c r="N17" s="133" t="str">
        <f>VLOOKUP(C17,'Trips&amp;Operators'!$C$1:$G$99999,5,FALSE)</f>
        <v>ELBAUM MIKE</v>
      </c>
      <c r="O17" s="203" t="s">
        <v>180</v>
      </c>
      <c r="P17" s="134"/>
      <c r="Q17" s="30"/>
      <c r="R17" s="81" t="str">
        <f>VLOOKUP(C17,'Train Runs'!$A$13:$AE$9927,31,0)</f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S17" s="84" t="str">
        <f>VLOOKUP(C17,'Train Runs'!$A$13:$AE$9927,22,0)</f>
        <v>https://d0f6bd738d7f1b3e5a7ca70fe4ff75f0.us-east-1.aws.found.io/app/kibana#/discover/Steve-Slow-Train-Analysis-(2080s-and-2083s)?_g=(refreshInterval:(display:Off,pause:!f,section:0,value:0),time:(from:'2017-07-21T16:55:04-0600',mode:absolute,to:'2017-07-21T19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7" s="86" t="str">
        <f t="shared" si="1"/>
        <v>"C:\Program Files (x86)\AstroGrep\AstroGrep.exe" /e /r /s /spath="%USERPROFILE%\AppData\Local\Temp\OnboardLogs" /stypes="*4058*201707220*"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4058</v>
      </c>
      <c r="V17" s="31">
        <f t="shared" si="3"/>
        <v>42938.002986111111</v>
      </c>
      <c r="W17" s="45" t="str">
        <f t="shared" si="4"/>
        <v>EC</v>
      </c>
      <c r="X17" s="22">
        <f t="shared" si="5"/>
        <v>215</v>
      </c>
      <c r="Y17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{"issue":{"subject":"","project_id":79,"tracker_id":40,"status_id":1,"priority_id":2,"assigned_to_id":23,"start_date":"2017-07-21","description":"","custom_fields":[{"id":1,"name":"Subdivision","value":"EC"},{"id":4,"name":"Milepost","value":"1.7867"},{"id":17,"name":"Train ID","value":"215-21"},{"id":16,"name":"Locomotive ID","value":"4058"},{"id":130,"name":"Impact","value":""},{"id":150,"name":"Time of Event (Mountain Time)","value":"18:04:18"},{"id":151,"name":"Denver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/c/Users/stu/AppData/Local/Temp/OnboardLogs/RTDC4058 --include="*4058*201707220*"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"%USERPROFILE%\AppData\Local\Temp\OnboardLogs"\RTDC4058\*4058*201707220* &gt;&gt; 2017-07-21-SliceDisagreementCheck.txt</v>
      </c>
      <c r="AE17" s="145" t="str">
        <f t="shared" si="9"/>
        <v>start /low /b %USERPROFILE%\Documents\GitHub\eaglep3\Utilities\DownloadLogsFromS3.py --loco 4058 --day 2017-07-22</v>
      </c>
      <c r="AF17" s="1"/>
    </row>
    <row r="18" spans="1:32" x14ac:dyDescent="0.25">
      <c r="A18" s="31">
        <v>42937.493842592594</v>
      </c>
      <c r="B18" s="30" t="s">
        <v>630</v>
      </c>
      <c r="C18" s="30" t="s">
        <v>631</v>
      </c>
      <c r="D18" s="30" t="s">
        <v>96</v>
      </c>
      <c r="E18" s="30" t="s">
        <v>196</v>
      </c>
      <c r="F18" s="42">
        <v>300</v>
      </c>
      <c r="G18" s="42">
        <v>351</v>
      </c>
      <c r="H18" s="42">
        <v>20400</v>
      </c>
      <c r="I18" s="42">
        <v>21261</v>
      </c>
      <c r="J18" s="30" t="s">
        <v>197</v>
      </c>
      <c r="K18" s="42">
        <v>20338</v>
      </c>
      <c r="L18" s="131" t="s">
        <v>50</v>
      </c>
      <c r="M18" s="132">
        <f t="shared" si="0"/>
        <v>-487.34399999999999</v>
      </c>
      <c r="N18" s="133" t="str">
        <f>VLOOKUP(C18,'Trips&amp;Operators'!$C$1:$G$99999,5,FALSE)</f>
        <v>GONZALEZ ARMANDO</v>
      </c>
      <c r="O18" s="203" t="s">
        <v>180</v>
      </c>
      <c r="P18" s="134"/>
      <c r="Q18" s="30"/>
      <c r="R18" s="81" t="str">
        <f>VLOOKUP(C18,'Train Runs'!$A$13:$AE$9927,31,0)</f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S18" s="84" t="str">
        <f>VLOOKUP(C18,'Train Runs'!$A$13:$AE$9927,22,0)</f>
        <v>https://d0f6bd738d7f1b3e5a7ca70fe4ff75f0.us-east-1.aws.found.io/app/kibana#/discover/Steve-Slow-Train-Analysis-(2080s-and-2083s)?_g=(refreshInterval:(display:Off,pause:!f,section:0,value:0),time:(from:'2017-07-21T10:42:37-0600',mode:absolute,to:'2017-07-21T13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/stypes="*4050*201707211*"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42937.743842592594</v>
      </c>
      <c r="W18" s="45" t="str">
        <f t="shared" si="4"/>
        <v>EC</v>
      </c>
      <c r="X18" s="22">
        <f t="shared" si="5"/>
        <v>165</v>
      </c>
      <c r="Y18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{"issue":{"subject":"","project_id":79,"tracker_id":40,"status_id":1,"priority_id":2,"assigned_to_id":23,"start_date":"2017-07-21","description":"","custom_fields":[{"id":1,"name":"Subdivision","value":"EC"},{"id":4,"name":"Milepost","value":"2.0338"},{"id":17,"name":"Train ID","value":"165-21"},{"id":16,"name":"Locomotive ID","value":"4050"},{"id":130,"name":"Impact","value":""},{"id":150,"name":"Time of Event (Mountain Time)","value":"11:51:08"},{"id":151,"name":"Denver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/c/Users/stu/AppData/Local/Temp/OnboardLogs/RTDC4050 --include="*4050*201707211*"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"%USERPROFILE%\AppData\Local\Temp\OnboardLogs"\RTDC4050\*4050*201707211* &gt;&gt; 2017-07-21-SliceDisagreementCheck.txt</v>
      </c>
      <c r="AE18" s="145" t="str">
        <f t="shared" si="9"/>
        <v>start /low /b %USERPROFILE%\Documents\GitHub\eaglep3\Utilities\DownloadLogsFromS3.py --loco 4050 --day 2017-07-21</v>
      </c>
      <c r="AF18" s="1"/>
    </row>
    <row r="19" spans="1:32" x14ac:dyDescent="0.25">
      <c r="A19" s="31">
        <v>42937.813078703701</v>
      </c>
      <c r="B19" s="30" t="s">
        <v>392</v>
      </c>
      <c r="C19" s="30" t="s">
        <v>651</v>
      </c>
      <c r="D19" s="30" t="s">
        <v>96</v>
      </c>
      <c r="E19" s="30" t="s">
        <v>196</v>
      </c>
      <c r="F19" s="42">
        <v>550</v>
      </c>
      <c r="G19" s="42">
        <v>603</v>
      </c>
      <c r="H19" s="42">
        <v>222069</v>
      </c>
      <c r="I19" s="42">
        <v>216725</v>
      </c>
      <c r="J19" s="30" t="s">
        <v>197</v>
      </c>
      <c r="K19" s="42">
        <v>224581</v>
      </c>
      <c r="L19" s="131" t="s">
        <v>51</v>
      </c>
      <c r="M19" s="132">
        <f t="shared" si="0"/>
        <v>-4147.9679999999998</v>
      </c>
      <c r="N19" s="133" t="str">
        <f>VLOOKUP(C19,'Trips&amp;Operators'!$C$1:$G$99999,5,FALSE)</f>
        <v>FORTUNATO FRANK</v>
      </c>
      <c r="O19" s="203" t="s">
        <v>180</v>
      </c>
      <c r="P19" s="134"/>
      <c r="Q19" s="30"/>
      <c r="R19" s="81" t="str">
        <f>VLOOKUP(C19,'Train Runs'!$A$13:$AE$9927,31,0)</f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S19" s="84" t="str">
        <f>VLOOKUP(C19,'Train Runs'!$A$13:$AE$9927,22,0)</f>
        <v>https://d0f6bd738d7f1b3e5a7ca70fe4ff75f0.us-east-1.aws.found.io/app/kibana#/discover/Steve-Slow-Train-Analysis-(2080s-and-2083s)?_g=(refreshInterval:(display:Off,pause:!f,section:0,value:0),time:(from:'2017-07-21T18:24:12-0600',mode:absolute,to:'2017-07-21T20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6" t="str">
        <f t="shared" si="1"/>
        <v>"C:\Program Files (x86)\AstroGrep\AstroGrep.exe" /e /r /s /spath="%USERPROFILE%\AppData\Local\Temp\OnboardLogs" /stypes="*4045*201707220*"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4045</v>
      </c>
      <c r="V19" s="31">
        <f t="shared" si="3"/>
        <v>42938.063078703701</v>
      </c>
      <c r="W19" s="45" t="str">
        <f t="shared" si="4"/>
        <v>EC</v>
      </c>
      <c r="X19" s="22">
        <f t="shared" si="5"/>
        <v>220</v>
      </c>
      <c r="Y19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{"issue":{"subject":"","project_id":79,"tracker_id":40,"status_id":1,"priority_id":2,"assigned_to_id":23,"start_date":"2017-07-21","description":"","custom_fields":[{"id":1,"name":"Subdivision","value":"EC"},{"id":4,"name":"Milepost","value":"22.4581"},{"id":17,"name":"Train ID","value":"220-21"},{"id":16,"name":"Locomotive ID","value":"4045"},{"id":130,"name":"Impact","value":""},{"id":150,"name":"Time of Event (Mountain Time)","value":"19:30:50"},{"id":151,"name":"Denver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/c/Users/stu/AppData/Local/Temp/OnboardLogs/RTDC4045 --include="*4045*201707220*"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"%USERPROFILE%\AppData\Local\Temp\OnboardLogs"\RTDC4045\*4045*201707220* &gt;&gt; 2017-07-21-SliceDisagreementCheck.txt</v>
      </c>
      <c r="AE19" s="145" t="str">
        <f t="shared" si="9"/>
        <v>start /low /b %USERPROFILE%\Documents\GitHub\eaglep3\Utilities\DownloadLogsFromS3.py --loco 4045 --day 2017-07-22</v>
      </c>
      <c r="AF19" s="1"/>
    </row>
    <row r="20" spans="1:32" x14ac:dyDescent="0.25">
      <c r="A20" s="31">
        <v>42937.664467592593</v>
      </c>
      <c r="B20" s="30" t="s">
        <v>633</v>
      </c>
      <c r="C20" s="30" t="s">
        <v>642</v>
      </c>
      <c r="D20" s="30" t="s">
        <v>96</v>
      </c>
      <c r="E20" s="30" t="s">
        <v>353</v>
      </c>
      <c r="F20" s="42">
        <v>200</v>
      </c>
      <c r="G20" s="42">
        <v>266</v>
      </c>
      <c r="H20" s="42">
        <v>38110</v>
      </c>
      <c r="I20" s="42">
        <v>38871</v>
      </c>
      <c r="J20" s="30" t="s">
        <v>354</v>
      </c>
      <c r="K20" s="42">
        <v>36645</v>
      </c>
      <c r="L20" s="131" t="s">
        <v>50</v>
      </c>
      <c r="M20" s="132">
        <f t="shared" si="0"/>
        <v>-1175.328</v>
      </c>
      <c r="N20" s="133" t="str">
        <f>VLOOKUP(C20,'Trips&amp;Operators'!$C$1:$G$99999,5,FALSE)</f>
        <v>LEVIN SCOTT</v>
      </c>
      <c r="O20" s="203" t="s">
        <v>180</v>
      </c>
      <c r="P20" s="134" t="s">
        <v>1048</v>
      </c>
      <c r="Q20" s="30"/>
      <c r="R20" s="81" t="str">
        <f>VLOOKUP(C20,'Train Runs'!$A$13:$AE$9927,31,0)</f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S20" s="84" t="str">
        <f>VLOOKUP(C20,'Train Runs'!$A$13:$AE$9927,22,0)</f>
        <v>https://d0f6bd738d7f1b3e5a7ca70fe4ff75f0.us-east-1.aws.found.io/app/kibana#/discover/Steve-Slow-Train-Analysis-(2080s-and-2083s)?_g=(refreshInterval:(display:Off,pause:!f,section:0,value:0),time:(from:'2017-07-21T14:54:53-0600',mode:absolute,to:'2017-07-21T17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86" t="str">
        <f t="shared" si="1"/>
        <v>"C:\Program Files (x86)\AstroGrep\AstroGrep.exe" /e /r /s /spath="%USERPROFILE%\AppData\Local\Temp\OnboardLogs" /stypes="*4026*201707212*"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4026</v>
      </c>
      <c r="V20" s="31">
        <f t="shared" si="3"/>
        <v>42937.914467592593</v>
      </c>
      <c r="W20" s="45" t="str">
        <f t="shared" si="4"/>
        <v>EC</v>
      </c>
      <c r="X20" s="22">
        <f t="shared" si="5"/>
        <v>197</v>
      </c>
      <c r="Y20" s="96" t="str">
        <f t="shared" si="6"/>
        <v>echo {"issue":{"subject":"Overspeed","project_id":79,"tracker_id":40,"status_id":1,"priority_id":2,"assigned_to_id":23,"start_date":"2017-07-21","description":"","custom_fields":[{"id":1,"name":"Subdivision","value":"EC"},{"id":4,"name":"Milepost","value":"3.6645"},{"id":17,"name":"Train ID","value":"197-21"},{"id":16,"name":"Locomotive ID","value":"4026"},{"id":130,"name":"Impact","value":""},{"id":150,"name":"Time of Event (Mountain Time)","value":"15:56:50"},{"id":151,"name":"Denver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/c/Users/stu/AppData/Local/Temp/OnboardLogs/RTDC4026 --include="*4026*201707212*"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"%USERPROFILE%\AppData\Local\Temp\OnboardLogs"\RTDC4026\*4026*201707212* &gt;&gt; 2017-07-21-SliceDisagreementCheck.txt</v>
      </c>
      <c r="AE20" s="145" t="str">
        <f t="shared" si="9"/>
        <v>start /low /b %USERPROFILE%\Documents\GitHub\eaglep3\Utilities\DownloadLogsFromS3.py --loco 4026 --day 2017-07-21</v>
      </c>
      <c r="AF20" s="1"/>
    </row>
    <row r="21" spans="1:32" x14ac:dyDescent="0.25">
      <c r="A21" s="31">
        <v>42937.664837962962</v>
      </c>
      <c r="B21" s="30" t="s">
        <v>633</v>
      </c>
      <c r="C21" s="30" t="s">
        <v>642</v>
      </c>
      <c r="D21" s="30" t="s">
        <v>96</v>
      </c>
      <c r="E21" s="30" t="s">
        <v>353</v>
      </c>
      <c r="F21" s="42">
        <v>0</v>
      </c>
      <c r="G21" s="42">
        <v>4</v>
      </c>
      <c r="H21" s="42">
        <v>38875</v>
      </c>
      <c r="I21" s="42">
        <v>38909</v>
      </c>
      <c r="J21" s="30" t="s">
        <v>354</v>
      </c>
      <c r="K21" s="42">
        <v>38639</v>
      </c>
      <c r="L21" s="131" t="s">
        <v>50</v>
      </c>
      <c r="M21" s="132">
        <f t="shared" si="0"/>
        <v>-142.56</v>
      </c>
      <c r="N21" s="133" t="str">
        <f>VLOOKUP(C21,'Trips&amp;Operators'!$C$1:$G$99999,5,FALSE)</f>
        <v>LEVIN SCOTT</v>
      </c>
      <c r="O21" s="203" t="s">
        <v>180</v>
      </c>
      <c r="P21" s="134" t="s">
        <v>1049</v>
      </c>
      <c r="Q21" s="30"/>
      <c r="R21" s="81" t="str">
        <f>VLOOKUP(C21,'Train Runs'!$A$13:$AE$9927,31,0)</f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S21" s="84" t="str">
        <f>VLOOKUP(C21,'Train Runs'!$A$13:$AE$9927,22,0)</f>
        <v>https://d0f6bd738d7f1b3e5a7ca70fe4ff75f0.us-east-1.aws.found.io/app/kibana#/discover/Steve-Slow-Train-Analysis-(2080s-and-2083s)?_g=(refreshInterval:(display:Off,pause:!f,section:0,value:0),time:(from:'2017-07-21T14:54:53-0600',mode:absolute,to:'2017-07-21T17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86" t="str">
        <f t="shared" si="1"/>
        <v>"C:\Program Files (x86)\AstroGrep\AstroGrep.exe" /e /r /s /spath="%USERPROFILE%\AppData\Local\Temp\OnboardLogs" /stypes="*4026*201707212*"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4026</v>
      </c>
      <c r="V21" s="31">
        <f t="shared" si="3"/>
        <v>42937.914837962962</v>
      </c>
      <c r="W21" s="45" t="str">
        <f t="shared" si="4"/>
        <v>EC</v>
      </c>
      <c r="X21" s="22">
        <f t="shared" si="5"/>
        <v>197</v>
      </c>
      <c r="Y21" s="96" t="str">
        <f t="shared" si="6"/>
        <v>echo {"issue":{"subject":"STOP aspect","project_id":79,"tracker_id":40,"status_id":1,"priority_id":2,"assigned_to_id":23,"start_date":"2017-07-21","description":"","custom_fields":[{"id":1,"name":"Subdivision","value":"EC"},{"id":4,"name":"Milepost","value":"3.8639"},{"id":17,"name":"Train ID","value":"197-21"},{"id":16,"name":"Locomotive ID","value":"4026"},{"id":130,"name":"Impact","value":""},{"id":150,"name":"Time of Event (Mountain Time)","value":"15:57:22"},{"id":151,"name":"Denver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/c/Users/stu/AppData/Local/Temp/OnboardLogs/RTDC4026 --include="*4026*201707212*"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"%USERPROFILE%\AppData\Local\Temp\OnboardLogs"\RTDC4026\*4026*201707212* &gt;&gt; 2017-07-21-SliceDisagreementCheck.txt</v>
      </c>
      <c r="AE21" s="145" t="str">
        <f t="shared" si="9"/>
        <v>start /low /b %USERPROFILE%\Documents\GitHub\eaglep3\Utilities\DownloadLogsFromS3.py --loco 4026 --day 2017-07-21</v>
      </c>
      <c r="AF21" s="1"/>
    </row>
    <row r="22" spans="1:32" x14ac:dyDescent="0.25">
      <c r="A22" s="31">
        <v>42938.089282407411</v>
      </c>
      <c r="B22" s="30" t="s">
        <v>658</v>
      </c>
      <c r="C22" s="30" t="s">
        <v>659</v>
      </c>
      <c r="D22" s="30" t="s">
        <v>49</v>
      </c>
      <c r="E22" s="30" t="s">
        <v>353</v>
      </c>
      <c r="F22" s="42">
        <v>0</v>
      </c>
      <c r="G22" s="42">
        <v>704</v>
      </c>
      <c r="H22" s="42">
        <v>169250</v>
      </c>
      <c r="I22" s="42">
        <v>166293</v>
      </c>
      <c r="J22" s="30" t="s">
        <v>354</v>
      </c>
      <c r="K22" s="42">
        <v>168014</v>
      </c>
      <c r="L22" s="131" t="s">
        <v>51</v>
      </c>
      <c r="M22" s="132">
        <f t="shared" si="0"/>
        <v>-908.68799999999999</v>
      </c>
      <c r="N22" s="133" t="str">
        <f>VLOOKUP(C22,'Trips&amp;Operators'!$C$1:$G$99999,5,FALSE)</f>
        <v>LAMAR NEKESHA</v>
      </c>
      <c r="O22" s="203" t="s">
        <v>660</v>
      </c>
      <c r="P22" s="134" t="s">
        <v>1047</v>
      </c>
      <c r="Q22" s="30"/>
      <c r="R22" s="81" t="str">
        <f>VLOOKUP(C22,'Train Runs'!$A$13:$AE$9927,31,0)</f>
        <v>aws s3 cp s3://rtdc.mdm.uploadarchive.raw/RTDC4023/ "%USERPROFILE%\AppData\Local\Temp\OnboardLogs"\RTDC4023\2017-07-22 --exclude "*" --recursive --include "*20170722*" &amp; "%USERPROFILE%\Documents\GitHub\mrs-test-scripts\Headless Mode &amp; Sideloading\WalkAndUnGZ.bat" "%USERPROFILE%\AppData\Local\Temp\OnboardLogs"\RTDC4023\2017-07-22 &amp; 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</v>
      </c>
      <c r="S22" s="84" t="str">
        <f>VLOOKUP(C22,'Train Runs'!$A$13:$AE$9927,22,0)</f>
        <v>https://d0f6bd738d7f1b3e5a7ca70fe4ff75f0.us-east-1.aws.found.io/app/kibana#/discover/Steve-Slow-Train-Analysis-(2080s-and-2083s)?_g=(refreshInterval:(display:Off,pause:!f,section:0,value:0),time:(from:'2017-07-22T00:45:57-0600',mode:absolute,to:'2017-07-22T03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6" t="str">
        <f t="shared" si="1"/>
        <v>"C:\Program Files (x86)\AstroGrep\AstroGrep.exe" /e /r /s /spath="%USERPROFILE%\AppData\Local\Temp\OnboardLogs" /stypes="*4023*201707220*" /stext=" 08:.+((SYSTEM_STATE.+slice.+state.+changed )|(ment ac)|(multiple cpu faults)|(system.+state.+changed )|(\[timeout)|(PRM\|1\|D)|(kpr)|(kdp)|(train st.+moving)|(\|lc)|(penalty))"</v>
      </c>
      <c r="U22" s="9" t="str">
        <f t="shared" si="2"/>
        <v>4023</v>
      </c>
      <c r="V22" s="31">
        <f t="shared" si="3"/>
        <v>42938.339282407411</v>
      </c>
      <c r="W22" s="45" t="str">
        <f t="shared" si="4"/>
        <v>EC</v>
      </c>
      <c r="X22" s="22">
        <f t="shared" si="5"/>
        <v>246</v>
      </c>
      <c r="Y22" s="96" t="str">
        <f t="shared" si="6"/>
        <v>echo {"issue":{"subject":"Wi-MAX data drop","project_id":79,"tracker_id":40,"status_id":1,"priority_id":2,"assigned_to_id":23,"start_date":"2017-07-22","description":"","custom_fields":[{"id":1,"name":"Subdivision","value":"EC"},{"id":4,"name":"Milepost","value":"16.8014"},{"id":17,"name":"Train ID","value":"246-21"},{"id":16,"name":"Locomotive ID","value":"4023"},{"id":130,"name":"Impact","value":""},{"id":150,"name":"Time of Event (Mountain Time)","value":"02:08:34"},{"id":151,"name":"Denver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/c/Users/stu/AppData/Local/Temp/OnboardLogs/RTDC4023 --include="*4023*201707220*"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"%USERPROFILE%\AppData\Local\Temp\OnboardLogs"\RTDC4023\*4023*201707220* &gt;&gt; 2017-07-21-SliceDisagreementCheck.txt</v>
      </c>
      <c r="AE22" s="145" t="str">
        <f t="shared" si="9"/>
        <v>start /low /b %USERPROFILE%\Documents\GitHub\eaglep3\Utilities\DownloadLogsFromS3.py --loco 4023 --day 2017-07-22</v>
      </c>
      <c r="AF22" s="1"/>
    </row>
    <row r="23" spans="1:32" x14ac:dyDescent="0.25">
      <c r="A23" s="31">
        <v>42938.002002314817</v>
      </c>
      <c r="B23" s="30" t="s">
        <v>392</v>
      </c>
      <c r="C23" s="30" t="s">
        <v>656</v>
      </c>
      <c r="D23" s="30" t="s">
        <v>96</v>
      </c>
      <c r="E23" s="30" t="s">
        <v>657</v>
      </c>
      <c r="F23" s="42">
        <v>0</v>
      </c>
      <c r="G23" s="42">
        <v>404</v>
      </c>
      <c r="H23" s="42">
        <v>14916</v>
      </c>
      <c r="I23" s="42">
        <v>13742</v>
      </c>
      <c r="J23" s="30" t="s">
        <v>650</v>
      </c>
      <c r="K23" s="42">
        <v>17100</v>
      </c>
      <c r="L23" s="131" t="s">
        <v>51</v>
      </c>
      <c r="M23" s="132">
        <f t="shared" si="0"/>
        <v>-1773.0239999999999</v>
      </c>
      <c r="N23" s="133" t="str">
        <f>VLOOKUP(C23,'Trips&amp;Operators'!$C$1:$G$99999,5,FALSE)</f>
        <v>FORTUNATO FRANK</v>
      </c>
      <c r="O23" s="203" t="s">
        <v>660</v>
      </c>
      <c r="P23" s="134" t="s">
        <v>1047</v>
      </c>
      <c r="Q23" s="30"/>
      <c r="R23" s="81" t="str">
        <f>VLOOKUP(C23,'Train Runs'!$A$13:$AE$9927,31,0)</f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S23" s="84" t="str">
        <f>VLOOKUP(C23,'Train Runs'!$A$13:$AE$9927,22,0)</f>
        <v>https://d0f6bd738d7f1b3e5a7ca70fe4ff75f0.us-east-1.aws.found.io/app/kibana#/discover/Steve-Slow-Train-Analysis-(2080s-and-2083s)?_g=(refreshInterval:(display:Off,pause:!f,section:0,value:0),time:(from:'2017-07-21T22:16:32-0600',mode:absolute,to:'2017-07-22T01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6" t="str">
        <f t="shared" si="1"/>
        <v>"C:\Program Files (x86)\AstroGrep\AstroGrep.exe" /e /r /s /spath="%USERPROFILE%\AppData\Local\Temp\OnboardLogs" /stypes="*4045*201707220*" /stext=" 06:.+((SYSTEM_STATE.+slice.+state.+changed )|(ment ac)|(multiple cpu faults)|(system.+state.+changed )|(\[timeout)|(PRM\|1\|D)|(kpr)|(kdp)|(train st.+moving)|(\|lc)|(penalty))"</v>
      </c>
      <c r="U23" s="9" t="str">
        <f t="shared" si="2"/>
        <v>4045</v>
      </c>
      <c r="V23" s="31">
        <f t="shared" si="3"/>
        <v>42938.252002314817</v>
      </c>
      <c r="W23" s="45" t="str">
        <f t="shared" si="4"/>
        <v>EC</v>
      </c>
      <c r="X23" s="22">
        <f t="shared" si="5"/>
        <v>236</v>
      </c>
      <c r="Y23" s="96" t="str">
        <f t="shared" si="6"/>
        <v>echo {"issue":{"subject":"Wi-MAX data drop","project_id":79,"tracker_id":40,"status_id":1,"priority_id":2,"assigned_to_id":23,"start_date":"2017-07-22","description":"","custom_fields":[{"id":1,"name":"Subdivision","value":"EC"},{"id":4,"name":"Milepost","value":"1.71"},{"id":17,"name":"Train ID","value":"236-21"},{"id":16,"name":"Locomotive ID","value":"4045"},{"id":130,"name":"Impact","value":""},{"id":150,"name":"Time of Event (Mountain Time)","value":"00:02:53"},{"id":151,"name":"Denver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/c/Users/stu/AppData/Local/Temp/OnboardLogs/RTDC4045 --include="*4045*201707220*"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"%USERPROFILE%\AppData\Local\Temp\OnboardLogs"\RTDC4045\*4045*201707220* &gt;&gt; 2017-07-21-SliceDisagreementCheck.txt</v>
      </c>
      <c r="AE23" s="145" t="str">
        <f t="shared" si="9"/>
        <v>start /low /b %USERPROFILE%\Documents\GitHub\eaglep3\Utilities\DownloadLogsFromS3.py --loco 4045 --day 2017-07-22</v>
      </c>
      <c r="AF23" s="1"/>
    </row>
    <row r="24" spans="1:32" x14ac:dyDescent="0.25">
      <c r="A24" s="31">
        <v>42937.296516203707</v>
      </c>
      <c r="B24" s="30" t="s">
        <v>517</v>
      </c>
      <c r="C24" s="30" t="s">
        <v>623</v>
      </c>
      <c r="D24" s="30" t="s">
        <v>49</v>
      </c>
      <c r="E24" s="30" t="s">
        <v>181</v>
      </c>
      <c r="F24" s="42">
        <v>0</v>
      </c>
      <c r="G24" s="42">
        <v>39</v>
      </c>
      <c r="H24" s="42">
        <v>147</v>
      </c>
      <c r="I24" s="42">
        <v>116</v>
      </c>
      <c r="J24" s="30" t="s">
        <v>182</v>
      </c>
      <c r="K24" s="42">
        <v>1</v>
      </c>
      <c r="L24" s="131" t="s">
        <v>51</v>
      </c>
      <c r="M24" s="132">
        <f t="shared" si="0"/>
        <v>60.72</v>
      </c>
      <c r="N24" s="133" t="str">
        <f>VLOOKUP(C24,'Trips&amp;Operators'!$C$1:$G$99999,5,FALSE)</f>
        <v>WILLIAMS DONTE</v>
      </c>
      <c r="O24" s="203" t="s">
        <v>180</v>
      </c>
      <c r="P24" s="134"/>
      <c r="Q24" s="30"/>
      <c r="R24" s="81" t="str">
        <f>VLOOKUP(C24,'Train Runs'!$A$13:$AE$9927,31,0)</f>
        <v>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 &amp; aws s3 cp s3://rtdc.mdm.uploadarchive.raw/RTDC4053/ "%USERPROFILE%\AppData\Local\Temp\OnboardLogs"\RTDC4053\2017-07-22 --exclude "*" --recursive --include "*20170722*" &amp; "%USERPROFILE%\Documents\GitHub\mrs-test-scripts\Headless Mode &amp; Sideloading\WalkAndUnGZ.bat" "%USERPROFILE%\AppData\Local\Temp\OnboardLogs"\RTDC4053\2017-07-22</v>
      </c>
      <c r="S24" s="84" t="str">
        <f>VLOOKUP(C24,'Train Runs'!$A$13:$AE$9927,22,0)</f>
        <v>https://d0f6bd738d7f1b3e5a7ca70fe4ff75f0.us-east-1.aws.found.io/app/kibana#/discover/Steve-Slow-Train-Analysis-(2080s-and-2083s)?_g=(refreshInterval:(display:Off,pause:!f,section:0,value:0),time:(from:'2017-07-21T05:12:32-0600',mode:absolute,to:'2017-07-21T08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4" s="86" t="str">
        <f t="shared" si="1"/>
        <v>"C:\Program Files (x86)\AstroGrep\AstroGrep.exe" /e /r /s /spath="%USERPROFILE%\AppData\Local\Temp\OnboardLogs" /stypes="*4053*201707211*"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4053</v>
      </c>
      <c r="V24" s="31">
        <f t="shared" si="3"/>
        <v>42937.546516203707</v>
      </c>
      <c r="W24" s="45" t="str">
        <f t="shared" si="4"/>
        <v>EC</v>
      </c>
      <c r="X24" s="22">
        <f t="shared" si="5"/>
        <v>116</v>
      </c>
      <c r="Y24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ID","value":"116-21"},{"id":16,"name":"Locomotive ID","value":"4053"},{"id":130,"name":"Impact","value":""},{"id":150,"name":"Time of Event (Mountain Time)","value":"07:06:59"},{"id":151,"name":"Denver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/c/Users/stu/AppData/Local/Temp/OnboardLogs/RTDC4053 --include="*4053*201707211*"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"%USERPROFILE%\AppData\Local\Temp\OnboardLogs"\RTDC4053\*4053*201707211* &gt;&gt; 2017-07-21-SliceDisagreementCheck.txt</v>
      </c>
      <c r="AE24" s="145" t="str">
        <f t="shared" si="9"/>
        <v>start /low /b %USERPROFILE%\Documents\GitHub\eaglep3\Utilities\DownloadLogsFromS3.py --loco 4053 --day 2017-07-21</v>
      </c>
      <c r="AF24" s="1"/>
    </row>
    <row r="25" spans="1:32" x14ac:dyDescent="0.25">
      <c r="A25" s="31">
        <v>42937.601458333331</v>
      </c>
      <c r="B25" s="30" t="s">
        <v>522</v>
      </c>
      <c r="C25" s="30" t="s">
        <v>635</v>
      </c>
      <c r="D25" s="30" t="s">
        <v>49</v>
      </c>
      <c r="E25" s="30" t="s">
        <v>181</v>
      </c>
      <c r="F25" s="42">
        <v>0</v>
      </c>
      <c r="G25" s="42">
        <v>51</v>
      </c>
      <c r="H25" s="42">
        <v>201</v>
      </c>
      <c r="I25" s="42">
        <v>147</v>
      </c>
      <c r="J25" s="30" t="s">
        <v>182</v>
      </c>
      <c r="K25" s="42">
        <v>1</v>
      </c>
      <c r="L25" s="131" t="s">
        <v>51</v>
      </c>
      <c r="M25" s="132">
        <f t="shared" si="0"/>
        <v>77.087999999999994</v>
      </c>
      <c r="N25" s="133" t="str">
        <f>VLOOKUP(C25,'Trips&amp;Operators'!$C$1:$G$99999,5,FALSE)</f>
        <v>ELBAUM MIKE</v>
      </c>
      <c r="O25" s="203" t="s">
        <v>180</v>
      </c>
      <c r="P25" s="134"/>
      <c r="Q25" s="30"/>
      <c r="R25" s="81" t="str">
        <f>VLOOKUP(C25,'Train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25" s="84" t="str">
        <f>VLOOKUP(C25,'Train Runs'!$A$13:$AE$9927,22,0)</f>
        <v>https://d0f6bd738d7f1b3e5a7ca70fe4ff75f0.us-east-1.aws.found.io/app/kibana#/discover/Steve-Slow-Train-Analysis-(2080s-and-2083s)?_g=(refreshInterval:(display:Off,pause:!f,section:0,value:0),time:(from:'2017-07-21T12:24:59-0600',mode:absolute,to:'2017-07-21T15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6" t="str">
        <f t="shared" si="1"/>
        <v>"C:\Program Files (x86)\AstroGrep\AstroGrep.exe" /e /r /s /spath="%USERPROFILE%\AppData\Local\Temp\OnboardLogs" /stypes="*4057*201707212*"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42937.851458333331</v>
      </c>
      <c r="W25" s="45" t="str">
        <f t="shared" si="4"/>
        <v>EC</v>
      </c>
      <c r="X25" s="22">
        <f t="shared" si="5"/>
        <v>174</v>
      </c>
      <c r="Y25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ID","value":"174-21"},{"id":16,"name":"Locomotive ID","value":"4057"},{"id":130,"name":"Impact","value":""},{"id":150,"name":"Time of Event (Mountain Time)","value":"14:26:06"},{"id":151,"name":"Denver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/c/Users/stu/AppData/Local/Temp/OnboardLogs/RTDC4057 --include="*4057*201707212*"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"%USERPROFILE%\AppData\Local\Temp\OnboardLogs"\RTDC4057\*4057*201707212* &gt;&gt; 2017-07-21-SliceDisagreementCheck.txt</v>
      </c>
      <c r="AE25" s="145" t="str">
        <f t="shared" si="9"/>
        <v>start /low /b %USERPROFILE%\Documents\GitHub\eaglep3\Utilities\DownloadLogsFromS3.py --loco 4057 --day 2017-07-21</v>
      </c>
      <c r="AF25" s="1"/>
    </row>
    <row r="26" spans="1:32" s="20" customFormat="1" x14ac:dyDescent="0.25">
      <c r="A26" s="31">
        <v>42937.629479166666</v>
      </c>
      <c r="B26" s="30" t="s">
        <v>628</v>
      </c>
      <c r="C26" s="30" t="s">
        <v>637</v>
      </c>
      <c r="D26" s="30" t="s">
        <v>49</v>
      </c>
      <c r="E26" s="30" t="s">
        <v>181</v>
      </c>
      <c r="F26" s="42">
        <v>0</v>
      </c>
      <c r="G26" s="42">
        <v>60</v>
      </c>
      <c r="H26" s="42">
        <v>211</v>
      </c>
      <c r="I26" s="42">
        <v>158</v>
      </c>
      <c r="J26" s="30" t="s">
        <v>182</v>
      </c>
      <c r="K26" s="42">
        <v>1</v>
      </c>
      <c r="L26" s="131" t="s">
        <v>51</v>
      </c>
      <c r="M26" s="132">
        <f t="shared" si="0"/>
        <v>82.895999999999987</v>
      </c>
      <c r="N26" s="133" t="str">
        <f>VLOOKUP(C26,'Trips&amp;Operators'!$C$1:$G$99999,5,FALSE)</f>
        <v>GONZALEZ ARMANDO</v>
      </c>
      <c r="O26" s="203" t="s">
        <v>180</v>
      </c>
      <c r="P26" s="134"/>
      <c r="Q26" s="30"/>
      <c r="R26" s="81" t="str">
        <f>VLOOKUP(C26,'Train Runs'!$A$13:$AE$9927,31,0)</f>
        <v>aws s3 cp s3://rtdc.mdm.uploadarchive.raw/RTDC4049/ "%USERPROFILE%\AppData\Local\Temp\OnboardLogs"\RTDC4049\2017-07-21 --exclude "*" --recursive --include "*20170721*" &amp; "%USERPROFILE%\Documents\GitHub\mrs-test-scripts\Headless Mode &amp; Sideloading\WalkAndUnGZ.bat" "%USERPROFILE%\AppData\Local\Temp\OnboardLogs"\RTDC4049\2017-07-21 &amp; 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</v>
      </c>
      <c r="S26" s="84" t="str">
        <f>VLOOKUP(C26,'Train Runs'!$A$13:$AE$9927,22,0)</f>
        <v>https://d0f6bd738d7f1b3e5a7ca70fe4ff75f0.us-east-1.aws.found.io/app/kibana#/discover/Steve-Slow-Train-Analysis-(2080s-and-2083s)?_g=(refreshInterval:(display:Off,pause:!f,section:0,value:0),time:(from:'2017-07-21T13:17:57-0600',mode:absolute,to:'2017-07-21T16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6" s="86" t="str">
        <f t="shared" si="1"/>
        <v>"C:\Program Files (x86)\AstroGrep\AstroGrep.exe" /e /r /s /spath="%USERPROFILE%\AppData\Local\Temp\OnboardLogs" /stypes="*4049*201707212*"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4049</v>
      </c>
      <c r="V26" s="31">
        <f t="shared" si="3"/>
        <v>42937.879479166666</v>
      </c>
      <c r="W26" s="45" t="str">
        <f t="shared" si="4"/>
        <v>EC</v>
      </c>
      <c r="X26" s="22">
        <f t="shared" si="5"/>
        <v>180</v>
      </c>
      <c r="Y26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ID","value":"180-21"},{"id":16,"name":"Locomotive ID","value":"4049"},{"id":130,"name":"Impact","value":""},{"id":150,"name":"Time of Event (Mountain Time)","value":"15:06:27"},{"id":151,"name":"Denver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/c/Users/stu/AppData/Local/Temp/OnboardLogs/RTDC4049 --include="*4049*201707212*"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"%USERPROFILE%\AppData\Local\Temp\OnboardLogs"\RTDC4049\*4049*201707212* &gt;&gt; 2017-07-21-SliceDisagreementCheck.txt</v>
      </c>
      <c r="AE26" s="145" t="str">
        <f t="shared" si="9"/>
        <v>start /low /b %USERPROFILE%\Documents\GitHub\eaglep3\Utilities\DownloadLogsFromS3.py --loco 4049 --day 2017-07-21</v>
      </c>
      <c r="AF26" s="1"/>
    </row>
    <row r="27" spans="1:32" x14ac:dyDescent="0.25">
      <c r="A27" s="31">
        <v>42937.640439814815</v>
      </c>
      <c r="B27" s="30" t="s">
        <v>455</v>
      </c>
      <c r="C27" s="30" t="s">
        <v>638</v>
      </c>
      <c r="D27" s="30" t="s">
        <v>49</v>
      </c>
      <c r="E27" s="30" t="s">
        <v>181</v>
      </c>
      <c r="F27" s="42">
        <v>0</v>
      </c>
      <c r="G27" s="42">
        <v>55</v>
      </c>
      <c r="H27" s="42">
        <v>169</v>
      </c>
      <c r="I27" s="42">
        <v>134</v>
      </c>
      <c r="J27" s="30" t="s">
        <v>182</v>
      </c>
      <c r="K27" s="42">
        <v>1</v>
      </c>
      <c r="L27" s="131" t="s">
        <v>51</v>
      </c>
      <c r="M27" s="132">
        <f t="shared" si="0"/>
        <v>70.224000000000004</v>
      </c>
      <c r="N27" s="133" t="str">
        <f>VLOOKUP(C27,'Trips&amp;Operators'!$C$1:$G$99999,5,FALSE)</f>
        <v>CASSIDY BRANDON</v>
      </c>
      <c r="O27" s="203" t="s">
        <v>180</v>
      </c>
      <c r="P27" s="134"/>
      <c r="Q27" s="30"/>
      <c r="R27" s="81" t="str">
        <f>VLOOKUP(C27,'Train Runs'!$A$13:$AE$9927,31,0)</f>
        <v>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 &amp; aws s3 cp s3://rtdc.mdm.uploadarchive.raw/RTDC4031/ "%USERPROFILE%\AppData\Local\Temp\OnboardLogs"\RTDC4031\2017-07-22 --exclude "*" --recursive --include "*20170722*" &amp; "%USERPROFILE%\Documents\GitHub\mrs-test-scripts\Headless Mode &amp; Sideloading\WalkAndUnGZ.bat" "%USERPROFILE%\AppData\Local\Temp\OnboardLogs"\RTDC4031\2017-07-22</v>
      </c>
      <c r="S27" s="84" t="str">
        <f>VLOOKUP(C27,'Train Runs'!$A$13:$AE$9927,22,0)</f>
        <v>https://d0f6bd738d7f1b3e5a7ca70fe4ff75f0.us-east-1.aws.found.io/app/kibana#/discover/Steve-Slow-Train-Analysis-(2080s-and-2083s)?_g=(refreshInterval:(display:Off,pause:!f,section:0,value:0),time:(from:'2017-07-21T13:40:01-0600',mode:absolute,to:'2017-07-21T16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7" s="86" t="str">
        <f t="shared" si="1"/>
        <v>"C:\Program Files (x86)\AstroGrep\AstroGrep.exe" /e /r /s /spath="%USERPROFILE%\AppData\Local\Temp\OnboardLogs" /stypes="*4031*201707212*"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4031</v>
      </c>
      <c r="V27" s="31">
        <f t="shared" si="3"/>
        <v>42937.890439814815</v>
      </c>
      <c r="W27" s="45" t="str">
        <f t="shared" si="4"/>
        <v>EC</v>
      </c>
      <c r="X27" s="22">
        <f t="shared" si="5"/>
        <v>182</v>
      </c>
      <c r="Y27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ID","value":"182-21"},{"id":16,"name":"Locomotive ID","value":"4031"},{"id":130,"name":"Impact","value":""},{"id":150,"name":"Time of Event (Mountain Time)","value":"15:22:14"},{"id":151,"name":"Denver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/c/Users/stu/AppData/Local/Temp/OnboardLogs/RTDC4031 --include="*4031*201707212*"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"%USERPROFILE%\AppData\Local\Temp\OnboardLogs"\RTDC4031\*4031*201707212* &gt;&gt; 2017-07-21-SliceDisagreementCheck.txt</v>
      </c>
      <c r="AE27" s="145" t="str">
        <f t="shared" si="9"/>
        <v>start /low /b %USERPROFILE%\Documents\GitHub\eaglep3\Utilities\DownloadLogsFromS3.py --loco 4031 --day 2017-07-21</v>
      </c>
      <c r="AF27" s="1"/>
    </row>
    <row r="28" spans="1:32" x14ac:dyDescent="0.25">
      <c r="A28" s="31">
        <v>42937.649988425925</v>
      </c>
      <c r="B28" s="30" t="s">
        <v>639</v>
      </c>
      <c r="C28" s="30" t="s">
        <v>640</v>
      </c>
      <c r="D28" s="30" t="s">
        <v>49</v>
      </c>
      <c r="E28" s="30" t="s">
        <v>181</v>
      </c>
      <c r="F28" s="42">
        <v>0</v>
      </c>
      <c r="G28" s="42">
        <v>63</v>
      </c>
      <c r="H28" s="42">
        <v>200</v>
      </c>
      <c r="I28" s="42">
        <v>141</v>
      </c>
      <c r="J28" s="30" t="s">
        <v>182</v>
      </c>
      <c r="K28" s="42">
        <v>1</v>
      </c>
      <c r="L28" s="131" t="s">
        <v>51</v>
      </c>
      <c r="M28" s="132">
        <f t="shared" si="0"/>
        <v>73.92</v>
      </c>
      <c r="N28" s="133" t="str">
        <f>VLOOKUP(C28,'Trips&amp;Operators'!$C$1:$G$99999,5,FALSE)</f>
        <v>LEVIN SCOTT</v>
      </c>
      <c r="O28" s="203" t="s">
        <v>180</v>
      </c>
      <c r="P28" s="134"/>
      <c r="Q28" s="30"/>
      <c r="R28" s="81" t="str">
        <f>VLOOKUP(C28,'Train Runs'!$A$13:$AE$9927,31,0)</f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S28" s="84" t="str">
        <f>VLOOKUP(C28,'Train Runs'!$A$13:$AE$9927,22,0)</f>
        <v>https://d0f6bd738d7f1b3e5a7ca70fe4ff75f0.us-east-1.aws.found.io/app/kibana#/discover/Steve-Slow-Train-Analysis-(2080s-and-2083s)?_g=(refreshInterval:(display:Off,pause:!f,section:0,value:0),time:(from:'2017-07-21T13:52:08-0600',mode:absolute,to:'2017-07-21T16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6" t="str">
        <f t="shared" si="1"/>
        <v>"C:\Program Files (x86)\AstroGrep\AstroGrep.exe" /e /r /s /spath="%USERPROFILE%\AppData\Local\Temp\OnboardLogs" /stypes="*4025*201707212*"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4025</v>
      </c>
      <c r="V28" s="31">
        <f t="shared" si="3"/>
        <v>42937.899988425925</v>
      </c>
      <c r="W28" s="45" t="str">
        <f t="shared" si="4"/>
        <v>EC</v>
      </c>
      <c r="X28" s="22">
        <f t="shared" si="5"/>
        <v>184</v>
      </c>
      <c r="Y28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ID","value":"184-21"},{"id":16,"name":"Locomotive ID","value":"4025"},{"id":130,"name":"Impact","value":""},{"id":150,"name":"Time of Event (Mountain Time)","value":"15:35:59"},{"id":151,"name":"Denver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/c/Users/stu/AppData/Local/Temp/OnboardLogs/RTDC4025 --include="*4025*201707212*"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"%USERPROFILE%\AppData\Local\Temp\OnboardLogs"\RTDC4025\*4025*201707212* &gt;&gt; 2017-07-21-SliceDisagreementCheck.txt</v>
      </c>
      <c r="AE28" s="145" t="str">
        <f t="shared" si="9"/>
        <v>start /low /b %USERPROFILE%\Documents\GitHub\eaglep3\Utilities\DownloadLogsFromS3.py --loco 4025 --day 2017-07-21</v>
      </c>
      <c r="AF28" s="1"/>
    </row>
    <row r="29" spans="1:32" x14ac:dyDescent="0.25">
      <c r="A29" s="31">
        <v>42937.693437499998</v>
      </c>
      <c r="B29" s="30" t="s">
        <v>392</v>
      </c>
      <c r="C29" s="30" t="s">
        <v>643</v>
      </c>
      <c r="D29" s="30" t="s">
        <v>49</v>
      </c>
      <c r="E29" s="30" t="s">
        <v>181</v>
      </c>
      <c r="F29" s="42">
        <v>0</v>
      </c>
      <c r="G29" s="42">
        <v>65</v>
      </c>
      <c r="H29" s="42">
        <v>180</v>
      </c>
      <c r="I29" s="42">
        <v>125</v>
      </c>
      <c r="J29" s="30" t="s">
        <v>182</v>
      </c>
      <c r="K29" s="42">
        <v>1</v>
      </c>
      <c r="L29" s="131" t="s">
        <v>51</v>
      </c>
      <c r="M29" s="132">
        <f t="shared" si="0"/>
        <v>65.471999999999994</v>
      </c>
      <c r="N29" s="133" t="str">
        <f>VLOOKUP(C29,'Trips&amp;Operators'!$C$1:$G$99999,5,FALSE)</f>
        <v>STEWART MICHAEL</v>
      </c>
      <c r="O29" s="203" t="s">
        <v>180</v>
      </c>
      <c r="P29" s="134"/>
      <c r="Q29" s="30"/>
      <c r="R29" s="81" t="str">
        <f>VLOOKUP(C29,'Train Runs'!$A$13:$AE$9927,31,0)</f>
        <v>aws s3 cp s3://rtdc.mdm.uploadarchive.raw/RTDC4045/ "%USERPROFILE%\AppData\Local\Temp\OnboardLogs"\RTDC4045\2017-07-21 --exclude "*" --recursive --include "*20170721*" &amp; "%USERPROFILE%\Documents\GitHub\mrs-test-scripts\Headless Mode &amp; Sideloading\WalkAndUnGZ.bat" "%USERPROFILE%\AppData\Local\Temp\OnboardLogs"\RTDC4045\2017-07-21 &amp; aws s3 cp s3://rtdc.mdm.uploadarchive.raw/RTDC4045/ "%USERPROFILE%\AppData\Local\Temp\OnboardLogs"\RTDC4045\2017-07-22 --exclude "*" --recursive --include "*20170722*" &amp; "%USERPROFILE%\Documents\GitHub\mrs-test-scripts\Headless Mode &amp; Sideloading\WalkAndUnGZ.bat" "%USERPROFILE%\AppData\Local\Temp\OnboardLogs"\RTDC4045\2017-07-22</v>
      </c>
      <c r="S29" s="84" t="str">
        <f>VLOOKUP(C29,'Train Runs'!$A$13:$AE$9927,22,0)</f>
        <v>https://d0f6bd738d7f1b3e5a7ca70fe4ff75f0.us-east-1.aws.found.io/app/kibana#/discover/Steve-Slow-Train-Analysis-(2080s-and-2083s)?_g=(refreshInterval:(display:Off,pause:!f,section:0,value:0),time:(from:'2017-07-21T14:50:46-0600',mode:absolute,to:'2017-07-21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9" s="86" t="str">
        <f t="shared" si="1"/>
        <v>"C:\Program Files (x86)\AstroGrep\AstroGrep.exe" /e /r /s /spath="%USERPROFILE%\AppData\Local\Temp\OnboardLogs" /stypes="*4045*201707212*"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4045</v>
      </c>
      <c r="V29" s="31">
        <f t="shared" si="3"/>
        <v>42937.943437499998</v>
      </c>
      <c r="W29" s="45" t="str">
        <f t="shared" si="4"/>
        <v>EC</v>
      </c>
      <c r="X29" s="22">
        <f t="shared" si="5"/>
        <v>192</v>
      </c>
      <c r="Y29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ID","value":"192-21"},{"id":16,"name":"Locomotive ID","value":"4045"},{"id":130,"name":"Impact","value":""},{"id":150,"name":"Time of Event (Mountain Time)","value":"16:38:33"},{"id":151,"name":"Denver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/c/Users/stu/AppData/Local/Temp/OnboardLogs/RTDC4045 --include="*4045*201707212*"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"%USERPROFILE%\AppData\Local\Temp\OnboardLogs"\RTDC4045\*4045*201707212* &gt;&gt; 2017-07-21-SliceDisagreementCheck.txt</v>
      </c>
      <c r="AE29" s="145" t="str">
        <f t="shared" si="9"/>
        <v>start /low /b %USERPROFILE%\Documents\GitHub\eaglep3\Utilities\DownloadLogsFromS3.py --loco 4045 --day 2017-07-21</v>
      </c>
      <c r="AF29" s="1"/>
    </row>
    <row r="30" spans="1:32" x14ac:dyDescent="0.25">
      <c r="A30" s="31">
        <v>42937.722071759257</v>
      </c>
      <c r="B30" s="30" t="s">
        <v>639</v>
      </c>
      <c r="C30" s="30" t="s">
        <v>644</v>
      </c>
      <c r="D30" s="30" t="s">
        <v>49</v>
      </c>
      <c r="E30" s="30" t="s">
        <v>181</v>
      </c>
      <c r="F30" s="42">
        <v>0</v>
      </c>
      <c r="G30" s="42">
        <v>44</v>
      </c>
      <c r="H30" s="42">
        <v>165</v>
      </c>
      <c r="I30" s="42">
        <v>103</v>
      </c>
      <c r="J30" s="30" t="s">
        <v>182</v>
      </c>
      <c r="K30" s="42">
        <v>1</v>
      </c>
      <c r="L30" s="131" t="s">
        <v>51</v>
      </c>
      <c r="M30" s="132">
        <f t="shared" si="0"/>
        <v>53.856000000000002</v>
      </c>
      <c r="N30" s="133" t="str">
        <f>VLOOKUP(C30,'Trips&amp;Operators'!$C$1:$G$99999,5,FALSE)</f>
        <v>LEVIN SCOTT</v>
      </c>
      <c r="O30" s="203" t="s">
        <v>180</v>
      </c>
      <c r="P30" s="134"/>
      <c r="Q30" s="30"/>
      <c r="R30" s="81" t="str">
        <f>VLOOKUP(C30,'Train Runs'!$A$13:$AE$9927,31,0)</f>
        <v>aws s3 cp s3://rtdc.mdm.uploadarchive.raw/RTDC4025/ "%USERPROFILE%\AppData\Local\Temp\OnboardLogs"\RTDC4025\2017-07-21 --exclude "*" --recursive --include "*20170721*" &amp; "%USERPROFILE%\Documents\GitHub\mrs-test-scripts\Headless Mode &amp; Sideloading\WalkAndUnGZ.bat" "%USERPROFILE%\AppData\Local\Temp\OnboardLogs"\RTDC4025\2017-07-21 &amp; aws s3 cp s3://rtdc.mdm.uploadarchive.raw/RTDC4025/ "%USERPROFILE%\AppData\Local\Temp\OnboardLogs"\RTDC4025\2017-07-22 --exclude "*" --recursive --include "*20170722*" &amp; "%USERPROFILE%\Documents\GitHub\mrs-test-scripts\Headless Mode &amp; Sideloading\WalkAndUnGZ.bat" "%USERPROFILE%\AppData\Local\Temp\OnboardLogs"\RTDC4025\2017-07-22</v>
      </c>
      <c r="S30" s="84" t="str">
        <f>VLOOKUP(C30,'Train Runs'!$A$13:$AE$9927,22,0)</f>
        <v>https://d0f6bd738d7f1b3e5a7ca70fe4ff75f0.us-east-1.aws.found.io/app/kibana#/discover/Steve-Slow-Train-Analysis-(2080s-and-2083s)?_g=(refreshInterval:(display:Off,pause:!f,section:0,value:0),time:(from:'2017-07-21T15:38:59-0600',mode:absolute,to:'2017-07-21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0" s="86" t="str">
        <f t="shared" si="1"/>
        <v>"C:\Program Files (x86)\AstroGrep\AstroGrep.exe" /e /r /s /spath="%USERPROFILE%\AppData\Local\Temp\OnboardLogs" /stypes="*4025*201707212*"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4025</v>
      </c>
      <c r="V30" s="31">
        <f t="shared" si="3"/>
        <v>42937.972071759257</v>
      </c>
      <c r="W30" s="45" t="str">
        <f t="shared" si="4"/>
        <v>EC</v>
      </c>
      <c r="X30" s="22">
        <f t="shared" si="5"/>
        <v>198</v>
      </c>
      <c r="Y30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ID","value":"198-21"},{"id":16,"name":"Locomotive ID","value":"4025"},{"id":130,"name":"Impact","value":""},{"id":150,"name":"Time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/c/Users/stu/AppData/Local/Temp/OnboardLogs/RTDC4025 --include="*4025*201707212*"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"%USERPROFILE%\AppData\Local\Temp\OnboardLogs"\RTDC4025\*4025*201707212* &gt;&gt; 2017-07-21-SliceDisagreementCheck.txt</v>
      </c>
      <c r="AE30" s="145" t="str">
        <f t="shared" si="9"/>
        <v>start /low /b %USERPROFILE%\Documents\GitHub\eaglep3\Utilities\DownloadLogsFromS3.py --loco 4025 --day 2017-07-21</v>
      </c>
      <c r="AF30" s="1"/>
    </row>
    <row r="31" spans="1:32" x14ac:dyDescent="0.25">
      <c r="A31" s="31">
        <v>42937.744710648149</v>
      </c>
      <c r="B31" s="30" t="s">
        <v>522</v>
      </c>
      <c r="C31" s="30" t="s">
        <v>645</v>
      </c>
      <c r="D31" s="30" t="s">
        <v>49</v>
      </c>
      <c r="E31" s="30" t="s">
        <v>181</v>
      </c>
      <c r="F31" s="42">
        <v>0</v>
      </c>
      <c r="G31" s="42">
        <v>47</v>
      </c>
      <c r="H31" s="42">
        <v>211</v>
      </c>
      <c r="I31" s="42">
        <v>169</v>
      </c>
      <c r="J31" s="30" t="s">
        <v>182</v>
      </c>
      <c r="K31" s="42">
        <v>1</v>
      </c>
      <c r="L31" s="131" t="s">
        <v>51</v>
      </c>
      <c r="M31" s="132">
        <f t="shared" si="0"/>
        <v>88.703999999999994</v>
      </c>
      <c r="N31" s="133" t="str">
        <f>VLOOKUP(C31,'Trips&amp;Operators'!$C$1:$G$99999,5,FALSE)</f>
        <v>ELBAUM MIKE</v>
      </c>
      <c r="O31" s="203" t="s">
        <v>180</v>
      </c>
      <c r="P31" s="134"/>
      <c r="Q31" s="30"/>
      <c r="R31" s="81" t="str">
        <f>VLOOKUP(C31,'Train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31" s="84" t="str">
        <f>VLOOKUP(C31,'Train Runs'!$A$13:$AE$9927,22,0)</f>
        <v>https://d0f6bd738d7f1b3e5a7ca70fe4ff75f0.us-east-1.aws.found.io/app/kibana#/discover/Steve-Slow-Train-Analysis-(2080s-and-2083s)?_g=(refreshInterval:(display:Off,pause:!f,section:0,value:0),time:(from:'2017-07-21T15:54:39-0600',mode:absolute,to:'2017-07-21T18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1" s="86" t="str">
        <f t="shared" si="1"/>
        <v>"C:\Program Files (x86)\AstroGrep\AstroGrep.exe" /e /r /s /spath="%USERPROFILE%\AppData\Local\Temp\OnboardLogs" /stypes="*4057*201707212*"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4057</v>
      </c>
      <c r="V31" s="31">
        <f t="shared" si="3"/>
        <v>42937.994710648149</v>
      </c>
      <c r="W31" s="45" t="str">
        <f t="shared" si="4"/>
        <v>EC</v>
      </c>
      <c r="X31" s="22">
        <f t="shared" si="5"/>
        <v>202</v>
      </c>
      <c r="Y31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{"issue":{"subject":"","project_id":79,"tracker_id":40,"status_id":1,"priority_id":2,"assigned_to_id":23,"start_date":"2017-07-21","description":"","custom_fields":[{"id":1,"name":"Subdivision","value":"EC"},{"id":4,"name":"Milepost","value":"0.0001"},{"id":17,"name":"Train ID","value":"202-21"},{"id":16,"name":"Locomotive ID","value":"4057"},{"id":130,"name":"Impact","value":""},{"id":150,"name":"Time of Event (Mountain Time)","value":"17:52:23"},{"id":151,"name":"Denver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/c/Users/stu/AppData/Local/Temp/OnboardLogs/RTDC4057 --include="*4057*201707212*"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"%USERPROFILE%\AppData\Local\Temp\OnboardLogs"\RTDC4057\*4057*201707212* &gt;&gt; 2017-07-21-SliceDisagreementCheck.txt</v>
      </c>
      <c r="AE31" s="145" t="str">
        <f t="shared" si="9"/>
        <v>start /low /b %USERPROFILE%\Documents\GitHub\eaglep3\Utilities\DownloadLogsFromS3.py --loco 4057 --day 2017-07-21</v>
      </c>
      <c r="AF31" s="1"/>
    </row>
    <row r="32" spans="1:32" x14ac:dyDescent="0.25">
      <c r="A32" s="31">
        <v>42937.275567129633</v>
      </c>
      <c r="B32" s="30" t="s">
        <v>522</v>
      </c>
      <c r="C32" s="30" t="s">
        <v>622</v>
      </c>
      <c r="D32" s="30" t="s">
        <v>49</v>
      </c>
      <c r="E32" s="30" t="s">
        <v>181</v>
      </c>
      <c r="F32" s="42">
        <v>0</v>
      </c>
      <c r="G32" s="42">
        <v>26</v>
      </c>
      <c r="H32" s="42">
        <v>924</v>
      </c>
      <c r="I32" s="42">
        <v>913</v>
      </c>
      <c r="J32" s="30" t="s">
        <v>182</v>
      </c>
      <c r="K32" s="42">
        <v>826</v>
      </c>
      <c r="L32" s="131" t="s">
        <v>51</v>
      </c>
      <c r="M32" s="132">
        <f t="shared" si="0"/>
        <v>45.936</v>
      </c>
      <c r="N32" s="133" t="str">
        <f>VLOOKUP(C32,'Trips&amp;Operators'!$C$1:$G$99999,5,FALSE)</f>
        <v>STARKS ANGELINA</v>
      </c>
      <c r="O32" s="203" t="s">
        <v>180</v>
      </c>
      <c r="P32" s="134"/>
      <c r="Q32" s="30"/>
      <c r="R32" s="81" t="str">
        <f>VLOOKUP(C32,'Train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32" s="84" t="str">
        <f>VLOOKUP(C32,'Train Runs'!$A$13:$AE$9927,22,0)</f>
        <v>https://d0f6bd738d7f1b3e5a7ca70fe4ff75f0.us-east-1.aws.found.io/app/kibana#/discover/Steve-Slow-Train-Analysis-(2080s-and-2083s)?_g=(refreshInterval:(display:Off,pause:!f,section:0,value:0),time:(from:'2017-07-21T04:54:57-0600',mode:absolute,to:'2017-07-21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86" t="str">
        <f t="shared" si="1"/>
        <v>"C:\Program Files (x86)\AstroGrep\AstroGrep.exe" /e /r /s /spath="%USERPROFILE%\AppData\Local\Temp\OnboardLogs" /stypes="*4057*201707211*"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4057</v>
      </c>
      <c r="V32" s="31">
        <f t="shared" si="3"/>
        <v>42937.525567129633</v>
      </c>
      <c r="W32" s="45" t="str">
        <f t="shared" si="4"/>
        <v>EC</v>
      </c>
      <c r="X32" s="22">
        <f t="shared" si="5"/>
        <v>112</v>
      </c>
      <c r="Y32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{"issue":{"subject":"","project_id":79,"tracker_id":40,"status_id":1,"priority_id":2,"assigned_to_id":23,"start_date":"2017-07-21","description":"","custom_fields":[{"id":1,"name":"Subdivision","value":"EC"},{"id":4,"name":"Milepost","value":"0.0826"},{"id":17,"name":"Train ID","value":"112-21"},{"id":16,"name":"Locomotive ID","value":"4057"},{"id":130,"name":"Impact","value":""},{"id":150,"name":"Time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/c/Users/stu/AppData/Local/Temp/OnboardLogs/RTDC4057 --include="*4057*201707211*"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"%USERPROFILE%\AppData\Local\Temp\OnboardLogs"\RTDC4057\*4057*201707211* &gt;&gt; 2017-07-21-SliceDisagreementCheck.txt</v>
      </c>
      <c r="AE32" s="145" t="str">
        <f t="shared" si="9"/>
        <v>start /low /b %USERPROFILE%\Documents\GitHub\eaglep3\Utilities\DownloadLogsFromS3.py --loco 4057 --day 2017-07-21</v>
      </c>
      <c r="AF32" s="1"/>
    </row>
    <row r="33" spans="1:32" x14ac:dyDescent="0.25">
      <c r="A33" s="31">
        <v>42937.276064814818</v>
      </c>
      <c r="B33" s="30" t="s">
        <v>522</v>
      </c>
      <c r="C33" s="30" t="s">
        <v>622</v>
      </c>
      <c r="D33" s="30" t="s">
        <v>49</v>
      </c>
      <c r="E33" s="30" t="s">
        <v>181</v>
      </c>
      <c r="F33" s="42">
        <v>0</v>
      </c>
      <c r="G33" s="42">
        <v>21</v>
      </c>
      <c r="H33" s="42">
        <v>856</v>
      </c>
      <c r="I33" s="42">
        <v>837</v>
      </c>
      <c r="J33" s="30" t="s">
        <v>182</v>
      </c>
      <c r="K33" s="42">
        <v>826</v>
      </c>
      <c r="L33" s="131" t="s">
        <v>51</v>
      </c>
      <c r="M33" s="132">
        <f t="shared" si="0"/>
        <v>5.8079999999999998</v>
      </c>
      <c r="N33" s="133" t="str">
        <f>VLOOKUP(C33,'Trips&amp;Operators'!$C$1:$G$99999,5,FALSE)</f>
        <v>STARKS ANGELINA</v>
      </c>
      <c r="O33" s="203" t="s">
        <v>180</v>
      </c>
      <c r="P33" s="134"/>
      <c r="Q33" s="30"/>
      <c r="R33" s="81" t="str">
        <f>VLOOKUP(C33,'Train Runs'!$A$13:$AE$9927,31,0)</f>
        <v>aws s3 cp s3://rtdc.mdm.uploadarchive.raw/RTDC4057/ "%USERPROFILE%\AppData\Local\Temp\OnboardLogs"\RTDC4057\2017-07-21 --exclude "*" --recursive --include "*20170721*" &amp; "%USERPROFILE%\Documents\GitHub\mrs-test-scripts\Headless Mode &amp; Sideloading\WalkAndUnGZ.bat" "%USERPROFILE%\AppData\Local\Temp\OnboardLogs"\RTDC4057\2017-07-21 &amp; aws s3 cp s3://rtdc.mdm.uploadarchive.raw/RTDC4057/ "%USERPROFILE%\AppData\Local\Temp\OnboardLogs"\RTDC4057\2017-07-22 --exclude "*" --recursive --include "*20170722*" &amp; "%USERPROFILE%\Documents\GitHub\mrs-test-scripts\Headless Mode &amp; Sideloading\WalkAndUnGZ.bat" "%USERPROFILE%\AppData\Local\Temp\OnboardLogs"\RTDC4057\2017-07-22</v>
      </c>
      <c r="S33" s="84" t="str">
        <f>VLOOKUP(C33,'Train Runs'!$A$13:$AE$9927,22,0)</f>
        <v>https://d0f6bd738d7f1b3e5a7ca70fe4ff75f0.us-east-1.aws.found.io/app/kibana#/discover/Steve-Slow-Train-Analysis-(2080s-and-2083s)?_g=(refreshInterval:(display:Off,pause:!f,section:0,value:0),time:(from:'2017-07-21T04:54:57-0600',mode:absolute,to:'2017-07-21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3" s="86" t="str">
        <f t="shared" si="1"/>
        <v>"C:\Program Files (x86)\AstroGrep\AstroGrep.exe" /e /r /s /spath="%USERPROFILE%\AppData\Local\Temp\OnboardLogs" /stypes="*4057*201707211*" /stext=" 12:.+((SYSTEM_STATE.+slice.+state.+changed )|(ment ac)|(multiple cpu faults)|(system.+state.+changed )|(\[timeout)|(PRM\|1\|D)|(kpr)|(kdp)|(train st.+moving)|(\|lc)|(penalty))"</v>
      </c>
      <c r="U33" s="9" t="str">
        <f t="shared" si="2"/>
        <v>4057</v>
      </c>
      <c r="V33" s="31">
        <f t="shared" si="3"/>
        <v>42937.526064814818</v>
      </c>
      <c r="W33" s="45" t="str">
        <f t="shared" si="4"/>
        <v>EC</v>
      </c>
      <c r="X33" s="22">
        <f t="shared" si="5"/>
        <v>112</v>
      </c>
      <c r="Y33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{"issue":{"subject":"","project_id":79,"tracker_id":40,"status_id":1,"priority_id":2,"assigned_to_id":23,"start_date":"2017-07-21","description":"","custom_fields":[{"id":1,"name":"Subdivision","value":"EC"},{"id":4,"name":"Milepost","value":"0.0826"},{"id":17,"name":"Train ID","value":"112-21"},{"id":16,"name":"Locomotive ID","value":"4057"},{"id":130,"name":"Impact","value":""},{"id":150,"name":"Time of Event (Mountain Time)","value":"06:37:32"},{"id":151,"name":"Denver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/c/Users/stu/AppData/Local/Temp/OnboardLogs/RTDC4057 --include="*4057*201707211*"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"%USERPROFILE%\AppData\Local\Temp\OnboardLogs"\RTDC4057\*4057*201707211* &gt;&gt; 2017-07-21-SliceDisagreementCheck.txt</v>
      </c>
      <c r="AE33" s="145" t="str">
        <f t="shared" si="9"/>
        <v>start /low /b %USERPROFILE%\Documents\GitHub\eaglep3\Utilities\DownloadLogsFromS3.py --loco 4057 --day 2017-07-21</v>
      </c>
      <c r="AF33" s="1"/>
    </row>
    <row r="34" spans="1:32" x14ac:dyDescent="0.25">
      <c r="A34" s="31">
        <v>42937.233865740738</v>
      </c>
      <c r="B34" s="30" t="s">
        <v>544</v>
      </c>
      <c r="C34" s="30" t="s">
        <v>621</v>
      </c>
      <c r="D34" s="30" t="s">
        <v>49</v>
      </c>
      <c r="E34" s="30" t="s">
        <v>181</v>
      </c>
      <c r="F34" s="42">
        <v>0</v>
      </c>
      <c r="G34" s="42">
        <v>65</v>
      </c>
      <c r="H34" s="42">
        <v>233257</v>
      </c>
      <c r="I34" s="42">
        <v>233297</v>
      </c>
      <c r="J34" s="30" t="s">
        <v>182</v>
      </c>
      <c r="K34" s="42">
        <v>233491</v>
      </c>
      <c r="L34" s="131" t="s">
        <v>50</v>
      </c>
      <c r="M34" s="132">
        <f t="shared" si="0"/>
        <v>102.432</v>
      </c>
      <c r="N34" s="133" t="str">
        <f>VLOOKUP(C34,'Trips&amp;Operators'!$C$1:$G$99999,5,FALSE)</f>
        <v>STARKS ANGELINA</v>
      </c>
      <c r="O34" s="203" t="s">
        <v>180</v>
      </c>
      <c r="P34" s="134"/>
      <c r="Q34" s="30"/>
      <c r="R34" s="81" t="str">
        <f>VLOOKUP(C34,'Train Runs'!$A$13:$AE$9927,31,0)</f>
        <v>aws s3 cp s3://rtdc.mdm.uploadarchive.raw/RTDC4058/ "%USERPROFILE%\AppData\Local\Temp\OnboardLogs"\RTDC4058\2017-07-21 --exclude "*" --recursive --include "*20170721*" &amp; "%USERPROFILE%\Documents\GitHub\mrs-test-scripts\Headless Mode &amp; Sideloading\WalkAndUnGZ.bat" "%USERPROFILE%\AppData\Local\Temp\OnboardLogs"\RTDC4058\2017-07-21 &amp; aws s3 cp s3://rtdc.mdm.uploadarchive.raw/RTDC4058/ "%USERPROFILE%\AppData\Local\Temp\OnboardLogs"\RTDC4058\2017-07-22 --exclude "*" --recursive --include "*20170722*" &amp; "%USERPROFILE%\Documents\GitHub\mrs-test-scripts\Headless Mode &amp; Sideloading\WalkAndUnGZ.bat" "%USERPROFILE%\AppData\Local\Temp\OnboardLogs"\RTDC4058\2017-07-22</v>
      </c>
      <c r="S34" s="84" t="str">
        <f>VLOOKUP(C34,'Train Runs'!$A$13:$AE$9927,22,0)</f>
        <v>https://d0f6bd738d7f1b3e5a7ca70fe4ff75f0.us-east-1.aws.found.io/app/kibana#/discover/Steve-Slow-Train-Analysis-(2080s-and-2083s)?_g=(refreshInterval:(display:Off,pause:!f,section:0,value:0),time:(from:'2017-07-21T03:57:17-0600',mode:absolute,to:'2017-07-21T06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4" s="86" t="str">
        <f t="shared" si="1"/>
        <v>"C:\Program Files (x86)\AstroGrep\AstroGrep.exe" /e /r /s /spath="%USERPROFILE%\AppData\Local\Temp\OnboardLogs" /stypes="*4058*201707211*"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4058</v>
      </c>
      <c r="V34" s="31">
        <f t="shared" si="3"/>
        <v>42937.483865740738</v>
      </c>
      <c r="W34" s="45" t="str">
        <f t="shared" si="4"/>
        <v>EC</v>
      </c>
      <c r="X34" s="22">
        <f t="shared" si="5"/>
        <v>111</v>
      </c>
      <c r="Y34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{"issue":{"subject":"","project_id":79,"tracker_id":40,"status_id":1,"priority_id":2,"assigned_to_id":23,"start_date":"2017-07-21","description":"","custom_fields":[{"id":1,"name":"Subdivision","value":"EC"},{"id":4,"name":"Milepost","value":"23.3491"},{"id":17,"name":"Train ID","value":"111-21"},{"id":16,"name":"Locomotive ID","value":"4058"},{"id":130,"name":"Impact","value":""},{"id":150,"name":"Time of Event (Mountain Time)","value":"05:36:46"},{"id":151,"name":"Denver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/c/Users/stu/AppData/Local/Temp/OnboardLogs/RTDC4058 --include="*4058*201707211*"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"%USERPROFILE%\AppData\Local\Temp\OnboardLogs"\RTDC4058\*4058*201707211* &gt;&gt; 2017-07-21-SliceDisagreementCheck.txt</v>
      </c>
      <c r="AE34" s="145" t="str">
        <f t="shared" si="9"/>
        <v>start /low /b %USERPROFILE%\Documents\GitHub\eaglep3\Utilities\DownloadLogsFromS3.py --loco 4058 --day 2017-07-21</v>
      </c>
      <c r="AF34" s="1"/>
    </row>
    <row r="35" spans="1:32" x14ac:dyDescent="0.25">
      <c r="A35" s="31">
        <v>42937.493923611109</v>
      </c>
      <c r="B35" s="30" t="s">
        <v>521</v>
      </c>
      <c r="C35" s="30" t="s">
        <v>632</v>
      </c>
      <c r="D35" s="30" t="s">
        <v>49</v>
      </c>
      <c r="E35" s="30" t="s">
        <v>181</v>
      </c>
      <c r="F35" s="42">
        <v>0</v>
      </c>
      <c r="G35" s="42">
        <v>49</v>
      </c>
      <c r="H35" s="42">
        <v>233309</v>
      </c>
      <c r="I35" s="42">
        <v>233351</v>
      </c>
      <c r="J35" s="30" t="s">
        <v>182</v>
      </c>
      <c r="K35" s="42">
        <v>233491</v>
      </c>
      <c r="L35" s="131" t="s">
        <v>50</v>
      </c>
      <c r="M35" s="132">
        <f t="shared" si="0"/>
        <v>73.92</v>
      </c>
      <c r="N35" s="133" t="str">
        <f>VLOOKUP(C35,'Trips&amp;Operators'!$C$1:$G$99999,5,FALSE)</f>
        <v>BERLING GARY</v>
      </c>
      <c r="O35" s="203" t="s">
        <v>180</v>
      </c>
      <c r="P35" s="134"/>
      <c r="Q35" s="30"/>
      <c r="R35" s="81" t="str">
        <f>VLOOKUP(C35,'Train Runs'!$A$13:$AE$9927,31,0)</f>
        <v>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 &amp; aws s3 cp s3://rtdc.mdm.uploadarchive.raw/RTDC4030/ "%USERPROFILE%\AppData\Local\Temp\OnboardLogs"\RTDC4030\2017-07-22 --exclude "*" --recursive --include "*20170722*" &amp; "%USERPROFILE%\Documents\GitHub\mrs-test-scripts\Headless Mode &amp; Sideloading\WalkAndUnGZ.bat" "%USERPROFILE%\AppData\Local\Temp\OnboardLogs"\RTDC4030\2017-07-22</v>
      </c>
      <c r="S35" s="84" t="str">
        <f>VLOOKUP(C35,'Train Runs'!$A$13:$AE$9927,22,0)</f>
        <v>https://d0f6bd738d7f1b3e5a7ca70fe4ff75f0.us-east-1.aws.found.io/app/kibana#/discover/Steve-Slow-Train-Analysis-(2080s-and-2083s)?_g=(refreshInterval:(display:Off,pause:!f,section:0,value:0),time:(from:'2017-07-21T10:08:40-0600',mode:absolute,to:'2017-07-21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86" t="str">
        <f t="shared" si="1"/>
        <v>"C:\Program Files (x86)\AstroGrep\AstroGrep.exe" /e /r /s /spath="%USERPROFILE%\AppData\Local\Temp\OnboardLogs" /stypes="*4030*201707211*"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4030</v>
      </c>
      <c r="V35" s="31">
        <f t="shared" si="3"/>
        <v>42937.743923611109</v>
      </c>
      <c r="W35" s="45" t="str">
        <f t="shared" si="4"/>
        <v>EC</v>
      </c>
      <c r="X35" s="22">
        <f t="shared" si="5"/>
        <v>161</v>
      </c>
      <c r="Y35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{"issue":{"subject":"","project_id":79,"tracker_id":40,"status_id":1,"priority_id":2,"assigned_to_id":23,"start_date":"2017-07-21","description":"","custom_fields":[{"id":1,"name":"Subdivision","value":"EC"},{"id":4,"name":"Milepost","value":"23.3491"},{"id":17,"name":"Train ID","value":"161-21"},{"id":16,"name":"Locomotive ID","value":"4030"},{"id":130,"name":"Impact","value":""},{"id":150,"name":"Time of Event (Mountain Time)","value":"11:51:15"},{"id":151,"name":"Denver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/c/Users/stu/AppData/Local/Temp/OnboardLogs/RTDC4030 --include="*4030*201707211*"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"%USERPROFILE%\AppData\Local\Temp\OnboardLogs"\RTDC4030\*4030*201707211* &gt;&gt; 2017-07-21-SliceDisagreementCheck.txt</v>
      </c>
      <c r="AE35" s="145" t="str">
        <f t="shared" si="9"/>
        <v>start /low /b %USERPROFILE%\Documents\GitHub\eaglep3\Utilities\DownloadLogsFromS3.py --loco 4030 --day 2017-07-21</v>
      </c>
      <c r="AF35" s="1"/>
    </row>
    <row r="36" spans="1:32" x14ac:dyDescent="0.25">
      <c r="A36" s="31">
        <v>42937.535196759258</v>
      </c>
      <c r="B36" s="30" t="s">
        <v>633</v>
      </c>
      <c r="C36" s="30" t="s">
        <v>634</v>
      </c>
      <c r="D36" s="30" t="s">
        <v>49</v>
      </c>
      <c r="E36" s="30" t="s">
        <v>181</v>
      </c>
      <c r="F36" s="42">
        <v>0</v>
      </c>
      <c r="G36" s="42">
        <v>34</v>
      </c>
      <c r="H36" s="42">
        <v>233360</v>
      </c>
      <c r="I36" s="42">
        <v>233387</v>
      </c>
      <c r="J36" s="30" t="s">
        <v>182</v>
      </c>
      <c r="K36" s="42">
        <v>233491</v>
      </c>
      <c r="L36" s="131" t="s">
        <v>50</v>
      </c>
      <c r="M36" s="132">
        <f t="shared" si="0"/>
        <v>54.911999999999999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Runs'!$A$13:$AE$9927,31,0)</f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S36" s="84" t="str">
        <f>VLOOKUP(C36,'Train Runs'!$A$13:$AE$9927,22,0)</f>
        <v>https://d0f6bd738d7f1b3e5a7ca70fe4ff75f0.us-east-1.aws.found.io/app/kibana#/discover/Steve-Slow-Train-Analysis-(2080s-and-2083s)?_g=(refreshInterval:(display:Off,pause:!f,section:0,value:0),time:(from:'2017-07-21T11:11:27-0600',mode:absolute,to:'2017-07-21T13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86" t="str">
        <f t="shared" si="1"/>
        <v>"C:\Program Files (x86)\AstroGrep\AstroGrep.exe" /e /r /s /spath="%USERPROFILE%\AppData\Local\Temp\OnboardLogs" /stypes="*4026*201707211*"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4026</v>
      </c>
      <c r="V36" s="31">
        <f t="shared" si="3"/>
        <v>42937.785196759258</v>
      </c>
      <c r="W36" s="45" t="str">
        <f t="shared" si="4"/>
        <v>EC</v>
      </c>
      <c r="X36" s="22">
        <f t="shared" si="5"/>
        <v>169</v>
      </c>
      <c r="Y36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{"issue":{"subject":"","project_id":79,"tracker_id":40,"status_id":1,"priority_id":2,"assigned_to_id":23,"start_date":"2017-07-21","description":"","custom_fields":[{"id":1,"name":"Subdivision","value":"EC"},{"id":4,"name":"Milepost","value":"23.3491"},{"id":17,"name":"Train ID","value":"169-21"},{"id":16,"name":"Locomotive ID","value":"4026"},{"id":130,"name":"Impact","value":""},{"id":150,"name":"Time of Event (Mountain Time)","value":"12:50:41"},{"id":151,"name":"Denver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/c/Users/stu/AppData/Local/Temp/OnboardLogs/RTDC4026 --include="*4026*201707211*"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"%USERPROFILE%\AppData\Local\Temp\OnboardLogs"\RTDC4026\*4026*201707211* &gt;&gt; 2017-07-21-SliceDisagreementCheck.txt</v>
      </c>
      <c r="AE36" s="145" t="str">
        <f t="shared" si="9"/>
        <v>start /low /b %USERPROFILE%\Documents\GitHub\eaglep3\Utilities\DownloadLogsFromS3.py --loco 4026 --day 2017-07-21</v>
      </c>
      <c r="AF36" s="1"/>
    </row>
    <row r="37" spans="1:32" x14ac:dyDescent="0.25">
      <c r="A37" s="31">
        <v>42937.68378472222</v>
      </c>
      <c r="B37" s="30" t="s">
        <v>633</v>
      </c>
      <c r="C37" s="30" t="s">
        <v>642</v>
      </c>
      <c r="D37" s="30" t="s">
        <v>49</v>
      </c>
      <c r="E37" s="30" t="s">
        <v>181</v>
      </c>
      <c r="F37" s="42">
        <v>0</v>
      </c>
      <c r="G37" s="42">
        <v>50</v>
      </c>
      <c r="H37" s="42">
        <v>233318</v>
      </c>
      <c r="I37" s="42">
        <v>233366</v>
      </c>
      <c r="J37" s="30" t="s">
        <v>182</v>
      </c>
      <c r="K37" s="42">
        <v>233491</v>
      </c>
      <c r="L37" s="131" t="s">
        <v>50</v>
      </c>
      <c r="M37" s="132">
        <f t="shared" si="0"/>
        <v>66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Runs'!$A$13:$AE$9927,31,0)</f>
        <v>aws s3 cp s3://rtdc.mdm.uploadarchive.raw/RTDC4026/ "%USERPROFILE%\AppData\Local\Temp\OnboardLogs"\RTDC4026\2017-07-21 --exclude "*" --recursive --include "*20170721*" &amp; "%USERPROFILE%\Documents\GitHub\mrs-test-scripts\Headless Mode &amp; Sideloading\WalkAndUnGZ.bat" "%USERPROFILE%\AppData\Local\Temp\OnboardLogs"\RTDC4026\2017-07-21 &amp; aws s3 cp s3://rtdc.mdm.uploadarchive.raw/RTDC4026/ "%USERPROFILE%\AppData\Local\Temp\OnboardLogs"\RTDC4026\2017-07-22 --exclude "*" --recursive --include "*20170722*" &amp; "%USERPROFILE%\Documents\GitHub\mrs-test-scripts\Headless Mode &amp; Sideloading\WalkAndUnGZ.bat" "%USERPROFILE%\AppData\Local\Temp\OnboardLogs"\RTDC4026\2017-07-22</v>
      </c>
      <c r="S37" s="84" t="str">
        <f>VLOOKUP(C37,'Train Runs'!$A$13:$AE$9927,22,0)</f>
        <v>https://d0f6bd738d7f1b3e5a7ca70fe4ff75f0.us-east-1.aws.found.io/app/kibana#/discover/Steve-Slow-Train-Analysis-(2080s-and-2083s)?_g=(refreshInterval:(display:Off,pause:!f,section:0,value:0),time:(from:'2017-07-21T14:54:53-0600',mode:absolute,to:'2017-07-21T17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7" s="86" t="str">
        <f t="shared" si="1"/>
        <v>"C:\Program Files (x86)\AstroGrep\AstroGrep.exe" /e /r /s /spath="%USERPROFILE%\AppData\Local\Temp\OnboardLogs" /stypes="*4026*201707212*"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4026</v>
      </c>
      <c r="V37" s="31">
        <f t="shared" si="3"/>
        <v>42937.93378472222</v>
      </c>
      <c r="W37" s="45" t="str">
        <f t="shared" si="4"/>
        <v>EC</v>
      </c>
      <c r="X37" s="22">
        <f t="shared" si="5"/>
        <v>197</v>
      </c>
      <c r="Y37" s="96" t="str">
        <f t="shared" si="6"/>
        <v>echo {"issue":{"subject":"","project_id":79,"tracker_id":40,"status_id":1,"priority_id":2,"assigned_to_id":23,"start_date":"2017-07-21","description":"","custom_fields":[{"id":1,"name":"Subdivision","value":"EC"},{"id":4,"name":"Milepost","value":"23.3491"},{"id":17,"name":"Train ID","value":"197-21"},{"id":16,"name":"Locomotive ID","value":"4026"},{"id":130,"name":"Impact","value":""},{"id":150,"name":"Time of Event (Mountain Time)","value":"16:24:39"},{"id":151,"name":"Denver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/c/Users/stu/AppData/Local/Temp/OnboardLogs/RTDC4026 --include="*4026*201707212*"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"%USERPROFILE%\AppData\Local\Temp\OnboardLogs"\RTDC4026\*4026*201707212* &gt;&gt; 2017-07-21-SliceDisagreementCheck.txt</v>
      </c>
      <c r="AE37" s="145" t="str">
        <f t="shared" si="9"/>
        <v>start /low /b %USERPROFILE%\Documents\GitHub\eaglep3\Utilities\DownloadLogsFromS3.py --loco 4026 --day 2017-07-21</v>
      </c>
      <c r="AF37" s="1"/>
    </row>
    <row r="38" spans="1:32" x14ac:dyDescent="0.25">
      <c r="A38" s="31">
        <v>42937.66065972222</v>
      </c>
      <c r="B38" s="30" t="s">
        <v>626</v>
      </c>
      <c r="C38" s="30" t="s">
        <v>641</v>
      </c>
      <c r="D38" s="30" t="s">
        <v>49</v>
      </c>
      <c r="E38" s="30" t="s">
        <v>353</v>
      </c>
      <c r="F38" s="42">
        <v>0</v>
      </c>
      <c r="G38" s="42">
        <v>338</v>
      </c>
      <c r="H38" s="42">
        <v>8793</v>
      </c>
      <c r="I38" s="42">
        <v>8239</v>
      </c>
      <c r="J38" s="30" t="s">
        <v>354</v>
      </c>
      <c r="K38" s="42">
        <v>6799</v>
      </c>
      <c r="L38" s="131" t="s">
        <v>51</v>
      </c>
      <c r="M38" s="132">
        <f t="shared" si="0"/>
        <v>760.32</v>
      </c>
      <c r="N38" s="133" t="str">
        <f>VLOOKUP(C38,'Trips&amp;Operators'!$C$1:$G$99999,5,FALSE)</f>
        <v>BIRKHOLZ NADINE</v>
      </c>
      <c r="O38" s="203" t="s">
        <v>180</v>
      </c>
      <c r="P38" s="134" t="s">
        <v>1050</v>
      </c>
      <c r="Q38" s="30"/>
      <c r="R38" s="81" t="str">
        <f>VLOOKUP(C38,'Train Runs'!$A$13:$AE$9927,31,0)</f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S38" s="84" t="str">
        <f>VLOOKUP(C38,'Train Runs'!$A$13:$AE$9927,22,0)</f>
        <v>https://d0f6bd738d7f1b3e5a7ca70fe4ff75f0.us-east-1.aws.found.io/app/kibana#/discover/Steve-Slow-Train-Analysis-(2080s-and-2083s)?_g=(refreshInterval:(display:Off,pause:!f,section:0,value:0),time:(from:'2017-07-21T14:37:58-0600',mode:absolute,to:'2017-07-21T16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8" s="86" t="str">
        <f t="shared" si="1"/>
        <v>"C:\Program Files (x86)\AstroGrep\AstroGrep.exe" /e /r /s /spath="%USERPROFILE%\AppData\Local\Temp\OnboardLogs" /stypes="*4005*201707212*"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4005</v>
      </c>
      <c r="V38" s="31">
        <f t="shared" si="3"/>
        <v>42937.91065972222</v>
      </c>
      <c r="W38" s="45" t="str">
        <f t="shared" si="4"/>
        <v>NW</v>
      </c>
      <c r="X38" s="22">
        <f t="shared" si="5"/>
        <v>826</v>
      </c>
      <c r="Y38" s="96" t="str">
        <f t="shared" si="6"/>
        <v>echo {"issue":{"subject":"RESTRICTING aspect","project_id":79,"tracker_id":40,"status_id":1,"priority_id":2,"assigned_to_id":23,"start_date":"2017-07-21","description":"","custom_fields":[{"id":1,"name":"Subdivision","value":"NW"},{"id":4,"name":"Milepost","value":"0.6799"},{"id":17,"name":"Train ID","value":"826-21"},{"id":16,"name":"Locomotive ID","value":"4005"},{"id":130,"name":"Impact","value":""},{"id":150,"name":"Time of Event (Mountain Time)","value":"15:51:21"},{"id":151,"name":"Denver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/c/Users/stu/AppData/Local/Temp/OnboardLogs/RTDC4005 --include="*4005*201707212*"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"%USERPROFILE%\AppData\Local\Temp\OnboardLogs"\RTDC4005\*4005*201707212* &gt;&gt; 2017-07-21-SliceDisagreementCheck.txt</v>
      </c>
      <c r="AE38" s="145" t="str">
        <f t="shared" si="9"/>
        <v>start /low /b %USERPROFILE%\Documents\GitHub\eaglep3\Utilities\DownloadLogsFromS3.py --loco 4005 --day 2017-07-21</v>
      </c>
      <c r="AF38" s="1"/>
    </row>
    <row r="39" spans="1:32" x14ac:dyDescent="0.25">
      <c r="A39" s="31">
        <v>42937.454594907409</v>
      </c>
      <c r="B39" s="30" t="s">
        <v>626</v>
      </c>
      <c r="C39" s="30" t="s">
        <v>627</v>
      </c>
      <c r="D39" s="30" t="s">
        <v>49</v>
      </c>
      <c r="E39" s="30" t="s">
        <v>181</v>
      </c>
      <c r="F39" s="42">
        <v>0</v>
      </c>
      <c r="G39" s="42">
        <v>90</v>
      </c>
      <c r="H39" s="42">
        <v>936</v>
      </c>
      <c r="I39" s="42">
        <v>825</v>
      </c>
      <c r="J39" s="30" t="s">
        <v>182</v>
      </c>
      <c r="K39" s="42">
        <v>575</v>
      </c>
      <c r="L39" s="131" t="s">
        <v>51</v>
      </c>
      <c r="M39" s="132">
        <f t="shared" si="0"/>
        <v>132</v>
      </c>
      <c r="N39" s="133" t="str">
        <f>VLOOKUP(C39,'Trips&amp;Operators'!$C$1:$G$99999,5,FALSE)</f>
        <v>NICHOLSON WESLEY</v>
      </c>
      <c r="O39" s="203" t="s">
        <v>180</v>
      </c>
      <c r="P39" s="134"/>
      <c r="Q39" s="30"/>
      <c r="R39" s="81" t="str">
        <f>VLOOKUP(C39,'Train Runs'!$A$13:$AE$9927,31,0)</f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S39" s="84" t="str">
        <f>VLOOKUP(C39,'Train Runs'!$A$13:$AE$9927,22,0)</f>
        <v>https://d0f6bd738d7f1b3e5a7ca70fe4ff75f0.us-east-1.aws.found.io/app/kibana#/discover/Steve-Slow-Train-Analysis-(2080s-and-2083s)?_g=(refreshInterval:(display:Off,pause:!f,section:0,value:0),time:(from:'2017-07-21T09:37:25-0600',mode:absolute,to:'2017-07-21T11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9" s="86" t="str">
        <f t="shared" si="1"/>
        <v>"C:\Program Files (x86)\AstroGrep\AstroGrep.exe" /e /r /s /spath="%USERPROFILE%\AppData\Local\Temp\OnboardLogs" /stypes="*4005*201707211*" /stext=" 16:.+((SYSTEM_STATE.+slice.+state.+changed )|(ment ac)|(multiple cpu faults)|(system.+state.+changed )|(\[timeout)|(PRM\|1\|D)|(kpr)|(kdp)|(train st.+moving)|(\|lc)|(penalty))"</v>
      </c>
      <c r="U39" s="9" t="str">
        <f t="shared" si="2"/>
        <v>4005</v>
      </c>
      <c r="V39" s="31">
        <f t="shared" si="3"/>
        <v>42937.704594907409</v>
      </c>
      <c r="W39" s="45" t="str">
        <f t="shared" si="4"/>
        <v>NW</v>
      </c>
      <c r="X39" s="22">
        <f t="shared" si="5"/>
        <v>816</v>
      </c>
      <c r="Y39" s="96" t="str">
        <f t="shared" si="6"/>
        <v>echo {"issue":{"subject":"","project_id":79,"tracker_id":40,"status_id":1,"priority_id":2,"assigned_to_id":23,"start_date":"2017-07-21","description":"","custom_fields":[{"id":1,"name":"Subdivision","value":"NW"},{"id":4,"name":"Milepost","value":"0.0575"},{"id":17,"name":"Train ID","value":"816-21"},{"id":16,"name":"Locomotive ID","value":"4005"},{"id":130,"name":"Impact","value":""},{"id":150,"name":"Time of Event (Mountain Time)","value":"10:54:37"},{"id":151,"name":"Denver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/c/Users/stu/AppData/Local/Temp/OnboardLogs/RTDC4005 --include="*4005*201707211*"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"%USERPROFILE%\AppData\Local\Temp\OnboardLogs"\RTDC4005\*4005*201707211* &gt;&gt; 2017-07-21-SliceDisagreementCheck.txt</v>
      </c>
      <c r="AE39" s="145" t="str">
        <f t="shared" si="9"/>
        <v>start /low /b %USERPROFILE%\Documents\GitHub\eaglep3\Utilities\DownloadLogsFromS3.py --loco 4005 --day 2017-07-21</v>
      </c>
      <c r="AF39" s="1"/>
    </row>
    <row r="40" spans="1:32" x14ac:dyDescent="0.25">
      <c r="A40" s="31">
        <v>42937.455138888887</v>
      </c>
      <c r="B40" s="30" t="s">
        <v>626</v>
      </c>
      <c r="C40" s="30" t="s">
        <v>627</v>
      </c>
      <c r="D40" s="30" t="s">
        <v>49</v>
      </c>
      <c r="E40" s="30" t="s">
        <v>181</v>
      </c>
      <c r="F40" s="42">
        <v>0</v>
      </c>
      <c r="G40" s="42">
        <v>36</v>
      </c>
      <c r="H40" s="42">
        <v>780</v>
      </c>
      <c r="I40" s="42">
        <v>743</v>
      </c>
      <c r="J40" s="30" t="s">
        <v>182</v>
      </c>
      <c r="K40" s="42">
        <v>575</v>
      </c>
      <c r="L40" s="131" t="s">
        <v>51</v>
      </c>
      <c r="M40" s="132">
        <f t="shared" si="0"/>
        <v>88.703999999999994</v>
      </c>
      <c r="N40" s="133" t="str">
        <f>VLOOKUP(C40,'Trips&amp;Operators'!$C$1:$G$99999,5,FALSE)</f>
        <v>NICHOLSON WESLEY</v>
      </c>
      <c r="O40" s="203" t="s">
        <v>180</v>
      </c>
      <c r="P40" s="134"/>
      <c r="Q40" s="30"/>
      <c r="R40" s="81" t="str">
        <f>VLOOKUP(C40,'Train Runs'!$A$13:$AE$9927,31,0)</f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S40" s="84" t="str">
        <f>VLOOKUP(C40,'Train Runs'!$A$13:$AE$9927,22,0)</f>
        <v>https://d0f6bd738d7f1b3e5a7ca70fe4ff75f0.us-east-1.aws.found.io/app/kibana#/discover/Steve-Slow-Train-Analysis-(2080s-and-2083s)?_g=(refreshInterval:(display:Off,pause:!f,section:0,value:0),time:(from:'2017-07-21T09:37:25-0600',mode:absolute,to:'2017-07-21T11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0" s="86" t="str">
        <f t="shared" si="1"/>
        <v>"C:\Program Files (x86)\AstroGrep\AstroGrep.exe" /e /r /s /spath="%USERPROFILE%\AppData\Local\Temp\OnboardLogs" /stypes="*4005*201707211*" /stext=" 16:.+((SYSTEM_STATE.+slice.+state.+changed )|(ment ac)|(multiple cpu faults)|(system.+state.+changed )|(\[timeout)|(PRM\|1\|D)|(kpr)|(kdp)|(train st.+moving)|(\|lc)|(penalty))"</v>
      </c>
      <c r="U40" s="9" t="str">
        <f t="shared" si="2"/>
        <v>4005</v>
      </c>
      <c r="V40" s="31">
        <f t="shared" si="3"/>
        <v>42937.705138888887</v>
      </c>
      <c r="W40" s="45" t="str">
        <f t="shared" si="4"/>
        <v>NW</v>
      </c>
      <c r="X40" s="22">
        <f t="shared" si="5"/>
        <v>816</v>
      </c>
      <c r="Y40" s="96" t="str">
        <f t="shared" si="6"/>
        <v>echo {"issue":{"subject":"","project_id":79,"tracker_id":40,"status_id":1,"priority_id":2,"assigned_to_id":23,"start_date":"2017-07-21","description":"","custom_fields":[{"id":1,"name":"Subdivision","value":"NW"},{"id":4,"name":"Milepost","value":"0.0575"},{"id":17,"name":"Train ID","value":"816-21"},{"id":16,"name":"Locomotive ID","value":"4005"},{"id":130,"name":"Impact","value":""},{"id":150,"name":"Time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/c/Users/stu/AppData/Local/Temp/OnboardLogs/RTDC4005 --include="*4005*201707211*"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"%USERPROFILE%\AppData\Local\Temp\OnboardLogs"\RTDC4005\*4005*201707211* &gt;&gt; 2017-07-21-SliceDisagreementCheck.txt</v>
      </c>
      <c r="AE40" s="145" t="str">
        <f t="shared" si="9"/>
        <v>start /low /b %USERPROFILE%\Documents\GitHub\eaglep3\Utilities\DownloadLogsFromS3.py --loco 4005 --day 2017-07-21</v>
      </c>
      <c r="AF40" s="1"/>
    </row>
    <row r="41" spans="1:32" x14ac:dyDescent="0.25">
      <c r="A41" s="31">
        <v>42937.830648148149</v>
      </c>
      <c r="B41" s="30" t="s">
        <v>626</v>
      </c>
      <c r="C41" s="30" t="s">
        <v>652</v>
      </c>
      <c r="D41" s="30" t="s">
        <v>49</v>
      </c>
      <c r="E41" s="30" t="s">
        <v>181</v>
      </c>
      <c r="F41" s="42">
        <v>0</v>
      </c>
      <c r="G41" s="42">
        <v>36</v>
      </c>
      <c r="H41" s="42">
        <v>705</v>
      </c>
      <c r="I41" s="42">
        <v>677</v>
      </c>
      <c r="J41" s="30" t="s">
        <v>182</v>
      </c>
      <c r="K41" s="42">
        <v>575</v>
      </c>
      <c r="L41" s="131" t="s">
        <v>51</v>
      </c>
      <c r="M41" s="132">
        <f t="shared" si="0"/>
        <v>53.856000000000002</v>
      </c>
      <c r="N41" s="133" t="str">
        <f>VLOOKUP(C41,'Trips&amp;Operators'!$C$1:$G$99999,5,FALSE)</f>
        <v>BIRKHOLZ NADINE</v>
      </c>
      <c r="O41" s="203" t="s">
        <v>180</v>
      </c>
      <c r="P41" s="134"/>
      <c r="Q41" s="30"/>
      <c r="R41" s="81" t="str">
        <f>VLOOKUP(C41,'Train Runs'!$A$13:$AE$9927,31,0)</f>
        <v>aws s3 cp s3://rtdc.mdm.uploadarchive.raw/RTDC4005/ "%USERPROFILE%\AppData\Local\Temp\OnboardLogs"\RTDC4005\2017-07-21 --exclude "*" --recursive --include "*20170721*" &amp; "%USERPROFILE%\Documents\GitHub\mrs-test-scripts\Headless Mode &amp; Sideloading\WalkAndUnGZ.bat" "%USERPROFILE%\AppData\Local\Temp\OnboardLogs"\RTDC4005\2017-07-21 &amp; 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</v>
      </c>
      <c r="S41" s="84" t="str">
        <f>VLOOKUP(C41,'Train Runs'!$A$13:$AE$9927,22,0)</f>
        <v>https://d0f6bd738d7f1b3e5a7ca70fe4ff75f0.us-east-1.aws.found.io/app/kibana#/discover/Steve-Slow-Train-Analysis-(2080s-and-2083s)?_g=(refreshInterval:(display:Off,pause:!f,section:0,value:0),time:(from:'2017-07-21T18:37:20-0600',mode:absolute,to:'2017-07-21T20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86" t="str">
        <f t="shared" si="1"/>
        <v>"C:\Program Files (x86)\AstroGrep\AstroGrep.exe" /e /r /s /spath="%USERPROFILE%\AppData\Local\Temp\OnboardLogs" /stypes="*4005*201707220*" /stext=" 01:.+((SYSTEM_STATE.+slice.+state.+changed )|(ment ac)|(multiple cpu faults)|(system.+state.+changed )|(\[timeout)|(PRM\|1\|D)|(kpr)|(kdp)|(train st.+moving)|(\|lc)|(penalty))"</v>
      </c>
      <c r="U41" s="9" t="str">
        <f t="shared" si="2"/>
        <v>4005</v>
      </c>
      <c r="V41" s="31">
        <f t="shared" si="3"/>
        <v>42938.080648148149</v>
      </c>
      <c r="W41" s="45" t="str">
        <f t="shared" si="4"/>
        <v>NW</v>
      </c>
      <c r="X41" s="22">
        <f t="shared" si="5"/>
        <v>840</v>
      </c>
      <c r="Y41" s="96" t="str">
        <f t="shared" si="6"/>
        <v>echo {"issue":{"subject":"","project_id":79,"tracker_id":40,"status_id":1,"priority_id":2,"assigned_to_id":23,"start_date":"2017-07-21","description":"","custom_fields":[{"id":1,"name":"Subdivision","value":"NW"},{"id":4,"name":"Milepost","value":"0.0575"},{"id":17,"name":"Train ID","value":"840-21"},{"id":16,"name":"Locomotive ID","value":"4005"},{"id":130,"name":"Impact","value":""},{"id":150,"name":"Time of Event (Mountain Time)","value":"19:56:08"},{"id":151,"name":"Denver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/c/Users/stu/AppData/Local/Temp/OnboardLogs/RTDC4005 --include="*4005*201707220*"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"%USERPROFILE%\AppData\Local\Temp\OnboardLogs"\RTDC4005\*4005*201707220* &gt;&gt; 2017-07-21-SliceDisagreementCheck.txt</v>
      </c>
      <c r="AE41" s="145" t="str">
        <f t="shared" si="9"/>
        <v>start /low /b %USERPROFILE%\Documents\GitHub\eaglep3\Utilities\DownloadLogsFromS3.py --loco 4005 --day 2017-07-22</v>
      </c>
      <c r="AF41" s="1"/>
    </row>
    <row r="42" spans="1:32" x14ac:dyDescent="0.25">
      <c r="A42" s="31">
        <v>42937.900243055556</v>
      </c>
      <c r="B42" s="30" t="s">
        <v>654</v>
      </c>
      <c r="C42" s="30" t="s">
        <v>655</v>
      </c>
      <c r="D42" s="30" t="s">
        <v>49</v>
      </c>
      <c r="E42" s="30" t="s">
        <v>181</v>
      </c>
      <c r="F42" s="42">
        <v>0</v>
      </c>
      <c r="G42" s="42">
        <v>3</v>
      </c>
      <c r="H42" s="42">
        <v>59046</v>
      </c>
      <c r="I42" s="42">
        <v>59046</v>
      </c>
      <c r="J42" s="30" t="s">
        <v>182</v>
      </c>
      <c r="K42" s="42">
        <v>59048</v>
      </c>
      <c r="L42" s="131" t="s">
        <v>50</v>
      </c>
      <c r="M42" s="132">
        <f t="shared" si="0"/>
        <v>1.056</v>
      </c>
      <c r="N42" s="133" t="str">
        <f>VLOOKUP(C42,'Trips&amp;Operators'!$C$1:$G$99999,5,FALSE)</f>
        <v>MCREYNOLDS KYLE</v>
      </c>
      <c r="O42" s="203" t="s">
        <v>180</v>
      </c>
      <c r="P42" s="134"/>
      <c r="Q42" s="30"/>
      <c r="R42" s="81" t="str">
        <f>VLOOKUP(C42,'Train Runs'!$A$13:$AE$9927,31,0)</f>
        <v>aws s3 cp s3://rtdc.mdm.uploadarchive.raw/RTDC4006/ "%USERPROFILE%\AppData\Local\Temp\OnboardLogs"\RTDC4006\2017-07-21 --exclude "*" --recursive --include "*20170721*" &amp; "%USERPROFILE%\Documents\GitHub\mrs-test-scripts\Headless Mode &amp; Sideloading\WalkAndUnGZ.bat" "%USERPROFILE%\AppData\Local\Temp\OnboardLogs"\RTDC4006\2017-07-21 &amp; 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</v>
      </c>
      <c r="S42" s="84" t="str">
        <f>VLOOKUP(C42,'Train Runs'!$A$13:$AE$9927,22,0)</f>
        <v>https://d0f6bd738d7f1b3e5a7ca70fe4ff75f0.us-east-1.aws.found.io/app/kibana#/discover/Steve-Slow-Train-Analysis-(2080s-and-2083s)?_g=(refreshInterval:(display:Off,pause:!f,section:0,value:0),time:(from:'2017-07-21T20:06:19-0600',mode:absolute,to:'2017-07-21T22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2" s="86" t="str">
        <f t="shared" si="1"/>
        <v>"C:\Program Files (x86)\AstroGrep\AstroGrep.exe" /e /r /s /spath="%USERPROFILE%\AppData\Local\Temp\OnboardLogs" /stypes="*4006*201707220*" /stext=" 03:.+((SYSTEM_STATE.+slice.+state.+changed )|(ment ac)|(multiple cpu faults)|(system.+state.+changed )|(\[timeout)|(PRM\|1\|D)|(kpr)|(kdp)|(train st.+moving)|(\|lc)|(penalty))"</v>
      </c>
      <c r="U42" s="9" t="str">
        <f t="shared" si="2"/>
        <v>4006</v>
      </c>
      <c r="V42" s="31">
        <f t="shared" si="3"/>
        <v>42938.150243055556</v>
      </c>
      <c r="W42" s="45" t="str">
        <f t="shared" si="4"/>
        <v>NW</v>
      </c>
      <c r="X42" s="22">
        <f t="shared" si="5"/>
        <v>845</v>
      </c>
      <c r="Y42" s="96" t="str">
        <f t="shared" si="6"/>
        <v>echo {"issue":{"subject":"","project_id":79,"tracker_id":40,"status_id":1,"priority_id":2,"assigned_to_id":23,"start_date":"2017-07-21","description":"","custom_fields":[{"id":1,"name":"Subdivision","value":"NW"},{"id":4,"name":"Milepost","value":"5.9048"},{"id":17,"name":"Train ID","value":"845-21"},{"id":16,"name":"Locomotive ID","value":"4006"},{"id":130,"name":"Impact","value":""},{"id":150,"name":"Time of Event (Mountain Time)","value":"21:36:21"},{"id":151,"name":"Denver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/c/Users/stu/AppData/Local/Temp/OnboardLogs/RTDC4006 --include="*4006*201707220*"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"%USERPROFILE%\AppData\Local\Temp\OnboardLogs"\RTDC4006\*4006*201707220* &gt;&gt; 2017-07-21-SliceDisagreementCheck.txt</v>
      </c>
      <c r="AE42" s="145" t="str">
        <f t="shared" si="9"/>
        <v>start /low /b %USERPROFILE%\Documents\GitHub\eaglep3\Utilities\DownloadLogsFromS3.py --loco 4006 --day 2017-07-22</v>
      </c>
      <c r="AF42" s="1"/>
    </row>
    <row r="43" spans="1:32" x14ac:dyDescent="0.25">
      <c r="A43" s="31">
        <v>42937.781689814816</v>
      </c>
      <c r="B43" s="30" t="s">
        <v>630</v>
      </c>
      <c r="C43" s="30" t="s">
        <v>647</v>
      </c>
      <c r="D43" s="30" t="s">
        <v>49</v>
      </c>
      <c r="E43" s="30" t="s">
        <v>353</v>
      </c>
      <c r="F43" s="42">
        <v>0</v>
      </c>
      <c r="G43" s="42">
        <v>303</v>
      </c>
      <c r="H43" s="42">
        <v>10229</v>
      </c>
      <c r="I43" s="42">
        <v>11044</v>
      </c>
      <c r="J43" s="30" t="s">
        <v>354</v>
      </c>
      <c r="K43" s="42">
        <v>10988</v>
      </c>
      <c r="L43" s="131" t="s">
        <v>50</v>
      </c>
      <c r="M43" s="132">
        <f t="shared" si="0"/>
        <v>-29.568000000000001</v>
      </c>
      <c r="N43" s="133" t="str">
        <f>VLOOKUP(C43,'Trips&amp;Operators'!$C$1:$G$99999,5,FALSE)</f>
        <v>GONZALEZ ARMANDO</v>
      </c>
      <c r="O43" s="203" t="s">
        <v>660</v>
      </c>
      <c r="P43" s="134" t="s">
        <v>1047</v>
      </c>
      <c r="Q43" s="30"/>
      <c r="R43" s="81" t="str">
        <f>VLOOKUP(C43,'Train Runs'!$A$13:$AE$9927,31,0)</f>
        <v>aws s3 cp s3://rtdc.mdm.uploadarchive.raw/RTDC4050/ "%USERPROFILE%\AppData\Local\Temp\OnboardLogs"\RTDC4050\2017-07-21 --exclude "*" --recursive --include "*20170721*" &amp; "%USERPROFILE%\Documents\GitHub\mrs-test-scripts\Headless Mode &amp; Sideloading\WalkAndUnGZ.bat" "%USERPROFILE%\AppData\Local\Temp\OnboardLogs"\RTDC4050\2017-07-21 &amp; 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</v>
      </c>
      <c r="S43" s="84" t="str">
        <f>VLOOKUP(C43,'Train Runs'!$A$13:$AE$9927,22,0)</f>
        <v>https://d0f6bd738d7f1b3e5a7ca70fe4ff75f0.us-east-1.aws.found.io/app/kibana#/discover/Steve-Slow-Train-Analysis-(2080s-and-2083s)?_g=(refreshInterval:(display:Off,pause:!f,section:0,value:0),time:(from:'2017-07-21T17:38:47-0600',mode:absolute,to:'2017-07-21T19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3" s="86" t="str">
        <f t="shared" si="1"/>
        <v>"C:\Program Files (x86)\AstroGrep\AstroGrep.exe" /e /r /s /spath="%USERPROFILE%\AppData\Local\Temp\OnboardLogs" /stypes="*4050*201707220*" /stext=" 00:.+((SYSTEM_STATE.+slice.+state.+changed )|(ment ac)|(multiple cpu faults)|(system.+state.+changed )|(\[timeout)|(PRM\|1\|D)|(kpr)|(kdp)|(train st.+moving)|(\|lc)|(penalty))"</v>
      </c>
      <c r="U43" s="9" t="str">
        <f t="shared" si="2"/>
        <v>4050</v>
      </c>
      <c r="V43" s="31">
        <f t="shared" si="3"/>
        <v>42938.031689814816</v>
      </c>
      <c r="W43" s="45" t="str">
        <f t="shared" si="4"/>
        <v>Other</v>
      </c>
      <c r="X43" s="22">
        <f t="shared" si="5"/>
        <v>301</v>
      </c>
      <c r="Y43" s="96" t="str">
        <f t="shared" si="6"/>
        <v>echo {"issue":{"subject":"Wi-MAX data drop","project_id":79,"tracker_id":40,"status_id":1,"priority_id":2,"assigned_to_id":23,"start_date":"2017-07-21","description":"","custom_fields":[{"id":1,"name":"Subdivision","value":"Other"},{"id":4,"name":"Milepost","value":"1.0988"},{"id":17,"name":"Train ID","value":"301-21"},{"id":16,"name":"Locomotive ID","value":"4050"},{"id":130,"name":"Impact","value":""},{"id":150,"name":"Time of Event (Mountain Time)","value":"18:45:38"},{"id":151,"name":"Denver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/c/Users/stu/AppData/Local/Temp/OnboardLogs/RTDC4050 --include="*4050*201707220*"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"%USERPROFILE%\AppData\Local\Temp\OnboardLogs"\RTDC4050\*4050*201707220* &gt;&gt; 2017-07-21-SliceDisagreementCheck.txt</v>
      </c>
      <c r="AE43" s="145" t="str">
        <f t="shared" si="9"/>
        <v>start /low /b %USERPROFILE%\Documents\GitHub\eaglep3\Utilities\DownloadLogsFromS3.py --loco 4050 --day 2017-07-22</v>
      </c>
      <c r="AF43" s="1"/>
    </row>
    <row r="44" spans="1:32" x14ac:dyDescent="0.25">
      <c r="A44" s="31">
        <v>42937.807986111111</v>
      </c>
      <c r="B44" s="30" t="s">
        <v>545</v>
      </c>
      <c r="C44" s="30" t="s">
        <v>648</v>
      </c>
      <c r="D44" s="30" t="s">
        <v>96</v>
      </c>
      <c r="E44" s="30" t="s">
        <v>353</v>
      </c>
      <c r="F44" s="42">
        <v>0</v>
      </c>
      <c r="G44" s="42">
        <v>79</v>
      </c>
      <c r="H44" s="42">
        <v>23002</v>
      </c>
      <c r="I44" s="42">
        <v>0</v>
      </c>
      <c r="J44" s="30" t="s">
        <v>354</v>
      </c>
      <c r="K44" s="42">
        <v>0</v>
      </c>
      <c r="L44" s="131" t="s">
        <v>51</v>
      </c>
      <c r="M44" s="132">
        <f t="shared" si="0"/>
        <v>0</v>
      </c>
      <c r="N44" s="133" t="str">
        <f>VLOOKUP(C44,'Trips&amp;Operators'!$C$1:$G$99999,5,FALSE)</f>
        <v>RESPASS AARON</v>
      </c>
      <c r="O44" s="203" t="s">
        <v>180</v>
      </c>
      <c r="P44" s="134"/>
      <c r="Q44" s="30"/>
      <c r="R44" s="81" t="str">
        <f>VLOOKUP(C44,'Train Runs'!$A$13:$AE$9927,31,0)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S44" s="84" t="str">
        <f>VLOOKUP(C44,'Train Runs'!$A$13:$AE$9927,22,0)</f>
        <v>https://d0f6bd738d7f1b3e5a7ca70fe4ff75f0.us-east-1.aws.found.io/app/kibana#/discover/Steve-Slow-Train-Analysis-(2080s-and-2083s)?_g=(refreshInterval:(display:Off,pause:!f,section:0,value:0),time:(from:'2017-07-21T20:03:03-0600',mode:absolute,to:'2017-07-21T23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44" s="86" t="str">
        <f t="shared" si="1"/>
        <v>"C:\Program Files (x86)\AstroGrep\AstroGrep.exe" /e /r /s /spath="%USERPROFILE%\AppData\Local\Temp\OnboardLogs" /stypes="*4035*201707220*" /stext=" 01:.+((SYSTEM_STATE.+slice.+state.+changed )|(ment ac)|(multiple cpu faults)|(system.+state.+changed )|(\[timeout)|(PRM\|1\|D)|(kpr)|(kdp)|(train st.+moving)|(\|lc)|(penalty))"</v>
      </c>
      <c r="U44" s="9" t="str">
        <f t="shared" si="2"/>
        <v>4035</v>
      </c>
      <c r="V44" s="31">
        <f t="shared" si="3"/>
        <v>42938.057986111111</v>
      </c>
      <c r="W44" s="45" t="str">
        <f t="shared" si="4"/>
        <v>Shuttle/Test</v>
      </c>
      <c r="X44" s="22">
        <f t="shared" si="5"/>
        <v>52</v>
      </c>
      <c r="Y44" s="96" t="str">
        <f t="shared" si="6"/>
        <v>echo {"issue":{"subject":"","project_id":79,"tracker_id":40,"status_id":1,"priority_id":2,"assigned_to_id":23,"start_date":"2017-07-21","description":"","custom_fields":[{"id":1,"name":"Subdivision","value":"Shuttle/Test"},{"id":4,"name":"Milepost","value":"0"},{"id":17,"name":"Train ID","value":"52-21"},{"id":16,"name":"Locomotive ID","value":"4035"},{"id":130,"name":"Impact","value":""},{"id":150,"name":"Time of Event (Mountain Time)","value":"19:23:30"},{"id":151,"name":"Denver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/c/Users/stu/AppData/Local/Temp/OnboardLogs/RTDC4035 --include="*4035*201707220*"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"%USERPROFILE%\AppData\Local\Temp\OnboardLogs"\RTDC4035\*4035*201707220* &gt;&gt; 2017-07-21-SliceDisagreementCheck.txt</v>
      </c>
      <c r="AE44" s="145" t="str">
        <f t="shared" si="9"/>
        <v>start /low /b %USERPROFILE%\Documents\GitHub\eaglep3\Utilities\DownloadLogsFromS3.py --loco 4035 --day 2017-07-22</v>
      </c>
      <c r="AF44" s="1"/>
    </row>
    <row r="45" spans="1:32" x14ac:dyDescent="0.25">
      <c r="A45" s="31">
        <v>42937.80878472222</v>
      </c>
      <c r="B45" s="30" t="s">
        <v>545</v>
      </c>
      <c r="C45" s="30" t="s">
        <v>648</v>
      </c>
      <c r="D45" s="30" t="s">
        <v>96</v>
      </c>
      <c r="E45" s="30" t="s">
        <v>649</v>
      </c>
      <c r="F45" s="42">
        <v>0</v>
      </c>
      <c r="G45" s="42">
        <v>85</v>
      </c>
      <c r="H45" s="42">
        <v>22508</v>
      </c>
      <c r="I45" s="42">
        <v>22417</v>
      </c>
      <c r="J45" s="30" t="s">
        <v>650</v>
      </c>
      <c r="K45" s="42">
        <v>24235</v>
      </c>
      <c r="L45" s="131" t="s">
        <v>51</v>
      </c>
      <c r="M45" s="132">
        <f t="shared" si="0"/>
        <v>-959.904</v>
      </c>
      <c r="N45" s="133" t="str">
        <f>VLOOKUP(C45,'Trips&amp;Operators'!$C$1:$G$99999,5,FALSE)</f>
        <v>RESPASS AARON</v>
      </c>
      <c r="O45" s="203" t="s">
        <v>180</v>
      </c>
      <c r="P45" s="134"/>
      <c r="Q45" s="30"/>
      <c r="R45" s="81" t="str">
        <f>VLOOKUP(C45,'Train Runs'!$A$13:$AE$9927,31,0)</f>
        <v>aws s3 cp s3://rtdc.mdm.uploadarchive.raw/RTDC4035/ "%USERPROFILE%\AppData\Local\Temp\OnboardLogs"\RTDC4035\2017-07-21 --exclude "*" --recursive --include "*20170721*" &amp; "%USERPROFILE%\Documents\GitHub\mrs-test-scripts\Headless Mode &amp; Sideloading\WalkAndUnGZ.bat" "%USERPROFILE%\AppData\Local\Temp\OnboardLogs"\RTDC4035\2017-07-21 &amp; aws s3 cp s3://rtdc.mdm.uploadarchive.raw/RTDC4035/ "%USERPROFILE%\AppData\Local\Temp\OnboardLogs"\RTDC4035\2017-07-22 --exclude "*" --recursive --include "*20170722*" &amp; "%USERPROFILE%\Documents\GitHub\mrs-test-scripts\Headless Mode &amp; Sideloading\WalkAndUnGZ.bat" "%USERPROFILE%\AppData\Local\Temp\OnboardLogs"\RTDC4035\2017-07-22</v>
      </c>
      <c r="S45" s="84" t="str">
        <f>VLOOKUP(C45,'Train Runs'!$A$13:$AE$9927,22,0)</f>
        <v>https://d0f6bd738d7f1b3e5a7ca70fe4ff75f0.us-east-1.aws.found.io/app/kibana#/discover/Steve-Slow-Train-Analysis-(2080s-and-2083s)?_g=(refreshInterval:(display:Off,pause:!f,section:0,value:0),time:(from:'2017-07-21T20:03:03-0600',mode:absolute,to:'2017-07-21T23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45" s="86" t="str">
        <f t="shared" si="1"/>
        <v>"C:\Program Files (x86)\AstroGrep\AstroGrep.exe" /e /r /s /spath="%USERPROFILE%\AppData\Local\Temp\OnboardLogs" /stypes="*4035*201707220*" /stext=" 01:.+((SYSTEM_STATE.+slice.+state.+changed )|(ment ac)|(multiple cpu faults)|(system.+state.+changed )|(\[timeout)|(PRM\|1\|D)|(kpr)|(kdp)|(train st.+moving)|(\|lc)|(penalty))"</v>
      </c>
      <c r="U45" s="9" t="str">
        <f t="shared" si="2"/>
        <v>4035</v>
      </c>
      <c r="V45" s="31">
        <f t="shared" si="3"/>
        <v>42938.05878472222</v>
      </c>
      <c r="W45" s="45" t="str">
        <f t="shared" si="4"/>
        <v>Shuttle/Test</v>
      </c>
      <c r="X45" s="22">
        <f t="shared" si="5"/>
        <v>52</v>
      </c>
      <c r="Y45" s="96" t="str">
        <f t="shared" si="6"/>
        <v>echo {"issue":{"subject":"","project_id":79,"tracker_id":40,"status_id":1,"priority_id":2,"assigned_to_id":23,"start_date":"2017-07-21","description":"","custom_fields":[{"id":1,"name":"Subdivision","value":"Shuttle/Test"},{"id":4,"name":"Milepost","value":"2.4235"},{"id":17,"name":"Train ID","value":"52-21"},{"id":16,"name":"Locomotive ID","value":"4035"},{"id":130,"name":"Impact","value":""},{"id":150,"name":"Time of Event (Mountain Time)","value":"19:24:39"},{"id":151,"name":"Denver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/c/Users/stu/AppData/Local/Temp/OnboardLogs/RTDC4035 --include="*4035*201707220*"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"%USERPROFILE%\AppData\Local\Temp\OnboardLogs"\RTDC4035\*4035*201707220* &gt;&gt; 2017-07-21-SliceDisagreementCheck.txt</v>
      </c>
      <c r="AE45" s="145" t="str">
        <f t="shared" si="9"/>
        <v>start /low /b %USERPROFILE%\Documents\GitHub\eaglep3\Utilities\DownloadLogsFromS3.py --loco 4035 --day 2017-07-22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</sheetData>
  <autoFilter ref="A6:AC69">
    <sortState ref="A7:AC69">
      <sortCondition ref="W7:W45"/>
      <sortCondition ref="E7:E45"/>
      <sortCondition ref="K7:K45"/>
      <sortCondition ref="F7:F45"/>
    </sortState>
  </autoFilter>
  <sortState ref="A7:AE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1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131</v>
      </c>
      <c r="B3" s="42" t="str">
        <f>A3&amp;"-"&amp;IF(DAY(Variables!$A$2)&lt;10,0,"")&amp;DAY(Variables!$A$2)</f>
        <v>131-21</v>
      </c>
      <c r="C3" s="135"/>
      <c r="D3" s="153"/>
      <c r="E3" s="30" t="s">
        <v>1053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22131-21%22)),sort:!(Time.ISO8601,asc))</v>
      </c>
      <c r="J3" s="30" t="e">
        <f>VLOOKUP(B3,'Train Runs'!$A$13:$A$99924,1,FALSE)</f>
        <v>#N/A</v>
      </c>
    </row>
    <row r="4" spans="1:10" x14ac:dyDescent="0.25">
      <c r="A4" s="195"/>
      <c r="B4" s="42" t="str">
        <f>A4&amp;"-"&amp;IF(DAY(Variables!$A$2)&lt;10,0,"")&amp;DAY(Variables!$A$2)</f>
        <v>-21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Runs'!$A$13:$A$99924,1,FALSE)</f>
        <v>#N/A</v>
      </c>
    </row>
    <row r="5" spans="1:10" x14ac:dyDescent="0.25">
      <c r="A5" s="195"/>
      <c r="B5" s="42" t="str">
        <f>A5&amp;"-"&amp;IF(DAY(Variables!$A$2)&lt;10,0,"")&amp;DAY(Variables!$A$2)</f>
        <v>-21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Runs'!$A$13:$A$99924,1,FALSE)</f>
        <v>#N/A</v>
      </c>
    </row>
    <row r="6" spans="1:10" x14ac:dyDescent="0.25">
      <c r="A6" s="195"/>
      <c r="B6" s="42" t="str">
        <f>A6&amp;"-"&amp;IF(DAY(Variables!$A$2)&lt;10,0,"")&amp;DAY(Variables!$A$2)</f>
        <v>-21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Runs'!$A$13:$A$99924,1,FALSE)</f>
        <v>#N/A</v>
      </c>
    </row>
    <row r="7" spans="1:10" x14ac:dyDescent="0.25">
      <c r="A7" s="195"/>
      <c r="B7" s="42" t="str">
        <f>A7&amp;"-"&amp;IF(DAY(Variables!$A$2)&lt;10,0,"")&amp;DAY(Variables!$A$2)</f>
        <v>-21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Runs'!$A$13:$A$99924,1,FALSE)</f>
        <v>#N/A</v>
      </c>
    </row>
    <row r="8" spans="1:10" x14ac:dyDescent="0.25">
      <c r="A8" s="195"/>
      <c r="B8" s="42" t="str">
        <f>A8&amp;"-"&amp;IF(DAY(Variables!$A$2)&lt;10,0,"")&amp;DAY(Variables!$A$2)</f>
        <v>-21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Runs'!$A$13:$A$99924,1,FALSE)</f>
        <v>#N/A</v>
      </c>
    </row>
    <row r="9" spans="1:10" x14ac:dyDescent="0.25">
      <c r="A9" s="195"/>
      <c r="B9" s="42" t="str">
        <f>A9&amp;"-"&amp;IF(DAY(Variables!$A$2)&lt;10,0,"")&amp;DAY(Variables!$A$2)</f>
        <v>-21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Runs'!$A$13:$A$99924,1,FALSE)</f>
        <v>#N/A</v>
      </c>
    </row>
    <row r="10" spans="1:10" x14ac:dyDescent="0.25">
      <c r="A10" s="195"/>
      <c r="B10" s="42" t="str">
        <f>A10&amp;"-"&amp;IF(DAY(Variables!$A$2)&lt;10,0,"")&amp;DAY(Variables!$A$2)</f>
        <v>-21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Runs'!$A$13:$A$99924,1,FALSE)</f>
        <v>#N/A</v>
      </c>
    </row>
    <row r="11" spans="1:10" x14ac:dyDescent="0.25">
      <c r="A11" s="195"/>
      <c r="B11" s="42" t="str">
        <f>A11&amp;"-"&amp;IF(DAY(Variables!$A$2)&lt;10,0,"")&amp;DAY(Variables!$A$2)</f>
        <v>-21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Runs'!$A$13:$A$99924,1,FALSE)</f>
        <v>#N/A</v>
      </c>
    </row>
    <row r="12" spans="1:10" x14ac:dyDescent="0.25">
      <c r="A12" s="195"/>
      <c r="B12" s="42" t="str">
        <f>A12&amp;"-"&amp;IF(DAY(Variables!$A$2)&lt;10,0,"")&amp;DAY(Variables!$A$2)</f>
        <v>-21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Runs'!$A$13:$A$99924,1,FALSE)</f>
        <v>#N/A</v>
      </c>
    </row>
    <row r="13" spans="1:10" x14ac:dyDescent="0.25">
      <c r="A13" s="195"/>
      <c r="B13" s="42" t="str">
        <f>A13&amp;"-"&amp;IF(DAY(Variables!$A$2)&lt;10,0,"")&amp;DAY(Variables!$A$2)</f>
        <v>-21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Runs'!$A$13:$A$99924,1,FALSE)</f>
        <v>#N/A</v>
      </c>
    </row>
    <row r="14" spans="1:10" x14ac:dyDescent="0.25">
      <c r="A14" s="195"/>
      <c r="B14" s="42" t="str">
        <f>A14&amp;"-"&amp;IF(DAY(Variables!$A$2)&lt;10,0,"")&amp;DAY(Variables!$A$2)</f>
        <v>-21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Runs'!$A$13:$A$99924,1,FALSE)</f>
        <v>#N/A</v>
      </c>
    </row>
    <row r="15" spans="1:10" x14ac:dyDescent="0.25">
      <c r="A15" s="195"/>
      <c r="B15" s="42" t="str">
        <f>A15&amp;"-"&amp;IF(DAY(Variables!$A$2)&lt;10,0,"")&amp;DAY(Variables!$A$2)</f>
        <v>-21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Runs'!$A$13:$A$99924,1,FALSE)</f>
        <v>#N/A</v>
      </c>
    </row>
    <row r="16" spans="1:10" x14ac:dyDescent="0.25">
      <c r="A16" s="195"/>
      <c r="B16" s="42" t="str">
        <f>A16&amp;"-"&amp;IF(DAY(Variables!$A$2)&lt;10,0,"")&amp;DAY(Variables!$A$2)</f>
        <v>-21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Runs'!$A$13:$A$99924,1,FALSE)</f>
        <v>#N/A</v>
      </c>
    </row>
    <row r="17" spans="1:10" x14ac:dyDescent="0.25">
      <c r="A17" s="195"/>
      <c r="B17" s="42" t="str">
        <f>A17&amp;"-"&amp;IF(DAY(Variables!$A$2)&lt;10,0,"")&amp;DAY(Variables!$A$2)</f>
        <v>-21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Runs'!$A$13:$A$99924,1,FALSE)</f>
        <v>#N/A</v>
      </c>
    </row>
    <row r="18" spans="1:10" x14ac:dyDescent="0.25">
      <c r="A18" s="195"/>
      <c r="B18" s="42" t="str">
        <f>A18&amp;"-"&amp;IF(DAY(Variables!$A$2)&lt;10,0,"")&amp;DAY(Variables!$A$2)</f>
        <v>-21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Runs'!$A$13:$A$99924,1,FALSE)</f>
        <v>#N/A</v>
      </c>
    </row>
    <row r="19" spans="1:10" x14ac:dyDescent="0.25">
      <c r="A19" s="195"/>
      <c r="B19" s="42" t="str">
        <f>A19&amp;"-"&amp;IF(DAY(Variables!$A$2)&lt;10,0,"")&amp;DAY(Variables!$A$2)</f>
        <v>-21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Runs'!$A$13:$A$99924,1,FALSE)</f>
        <v>#N/A</v>
      </c>
    </row>
    <row r="20" spans="1:10" x14ac:dyDescent="0.25">
      <c r="A20" s="195"/>
      <c r="B20" s="42" t="str">
        <f>A20&amp;"-"&amp;IF(DAY(Variables!$A$2)&lt;10,0,"")&amp;DAY(Variables!$A$2)</f>
        <v>-21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Runs'!$A$13:$A$99924,1,FALSE)</f>
        <v>#N/A</v>
      </c>
    </row>
    <row r="21" spans="1:10" x14ac:dyDescent="0.25">
      <c r="A21" s="195"/>
      <c r="B21" s="42" t="str">
        <f>A21&amp;"-"&amp;IF(DAY(Variables!$A$2)&lt;10,0,"")&amp;DAY(Variables!$A$2)</f>
        <v>-21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Runs'!$A$13:$A$99924,1,FALSE)</f>
        <v>#N/A</v>
      </c>
    </row>
    <row r="22" spans="1:10" x14ac:dyDescent="0.25">
      <c r="A22" s="195"/>
      <c r="B22" s="42" t="str">
        <f>A22&amp;"-"&amp;IF(DAY(Variables!$A$2)&lt;10,0,"")&amp;DAY(Variables!$A$2)</f>
        <v>-21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Runs'!$A$13:$A$99924,1,FALSE)</f>
        <v>#N/A</v>
      </c>
    </row>
    <row r="23" spans="1:10" x14ac:dyDescent="0.25">
      <c r="A23" s="195"/>
      <c r="B23" s="42" t="str">
        <f>A23&amp;"-"&amp;IF(DAY(Variables!$A$2)&lt;10,0,"")&amp;DAY(Variables!$A$2)</f>
        <v>-21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Runs'!$A$13:$A$99924,1,FALSE)</f>
        <v>#N/A</v>
      </c>
    </row>
    <row r="24" spans="1:10" x14ac:dyDescent="0.25">
      <c r="A24" s="195"/>
      <c r="B24" s="42" t="str">
        <f>A24&amp;"-"&amp;IF(DAY(Variables!$A$2)&lt;10,0,"")&amp;DAY(Variables!$A$2)</f>
        <v>-21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Runs'!$A$13:$A$99924,1,FALSE)</f>
        <v>#N/A</v>
      </c>
    </row>
    <row r="25" spans="1:10" x14ac:dyDescent="0.25">
      <c r="A25" s="195"/>
      <c r="B25" s="42" t="str">
        <f>A25&amp;"-"&amp;IF(DAY(Variables!$A$2)&lt;10,0,"")&amp;DAY(Variables!$A$2)</f>
        <v>-21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Runs'!$A$13:$A$99924,1,FALSE)</f>
        <v>#N/A</v>
      </c>
    </row>
    <row r="26" spans="1:10" x14ac:dyDescent="0.25">
      <c r="A26" s="195"/>
      <c r="B26" s="42" t="str">
        <f>A26&amp;"-"&amp;IF(DAY(Variables!$A$2)&lt;10,0,"")&amp;DAY(Variables!$A$2)</f>
        <v>-21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0" t="e">
        <f>VLOOKUP(B26,'Train Runs'!$A$13:$A$99924,1,FALSE)</f>
        <v>#N/A</v>
      </c>
    </row>
    <row r="27" spans="1:10" x14ac:dyDescent="0.25">
      <c r="A27" s="195"/>
      <c r="B27" s="42" t="str">
        <f>A27&amp;"-"&amp;IF(DAY(Variables!$A$2)&lt;10,0,"")&amp;DAY(Variables!$A$2)</f>
        <v>-21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0" t="e">
        <f>VLOOKUP(B27,'Train Runs'!$A$13:$A$99924,1,FALSE)</f>
        <v>#N/A</v>
      </c>
    </row>
    <row r="28" spans="1:10" x14ac:dyDescent="0.25">
      <c r="A28" s="195"/>
      <c r="B28" s="42" t="str">
        <f>A28&amp;"-"&amp;IF(DAY(Variables!$A$2)&lt;10,0,"")&amp;DAY(Variables!$A$2)</f>
        <v>-21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0" t="e">
        <f>VLOOKUP(B28,'Train Runs'!$A$13:$A$99924,1,FALSE)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42937.050046296295</v>
      </c>
      <c r="B2" s="20" t="s">
        <v>364</v>
      </c>
      <c r="C2" s="20" t="s">
        <v>556</v>
      </c>
      <c r="D2" s="138">
        <v>3280000</v>
      </c>
      <c r="E2" s="20" t="s">
        <v>451</v>
      </c>
      <c r="F2" s="20" t="s">
        <v>452</v>
      </c>
      <c r="G2" s="8" t="str">
        <f>E2&amp;" "&amp;F2</f>
        <v>BIRKHOLZ NADINE</v>
      </c>
    </row>
    <row r="3" spans="1:7" x14ac:dyDescent="0.25">
      <c r="A3" s="8">
        <v>42937.050520833334</v>
      </c>
      <c r="B3" s="20" t="s">
        <v>554</v>
      </c>
      <c r="C3" s="20" t="s">
        <v>555</v>
      </c>
      <c r="D3" s="138">
        <v>3030000</v>
      </c>
      <c r="E3" s="20" t="s">
        <v>369</v>
      </c>
      <c r="F3" s="20" t="s">
        <v>357</v>
      </c>
      <c r="G3" s="8" t="str">
        <f t="shared" ref="G3:G66" si="0">E3&amp;" "&amp;F3</f>
        <v>BIRENBAUM THOMAS</v>
      </c>
    </row>
    <row r="4" spans="1:7" x14ac:dyDescent="0.25">
      <c r="A4" s="8">
        <v>42937.056284722225</v>
      </c>
      <c r="B4" s="20" t="s">
        <v>520</v>
      </c>
      <c r="C4" s="20" t="s">
        <v>557</v>
      </c>
      <c r="D4" s="138">
        <v>3000000</v>
      </c>
      <c r="E4" s="20" t="s">
        <v>384</v>
      </c>
      <c r="F4" s="20" t="s">
        <v>385</v>
      </c>
      <c r="G4" s="8" t="str">
        <f t="shared" si="0"/>
        <v>FORTUNATO FRANK</v>
      </c>
    </row>
    <row r="5" spans="1:7" x14ac:dyDescent="0.25">
      <c r="A5" s="8">
        <v>42937.059155092589</v>
      </c>
      <c r="B5" s="20" t="s">
        <v>545</v>
      </c>
      <c r="C5" s="20" t="s">
        <v>546</v>
      </c>
      <c r="D5" s="138">
        <v>3030000</v>
      </c>
      <c r="E5" s="20" t="s">
        <v>369</v>
      </c>
      <c r="F5" s="20" t="s">
        <v>357</v>
      </c>
      <c r="G5" s="8" t="str">
        <f t="shared" si="0"/>
        <v>BIRENBAUM THOMAS</v>
      </c>
    </row>
    <row r="6" spans="1:7" x14ac:dyDescent="0.25">
      <c r="A6" s="8">
        <v>42937.066655092596</v>
      </c>
      <c r="B6" s="20" t="s">
        <v>554</v>
      </c>
      <c r="C6" s="20" t="s">
        <v>555</v>
      </c>
      <c r="D6" s="138">
        <v>3030000</v>
      </c>
      <c r="E6" s="20" t="s">
        <v>369</v>
      </c>
      <c r="F6" s="20" t="s">
        <v>357</v>
      </c>
      <c r="G6" s="8" t="str">
        <f t="shared" si="0"/>
        <v>BIRENBAUM THOMAS</v>
      </c>
    </row>
    <row r="7" spans="1:7" x14ac:dyDescent="0.25">
      <c r="A7" s="8">
        <v>42937.069895833331</v>
      </c>
      <c r="B7" s="20" t="s">
        <v>390</v>
      </c>
      <c r="C7" s="20" t="s">
        <v>558</v>
      </c>
      <c r="D7" s="138">
        <v>2620000</v>
      </c>
      <c r="E7" s="20" t="s">
        <v>552</v>
      </c>
      <c r="F7" s="20" t="s">
        <v>553</v>
      </c>
      <c r="G7" s="8" t="str">
        <f t="shared" si="0"/>
        <v>PERKINS DARREN</v>
      </c>
    </row>
    <row r="8" spans="1:7" x14ac:dyDescent="0.25">
      <c r="A8" s="8">
        <v>42937.090289351851</v>
      </c>
      <c r="B8" s="20" t="s">
        <v>519</v>
      </c>
      <c r="C8" s="20" t="s">
        <v>547</v>
      </c>
      <c r="D8" s="138">
        <v>3000000</v>
      </c>
      <c r="E8" s="20" t="s">
        <v>384</v>
      </c>
      <c r="F8" s="20" t="s">
        <v>385</v>
      </c>
      <c r="G8" s="8" t="str">
        <f t="shared" si="0"/>
        <v>FORTUNATO FRANK</v>
      </c>
    </row>
    <row r="9" spans="1:7" ht="15.75" thickBot="1" x14ac:dyDescent="0.3">
      <c r="A9" s="24">
        <v>42937.097303240742</v>
      </c>
      <c r="B9" s="20" t="s">
        <v>545</v>
      </c>
      <c r="C9" s="20" t="s">
        <v>546</v>
      </c>
      <c r="D9" s="138">
        <v>3030000</v>
      </c>
      <c r="E9" s="20" t="s">
        <v>369</v>
      </c>
      <c r="F9" s="20" t="s">
        <v>357</v>
      </c>
      <c r="G9" s="8" t="str">
        <f t="shared" si="0"/>
        <v>BIRENBAUM THOMAS</v>
      </c>
    </row>
    <row r="10" spans="1:7" x14ac:dyDescent="0.25">
      <c r="A10" s="8">
        <v>42937.112349537034</v>
      </c>
      <c r="B10" s="20" t="s">
        <v>455</v>
      </c>
      <c r="C10" s="20" t="s">
        <v>559</v>
      </c>
      <c r="D10" s="138">
        <v>1110000</v>
      </c>
      <c r="E10" s="20" t="s">
        <v>418</v>
      </c>
      <c r="F10" s="20" t="s">
        <v>419</v>
      </c>
      <c r="G10" s="8" t="str">
        <f t="shared" si="0"/>
        <v>STARKS ANGELINA</v>
      </c>
    </row>
    <row r="11" spans="1:7" x14ac:dyDescent="0.25">
      <c r="A11" s="8">
        <v>42937.123761574076</v>
      </c>
      <c r="B11" s="20" t="s">
        <v>544</v>
      </c>
      <c r="C11" s="20" t="s">
        <v>661</v>
      </c>
      <c r="D11" s="138">
        <v>1110000</v>
      </c>
      <c r="E11" s="20" t="s">
        <v>418</v>
      </c>
      <c r="F11" s="20" t="s">
        <v>419</v>
      </c>
      <c r="G11" s="8" t="str">
        <f t="shared" si="0"/>
        <v>STARKS ANGELINA</v>
      </c>
    </row>
    <row r="12" spans="1:7" x14ac:dyDescent="0.25">
      <c r="A12" s="8">
        <v>42937.124398148146</v>
      </c>
      <c r="B12" s="20" t="s">
        <v>554</v>
      </c>
      <c r="C12" s="20" t="s">
        <v>555</v>
      </c>
      <c r="D12" s="138">
        <v>3030000</v>
      </c>
      <c r="E12" s="20" t="s">
        <v>369</v>
      </c>
      <c r="F12" s="20" t="s">
        <v>357</v>
      </c>
      <c r="G12" s="8" t="str">
        <f t="shared" si="0"/>
        <v>BIRENBAUM THOMAS</v>
      </c>
    </row>
    <row r="13" spans="1:7" x14ac:dyDescent="0.25">
      <c r="A13" s="8">
        <v>42937.126134259262</v>
      </c>
      <c r="B13" s="20" t="s">
        <v>458</v>
      </c>
      <c r="C13" s="20" t="s">
        <v>662</v>
      </c>
      <c r="D13" s="138">
        <v>1090000</v>
      </c>
      <c r="E13" s="20" t="s">
        <v>548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42937.137442129628</v>
      </c>
      <c r="B14" s="20" t="s">
        <v>517</v>
      </c>
      <c r="C14" s="20" t="s">
        <v>663</v>
      </c>
      <c r="D14" s="138">
        <v>3040000</v>
      </c>
      <c r="E14" s="20" t="s">
        <v>370</v>
      </c>
      <c r="F14" s="20" t="s">
        <v>371</v>
      </c>
      <c r="G14" s="8" t="str">
        <f t="shared" si="0"/>
        <v>WILLIAMS DONTE</v>
      </c>
    </row>
    <row r="15" spans="1:7" x14ac:dyDescent="0.25">
      <c r="A15" s="8">
        <v>42937.140428240738</v>
      </c>
      <c r="B15" s="20" t="s">
        <v>455</v>
      </c>
      <c r="C15" s="20" t="s">
        <v>664</v>
      </c>
      <c r="D15" s="138">
        <v>1090000</v>
      </c>
      <c r="E15" s="20" t="s">
        <v>548</v>
      </c>
      <c r="F15" s="20" t="s">
        <v>192</v>
      </c>
      <c r="G15" s="8" t="str">
        <f t="shared" si="0"/>
        <v>SPECTOR MICHAEL</v>
      </c>
    </row>
    <row r="16" spans="1:7" x14ac:dyDescent="0.25">
      <c r="A16" s="8">
        <v>42937.149502314816</v>
      </c>
      <c r="B16" s="20" t="s">
        <v>476</v>
      </c>
      <c r="C16" s="20" t="s">
        <v>665</v>
      </c>
      <c r="D16" s="138">
        <v>3040000</v>
      </c>
      <c r="E16" s="20" t="s">
        <v>370</v>
      </c>
      <c r="F16" s="20" t="s">
        <v>371</v>
      </c>
      <c r="G16" s="8" t="str">
        <f t="shared" si="0"/>
        <v>WILLIAMS DONTE</v>
      </c>
    </row>
    <row r="17" spans="1:7" x14ac:dyDescent="0.25">
      <c r="A17" s="8">
        <v>42937.161678240744</v>
      </c>
      <c r="B17" s="20" t="s">
        <v>518</v>
      </c>
      <c r="C17" s="20" t="s">
        <v>666</v>
      </c>
      <c r="D17" s="138">
        <v>3260000</v>
      </c>
      <c r="E17" s="20" t="s">
        <v>490</v>
      </c>
      <c r="F17" s="20" t="s">
        <v>491</v>
      </c>
      <c r="G17" s="8" t="str">
        <f t="shared" si="0"/>
        <v>PAGE MARCUS</v>
      </c>
    </row>
    <row r="18" spans="1:7" x14ac:dyDescent="0.25">
      <c r="A18" s="8">
        <v>42937.171249999999</v>
      </c>
      <c r="B18" s="20" t="s">
        <v>392</v>
      </c>
      <c r="C18" s="20" t="s">
        <v>667</v>
      </c>
      <c r="D18" s="138">
        <v>3310000</v>
      </c>
      <c r="E18" s="20" t="s">
        <v>492</v>
      </c>
      <c r="F18" s="20" t="s">
        <v>493</v>
      </c>
      <c r="G18" s="8" t="str">
        <f t="shared" si="0"/>
        <v>ANDERS STEVEN</v>
      </c>
    </row>
    <row r="19" spans="1:7" x14ac:dyDescent="0.25">
      <c r="A19" s="8">
        <v>42937.172500000001</v>
      </c>
      <c r="B19" s="20" t="s">
        <v>521</v>
      </c>
      <c r="C19" s="20" t="s">
        <v>668</v>
      </c>
      <c r="D19" s="138">
        <v>3260000</v>
      </c>
      <c r="E19" s="20" t="s">
        <v>490</v>
      </c>
      <c r="F19" s="20" t="s">
        <v>491</v>
      </c>
      <c r="G19" s="8" t="str">
        <f t="shared" si="0"/>
        <v>PAGE MARCUS</v>
      </c>
    </row>
    <row r="20" spans="1:7" x14ac:dyDescent="0.25">
      <c r="A20" s="8">
        <v>42937.173726851855</v>
      </c>
      <c r="B20" s="20" t="s">
        <v>522</v>
      </c>
      <c r="C20" s="20" t="s">
        <v>620</v>
      </c>
      <c r="D20" s="138">
        <v>1110000</v>
      </c>
      <c r="E20" s="20" t="s">
        <v>418</v>
      </c>
      <c r="F20" s="20" t="s">
        <v>419</v>
      </c>
      <c r="G20" s="8" t="str">
        <f t="shared" si="0"/>
        <v>STARKS ANGELINA</v>
      </c>
    </row>
    <row r="21" spans="1:7" x14ac:dyDescent="0.25">
      <c r="A21" s="8">
        <v>42937.179837962962</v>
      </c>
      <c r="B21" s="20" t="s">
        <v>628</v>
      </c>
      <c r="C21" s="20" t="s">
        <v>669</v>
      </c>
      <c r="D21" s="138">
        <v>1990000</v>
      </c>
      <c r="E21" s="20" t="s">
        <v>380</v>
      </c>
      <c r="F21" s="20" t="s">
        <v>523</v>
      </c>
      <c r="G21" s="8" t="str">
        <f t="shared" si="0"/>
        <v>DAVIS WENDY</v>
      </c>
    </row>
    <row r="22" spans="1:7" x14ac:dyDescent="0.25">
      <c r="A22" s="26">
        <v>42937.184120370373</v>
      </c>
      <c r="B22" s="20" t="s">
        <v>391</v>
      </c>
      <c r="C22" s="20" t="s">
        <v>670</v>
      </c>
      <c r="D22" s="138">
        <v>1100000</v>
      </c>
      <c r="E22" s="20" t="s">
        <v>671</v>
      </c>
      <c r="F22" s="20" t="s">
        <v>672</v>
      </c>
      <c r="G22" s="8" t="str">
        <f t="shared" si="0"/>
        <v>GEBRETEKLE DAGNEW</v>
      </c>
    </row>
    <row r="23" spans="1:7" x14ac:dyDescent="0.25">
      <c r="A23" s="8">
        <v>42937.188449074078</v>
      </c>
      <c r="B23" s="20" t="s">
        <v>517</v>
      </c>
      <c r="C23" s="20" t="s">
        <v>673</v>
      </c>
      <c r="D23" s="138">
        <v>3040000</v>
      </c>
      <c r="E23" s="20" t="s">
        <v>370</v>
      </c>
      <c r="F23" s="20" t="s">
        <v>371</v>
      </c>
      <c r="G23" s="8" t="str">
        <f t="shared" si="0"/>
        <v>WILLIAMS DONTE</v>
      </c>
    </row>
    <row r="24" spans="1:7" x14ac:dyDescent="0.25">
      <c r="A24" s="8">
        <v>42937.192812499998</v>
      </c>
      <c r="B24" s="20" t="s">
        <v>630</v>
      </c>
      <c r="C24" s="20" t="s">
        <v>674</v>
      </c>
      <c r="D24" s="138">
        <v>1990000</v>
      </c>
      <c r="E24" s="20" t="s">
        <v>380</v>
      </c>
      <c r="F24" s="20" t="s">
        <v>523</v>
      </c>
      <c r="G24" s="8" t="str">
        <f t="shared" si="0"/>
        <v>DAVIS WENDY</v>
      </c>
    </row>
    <row r="25" spans="1:7" x14ac:dyDescent="0.25">
      <c r="A25" s="8">
        <v>42937.196712962963</v>
      </c>
      <c r="B25" s="20" t="s">
        <v>639</v>
      </c>
      <c r="C25" s="20" t="s">
        <v>675</v>
      </c>
      <c r="D25" s="138">
        <v>2600000</v>
      </c>
      <c r="E25" s="20" t="s">
        <v>676</v>
      </c>
      <c r="F25" s="20" t="s">
        <v>677</v>
      </c>
      <c r="G25" s="8" t="str">
        <f t="shared" si="0"/>
        <v>DAVIDSON DAVID</v>
      </c>
    </row>
    <row r="26" spans="1:7" x14ac:dyDescent="0.25">
      <c r="A26" s="8">
        <v>42937.199282407404</v>
      </c>
      <c r="B26" s="20" t="s">
        <v>551</v>
      </c>
      <c r="C26" s="20" t="s">
        <v>678</v>
      </c>
      <c r="D26" s="138">
        <v>2970000</v>
      </c>
      <c r="E26" s="20" t="s">
        <v>367</v>
      </c>
      <c r="F26" s="20" t="s">
        <v>368</v>
      </c>
      <c r="G26" s="8" t="str">
        <f t="shared" si="0"/>
        <v>GUZMAN DANNY</v>
      </c>
    </row>
    <row r="27" spans="1:7" x14ac:dyDescent="0.25">
      <c r="A27" s="8">
        <v>42937.206782407404</v>
      </c>
      <c r="B27" s="20" t="s">
        <v>544</v>
      </c>
      <c r="C27" s="20" t="s">
        <v>621</v>
      </c>
      <c r="D27" s="138">
        <v>1110000</v>
      </c>
      <c r="E27" s="20" t="s">
        <v>418</v>
      </c>
      <c r="F27" s="20" t="s">
        <v>419</v>
      </c>
      <c r="G27" s="8" t="str">
        <f t="shared" si="0"/>
        <v>STARKS ANGELINA</v>
      </c>
    </row>
    <row r="28" spans="1:7" x14ac:dyDescent="0.25">
      <c r="A28" s="8">
        <v>42937.212175925924</v>
      </c>
      <c r="B28" s="20" t="s">
        <v>550</v>
      </c>
      <c r="C28" s="20" t="s">
        <v>679</v>
      </c>
      <c r="D28" s="138">
        <v>2970000</v>
      </c>
      <c r="E28" s="20" t="s">
        <v>367</v>
      </c>
      <c r="F28" s="20" t="s">
        <v>368</v>
      </c>
      <c r="G28" s="8" t="str">
        <f t="shared" si="0"/>
        <v>GUZMAN DANNY</v>
      </c>
    </row>
    <row r="29" spans="1:7" x14ac:dyDescent="0.25">
      <c r="A29" s="8">
        <v>42937.213553240741</v>
      </c>
      <c r="B29" s="20" t="s">
        <v>518</v>
      </c>
      <c r="C29" s="20" t="s">
        <v>680</v>
      </c>
      <c r="D29" s="138">
        <v>3260000</v>
      </c>
      <c r="E29" s="20" t="s">
        <v>490</v>
      </c>
      <c r="F29" s="20" t="s">
        <v>491</v>
      </c>
      <c r="G29" s="8" t="str">
        <f t="shared" si="0"/>
        <v>PAGE MARCUS</v>
      </c>
    </row>
    <row r="30" spans="1:7" x14ac:dyDescent="0.25">
      <c r="A30" s="8">
        <v>42937.215694444443</v>
      </c>
      <c r="B30" s="20" t="s">
        <v>633</v>
      </c>
      <c r="C30" s="20" t="s">
        <v>681</v>
      </c>
      <c r="D30" s="138">
        <v>2600000</v>
      </c>
      <c r="E30" s="20" t="s">
        <v>676</v>
      </c>
      <c r="F30" s="20" t="s">
        <v>677</v>
      </c>
      <c r="G30" s="8" t="str">
        <f t="shared" si="0"/>
        <v>DAVIDSON DAVID</v>
      </c>
    </row>
    <row r="31" spans="1:7" x14ac:dyDescent="0.25">
      <c r="A31" s="8">
        <v>42937.216041666667</v>
      </c>
      <c r="B31" s="20" t="s">
        <v>392</v>
      </c>
      <c r="C31" s="20" t="s">
        <v>682</v>
      </c>
      <c r="D31" s="138">
        <v>3310000</v>
      </c>
      <c r="E31" s="20" t="s">
        <v>492</v>
      </c>
      <c r="F31" s="20" t="s">
        <v>493</v>
      </c>
      <c r="G31" s="8" t="str">
        <f t="shared" si="0"/>
        <v>ANDERS STEVEN</v>
      </c>
    </row>
    <row r="32" spans="1:7" x14ac:dyDescent="0.25">
      <c r="A32" s="8">
        <v>42937.227719907409</v>
      </c>
      <c r="B32" s="20" t="s">
        <v>476</v>
      </c>
      <c r="C32" s="20" t="s">
        <v>683</v>
      </c>
      <c r="D32" s="138">
        <v>3040000</v>
      </c>
      <c r="E32" s="20" t="s">
        <v>370</v>
      </c>
      <c r="F32" s="20" t="s">
        <v>371</v>
      </c>
      <c r="G32" s="8" t="str">
        <f t="shared" si="0"/>
        <v>WILLIAMS DONTE</v>
      </c>
    </row>
    <row r="33" spans="1:7" x14ac:dyDescent="0.25">
      <c r="A33" s="8">
        <v>42937.228310185186</v>
      </c>
      <c r="B33" s="20" t="s">
        <v>551</v>
      </c>
      <c r="C33" s="20" t="s">
        <v>684</v>
      </c>
      <c r="D33" s="138">
        <v>2970000</v>
      </c>
      <c r="E33" s="20" t="s">
        <v>367</v>
      </c>
      <c r="F33" s="20" t="s">
        <v>368</v>
      </c>
      <c r="G33" s="8" t="str">
        <f t="shared" si="0"/>
        <v>GUZMAN DANNY</v>
      </c>
    </row>
    <row r="34" spans="1:7" x14ac:dyDescent="0.25">
      <c r="A34" s="8">
        <v>42937.229108796295</v>
      </c>
      <c r="B34" s="20" t="s">
        <v>624</v>
      </c>
      <c r="C34" s="20" t="s">
        <v>685</v>
      </c>
      <c r="D34" s="138">
        <v>3300000</v>
      </c>
      <c r="E34" s="20" t="s">
        <v>487</v>
      </c>
      <c r="F34" s="20" t="s">
        <v>467</v>
      </c>
      <c r="G34" s="8" t="str">
        <f t="shared" si="0"/>
        <v>LANGERAK WILLIAM</v>
      </c>
    </row>
    <row r="35" spans="1:7" x14ac:dyDescent="0.25">
      <c r="A35" s="8">
        <v>42937.235231481478</v>
      </c>
      <c r="B35" s="20" t="s">
        <v>628</v>
      </c>
      <c r="C35" s="20" t="s">
        <v>686</v>
      </c>
      <c r="D35" s="138">
        <v>1990000</v>
      </c>
      <c r="E35" s="20" t="s">
        <v>380</v>
      </c>
      <c r="F35" s="20" t="s">
        <v>523</v>
      </c>
      <c r="G35" s="8" t="str">
        <f t="shared" si="0"/>
        <v>DAVIS WENDY</v>
      </c>
    </row>
    <row r="36" spans="1:7" x14ac:dyDescent="0.25">
      <c r="A36" s="8">
        <v>42937.245439814818</v>
      </c>
      <c r="B36" s="20" t="s">
        <v>626</v>
      </c>
      <c r="C36" s="20" t="s">
        <v>687</v>
      </c>
      <c r="D36" s="138">
        <v>3320000</v>
      </c>
      <c r="E36" s="20" t="s">
        <v>483</v>
      </c>
      <c r="F36" s="20" t="s">
        <v>484</v>
      </c>
      <c r="G36" s="8" t="str">
        <f t="shared" si="0"/>
        <v>NICHOLSON WESLEY</v>
      </c>
    </row>
    <row r="37" spans="1:7" x14ac:dyDescent="0.25">
      <c r="A37" s="8">
        <v>42937.246666666666</v>
      </c>
      <c r="B37" s="20" t="s">
        <v>521</v>
      </c>
      <c r="C37" s="20" t="s">
        <v>688</v>
      </c>
      <c r="D37" s="138">
        <v>3260000</v>
      </c>
      <c r="E37" s="20" t="s">
        <v>490</v>
      </c>
      <c r="F37" s="20" t="s">
        <v>491</v>
      </c>
      <c r="G37" s="8" t="str">
        <f t="shared" si="0"/>
        <v>PAGE MARCUS</v>
      </c>
    </row>
    <row r="38" spans="1:7" x14ac:dyDescent="0.25">
      <c r="A38" s="8">
        <v>42937.246828703705</v>
      </c>
      <c r="B38" s="20" t="s">
        <v>522</v>
      </c>
      <c r="C38" s="20" t="s">
        <v>622</v>
      </c>
      <c r="D38" s="138">
        <v>1110000</v>
      </c>
      <c r="E38" s="20" t="s">
        <v>418</v>
      </c>
      <c r="F38" s="20" t="s">
        <v>419</v>
      </c>
      <c r="G38" s="8" t="str">
        <f t="shared" si="0"/>
        <v>STARKS ANGELINA</v>
      </c>
    </row>
    <row r="39" spans="1:7" x14ac:dyDescent="0.25">
      <c r="A39" s="8">
        <v>42937.247291666667</v>
      </c>
      <c r="B39" s="20" t="s">
        <v>639</v>
      </c>
      <c r="C39" s="20" t="s">
        <v>689</v>
      </c>
      <c r="D39" s="138">
        <v>2600000</v>
      </c>
      <c r="E39" s="20" t="s">
        <v>676</v>
      </c>
      <c r="F39" s="20" t="s">
        <v>677</v>
      </c>
      <c r="G39" s="8" t="str">
        <f t="shared" si="0"/>
        <v>DAVIDSON DAVID</v>
      </c>
    </row>
    <row r="40" spans="1:7" x14ac:dyDescent="0.25">
      <c r="A40" s="8">
        <v>42937.255023148151</v>
      </c>
      <c r="B40" s="25" t="s">
        <v>550</v>
      </c>
      <c r="C40" s="20" t="s">
        <v>690</v>
      </c>
      <c r="D40" s="138">
        <v>2970000</v>
      </c>
      <c r="E40" s="20" t="s">
        <v>367</v>
      </c>
      <c r="F40" s="20" t="s">
        <v>368</v>
      </c>
      <c r="G40" s="8" t="str">
        <f t="shared" si="0"/>
        <v>GUZMAN DANNY</v>
      </c>
    </row>
    <row r="41" spans="1:7" x14ac:dyDescent="0.25">
      <c r="A41" s="8">
        <v>42937.258217592593</v>
      </c>
      <c r="B41" s="20" t="s">
        <v>458</v>
      </c>
      <c r="C41" s="20" t="s">
        <v>691</v>
      </c>
      <c r="D41" s="138">
        <v>1090000</v>
      </c>
      <c r="E41" s="20" t="s">
        <v>548</v>
      </c>
      <c r="F41" s="20" t="s">
        <v>192</v>
      </c>
      <c r="G41" s="8" t="str">
        <f t="shared" si="0"/>
        <v>SPECTOR MICHAEL</v>
      </c>
    </row>
    <row r="42" spans="1:7" x14ac:dyDescent="0.25">
      <c r="A42" s="8">
        <v>42937.258599537039</v>
      </c>
      <c r="B42" s="20" t="s">
        <v>391</v>
      </c>
      <c r="C42" s="20" t="s">
        <v>692</v>
      </c>
      <c r="D42" s="138">
        <v>3310000</v>
      </c>
      <c r="E42" s="20" t="s">
        <v>492</v>
      </c>
      <c r="F42" s="20" t="s">
        <v>493</v>
      </c>
      <c r="G42" s="8" t="str">
        <f t="shared" si="0"/>
        <v>ANDERS STEVEN</v>
      </c>
    </row>
    <row r="43" spans="1:7" x14ac:dyDescent="0.25">
      <c r="A43" s="8">
        <v>42937.25922453704</v>
      </c>
      <c r="B43" s="20" t="s">
        <v>517</v>
      </c>
      <c r="C43" s="20" t="s">
        <v>623</v>
      </c>
      <c r="D43" s="138">
        <v>3040000</v>
      </c>
      <c r="E43" s="20" t="s">
        <v>370</v>
      </c>
      <c r="F43" s="20" t="s">
        <v>371</v>
      </c>
      <c r="G43" s="8" t="str">
        <f t="shared" si="0"/>
        <v>WILLIAMS DONTE</v>
      </c>
    </row>
    <row r="44" spans="1:7" x14ac:dyDescent="0.25">
      <c r="A44" s="8">
        <v>42937.260023148148</v>
      </c>
      <c r="B44" s="20" t="s">
        <v>654</v>
      </c>
      <c r="C44" s="20" t="s">
        <v>693</v>
      </c>
      <c r="D44" s="138">
        <v>3320000</v>
      </c>
      <c r="E44" s="20" t="s">
        <v>483</v>
      </c>
      <c r="F44" s="20" t="s">
        <v>484</v>
      </c>
      <c r="G44" s="8" t="str">
        <f t="shared" si="0"/>
        <v>NICHOLSON WESLEY</v>
      </c>
    </row>
    <row r="45" spans="1:7" x14ac:dyDescent="0.25">
      <c r="A45" s="8">
        <v>42937.266770833332</v>
      </c>
      <c r="B45" s="20" t="s">
        <v>455</v>
      </c>
      <c r="C45" s="20" t="s">
        <v>694</v>
      </c>
      <c r="D45" s="138">
        <v>1090000</v>
      </c>
      <c r="E45" s="20" t="s">
        <v>548</v>
      </c>
      <c r="F45" s="20" t="s">
        <v>192</v>
      </c>
      <c r="G45" s="8" t="str">
        <f t="shared" si="0"/>
        <v>SPECTOR MICHAEL</v>
      </c>
    </row>
    <row r="46" spans="1:7" x14ac:dyDescent="0.25">
      <c r="A46" s="8">
        <v>42937.268159722225</v>
      </c>
      <c r="B46" s="20" t="s">
        <v>630</v>
      </c>
      <c r="C46" s="20" t="s">
        <v>695</v>
      </c>
      <c r="D46" s="138">
        <v>1990000</v>
      </c>
      <c r="E46" s="20" t="s">
        <v>380</v>
      </c>
      <c r="F46" s="20" t="s">
        <v>523</v>
      </c>
      <c r="G46" s="8" t="str">
        <f t="shared" si="0"/>
        <v>DAVIS WENDY</v>
      </c>
    </row>
    <row r="47" spans="1:7" x14ac:dyDescent="0.25">
      <c r="A47" s="8">
        <v>42937.269849537035</v>
      </c>
      <c r="B47" s="20" t="s">
        <v>551</v>
      </c>
      <c r="C47" s="20" t="s">
        <v>696</v>
      </c>
      <c r="D47" s="138">
        <v>2970000</v>
      </c>
      <c r="E47" s="20" t="s">
        <v>367</v>
      </c>
      <c r="F47" s="20" t="s">
        <v>368</v>
      </c>
      <c r="G47" s="8" t="str">
        <f t="shared" si="0"/>
        <v>GUZMAN DANNY</v>
      </c>
    </row>
    <row r="48" spans="1:7" x14ac:dyDescent="0.25">
      <c r="A48" s="8">
        <v>42937.275520833333</v>
      </c>
      <c r="B48" s="20" t="s">
        <v>626</v>
      </c>
      <c r="C48" s="20" t="s">
        <v>697</v>
      </c>
      <c r="D48" s="138">
        <v>3320000</v>
      </c>
      <c r="E48" s="20" t="s">
        <v>483</v>
      </c>
      <c r="F48" s="20" t="s">
        <v>484</v>
      </c>
      <c r="G48" s="8" t="str">
        <f t="shared" si="0"/>
        <v>NICHOLSON WESLEY</v>
      </c>
    </row>
    <row r="49" spans="1:7" x14ac:dyDescent="0.25">
      <c r="A49" s="8">
        <v>42937.278495370374</v>
      </c>
      <c r="B49" s="20" t="s">
        <v>624</v>
      </c>
      <c r="C49" s="20" t="s">
        <v>698</v>
      </c>
      <c r="D49" s="138">
        <v>890000</v>
      </c>
      <c r="E49" s="20" t="s">
        <v>502</v>
      </c>
      <c r="F49" s="20" t="s">
        <v>503</v>
      </c>
      <c r="G49" s="8" t="str">
        <f t="shared" si="0"/>
        <v>LOZA FIDEL</v>
      </c>
    </row>
    <row r="50" spans="1:7" x14ac:dyDescent="0.25">
      <c r="A50" s="8">
        <v>42937.280648148146</v>
      </c>
      <c r="B50" s="20" t="s">
        <v>458</v>
      </c>
      <c r="C50" s="20" t="s">
        <v>699</v>
      </c>
      <c r="D50" s="138">
        <v>1110000</v>
      </c>
      <c r="E50" s="20" t="s">
        <v>418</v>
      </c>
      <c r="F50" s="20" t="s">
        <v>419</v>
      </c>
      <c r="G50" s="8" t="str">
        <f t="shared" si="0"/>
        <v>STARKS ANGELINA</v>
      </c>
    </row>
    <row r="51" spans="1:7" x14ac:dyDescent="0.25">
      <c r="A51" s="8">
        <v>42937.287314814814</v>
      </c>
      <c r="B51" s="20" t="s">
        <v>518</v>
      </c>
      <c r="C51" s="20" t="s">
        <v>700</v>
      </c>
      <c r="D51" s="138">
        <v>3260000</v>
      </c>
      <c r="E51" s="20" t="s">
        <v>490</v>
      </c>
      <c r="F51" s="20" t="s">
        <v>491</v>
      </c>
      <c r="G51" s="8" t="str">
        <f t="shared" si="0"/>
        <v>PAGE MARCUS</v>
      </c>
    </row>
    <row r="52" spans="1:7" x14ac:dyDescent="0.25">
      <c r="A52" s="8">
        <v>42937.287719907406</v>
      </c>
      <c r="B52" s="20" t="s">
        <v>392</v>
      </c>
      <c r="C52" s="20" t="s">
        <v>701</v>
      </c>
      <c r="D52" s="138">
        <v>3310000</v>
      </c>
      <c r="E52" s="20" t="s">
        <v>492</v>
      </c>
      <c r="F52" s="20" t="s">
        <v>493</v>
      </c>
      <c r="G52" s="8" t="str">
        <f t="shared" si="0"/>
        <v>ANDERS STEVEN</v>
      </c>
    </row>
    <row r="53" spans="1:7" x14ac:dyDescent="0.25">
      <c r="A53" s="8">
        <v>42937.287939814814</v>
      </c>
      <c r="B53" s="20" t="s">
        <v>633</v>
      </c>
      <c r="C53" s="20" t="s">
        <v>702</v>
      </c>
      <c r="D53" s="138">
        <v>2600000</v>
      </c>
      <c r="E53" s="20" t="s">
        <v>676</v>
      </c>
      <c r="F53" s="20" t="s">
        <v>677</v>
      </c>
      <c r="G53" s="8" t="str">
        <f t="shared" si="0"/>
        <v>DAVIDSON DAVID</v>
      </c>
    </row>
    <row r="54" spans="1:7" x14ac:dyDescent="0.25">
      <c r="A54" s="8">
        <v>42937.29178240741</v>
      </c>
      <c r="B54" s="20" t="s">
        <v>654</v>
      </c>
      <c r="C54" s="20" t="s">
        <v>703</v>
      </c>
      <c r="D54" s="138">
        <v>3320000</v>
      </c>
      <c r="E54" s="20" t="s">
        <v>483</v>
      </c>
      <c r="F54" s="20" t="s">
        <v>484</v>
      </c>
      <c r="G54" s="8" t="str">
        <f t="shared" si="0"/>
        <v>NICHOLSON WESLEY</v>
      </c>
    </row>
    <row r="55" spans="1:7" x14ac:dyDescent="0.25">
      <c r="A55" s="8">
        <v>42937.295995370368</v>
      </c>
      <c r="B55" s="20" t="s">
        <v>550</v>
      </c>
      <c r="C55" s="20" t="s">
        <v>704</v>
      </c>
      <c r="D55" s="138">
        <v>2970000</v>
      </c>
      <c r="E55" s="20" t="s">
        <v>367</v>
      </c>
      <c r="F55" s="20" t="s">
        <v>368</v>
      </c>
      <c r="G55" s="8" t="str">
        <f t="shared" si="0"/>
        <v>GUZMAN DANNY</v>
      </c>
    </row>
    <row r="56" spans="1:7" x14ac:dyDescent="0.25">
      <c r="A56" s="8">
        <v>42937.299907407411</v>
      </c>
      <c r="B56" s="20" t="s">
        <v>476</v>
      </c>
      <c r="C56" s="20" t="s">
        <v>705</v>
      </c>
      <c r="D56" s="138">
        <v>3040000</v>
      </c>
      <c r="E56" s="20" t="s">
        <v>370</v>
      </c>
      <c r="F56" s="20" t="s">
        <v>371</v>
      </c>
      <c r="G56" s="8" t="str">
        <f t="shared" si="0"/>
        <v>WILLIAMS DONTE</v>
      </c>
    </row>
    <row r="57" spans="1:7" x14ac:dyDescent="0.25">
      <c r="A57" s="8">
        <v>42937.305636574078</v>
      </c>
      <c r="B57" s="20" t="s">
        <v>628</v>
      </c>
      <c r="C57" s="20" t="s">
        <v>706</v>
      </c>
      <c r="D57" s="138">
        <v>1990000</v>
      </c>
      <c r="E57" s="20" t="s">
        <v>380</v>
      </c>
      <c r="F57" s="20" t="s">
        <v>523</v>
      </c>
      <c r="G57" s="8" t="str">
        <f t="shared" si="0"/>
        <v>DAVIS WENDY</v>
      </c>
    </row>
    <row r="58" spans="1:7" x14ac:dyDescent="0.25">
      <c r="A58" s="8">
        <v>42937.311041666668</v>
      </c>
      <c r="B58" s="20" t="s">
        <v>551</v>
      </c>
      <c r="C58" s="20" t="s">
        <v>707</v>
      </c>
      <c r="D58" s="138">
        <v>2970000</v>
      </c>
      <c r="E58" s="20" t="s">
        <v>367</v>
      </c>
      <c r="F58" s="20" t="s">
        <v>368</v>
      </c>
      <c r="G58" s="8" t="str">
        <f t="shared" si="0"/>
        <v>GUZMAN DANNY</v>
      </c>
    </row>
    <row r="59" spans="1:7" x14ac:dyDescent="0.25">
      <c r="A59" s="8">
        <v>42937.317442129628</v>
      </c>
      <c r="B59" s="20" t="s">
        <v>626</v>
      </c>
      <c r="C59" s="20" t="s">
        <v>708</v>
      </c>
      <c r="D59" s="138">
        <v>3320000</v>
      </c>
      <c r="E59" s="20" t="s">
        <v>483</v>
      </c>
      <c r="F59" s="20" t="s">
        <v>484</v>
      </c>
      <c r="G59" s="8" t="str">
        <f t="shared" si="0"/>
        <v>NICHOLSON WESLEY</v>
      </c>
    </row>
    <row r="60" spans="1:7" x14ac:dyDescent="0.25">
      <c r="A60" s="8">
        <v>42937.319212962961</v>
      </c>
      <c r="B60" s="20" t="s">
        <v>455</v>
      </c>
      <c r="C60" s="20" t="s">
        <v>709</v>
      </c>
      <c r="D60" s="138">
        <v>1110000</v>
      </c>
      <c r="E60" s="20" t="s">
        <v>418</v>
      </c>
      <c r="F60" s="20" t="s">
        <v>419</v>
      </c>
      <c r="G60" s="8" t="str">
        <f t="shared" si="0"/>
        <v>STARKS ANGELINA</v>
      </c>
    </row>
    <row r="61" spans="1:7" x14ac:dyDescent="0.25">
      <c r="A61" s="8">
        <v>42937.319340277776</v>
      </c>
      <c r="B61" s="20" t="s">
        <v>521</v>
      </c>
      <c r="C61" s="20" t="s">
        <v>710</v>
      </c>
      <c r="D61" s="138">
        <v>3260000</v>
      </c>
      <c r="E61" s="20" t="s">
        <v>490</v>
      </c>
      <c r="F61" s="20" t="s">
        <v>491</v>
      </c>
      <c r="G61" s="8" t="str">
        <f t="shared" si="0"/>
        <v>PAGE MARCUS</v>
      </c>
    </row>
    <row r="62" spans="1:7" x14ac:dyDescent="0.25">
      <c r="A62" s="8">
        <v>42937.320740740739</v>
      </c>
      <c r="B62" s="20" t="s">
        <v>639</v>
      </c>
      <c r="C62" s="20" t="s">
        <v>711</v>
      </c>
      <c r="D62" s="138">
        <v>2600000</v>
      </c>
      <c r="E62" s="20" t="s">
        <v>676</v>
      </c>
      <c r="F62" s="20" t="s">
        <v>677</v>
      </c>
      <c r="G62" s="8" t="str">
        <f t="shared" si="0"/>
        <v>DAVIDSON DAVID</v>
      </c>
    </row>
    <row r="63" spans="1:7" x14ac:dyDescent="0.25">
      <c r="A63" s="8">
        <v>42937.330810185187</v>
      </c>
      <c r="B63" s="20" t="s">
        <v>391</v>
      </c>
      <c r="C63" s="20" t="s">
        <v>712</v>
      </c>
      <c r="D63" s="138">
        <v>3310000</v>
      </c>
      <c r="E63" s="20" t="s">
        <v>492</v>
      </c>
      <c r="F63" s="20" t="s">
        <v>493</v>
      </c>
      <c r="G63" s="8" t="str">
        <f t="shared" si="0"/>
        <v>ANDERS STEVEN</v>
      </c>
    </row>
    <row r="64" spans="1:7" x14ac:dyDescent="0.25">
      <c r="A64" s="26">
        <v>42937.33189814815</v>
      </c>
      <c r="B64" s="20" t="s">
        <v>517</v>
      </c>
      <c r="C64" s="20" t="s">
        <v>713</v>
      </c>
      <c r="D64" s="138">
        <v>3040000</v>
      </c>
      <c r="E64" s="20" t="s">
        <v>370</v>
      </c>
      <c r="F64" s="20" t="s">
        <v>371</v>
      </c>
      <c r="G64" s="8" t="str">
        <f t="shared" si="0"/>
        <v>WILLIAMS DONTE</v>
      </c>
    </row>
    <row r="65" spans="1:7" x14ac:dyDescent="0.25">
      <c r="A65" s="8">
        <v>42937.336319444446</v>
      </c>
      <c r="B65" s="20" t="s">
        <v>654</v>
      </c>
      <c r="C65" s="20" t="s">
        <v>714</v>
      </c>
      <c r="D65" s="138">
        <v>3320000</v>
      </c>
      <c r="E65" s="20" t="s">
        <v>483</v>
      </c>
      <c r="F65" s="20" t="s">
        <v>484</v>
      </c>
      <c r="G65" s="8" t="str">
        <f t="shared" si="0"/>
        <v>NICHOLSON WESLEY</v>
      </c>
    </row>
    <row r="66" spans="1:7" x14ac:dyDescent="0.25">
      <c r="A66" s="8">
        <v>42937.337905092594</v>
      </c>
      <c r="B66" s="20" t="s">
        <v>550</v>
      </c>
      <c r="C66" s="20" t="s">
        <v>715</v>
      </c>
      <c r="D66" s="138">
        <v>2970000</v>
      </c>
      <c r="E66" s="20" t="s">
        <v>367</v>
      </c>
      <c r="F66" s="20" t="s">
        <v>368</v>
      </c>
      <c r="G66" s="8" t="str">
        <f t="shared" si="0"/>
        <v>GUZMAN DANNY</v>
      </c>
    </row>
    <row r="67" spans="1:7" x14ac:dyDescent="0.25">
      <c r="A67" s="8">
        <v>42937.341238425928</v>
      </c>
      <c r="B67" s="20" t="s">
        <v>630</v>
      </c>
      <c r="C67" s="20" t="s">
        <v>716</v>
      </c>
      <c r="D67" s="138">
        <v>1990000</v>
      </c>
      <c r="E67" s="20" t="s">
        <v>380</v>
      </c>
      <c r="F67" s="20" t="s">
        <v>523</v>
      </c>
      <c r="G67" s="8" t="str">
        <f t="shared" ref="G67:G130" si="1">E67&amp;" "&amp;F67</f>
        <v>DAVIS WENDY</v>
      </c>
    </row>
    <row r="68" spans="1:7" x14ac:dyDescent="0.25">
      <c r="A68" s="8">
        <v>42937.348368055558</v>
      </c>
      <c r="B68" s="20" t="s">
        <v>624</v>
      </c>
      <c r="C68" s="20" t="s">
        <v>625</v>
      </c>
      <c r="D68" s="138">
        <v>3300000</v>
      </c>
      <c r="E68" s="20" t="s">
        <v>487</v>
      </c>
      <c r="F68" s="20" t="s">
        <v>467</v>
      </c>
      <c r="G68" s="8" t="str">
        <f t="shared" si="1"/>
        <v>LANGERAK WILLIAM</v>
      </c>
    </row>
    <row r="69" spans="1:7" x14ac:dyDescent="0.25">
      <c r="A69" s="8">
        <v>42937.351875</v>
      </c>
      <c r="B69" s="20" t="s">
        <v>458</v>
      </c>
      <c r="C69" s="20" t="s">
        <v>717</v>
      </c>
      <c r="D69" s="138">
        <v>1110000</v>
      </c>
      <c r="E69" s="20" t="s">
        <v>418</v>
      </c>
      <c r="F69" s="20" t="s">
        <v>419</v>
      </c>
      <c r="G69" s="8" t="str">
        <f t="shared" si="1"/>
        <v>STARKS ANGELINA</v>
      </c>
    </row>
    <row r="70" spans="1:7" x14ac:dyDescent="0.25">
      <c r="A70" s="8">
        <v>42937.353483796294</v>
      </c>
      <c r="B70" s="20" t="s">
        <v>551</v>
      </c>
      <c r="C70" s="20" t="s">
        <v>718</v>
      </c>
      <c r="D70" s="138">
        <v>2970000</v>
      </c>
      <c r="E70" s="20" t="s">
        <v>367</v>
      </c>
      <c r="F70" s="20" t="s">
        <v>368</v>
      </c>
      <c r="G70" s="8" t="str">
        <f t="shared" si="1"/>
        <v>GUZMAN DANNY</v>
      </c>
    </row>
    <row r="71" spans="1:7" x14ac:dyDescent="0.25">
      <c r="A71" s="8">
        <v>42937.355358796296</v>
      </c>
      <c r="B71" s="20" t="s">
        <v>518</v>
      </c>
      <c r="C71" s="20" t="s">
        <v>719</v>
      </c>
      <c r="D71" s="138">
        <v>3260000</v>
      </c>
      <c r="E71" s="20" t="s">
        <v>490</v>
      </c>
      <c r="F71" s="20" t="s">
        <v>491</v>
      </c>
      <c r="G71" s="8" t="str">
        <f t="shared" si="1"/>
        <v>PAGE MARCUS</v>
      </c>
    </row>
    <row r="72" spans="1:7" x14ac:dyDescent="0.25">
      <c r="A72" s="8">
        <v>42937.360694444447</v>
      </c>
      <c r="B72" s="20" t="s">
        <v>633</v>
      </c>
      <c r="C72" s="20" t="s">
        <v>720</v>
      </c>
      <c r="D72" s="138">
        <v>2600000</v>
      </c>
      <c r="E72" s="20" t="s">
        <v>676</v>
      </c>
      <c r="F72" s="20" t="s">
        <v>677</v>
      </c>
      <c r="G72" s="8" t="str">
        <f t="shared" si="1"/>
        <v>DAVIDSON DAVID</v>
      </c>
    </row>
    <row r="73" spans="1:7" x14ac:dyDescent="0.25">
      <c r="A73" s="8">
        <v>42937.360810185186</v>
      </c>
      <c r="B73" s="20" t="s">
        <v>626</v>
      </c>
      <c r="C73" s="20" t="s">
        <v>721</v>
      </c>
      <c r="D73" s="138">
        <v>3320000</v>
      </c>
      <c r="E73" s="20" t="s">
        <v>483</v>
      </c>
      <c r="F73" s="20" t="s">
        <v>484</v>
      </c>
      <c r="G73" s="8" t="str">
        <f t="shared" si="1"/>
        <v>NICHOLSON WESLEY</v>
      </c>
    </row>
    <row r="74" spans="1:7" x14ac:dyDescent="0.25">
      <c r="A74" s="8">
        <v>42937.360810185186</v>
      </c>
      <c r="B74" s="20" t="s">
        <v>392</v>
      </c>
      <c r="C74" s="20" t="s">
        <v>722</v>
      </c>
      <c r="D74" s="138">
        <v>3310000</v>
      </c>
      <c r="E74" s="20" t="s">
        <v>492</v>
      </c>
      <c r="F74" s="20" t="s">
        <v>493</v>
      </c>
      <c r="G74" s="8" t="str">
        <f t="shared" si="1"/>
        <v>ANDERS STEVEN</v>
      </c>
    </row>
    <row r="75" spans="1:7" x14ac:dyDescent="0.25">
      <c r="A75" s="8">
        <v>42937.365486111114</v>
      </c>
      <c r="B75" s="20" t="s">
        <v>544</v>
      </c>
      <c r="C75" s="20" t="s">
        <v>662</v>
      </c>
      <c r="D75" s="138">
        <v>1090000</v>
      </c>
      <c r="E75" s="20" t="s">
        <v>548</v>
      </c>
      <c r="F75" s="20" t="s">
        <v>192</v>
      </c>
      <c r="G75" s="8" t="str">
        <f t="shared" si="1"/>
        <v>SPECTOR MICHAEL</v>
      </c>
    </row>
    <row r="76" spans="1:7" x14ac:dyDescent="0.25">
      <c r="A76" s="8">
        <v>42937.372789351852</v>
      </c>
      <c r="B76" s="20" t="s">
        <v>476</v>
      </c>
      <c r="C76" s="20" t="s">
        <v>723</v>
      </c>
      <c r="D76" s="138">
        <v>3040000</v>
      </c>
      <c r="E76" s="20" t="s">
        <v>370</v>
      </c>
      <c r="F76" s="20" t="s">
        <v>371</v>
      </c>
      <c r="G76" s="8" t="str">
        <f t="shared" si="1"/>
        <v>WILLIAMS DONTE</v>
      </c>
    </row>
    <row r="77" spans="1:7" x14ac:dyDescent="0.25">
      <c r="A77" s="8">
        <v>42937.3746875</v>
      </c>
      <c r="B77" s="20" t="s">
        <v>654</v>
      </c>
      <c r="C77" s="20" t="s">
        <v>724</v>
      </c>
      <c r="D77" s="138">
        <v>3320000</v>
      </c>
      <c r="E77" s="20" t="s">
        <v>483</v>
      </c>
      <c r="F77" s="20" t="s">
        <v>484</v>
      </c>
      <c r="G77" s="8" t="str">
        <f t="shared" si="1"/>
        <v>NICHOLSON WESLEY</v>
      </c>
    </row>
    <row r="78" spans="1:7" x14ac:dyDescent="0.25">
      <c r="A78" s="8">
        <v>42937.379120370373</v>
      </c>
      <c r="B78" s="20" t="s">
        <v>628</v>
      </c>
      <c r="C78" s="20" t="s">
        <v>725</v>
      </c>
      <c r="D78" s="138">
        <v>1990000</v>
      </c>
      <c r="E78" s="20" t="s">
        <v>380</v>
      </c>
      <c r="F78" s="20" t="s">
        <v>523</v>
      </c>
      <c r="G78" s="8" t="str">
        <f t="shared" si="1"/>
        <v>DAVIS WENDY</v>
      </c>
    </row>
    <row r="79" spans="1:7" x14ac:dyDescent="0.25">
      <c r="A79" s="8">
        <v>42937.385763888888</v>
      </c>
      <c r="B79" s="20" t="s">
        <v>544</v>
      </c>
      <c r="C79" s="20" t="s">
        <v>726</v>
      </c>
      <c r="D79" s="138">
        <v>890000</v>
      </c>
      <c r="E79" s="20" t="s">
        <v>502</v>
      </c>
      <c r="F79" s="20" t="s">
        <v>503</v>
      </c>
      <c r="G79" s="8" t="str">
        <f t="shared" si="1"/>
        <v>LOZA FIDEL</v>
      </c>
    </row>
    <row r="80" spans="1:7" x14ac:dyDescent="0.25">
      <c r="A80" s="8">
        <v>42937.391655092593</v>
      </c>
      <c r="B80" s="20" t="s">
        <v>455</v>
      </c>
      <c r="C80" s="20" t="s">
        <v>727</v>
      </c>
      <c r="D80" s="138">
        <v>1110000</v>
      </c>
      <c r="E80" s="20" t="s">
        <v>418</v>
      </c>
      <c r="F80" s="20" t="s">
        <v>419</v>
      </c>
      <c r="G80" s="8" t="str">
        <f t="shared" si="1"/>
        <v>STARKS ANGELINA</v>
      </c>
    </row>
    <row r="81" spans="1:7" x14ac:dyDescent="0.25">
      <c r="A81" s="8">
        <v>42937.392060185186</v>
      </c>
      <c r="B81" s="20" t="s">
        <v>639</v>
      </c>
      <c r="C81" s="20" t="s">
        <v>728</v>
      </c>
      <c r="D81" s="138">
        <v>2600000</v>
      </c>
      <c r="E81" s="20" t="s">
        <v>676</v>
      </c>
      <c r="F81" s="20" t="s">
        <v>677</v>
      </c>
      <c r="G81" s="8" t="str">
        <f t="shared" si="1"/>
        <v>DAVIDSON DAVID</v>
      </c>
    </row>
    <row r="82" spans="1:7" x14ac:dyDescent="0.25">
      <c r="A82" s="8">
        <v>42937.392893518518</v>
      </c>
      <c r="B82" s="20" t="s">
        <v>729</v>
      </c>
      <c r="C82" s="20" t="s">
        <v>730</v>
      </c>
      <c r="D82" s="138">
        <v>1780000</v>
      </c>
      <c r="E82" s="20" t="s">
        <v>485</v>
      </c>
      <c r="F82" s="20" t="s">
        <v>486</v>
      </c>
      <c r="G82" s="8" t="str">
        <f t="shared" si="1"/>
        <v>DE LA ROSA ALEX</v>
      </c>
    </row>
    <row r="83" spans="1:7" x14ac:dyDescent="0.25">
      <c r="A83" s="8">
        <v>42937.394872685189</v>
      </c>
      <c r="B83" s="20" t="s">
        <v>521</v>
      </c>
      <c r="C83" s="20" t="s">
        <v>731</v>
      </c>
      <c r="D83" s="138">
        <v>3260000</v>
      </c>
      <c r="E83" s="20" t="s">
        <v>490</v>
      </c>
      <c r="F83" s="20" t="s">
        <v>491</v>
      </c>
      <c r="G83" s="8" t="str">
        <f t="shared" si="1"/>
        <v>PAGE MARCUS</v>
      </c>
    </row>
    <row r="84" spans="1:7" x14ac:dyDescent="0.25">
      <c r="A84" s="8">
        <v>42937.398159722223</v>
      </c>
      <c r="B84" s="20" t="s">
        <v>729</v>
      </c>
      <c r="C84" s="20" t="s">
        <v>730</v>
      </c>
      <c r="D84" s="138">
        <v>1780000</v>
      </c>
      <c r="E84" s="20" t="s">
        <v>485</v>
      </c>
      <c r="F84" s="20" t="s">
        <v>486</v>
      </c>
      <c r="G84" s="8" t="str">
        <f t="shared" si="1"/>
        <v>DE LA ROSA ALEX</v>
      </c>
    </row>
    <row r="85" spans="1:7" x14ac:dyDescent="0.25">
      <c r="A85" s="8">
        <v>42937.401736111111</v>
      </c>
      <c r="B85" s="20" t="s">
        <v>624</v>
      </c>
      <c r="C85" s="20" t="s">
        <v>730</v>
      </c>
      <c r="D85" s="138">
        <v>1780000</v>
      </c>
      <c r="E85" s="20" t="s">
        <v>485</v>
      </c>
      <c r="F85" s="20" t="s">
        <v>486</v>
      </c>
      <c r="G85" s="8" t="str">
        <f t="shared" si="1"/>
        <v>DE LA ROSA ALEX</v>
      </c>
    </row>
    <row r="86" spans="1:7" x14ac:dyDescent="0.25">
      <c r="A86" s="8">
        <v>42937.402384259258</v>
      </c>
      <c r="B86" s="20" t="s">
        <v>626</v>
      </c>
      <c r="C86" s="20" t="s">
        <v>732</v>
      </c>
      <c r="D86" s="138">
        <v>3320000</v>
      </c>
      <c r="E86" s="20" t="s">
        <v>483</v>
      </c>
      <c r="F86" s="20" t="s">
        <v>484</v>
      </c>
      <c r="G86" s="8" t="str">
        <f t="shared" si="1"/>
        <v>NICHOLSON WESLEY</v>
      </c>
    </row>
    <row r="87" spans="1:7" x14ac:dyDescent="0.25">
      <c r="A87" s="8">
        <v>42937.402662037035</v>
      </c>
      <c r="B87" s="20" t="s">
        <v>391</v>
      </c>
      <c r="C87" s="20" t="s">
        <v>733</v>
      </c>
      <c r="D87" s="138">
        <v>3310000</v>
      </c>
      <c r="E87" s="20" t="s">
        <v>492</v>
      </c>
      <c r="F87" s="20" t="s">
        <v>493</v>
      </c>
      <c r="G87" s="8" t="str">
        <f t="shared" si="1"/>
        <v>ANDERS STEVEN</v>
      </c>
    </row>
    <row r="88" spans="1:7" x14ac:dyDescent="0.25">
      <c r="A88" s="8">
        <v>42937.404606481483</v>
      </c>
      <c r="B88" s="20" t="s">
        <v>517</v>
      </c>
      <c r="C88" s="20" t="s">
        <v>734</v>
      </c>
      <c r="D88" s="138">
        <v>3040000</v>
      </c>
      <c r="E88" s="20" t="s">
        <v>370</v>
      </c>
      <c r="F88" s="20" t="s">
        <v>371</v>
      </c>
      <c r="G88" s="8" t="str">
        <f t="shared" si="1"/>
        <v>WILLIAMS DONTE</v>
      </c>
    </row>
    <row r="89" spans="1:7" x14ac:dyDescent="0.25">
      <c r="A89" s="8">
        <v>42937.413715277777</v>
      </c>
      <c r="B89" s="20" t="s">
        <v>630</v>
      </c>
      <c r="C89" s="20" t="s">
        <v>735</v>
      </c>
      <c r="D89" s="138">
        <v>1990000</v>
      </c>
      <c r="E89" s="20" t="s">
        <v>380</v>
      </c>
      <c r="F89" s="20" t="s">
        <v>523</v>
      </c>
      <c r="G89" s="8" t="str">
        <f t="shared" si="1"/>
        <v>DAVIS WENDY</v>
      </c>
    </row>
    <row r="90" spans="1:7" x14ac:dyDescent="0.25">
      <c r="A90" s="8">
        <v>42937.414780092593</v>
      </c>
      <c r="B90" s="20" t="s">
        <v>522</v>
      </c>
      <c r="C90" s="20" t="s">
        <v>736</v>
      </c>
      <c r="D90" s="138">
        <v>3300000</v>
      </c>
      <c r="E90" s="20" t="s">
        <v>487</v>
      </c>
      <c r="F90" s="20" t="s">
        <v>467</v>
      </c>
      <c r="G90" s="8" t="str">
        <f t="shared" si="1"/>
        <v>LANGERAK WILLIAM</v>
      </c>
    </row>
    <row r="91" spans="1:7" x14ac:dyDescent="0.25">
      <c r="A91" s="8">
        <v>42937.416030092594</v>
      </c>
      <c r="B91" s="20" t="s">
        <v>654</v>
      </c>
      <c r="C91" s="20" t="s">
        <v>737</v>
      </c>
      <c r="D91" s="138">
        <v>3320000</v>
      </c>
      <c r="E91" s="20" t="s">
        <v>483</v>
      </c>
      <c r="F91" s="20" t="s">
        <v>484</v>
      </c>
      <c r="G91" s="8" t="str">
        <f t="shared" si="1"/>
        <v>NICHOLSON WESLEY</v>
      </c>
    </row>
    <row r="92" spans="1:7" x14ac:dyDescent="0.25">
      <c r="A92" s="8">
        <v>42937.423495370371</v>
      </c>
      <c r="B92" s="20" t="s">
        <v>458</v>
      </c>
      <c r="C92" s="20" t="s">
        <v>738</v>
      </c>
      <c r="D92" s="138">
        <v>2970000</v>
      </c>
      <c r="E92" s="20" t="s">
        <v>367</v>
      </c>
      <c r="F92" s="20" t="s">
        <v>368</v>
      </c>
      <c r="G92" s="8" t="str">
        <f t="shared" si="1"/>
        <v>GUZMAN DANNY</v>
      </c>
    </row>
    <row r="93" spans="1:7" x14ac:dyDescent="0.25">
      <c r="A93" s="8">
        <v>42937.433506944442</v>
      </c>
      <c r="B93" s="20" t="s">
        <v>518</v>
      </c>
      <c r="C93" s="20" t="s">
        <v>739</v>
      </c>
      <c r="D93" s="138">
        <v>3260000</v>
      </c>
      <c r="E93" s="20" t="s">
        <v>490</v>
      </c>
      <c r="F93" s="20" t="s">
        <v>491</v>
      </c>
      <c r="G93" s="8" t="str">
        <f t="shared" si="1"/>
        <v>PAGE MARCUS</v>
      </c>
    </row>
    <row r="94" spans="1:7" x14ac:dyDescent="0.25">
      <c r="A94" s="8">
        <v>42937.433518518519</v>
      </c>
      <c r="B94" s="20" t="s">
        <v>392</v>
      </c>
      <c r="C94" s="20" t="s">
        <v>740</v>
      </c>
      <c r="D94" s="138">
        <v>3310000</v>
      </c>
      <c r="E94" s="20" t="s">
        <v>492</v>
      </c>
      <c r="F94" s="20" t="s">
        <v>493</v>
      </c>
      <c r="G94" s="8" t="str">
        <f t="shared" si="1"/>
        <v>ANDERS STEVEN</v>
      </c>
    </row>
    <row r="95" spans="1:7" x14ac:dyDescent="0.25">
      <c r="A95" s="8">
        <v>42937.433969907404</v>
      </c>
      <c r="B95" s="20" t="s">
        <v>633</v>
      </c>
      <c r="C95" s="20" t="s">
        <v>741</v>
      </c>
      <c r="D95" s="138">
        <v>2600000</v>
      </c>
      <c r="E95" s="20" t="s">
        <v>676</v>
      </c>
      <c r="F95" s="20" t="s">
        <v>677</v>
      </c>
      <c r="G95" s="8" t="str">
        <f t="shared" si="1"/>
        <v>DAVIDSON DAVID</v>
      </c>
    </row>
    <row r="96" spans="1:7" x14ac:dyDescent="0.25">
      <c r="A96" s="8">
        <v>42937.443067129629</v>
      </c>
      <c r="B96" s="20" t="s">
        <v>626</v>
      </c>
      <c r="C96" s="20" t="s">
        <v>627</v>
      </c>
      <c r="D96" s="138">
        <v>3320000</v>
      </c>
      <c r="E96" s="20" t="s">
        <v>483</v>
      </c>
      <c r="F96" s="20" t="s">
        <v>484</v>
      </c>
      <c r="G96" s="8" t="str">
        <f t="shared" si="1"/>
        <v>NICHOLSON WESLEY</v>
      </c>
    </row>
    <row r="97" spans="1:7" x14ac:dyDescent="0.25">
      <c r="A97" s="8">
        <v>42937.445740740739</v>
      </c>
      <c r="B97" s="20" t="s">
        <v>476</v>
      </c>
      <c r="C97" s="20" t="s">
        <v>742</v>
      </c>
      <c r="D97" s="138">
        <v>3010000</v>
      </c>
      <c r="E97" s="20" t="s">
        <v>549</v>
      </c>
      <c r="F97" s="20" t="s">
        <v>497</v>
      </c>
      <c r="G97" s="8" t="str">
        <f t="shared" si="1"/>
        <v>SULLIVAN BRANDON</v>
      </c>
    </row>
    <row r="98" spans="1:7" x14ac:dyDescent="0.25">
      <c r="A98" s="8">
        <v>42937.453831018516</v>
      </c>
      <c r="B98" s="20" t="s">
        <v>628</v>
      </c>
      <c r="C98" s="20" t="s">
        <v>629</v>
      </c>
      <c r="D98" s="138">
        <v>1990000</v>
      </c>
      <c r="E98" s="20" t="s">
        <v>380</v>
      </c>
      <c r="F98" s="20" t="s">
        <v>523</v>
      </c>
      <c r="G98" s="8" t="str">
        <f t="shared" si="1"/>
        <v>DAVIS WENDY</v>
      </c>
    </row>
    <row r="99" spans="1:7" x14ac:dyDescent="0.25">
      <c r="A99" s="8">
        <v>42937.454351851855</v>
      </c>
      <c r="B99" s="20" t="s">
        <v>455</v>
      </c>
      <c r="C99" s="20" t="s">
        <v>743</v>
      </c>
      <c r="D99" s="138">
        <v>2970000</v>
      </c>
      <c r="E99" s="20" t="s">
        <v>367</v>
      </c>
      <c r="F99" s="20" t="s">
        <v>368</v>
      </c>
      <c r="G99" s="8" t="str">
        <f t="shared" si="1"/>
        <v>GUZMAN DANNY</v>
      </c>
    </row>
    <row r="100" spans="1:7" x14ac:dyDescent="0.25">
      <c r="A100" s="8">
        <v>42937.454710648148</v>
      </c>
      <c r="B100" s="20" t="s">
        <v>544</v>
      </c>
      <c r="C100" s="20" t="s">
        <v>744</v>
      </c>
      <c r="D100" s="138">
        <v>3300000</v>
      </c>
      <c r="E100" s="20" t="s">
        <v>487</v>
      </c>
      <c r="F100" s="20" t="s">
        <v>467</v>
      </c>
      <c r="G100" s="8" t="str">
        <f t="shared" si="1"/>
        <v>LANGERAK WILLIAM</v>
      </c>
    </row>
    <row r="101" spans="1:7" x14ac:dyDescent="0.25">
      <c r="A101" s="8">
        <v>42937.458391203705</v>
      </c>
      <c r="B101" s="20" t="s">
        <v>654</v>
      </c>
      <c r="C101" s="20" t="s">
        <v>745</v>
      </c>
      <c r="D101" s="138">
        <v>3320000</v>
      </c>
      <c r="E101" s="20" t="s">
        <v>483</v>
      </c>
      <c r="F101" s="20" t="s">
        <v>484</v>
      </c>
      <c r="G101" s="8" t="str">
        <f t="shared" si="1"/>
        <v>NICHOLSON WESLEY</v>
      </c>
    </row>
    <row r="102" spans="1:7" x14ac:dyDescent="0.25">
      <c r="A102" s="8">
        <v>42937.465787037036</v>
      </c>
      <c r="B102" s="20" t="s">
        <v>639</v>
      </c>
      <c r="C102" s="20" t="s">
        <v>746</v>
      </c>
      <c r="D102" s="138">
        <v>2600000</v>
      </c>
      <c r="E102" s="20" t="s">
        <v>676</v>
      </c>
      <c r="F102" s="20" t="s">
        <v>677</v>
      </c>
      <c r="G102" s="8" t="str">
        <f t="shared" si="1"/>
        <v>DAVIDSON DAVID</v>
      </c>
    </row>
    <row r="103" spans="1:7" x14ac:dyDescent="0.25">
      <c r="A103" s="8">
        <v>42937.466736111113</v>
      </c>
      <c r="B103" s="20" t="s">
        <v>521</v>
      </c>
      <c r="C103" s="20" t="s">
        <v>632</v>
      </c>
      <c r="D103" s="138">
        <v>2350000</v>
      </c>
      <c r="E103" s="20" t="s">
        <v>747</v>
      </c>
      <c r="F103" s="20" t="s">
        <v>748</v>
      </c>
      <c r="G103" s="8" t="str">
        <f t="shared" si="1"/>
        <v>BERLING GARY</v>
      </c>
    </row>
    <row r="104" spans="1:7" x14ac:dyDescent="0.25">
      <c r="A104" s="8">
        <v>42937.476168981484</v>
      </c>
      <c r="B104" s="20" t="s">
        <v>391</v>
      </c>
      <c r="C104" s="20" t="s">
        <v>749</v>
      </c>
      <c r="D104" s="138">
        <v>880000</v>
      </c>
      <c r="E104" s="20" t="s">
        <v>750</v>
      </c>
      <c r="F104" s="20" t="s">
        <v>192</v>
      </c>
      <c r="G104" s="8" t="str">
        <f t="shared" si="1"/>
        <v>STEWART MICHAEL</v>
      </c>
    </row>
    <row r="105" spans="1:7" x14ac:dyDescent="0.25">
      <c r="A105" s="8">
        <v>42937.481423611112</v>
      </c>
      <c r="B105" s="20" t="s">
        <v>517</v>
      </c>
      <c r="C105" s="20" t="s">
        <v>751</v>
      </c>
      <c r="D105" s="138">
        <v>3010000</v>
      </c>
      <c r="E105" s="20" t="s">
        <v>549</v>
      </c>
      <c r="F105" s="20" t="s">
        <v>497</v>
      </c>
      <c r="G105" s="8" t="str">
        <f t="shared" si="1"/>
        <v>SULLIVAN BRANDON</v>
      </c>
    </row>
    <row r="106" spans="1:7" x14ac:dyDescent="0.25">
      <c r="A106" s="8">
        <v>42937.484849537039</v>
      </c>
      <c r="B106" s="20" t="s">
        <v>626</v>
      </c>
      <c r="C106" s="20" t="s">
        <v>752</v>
      </c>
      <c r="D106" s="138">
        <v>3320000</v>
      </c>
      <c r="E106" s="20" t="s">
        <v>483</v>
      </c>
      <c r="F106" s="20" t="s">
        <v>484</v>
      </c>
      <c r="G106" s="8" t="str">
        <f t="shared" si="1"/>
        <v>NICHOLSON WESLEY</v>
      </c>
    </row>
    <row r="107" spans="1:7" x14ac:dyDescent="0.25">
      <c r="A107" s="8">
        <v>42937.488391203704</v>
      </c>
      <c r="B107" s="20" t="s">
        <v>630</v>
      </c>
      <c r="C107" s="20" t="s">
        <v>631</v>
      </c>
      <c r="D107" s="138">
        <v>3330000</v>
      </c>
      <c r="E107" s="20" t="s">
        <v>488</v>
      </c>
      <c r="F107" s="20" t="s">
        <v>489</v>
      </c>
      <c r="G107" s="8" t="str">
        <f t="shared" si="1"/>
        <v>GONZALEZ ARMANDO</v>
      </c>
    </row>
    <row r="108" spans="1:7" x14ac:dyDescent="0.25">
      <c r="A108" s="8">
        <v>42937.495856481481</v>
      </c>
      <c r="B108" s="20" t="s">
        <v>522</v>
      </c>
      <c r="C108" s="20" t="s">
        <v>753</v>
      </c>
      <c r="D108" s="138">
        <v>890000</v>
      </c>
      <c r="E108" s="20" t="s">
        <v>502</v>
      </c>
      <c r="F108" s="20" t="s">
        <v>503</v>
      </c>
      <c r="G108" s="8" t="str">
        <f t="shared" si="1"/>
        <v>LOZA FIDEL</v>
      </c>
    </row>
    <row r="109" spans="1:7" x14ac:dyDescent="0.25">
      <c r="A109" s="8">
        <v>42937.496377314812</v>
      </c>
      <c r="B109" s="20" t="s">
        <v>518</v>
      </c>
      <c r="C109" s="20" t="s">
        <v>754</v>
      </c>
      <c r="D109" s="138">
        <v>2350000</v>
      </c>
      <c r="E109" s="20" t="s">
        <v>747</v>
      </c>
      <c r="F109" s="20" t="s">
        <v>748</v>
      </c>
      <c r="G109" s="8" t="str">
        <f t="shared" si="1"/>
        <v>BERLING GARY</v>
      </c>
    </row>
    <row r="110" spans="1:7" x14ac:dyDescent="0.25">
      <c r="A110" s="8">
        <v>42937.499305555553</v>
      </c>
      <c r="B110" s="20" t="s">
        <v>654</v>
      </c>
      <c r="C110" s="20" t="s">
        <v>755</v>
      </c>
      <c r="D110" s="138">
        <v>3320000</v>
      </c>
      <c r="E110" s="20" t="s">
        <v>483</v>
      </c>
      <c r="F110" s="20" t="s">
        <v>484</v>
      </c>
      <c r="G110" s="8" t="str">
        <f t="shared" si="1"/>
        <v>NICHOLSON WESLEY</v>
      </c>
    </row>
    <row r="111" spans="1:7" x14ac:dyDescent="0.25">
      <c r="A111" s="8">
        <v>42937.499328703707</v>
      </c>
      <c r="B111" s="20" t="s">
        <v>458</v>
      </c>
      <c r="C111" s="20" t="s">
        <v>756</v>
      </c>
      <c r="D111" s="138">
        <v>3290000</v>
      </c>
      <c r="E111" s="20" t="s">
        <v>496</v>
      </c>
      <c r="F111" s="20" t="s">
        <v>497</v>
      </c>
      <c r="G111" s="8" t="str">
        <f t="shared" si="1"/>
        <v>CASSIDY BRANDON</v>
      </c>
    </row>
    <row r="112" spans="1:7" x14ac:dyDescent="0.25">
      <c r="A112" s="8">
        <v>42937.508391203701</v>
      </c>
      <c r="B112" s="20" t="s">
        <v>633</v>
      </c>
      <c r="C112" s="20" t="s">
        <v>634</v>
      </c>
      <c r="D112" s="138">
        <v>1300000</v>
      </c>
      <c r="E112" s="20" t="s">
        <v>494</v>
      </c>
      <c r="F112" s="20" t="s">
        <v>495</v>
      </c>
      <c r="G112" s="8" t="str">
        <f t="shared" si="1"/>
        <v>LEVIN SCOTT</v>
      </c>
    </row>
    <row r="113" spans="1:7" x14ac:dyDescent="0.25">
      <c r="A113" s="8">
        <v>42937.516435185185</v>
      </c>
      <c r="B113" s="20" t="s">
        <v>476</v>
      </c>
      <c r="C113" s="20" t="s">
        <v>757</v>
      </c>
      <c r="D113" s="138">
        <v>3010000</v>
      </c>
      <c r="E113" s="20" t="s">
        <v>549</v>
      </c>
      <c r="F113" s="20" t="s">
        <v>497</v>
      </c>
      <c r="G113" s="8" t="str">
        <f t="shared" si="1"/>
        <v>SULLIVAN BRANDON</v>
      </c>
    </row>
    <row r="114" spans="1:7" x14ac:dyDescent="0.25">
      <c r="A114" s="8">
        <v>42937.517685185187</v>
      </c>
      <c r="B114" s="20" t="s">
        <v>392</v>
      </c>
      <c r="C114" s="20" t="s">
        <v>758</v>
      </c>
      <c r="D114" s="138">
        <v>880000</v>
      </c>
      <c r="E114" s="20" t="s">
        <v>750</v>
      </c>
      <c r="F114" s="20" t="s">
        <v>192</v>
      </c>
      <c r="G114" s="8" t="str">
        <f t="shared" si="1"/>
        <v>STEWART MICHAEL</v>
      </c>
    </row>
    <row r="115" spans="1:7" x14ac:dyDescent="0.25">
      <c r="A115" s="8">
        <v>42937.525219907409</v>
      </c>
      <c r="B115" s="20" t="s">
        <v>626</v>
      </c>
      <c r="C115" s="20" t="s">
        <v>759</v>
      </c>
      <c r="D115" s="138">
        <v>3320000</v>
      </c>
      <c r="E115" s="20" t="s">
        <v>483</v>
      </c>
      <c r="F115" s="20" t="s">
        <v>484</v>
      </c>
      <c r="G115" s="8" t="str">
        <f t="shared" si="1"/>
        <v>NICHOLSON WESLEY</v>
      </c>
    </row>
    <row r="116" spans="1:7" x14ac:dyDescent="0.25">
      <c r="A116" s="8">
        <v>42937.525254629632</v>
      </c>
      <c r="B116" s="20" t="s">
        <v>628</v>
      </c>
      <c r="C116" s="20" t="s">
        <v>760</v>
      </c>
      <c r="D116" s="138">
        <v>3330000</v>
      </c>
      <c r="E116" s="20" t="s">
        <v>488</v>
      </c>
      <c r="F116" s="20" t="s">
        <v>489</v>
      </c>
      <c r="G116" s="8" t="str">
        <f t="shared" si="1"/>
        <v>GONZALEZ ARMANDO</v>
      </c>
    </row>
    <row r="117" spans="1:7" x14ac:dyDescent="0.25">
      <c r="A117" s="8">
        <v>42937.528275462966</v>
      </c>
      <c r="B117" s="20" t="s">
        <v>544</v>
      </c>
      <c r="C117" s="20" t="s">
        <v>761</v>
      </c>
      <c r="D117" s="138">
        <v>3340000</v>
      </c>
      <c r="E117" s="20" t="s">
        <v>453</v>
      </c>
      <c r="F117" s="20" t="s">
        <v>454</v>
      </c>
      <c r="G117" s="8" t="str">
        <f t="shared" si="1"/>
        <v>ELBAUM MIKE</v>
      </c>
    </row>
    <row r="118" spans="1:7" x14ac:dyDescent="0.25">
      <c r="A118" s="8">
        <v>42937.535729166666</v>
      </c>
      <c r="B118" s="20" t="s">
        <v>455</v>
      </c>
      <c r="C118" s="20" t="s">
        <v>762</v>
      </c>
      <c r="D118" s="138">
        <v>3290000</v>
      </c>
      <c r="E118" s="20" t="s">
        <v>496</v>
      </c>
      <c r="F118" s="20" t="s">
        <v>497</v>
      </c>
      <c r="G118" s="8" t="str">
        <f t="shared" si="1"/>
        <v>CASSIDY BRANDON</v>
      </c>
    </row>
    <row r="119" spans="1:7" x14ac:dyDescent="0.25">
      <c r="A119" s="8">
        <v>42937.537094907406</v>
      </c>
      <c r="B119" s="20" t="s">
        <v>521</v>
      </c>
      <c r="C119" s="20" t="s">
        <v>763</v>
      </c>
      <c r="D119" s="138">
        <v>2350000</v>
      </c>
      <c r="E119" s="20" t="s">
        <v>747</v>
      </c>
      <c r="F119" s="20" t="s">
        <v>748</v>
      </c>
      <c r="G119" s="8" t="str">
        <f t="shared" si="1"/>
        <v>BERLING GARY</v>
      </c>
    </row>
    <row r="120" spans="1:7" x14ac:dyDescent="0.25">
      <c r="A120" s="8">
        <v>42937.547812500001</v>
      </c>
      <c r="B120" s="20" t="s">
        <v>639</v>
      </c>
      <c r="C120" s="20" t="s">
        <v>764</v>
      </c>
      <c r="D120" s="138">
        <v>1300000</v>
      </c>
      <c r="E120" s="20" t="s">
        <v>494</v>
      </c>
      <c r="F120" s="20" t="s">
        <v>495</v>
      </c>
      <c r="G120" s="8" t="str">
        <f t="shared" si="1"/>
        <v>LEVIN SCOTT</v>
      </c>
    </row>
    <row r="121" spans="1:7" x14ac:dyDescent="0.25">
      <c r="A121" s="8">
        <v>42937.550555555557</v>
      </c>
      <c r="B121" s="20" t="s">
        <v>391</v>
      </c>
      <c r="C121" s="20" t="s">
        <v>765</v>
      </c>
      <c r="D121" s="138">
        <v>880000</v>
      </c>
      <c r="E121" s="20" t="s">
        <v>750</v>
      </c>
      <c r="F121" s="20" t="s">
        <v>192</v>
      </c>
      <c r="G121" s="8" t="str">
        <f t="shared" si="1"/>
        <v>STEWART MICHAEL</v>
      </c>
    </row>
    <row r="122" spans="1:7" x14ac:dyDescent="0.25">
      <c r="A122" s="8">
        <v>42937.552499999998</v>
      </c>
      <c r="B122" s="25" t="s">
        <v>654</v>
      </c>
      <c r="C122" s="20" t="s">
        <v>766</v>
      </c>
      <c r="D122" s="138">
        <v>3280000</v>
      </c>
      <c r="E122" s="20" t="s">
        <v>451</v>
      </c>
      <c r="F122" s="20" t="s">
        <v>452</v>
      </c>
      <c r="G122" s="8" t="str">
        <f t="shared" si="1"/>
        <v>BIRKHOLZ NADINE</v>
      </c>
    </row>
    <row r="123" spans="1:7" x14ac:dyDescent="0.25">
      <c r="A123" s="8">
        <v>42937.554756944446</v>
      </c>
      <c r="B123" s="20" t="s">
        <v>517</v>
      </c>
      <c r="C123" s="20" t="s">
        <v>767</v>
      </c>
      <c r="D123" s="138">
        <v>3010000</v>
      </c>
      <c r="E123" s="20" t="s">
        <v>549</v>
      </c>
      <c r="F123" s="20" t="s">
        <v>497</v>
      </c>
      <c r="G123" s="8" t="str">
        <f t="shared" si="1"/>
        <v>SULLIVAN BRANDON</v>
      </c>
    </row>
    <row r="124" spans="1:7" x14ac:dyDescent="0.25">
      <c r="A124" s="8">
        <v>42937.558310185188</v>
      </c>
      <c r="B124" s="20" t="s">
        <v>630</v>
      </c>
      <c r="C124" s="20" t="s">
        <v>768</v>
      </c>
      <c r="D124" s="138">
        <v>3330000</v>
      </c>
      <c r="E124" s="20" t="s">
        <v>488</v>
      </c>
      <c r="F124" s="20" t="s">
        <v>489</v>
      </c>
      <c r="G124" s="8" t="str">
        <f t="shared" si="1"/>
        <v>GONZALEZ ARMANDO</v>
      </c>
    </row>
    <row r="125" spans="1:7" x14ac:dyDescent="0.25">
      <c r="A125" s="8">
        <v>42937.559502314813</v>
      </c>
      <c r="B125" s="20" t="s">
        <v>522</v>
      </c>
      <c r="C125" s="20" t="s">
        <v>635</v>
      </c>
      <c r="D125" s="138">
        <v>3340000</v>
      </c>
      <c r="E125" s="20" t="s">
        <v>453</v>
      </c>
      <c r="F125" s="20" t="s">
        <v>454</v>
      </c>
      <c r="G125" s="8" t="str">
        <f t="shared" si="1"/>
        <v>ELBAUM MIKE</v>
      </c>
    </row>
    <row r="126" spans="1:7" x14ac:dyDescent="0.25">
      <c r="A126" s="8">
        <v>42937.568356481483</v>
      </c>
      <c r="B126" s="20" t="s">
        <v>626</v>
      </c>
      <c r="C126" s="20" t="s">
        <v>769</v>
      </c>
      <c r="D126" s="138">
        <v>3280000</v>
      </c>
      <c r="E126" s="20" t="s">
        <v>451</v>
      </c>
      <c r="F126" s="20" t="s">
        <v>452</v>
      </c>
      <c r="G126" s="8" t="str">
        <f t="shared" si="1"/>
        <v>BIRKHOLZ NADINE</v>
      </c>
    </row>
    <row r="127" spans="1:7" x14ac:dyDescent="0.25">
      <c r="A127" s="8">
        <v>42937.569016203706</v>
      </c>
      <c r="B127" s="20" t="s">
        <v>458</v>
      </c>
      <c r="C127" s="20" t="s">
        <v>770</v>
      </c>
      <c r="D127" s="138">
        <v>3290000</v>
      </c>
      <c r="E127" s="20" t="s">
        <v>496</v>
      </c>
      <c r="F127" s="20" t="s">
        <v>497</v>
      </c>
      <c r="G127" s="8" t="str">
        <f t="shared" si="1"/>
        <v>CASSIDY BRANDON</v>
      </c>
    </row>
    <row r="128" spans="1:7" x14ac:dyDescent="0.25">
      <c r="A128" s="8">
        <v>42937.572314814817</v>
      </c>
      <c r="B128" s="20" t="s">
        <v>518</v>
      </c>
      <c r="C128" s="20" t="s">
        <v>636</v>
      </c>
      <c r="D128" s="138">
        <v>2350000</v>
      </c>
      <c r="E128" s="20" t="s">
        <v>747</v>
      </c>
      <c r="F128" s="20" t="s">
        <v>748</v>
      </c>
      <c r="G128" s="8" t="str">
        <f t="shared" si="1"/>
        <v>BERLING GARY</v>
      </c>
    </row>
    <row r="129" spans="1:7" x14ac:dyDescent="0.25">
      <c r="A129" s="8">
        <v>42937.581250000003</v>
      </c>
      <c r="B129" s="20" t="s">
        <v>633</v>
      </c>
      <c r="C129" s="20" t="s">
        <v>771</v>
      </c>
      <c r="D129" s="138">
        <v>1300000</v>
      </c>
      <c r="E129" s="20" t="s">
        <v>494</v>
      </c>
      <c r="F129" s="20" t="s">
        <v>495</v>
      </c>
      <c r="G129" s="8" t="str">
        <f t="shared" si="1"/>
        <v>LEVIN SCOTT</v>
      </c>
    </row>
    <row r="130" spans="1:7" x14ac:dyDescent="0.25">
      <c r="A130" s="8">
        <v>42937.589409722219</v>
      </c>
      <c r="B130" s="20" t="s">
        <v>476</v>
      </c>
      <c r="C130" s="20" t="s">
        <v>772</v>
      </c>
      <c r="D130" s="138">
        <v>3010000</v>
      </c>
      <c r="E130" s="20" t="s">
        <v>549</v>
      </c>
      <c r="F130" s="20" t="s">
        <v>497</v>
      </c>
      <c r="G130" s="8" t="str">
        <f t="shared" si="1"/>
        <v>SULLIVAN BRANDON</v>
      </c>
    </row>
    <row r="131" spans="1:7" x14ac:dyDescent="0.25">
      <c r="A131" s="8">
        <v>42937.589606481481</v>
      </c>
      <c r="B131" s="20" t="s">
        <v>654</v>
      </c>
      <c r="C131" s="20" t="s">
        <v>773</v>
      </c>
      <c r="D131" s="138">
        <v>2370000</v>
      </c>
      <c r="E131" s="20" t="s">
        <v>524</v>
      </c>
      <c r="F131" s="20" t="s">
        <v>525</v>
      </c>
      <c r="G131" s="8" t="str">
        <f t="shared" ref="G131:G194" si="2">E131&amp;" "&amp;F131</f>
        <v>DELGADO DIANAH</v>
      </c>
    </row>
    <row r="132" spans="1:7" x14ac:dyDescent="0.25">
      <c r="A132" s="8">
        <v>42937.59033564815</v>
      </c>
      <c r="B132" s="20" t="s">
        <v>392</v>
      </c>
      <c r="C132" s="20" t="s">
        <v>774</v>
      </c>
      <c r="D132" s="138">
        <v>880000</v>
      </c>
      <c r="E132" s="20" t="s">
        <v>750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42937.596145833333</v>
      </c>
      <c r="B133" s="20" t="s">
        <v>628</v>
      </c>
      <c r="C133" s="20" t="s">
        <v>637</v>
      </c>
      <c r="D133" s="138">
        <v>3330000</v>
      </c>
      <c r="E133" s="20" t="s">
        <v>488</v>
      </c>
      <c r="F133" s="20" t="s">
        <v>489</v>
      </c>
      <c r="G133" s="8" t="str">
        <f t="shared" si="2"/>
        <v>GONZALEZ ARMANDO</v>
      </c>
    </row>
    <row r="134" spans="1:7" x14ac:dyDescent="0.25">
      <c r="A134" s="8">
        <v>42937.602812500001</v>
      </c>
      <c r="B134" s="20" t="s">
        <v>544</v>
      </c>
      <c r="C134" s="20" t="s">
        <v>775</v>
      </c>
      <c r="D134" s="138">
        <v>3340000</v>
      </c>
      <c r="E134" s="20" t="s">
        <v>453</v>
      </c>
      <c r="F134" s="20" t="s">
        <v>454</v>
      </c>
      <c r="G134" s="8" t="str">
        <f t="shared" si="2"/>
        <v>ELBAUM MIKE</v>
      </c>
    </row>
    <row r="135" spans="1:7" x14ac:dyDescent="0.25">
      <c r="A135" s="8">
        <v>42937.609027777777</v>
      </c>
      <c r="B135" s="20" t="s">
        <v>626</v>
      </c>
      <c r="C135" s="20" t="s">
        <v>776</v>
      </c>
      <c r="D135" s="138">
        <v>3280000</v>
      </c>
      <c r="E135" s="20" t="s">
        <v>451</v>
      </c>
      <c r="F135" s="20" t="s">
        <v>452</v>
      </c>
      <c r="G135" s="8" t="str">
        <f t="shared" si="2"/>
        <v>BIRKHOLZ NADINE</v>
      </c>
    </row>
    <row r="136" spans="1:7" x14ac:dyDescent="0.25">
      <c r="A136" s="8">
        <v>42937.61141203704</v>
      </c>
      <c r="B136" s="20" t="s">
        <v>521</v>
      </c>
      <c r="C136" s="20" t="s">
        <v>777</v>
      </c>
      <c r="D136" s="138">
        <v>2350000</v>
      </c>
      <c r="E136" s="20" t="s">
        <v>747</v>
      </c>
      <c r="F136" s="20" t="s">
        <v>748</v>
      </c>
      <c r="G136" s="8" t="str">
        <f t="shared" si="2"/>
        <v>BERLING GARY</v>
      </c>
    </row>
    <row r="137" spans="1:7" x14ac:dyDescent="0.25">
      <c r="A137" s="8">
        <v>42937.61146990741</v>
      </c>
      <c r="B137" s="20" t="s">
        <v>455</v>
      </c>
      <c r="C137" s="20" t="s">
        <v>638</v>
      </c>
      <c r="D137" s="138">
        <v>3290000</v>
      </c>
      <c r="E137" s="20" t="s">
        <v>496</v>
      </c>
      <c r="F137" s="20" t="s">
        <v>497</v>
      </c>
      <c r="G137" s="8" t="str">
        <f t="shared" si="2"/>
        <v>CASSIDY BRANDON</v>
      </c>
    </row>
    <row r="138" spans="1:7" x14ac:dyDescent="0.25">
      <c r="A138" s="8">
        <v>42937.619895833333</v>
      </c>
      <c r="B138" s="20" t="s">
        <v>639</v>
      </c>
      <c r="C138" s="20" t="s">
        <v>640</v>
      </c>
      <c r="D138" s="138">
        <v>1300000</v>
      </c>
      <c r="E138" s="20" t="s">
        <v>494</v>
      </c>
      <c r="F138" s="20" t="s">
        <v>495</v>
      </c>
      <c r="G138" s="8" t="str">
        <f t="shared" si="2"/>
        <v>LEVIN SCOTT</v>
      </c>
    </row>
    <row r="139" spans="1:7" x14ac:dyDescent="0.25">
      <c r="A139" s="8">
        <v>42937.622141203705</v>
      </c>
      <c r="B139" s="20" t="s">
        <v>391</v>
      </c>
      <c r="C139" s="20" t="s">
        <v>778</v>
      </c>
      <c r="D139" s="138">
        <v>880000</v>
      </c>
      <c r="E139" s="20" t="s">
        <v>750</v>
      </c>
      <c r="F139" s="20" t="s">
        <v>192</v>
      </c>
      <c r="G139" s="8" t="str">
        <f t="shared" si="2"/>
        <v>STEWART MICHAEL</v>
      </c>
    </row>
    <row r="140" spans="1:7" x14ac:dyDescent="0.25">
      <c r="A140" s="8">
        <v>42937.624201388891</v>
      </c>
      <c r="B140" s="20" t="s">
        <v>654</v>
      </c>
      <c r="C140" s="20" t="s">
        <v>779</v>
      </c>
      <c r="D140" s="138">
        <v>3280000</v>
      </c>
      <c r="E140" s="20" t="s">
        <v>451</v>
      </c>
      <c r="F140" s="20" t="s">
        <v>452</v>
      </c>
      <c r="G140" s="8" t="str">
        <f t="shared" si="2"/>
        <v>BIRKHOLZ NADINE</v>
      </c>
    </row>
    <row r="141" spans="1:7" x14ac:dyDescent="0.25">
      <c r="A141" s="8">
        <v>42937.628217592595</v>
      </c>
      <c r="B141" s="20" t="s">
        <v>517</v>
      </c>
      <c r="C141" s="20" t="s">
        <v>780</v>
      </c>
      <c r="D141" s="138">
        <v>3010000</v>
      </c>
      <c r="E141" s="20" t="s">
        <v>549</v>
      </c>
      <c r="F141" s="20" t="s">
        <v>497</v>
      </c>
      <c r="G141" s="8" t="str">
        <f t="shared" si="2"/>
        <v>SULLIVAN BRANDON</v>
      </c>
    </row>
    <row r="142" spans="1:7" x14ac:dyDescent="0.25">
      <c r="A142" s="8">
        <v>42937.631782407407</v>
      </c>
      <c r="B142" s="20" t="s">
        <v>630</v>
      </c>
      <c r="C142" s="20" t="s">
        <v>781</v>
      </c>
      <c r="D142" s="138">
        <v>3330000</v>
      </c>
      <c r="E142" s="20" t="s">
        <v>488</v>
      </c>
      <c r="F142" s="20" t="s">
        <v>489</v>
      </c>
      <c r="G142" s="8" t="str">
        <f t="shared" si="2"/>
        <v>GONZALEZ ARMANDO</v>
      </c>
    </row>
    <row r="143" spans="1:7" x14ac:dyDescent="0.25">
      <c r="A143" s="8">
        <v>42937.632222222222</v>
      </c>
      <c r="B143" s="20" t="s">
        <v>522</v>
      </c>
      <c r="C143" s="20" t="s">
        <v>782</v>
      </c>
      <c r="D143" s="138">
        <v>3340000</v>
      </c>
      <c r="E143" s="20" t="s">
        <v>453</v>
      </c>
      <c r="F143" s="20" t="s">
        <v>454</v>
      </c>
      <c r="G143" s="8" t="str">
        <f t="shared" si="2"/>
        <v>ELBAUM MIKE</v>
      </c>
    </row>
    <row r="144" spans="1:7" x14ac:dyDescent="0.25">
      <c r="A144" s="8">
        <v>42937.636747685188</v>
      </c>
      <c r="B144" s="20" t="s">
        <v>550</v>
      </c>
      <c r="C144" s="20" t="s">
        <v>783</v>
      </c>
      <c r="D144" s="138">
        <v>2540000</v>
      </c>
      <c r="E144" s="20" t="s">
        <v>784</v>
      </c>
      <c r="F144" s="20" t="s">
        <v>785</v>
      </c>
      <c r="G144" s="8" t="str">
        <f t="shared" si="2"/>
        <v>MCREYNOLDS KYLE</v>
      </c>
    </row>
    <row r="145" spans="1:7" x14ac:dyDescent="0.25">
      <c r="A145" s="8">
        <v>42937.643692129626</v>
      </c>
      <c r="B145" s="20" t="s">
        <v>458</v>
      </c>
      <c r="C145" s="20" t="s">
        <v>786</v>
      </c>
      <c r="D145" s="138">
        <v>3290000</v>
      </c>
      <c r="E145" s="20" t="s">
        <v>496</v>
      </c>
      <c r="F145" s="20" t="s">
        <v>497</v>
      </c>
      <c r="G145" s="8" t="str">
        <f t="shared" si="2"/>
        <v>CASSIDY BRANDON</v>
      </c>
    </row>
    <row r="146" spans="1:7" x14ac:dyDescent="0.25">
      <c r="A146" s="8">
        <v>42937.647824074076</v>
      </c>
      <c r="B146" s="20" t="s">
        <v>518</v>
      </c>
      <c r="C146" s="20" t="s">
        <v>787</v>
      </c>
      <c r="D146" s="138">
        <v>2350000</v>
      </c>
      <c r="E146" s="20" t="s">
        <v>747</v>
      </c>
      <c r="F146" s="20" t="s">
        <v>748</v>
      </c>
      <c r="G146" s="8" t="str">
        <f t="shared" si="2"/>
        <v>BERLING GARY</v>
      </c>
    </row>
    <row r="147" spans="1:7" x14ac:dyDescent="0.25">
      <c r="A147" s="8">
        <v>42937.650081018517</v>
      </c>
      <c r="B147" s="20" t="s">
        <v>551</v>
      </c>
      <c r="C147" s="20" t="s">
        <v>788</v>
      </c>
      <c r="D147" s="138">
        <v>2540000</v>
      </c>
      <c r="E147" s="20" t="s">
        <v>784</v>
      </c>
      <c r="F147" s="20" t="s">
        <v>785</v>
      </c>
      <c r="G147" s="8" t="str">
        <f t="shared" si="2"/>
        <v>MCREYNOLDS KYLE</v>
      </c>
    </row>
    <row r="148" spans="1:7" x14ac:dyDescent="0.25">
      <c r="A148" s="8">
        <v>42937.651875000003</v>
      </c>
      <c r="B148" s="20" t="s">
        <v>626</v>
      </c>
      <c r="C148" s="20" t="s">
        <v>641</v>
      </c>
      <c r="D148" s="138">
        <v>3280000</v>
      </c>
      <c r="E148" s="20" t="s">
        <v>451</v>
      </c>
      <c r="F148" s="20" t="s">
        <v>452</v>
      </c>
      <c r="G148" s="8" t="str">
        <f t="shared" si="2"/>
        <v>BIRKHOLZ NADINE</v>
      </c>
    </row>
    <row r="149" spans="1:7" x14ac:dyDescent="0.25">
      <c r="A149" s="8">
        <v>42937.654016203705</v>
      </c>
      <c r="B149" s="20" t="s">
        <v>633</v>
      </c>
      <c r="C149" s="20" t="s">
        <v>642</v>
      </c>
      <c r="D149" s="138">
        <v>1300000</v>
      </c>
      <c r="E149" s="20" t="s">
        <v>494</v>
      </c>
      <c r="F149" s="20" t="s">
        <v>495</v>
      </c>
      <c r="G149" s="8" t="str">
        <f t="shared" si="2"/>
        <v>LEVIN SCOTT</v>
      </c>
    </row>
    <row r="150" spans="1:7" x14ac:dyDescent="0.25">
      <c r="A150" s="8">
        <v>42937.66070601852</v>
      </c>
      <c r="B150" s="20" t="s">
        <v>392</v>
      </c>
      <c r="C150" s="20" t="s">
        <v>643</v>
      </c>
      <c r="D150" s="138">
        <v>880000</v>
      </c>
      <c r="E150" s="20" t="s">
        <v>750</v>
      </c>
      <c r="F150" s="20" t="s">
        <v>192</v>
      </c>
      <c r="G150" s="8" t="str">
        <f t="shared" si="2"/>
        <v>STEWART MICHAEL</v>
      </c>
    </row>
    <row r="151" spans="1:7" x14ac:dyDescent="0.25">
      <c r="A151" s="8">
        <v>42937.661817129629</v>
      </c>
      <c r="B151" s="20" t="s">
        <v>476</v>
      </c>
      <c r="C151" s="20" t="s">
        <v>789</v>
      </c>
      <c r="D151" s="138">
        <v>3010000</v>
      </c>
      <c r="E151" s="20" t="s">
        <v>549</v>
      </c>
      <c r="F151" s="20" t="s">
        <v>497</v>
      </c>
      <c r="G151" s="8" t="str">
        <f t="shared" si="2"/>
        <v>SULLIVAN BRANDON</v>
      </c>
    </row>
    <row r="152" spans="1:7" x14ac:dyDescent="0.25">
      <c r="A152" s="8">
        <v>42937.663634259261</v>
      </c>
      <c r="B152" s="20" t="s">
        <v>633</v>
      </c>
      <c r="C152" s="20" t="s">
        <v>642</v>
      </c>
      <c r="D152" s="138">
        <v>1300000</v>
      </c>
      <c r="E152" s="20" t="s">
        <v>494</v>
      </c>
      <c r="F152" s="20" t="s">
        <v>495</v>
      </c>
      <c r="G152" s="8" t="str">
        <f t="shared" si="2"/>
        <v>LEVIN SCOTT</v>
      </c>
    </row>
    <row r="153" spans="1:7" x14ac:dyDescent="0.25">
      <c r="A153" s="8">
        <v>42937.665567129632</v>
      </c>
      <c r="B153" s="20" t="s">
        <v>654</v>
      </c>
      <c r="C153" s="20" t="s">
        <v>790</v>
      </c>
      <c r="D153" s="138">
        <v>3280000</v>
      </c>
      <c r="E153" s="20" t="s">
        <v>451</v>
      </c>
      <c r="F153" s="20" t="s">
        <v>452</v>
      </c>
      <c r="G153" s="8" t="str">
        <f t="shared" si="2"/>
        <v>BIRKHOLZ NADINE</v>
      </c>
    </row>
    <row r="154" spans="1:7" x14ac:dyDescent="0.25">
      <c r="A154" s="8">
        <v>42937.667581018519</v>
      </c>
      <c r="B154" s="20" t="s">
        <v>633</v>
      </c>
      <c r="C154" s="20" t="s">
        <v>642</v>
      </c>
      <c r="D154" s="138">
        <v>1300000</v>
      </c>
      <c r="E154" s="20" t="s">
        <v>494</v>
      </c>
      <c r="F154" s="20" t="s">
        <v>495</v>
      </c>
      <c r="G154" s="8" t="str">
        <f t="shared" si="2"/>
        <v>LEVIN SCOTT</v>
      </c>
    </row>
    <row r="155" spans="1:7" x14ac:dyDescent="0.25">
      <c r="A155" s="8">
        <v>42937.670300925929</v>
      </c>
      <c r="B155" s="20" t="s">
        <v>628</v>
      </c>
      <c r="C155" s="20" t="s">
        <v>791</v>
      </c>
      <c r="D155" s="138">
        <v>3330000</v>
      </c>
      <c r="E155" s="20" t="s">
        <v>488</v>
      </c>
      <c r="F155" s="20" t="s">
        <v>489</v>
      </c>
      <c r="G155" s="8" t="str">
        <f t="shared" si="2"/>
        <v>GONZALEZ ARMANDO</v>
      </c>
    </row>
    <row r="156" spans="1:7" x14ac:dyDescent="0.25">
      <c r="A156" s="8">
        <v>42937.672071759262</v>
      </c>
      <c r="B156" s="20" t="s">
        <v>550</v>
      </c>
      <c r="C156" s="20" t="s">
        <v>792</v>
      </c>
      <c r="D156" s="138">
        <v>2540000</v>
      </c>
      <c r="E156" s="20" t="s">
        <v>784</v>
      </c>
      <c r="F156" s="20" t="s">
        <v>785</v>
      </c>
      <c r="G156" s="8" t="str">
        <f t="shared" si="2"/>
        <v>MCREYNOLDS KYLE</v>
      </c>
    </row>
    <row r="157" spans="1:7" x14ac:dyDescent="0.25">
      <c r="A157" s="8">
        <v>42937.673576388886</v>
      </c>
      <c r="B157" s="20" t="s">
        <v>544</v>
      </c>
      <c r="C157" s="20" t="s">
        <v>793</v>
      </c>
      <c r="D157" s="138">
        <v>3340000</v>
      </c>
      <c r="E157" s="20" t="s">
        <v>453</v>
      </c>
      <c r="F157" s="20" t="s">
        <v>454</v>
      </c>
      <c r="G157" s="8" t="str">
        <f t="shared" si="2"/>
        <v>ELBAUM MIKE</v>
      </c>
    </row>
    <row r="158" spans="1:7" x14ac:dyDescent="0.25">
      <c r="A158" s="8">
        <v>42937.681863425925</v>
      </c>
      <c r="B158" s="20" t="s">
        <v>455</v>
      </c>
      <c r="C158" s="20" t="s">
        <v>794</v>
      </c>
      <c r="D158" s="138">
        <v>3290000</v>
      </c>
      <c r="E158" s="20" t="s">
        <v>496</v>
      </c>
      <c r="F158" s="20" t="s">
        <v>497</v>
      </c>
      <c r="G158" s="8" t="str">
        <f t="shared" si="2"/>
        <v>CASSIDY BRANDON</v>
      </c>
    </row>
    <row r="159" spans="1:7" x14ac:dyDescent="0.25">
      <c r="A159" s="8">
        <v>42937.684710648151</v>
      </c>
      <c r="B159" s="20" t="s">
        <v>521</v>
      </c>
      <c r="C159" s="20" t="s">
        <v>795</v>
      </c>
      <c r="D159" s="138">
        <v>2350000</v>
      </c>
      <c r="E159" s="20" t="s">
        <v>747</v>
      </c>
      <c r="F159" s="20" t="s">
        <v>748</v>
      </c>
      <c r="G159" s="8" t="str">
        <f t="shared" si="2"/>
        <v>BERLING GARY</v>
      </c>
    </row>
    <row r="160" spans="1:7" x14ac:dyDescent="0.25">
      <c r="A160" s="8">
        <v>42937.688587962963</v>
      </c>
      <c r="B160" s="20" t="s">
        <v>551</v>
      </c>
      <c r="C160" s="20" t="s">
        <v>796</v>
      </c>
      <c r="D160" s="138">
        <v>2540000</v>
      </c>
      <c r="E160" s="20" t="s">
        <v>784</v>
      </c>
      <c r="F160" s="20" t="s">
        <v>785</v>
      </c>
      <c r="G160" s="8" t="str">
        <f t="shared" si="2"/>
        <v>MCREYNOLDS KYLE</v>
      </c>
    </row>
    <row r="161" spans="1:7" x14ac:dyDescent="0.25">
      <c r="A161" s="8">
        <v>42937.692384259259</v>
      </c>
      <c r="B161" s="20" t="s">
        <v>626</v>
      </c>
      <c r="C161" s="20" t="s">
        <v>797</v>
      </c>
      <c r="D161" s="138">
        <v>3280000</v>
      </c>
      <c r="E161" s="20" t="s">
        <v>451</v>
      </c>
      <c r="F161" s="20" t="s">
        <v>452</v>
      </c>
      <c r="G161" s="8" t="str">
        <f t="shared" si="2"/>
        <v>BIRKHOLZ NADINE</v>
      </c>
    </row>
    <row r="162" spans="1:7" x14ac:dyDescent="0.25">
      <c r="A162" s="8">
        <v>42937.694131944445</v>
      </c>
      <c r="B162" s="20" t="s">
        <v>639</v>
      </c>
      <c r="C162" s="20" t="s">
        <v>644</v>
      </c>
      <c r="D162" s="138">
        <v>1300000</v>
      </c>
      <c r="E162" s="20" t="s">
        <v>494</v>
      </c>
      <c r="F162" s="20" t="s">
        <v>495</v>
      </c>
      <c r="G162" s="8" t="str">
        <f t="shared" si="2"/>
        <v>LEVIN SCOTT</v>
      </c>
    </row>
    <row r="163" spans="1:7" x14ac:dyDescent="0.25">
      <c r="A163" s="8">
        <v>42937.695972222224</v>
      </c>
      <c r="B163" s="20" t="s">
        <v>391</v>
      </c>
      <c r="C163" s="20" t="s">
        <v>798</v>
      </c>
      <c r="D163" s="138">
        <v>880000</v>
      </c>
      <c r="E163" s="20" t="s">
        <v>750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42937.698263888888</v>
      </c>
      <c r="B164" s="20" t="s">
        <v>551</v>
      </c>
      <c r="C164" s="20" t="s">
        <v>691</v>
      </c>
      <c r="D164" s="138">
        <v>1830000</v>
      </c>
      <c r="E164" s="20" t="s">
        <v>799</v>
      </c>
      <c r="F164" s="20" t="s">
        <v>800</v>
      </c>
      <c r="G164" s="8" t="str">
        <f t="shared" si="2"/>
        <v>YORK EDGAR</v>
      </c>
    </row>
    <row r="165" spans="1:7" x14ac:dyDescent="0.25">
      <c r="A165" s="8">
        <v>42937.698819444442</v>
      </c>
      <c r="B165" s="20" t="s">
        <v>729</v>
      </c>
      <c r="C165" s="20" t="s">
        <v>796</v>
      </c>
      <c r="D165" s="138">
        <v>2540000</v>
      </c>
      <c r="E165" s="20" t="s">
        <v>784</v>
      </c>
      <c r="F165" s="20" t="s">
        <v>785</v>
      </c>
      <c r="G165" s="8" t="str">
        <f t="shared" si="2"/>
        <v>MCREYNOLDS KYLE</v>
      </c>
    </row>
    <row r="166" spans="1:7" x14ac:dyDescent="0.25">
      <c r="A166" s="8">
        <v>42937.699907407405</v>
      </c>
      <c r="B166" s="20" t="s">
        <v>729</v>
      </c>
      <c r="C166" s="20" t="s">
        <v>796</v>
      </c>
      <c r="D166" s="138">
        <v>2540000</v>
      </c>
      <c r="E166" s="20" t="s">
        <v>784</v>
      </c>
      <c r="F166" s="20" t="s">
        <v>785</v>
      </c>
      <c r="G166" s="8" t="str">
        <f t="shared" si="2"/>
        <v>MCREYNOLDS KYLE</v>
      </c>
    </row>
    <row r="167" spans="1:7" x14ac:dyDescent="0.25">
      <c r="A167" s="8">
        <v>42937.700266203705</v>
      </c>
      <c r="B167" s="20" t="s">
        <v>517</v>
      </c>
      <c r="C167" s="20" t="s">
        <v>801</v>
      </c>
      <c r="D167" s="138">
        <v>3010000</v>
      </c>
      <c r="E167" s="20" t="s">
        <v>549</v>
      </c>
      <c r="F167" s="20" t="s">
        <v>497</v>
      </c>
      <c r="G167" s="8" t="str">
        <f t="shared" si="2"/>
        <v>SULLIVAN BRANDON</v>
      </c>
    </row>
    <row r="168" spans="1:7" x14ac:dyDescent="0.25">
      <c r="A168" s="8">
        <v>42937.704953703702</v>
      </c>
      <c r="B168" s="20" t="s">
        <v>522</v>
      </c>
      <c r="C168" s="20" t="s">
        <v>645</v>
      </c>
      <c r="D168" s="138">
        <v>3340000</v>
      </c>
      <c r="E168" s="20" t="s">
        <v>453</v>
      </c>
      <c r="F168" s="20" t="s">
        <v>454</v>
      </c>
      <c r="G168" s="8" t="str">
        <f t="shared" si="2"/>
        <v>ELBAUM MIKE</v>
      </c>
    </row>
    <row r="169" spans="1:7" x14ac:dyDescent="0.25">
      <c r="A169" s="8">
        <v>42937.705520833333</v>
      </c>
      <c r="B169" s="20" t="s">
        <v>630</v>
      </c>
      <c r="C169" s="20" t="s">
        <v>802</v>
      </c>
      <c r="D169" s="138">
        <v>3330000</v>
      </c>
      <c r="E169" s="20" t="s">
        <v>488</v>
      </c>
      <c r="F169" s="20" t="s">
        <v>489</v>
      </c>
      <c r="G169" s="8" t="str">
        <f t="shared" si="2"/>
        <v>GONZALEZ ARMANDO</v>
      </c>
    </row>
    <row r="170" spans="1:7" x14ac:dyDescent="0.25">
      <c r="A170" s="8">
        <v>42937.71497685185</v>
      </c>
      <c r="B170" s="20" t="s">
        <v>458</v>
      </c>
      <c r="C170" s="20" t="s">
        <v>803</v>
      </c>
      <c r="D170" s="138">
        <v>3290000</v>
      </c>
      <c r="E170" s="20" t="s">
        <v>496</v>
      </c>
      <c r="F170" s="20" t="s">
        <v>497</v>
      </c>
      <c r="G170" s="8" t="str">
        <f t="shared" si="2"/>
        <v>CASSIDY BRANDON</v>
      </c>
    </row>
    <row r="171" spans="1:7" x14ac:dyDescent="0.25">
      <c r="A171" s="8">
        <v>42937.715752314813</v>
      </c>
      <c r="B171" s="20" t="s">
        <v>624</v>
      </c>
      <c r="C171" s="20" t="s">
        <v>804</v>
      </c>
      <c r="D171" s="138">
        <v>2540000</v>
      </c>
      <c r="E171" s="20" t="s">
        <v>784</v>
      </c>
      <c r="F171" s="20" t="s">
        <v>785</v>
      </c>
      <c r="G171" s="8" t="str">
        <f t="shared" si="2"/>
        <v>MCREYNOLDS KYLE</v>
      </c>
    </row>
    <row r="172" spans="1:7" x14ac:dyDescent="0.25">
      <c r="A172" s="8">
        <v>42937.716504629629</v>
      </c>
      <c r="B172" s="20" t="s">
        <v>624</v>
      </c>
      <c r="C172" s="20" t="s">
        <v>804</v>
      </c>
      <c r="D172" s="138">
        <v>2540000</v>
      </c>
      <c r="E172" s="20" t="s">
        <v>784</v>
      </c>
      <c r="F172" s="20" t="s">
        <v>785</v>
      </c>
      <c r="G172" s="8" t="str">
        <f t="shared" si="2"/>
        <v>MCREYNOLDS KYLE</v>
      </c>
    </row>
    <row r="173" spans="1:7" x14ac:dyDescent="0.25">
      <c r="A173" s="8">
        <v>42937.717060185183</v>
      </c>
      <c r="B173" s="20" t="s">
        <v>654</v>
      </c>
      <c r="C173" s="20" t="s">
        <v>805</v>
      </c>
      <c r="D173" s="138">
        <v>3280000</v>
      </c>
      <c r="E173" s="20" t="s">
        <v>451</v>
      </c>
      <c r="F173" s="20" t="s">
        <v>452</v>
      </c>
      <c r="G173" s="8" t="str">
        <f t="shared" si="2"/>
        <v>BIRKHOLZ NADINE</v>
      </c>
    </row>
    <row r="174" spans="1:7" x14ac:dyDescent="0.25">
      <c r="A174" s="8">
        <v>42937.720289351855</v>
      </c>
      <c r="B174" s="20" t="s">
        <v>518</v>
      </c>
      <c r="C174" s="20" t="s">
        <v>806</v>
      </c>
      <c r="D174" s="138">
        <v>2350000</v>
      </c>
      <c r="E174" s="20" t="s">
        <v>747</v>
      </c>
      <c r="F174" s="20" t="s">
        <v>748</v>
      </c>
      <c r="G174" s="8" t="str">
        <f t="shared" si="2"/>
        <v>BERLING GARY</v>
      </c>
    </row>
    <row r="175" spans="1:7" x14ac:dyDescent="0.25">
      <c r="A175" s="8">
        <v>42937.724965277775</v>
      </c>
      <c r="B175" s="20" t="s">
        <v>633</v>
      </c>
      <c r="C175" s="20" t="s">
        <v>807</v>
      </c>
      <c r="D175" s="138">
        <v>1300000</v>
      </c>
      <c r="E175" s="20" t="s">
        <v>494</v>
      </c>
      <c r="F175" s="20" t="s">
        <v>495</v>
      </c>
      <c r="G175" s="8" t="str">
        <f t="shared" si="2"/>
        <v>LEVIN SCOTT</v>
      </c>
    </row>
    <row r="176" spans="1:7" x14ac:dyDescent="0.25">
      <c r="A176" s="8">
        <v>42937.727847222224</v>
      </c>
      <c r="B176" s="20" t="s">
        <v>729</v>
      </c>
      <c r="C176" s="20" t="s">
        <v>808</v>
      </c>
      <c r="D176" s="138">
        <v>2540000</v>
      </c>
      <c r="E176" s="20" t="s">
        <v>784</v>
      </c>
      <c r="F176" s="20" t="s">
        <v>785</v>
      </c>
      <c r="G176" s="8" t="str">
        <f t="shared" si="2"/>
        <v>MCREYNOLDS KYLE</v>
      </c>
    </row>
    <row r="177" spans="1:7" x14ac:dyDescent="0.25">
      <c r="A177" s="8">
        <v>42937.731041666666</v>
      </c>
      <c r="B177" s="20" t="s">
        <v>809</v>
      </c>
      <c r="C177" s="20" t="s">
        <v>662</v>
      </c>
      <c r="D177" s="138">
        <v>2440000</v>
      </c>
      <c r="E177" s="20" t="s">
        <v>526</v>
      </c>
      <c r="F177" s="20" t="s">
        <v>527</v>
      </c>
      <c r="G177" s="8" t="str">
        <f t="shared" si="2"/>
        <v>LOPES KIMBERLY</v>
      </c>
    </row>
    <row r="178" spans="1:7" x14ac:dyDescent="0.25">
      <c r="A178" s="8">
        <v>42937.735138888886</v>
      </c>
      <c r="B178" s="20" t="s">
        <v>626</v>
      </c>
      <c r="C178" s="20" t="s">
        <v>810</v>
      </c>
      <c r="D178" s="138">
        <v>3280000</v>
      </c>
      <c r="E178" s="20" t="s">
        <v>451</v>
      </c>
      <c r="F178" s="20" t="s">
        <v>452</v>
      </c>
      <c r="G178" s="8" t="str">
        <f t="shared" si="2"/>
        <v>BIRKHOLZ NADINE</v>
      </c>
    </row>
    <row r="179" spans="1:7" x14ac:dyDescent="0.25">
      <c r="A179" s="8">
        <v>42937.736562500002</v>
      </c>
      <c r="B179" s="20" t="s">
        <v>392</v>
      </c>
      <c r="C179" s="20" t="s">
        <v>811</v>
      </c>
      <c r="D179" s="138">
        <v>880000</v>
      </c>
      <c r="E179" s="20" t="s">
        <v>750</v>
      </c>
      <c r="F179" s="20" t="s">
        <v>192</v>
      </c>
      <c r="G179" s="8" t="str">
        <f t="shared" si="2"/>
        <v>STEWART MICHAEL</v>
      </c>
    </row>
    <row r="180" spans="1:7" x14ac:dyDescent="0.25">
      <c r="A180" s="8">
        <v>42937.738379629627</v>
      </c>
      <c r="B180" s="20" t="s">
        <v>476</v>
      </c>
      <c r="C180" s="20" t="s">
        <v>812</v>
      </c>
      <c r="D180" s="138">
        <v>3030000</v>
      </c>
      <c r="E180" s="20" t="s">
        <v>369</v>
      </c>
      <c r="F180" s="20" t="s">
        <v>357</v>
      </c>
      <c r="G180" s="8" t="str">
        <f t="shared" si="2"/>
        <v>BIRENBAUM THOMAS</v>
      </c>
    </row>
    <row r="181" spans="1:7" x14ac:dyDescent="0.25">
      <c r="A181" s="8">
        <v>42937.742280092592</v>
      </c>
      <c r="B181" s="20" t="s">
        <v>628</v>
      </c>
      <c r="C181" s="20" t="s">
        <v>813</v>
      </c>
      <c r="D181" s="138">
        <v>3330000</v>
      </c>
      <c r="E181" s="20" t="s">
        <v>488</v>
      </c>
      <c r="F181" s="20" t="s">
        <v>489</v>
      </c>
      <c r="G181" s="8" t="str">
        <f t="shared" si="2"/>
        <v>GONZALEZ ARMANDO</v>
      </c>
    </row>
    <row r="182" spans="1:7" x14ac:dyDescent="0.25">
      <c r="A182" s="8">
        <v>42937.745046296295</v>
      </c>
      <c r="B182" s="20" t="s">
        <v>658</v>
      </c>
      <c r="C182" s="20" t="s">
        <v>730</v>
      </c>
      <c r="D182" s="138">
        <v>3180000</v>
      </c>
      <c r="E182" s="20" t="s">
        <v>814</v>
      </c>
      <c r="F182" s="20" t="s">
        <v>815</v>
      </c>
      <c r="G182" s="8" t="str">
        <f t="shared" si="2"/>
        <v>HUFFSMITH MONTY</v>
      </c>
    </row>
    <row r="183" spans="1:7" x14ac:dyDescent="0.25">
      <c r="A183" s="8">
        <v>42937.746921296297</v>
      </c>
      <c r="B183" s="20" t="s">
        <v>544</v>
      </c>
      <c r="C183" s="20" t="s">
        <v>646</v>
      </c>
      <c r="D183" s="138">
        <v>3340000</v>
      </c>
      <c r="E183" s="20" t="s">
        <v>453</v>
      </c>
      <c r="F183" s="20" t="s">
        <v>454</v>
      </c>
      <c r="G183" s="8" t="str">
        <f t="shared" si="2"/>
        <v>ELBAUM MIKE</v>
      </c>
    </row>
    <row r="184" spans="1:7" x14ac:dyDescent="0.25">
      <c r="A184" s="8">
        <v>42937.749421296299</v>
      </c>
      <c r="B184" s="20" t="s">
        <v>654</v>
      </c>
      <c r="C184" s="20" t="s">
        <v>816</v>
      </c>
      <c r="D184" s="138">
        <v>3280000</v>
      </c>
      <c r="E184" s="20" t="s">
        <v>451</v>
      </c>
      <c r="F184" s="20" t="s">
        <v>452</v>
      </c>
      <c r="G184" s="8" t="str">
        <f t="shared" si="2"/>
        <v>BIRKHOLZ NADINE</v>
      </c>
    </row>
    <row r="185" spans="1:7" x14ac:dyDescent="0.25">
      <c r="A185" s="8">
        <v>42937.755937499998</v>
      </c>
      <c r="B185" s="20" t="s">
        <v>624</v>
      </c>
      <c r="C185" s="20" t="s">
        <v>817</v>
      </c>
      <c r="D185" s="138">
        <v>2540000</v>
      </c>
      <c r="E185" s="20" t="s">
        <v>784</v>
      </c>
      <c r="F185" s="20" t="s">
        <v>785</v>
      </c>
      <c r="G185" s="8" t="str">
        <f t="shared" si="2"/>
        <v>MCREYNOLDS KYLE</v>
      </c>
    </row>
    <row r="186" spans="1:7" x14ac:dyDescent="0.25">
      <c r="A186" s="8">
        <v>42937.75608796296</v>
      </c>
      <c r="B186" s="20" t="s">
        <v>455</v>
      </c>
      <c r="C186" s="20" t="s">
        <v>818</v>
      </c>
      <c r="D186" s="138">
        <v>3290000</v>
      </c>
      <c r="E186" s="20" t="s">
        <v>496</v>
      </c>
      <c r="F186" s="20" t="s">
        <v>497</v>
      </c>
      <c r="G186" s="8" t="str">
        <f t="shared" si="2"/>
        <v>CASSIDY BRANDON</v>
      </c>
    </row>
    <row r="187" spans="1:7" x14ac:dyDescent="0.25">
      <c r="A187" s="8">
        <v>42937.757696759261</v>
      </c>
      <c r="B187" s="20" t="s">
        <v>521</v>
      </c>
      <c r="C187" s="20" t="s">
        <v>819</v>
      </c>
      <c r="D187" s="138">
        <v>2620000</v>
      </c>
      <c r="E187" s="20" t="s">
        <v>552</v>
      </c>
      <c r="F187" s="20" t="s">
        <v>553</v>
      </c>
      <c r="G187" s="8" t="str">
        <f t="shared" si="2"/>
        <v>PERKINS DARREN</v>
      </c>
    </row>
    <row r="188" spans="1:7" x14ac:dyDescent="0.25">
      <c r="A188" s="8">
        <v>42937.766145833331</v>
      </c>
      <c r="B188" s="20" t="s">
        <v>658</v>
      </c>
      <c r="C188" s="20" t="s">
        <v>730</v>
      </c>
      <c r="D188" s="138">
        <v>3180000</v>
      </c>
      <c r="E188" s="20" t="s">
        <v>814</v>
      </c>
      <c r="F188" s="20" t="s">
        <v>815</v>
      </c>
      <c r="G188" s="8" t="str">
        <f t="shared" si="2"/>
        <v>HUFFSMITH MONTY</v>
      </c>
    </row>
    <row r="189" spans="1:7" x14ac:dyDescent="0.25">
      <c r="A189" s="8">
        <v>42937.766446759262</v>
      </c>
      <c r="B189" s="20" t="s">
        <v>639</v>
      </c>
      <c r="C189" s="20" t="s">
        <v>820</v>
      </c>
      <c r="D189" s="138">
        <v>1300000</v>
      </c>
      <c r="E189" s="20" t="s">
        <v>494</v>
      </c>
      <c r="F189" s="20" t="s">
        <v>495</v>
      </c>
      <c r="G189" s="8" t="str">
        <f t="shared" si="2"/>
        <v>LEVIN SCOTT</v>
      </c>
    </row>
    <row r="190" spans="1:7" x14ac:dyDescent="0.25">
      <c r="A190" s="8">
        <v>42937.769456018519</v>
      </c>
      <c r="B190" s="20" t="s">
        <v>391</v>
      </c>
      <c r="C190" s="20" t="s">
        <v>821</v>
      </c>
      <c r="D190" s="138">
        <v>3000000</v>
      </c>
      <c r="E190" s="20" t="s">
        <v>384</v>
      </c>
      <c r="F190" s="20" t="s">
        <v>385</v>
      </c>
      <c r="G190" s="8" t="str">
        <f t="shared" si="2"/>
        <v>FORTUNATO FRANK</v>
      </c>
    </row>
    <row r="191" spans="1:7" x14ac:dyDescent="0.25">
      <c r="A191" s="8">
        <v>42937.772476851853</v>
      </c>
      <c r="B191" s="20" t="s">
        <v>517</v>
      </c>
      <c r="C191" s="20" t="s">
        <v>822</v>
      </c>
      <c r="D191" s="138">
        <v>3030000</v>
      </c>
      <c r="E191" s="20" t="s">
        <v>369</v>
      </c>
      <c r="F191" s="20" t="s">
        <v>357</v>
      </c>
      <c r="G191" s="8" t="str">
        <f t="shared" si="2"/>
        <v>BIRENBAUM THOMAS</v>
      </c>
    </row>
    <row r="192" spans="1:7" x14ac:dyDescent="0.25">
      <c r="A192" s="8">
        <v>42937.775613425925</v>
      </c>
      <c r="B192" s="20" t="s">
        <v>626</v>
      </c>
      <c r="C192" s="20" t="s">
        <v>823</v>
      </c>
      <c r="D192" s="138">
        <v>3280000</v>
      </c>
      <c r="E192" s="20" t="s">
        <v>451</v>
      </c>
      <c r="F192" s="20" t="s">
        <v>452</v>
      </c>
      <c r="G192" s="8" t="str">
        <f t="shared" si="2"/>
        <v>BIRKHOLZ NADINE</v>
      </c>
    </row>
    <row r="193" spans="1:7" x14ac:dyDescent="0.25">
      <c r="A193" s="8">
        <v>42937.777650462966</v>
      </c>
      <c r="B193" s="20" t="s">
        <v>630</v>
      </c>
      <c r="C193" s="20" t="s">
        <v>647</v>
      </c>
      <c r="D193" s="138">
        <v>3330000</v>
      </c>
      <c r="E193" s="20" t="s">
        <v>488</v>
      </c>
      <c r="F193" s="20" t="s">
        <v>489</v>
      </c>
      <c r="G193" s="8" t="str">
        <f t="shared" si="2"/>
        <v>GONZALEZ ARMANDO</v>
      </c>
    </row>
    <row r="194" spans="1:7" x14ac:dyDescent="0.25">
      <c r="A194" s="8">
        <v>42937.778182870374</v>
      </c>
      <c r="B194" s="20" t="s">
        <v>522</v>
      </c>
      <c r="C194" s="20" t="s">
        <v>824</v>
      </c>
      <c r="D194" s="138">
        <v>3340000</v>
      </c>
      <c r="E194" s="20" t="s">
        <v>453</v>
      </c>
      <c r="F194" s="20" t="s">
        <v>454</v>
      </c>
      <c r="G194" s="8" t="str">
        <f t="shared" si="2"/>
        <v>ELBAUM MIKE</v>
      </c>
    </row>
    <row r="195" spans="1:7" x14ac:dyDescent="0.25">
      <c r="A195" s="8">
        <v>42937.778483796297</v>
      </c>
      <c r="B195" s="20" t="s">
        <v>729</v>
      </c>
      <c r="C195" s="20" t="s">
        <v>825</v>
      </c>
      <c r="D195" s="138">
        <v>2540000</v>
      </c>
      <c r="E195" s="20" t="s">
        <v>784</v>
      </c>
      <c r="F195" s="20" t="s">
        <v>785</v>
      </c>
      <c r="G195" s="8" t="str">
        <f t="shared" ref="G195:G258" si="3">E195&amp;" "&amp;F195</f>
        <v>MCREYNOLDS KYLE</v>
      </c>
    </row>
    <row r="196" spans="1:7" x14ac:dyDescent="0.25">
      <c r="A196" s="8">
        <v>42937.788784722223</v>
      </c>
      <c r="B196" s="20" t="s">
        <v>458</v>
      </c>
      <c r="C196" s="20" t="s">
        <v>826</v>
      </c>
      <c r="D196" s="138">
        <v>3090000</v>
      </c>
      <c r="E196" s="20" t="s">
        <v>365</v>
      </c>
      <c r="F196" s="20" t="s">
        <v>366</v>
      </c>
      <c r="G196" s="8" t="str">
        <f t="shared" si="3"/>
        <v>LAMAR NEKESHA</v>
      </c>
    </row>
    <row r="197" spans="1:7" x14ac:dyDescent="0.25">
      <c r="A197" s="8">
        <v>42937.794108796297</v>
      </c>
      <c r="B197" s="20" t="s">
        <v>654</v>
      </c>
      <c r="C197" s="20" t="s">
        <v>827</v>
      </c>
      <c r="D197" s="138">
        <v>3280000</v>
      </c>
      <c r="E197" s="20" t="s">
        <v>451</v>
      </c>
      <c r="F197" s="20" t="s">
        <v>452</v>
      </c>
      <c r="G197" s="8" t="str">
        <f t="shared" si="3"/>
        <v>BIRKHOLZ NADINE</v>
      </c>
    </row>
    <row r="198" spans="1:7" x14ac:dyDescent="0.25">
      <c r="A198" s="8">
        <v>42937.794733796298</v>
      </c>
      <c r="B198" s="20" t="s">
        <v>518</v>
      </c>
      <c r="C198" s="20" t="s">
        <v>828</v>
      </c>
      <c r="D198" s="138">
        <v>2620000</v>
      </c>
      <c r="E198" s="20" t="s">
        <v>552</v>
      </c>
      <c r="F198" s="20" t="s">
        <v>553</v>
      </c>
      <c r="G198" s="8" t="str">
        <f t="shared" si="3"/>
        <v>PERKINS DARREN</v>
      </c>
    </row>
    <row r="199" spans="1:7" x14ac:dyDescent="0.25">
      <c r="A199" s="8">
        <v>42937.797766203701</v>
      </c>
      <c r="B199" s="20" t="s">
        <v>624</v>
      </c>
      <c r="C199" s="20" t="s">
        <v>829</v>
      </c>
      <c r="D199" s="138">
        <v>2540000</v>
      </c>
      <c r="E199" s="20" t="s">
        <v>784</v>
      </c>
      <c r="F199" s="20" t="s">
        <v>785</v>
      </c>
      <c r="G199" s="8" t="str">
        <f t="shared" si="3"/>
        <v>MCREYNOLDS KYLE</v>
      </c>
    </row>
    <row r="200" spans="1:7" x14ac:dyDescent="0.25">
      <c r="A200" s="8">
        <v>42937.797905092593</v>
      </c>
      <c r="B200" s="20" t="s">
        <v>633</v>
      </c>
      <c r="C200" s="20" t="s">
        <v>830</v>
      </c>
      <c r="D200" s="138">
        <v>1300000</v>
      </c>
      <c r="E200" s="20" t="s">
        <v>494</v>
      </c>
      <c r="F200" s="20" t="s">
        <v>495</v>
      </c>
      <c r="G200" s="8" t="str">
        <f t="shared" si="3"/>
        <v>LEVIN SCOTT</v>
      </c>
    </row>
    <row r="201" spans="1:7" x14ac:dyDescent="0.25">
      <c r="A201" s="8">
        <v>42937.799502314818</v>
      </c>
      <c r="B201" s="20" t="s">
        <v>545</v>
      </c>
      <c r="C201" s="20" t="s">
        <v>648</v>
      </c>
      <c r="D201" s="138">
        <v>3220000</v>
      </c>
      <c r="E201" s="20" t="s">
        <v>831</v>
      </c>
      <c r="F201" s="20" t="s">
        <v>832</v>
      </c>
      <c r="G201" s="8" t="str">
        <f t="shared" si="3"/>
        <v>RESPASS AARON</v>
      </c>
    </row>
    <row r="202" spans="1:7" x14ac:dyDescent="0.25">
      <c r="A202" s="26">
        <v>42937.808530092596</v>
      </c>
      <c r="B202" s="20" t="s">
        <v>476</v>
      </c>
      <c r="C202" s="20" t="s">
        <v>833</v>
      </c>
      <c r="D202" s="138">
        <v>3030000</v>
      </c>
      <c r="E202" s="20" t="s">
        <v>369</v>
      </c>
      <c r="F202" s="20" t="s">
        <v>357</v>
      </c>
      <c r="G202" s="8" t="str">
        <f t="shared" si="3"/>
        <v>BIRENBAUM THOMAS</v>
      </c>
    </row>
    <row r="203" spans="1:7" x14ac:dyDescent="0.25">
      <c r="A203" s="8">
        <v>42937.808912037035</v>
      </c>
      <c r="B203" s="20" t="s">
        <v>392</v>
      </c>
      <c r="C203" s="20" t="s">
        <v>651</v>
      </c>
      <c r="D203" s="138">
        <v>3000000</v>
      </c>
      <c r="E203" s="20" t="s">
        <v>384</v>
      </c>
      <c r="F203" s="20" t="s">
        <v>385</v>
      </c>
      <c r="G203" s="8" t="str">
        <f t="shared" si="3"/>
        <v>FORTUNATO FRANK</v>
      </c>
    </row>
    <row r="204" spans="1:7" x14ac:dyDescent="0.25">
      <c r="A204" s="8">
        <v>42937.817997685182</v>
      </c>
      <c r="B204" s="20" t="s">
        <v>626</v>
      </c>
      <c r="C204" s="20" t="s">
        <v>652</v>
      </c>
      <c r="D204" s="138">
        <v>3280000</v>
      </c>
      <c r="E204" s="20" t="s">
        <v>451</v>
      </c>
      <c r="F204" s="20" t="s">
        <v>452</v>
      </c>
      <c r="G204" s="8" t="str">
        <f t="shared" si="3"/>
        <v>BIRKHOLZ NADINE</v>
      </c>
    </row>
    <row r="205" spans="1:7" x14ac:dyDescent="0.25">
      <c r="A205" s="8">
        <v>42937.821701388886</v>
      </c>
      <c r="B205" s="20" t="s">
        <v>544</v>
      </c>
      <c r="C205" s="20" t="s">
        <v>834</v>
      </c>
      <c r="D205" s="138">
        <v>3340000</v>
      </c>
      <c r="E205" s="20" t="s">
        <v>453</v>
      </c>
      <c r="F205" s="20" t="s">
        <v>454</v>
      </c>
      <c r="G205" s="8" t="str">
        <f t="shared" si="3"/>
        <v>ELBAUM MIKE</v>
      </c>
    </row>
    <row r="206" spans="1:7" x14ac:dyDescent="0.25">
      <c r="A206" s="8">
        <v>42937.823576388888</v>
      </c>
      <c r="B206" s="20" t="s">
        <v>554</v>
      </c>
      <c r="C206" s="20" t="s">
        <v>648</v>
      </c>
      <c r="D206" s="138">
        <v>3220000</v>
      </c>
      <c r="E206" s="20" t="s">
        <v>831</v>
      </c>
      <c r="F206" s="20" t="s">
        <v>832</v>
      </c>
      <c r="G206" s="8" t="str">
        <f t="shared" si="3"/>
        <v>RESPASS AARON</v>
      </c>
    </row>
    <row r="207" spans="1:7" x14ac:dyDescent="0.25">
      <c r="A207" s="8">
        <v>42937.8278125</v>
      </c>
      <c r="B207" s="20" t="s">
        <v>455</v>
      </c>
      <c r="C207" s="20" t="s">
        <v>835</v>
      </c>
      <c r="D207" s="138">
        <v>3090000</v>
      </c>
      <c r="E207" s="20" t="s">
        <v>365</v>
      </c>
      <c r="F207" s="20" t="s">
        <v>366</v>
      </c>
      <c r="G207" s="8" t="str">
        <f t="shared" si="3"/>
        <v>LAMAR NEKESHA</v>
      </c>
    </row>
    <row r="208" spans="1:7" x14ac:dyDescent="0.25">
      <c r="A208" s="8">
        <v>42937.82880787037</v>
      </c>
      <c r="B208" s="20" t="s">
        <v>392</v>
      </c>
      <c r="C208" s="20" t="s">
        <v>651</v>
      </c>
      <c r="D208" s="138">
        <v>3000000</v>
      </c>
      <c r="E208" s="20" t="s">
        <v>384</v>
      </c>
      <c r="F208" s="20" t="s">
        <v>385</v>
      </c>
      <c r="G208" s="8" t="str">
        <f t="shared" si="3"/>
        <v>FORTUNATO FRANK</v>
      </c>
    </row>
    <row r="209" spans="1:7" x14ac:dyDescent="0.25">
      <c r="A209" s="8">
        <v>42937.828981481478</v>
      </c>
      <c r="B209" s="20" t="s">
        <v>521</v>
      </c>
      <c r="C209" s="20" t="s">
        <v>653</v>
      </c>
      <c r="D209" s="138">
        <v>2620000</v>
      </c>
      <c r="E209" s="20" t="s">
        <v>552</v>
      </c>
      <c r="F209" s="20" t="s">
        <v>553</v>
      </c>
      <c r="G209" s="8" t="str">
        <f t="shared" si="3"/>
        <v>PERKINS DARREN</v>
      </c>
    </row>
    <row r="210" spans="1:7" x14ac:dyDescent="0.25">
      <c r="A210" s="8">
        <v>42937.83289351852</v>
      </c>
      <c r="B210" s="20" t="s">
        <v>654</v>
      </c>
      <c r="C210" s="20" t="s">
        <v>836</v>
      </c>
      <c r="D210" s="138">
        <v>3280000</v>
      </c>
      <c r="E210" s="20" t="s">
        <v>451</v>
      </c>
      <c r="F210" s="20" t="s">
        <v>452</v>
      </c>
      <c r="G210" s="8" t="str">
        <f t="shared" si="3"/>
        <v>BIRKHOLZ NADINE</v>
      </c>
    </row>
    <row r="211" spans="1:7" x14ac:dyDescent="0.25">
      <c r="A211" s="8">
        <v>42937.848171296297</v>
      </c>
      <c r="B211" s="20" t="s">
        <v>517</v>
      </c>
      <c r="C211" s="20" t="s">
        <v>837</v>
      </c>
      <c r="D211" s="138">
        <v>3030000</v>
      </c>
      <c r="E211" s="20" t="s">
        <v>369</v>
      </c>
      <c r="F211" s="20" t="s">
        <v>357</v>
      </c>
      <c r="G211" s="8" t="str">
        <f t="shared" si="3"/>
        <v>BIRENBAUM THOMAS</v>
      </c>
    </row>
    <row r="212" spans="1:7" x14ac:dyDescent="0.25">
      <c r="A212" s="8">
        <v>42937.849583333336</v>
      </c>
      <c r="B212" s="20" t="s">
        <v>391</v>
      </c>
      <c r="C212" s="20" t="s">
        <v>838</v>
      </c>
      <c r="D212" s="138">
        <v>3000000</v>
      </c>
      <c r="E212" s="20" t="s">
        <v>384</v>
      </c>
      <c r="F212" s="20" t="s">
        <v>385</v>
      </c>
      <c r="G212" s="8" t="str">
        <f t="shared" si="3"/>
        <v>FORTUNATO FRANK</v>
      </c>
    </row>
    <row r="213" spans="1:7" x14ac:dyDescent="0.25">
      <c r="A213" s="8">
        <v>42937.859548611108</v>
      </c>
      <c r="B213" s="20" t="s">
        <v>626</v>
      </c>
      <c r="C213" s="20" t="s">
        <v>839</v>
      </c>
      <c r="D213" s="138">
        <v>3280000</v>
      </c>
      <c r="E213" s="20" t="s">
        <v>451</v>
      </c>
      <c r="F213" s="20" t="s">
        <v>452</v>
      </c>
      <c r="G213" s="8" t="str">
        <f t="shared" si="3"/>
        <v>BIRKHOLZ NADINE</v>
      </c>
    </row>
    <row r="214" spans="1:7" x14ac:dyDescent="0.25">
      <c r="A214" s="8">
        <v>42937.865636574075</v>
      </c>
      <c r="B214" s="20" t="s">
        <v>518</v>
      </c>
      <c r="C214" s="20" t="s">
        <v>840</v>
      </c>
      <c r="D214" s="138">
        <v>2620000</v>
      </c>
      <c r="E214" s="20" t="s">
        <v>552</v>
      </c>
      <c r="F214" s="20" t="s">
        <v>553</v>
      </c>
      <c r="G214" s="8" t="str">
        <f t="shared" si="3"/>
        <v>PERKINS DARREN</v>
      </c>
    </row>
    <row r="215" spans="1:7" x14ac:dyDescent="0.25">
      <c r="A215" s="8">
        <v>42937.871180555558</v>
      </c>
      <c r="B215" s="20" t="s">
        <v>458</v>
      </c>
      <c r="C215" s="20" t="s">
        <v>841</v>
      </c>
      <c r="D215" s="138">
        <v>3090000</v>
      </c>
      <c r="E215" s="20" t="s">
        <v>365</v>
      </c>
      <c r="F215" s="20" t="s">
        <v>366</v>
      </c>
      <c r="G215" s="8" t="str">
        <f t="shared" si="3"/>
        <v>LAMAR NEKESHA</v>
      </c>
    </row>
    <row r="216" spans="1:7" x14ac:dyDescent="0.25">
      <c r="A216" s="8">
        <v>42937.877511574072</v>
      </c>
      <c r="B216" s="20" t="s">
        <v>545</v>
      </c>
      <c r="C216" s="20" t="s">
        <v>648</v>
      </c>
      <c r="D216" s="138">
        <v>3220000</v>
      </c>
      <c r="E216" s="20" t="s">
        <v>831</v>
      </c>
      <c r="F216" s="20" t="s">
        <v>832</v>
      </c>
      <c r="G216" s="8" t="str">
        <f t="shared" si="3"/>
        <v>RESPASS AARON</v>
      </c>
    </row>
    <row r="217" spans="1:7" x14ac:dyDescent="0.25">
      <c r="A217" s="8">
        <v>42937.879837962966</v>
      </c>
      <c r="B217" s="20" t="s">
        <v>654</v>
      </c>
      <c r="C217" s="20" t="s">
        <v>655</v>
      </c>
      <c r="D217" s="138">
        <v>2540000</v>
      </c>
      <c r="E217" s="20" t="s">
        <v>784</v>
      </c>
      <c r="F217" s="20" t="s">
        <v>785</v>
      </c>
      <c r="G217" s="8" t="str">
        <f t="shared" si="3"/>
        <v>MCREYNOLDS KYLE</v>
      </c>
    </row>
    <row r="218" spans="1:7" x14ac:dyDescent="0.25">
      <c r="A218" s="8">
        <v>42937.887604166666</v>
      </c>
      <c r="B218" s="20" t="s">
        <v>392</v>
      </c>
      <c r="C218" s="20" t="s">
        <v>842</v>
      </c>
      <c r="D218" s="138">
        <v>3000000</v>
      </c>
      <c r="E218" s="20" t="s">
        <v>384</v>
      </c>
      <c r="F218" s="20" t="s">
        <v>385</v>
      </c>
      <c r="G218" s="8" t="str">
        <f t="shared" si="3"/>
        <v>FORTUNATO FRANK</v>
      </c>
    </row>
    <row r="219" spans="1:7" x14ac:dyDescent="0.25">
      <c r="A219" s="8">
        <v>42937.892418981479</v>
      </c>
      <c r="B219" s="20" t="s">
        <v>476</v>
      </c>
      <c r="C219" s="20" t="s">
        <v>843</v>
      </c>
      <c r="D219" s="138">
        <v>3030000</v>
      </c>
      <c r="E219" s="20" t="s">
        <v>369</v>
      </c>
      <c r="F219" s="20" t="s">
        <v>357</v>
      </c>
      <c r="G219" s="8" t="str">
        <f t="shared" si="3"/>
        <v>BIRENBAUM THOMAS</v>
      </c>
    </row>
    <row r="220" spans="1:7" x14ac:dyDescent="0.25">
      <c r="A220" s="8">
        <v>42937.902349537035</v>
      </c>
      <c r="B220" s="20" t="s">
        <v>626</v>
      </c>
      <c r="C220" s="20" t="s">
        <v>844</v>
      </c>
      <c r="D220" s="138">
        <v>2540000</v>
      </c>
      <c r="E220" s="20" t="s">
        <v>784</v>
      </c>
      <c r="F220" s="20" t="s">
        <v>785</v>
      </c>
      <c r="G220" s="8" t="str">
        <f t="shared" si="3"/>
        <v>MCREYNOLDS KYLE</v>
      </c>
    </row>
    <row r="221" spans="1:7" x14ac:dyDescent="0.25">
      <c r="A221" s="8">
        <v>42937.906828703701</v>
      </c>
      <c r="B221" s="20" t="s">
        <v>521</v>
      </c>
      <c r="C221" s="20" t="s">
        <v>845</v>
      </c>
      <c r="D221" s="138">
        <v>2620000</v>
      </c>
      <c r="E221" s="20" t="s">
        <v>552</v>
      </c>
      <c r="F221" s="20" t="s">
        <v>553</v>
      </c>
      <c r="G221" s="8" t="str">
        <f t="shared" si="3"/>
        <v>PERKINS DARREN</v>
      </c>
    </row>
    <row r="222" spans="1:7" x14ac:dyDescent="0.25">
      <c r="A222" s="8">
        <v>42937.908101851855</v>
      </c>
      <c r="B222" s="20" t="s">
        <v>521</v>
      </c>
      <c r="C222" s="20" t="s">
        <v>845</v>
      </c>
      <c r="D222" s="138">
        <v>2620000</v>
      </c>
      <c r="E222" s="20" t="s">
        <v>552</v>
      </c>
      <c r="F222" s="20" t="s">
        <v>553</v>
      </c>
      <c r="G222" s="8" t="str">
        <f t="shared" si="3"/>
        <v>PERKINS DARREN</v>
      </c>
    </row>
    <row r="223" spans="1:7" x14ac:dyDescent="0.25">
      <c r="A223" s="8">
        <v>42937.910231481481</v>
      </c>
      <c r="B223" s="20" t="s">
        <v>455</v>
      </c>
      <c r="C223" s="20" t="s">
        <v>846</v>
      </c>
      <c r="D223" s="138">
        <v>3090000</v>
      </c>
      <c r="E223" s="20" t="s">
        <v>365</v>
      </c>
      <c r="F223" s="20" t="s">
        <v>366</v>
      </c>
      <c r="G223" s="8" t="str">
        <f t="shared" si="3"/>
        <v>LAMAR NEKESHA</v>
      </c>
    </row>
    <row r="224" spans="1:7" x14ac:dyDescent="0.25">
      <c r="A224" s="8">
        <v>42937.916805555556</v>
      </c>
      <c r="B224" t="s">
        <v>654</v>
      </c>
      <c r="C224" t="s">
        <v>847</v>
      </c>
      <c r="D224" s="138">
        <v>2540000</v>
      </c>
      <c r="E224" t="s">
        <v>784</v>
      </c>
      <c r="F224" s="20" t="s">
        <v>785</v>
      </c>
      <c r="G224" s="8" t="str">
        <f t="shared" si="3"/>
        <v>MCREYNOLDS KYLE</v>
      </c>
    </row>
    <row r="225" spans="1:7" x14ac:dyDescent="0.25">
      <c r="A225" s="8">
        <v>42937.918368055558</v>
      </c>
      <c r="B225" t="s">
        <v>554</v>
      </c>
      <c r="C225" t="s">
        <v>648</v>
      </c>
      <c r="D225" s="138">
        <v>3220000</v>
      </c>
      <c r="E225" t="s">
        <v>831</v>
      </c>
      <c r="F225" s="20" t="s">
        <v>832</v>
      </c>
      <c r="G225" s="8" t="str">
        <f t="shared" si="3"/>
        <v>RESPASS AARON</v>
      </c>
    </row>
    <row r="226" spans="1:7" x14ac:dyDescent="0.25">
      <c r="A226" s="8">
        <v>42937.920405092591</v>
      </c>
      <c r="B226" t="s">
        <v>554</v>
      </c>
      <c r="C226" t="s">
        <v>648</v>
      </c>
      <c r="D226" s="138">
        <v>3220000</v>
      </c>
      <c r="E226" t="s">
        <v>831</v>
      </c>
      <c r="F226" s="20" t="s">
        <v>832</v>
      </c>
      <c r="G226" s="8" t="str">
        <f t="shared" si="3"/>
        <v>RESPASS AARON</v>
      </c>
    </row>
    <row r="227" spans="1:7" x14ac:dyDescent="0.25">
      <c r="A227" s="8">
        <v>42937.924305555556</v>
      </c>
      <c r="B227" t="s">
        <v>391</v>
      </c>
      <c r="C227" t="s">
        <v>848</v>
      </c>
      <c r="D227" s="138">
        <v>3000000</v>
      </c>
      <c r="E227" t="s">
        <v>384</v>
      </c>
      <c r="F227" s="20" t="s">
        <v>385</v>
      </c>
      <c r="G227" s="8" t="str">
        <f t="shared" si="3"/>
        <v>FORTUNATO FRANK</v>
      </c>
    </row>
    <row r="228" spans="1:7" x14ac:dyDescent="0.25">
      <c r="A228" s="8">
        <v>42937.924884259257</v>
      </c>
      <c r="B228" t="s">
        <v>554</v>
      </c>
      <c r="C228" t="s">
        <v>648</v>
      </c>
      <c r="D228" s="138">
        <v>3220000</v>
      </c>
      <c r="E228" t="s">
        <v>831</v>
      </c>
      <c r="F228" s="20" t="s">
        <v>832</v>
      </c>
      <c r="G228" s="8" t="str">
        <f t="shared" si="3"/>
        <v>RESPASS AARON</v>
      </c>
    </row>
    <row r="229" spans="1:7" x14ac:dyDescent="0.25">
      <c r="A229" s="8">
        <v>42937.931979166664</v>
      </c>
      <c r="B229" t="s">
        <v>517</v>
      </c>
      <c r="C229" t="s">
        <v>849</v>
      </c>
      <c r="D229" s="138">
        <v>3030000</v>
      </c>
      <c r="E229" t="s">
        <v>369</v>
      </c>
      <c r="F229" s="20" t="s">
        <v>357</v>
      </c>
      <c r="G229" s="8" t="str">
        <f t="shared" si="3"/>
        <v>BIRENBAUM THOMAS</v>
      </c>
    </row>
    <row r="230" spans="1:7" x14ac:dyDescent="0.25">
      <c r="A230" s="8">
        <v>42937.944490740738</v>
      </c>
      <c r="B230" t="s">
        <v>626</v>
      </c>
      <c r="C230" t="s">
        <v>850</v>
      </c>
      <c r="D230" s="138">
        <v>2540000</v>
      </c>
      <c r="E230" t="s">
        <v>784</v>
      </c>
      <c r="F230" s="20" t="s">
        <v>785</v>
      </c>
      <c r="G230" s="8" t="str">
        <f t="shared" si="3"/>
        <v>MCREYNOLDS KYLE</v>
      </c>
    </row>
    <row r="231" spans="1:7" x14ac:dyDescent="0.25">
      <c r="A231" s="8">
        <v>42937.952233796299</v>
      </c>
      <c r="B231" t="s">
        <v>518</v>
      </c>
      <c r="C231" t="s">
        <v>851</v>
      </c>
      <c r="D231" s="138">
        <v>2620000</v>
      </c>
      <c r="E231" t="s">
        <v>552</v>
      </c>
      <c r="F231" s="20" t="s">
        <v>553</v>
      </c>
      <c r="G231" s="8" t="str">
        <f t="shared" si="3"/>
        <v>PERKINS DARREN</v>
      </c>
    </row>
    <row r="232" spans="1:7" x14ac:dyDescent="0.25">
      <c r="A232" s="8">
        <v>42937.953217592592</v>
      </c>
      <c r="B232" t="s">
        <v>458</v>
      </c>
      <c r="C232" t="s">
        <v>852</v>
      </c>
      <c r="D232" s="138">
        <v>3090000</v>
      </c>
      <c r="E232" t="s">
        <v>365</v>
      </c>
      <c r="F232" s="20" t="s">
        <v>366</v>
      </c>
      <c r="G232" s="8" t="str">
        <f t="shared" si="3"/>
        <v>LAMAR NEKESHA</v>
      </c>
    </row>
    <row r="233" spans="1:7" x14ac:dyDescent="0.25">
      <c r="A233" s="8">
        <v>42937.963449074072</v>
      </c>
      <c r="B233" t="s">
        <v>476</v>
      </c>
      <c r="C233" t="s">
        <v>853</v>
      </c>
      <c r="D233" s="138">
        <v>3030000</v>
      </c>
      <c r="E233" t="s">
        <v>369</v>
      </c>
      <c r="F233" s="20" t="s">
        <v>357</v>
      </c>
      <c r="G233" s="8" t="str">
        <f t="shared" si="3"/>
        <v>BIRENBAUM THOMAS</v>
      </c>
    </row>
    <row r="234" spans="1:7" x14ac:dyDescent="0.25">
      <c r="A234" s="8">
        <v>42937.97016203704</v>
      </c>
      <c r="B234" t="s">
        <v>392</v>
      </c>
      <c r="C234" t="s">
        <v>656</v>
      </c>
      <c r="D234" s="138">
        <v>3000000</v>
      </c>
      <c r="E234" t="s">
        <v>384</v>
      </c>
      <c r="F234" s="20" t="s">
        <v>385</v>
      </c>
      <c r="G234" s="8" t="str">
        <f t="shared" si="3"/>
        <v>FORTUNATO FRANK</v>
      </c>
    </row>
    <row r="235" spans="1:7" x14ac:dyDescent="0.25">
      <c r="A235" s="8">
        <v>42937.985509259262</v>
      </c>
      <c r="B235" t="s">
        <v>521</v>
      </c>
      <c r="C235" t="s">
        <v>854</v>
      </c>
      <c r="D235" s="138">
        <v>2620000</v>
      </c>
      <c r="E235" t="s">
        <v>552</v>
      </c>
      <c r="F235" s="20" t="s">
        <v>553</v>
      </c>
      <c r="G235" s="8" t="str">
        <f t="shared" si="3"/>
        <v>PERKINS DARREN</v>
      </c>
    </row>
    <row r="236" spans="1:7" x14ac:dyDescent="0.25">
      <c r="A236" s="8">
        <v>42937.995405092595</v>
      </c>
      <c r="B236" t="s">
        <v>455</v>
      </c>
      <c r="C236" t="s">
        <v>855</v>
      </c>
      <c r="D236" s="138">
        <v>3090000</v>
      </c>
      <c r="E236" t="s">
        <v>365</v>
      </c>
      <c r="F236" s="20" t="s">
        <v>366</v>
      </c>
      <c r="G236" s="8" t="str">
        <f t="shared" si="3"/>
        <v>LAMAR NEKESHA</v>
      </c>
    </row>
    <row r="237" spans="1:7" x14ac:dyDescent="0.25">
      <c r="A237" s="8">
        <v>42937.996620370373</v>
      </c>
      <c r="B237" t="s">
        <v>455</v>
      </c>
      <c r="C237" t="s">
        <v>855</v>
      </c>
      <c r="D237" s="138">
        <v>3090000</v>
      </c>
      <c r="E237" t="s">
        <v>365</v>
      </c>
      <c r="F237" s="20" t="s">
        <v>366</v>
      </c>
      <c r="G237" s="8" t="str">
        <f t="shared" si="3"/>
        <v>LAMAR NEKESHA</v>
      </c>
    </row>
    <row r="238" spans="1:7" x14ac:dyDescent="0.25">
      <c r="A238" s="8">
        <v>42937.998136574075</v>
      </c>
      <c r="B238" t="s">
        <v>455</v>
      </c>
      <c r="C238" t="s">
        <v>855</v>
      </c>
      <c r="D238" s="138">
        <v>3090000</v>
      </c>
      <c r="E238" t="s">
        <v>365</v>
      </c>
      <c r="F238" s="20" t="s">
        <v>366</v>
      </c>
      <c r="G238" s="8" t="str">
        <f t="shared" si="3"/>
        <v>LAMAR NEKESHA</v>
      </c>
    </row>
    <row r="239" spans="1:7" x14ac:dyDescent="0.25">
      <c r="A239" s="8">
        <v>42937.99900462963</v>
      </c>
      <c r="B239" t="s">
        <v>455</v>
      </c>
      <c r="C239" t="s">
        <v>855</v>
      </c>
      <c r="D239" s="138">
        <v>3090000</v>
      </c>
      <c r="E239" t="s">
        <v>365</v>
      </c>
      <c r="F239" s="20" t="s">
        <v>366</v>
      </c>
      <c r="G239" s="8" t="str">
        <f t="shared" si="3"/>
        <v>LAMAR NEKESHA</v>
      </c>
    </row>
    <row r="240" spans="1:7" x14ac:dyDescent="0.25">
      <c r="A240" s="8">
        <v>42938.008969907409</v>
      </c>
      <c r="B240" t="s">
        <v>391</v>
      </c>
      <c r="C240" t="s">
        <v>856</v>
      </c>
      <c r="D240" s="138">
        <v>3000000</v>
      </c>
      <c r="E240" t="s">
        <v>384</v>
      </c>
      <c r="F240" s="20" t="s">
        <v>385</v>
      </c>
      <c r="G240" s="8" t="str">
        <f t="shared" si="3"/>
        <v>FORTUNATO FRANK</v>
      </c>
    </row>
    <row r="241" spans="1:7" x14ac:dyDescent="0.25">
      <c r="A241" s="8">
        <v>42938.009050925924</v>
      </c>
      <c r="B241" t="s">
        <v>455</v>
      </c>
      <c r="C241" t="s">
        <v>855</v>
      </c>
      <c r="D241" s="138">
        <v>3090000</v>
      </c>
      <c r="E241" t="s">
        <v>365</v>
      </c>
      <c r="F241" s="20" t="s">
        <v>366</v>
      </c>
      <c r="G241" s="8" t="str">
        <f t="shared" si="3"/>
        <v>LAMAR NEKESHA</v>
      </c>
    </row>
    <row r="242" spans="1:7" x14ac:dyDescent="0.25">
      <c r="A242" s="8">
        <v>42938.010254629633</v>
      </c>
      <c r="B242" t="s">
        <v>455</v>
      </c>
      <c r="C242" t="s">
        <v>855</v>
      </c>
      <c r="D242" s="138">
        <v>3090000</v>
      </c>
      <c r="E242" t="s">
        <v>365</v>
      </c>
      <c r="F242" s="20" t="s">
        <v>366</v>
      </c>
      <c r="G242" s="8" t="str">
        <f t="shared" si="3"/>
        <v>LAMAR NEKESHA</v>
      </c>
    </row>
    <row r="243" spans="1:7" x14ac:dyDescent="0.25">
      <c r="A243" s="8">
        <v>42938.014074074075</v>
      </c>
      <c r="B243" t="s">
        <v>517</v>
      </c>
      <c r="C243" t="s">
        <v>857</v>
      </c>
      <c r="D243" s="138">
        <v>3030000</v>
      </c>
      <c r="E243" t="s">
        <v>369</v>
      </c>
      <c r="F243" s="20" t="s">
        <v>357</v>
      </c>
      <c r="G243" s="8" t="str">
        <f t="shared" si="3"/>
        <v>BIRENBAUM THOMAS</v>
      </c>
    </row>
    <row r="244" spans="1:7" x14ac:dyDescent="0.25">
      <c r="A244" s="8">
        <v>42938.015636574077</v>
      </c>
      <c r="B244" t="s">
        <v>504</v>
      </c>
      <c r="C244" t="s">
        <v>730</v>
      </c>
      <c r="D244" s="138">
        <v>3180000</v>
      </c>
      <c r="E244" t="s">
        <v>814</v>
      </c>
      <c r="F244" s="20" t="s">
        <v>815</v>
      </c>
      <c r="G244" s="8" t="str">
        <f t="shared" si="3"/>
        <v>HUFFSMITH MONTY</v>
      </c>
    </row>
    <row r="245" spans="1:7" x14ac:dyDescent="0.25">
      <c r="A245" s="8">
        <v>42938.018819444442</v>
      </c>
      <c r="B245" t="s">
        <v>658</v>
      </c>
      <c r="C245" t="s">
        <v>730</v>
      </c>
      <c r="D245" s="138">
        <v>3180000</v>
      </c>
      <c r="E245" t="s">
        <v>814</v>
      </c>
      <c r="F245" s="20" t="s">
        <v>815</v>
      </c>
      <c r="G245" s="8" t="str">
        <f t="shared" si="3"/>
        <v>HUFFSMITH MONTY</v>
      </c>
    </row>
    <row r="246" spans="1:7" x14ac:dyDescent="0.25">
      <c r="A246" s="8">
        <v>42938.019490740742</v>
      </c>
      <c r="B246" t="s">
        <v>658</v>
      </c>
      <c r="C246" t="s">
        <v>730</v>
      </c>
      <c r="D246" s="138">
        <v>3180000</v>
      </c>
      <c r="E246" t="s">
        <v>814</v>
      </c>
      <c r="F246" s="20" t="s">
        <v>815</v>
      </c>
      <c r="G246" s="8" t="str">
        <f t="shared" si="3"/>
        <v>HUFFSMITH MONTY</v>
      </c>
    </row>
    <row r="247" spans="1:7" x14ac:dyDescent="0.25">
      <c r="A247" s="8">
        <v>42938.021979166668</v>
      </c>
      <c r="B247" t="s">
        <v>504</v>
      </c>
      <c r="C247" t="s">
        <v>858</v>
      </c>
      <c r="D247" s="138">
        <v>3180000</v>
      </c>
      <c r="E247" t="s">
        <v>814</v>
      </c>
      <c r="F247" s="20" t="s">
        <v>815</v>
      </c>
      <c r="G247" s="8" t="str">
        <f t="shared" si="3"/>
        <v>HUFFSMITH MONTY</v>
      </c>
    </row>
    <row r="248" spans="1:7" x14ac:dyDescent="0.25">
      <c r="A248" s="8">
        <v>42938.027407407404</v>
      </c>
      <c r="B248" t="s">
        <v>504</v>
      </c>
      <c r="C248" t="s">
        <v>858</v>
      </c>
      <c r="D248" s="138">
        <v>3180000</v>
      </c>
      <c r="E248" t="s">
        <v>814</v>
      </c>
      <c r="F248" s="20" t="s">
        <v>815</v>
      </c>
      <c r="G248" s="8" t="str">
        <f t="shared" si="3"/>
        <v>HUFFSMITH MONTY</v>
      </c>
    </row>
    <row r="249" spans="1:7" x14ac:dyDescent="0.25">
      <c r="A249" s="8">
        <v>42938.028483796297</v>
      </c>
      <c r="B249" t="s">
        <v>504</v>
      </c>
      <c r="C249" t="s">
        <v>730</v>
      </c>
      <c r="D249" s="138">
        <v>3180000</v>
      </c>
      <c r="E249" t="s">
        <v>814</v>
      </c>
      <c r="F249" s="20" t="s">
        <v>815</v>
      </c>
      <c r="G249" s="8" t="str">
        <f t="shared" si="3"/>
        <v>HUFFSMITH MONTY</v>
      </c>
    </row>
    <row r="250" spans="1:7" x14ac:dyDescent="0.25">
      <c r="A250" s="8">
        <v>42938.032326388886</v>
      </c>
      <c r="B250" t="s">
        <v>658</v>
      </c>
      <c r="C250" t="s">
        <v>730</v>
      </c>
      <c r="D250" s="138">
        <v>3180000</v>
      </c>
      <c r="E250" t="s">
        <v>814</v>
      </c>
      <c r="F250" s="20" t="s">
        <v>815</v>
      </c>
      <c r="G250" s="8" t="str">
        <f t="shared" si="3"/>
        <v>HUFFSMITH MONTY</v>
      </c>
    </row>
    <row r="251" spans="1:7" x14ac:dyDescent="0.25">
      <c r="A251" s="8">
        <v>42938.040497685186</v>
      </c>
      <c r="B251" t="s">
        <v>504</v>
      </c>
      <c r="C251" t="s">
        <v>859</v>
      </c>
      <c r="D251" s="138">
        <v>3090000</v>
      </c>
      <c r="E251" t="s">
        <v>365</v>
      </c>
      <c r="F251" s="20" t="s">
        <v>366</v>
      </c>
      <c r="G251" s="8" t="str">
        <f t="shared" si="3"/>
        <v>LAMAR NEKESHA</v>
      </c>
    </row>
    <row r="252" spans="1:7" x14ac:dyDescent="0.25">
      <c r="A252" s="8">
        <v>42938.047060185185</v>
      </c>
      <c r="B252" t="s">
        <v>476</v>
      </c>
      <c r="C252" t="s">
        <v>860</v>
      </c>
      <c r="D252" s="138">
        <v>3030000</v>
      </c>
      <c r="E252" t="s">
        <v>369</v>
      </c>
      <c r="F252" s="20" t="s">
        <v>357</v>
      </c>
      <c r="G252" s="8" t="str">
        <f t="shared" si="3"/>
        <v>BIRENBAUM THOMAS</v>
      </c>
    </row>
    <row r="253" spans="1:7" x14ac:dyDescent="0.25">
      <c r="A253" s="8">
        <v>42938.049537037034</v>
      </c>
      <c r="B253" t="s">
        <v>392</v>
      </c>
      <c r="C253" t="s">
        <v>861</v>
      </c>
      <c r="D253" s="138">
        <v>3000000</v>
      </c>
      <c r="E253" t="s">
        <v>384</v>
      </c>
      <c r="F253" s="20" t="s">
        <v>385</v>
      </c>
      <c r="G253" s="8" t="str">
        <f t="shared" si="3"/>
        <v>FORTUNATO FRANK</v>
      </c>
    </row>
    <row r="254" spans="1:7" x14ac:dyDescent="0.25">
      <c r="A254" s="8">
        <v>42938.068668981483</v>
      </c>
      <c r="B254" t="s">
        <v>521</v>
      </c>
      <c r="C254" t="s">
        <v>862</v>
      </c>
      <c r="D254" s="138">
        <v>2620000</v>
      </c>
      <c r="E254" t="s">
        <v>552</v>
      </c>
      <c r="F254" s="20" t="s">
        <v>553</v>
      </c>
      <c r="G254" s="8" t="str">
        <f t="shared" si="3"/>
        <v>PERKINS DARREN</v>
      </c>
    </row>
    <row r="255" spans="1:7" x14ac:dyDescent="0.25">
      <c r="A255" s="8">
        <v>42938.074004629627</v>
      </c>
      <c r="B255" t="s">
        <v>658</v>
      </c>
      <c r="C255" t="s">
        <v>659</v>
      </c>
      <c r="D255" s="138">
        <v>3090000</v>
      </c>
      <c r="E255" t="s">
        <v>365</v>
      </c>
      <c r="F255" s="20" t="s">
        <v>366</v>
      </c>
      <c r="G255" s="8" t="str">
        <f t="shared" si="3"/>
        <v>LAMAR NEKESHA</v>
      </c>
    </row>
    <row r="256" spans="1:7" x14ac:dyDescent="0.25">
      <c r="A256" s="8">
        <v>42938.090115740742</v>
      </c>
      <c r="B256" t="s">
        <v>391</v>
      </c>
      <c r="C256" t="s">
        <v>863</v>
      </c>
      <c r="D256" s="138">
        <v>3000000</v>
      </c>
      <c r="E256" t="s">
        <v>384</v>
      </c>
      <c r="F256" s="20" t="s">
        <v>385</v>
      </c>
      <c r="G256" s="8" t="str">
        <f t="shared" si="3"/>
        <v>FORTUNATO FRANK</v>
      </c>
    </row>
    <row r="257" spans="1:7" x14ac:dyDescent="0.25">
      <c r="A257" s="8">
        <v>42938.114583333336</v>
      </c>
      <c r="B257" t="s">
        <v>504</v>
      </c>
      <c r="C257" t="s">
        <v>864</v>
      </c>
      <c r="D257" s="138">
        <v>3090000</v>
      </c>
      <c r="E257" t="s">
        <v>365</v>
      </c>
      <c r="F257" s="20" t="s">
        <v>366</v>
      </c>
      <c r="G257" s="8" t="str">
        <f t="shared" si="3"/>
        <v>LAMAR NEKESHA</v>
      </c>
    </row>
    <row r="258" spans="1:7" x14ac:dyDescent="0.25">
      <c r="A258" s="8">
        <v>42937.050520833334</v>
      </c>
      <c r="B258" t="s">
        <v>554</v>
      </c>
      <c r="C258" t="s">
        <v>555</v>
      </c>
      <c r="D258" s="138">
        <v>3030000</v>
      </c>
      <c r="E258" t="s">
        <v>369</v>
      </c>
      <c r="F258" s="20" t="s">
        <v>357</v>
      </c>
      <c r="G258" s="8" t="str">
        <f t="shared" si="3"/>
        <v>BIRENBAUM THOMAS</v>
      </c>
    </row>
    <row r="259" spans="1:7" x14ac:dyDescent="0.25">
      <c r="A259" s="8">
        <v>42937.056284722225</v>
      </c>
      <c r="B259" t="s">
        <v>520</v>
      </c>
      <c r="C259" t="s">
        <v>557</v>
      </c>
      <c r="D259" s="138">
        <v>3000000</v>
      </c>
      <c r="E259" t="s">
        <v>384</v>
      </c>
      <c r="F259" s="20" t="s">
        <v>385</v>
      </c>
      <c r="G259" s="8" t="str">
        <f t="shared" ref="G259:G322" si="4">E259&amp;" "&amp;F259</f>
        <v>FORTUNATO FRANK</v>
      </c>
    </row>
    <row r="260" spans="1:7" x14ac:dyDescent="0.25">
      <c r="A260" s="8">
        <v>42937.059155092589</v>
      </c>
      <c r="B260" t="s">
        <v>545</v>
      </c>
      <c r="C260" t="s">
        <v>546</v>
      </c>
      <c r="D260" s="138">
        <v>3030000</v>
      </c>
      <c r="E260" t="s">
        <v>369</v>
      </c>
      <c r="F260" s="20" t="s">
        <v>357</v>
      </c>
      <c r="G260" s="8" t="str">
        <f t="shared" si="4"/>
        <v>BIRENBAUM THOMAS</v>
      </c>
    </row>
    <row r="261" spans="1:7" x14ac:dyDescent="0.25">
      <c r="A261" s="8">
        <v>42937.066655092596</v>
      </c>
      <c r="B261" t="s">
        <v>554</v>
      </c>
      <c r="C261" t="s">
        <v>555</v>
      </c>
      <c r="D261" s="138">
        <v>3030000</v>
      </c>
      <c r="E261" t="s">
        <v>369</v>
      </c>
      <c r="F261" s="20" t="s">
        <v>357</v>
      </c>
      <c r="G261" s="8" t="str">
        <f t="shared" si="4"/>
        <v>BIRENBAUM THOMAS</v>
      </c>
    </row>
    <row r="262" spans="1:7" x14ac:dyDescent="0.25">
      <c r="A262" s="8">
        <v>42937.069895833331</v>
      </c>
      <c r="B262" t="s">
        <v>390</v>
      </c>
      <c r="C262" t="s">
        <v>558</v>
      </c>
      <c r="D262" s="138">
        <v>2620000</v>
      </c>
      <c r="E262" t="s">
        <v>552</v>
      </c>
      <c r="F262" s="20" t="s">
        <v>553</v>
      </c>
      <c r="G262" s="8" t="str">
        <f t="shared" si="4"/>
        <v>PERKINS DARREN</v>
      </c>
    </row>
    <row r="263" spans="1:7" x14ac:dyDescent="0.25">
      <c r="A263" s="8">
        <v>42937.090289351851</v>
      </c>
      <c r="B263" t="s">
        <v>519</v>
      </c>
      <c r="C263" t="s">
        <v>547</v>
      </c>
      <c r="D263" s="138">
        <v>3000000</v>
      </c>
      <c r="E263" t="s">
        <v>384</v>
      </c>
      <c r="F263" s="20" t="s">
        <v>385</v>
      </c>
      <c r="G263" s="8" t="str">
        <f t="shared" si="4"/>
        <v>FORTUNATO FRANK</v>
      </c>
    </row>
    <row r="264" spans="1:7" x14ac:dyDescent="0.25">
      <c r="A264" s="8">
        <v>42937.097303240742</v>
      </c>
      <c r="B264" t="s">
        <v>545</v>
      </c>
      <c r="C264" t="s">
        <v>546</v>
      </c>
      <c r="D264" s="138">
        <v>3030000</v>
      </c>
      <c r="E264" t="s">
        <v>369</v>
      </c>
      <c r="F264" s="20" t="s">
        <v>357</v>
      </c>
      <c r="G264" s="8" t="str">
        <f t="shared" si="4"/>
        <v>BIRENBAUM THOMAS</v>
      </c>
    </row>
    <row r="265" spans="1:7" x14ac:dyDescent="0.25">
      <c r="A265" s="8">
        <v>42937.112349537034</v>
      </c>
      <c r="B265" t="s">
        <v>455</v>
      </c>
      <c r="C265" t="s">
        <v>559</v>
      </c>
      <c r="D265" s="138">
        <v>1110000</v>
      </c>
      <c r="E265" t="s">
        <v>418</v>
      </c>
      <c r="F265" s="20" t="s">
        <v>419</v>
      </c>
      <c r="G265" s="8" t="str">
        <f t="shared" si="4"/>
        <v>STARKS ANGELINA</v>
      </c>
    </row>
    <row r="266" spans="1:7" x14ac:dyDescent="0.25">
      <c r="A266" s="8">
        <v>42923.113321759258</v>
      </c>
      <c r="B266" t="s">
        <v>455</v>
      </c>
      <c r="C266" t="s">
        <v>456</v>
      </c>
      <c r="D266" s="138">
        <v>1110000</v>
      </c>
      <c r="E266" t="s">
        <v>418</v>
      </c>
      <c r="F266" s="20" t="s">
        <v>419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408</v>
      </c>
      <c r="C267" t="s">
        <v>426</v>
      </c>
      <c r="D267" s="138">
        <v>2090000</v>
      </c>
      <c r="E267" t="s">
        <v>394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390</v>
      </c>
      <c r="C268" t="s">
        <v>427</v>
      </c>
      <c r="D268" s="138">
        <v>2000000</v>
      </c>
      <c r="E268" t="s">
        <v>396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413</v>
      </c>
      <c r="C269" t="s">
        <v>428</v>
      </c>
      <c r="D269" s="138">
        <v>3090000</v>
      </c>
      <c r="E269" t="s">
        <v>365</v>
      </c>
      <c r="F269" s="20" t="s">
        <v>366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391</v>
      </c>
      <c r="C270" t="s">
        <v>429</v>
      </c>
      <c r="D270" s="138">
        <v>2610000</v>
      </c>
      <c r="E270" t="s">
        <v>381</v>
      </c>
      <c r="F270" s="20" t="s">
        <v>382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408</v>
      </c>
      <c r="C271" t="s">
        <v>426</v>
      </c>
      <c r="D271" s="138">
        <v>2090000</v>
      </c>
      <c r="E271" t="s">
        <v>394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389</v>
      </c>
      <c r="C272" t="s">
        <v>430</v>
      </c>
      <c r="D272" s="138">
        <v>2000000</v>
      </c>
      <c r="E272" t="s">
        <v>396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392</v>
      </c>
      <c r="C273" t="s">
        <v>429</v>
      </c>
      <c r="D273" s="138">
        <v>2610000</v>
      </c>
      <c r="E273" t="s">
        <v>381</v>
      </c>
      <c r="F273" s="20" t="s">
        <v>382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424</v>
      </c>
      <c r="C274" t="s">
        <v>431</v>
      </c>
      <c r="D274" s="138">
        <v>3000000</v>
      </c>
      <c r="E274" t="s">
        <v>384</v>
      </c>
      <c r="F274" s="20" t="s">
        <v>385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391</v>
      </c>
      <c r="C275" t="s">
        <v>432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390</v>
      </c>
      <c r="C276" t="s">
        <v>433</v>
      </c>
      <c r="D276" s="138">
        <v>2000000</v>
      </c>
      <c r="E276" t="s">
        <v>396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410</v>
      </c>
      <c r="C277" t="s">
        <v>434</v>
      </c>
      <c r="D277" s="138">
        <v>2090000</v>
      </c>
      <c r="E277" t="s">
        <v>394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379</v>
      </c>
      <c r="C278" t="s">
        <v>435</v>
      </c>
      <c r="D278" s="138">
        <v>3090000</v>
      </c>
      <c r="E278" t="s">
        <v>365</v>
      </c>
      <c r="F278" s="20" t="s">
        <v>366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389</v>
      </c>
      <c r="C279" t="s">
        <v>436</v>
      </c>
      <c r="D279" s="138">
        <v>2000000</v>
      </c>
      <c r="E279" t="s">
        <v>396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423</v>
      </c>
      <c r="C280" t="s">
        <v>437</v>
      </c>
      <c r="D280" s="138">
        <v>3000000</v>
      </c>
      <c r="E280" t="s">
        <v>384</v>
      </c>
      <c r="F280" s="20" t="s">
        <v>385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392</v>
      </c>
      <c r="C281" t="s">
        <v>438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390</v>
      </c>
      <c r="C282" t="s">
        <v>436</v>
      </c>
      <c r="D282" s="138">
        <v>2000000</v>
      </c>
      <c r="E282" t="s">
        <v>396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408</v>
      </c>
      <c r="C283" t="s">
        <v>439</v>
      </c>
      <c r="D283" s="138">
        <v>2090000</v>
      </c>
      <c r="E283" t="s">
        <v>394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440</v>
      </c>
      <c r="D284" s="138">
        <v>2610000</v>
      </c>
      <c r="E284" t="s">
        <v>381</v>
      </c>
      <c r="F284" s="20" t="s">
        <v>382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422</v>
      </c>
      <c r="C285" t="s">
        <v>441</v>
      </c>
      <c r="D285" s="138">
        <v>2610000</v>
      </c>
      <c r="E285" t="s">
        <v>381</v>
      </c>
      <c r="F285" s="20" t="s">
        <v>382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413</v>
      </c>
      <c r="C286" t="s">
        <v>442</v>
      </c>
      <c r="D286" s="138">
        <v>3090000</v>
      </c>
      <c r="E286" t="s">
        <v>365</v>
      </c>
      <c r="F286" s="20" t="s">
        <v>366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424</v>
      </c>
      <c r="C287" t="s">
        <v>443</v>
      </c>
      <c r="D287" s="138">
        <v>3000000</v>
      </c>
      <c r="E287" t="s">
        <v>384</v>
      </c>
      <c r="F287" s="20" t="s">
        <v>385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444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410</v>
      </c>
      <c r="C289" t="s">
        <v>425</v>
      </c>
      <c r="D289" s="138">
        <v>2090000</v>
      </c>
      <c r="E289" t="s">
        <v>394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379</v>
      </c>
      <c r="C290" t="s">
        <v>445</v>
      </c>
      <c r="D290" s="138">
        <v>3090000</v>
      </c>
      <c r="E290" t="s">
        <v>365</v>
      </c>
      <c r="F290" s="20" t="s">
        <v>366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423</v>
      </c>
      <c r="C291" t="s">
        <v>446</v>
      </c>
      <c r="D291" s="138">
        <v>3000000</v>
      </c>
      <c r="E291" t="s">
        <v>384</v>
      </c>
      <c r="F291" s="20" t="s">
        <v>385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408</v>
      </c>
      <c r="C292" t="s">
        <v>447</v>
      </c>
      <c r="D292" s="138">
        <v>2090000</v>
      </c>
      <c r="E292" t="s">
        <v>394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413</v>
      </c>
      <c r="C293" t="s">
        <v>448</v>
      </c>
      <c r="D293" s="138">
        <v>3090000</v>
      </c>
      <c r="E293" t="s">
        <v>365</v>
      </c>
      <c r="F293" s="20" t="s">
        <v>366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449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379</v>
      </c>
      <c r="C295" t="s">
        <v>450</v>
      </c>
      <c r="D295" s="138">
        <v>3090000</v>
      </c>
      <c r="E295" t="s">
        <v>365</v>
      </c>
      <c r="F295" s="20" t="s">
        <v>366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379</v>
      </c>
      <c r="C296" t="s">
        <v>450</v>
      </c>
      <c r="D296" s="138">
        <v>3090000</v>
      </c>
      <c r="E296" t="s">
        <v>365</v>
      </c>
      <c r="F296" s="20" t="s">
        <v>366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379</v>
      </c>
      <c r="C297" t="s">
        <v>450</v>
      </c>
      <c r="D297" s="138">
        <v>3090000</v>
      </c>
      <c r="E297" t="s">
        <v>365</v>
      </c>
      <c r="F297" s="20" t="s">
        <v>366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374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358</v>
      </c>
      <c r="C299" t="s">
        <v>360</v>
      </c>
      <c r="D299" s="138">
        <v>2970000</v>
      </c>
      <c r="E299" t="s">
        <v>367</v>
      </c>
      <c r="F299" s="20" t="s">
        <v>368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359</v>
      </c>
      <c r="C300" t="s">
        <v>363</v>
      </c>
      <c r="D300" s="138">
        <v>3130000</v>
      </c>
      <c r="E300" t="s">
        <v>372</v>
      </c>
      <c r="F300" s="20" t="s">
        <v>373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358</v>
      </c>
      <c r="C301" t="s">
        <v>360</v>
      </c>
      <c r="D301" s="138">
        <v>2970000</v>
      </c>
      <c r="E301" t="s">
        <v>367</v>
      </c>
      <c r="F301" s="20" t="s">
        <v>368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355</v>
      </c>
      <c r="C302" t="s">
        <v>361</v>
      </c>
      <c r="D302" s="138">
        <v>3040000</v>
      </c>
      <c r="E302" t="s">
        <v>370</v>
      </c>
      <c r="F302" s="20" t="s">
        <v>371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355</v>
      </c>
      <c r="C303" t="s">
        <v>361</v>
      </c>
      <c r="D303" s="138">
        <v>3040000</v>
      </c>
      <c r="E303" t="s">
        <v>370</v>
      </c>
      <c r="F303" s="20" t="s">
        <v>371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375</v>
      </c>
      <c r="D304" s="138">
        <v>3030000</v>
      </c>
      <c r="E304" t="s">
        <v>369</v>
      </c>
      <c r="F304" s="20" t="s">
        <v>357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364</v>
      </c>
      <c r="C305" t="s">
        <v>360</v>
      </c>
      <c r="D305" s="138">
        <v>2970000</v>
      </c>
      <c r="E305" t="s">
        <v>367</v>
      </c>
      <c r="F305" s="20" t="s">
        <v>368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358</v>
      </c>
      <c r="C306" t="s">
        <v>360</v>
      </c>
      <c r="D306" s="138">
        <v>2970000</v>
      </c>
      <c r="E306" t="s">
        <v>367</v>
      </c>
      <c r="F306" s="20" t="s">
        <v>368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356</v>
      </c>
      <c r="C307" t="s">
        <v>361</v>
      </c>
      <c r="D307" s="138">
        <v>3040000</v>
      </c>
      <c r="E307" t="s">
        <v>370</v>
      </c>
      <c r="F307" s="20" t="s">
        <v>371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362</v>
      </c>
      <c r="C308" t="s">
        <v>376</v>
      </c>
      <c r="D308" s="138">
        <v>3130000</v>
      </c>
      <c r="E308" t="s">
        <v>372</v>
      </c>
      <c r="F308" s="20" t="s">
        <v>373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355</v>
      </c>
      <c r="C309" t="s">
        <v>361</v>
      </c>
      <c r="D309" s="138">
        <v>3040000</v>
      </c>
      <c r="E309" t="s">
        <v>370</v>
      </c>
      <c r="F309" s="20" t="s">
        <v>371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364</v>
      </c>
      <c r="C310" t="s">
        <v>360</v>
      </c>
      <c r="D310" s="138">
        <v>2970000</v>
      </c>
      <c r="E310" t="s">
        <v>367</v>
      </c>
      <c r="F310" s="20" t="s">
        <v>368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358</v>
      </c>
      <c r="C311" t="s">
        <v>360</v>
      </c>
      <c r="D311" s="138">
        <v>2970000</v>
      </c>
      <c r="E311" t="s">
        <v>367</v>
      </c>
      <c r="F311" s="20" t="s">
        <v>368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461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397</v>
      </c>
      <c r="P1" s="171" t="s">
        <v>156</v>
      </c>
      <c r="Q1" s="171" t="s">
        <v>163</v>
      </c>
      <c r="R1" s="171" t="s">
        <v>398</v>
      </c>
      <c r="S1" s="171" t="s">
        <v>160</v>
      </c>
    </row>
    <row r="2" spans="1:19" x14ac:dyDescent="0.25">
      <c r="A2" s="172">
        <v>77.23</v>
      </c>
      <c r="B2" s="172">
        <v>0.5</v>
      </c>
      <c r="C2" s="172">
        <v>52.68</v>
      </c>
      <c r="D2" s="8">
        <v>42937</v>
      </c>
      <c r="E2" s="172">
        <v>0.43</v>
      </c>
      <c r="F2" s="172" t="s">
        <v>506</v>
      </c>
      <c r="G2" s="172">
        <v>287.32</v>
      </c>
      <c r="H2" s="172">
        <v>0</v>
      </c>
      <c r="I2" s="172">
        <v>0</v>
      </c>
      <c r="J2" s="172"/>
      <c r="K2" s="172">
        <v>1010.74</v>
      </c>
      <c r="L2" s="172" t="s">
        <v>505</v>
      </c>
      <c r="M2" s="172">
        <v>77.23</v>
      </c>
      <c r="N2" s="172">
        <v>1500616800</v>
      </c>
      <c r="O2" s="172">
        <v>0</v>
      </c>
      <c r="P2" s="172">
        <v>10</v>
      </c>
      <c r="Q2" s="172">
        <v>227</v>
      </c>
      <c r="R2" s="172">
        <v>11.27</v>
      </c>
      <c r="S2" s="172">
        <v>6.53</v>
      </c>
    </row>
    <row r="3" spans="1:19" x14ac:dyDescent="0.25">
      <c r="A3" s="172">
        <v>75.23</v>
      </c>
      <c r="B3" s="172">
        <v>0.39</v>
      </c>
      <c r="C3" s="172">
        <v>52.5</v>
      </c>
      <c r="D3" s="8">
        <v>42937.041666666664</v>
      </c>
      <c r="E3" s="172">
        <v>0.45</v>
      </c>
      <c r="F3" s="172" t="s">
        <v>506</v>
      </c>
      <c r="G3" s="172">
        <v>287.67</v>
      </c>
      <c r="H3" s="172">
        <v>0</v>
      </c>
      <c r="I3" s="172">
        <v>0</v>
      </c>
      <c r="J3" s="172"/>
      <c r="K3" s="172">
        <v>1010.53</v>
      </c>
      <c r="L3" s="172" t="s">
        <v>505</v>
      </c>
      <c r="M3" s="172">
        <v>75.23</v>
      </c>
      <c r="N3" s="172">
        <v>1500620400</v>
      </c>
      <c r="O3" s="172">
        <v>0</v>
      </c>
      <c r="P3" s="172">
        <v>10</v>
      </c>
      <c r="Q3" s="172">
        <v>220</v>
      </c>
      <c r="R3" s="172">
        <v>9.56</v>
      </c>
      <c r="S3" s="172">
        <v>5.8</v>
      </c>
    </row>
    <row r="4" spans="1:19" x14ac:dyDescent="0.25">
      <c r="A4" s="172">
        <v>73.92</v>
      </c>
      <c r="B4" s="172">
        <v>0.43</v>
      </c>
      <c r="C4" s="172">
        <v>52.46</v>
      </c>
      <c r="D4" s="8">
        <v>42937.083333333336</v>
      </c>
      <c r="E4" s="172">
        <v>0.47</v>
      </c>
      <c r="F4" s="172" t="s">
        <v>506</v>
      </c>
      <c r="G4" s="172">
        <v>287.77999999999997</v>
      </c>
      <c r="H4" s="172">
        <v>0</v>
      </c>
      <c r="I4" s="172">
        <v>0</v>
      </c>
      <c r="J4" s="172"/>
      <c r="K4" s="172">
        <v>1010.05</v>
      </c>
      <c r="L4" s="172" t="s">
        <v>505</v>
      </c>
      <c r="M4" s="172">
        <v>73.92</v>
      </c>
      <c r="N4" s="172">
        <v>1500624000</v>
      </c>
      <c r="O4" s="172">
        <v>0</v>
      </c>
      <c r="P4" s="172">
        <v>10</v>
      </c>
      <c r="Q4" s="172">
        <v>227</v>
      </c>
      <c r="R4" s="172">
        <v>8.36</v>
      </c>
      <c r="S4" s="172">
        <v>4.9800000000000004</v>
      </c>
    </row>
    <row r="5" spans="1:19" x14ac:dyDescent="0.25">
      <c r="A5" s="172">
        <v>72.989999999999995</v>
      </c>
      <c r="B5" s="172">
        <v>0.35</v>
      </c>
      <c r="C5" s="172">
        <v>52.15</v>
      </c>
      <c r="D5" s="8">
        <v>42937.125</v>
      </c>
      <c r="E5" s="172">
        <v>0.48</v>
      </c>
      <c r="F5" s="172" t="s">
        <v>506</v>
      </c>
      <c r="G5" s="172">
        <v>287.77999999999997</v>
      </c>
      <c r="H5" s="172">
        <v>0</v>
      </c>
      <c r="I5" s="172">
        <v>0</v>
      </c>
      <c r="J5" s="172"/>
      <c r="K5" s="172">
        <v>1010.47</v>
      </c>
      <c r="L5" s="172" t="s">
        <v>505</v>
      </c>
      <c r="M5" s="172">
        <v>72.989999999999995</v>
      </c>
      <c r="N5" s="172">
        <v>1500627600</v>
      </c>
      <c r="O5" s="172">
        <v>0</v>
      </c>
      <c r="P5" s="172">
        <v>10</v>
      </c>
      <c r="Q5" s="172">
        <v>230</v>
      </c>
      <c r="R5" s="172">
        <v>7.67</v>
      </c>
      <c r="S5" s="172">
        <v>4.6399999999999997</v>
      </c>
    </row>
    <row r="6" spans="1:19" x14ac:dyDescent="0.25">
      <c r="A6" s="172">
        <v>72.17</v>
      </c>
      <c r="B6" s="172">
        <v>0.34</v>
      </c>
      <c r="C6" s="172">
        <v>51.15</v>
      </c>
      <c r="D6" s="8">
        <v>42937.166666666664</v>
      </c>
      <c r="E6" s="172">
        <v>0.48</v>
      </c>
      <c r="F6" s="172" t="s">
        <v>506</v>
      </c>
      <c r="G6" s="172">
        <v>287.66000000000003</v>
      </c>
      <c r="H6" s="172">
        <v>0</v>
      </c>
      <c r="I6" s="172">
        <v>0</v>
      </c>
      <c r="J6" s="172"/>
      <c r="K6" s="172">
        <v>1010.85</v>
      </c>
      <c r="L6" s="172" t="s">
        <v>505</v>
      </c>
      <c r="M6" s="172">
        <v>72.17</v>
      </c>
      <c r="N6" s="172">
        <v>1500631200</v>
      </c>
      <c r="O6" s="172">
        <v>0</v>
      </c>
      <c r="P6" s="172">
        <v>10</v>
      </c>
      <c r="Q6" s="172">
        <v>263</v>
      </c>
      <c r="R6" s="172">
        <v>6.68</v>
      </c>
      <c r="S6" s="172">
        <v>5.01</v>
      </c>
    </row>
    <row r="7" spans="1:19" x14ac:dyDescent="0.25">
      <c r="A7" s="172">
        <v>70.58</v>
      </c>
      <c r="B7" s="172">
        <v>0.24</v>
      </c>
      <c r="C7" s="172">
        <v>50.46</v>
      </c>
      <c r="D7" s="8">
        <v>42937.208333333336</v>
      </c>
      <c r="E7" s="172">
        <v>0.49</v>
      </c>
      <c r="F7" s="172" t="s">
        <v>865</v>
      </c>
      <c r="G7" s="172">
        <v>287.32</v>
      </c>
      <c r="H7" s="172">
        <v>0</v>
      </c>
      <c r="I7" s="172">
        <v>0</v>
      </c>
      <c r="J7" s="172"/>
      <c r="K7" s="172">
        <v>1011.63</v>
      </c>
      <c r="L7" s="172" t="s">
        <v>471</v>
      </c>
      <c r="M7" s="172">
        <v>70.58</v>
      </c>
      <c r="N7" s="172">
        <v>1500634800</v>
      </c>
      <c r="O7" s="172">
        <v>0</v>
      </c>
      <c r="P7" s="172">
        <v>10</v>
      </c>
      <c r="Q7" s="172">
        <v>261</v>
      </c>
      <c r="R7" s="172">
        <v>7.27</v>
      </c>
      <c r="S7" s="172">
        <v>4.7</v>
      </c>
    </row>
    <row r="8" spans="1:19" x14ac:dyDescent="0.25">
      <c r="A8" s="172">
        <v>70.81</v>
      </c>
      <c r="B8" s="172">
        <v>0.19</v>
      </c>
      <c r="C8" s="172">
        <v>50.86</v>
      </c>
      <c r="D8" s="8">
        <v>42937.25</v>
      </c>
      <c r="E8" s="172">
        <v>0.49</v>
      </c>
      <c r="F8" s="172" t="s">
        <v>472</v>
      </c>
      <c r="G8" s="172">
        <v>288.92</v>
      </c>
      <c r="H8" s="172">
        <v>0</v>
      </c>
      <c r="I8" s="172">
        <v>0</v>
      </c>
      <c r="J8" s="172"/>
      <c r="K8" s="172">
        <v>1012.76</v>
      </c>
      <c r="L8" s="172" t="s">
        <v>471</v>
      </c>
      <c r="M8" s="172">
        <v>70.81</v>
      </c>
      <c r="N8" s="172">
        <v>1500638400</v>
      </c>
      <c r="O8" s="172">
        <v>0</v>
      </c>
      <c r="P8" s="172">
        <v>10</v>
      </c>
      <c r="Q8" s="172">
        <v>236</v>
      </c>
      <c r="R8" s="172">
        <v>4.5999999999999996</v>
      </c>
      <c r="S8" s="172">
        <v>3.45</v>
      </c>
    </row>
    <row r="9" spans="1:19" x14ac:dyDescent="0.25">
      <c r="A9" s="172">
        <v>71.94</v>
      </c>
      <c r="B9" s="172">
        <v>0.16</v>
      </c>
      <c r="C9" s="172">
        <v>51.07</v>
      </c>
      <c r="D9" s="8">
        <v>42937.291666666664</v>
      </c>
      <c r="E9" s="172">
        <v>0.48</v>
      </c>
      <c r="F9" s="172" t="s">
        <v>472</v>
      </c>
      <c r="G9" s="172">
        <v>288.8</v>
      </c>
      <c r="H9" s="172">
        <v>0</v>
      </c>
      <c r="I9" s="172">
        <v>0</v>
      </c>
      <c r="J9" s="172"/>
      <c r="K9" s="172">
        <v>1012.56</v>
      </c>
      <c r="L9" s="172" t="s">
        <v>471</v>
      </c>
      <c r="M9" s="172">
        <v>71.94</v>
      </c>
      <c r="N9" s="172">
        <v>1500642000</v>
      </c>
      <c r="O9" s="172">
        <v>0</v>
      </c>
      <c r="P9" s="172">
        <v>10</v>
      </c>
      <c r="Q9" s="172">
        <v>218</v>
      </c>
      <c r="R9" s="172">
        <v>5.04</v>
      </c>
      <c r="S9" s="172">
        <v>3.58</v>
      </c>
    </row>
    <row r="10" spans="1:19" x14ac:dyDescent="0.25">
      <c r="A10" s="172">
        <v>75.27</v>
      </c>
      <c r="B10" s="172">
        <v>0.15</v>
      </c>
      <c r="C10" s="172">
        <v>51.42</v>
      </c>
      <c r="D10" s="8">
        <v>42937.333333333336</v>
      </c>
      <c r="E10" s="172">
        <v>0.43</v>
      </c>
      <c r="F10" s="172" t="s">
        <v>472</v>
      </c>
      <c r="G10" s="172">
        <v>288.45999999999998</v>
      </c>
      <c r="H10" s="172">
        <v>0</v>
      </c>
      <c r="I10" s="172">
        <v>0</v>
      </c>
      <c r="J10" s="172"/>
      <c r="K10" s="172">
        <v>1011.86</v>
      </c>
      <c r="L10" s="172" t="s">
        <v>471</v>
      </c>
      <c r="M10" s="172">
        <v>75.27</v>
      </c>
      <c r="N10" s="172">
        <v>1500645600</v>
      </c>
      <c r="O10" s="172">
        <v>1</v>
      </c>
      <c r="P10" s="172">
        <v>10</v>
      </c>
      <c r="Q10" s="172">
        <v>196</v>
      </c>
      <c r="R10" s="172">
        <v>8.57</v>
      </c>
      <c r="S10" s="172">
        <v>4.76</v>
      </c>
    </row>
    <row r="11" spans="1:19" x14ac:dyDescent="0.25">
      <c r="A11" s="172">
        <v>79.3</v>
      </c>
      <c r="B11" s="172">
        <v>0.09</v>
      </c>
      <c r="C11" s="172">
        <v>50.89</v>
      </c>
      <c r="D11" s="8">
        <v>42937.375</v>
      </c>
      <c r="E11" s="172">
        <v>0.37</v>
      </c>
      <c r="F11" s="172" t="s">
        <v>472</v>
      </c>
      <c r="G11" s="172">
        <v>288.23</v>
      </c>
      <c r="H11" s="172">
        <v>0</v>
      </c>
      <c r="I11" s="172">
        <v>0</v>
      </c>
      <c r="J11" s="172"/>
      <c r="K11" s="172">
        <v>1011.43</v>
      </c>
      <c r="L11" s="172" t="s">
        <v>471</v>
      </c>
      <c r="M11" s="172">
        <v>79.3</v>
      </c>
      <c r="N11" s="172">
        <v>1500649200</v>
      </c>
      <c r="O11" s="172">
        <v>2</v>
      </c>
      <c r="P11" s="172">
        <v>10</v>
      </c>
      <c r="Q11" s="172">
        <v>211</v>
      </c>
      <c r="R11" s="172">
        <v>8.11</v>
      </c>
      <c r="S11" s="172">
        <v>5.3</v>
      </c>
    </row>
    <row r="12" spans="1:19" x14ac:dyDescent="0.25">
      <c r="A12" s="172">
        <v>83.55</v>
      </c>
      <c r="B12" s="172">
        <v>0.06</v>
      </c>
      <c r="C12" s="172">
        <v>49.88</v>
      </c>
      <c r="D12" s="8">
        <v>42937.416666666664</v>
      </c>
      <c r="E12" s="172">
        <v>0.31</v>
      </c>
      <c r="F12" s="172" t="s">
        <v>472</v>
      </c>
      <c r="G12" s="172">
        <v>288.11</v>
      </c>
      <c r="H12" s="172">
        <v>0</v>
      </c>
      <c r="I12" s="172">
        <v>0</v>
      </c>
      <c r="J12" s="172"/>
      <c r="K12" s="172">
        <v>1010.71</v>
      </c>
      <c r="L12" s="172" t="s">
        <v>471</v>
      </c>
      <c r="M12" s="172">
        <v>83.55</v>
      </c>
      <c r="N12" s="172">
        <v>1500652800</v>
      </c>
      <c r="O12" s="172">
        <v>5</v>
      </c>
      <c r="P12" s="172">
        <v>10</v>
      </c>
      <c r="Q12" s="172">
        <v>192</v>
      </c>
      <c r="R12" s="172">
        <v>7.07</v>
      </c>
      <c r="S12" s="172">
        <v>5.26</v>
      </c>
    </row>
    <row r="13" spans="1:19" x14ac:dyDescent="0.25">
      <c r="A13" s="172">
        <v>87.14</v>
      </c>
      <c r="B13" s="172">
        <v>0.03</v>
      </c>
      <c r="C13" s="172">
        <v>48.56</v>
      </c>
      <c r="D13" s="8">
        <v>42937.458333333336</v>
      </c>
      <c r="E13" s="172">
        <v>0.26</v>
      </c>
      <c r="F13" s="172" t="s">
        <v>472</v>
      </c>
      <c r="G13" s="172">
        <v>288</v>
      </c>
      <c r="H13" s="172">
        <v>0</v>
      </c>
      <c r="I13" s="172">
        <v>0</v>
      </c>
      <c r="J13" s="172"/>
      <c r="K13" s="172">
        <v>1010.02</v>
      </c>
      <c r="L13" s="172" t="s">
        <v>471</v>
      </c>
      <c r="M13" s="172">
        <v>87.14</v>
      </c>
      <c r="N13" s="172">
        <v>1500656400</v>
      </c>
      <c r="O13" s="172">
        <v>8</v>
      </c>
      <c r="P13" s="172">
        <v>10</v>
      </c>
      <c r="Q13" s="172">
        <v>162</v>
      </c>
      <c r="R13" s="172">
        <v>5.84</v>
      </c>
      <c r="S13" s="172">
        <v>4.8899999999999997</v>
      </c>
    </row>
    <row r="14" spans="1:19" x14ac:dyDescent="0.25">
      <c r="A14" s="172">
        <v>89.39</v>
      </c>
      <c r="B14" s="172">
        <v>0.03</v>
      </c>
      <c r="C14" s="172">
        <v>48.08</v>
      </c>
      <c r="D14" s="8">
        <v>42937.5</v>
      </c>
      <c r="E14" s="172">
        <v>0.24</v>
      </c>
      <c r="F14" s="172" t="s">
        <v>472</v>
      </c>
      <c r="G14" s="172">
        <v>288.45999999999998</v>
      </c>
      <c r="H14" s="172">
        <v>0</v>
      </c>
      <c r="I14" s="172">
        <v>0</v>
      </c>
      <c r="J14" s="172"/>
      <c r="K14" s="172">
        <v>1009.42</v>
      </c>
      <c r="L14" s="172" t="s">
        <v>471</v>
      </c>
      <c r="M14" s="172">
        <v>89.39</v>
      </c>
      <c r="N14" s="172">
        <v>1500660000</v>
      </c>
      <c r="O14" s="172">
        <v>11</v>
      </c>
      <c r="P14" s="172">
        <v>10</v>
      </c>
      <c r="Q14" s="172">
        <v>97</v>
      </c>
      <c r="R14" s="172">
        <v>4.95</v>
      </c>
      <c r="S14" s="172">
        <v>3.39</v>
      </c>
    </row>
    <row r="15" spans="1:19" x14ac:dyDescent="0.25">
      <c r="A15" s="172">
        <v>90.24</v>
      </c>
      <c r="B15" s="172">
        <v>0.1</v>
      </c>
      <c r="C15" s="172">
        <v>47.31</v>
      </c>
      <c r="D15" s="8">
        <v>42937.541666666664</v>
      </c>
      <c r="E15" s="172">
        <v>0.23</v>
      </c>
      <c r="F15" s="172" t="s">
        <v>472</v>
      </c>
      <c r="G15" s="172">
        <v>288.11</v>
      </c>
      <c r="H15" s="172">
        <v>0</v>
      </c>
      <c r="I15" s="172">
        <v>0</v>
      </c>
      <c r="J15" s="172"/>
      <c r="K15" s="172">
        <v>1008.88</v>
      </c>
      <c r="L15" s="172" t="s">
        <v>471</v>
      </c>
      <c r="M15" s="172">
        <v>90.24</v>
      </c>
      <c r="N15" s="172">
        <v>1500663600</v>
      </c>
      <c r="O15" s="172">
        <v>12</v>
      </c>
      <c r="P15" s="172">
        <v>10</v>
      </c>
      <c r="Q15" s="172">
        <v>46</v>
      </c>
      <c r="R15" s="172">
        <v>6.13</v>
      </c>
      <c r="S15" s="172">
        <v>4.42</v>
      </c>
    </row>
    <row r="16" spans="1:19" x14ac:dyDescent="0.25">
      <c r="A16" s="172">
        <v>90.12</v>
      </c>
      <c r="B16" s="172">
        <v>0.19</v>
      </c>
      <c r="C16" s="172">
        <v>47.19</v>
      </c>
      <c r="D16" s="8">
        <v>42937.583333333336</v>
      </c>
      <c r="E16" s="172">
        <v>0.23</v>
      </c>
      <c r="F16" s="172" t="s">
        <v>472</v>
      </c>
      <c r="G16" s="172">
        <v>287.52999999999997</v>
      </c>
      <c r="H16" s="172">
        <v>4.3E-3</v>
      </c>
      <c r="I16" s="172">
        <v>0.02</v>
      </c>
      <c r="J16" s="172" t="s">
        <v>462</v>
      </c>
      <c r="K16" s="172">
        <v>1008.36</v>
      </c>
      <c r="L16" s="172" t="s">
        <v>471</v>
      </c>
      <c r="M16" s="172">
        <v>90.12</v>
      </c>
      <c r="N16" s="172">
        <v>1500667200</v>
      </c>
      <c r="O16" s="172">
        <v>10</v>
      </c>
      <c r="P16" s="172">
        <v>10</v>
      </c>
      <c r="Q16" s="172">
        <v>16</v>
      </c>
      <c r="R16" s="172">
        <v>6.8</v>
      </c>
      <c r="S16" s="172">
        <v>5.46</v>
      </c>
    </row>
    <row r="17" spans="1:19" x14ac:dyDescent="0.25">
      <c r="A17" s="172">
        <v>90.9</v>
      </c>
      <c r="B17" s="172">
        <v>0.44</v>
      </c>
      <c r="C17" s="172">
        <v>45.62</v>
      </c>
      <c r="D17" s="8">
        <v>42937.625</v>
      </c>
      <c r="E17" s="172">
        <v>0.21</v>
      </c>
      <c r="F17" s="172" t="s">
        <v>462</v>
      </c>
      <c r="G17" s="172">
        <v>286.72000000000003</v>
      </c>
      <c r="H17" s="172">
        <v>7.1999999999999998E-3</v>
      </c>
      <c r="I17" s="172">
        <v>0.05</v>
      </c>
      <c r="J17" s="172" t="s">
        <v>462</v>
      </c>
      <c r="K17" s="172">
        <v>1008.21</v>
      </c>
      <c r="L17" s="172" t="s">
        <v>560</v>
      </c>
      <c r="M17" s="172">
        <v>90.9</v>
      </c>
      <c r="N17" s="172">
        <v>1500670800</v>
      </c>
      <c r="O17" s="172">
        <v>7</v>
      </c>
      <c r="P17" s="172">
        <v>10</v>
      </c>
      <c r="Q17" s="172">
        <v>19</v>
      </c>
      <c r="R17" s="172">
        <v>7.44</v>
      </c>
      <c r="S17" s="172">
        <v>4.3899999999999997</v>
      </c>
    </row>
    <row r="18" spans="1:19" x14ac:dyDescent="0.25">
      <c r="A18" s="172">
        <v>88.29</v>
      </c>
      <c r="B18" s="172">
        <v>0.6</v>
      </c>
      <c r="C18" s="172">
        <v>47.79</v>
      </c>
      <c r="D18" s="8">
        <v>42937.666666666664</v>
      </c>
      <c r="E18" s="172">
        <v>0.25</v>
      </c>
      <c r="F18" s="172" t="s">
        <v>462</v>
      </c>
      <c r="G18" s="172">
        <v>285.56</v>
      </c>
      <c r="H18" s="172">
        <v>1.0500000000000001E-2</v>
      </c>
      <c r="I18" s="172">
        <v>0.08</v>
      </c>
      <c r="J18" s="172" t="s">
        <v>462</v>
      </c>
      <c r="K18" s="172">
        <v>1008.41</v>
      </c>
      <c r="L18" s="172" t="s">
        <v>498</v>
      </c>
      <c r="M18" s="172">
        <v>88.29</v>
      </c>
      <c r="N18" s="172">
        <v>1500674400</v>
      </c>
      <c r="O18" s="172">
        <v>4</v>
      </c>
      <c r="P18" s="172">
        <v>10</v>
      </c>
      <c r="Q18" s="172">
        <v>335</v>
      </c>
      <c r="R18" s="172">
        <v>15.68</v>
      </c>
      <c r="S18" s="172">
        <v>8.44</v>
      </c>
    </row>
    <row r="19" spans="1:19" x14ac:dyDescent="0.25">
      <c r="A19" s="172">
        <v>86.97</v>
      </c>
      <c r="B19" s="172">
        <v>0.73</v>
      </c>
      <c r="C19" s="172">
        <v>50.14</v>
      </c>
      <c r="D19" s="8">
        <v>42937.708333333336</v>
      </c>
      <c r="E19" s="172">
        <v>0.28000000000000003</v>
      </c>
      <c r="F19" s="172" t="s">
        <v>462</v>
      </c>
      <c r="G19" s="172">
        <v>284.27999999999997</v>
      </c>
      <c r="H19" s="172">
        <v>2.7E-2</v>
      </c>
      <c r="I19" s="172">
        <v>0.13</v>
      </c>
      <c r="J19" s="172" t="s">
        <v>462</v>
      </c>
      <c r="K19" s="172">
        <v>1009.11</v>
      </c>
      <c r="L19" s="172" t="s">
        <v>498</v>
      </c>
      <c r="M19" s="172">
        <v>86.97</v>
      </c>
      <c r="N19" s="172">
        <v>1500678000</v>
      </c>
      <c r="O19" s="172">
        <v>2</v>
      </c>
      <c r="P19" s="172">
        <v>10</v>
      </c>
      <c r="Q19" s="172">
        <v>327</v>
      </c>
      <c r="R19" s="172">
        <v>22.51</v>
      </c>
      <c r="S19" s="172">
        <v>8.52</v>
      </c>
    </row>
    <row r="20" spans="1:19" x14ac:dyDescent="0.25">
      <c r="A20" s="172">
        <v>83.86</v>
      </c>
      <c r="B20" s="172">
        <v>0.76</v>
      </c>
      <c r="C20" s="172">
        <v>50.2</v>
      </c>
      <c r="D20" s="8">
        <v>42937.75</v>
      </c>
      <c r="E20" s="172">
        <v>0.31</v>
      </c>
      <c r="F20" s="172" t="s">
        <v>462</v>
      </c>
      <c r="G20" s="172">
        <v>283.35000000000002</v>
      </c>
      <c r="H20" s="172">
        <v>1.9900000000000001E-2</v>
      </c>
      <c r="I20" s="172">
        <v>0.11</v>
      </c>
      <c r="J20" s="172" t="s">
        <v>462</v>
      </c>
      <c r="K20" s="172">
        <v>1010.65</v>
      </c>
      <c r="L20" s="172" t="s">
        <v>498</v>
      </c>
      <c r="M20" s="172">
        <v>83.86</v>
      </c>
      <c r="N20" s="172">
        <v>1500681600</v>
      </c>
      <c r="O20" s="172">
        <v>1</v>
      </c>
      <c r="P20" s="172">
        <v>10</v>
      </c>
      <c r="Q20" s="172">
        <v>327</v>
      </c>
      <c r="R20" s="172">
        <v>21.21</v>
      </c>
      <c r="S20" s="172">
        <v>10.6</v>
      </c>
    </row>
    <row r="21" spans="1:19" x14ac:dyDescent="0.25">
      <c r="A21" s="172">
        <v>80.41</v>
      </c>
      <c r="B21" s="172">
        <v>0.8</v>
      </c>
      <c r="C21" s="172">
        <v>51.49</v>
      </c>
      <c r="D21" s="8">
        <v>42937.791666666664</v>
      </c>
      <c r="E21" s="172">
        <v>0.37</v>
      </c>
      <c r="F21" s="172" t="s">
        <v>462</v>
      </c>
      <c r="G21" s="172">
        <v>282.99</v>
      </c>
      <c r="H21" s="172">
        <v>1.5599999999999999E-2</v>
      </c>
      <c r="I21" s="172">
        <v>0.11</v>
      </c>
      <c r="J21" s="172" t="s">
        <v>462</v>
      </c>
      <c r="K21" s="172">
        <v>1011.78</v>
      </c>
      <c r="L21" s="172" t="s">
        <v>498</v>
      </c>
      <c r="M21" s="172">
        <v>80.41</v>
      </c>
      <c r="N21" s="172">
        <v>1500685200</v>
      </c>
      <c r="O21" s="172">
        <v>0</v>
      </c>
      <c r="P21" s="172">
        <v>10</v>
      </c>
      <c r="Q21" s="172">
        <v>14</v>
      </c>
      <c r="R21" s="172">
        <v>15.28</v>
      </c>
      <c r="S21" s="172">
        <v>8.82</v>
      </c>
    </row>
    <row r="22" spans="1:19" x14ac:dyDescent="0.25">
      <c r="A22" s="172">
        <v>77.27</v>
      </c>
      <c r="B22" s="172">
        <v>0.79</v>
      </c>
      <c r="C22" s="172">
        <v>53.41</v>
      </c>
      <c r="D22" s="8">
        <v>42937.833333333336</v>
      </c>
      <c r="E22" s="172">
        <v>0.44</v>
      </c>
      <c r="F22" s="172" t="s">
        <v>462</v>
      </c>
      <c r="G22" s="172">
        <v>282.88</v>
      </c>
      <c r="H22" s="172">
        <v>1.9800000000000002E-2</v>
      </c>
      <c r="I22" s="172">
        <v>0.13</v>
      </c>
      <c r="J22" s="172" t="s">
        <v>462</v>
      </c>
      <c r="K22" s="172">
        <v>1012.82</v>
      </c>
      <c r="L22" s="172" t="s">
        <v>498</v>
      </c>
      <c r="M22" s="172">
        <v>77.27</v>
      </c>
      <c r="N22" s="172">
        <v>1500688800</v>
      </c>
      <c r="O22" s="172">
        <v>0</v>
      </c>
      <c r="P22" s="172">
        <v>10</v>
      </c>
      <c r="Q22" s="172">
        <v>17</v>
      </c>
      <c r="R22" s="172">
        <v>10.5</v>
      </c>
      <c r="S22" s="172">
        <v>8.89</v>
      </c>
    </row>
    <row r="23" spans="1:19" x14ac:dyDescent="0.25">
      <c r="A23" s="172">
        <v>74.34</v>
      </c>
      <c r="B23" s="172">
        <v>0.8</v>
      </c>
      <c r="C23" s="172">
        <v>55.26</v>
      </c>
      <c r="D23" s="8">
        <v>42937.875</v>
      </c>
      <c r="E23" s="172">
        <v>0.51</v>
      </c>
      <c r="F23" s="172" t="s">
        <v>462</v>
      </c>
      <c r="G23" s="172">
        <v>282.99</v>
      </c>
      <c r="H23" s="172">
        <v>2.24E-2</v>
      </c>
      <c r="I23" s="172">
        <v>0.13</v>
      </c>
      <c r="J23" s="172" t="s">
        <v>462</v>
      </c>
      <c r="K23" s="172">
        <v>1014.32</v>
      </c>
      <c r="L23" s="172" t="s">
        <v>498</v>
      </c>
      <c r="M23" s="172">
        <v>74.34</v>
      </c>
      <c r="N23" s="172">
        <v>1500692400</v>
      </c>
      <c r="O23" s="172">
        <v>0</v>
      </c>
      <c r="P23" s="172">
        <v>10</v>
      </c>
      <c r="Q23" s="172">
        <v>226</v>
      </c>
      <c r="R23" s="172">
        <v>10.039999999999999</v>
      </c>
      <c r="S23" s="172">
        <v>6.13</v>
      </c>
    </row>
    <row r="24" spans="1:19" x14ac:dyDescent="0.25">
      <c r="A24" s="172">
        <v>72.540000000000006</v>
      </c>
      <c r="B24" s="172">
        <v>0.91</v>
      </c>
      <c r="C24" s="172">
        <v>55.22</v>
      </c>
      <c r="D24" s="8">
        <v>42937.916666666664</v>
      </c>
      <c r="E24" s="172">
        <v>0.55000000000000004</v>
      </c>
      <c r="F24" s="172" t="s">
        <v>462</v>
      </c>
      <c r="G24" s="172">
        <v>283.23</v>
      </c>
      <c r="H24" s="172">
        <v>1.34E-2</v>
      </c>
      <c r="I24" s="172">
        <v>0.1</v>
      </c>
      <c r="J24" s="172" t="s">
        <v>462</v>
      </c>
      <c r="K24" s="172">
        <v>1015.22</v>
      </c>
      <c r="L24" s="172" t="s">
        <v>498</v>
      </c>
      <c r="M24" s="172">
        <v>72.540000000000006</v>
      </c>
      <c r="N24" s="172">
        <v>1500696000</v>
      </c>
      <c r="O24" s="172">
        <v>0</v>
      </c>
      <c r="P24" s="172">
        <v>10</v>
      </c>
      <c r="Q24" s="172">
        <v>16</v>
      </c>
      <c r="R24" s="172">
        <v>6.42</v>
      </c>
      <c r="S24" s="172">
        <v>5.99</v>
      </c>
    </row>
    <row r="25" spans="1:19" x14ac:dyDescent="0.25">
      <c r="A25" s="172">
        <v>70.61</v>
      </c>
      <c r="B25" s="172">
        <v>0.9</v>
      </c>
      <c r="C25" s="172">
        <v>55.7</v>
      </c>
      <c r="D25" s="8">
        <v>42937.958333333336</v>
      </c>
      <c r="E25" s="172">
        <v>0.59</v>
      </c>
      <c r="F25" s="172" t="s">
        <v>506</v>
      </c>
      <c r="G25" s="172">
        <v>283.58</v>
      </c>
      <c r="H25" s="172">
        <v>4.7000000000000002E-3</v>
      </c>
      <c r="I25" s="172">
        <v>0.03</v>
      </c>
      <c r="J25" s="172" t="s">
        <v>462</v>
      </c>
      <c r="K25" s="172">
        <v>1015.87</v>
      </c>
      <c r="L25" s="172" t="s">
        <v>528</v>
      </c>
      <c r="M25" s="172">
        <v>70.61</v>
      </c>
      <c r="N25" s="172">
        <v>1500699600</v>
      </c>
      <c r="O25" s="172">
        <v>0</v>
      </c>
      <c r="P25" s="172">
        <v>9.5299999999999994</v>
      </c>
      <c r="Q25" s="172">
        <v>16</v>
      </c>
      <c r="R25" s="172">
        <v>8.85</v>
      </c>
      <c r="S25" s="172">
        <v>6.06</v>
      </c>
    </row>
    <row r="26" spans="1:19" x14ac:dyDescent="0.25">
      <c r="A26" s="172">
        <v>68.87</v>
      </c>
      <c r="B26" s="172">
        <v>0.76</v>
      </c>
      <c r="C26" s="172">
        <v>56.09</v>
      </c>
      <c r="D26" s="8">
        <v>42938</v>
      </c>
      <c r="E26" s="172">
        <v>0.64</v>
      </c>
      <c r="F26" s="172" t="s">
        <v>506</v>
      </c>
      <c r="G26" s="172">
        <v>283.69</v>
      </c>
      <c r="H26" s="172">
        <v>3.5999999999999999E-3</v>
      </c>
      <c r="I26" s="172">
        <v>0.01</v>
      </c>
      <c r="J26" s="172" t="s">
        <v>462</v>
      </c>
      <c r="K26" s="172">
        <v>1016.25</v>
      </c>
      <c r="L26" s="172" t="s">
        <v>528</v>
      </c>
      <c r="M26" s="172">
        <v>68.87</v>
      </c>
      <c r="N26" s="172">
        <v>1500703200</v>
      </c>
      <c r="O26" s="172">
        <v>0</v>
      </c>
      <c r="P26" s="172">
        <v>8.7899999999999991</v>
      </c>
      <c r="Q26" s="172">
        <v>176</v>
      </c>
      <c r="R26" s="172">
        <v>4.84</v>
      </c>
      <c r="S26" s="172">
        <v>4.41</v>
      </c>
    </row>
    <row r="27" spans="1:19" x14ac:dyDescent="0.25">
      <c r="A27" s="172">
        <v>68.31</v>
      </c>
      <c r="B27" s="172">
        <v>0.64</v>
      </c>
      <c r="C27" s="172">
        <v>55.67</v>
      </c>
      <c r="D27" s="8">
        <v>42938.041666666664</v>
      </c>
      <c r="E27" s="172">
        <v>0.64</v>
      </c>
      <c r="F27" s="172" t="s">
        <v>506</v>
      </c>
      <c r="G27" s="172">
        <v>283.23</v>
      </c>
      <c r="H27" s="172">
        <v>0</v>
      </c>
      <c r="I27" s="172">
        <v>0</v>
      </c>
      <c r="J27" s="172"/>
      <c r="K27" s="172">
        <v>1015.31</v>
      </c>
      <c r="L27" s="172" t="s">
        <v>528</v>
      </c>
      <c r="M27" s="172">
        <v>68.31</v>
      </c>
      <c r="N27" s="172">
        <v>1500706800</v>
      </c>
      <c r="O27" s="172">
        <v>0</v>
      </c>
      <c r="P27" s="172">
        <v>9.4700000000000006</v>
      </c>
      <c r="Q27" s="172">
        <v>67</v>
      </c>
      <c r="R27" s="172">
        <v>5.59</v>
      </c>
      <c r="S27" s="172">
        <v>3.8</v>
      </c>
    </row>
    <row r="28" spans="1:19" x14ac:dyDescent="0.25">
      <c r="A28" s="172">
        <v>67.47</v>
      </c>
      <c r="B28" s="172">
        <v>0.51</v>
      </c>
      <c r="C28" s="172">
        <v>55.46</v>
      </c>
      <c r="D28" s="8">
        <v>42938.083333333336</v>
      </c>
      <c r="E28" s="172">
        <v>0.65</v>
      </c>
      <c r="F28" s="172" t="s">
        <v>506</v>
      </c>
      <c r="G28" s="172">
        <v>282.54000000000002</v>
      </c>
      <c r="H28" s="172">
        <v>0</v>
      </c>
      <c r="I28" s="172">
        <v>0</v>
      </c>
      <c r="J28" s="172"/>
      <c r="K28" s="172">
        <v>1014.26</v>
      </c>
      <c r="L28" s="172" t="s">
        <v>505</v>
      </c>
      <c r="M28" s="172">
        <v>67.47</v>
      </c>
      <c r="N28" s="172">
        <v>1500710400</v>
      </c>
      <c r="O28" s="172">
        <v>0</v>
      </c>
      <c r="P28" s="172">
        <v>9.35</v>
      </c>
      <c r="Q28" s="172">
        <v>184</v>
      </c>
      <c r="R28" s="172">
        <v>4.93</v>
      </c>
      <c r="S28" s="172">
        <v>3.19</v>
      </c>
    </row>
    <row r="29" spans="1:19" x14ac:dyDescent="0.25">
      <c r="A29" s="172">
        <v>66.680000000000007</v>
      </c>
      <c r="B29" s="172">
        <v>0.27</v>
      </c>
      <c r="C29" s="172">
        <v>54.83</v>
      </c>
      <c r="D29" s="8">
        <v>42938.125</v>
      </c>
      <c r="E29" s="172">
        <v>0.66</v>
      </c>
      <c r="F29" s="172" t="s">
        <v>506</v>
      </c>
      <c r="G29" s="172">
        <v>281.95999999999998</v>
      </c>
      <c r="H29" s="172">
        <v>0</v>
      </c>
      <c r="I29" s="172">
        <v>0</v>
      </c>
      <c r="J29" s="172"/>
      <c r="K29" s="172">
        <v>1013.65</v>
      </c>
      <c r="L29" s="172" t="s">
        <v>505</v>
      </c>
      <c r="M29" s="172">
        <v>66.680000000000007</v>
      </c>
      <c r="N29" s="172">
        <v>1500714000</v>
      </c>
      <c r="O29" s="172">
        <v>0</v>
      </c>
      <c r="P29" s="172">
        <v>9.75</v>
      </c>
      <c r="Q29" s="172">
        <v>237</v>
      </c>
      <c r="R29" s="172">
        <v>5.07</v>
      </c>
      <c r="S29" s="172">
        <v>3.12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42937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401</v>
      </c>
      <c r="AE2" s="56" t="s">
        <v>404</v>
      </c>
      <c r="AF2" s="56" t="s">
        <v>405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406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619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1027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1028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1032</v>
      </c>
      <c r="J25" s="140" t="s">
        <v>146</v>
      </c>
      <c r="M25" s="154" t="b">
        <v>1</v>
      </c>
    </row>
    <row r="26" spans="3:24" x14ac:dyDescent="0.25">
      <c r="C26" t="s">
        <v>1033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C:\Users\stu\Documents\GitHub\eaglep3-reporting\EC\2017-07-21-refined-times.txt</v>
      </c>
    </row>
    <row r="27" spans="3:24" x14ac:dyDescent="0.25">
      <c r="C27" t="s">
        <v>1034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C:\Users\stu\Documents\GitHub\eaglep3-reporting\EC\2017-07-21-Enforcements.txt</v>
      </c>
    </row>
    <row r="28" spans="3:24" x14ac:dyDescent="0.25">
      <c r="C28" t="s">
        <v>1035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C:\Users\stu\Documents\GitHub\eaglep3-reporting\EC\2017-07-21-Runs-refined.txt</v>
      </c>
    </row>
    <row r="29" spans="3:24" x14ac:dyDescent="0.25">
      <c r="C29" t="s">
        <v>1036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C:\Users\stu\Documents\GitHub\eaglep3-reporting\EC\2017-07-21-Trips.txt</v>
      </c>
    </row>
    <row r="30" spans="3:24" x14ac:dyDescent="0.25">
      <c r="C30" t="s">
        <v>1037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C:\Users\stu\Documents\GitHub\eaglep3-reporting\EC\2017-07-21-Weather.txt</v>
      </c>
    </row>
    <row r="31" spans="3:24" x14ac:dyDescent="0.25">
      <c r="C31" t="s">
        <v>1038</v>
      </c>
      <c r="J31" s="140" t="s">
        <v>194</v>
      </c>
      <c r="M31" s="154" t="s">
        <v>195</v>
      </c>
    </row>
    <row r="32" spans="3:24" x14ac:dyDescent="0.25">
      <c r="C32" t="s">
        <v>1039</v>
      </c>
    </row>
    <row r="33" spans="3:3" x14ac:dyDescent="0.25">
      <c r="C33" t="s">
        <v>618</v>
      </c>
    </row>
    <row r="34" spans="3:3" x14ac:dyDescent="0.25">
      <c r="C34" t="s">
        <v>1040</v>
      </c>
    </row>
    <row r="35" spans="3:3" x14ac:dyDescent="0.25">
      <c r="C35" t="s">
        <v>1041</v>
      </c>
    </row>
    <row r="36" spans="3:3" x14ac:dyDescent="0.25">
      <c r="C36" t="s">
        <v>1042</v>
      </c>
    </row>
    <row r="37" spans="3:3" x14ac:dyDescent="0.25">
      <c r="C37" t="s">
        <v>1043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2017-07-26T13:10:49Z</dcterms:modified>
</cp:coreProperties>
</file>