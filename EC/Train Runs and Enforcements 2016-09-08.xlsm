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Enforcements!$A$6:$AB$67</definedName>
    <definedName name="_xlnm._FilterDatabase" localSheetId="2" hidden="1">'Missing Trips'!$B$2:$I$2</definedName>
    <definedName name="_xlnm._FilterDatabase" localSheetId="0" hidden="1">'Train Runs'!$A$12:$AG$245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Runs'!$A$12:$J$68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189" i="1" l="1"/>
  <c r="AF185" i="1"/>
  <c r="X199" i="1" l="1"/>
  <c r="X200" i="1"/>
  <c r="X201" i="1"/>
  <c r="X202" i="1"/>
  <c r="X203" i="1"/>
  <c r="X204" i="1"/>
  <c r="X205" i="1"/>
  <c r="P203" i="1"/>
  <c r="K203" i="1"/>
  <c r="L203" i="1"/>
  <c r="M203" i="1"/>
  <c r="V203" i="1"/>
  <c r="Y203" i="1"/>
  <c r="Z203" i="1"/>
  <c r="AA203" i="1" s="1"/>
  <c r="W203" i="1" s="1"/>
  <c r="AB203" i="1"/>
  <c r="AC203" i="1"/>
  <c r="AD203" i="1"/>
  <c r="AG203" i="1" s="1"/>
  <c r="AE203" i="1"/>
  <c r="AF203" i="1"/>
  <c r="AH203" i="1"/>
  <c r="K201" i="1"/>
  <c r="L201" i="1"/>
  <c r="M201" i="1"/>
  <c r="P201" i="1" s="1"/>
  <c r="T201" i="1"/>
  <c r="V201" i="1"/>
  <c r="Y201" i="1"/>
  <c r="Z201" i="1"/>
  <c r="AA201" i="1" s="1"/>
  <c r="AB201" i="1"/>
  <c r="AC201" i="1"/>
  <c r="AD201" i="1"/>
  <c r="AG201" i="1" s="1"/>
  <c r="AE201" i="1"/>
  <c r="AF201" i="1"/>
  <c r="AH201" i="1"/>
  <c r="AD189" i="1"/>
  <c r="AG189" i="1"/>
  <c r="K189" i="1"/>
  <c r="K185" i="1"/>
  <c r="AD185" i="1"/>
  <c r="T185" i="1"/>
  <c r="AG185" i="1"/>
  <c r="K83" i="1"/>
  <c r="K82" i="1"/>
  <c r="K81" i="1"/>
  <c r="AD83" i="1"/>
  <c r="T83" i="1" s="1"/>
  <c r="AG83" i="1"/>
  <c r="AD82" i="1"/>
  <c r="T82" i="1" s="1"/>
  <c r="AD81" i="1"/>
  <c r="AG81" i="1" s="1"/>
  <c r="K78" i="1"/>
  <c r="K77" i="1"/>
  <c r="AD78" i="1"/>
  <c r="T78" i="1" s="1"/>
  <c r="AD77" i="1"/>
  <c r="T77" i="1" s="1"/>
  <c r="P63" i="1"/>
  <c r="K63" i="1"/>
  <c r="L63" i="1"/>
  <c r="M63" i="1"/>
  <c r="T63" i="1"/>
  <c r="V63" i="1"/>
  <c r="AA63" i="1"/>
  <c r="AB63" i="1"/>
  <c r="AC63" i="1"/>
  <c r="AD63" i="1"/>
  <c r="AG63" i="1" s="1"/>
  <c r="AE63" i="1"/>
  <c r="AF63" i="1"/>
  <c r="AH63" i="1"/>
  <c r="K53" i="1"/>
  <c r="L53" i="1"/>
  <c r="M53" i="1"/>
  <c r="V53" i="1"/>
  <c r="Y53" i="1"/>
  <c r="Z53" i="1"/>
  <c r="AA53" i="1" s="1"/>
  <c r="AB53" i="1"/>
  <c r="AC53" i="1"/>
  <c r="AD53" i="1"/>
  <c r="AE53" i="1"/>
  <c r="AF53" i="1"/>
  <c r="AH53" i="1"/>
  <c r="K47" i="1"/>
  <c r="L47" i="1"/>
  <c r="M47" i="1"/>
  <c r="V47" i="1"/>
  <c r="Y47" i="1"/>
  <c r="Z47" i="1"/>
  <c r="AB47" i="1"/>
  <c r="AC47" i="1"/>
  <c r="AD47" i="1"/>
  <c r="T47" i="1" s="1"/>
  <c r="AE47" i="1"/>
  <c r="AF47" i="1"/>
  <c r="AH47" i="1"/>
  <c r="B3" i="6"/>
  <c r="F3" i="6" s="1"/>
  <c r="K14" i="1"/>
  <c r="L14" i="1"/>
  <c r="M14" i="1"/>
  <c r="N14" i="1" s="1"/>
  <c r="V14" i="1"/>
  <c r="Y14" i="1"/>
  <c r="Z14" i="1"/>
  <c r="AB14" i="1"/>
  <c r="AC14" i="1"/>
  <c r="AD14" i="1"/>
  <c r="AE14" i="1"/>
  <c r="AF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K26" i="1"/>
  <c r="L26" i="1"/>
  <c r="M26" i="1"/>
  <c r="P26" i="1" s="1"/>
  <c r="V26" i="1"/>
  <c r="Y26" i="1"/>
  <c r="Z26" i="1"/>
  <c r="AB26" i="1"/>
  <c r="AC26" i="1"/>
  <c r="AD26" i="1"/>
  <c r="T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K54" i="1"/>
  <c r="L54" i="1"/>
  <c r="M54" i="1"/>
  <c r="N54" i="1" s="1"/>
  <c r="V54" i="1"/>
  <c r="Y54" i="1"/>
  <c r="Z54" i="1"/>
  <c r="AB54" i="1"/>
  <c r="AC54" i="1"/>
  <c r="AD54" i="1"/>
  <c r="X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K69" i="1"/>
  <c r="L69" i="1"/>
  <c r="M69" i="1"/>
  <c r="P69" i="1" s="1"/>
  <c r="V69" i="1"/>
  <c r="Y69" i="1"/>
  <c r="Z69" i="1"/>
  <c r="AB69" i="1"/>
  <c r="AC69" i="1"/>
  <c r="AD69" i="1"/>
  <c r="AE69" i="1"/>
  <c r="AF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X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K108" i="1"/>
  <c r="L108" i="1"/>
  <c r="M108" i="1"/>
  <c r="N108" i="1" s="1"/>
  <c r="V108" i="1"/>
  <c r="S41" i="3" s="1"/>
  <c r="Y108" i="1"/>
  <c r="Z108" i="1"/>
  <c r="AB108" i="1"/>
  <c r="AC108" i="1"/>
  <c r="AD108" i="1"/>
  <c r="AE108" i="1"/>
  <c r="R41" i="3" s="1"/>
  <c r="AF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K113" i="1"/>
  <c r="L113" i="1"/>
  <c r="M113" i="1"/>
  <c r="N113" i="1" s="1"/>
  <c r="V113" i="1"/>
  <c r="S47" i="3" s="1"/>
  <c r="Y113" i="1"/>
  <c r="Z113" i="1"/>
  <c r="AB113" i="1"/>
  <c r="AC113" i="1"/>
  <c r="AD113" i="1"/>
  <c r="AE113" i="1"/>
  <c r="R47" i="3" s="1"/>
  <c r="AF113" i="1"/>
  <c r="K114" i="1"/>
  <c r="L114" i="1"/>
  <c r="M114" i="1"/>
  <c r="N114" i="1" s="1"/>
  <c r="V114" i="1"/>
  <c r="S33" i="3" s="1"/>
  <c r="Y114" i="1"/>
  <c r="Z114" i="1"/>
  <c r="AB114" i="1"/>
  <c r="AC114" i="1"/>
  <c r="AD114" i="1"/>
  <c r="AE114" i="1"/>
  <c r="R33" i="3" s="1"/>
  <c r="AF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K117" i="1"/>
  <c r="L117" i="1"/>
  <c r="M117" i="1"/>
  <c r="N117" i="1" s="1"/>
  <c r="V117" i="1"/>
  <c r="S16" i="3" s="1"/>
  <c r="Y117" i="1"/>
  <c r="Z117" i="1"/>
  <c r="AB117" i="1"/>
  <c r="AC117" i="1"/>
  <c r="AD117" i="1"/>
  <c r="AG117" i="1" s="1"/>
  <c r="AE117" i="1"/>
  <c r="R16" i="3" s="1"/>
  <c r="AF117" i="1"/>
  <c r="K118" i="1"/>
  <c r="L118" i="1"/>
  <c r="M118" i="1"/>
  <c r="N118" i="1" s="1"/>
  <c r="V118" i="1"/>
  <c r="S42" i="3" s="1"/>
  <c r="Y118" i="1"/>
  <c r="Z118" i="1"/>
  <c r="AB118" i="1"/>
  <c r="AC118" i="1"/>
  <c r="AD118" i="1"/>
  <c r="AG118" i="1" s="1"/>
  <c r="AE118" i="1"/>
  <c r="R42" i="3" s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K124" i="1"/>
  <c r="L124" i="1"/>
  <c r="M124" i="1"/>
  <c r="N124" i="1" s="1"/>
  <c r="V124" i="1"/>
  <c r="S43" i="3" s="1"/>
  <c r="Y124" i="1"/>
  <c r="Z124" i="1"/>
  <c r="AB124" i="1"/>
  <c r="AC124" i="1"/>
  <c r="AD124" i="1"/>
  <c r="AE124" i="1"/>
  <c r="R44" i="3" s="1"/>
  <c r="AF124" i="1"/>
  <c r="K125" i="1"/>
  <c r="L125" i="1"/>
  <c r="M125" i="1"/>
  <c r="N125" i="1" s="1"/>
  <c r="V125" i="1"/>
  <c r="S48" i="3" s="1"/>
  <c r="Y125" i="1"/>
  <c r="Z125" i="1"/>
  <c r="AB125" i="1"/>
  <c r="AC125" i="1"/>
  <c r="AD125" i="1"/>
  <c r="AG125" i="1" s="1"/>
  <c r="AE125" i="1"/>
  <c r="R48" i="3" s="1"/>
  <c r="AF125" i="1"/>
  <c r="K126" i="1"/>
  <c r="L126" i="1"/>
  <c r="M126" i="1"/>
  <c r="N126" i="1" s="1"/>
  <c r="V126" i="1"/>
  <c r="S14" i="3" s="1"/>
  <c r="Y126" i="1"/>
  <c r="Z126" i="1"/>
  <c r="AB126" i="1"/>
  <c r="AC126" i="1"/>
  <c r="AD126" i="1"/>
  <c r="AG126" i="1" s="1"/>
  <c r="AE126" i="1"/>
  <c r="R14" i="3" s="1"/>
  <c r="AF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K134" i="1"/>
  <c r="L134" i="1"/>
  <c r="M134" i="1"/>
  <c r="N134" i="1" s="1"/>
  <c r="V134" i="1"/>
  <c r="S17" i="3" s="1"/>
  <c r="Y134" i="1"/>
  <c r="Z134" i="1"/>
  <c r="AB134" i="1"/>
  <c r="AC134" i="1"/>
  <c r="AD134" i="1"/>
  <c r="AG134" i="1" s="1"/>
  <c r="AE134" i="1"/>
  <c r="R17" i="3" s="1"/>
  <c r="AF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K141" i="1"/>
  <c r="L141" i="1"/>
  <c r="M141" i="1"/>
  <c r="N141" i="1" s="1"/>
  <c r="V141" i="1"/>
  <c r="S49" i="3" s="1"/>
  <c r="Y141" i="1"/>
  <c r="Z141" i="1"/>
  <c r="AB141" i="1"/>
  <c r="AC141" i="1"/>
  <c r="AD141" i="1"/>
  <c r="T141" i="1" s="1"/>
  <c r="AE141" i="1"/>
  <c r="R49" i="3" s="1"/>
  <c r="AF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K149" i="1"/>
  <c r="L149" i="1"/>
  <c r="M149" i="1"/>
  <c r="N149" i="1" s="1"/>
  <c r="V149" i="1"/>
  <c r="S21" i="3" s="1"/>
  <c r="Y149" i="1"/>
  <c r="Z149" i="1"/>
  <c r="AB149" i="1"/>
  <c r="AC149" i="1"/>
  <c r="AD149" i="1"/>
  <c r="T149" i="1" s="1"/>
  <c r="AE149" i="1"/>
  <c r="R21" i="3" s="1"/>
  <c r="AF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K216" i="1"/>
  <c r="L216" i="1"/>
  <c r="M216" i="1"/>
  <c r="N216" i="1" s="1"/>
  <c r="V216" i="1"/>
  <c r="S61" i="3" s="1"/>
  <c r="Y216" i="1"/>
  <c r="Z216" i="1"/>
  <c r="AB216" i="1"/>
  <c r="AC216" i="1"/>
  <c r="AD216" i="1"/>
  <c r="AG216" i="1" s="1"/>
  <c r="AE216" i="1"/>
  <c r="R61" i="3" s="1"/>
  <c r="AF216" i="1"/>
  <c r="K217" i="1"/>
  <c r="L217" i="1"/>
  <c r="M217" i="1"/>
  <c r="N217" i="1" s="1"/>
  <c r="V217" i="1"/>
  <c r="S63" i="3" s="1"/>
  <c r="Y217" i="1"/>
  <c r="Z217" i="1"/>
  <c r="AB217" i="1"/>
  <c r="AC217" i="1"/>
  <c r="AD217" i="1"/>
  <c r="T217" i="1" s="1"/>
  <c r="AE217" i="1"/>
  <c r="R63" i="3" s="1"/>
  <c r="AF217" i="1"/>
  <c r="K218" i="1"/>
  <c r="L218" i="1"/>
  <c r="M218" i="1"/>
  <c r="N218" i="1" s="1"/>
  <c r="V218" i="1"/>
  <c r="S62" i="3" s="1"/>
  <c r="Y218" i="1"/>
  <c r="Z218" i="1"/>
  <c r="AB218" i="1"/>
  <c r="AC218" i="1"/>
  <c r="AD218" i="1"/>
  <c r="AG218" i="1" s="1"/>
  <c r="AE218" i="1"/>
  <c r="R62" i="3" s="1"/>
  <c r="AF218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K164" i="1"/>
  <c r="L164" i="1"/>
  <c r="M164" i="1"/>
  <c r="N164" i="1" s="1"/>
  <c r="V164" i="1"/>
  <c r="S58" i="3" s="1"/>
  <c r="Y164" i="1"/>
  <c r="Z164" i="1"/>
  <c r="AB164" i="1"/>
  <c r="AC164" i="1"/>
  <c r="AD164" i="1"/>
  <c r="AE164" i="1"/>
  <c r="R58" i="3" s="1"/>
  <c r="AF164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K166" i="1"/>
  <c r="L166" i="1"/>
  <c r="M166" i="1"/>
  <c r="N166" i="1" s="1"/>
  <c r="V166" i="1"/>
  <c r="S59" i="3" s="1"/>
  <c r="Y166" i="1"/>
  <c r="Z166" i="1"/>
  <c r="AB166" i="1"/>
  <c r="AC166" i="1"/>
  <c r="AD166" i="1"/>
  <c r="AE166" i="1"/>
  <c r="R59" i="3" s="1"/>
  <c r="AF166" i="1"/>
  <c r="K167" i="1"/>
  <c r="L167" i="1"/>
  <c r="M167" i="1"/>
  <c r="N167" i="1" s="1"/>
  <c r="V167" i="1"/>
  <c r="S52" i="3" s="1"/>
  <c r="Y167" i="1"/>
  <c r="Z167" i="1"/>
  <c r="AB167" i="1"/>
  <c r="AC167" i="1"/>
  <c r="AD167" i="1"/>
  <c r="AE167" i="1"/>
  <c r="R52" i="3" s="1"/>
  <c r="AF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K172" i="1"/>
  <c r="L172" i="1"/>
  <c r="M172" i="1"/>
  <c r="N172" i="1" s="1"/>
  <c r="V172" i="1"/>
  <c r="S60" i="3" s="1"/>
  <c r="Y172" i="1"/>
  <c r="Z172" i="1"/>
  <c r="AB172" i="1"/>
  <c r="AC172" i="1"/>
  <c r="AD172" i="1"/>
  <c r="AG172" i="1" s="1"/>
  <c r="AE172" i="1"/>
  <c r="R60" i="3" s="1"/>
  <c r="AF172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K182" i="1"/>
  <c r="L182" i="1"/>
  <c r="M182" i="1"/>
  <c r="N182" i="1" s="1"/>
  <c r="V182" i="1"/>
  <c r="S53" i="3" s="1"/>
  <c r="Y182" i="1"/>
  <c r="Z182" i="1"/>
  <c r="AB182" i="1"/>
  <c r="AC182" i="1"/>
  <c r="AD182" i="1"/>
  <c r="AE182" i="1"/>
  <c r="R53" i="3" s="1"/>
  <c r="AF182" i="1"/>
  <c r="K183" i="1"/>
  <c r="L183" i="1"/>
  <c r="M183" i="1"/>
  <c r="N183" i="1" s="1"/>
  <c r="V183" i="1"/>
  <c r="S56" i="3" s="1"/>
  <c r="Y183" i="1"/>
  <c r="Z183" i="1"/>
  <c r="AB183" i="1"/>
  <c r="AC183" i="1"/>
  <c r="AD183" i="1"/>
  <c r="AE183" i="1"/>
  <c r="R56" i="3" s="1"/>
  <c r="AF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K187" i="1"/>
  <c r="L187" i="1"/>
  <c r="M187" i="1"/>
  <c r="N187" i="1" s="1"/>
  <c r="V187" i="1"/>
  <c r="S57" i="3" s="1"/>
  <c r="Y187" i="1"/>
  <c r="Z187" i="1"/>
  <c r="AB187" i="1"/>
  <c r="AC187" i="1"/>
  <c r="AD187" i="1"/>
  <c r="T187" i="1" s="1"/>
  <c r="AE187" i="1"/>
  <c r="R57" i="3" s="1"/>
  <c r="AF18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K190" i="1"/>
  <c r="L190" i="1"/>
  <c r="M190" i="1"/>
  <c r="N190" i="1" s="1"/>
  <c r="V190" i="1"/>
  <c r="S50" i="3" s="1"/>
  <c r="Y190" i="1"/>
  <c r="Z190" i="1"/>
  <c r="AB190" i="1"/>
  <c r="AC190" i="1"/>
  <c r="AD190" i="1"/>
  <c r="T190" i="1" s="1"/>
  <c r="AE190" i="1"/>
  <c r="R50" i="3" s="1"/>
  <c r="AF190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V197" i="1"/>
  <c r="S51" i="3" s="1"/>
  <c r="Y197" i="1"/>
  <c r="Z197" i="1"/>
  <c r="AB197" i="1"/>
  <c r="AC197" i="1"/>
  <c r="AD197" i="1"/>
  <c r="AG197" i="1" s="1"/>
  <c r="AE197" i="1"/>
  <c r="R51" i="3" s="1"/>
  <c r="AF197" i="1"/>
  <c r="K198" i="1"/>
  <c r="L198" i="1"/>
  <c r="M198" i="1"/>
  <c r="N198" i="1" s="1"/>
  <c r="V198" i="1"/>
  <c r="S54" i="3" s="1"/>
  <c r="Y198" i="1"/>
  <c r="Z198" i="1"/>
  <c r="AB198" i="1"/>
  <c r="AC198" i="1"/>
  <c r="AD198" i="1"/>
  <c r="T198" i="1" s="1"/>
  <c r="AE198" i="1"/>
  <c r="R54" i="3" s="1"/>
  <c r="AF198" i="1"/>
  <c r="K199" i="1"/>
  <c r="L199" i="1"/>
  <c r="M199" i="1"/>
  <c r="N199" i="1" s="1"/>
  <c r="V199" i="1"/>
  <c r="S55" i="3" s="1"/>
  <c r="Y199" i="1"/>
  <c r="Z199" i="1"/>
  <c r="AB199" i="1"/>
  <c r="AC199" i="1"/>
  <c r="AD199" i="1"/>
  <c r="AE199" i="1"/>
  <c r="R55" i="3" s="1"/>
  <c r="AF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N9" i="3"/>
  <c r="U9" i="3"/>
  <c r="T9" i="3" s="1"/>
  <c r="V9" i="3"/>
  <c r="W9" i="3"/>
  <c r="X9" i="3"/>
  <c r="N18" i="3"/>
  <c r="U18" i="3"/>
  <c r="T18" i="3" s="1"/>
  <c r="V18" i="3"/>
  <c r="W18" i="3"/>
  <c r="X18" i="3"/>
  <c r="N15" i="3"/>
  <c r="U15" i="3"/>
  <c r="T15" i="3" s="1"/>
  <c r="V15" i="3"/>
  <c r="W15" i="3"/>
  <c r="X15" i="3"/>
  <c r="N34" i="3"/>
  <c r="U34" i="3"/>
  <c r="T34" i="3" s="1"/>
  <c r="V34" i="3"/>
  <c r="W34" i="3"/>
  <c r="X34" i="3"/>
  <c r="N13" i="3"/>
  <c r="U13" i="3"/>
  <c r="T13" i="3" s="1"/>
  <c r="V13" i="3"/>
  <c r="W13" i="3"/>
  <c r="X13" i="3"/>
  <c r="N10" i="3"/>
  <c r="U10" i="3"/>
  <c r="T10" i="3" s="1"/>
  <c r="V10" i="3"/>
  <c r="W10" i="3"/>
  <c r="X10" i="3"/>
  <c r="N12" i="3"/>
  <c r="U12" i="3"/>
  <c r="T12" i="3" s="1"/>
  <c r="V12" i="3"/>
  <c r="W12" i="3"/>
  <c r="X12" i="3"/>
  <c r="N31" i="3"/>
  <c r="U31" i="3"/>
  <c r="T31" i="3" s="1"/>
  <c r="V31" i="3"/>
  <c r="W31" i="3"/>
  <c r="X31" i="3"/>
  <c r="N19" i="3"/>
  <c r="U19" i="3"/>
  <c r="T19" i="3" s="1"/>
  <c r="V19" i="3"/>
  <c r="W19" i="3"/>
  <c r="X19" i="3"/>
  <c r="N20" i="3"/>
  <c r="U20" i="3"/>
  <c r="T20" i="3" s="1"/>
  <c r="V20" i="3"/>
  <c r="W20" i="3"/>
  <c r="X20" i="3"/>
  <c r="N24" i="3"/>
  <c r="U24" i="3"/>
  <c r="T24" i="3" s="1"/>
  <c r="V24" i="3"/>
  <c r="W24" i="3"/>
  <c r="X24" i="3"/>
  <c r="N26" i="3"/>
  <c r="U26" i="3"/>
  <c r="T26" i="3" s="1"/>
  <c r="V26" i="3"/>
  <c r="W26" i="3"/>
  <c r="X26" i="3"/>
  <c r="N27" i="3"/>
  <c r="U27" i="3"/>
  <c r="T27" i="3" s="1"/>
  <c r="V27" i="3"/>
  <c r="W27" i="3"/>
  <c r="X27" i="3"/>
  <c r="N28" i="3"/>
  <c r="U28" i="3"/>
  <c r="T28" i="3" s="1"/>
  <c r="V28" i="3"/>
  <c r="W28" i="3"/>
  <c r="X28" i="3"/>
  <c r="N22" i="3"/>
  <c r="U22" i="3"/>
  <c r="T22" i="3" s="1"/>
  <c r="V22" i="3"/>
  <c r="W22" i="3"/>
  <c r="X22" i="3"/>
  <c r="N23" i="3"/>
  <c r="U23" i="3"/>
  <c r="T23" i="3" s="1"/>
  <c r="V23" i="3"/>
  <c r="W23" i="3"/>
  <c r="X23" i="3"/>
  <c r="N35" i="3"/>
  <c r="U35" i="3"/>
  <c r="T35" i="3" s="1"/>
  <c r="V35" i="3"/>
  <c r="W35" i="3"/>
  <c r="X35" i="3"/>
  <c r="N58" i="3"/>
  <c r="U58" i="3"/>
  <c r="T58" i="3" s="1"/>
  <c r="V58" i="3"/>
  <c r="W58" i="3"/>
  <c r="X58" i="3"/>
  <c r="N32" i="3"/>
  <c r="U32" i="3"/>
  <c r="T32" i="3" s="1"/>
  <c r="V32" i="3"/>
  <c r="W32" i="3"/>
  <c r="X32" i="3"/>
  <c r="N59" i="3"/>
  <c r="U59" i="3"/>
  <c r="T59" i="3" s="1"/>
  <c r="V59" i="3"/>
  <c r="W59" i="3"/>
  <c r="X59" i="3"/>
  <c r="N52" i="3"/>
  <c r="U52" i="3"/>
  <c r="T52" i="3" s="1"/>
  <c r="V52" i="3"/>
  <c r="W52" i="3"/>
  <c r="X52" i="3"/>
  <c r="N25" i="3"/>
  <c r="U25" i="3"/>
  <c r="T25" i="3" s="1"/>
  <c r="V25" i="3"/>
  <c r="W25" i="3"/>
  <c r="X25" i="3"/>
  <c r="N36" i="3"/>
  <c r="U36" i="3"/>
  <c r="T36" i="3" s="1"/>
  <c r="V36" i="3"/>
  <c r="W36" i="3"/>
  <c r="X36" i="3"/>
  <c r="N37" i="3"/>
  <c r="U37" i="3"/>
  <c r="T37" i="3" s="1"/>
  <c r="V37" i="3"/>
  <c r="W37" i="3"/>
  <c r="X37" i="3"/>
  <c r="N7" i="3"/>
  <c r="U7" i="3"/>
  <c r="T7" i="3" s="1"/>
  <c r="V7" i="3"/>
  <c r="W7" i="3"/>
  <c r="X7" i="3"/>
  <c r="N61" i="3"/>
  <c r="U61" i="3"/>
  <c r="T61" i="3" s="1"/>
  <c r="V61" i="3"/>
  <c r="W61" i="3"/>
  <c r="X61" i="3"/>
  <c r="N60" i="3"/>
  <c r="U60" i="3"/>
  <c r="T60" i="3" s="1"/>
  <c r="V60" i="3"/>
  <c r="W60" i="3"/>
  <c r="X60" i="3"/>
  <c r="N38" i="3"/>
  <c r="U38" i="3"/>
  <c r="T38" i="3" s="1"/>
  <c r="V38" i="3"/>
  <c r="W38" i="3"/>
  <c r="X38" i="3"/>
  <c r="N30" i="3"/>
  <c r="U30" i="3"/>
  <c r="T30" i="3" s="1"/>
  <c r="V30" i="3"/>
  <c r="W30" i="3"/>
  <c r="X30" i="3"/>
  <c r="N11" i="3"/>
  <c r="U11" i="3"/>
  <c r="T11" i="3" s="1"/>
  <c r="V11" i="3"/>
  <c r="W11" i="3"/>
  <c r="X11" i="3"/>
  <c r="N46" i="3"/>
  <c r="U46" i="3"/>
  <c r="T46" i="3" s="1"/>
  <c r="V46" i="3"/>
  <c r="W46" i="3"/>
  <c r="X46" i="3"/>
  <c r="N53" i="3"/>
  <c r="U53" i="3"/>
  <c r="T53" i="3" s="1"/>
  <c r="V53" i="3"/>
  <c r="W53" i="3"/>
  <c r="X53" i="3"/>
  <c r="N56" i="3"/>
  <c r="U56" i="3"/>
  <c r="T56" i="3" s="1"/>
  <c r="V56" i="3"/>
  <c r="W56" i="3"/>
  <c r="X56" i="3"/>
  <c r="N16" i="3"/>
  <c r="U16" i="3"/>
  <c r="T16" i="3" s="1"/>
  <c r="V16" i="3"/>
  <c r="W16" i="3"/>
  <c r="X16" i="3"/>
  <c r="N39" i="3"/>
  <c r="U39" i="3"/>
  <c r="T39" i="3" s="1"/>
  <c r="V39" i="3"/>
  <c r="W39" i="3"/>
  <c r="X39" i="3"/>
  <c r="N40" i="3"/>
  <c r="U40" i="3"/>
  <c r="T40" i="3" s="1"/>
  <c r="V40" i="3"/>
  <c r="W40" i="3"/>
  <c r="X40" i="3"/>
  <c r="N47" i="3"/>
  <c r="U47" i="3"/>
  <c r="T47" i="3" s="1"/>
  <c r="V47" i="3"/>
  <c r="W47" i="3"/>
  <c r="X47" i="3"/>
  <c r="N8" i="3"/>
  <c r="U8" i="3"/>
  <c r="T8" i="3" s="1"/>
  <c r="V8" i="3"/>
  <c r="W8" i="3"/>
  <c r="X8" i="3"/>
  <c r="N57" i="3"/>
  <c r="U57" i="3"/>
  <c r="T57" i="3" s="1"/>
  <c r="V57" i="3"/>
  <c r="W57" i="3"/>
  <c r="X57" i="3"/>
  <c r="N63" i="3"/>
  <c r="U63" i="3"/>
  <c r="T63" i="3" s="1"/>
  <c r="V63" i="3"/>
  <c r="W63" i="3"/>
  <c r="X63" i="3"/>
  <c r="N41" i="3"/>
  <c r="U41" i="3"/>
  <c r="T41" i="3" s="1"/>
  <c r="V41" i="3"/>
  <c r="W41" i="3"/>
  <c r="X41" i="3"/>
  <c r="N33" i="3"/>
  <c r="U33" i="3"/>
  <c r="T33" i="3" s="1"/>
  <c r="V33" i="3"/>
  <c r="W33" i="3"/>
  <c r="X33" i="3"/>
  <c r="N50" i="3"/>
  <c r="U50" i="3"/>
  <c r="T50" i="3" s="1"/>
  <c r="V50" i="3"/>
  <c r="W50" i="3"/>
  <c r="X50" i="3"/>
  <c r="N62" i="3"/>
  <c r="U62" i="3"/>
  <c r="T62" i="3" s="1"/>
  <c r="V62" i="3"/>
  <c r="W62" i="3"/>
  <c r="X62" i="3"/>
  <c r="N29" i="3"/>
  <c r="U29" i="3"/>
  <c r="T29" i="3" s="1"/>
  <c r="V29" i="3"/>
  <c r="W29" i="3"/>
  <c r="X29" i="3"/>
  <c r="N48" i="3"/>
  <c r="U48" i="3"/>
  <c r="T48" i="3" s="1"/>
  <c r="V48" i="3"/>
  <c r="W48" i="3"/>
  <c r="X48" i="3"/>
  <c r="N42" i="3"/>
  <c r="U42" i="3"/>
  <c r="T42" i="3" s="1"/>
  <c r="V42" i="3"/>
  <c r="W42" i="3"/>
  <c r="X42" i="3"/>
  <c r="N43" i="3"/>
  <c r="U43" i="3"/>
  <c r="T43" i="3" s="1"/>
  <c r="V43" i="3"/>
  <c r="W43" i="3"/>
  <c r="X43" i="3"/>
  <c r="N44" i="3"/>
  <c r="U44" i="3"/>
  <c r="T44" i="3" s="1"/>
  <c r="V44" i="3"/>
  <c r="W44" i="3"/>
  <c r="X44" i="3"/>
  <c r="N14" i="3"/>
  <c r="U14" i="3"/>
  <c r="T14" i="3" s="1"/>
  <c r="V14" i="3"/>
  <c r="W14" i="3"/>
  <c r="X14" i="3"/>
  <c r="N54" i="3"/>
  <c r="U54" i="3"/>
  <c r="T54" i="3" s="1"/>
  <c r="V54" i="3"/>
  <c r="W54" i="3"/>
  <c r="X54" i="3"/>
  <c r="N51" i="3"/>
  <c r="U51" i="3"/>
  <c r="T51" i="3" s="1"/>
  <c r="V51" i="3"/>
  <c r="W51" i="3"/>
  <c r="X51" i="3"/>
  <c r="N17" i="3"/>
  <c r="U17" i="3"/>
  <c r="T17" i="3" s="1"/>
  <c r="V17" i="3"/>
  <c r="W17" i="3"/>
  <c r="X17" i="3"/>
  <c r="N55" i="3"/>
  <c r="U55" i="3"/>
  <c r="T55" i="3" s="1"/>
  <c r="V55" i="3"/>
  <c r="W55" i="3"/>
  <c r="X55" i="3"/>
  <c r="N49" i="3"/>
  <c r="U49" i="3"/>
  <c r="T49" i="3" s="1"/>
  <c r="V49" i="3"/>
  <c r="W49" i="3"/>
  <c r="X49" i="3"/>
  <c r="N21" i="3"/>
  <c r="U21" i="3"/>
  <c r="T21" i="3" s="1"/>
  <c r="V21" i="3"/>
  <c r="W21" i="3"/>
  <c r="X21" i="3"/>
  <c r="AI203" i="1" l="1"/>
  <c r="U203" i="1"/>
  <c r="T203" i="1"/>
  <c r="W201" i="1"/>
  <c r="S201" i="1"/>
  <c r="AI201" i="1"/>
  <c r="U201" i="1"/>
  <c r="X55" i="1"/>
  <c r="X188" i="1"/>
  <c r="AG78" i="1"/>
  <c r="T81" i="1"/>
  <c r="X84" i="1"/>
  <c r="X191" i="1"/>
  <c r="X56" i="1"/>
  <c r="X80" i="1"/>
  <c r="X57" i="1"/>
  <c r="X185" i="1"/>
  <c r="X189" i="1"/>
  <c r="X79" i="1"/>
  <c r="X187" i="1"/>
  <c r="X23" i="1"/>
  <c r="X64" i="1"/>
  <c r="X78" i="1"/>
  <c r="X83" i="1"/>
  <c r="X186" i="1"/>
  <c r="X190" i="1"/>
  <c r="X63" i="1"/>
  <c r="AG77" i="1"/>
  <c r="X86" i="1"/>
  <c r="X77" i="1"/>
  <c r="AG82" i="1"/>
  <c r="X82" i="1"/>
  <c r="T189" i="1"/>
  <c r="X76" i="1"/>
  <c r="X81" i="1"/>
  <c r="X184" i="1"/>
  <c r="Y51" i="3"/>
  <c r="I3" i="6"/>
  <c r="W63" i="1"/>
  <c r="AI63" i="1"/>
  <c r="U63" i="1"/>
  <c r="S63" i="1" s="1"/>
  <c r="X22" i="1"/>
  <c r="X53" i="1"/>
  <c r="T53" i="1"/>
  <c r="AG53" i="1"/>
  <c r="W53" i="1" s="1"/>
  <c r="R29" i="3"/>
  <c r="S8" i="3"/>
  <c r="AA117" i="1"/>
  <c r="AI117" i="1" s="1"/>
  <c r="X21" i="1"/>
  <c r="S29" i="3"/>
  <c r="AA166" i="1"/>
  <c r="AA143" i="1"/>
  <c r="AI143" i="1" s="1"/>
  <c r="AA138" i="1"/>
  <c r="AI138" i="1" s="1"/>
  <c r="AA126" i="1"/>
  <c r="AI126" i="1" s="1"/>
  <c r="X24" i="1"/>
  <c r="AA47" i="1"/>
  <c r="X48" i="1"/>
  <c r="AG47" i="1"/>
  <c r="X47" i="1"/>
  <c r="Y21" i="3"/>
  <c r="Y24" i="3"/>
  <c r="Y27" i="3"/>
  <c r="Y20" i="3"/>
  <c r="Y10" i="3"/>
  <c r="Y18" i="3"/>
  <c r="H3" i="6"/>
  <c r="G3" i="6"/>
  <c r="AA102" i="1"/>
  <c r="W102" i="1" s="1"/>
  <c r="Y39" i="3"/>
  <c r="X159" i="1"/>
  <c r="AA100" i="1"/>
  <c r="W100" i="1" s="1"/>
  <c r="Y62" i="3"/>
  <c r="Y11" i="3"/>
  <c r="AG55" i="1"/>
  <c r="U55" i="1" s="1"/>
  <c r="S55" i="1" s="1"/>
  <c r="R8" i="3"/>
  <c r="AA213" i="1"/>
  <c r="AA142" i="1"/>
  <c r="W142" i="1" s="1"/>
  <c r="AA193" i="1"/>
  <c r="W193" i="1" s="1"/>
  <c r="AA192" i="1"/>
  <c r="W192" i="1" s="1"/>
  <c r="AA60" i="1"/>
  <c r="T45" i="1"/>
  <c r="U45" i="1" s="1"/>
  <c r="S45" i="1" s="1"/>
  <c r="T44" i="1"/>
  <c r="U44" i="1" s="1"/>
  <c r="S44" i="1" s="1"/>
  <c r="T24" i="1"/>
  <c r="U24" i="1" s="1"/>
  <c r="S24" i="1" s="1"/>
  <c r="R43" i="3"/>
  <c r="X197" i="1"/>
  <c r="AA174" i="1"/>
  <c r="X211" i="1"/>
  <c r="AA152" i="1"/>
  <c r="AA73" i="1"/>
  <c r="AA68" i="1"/>
  <c r="AA67" i="1"/>
  <c r="AI67" i="1" s="1"/>
  <c r="AA61" i="1"/>
  <c r="AA45" i="1"/>
  <c r="AI45" i="1" s="1"/>
  <c r="AG36" i="1"/>
  <c r="U36" i="1" s="1"/>
  <c r="S36" i="1" s="1"/>
  <c r="AG35" i="1"/>
  <c r="U35" i="1" s="1"/>
  <c r="S35" i="1" s="1"/>
  <c r="AA214" i="1"/>
  <c r="X175" i="1"/>
  <c r="T212" i="1"/>
  <c r="U212" i="1" s="1"/>
  <c r="S212" i="1" s="1"/>
  <c r="AA210" i="1"/>
  <c r="AA149" i="1"/>
  <c r="X145" i="1"/>
  <c r="AA133" i="1"/>
  <c r="W133" i="1" s="1"/>
  <c r="T117" i="1"/>
  <c r="U117" i="1" s="1"/>
  <c r="S117" i="1" s="1"/>
  <c r="AA111" i="1"/>
  <c r="AA86" i="1"/>
  <c r="AA76" i="1"/>
  <c r="AA75" i="1"/>
  <c r="AI75" i="1" s="1"/>
  <c r="AA41" i="1"/>
  <c r="AA21" i="1"/>
  <c r="AA16" i="1"/>
  <c r="W16" i="1" s="1"/>
  <c r="T145" i="1"/>
  <c r="AA202" i="1"/>
  <c r="W202" i="1" s="1"/>
  <c r="AG196" i="1"/>
  <c r="U196" i="1" s="1"/>
  <c r="S196" i="1" s="1"/>
  <c r="X176" i="1"/>
  <c r="AA173" i="1"/>
  <c r="W173" i="1" s="1"/>
  <c r="AA162" i="1"/>
  <c r="W162" i="1" s="1"/>
  <c r="AA144" i="1"/>
  <c r="AA139" i="1"/>
  <c r="AA134" i="1"/>
  <c r="AI134" i="1" s="1"/>
  <c r="AA97" i="1"/>
  <c r="AA96" i="1"/>
  <c r="W96" i="1" s="1"/>
  <c r="AA94" i="1"/>
  <c r="AA46" i="1"/>
  <c r="T16" i="1"/>
  <c r="U16" i="1" s="1"/>
  <c r="S16" i="1" s="1"/>
  <c r="AA215" i="1"/>
  <c r="AA206" i="1"/>
  <c r="AA127" i="1"/>
  <c r="W127" i="1" s="1"/>
  <c r="Y54" i="3"/>
  <c r="Y50" i="3"/>
  <c r="Y37" i="3"/>
  <c r="Y32" i="3"/>
  <c r="Y63" i="3"/>
  <c r="Y16" i="3"/>
  <c r="Y59" i="3"/>
  <c r="Y58" i="3"/>
  <c r="Y13" i="3"/>
  <c r="Y9" i="3"/>
  <c r="Y49" i="3"/>
  <c r="Y42" i="3"/>
  <c r="Y40" i="3"/>
  <c r="Y46" i="3"/>
  <c r="Y26" i="3"/>
  <c r="AA194" i="1"/>
  <c r="AG184" i="1"/>
  <c r="U184" i="1" s="1"/>
  <c r="S184" i="1" s="1"/>
  <c r="AA178" i="1"/>
  <c r="W178" i="1" s="1"/>
  <c r="X138" i="1"/>
  <c r="AA137" i="1"/>
  <c r="AG49" i="1"/>
  <c r="U49" i="1" s="1"/>
  <c r="S49" i="1" s="1"/>
  <c r="AA40" i="1"/>
  <c r="AG26" i="1"/>
  <c r="AG19" i="1"/>
  <c r="U19" i="1" s="1"/>
  <c r="S19" i="1" s="1"/>
  <c r="AA198" i="1"/>
  <c r="AA190" i="1"/>
  <c r="AA188" i="1"/>
  <c r="AA175" i="1"/>
  <c r="AA158" i="1"/>
  <c r="AA153" i="1"/>
  <c r="AG145" i="1"/>
  <c r="AG110" i="1"/>
  <c r="U110" i="1" s="1"/>
  <c r="S110" i="1" s="1"/>
  <c r="AG97" i="1"/>
  <c r="U97" i="1" s="1"/>
  <c r="S97" i="1" s="1"/>
  <c r="X97" i="1"/>
  <c r="AA79" i="1"/>
  <c r="AA70" i="1"/>
  <c r="AA69" i="1"/>
  <c r="AA30" i="1"/>
  <c r="AG28" i="1"/>
  <c r="U28" i="1" s="1"/>
  <c r="S28" i="1" s="1"/>
  <c r="X167" i="1"/>
  <c r="X160" i="1"/>
  <c r="AA151" i="1"/>
  <c r="W151" i="1" s="1"/>
  <c r="AA104" i="1"/>
  <c r="W104" i="1" s="1"/>
  <c r="X98" i="1"/>
  <c r="AA172" i="1"/>
  <c r="W172" i="1" s="1"/>
  <c r="AA159" i="1"/>
  <c r="AA130" i="1"/>
  <c r="T125" i="1"/>
  <c r="U125" i="1" s="1"/>
  <c r="S125" i="1" s="1"/>
  <c r="AA98" i="1"/>
  <c r="AA88" i="1"/>
  <c r="AI88" i="1" s="1"/>
  <c r="AG76" i="1"/>
  <c r="U76" i="1" s="1"/>
  <c r="S76" i="1" s="1"/>
  <c r="AG68" i="1"/>
  <c r="X68" i="1"/>
  <c r="AG65" i="1"/>
  <c r="U65" i="1" s="1"/>
  <c r="S65" i="1" s="1"/>
  <c r="AG60" i="1"/>
  <c r="X45" i="1"/>
  <c r="AA38" i="1"/>
  <c r="W38" i="1" s="1"/>
  <c r="AA161" i="1"/>
  <c r="W161" i="1" s="1"/>
  <c r="X207" i="1"/>
  <c r="AA204" i="1"/>
  <c r="AA156" i="1"/>
  <c r="T153" i="1"/>
  <c r="X153" i="1"/>
  <c r="T89" i="1"/>
  <c r="X89" i="1"/>
  <c r="AG89" i="1"/>
  <c r="T73" i="1"/>
  <c r="AG73" i="1"/>
  <c r="AG200" i="1"/>
  <c r="U200" i="1" s="1"/>
  <c r="S200" i="1" s="1"/>
  <c r="X164" i="1"/>
  <c r="T164" i="1"/>
  <c r="T31" i="1"/>
  <c r="X31" i="1"/>
  <c r="AA168" i="1"/>
  <c r="AG103" i="1"/>
  <c r="X103" i="1"/>
  <c r="AG59" i="1"/>
  <c r="T59" i="1"/>
  <c r="AG40" i="1"/>
  <c r="T40" i="1"/>
  <c r="AG20" i="1"/>
  <c r="X20" i="1"/>
  <c r="T20" i="1"/>
  <c r="T204" i="1"/>
  <c r="AG204" i="1"/>
  <c r="T69" i="1"/>
  <c r="AG69" i="1"/>
  <c r="AG41" i="1"/>
  <c r="X41" i="1"/>
  <c r="AG23" i="1"/>
  <c r="T23" i="1"/>
  <c r="AG187" i="1"/>
  <c r="U187" i="1" s="1"/>
  <c r="S187" i="1" s="1"/>
  <c r="AA196" i="1"/>
  <c r="AG188" i="1"/>
  <c r="AA182" i="1"/>
  <c r="AA176" i="1"/>
  <c r="AG168" i="1"/>
  <c r="U168" i="1" s="1"/>
  <c r="S168" i="1" s="1"/>
  <c r="X154" i="1"/>
  <c r="AA147" i="1"/>
  <c r="T137" i="1"/>
  <c r="X137" i="1"/>
  <c r="AG137" i="1"/>
  <c r="T136" i="1"/>
  <c r="AG136" i="1"/>
  <c r="T129" i="1"/>
  <c r="U129" i="1" s="1"/>
  <c r="S129" i="1" s="1"/>
  <c r="T114" i="1"/>
  <c r="X114" i="1"/>
  <c r="AG114" i="1"/>
  <c r="T113" i="1"/>
  <c r="X113" i="1"/>
  <c r="AG113" i="1"/>
  <c r="AG111" i="1"/>
  <c r="T111" i="1"/>
  <c r="AG94" i="1"/>
  <c r="T94" i="1"/>
  <c r="AG17" i="1"/>
  <c r="U17" i="1" s="1"/>
  <c r="S17" i="1" s="1"/>
  <c r="AA197" i="1"/>
  <c r="W197" i="1" s="1"/>
  <c r="AA191" i="1"/>
  <c r="AA184" i="1"/>
  <c r="X180" i="1"/>
  <c r="AA177" i="1"/>
  <c r="AI177" i="1" s="1"/>
  <c r="AA169" i="1"/>
  <c r="AI169" i="1" s="1"/>
  <c r="AA160" i="1"/>
  <c r="AA157" i="1"/>
  <c r="W157" i="1" s="1"/>
  <c r="AA218" i="1"/>
  <c r="W218" i="1" s="1"/>
  <c r="AA212" i="1"/>
  <c r="W212" i="1" s="1"/>
  <c r="X208" i="1"/>
  <c r="AA154" i="1"/>
  <c r="AA150" i="1"/>
  <c r="AI150" i="1" s="1"/>
  <c r="AA141" i="1"/>
  <c r="AA136" i="1"/>
  <c r="AA125" i="1"/>
  <c r="AI125" i="1" s="1"/>
  <c r="AA121" i="1"/>
  <c r="AA114" i="1"/>
  <c r="AA107" i="1"/>
  <c r="AI107" i="1" s="1"/>
  <c r="AG105" i="1"/>
  <c r="U105" i="1" s="1"/>
  <c r="S105" i="1" s="1"/>
  <c r="X105" i="1"/>
  <c r="AA103" i="1"/>
  <c r="T102" i="1"/>
  <c r="U102" i="1" s="1"/>
  <c r="S102" i="1" s="1"/>
  <c r="AG98" i="1"/>
  <c r="AA90" i="1"/>
  <c r="AA89" i="1"/>
  <c r="X87" i="1"/>
  <c r="AA84" i="1"/>
  <c r="W84" i="1" s="1"/>
  <c r="AG79" i="1"/>
  <c r="U79" i="1" s="1"/>
  <c r="S79" i="1" s="1"/>
  <c r="T72" i="1"/>
  <c r="U72" i="1" s="1"/>
  <c r="S72" i="1" s="1"/>
  <c r="X60" i="1"/>
  <c r="AA59" i="1"/>
  <c r="AA52" i="1"/>
  <c r="AA51" i="1"/>
  <c r="AI51" i="1" s="1"/>
  <c r="AA50" i="1"/>
  <c r="AA42" i="1"/>
  <c r="W42" i="1" s="1"/>
  <c r="AA34" i="1"/>
  <c r="W34" i="1" s="1"/>
  <c r="AA32" i="1"/>
  <c r="AI32" i="1" s="1"/>
  <c r="AG30" i="1"/>
  <c r="AA28" i="1"/>
  <c r="AA24" i="1"/>
  <c r="W24" i="1" s="1"/>
  <c r="AA23" i="1"/>
  <c r="AG21" i="1"/>
  <c r="AA20" i="1"/>
  <c r="AA15" i="1"/>
  <c r="AA135" i="1"/>
  <c r="W135" i="1" s="1"/>
  <c r="AA106" i="1"/>
  <c r="AA95" i="1"/>
  <c r="AI95" i="1" s="1"/>
  <c r="AA91" i="1"/>
  <c r="AI91" i="1" s="1"/>
  <c r="AA87" i="1"/>
  <c r="AI87" i="1" s="1"/>
  <c r="AA65" i="1"/>
  <c r="X59" i="1"/>
  <c r="AA57" i="1"/>
  <c r="AA56" i="1"/>
  <c r="AA36" i="1"/>
  <c r="AA17" i="1"/>
  <c r="T202" i="1"/>
  <c r="U202" i="1" s="1"/>
  <c r="S202" i="1" s="1"/>
  <c r="AA200" i="1"/>
  <c r="AA199" i="1"/>
  <c r="T197" i="1"/>
  <c r="U197" i="1" s="1"/>
  <c r="S197" i="1" s="1"/>
  <c r="AA187" i="1"/>
  <c r="AA186" i="1"/>
  <c r="AA181" i="1"/>
  <c r="AI181" i="1" s="1"/>
  <c r="AG180" i="1"/>
  <c r="U180" i="1" s="1"/>
  <c r="S180" i="1" s="1"/>
  <c r="X172" i="1"/>
  <c r="AA171" i="1"/>
  <c r="AA165" i="1"/>
  <c r="AI165" i="1" s="1"/>
  <c r="AG164" i="1"/>
  <c r="X218" i="1"/>
  <c r="AA217" i="1"/>
  <c r="AA209" i="1"/>
  <c r="W209" i="1" s="1"/>
  <c r="AG208" i="1"/>
  <c r="U208" i="1" s="1"/>
  <c r="S208" i="1" s="1"/>
  <c r="AG155" i="1"/>
  <c r="U155" i="1" s="1"/>
  <c r="S155" i="1" s="1"/>
  <c r="AG153" i="1"/>
  <c r="W153" i="1" s="1"/>
  <c r="AG152" i="1"/>
  <c r="U152" i="1" s="1"/>
  <c r="S152" i="1" s="1"/>
  <c r="X152" i="1"/>
  <c r="AG149" i="1"/>
  <c r="X142" i="1"/>
  <c r="X136" i="1"/>
  <c r="AA195" i="1"/>
  <c r="T193" i="1"/>
  <c r="U193" i="1" s="1"/>
  <c r="S193" i="1" s="1"/>
  <c r="T192" i="1"/>
  <c r="U192" i="1" s="1"/>
  <c r="S192" i="1" s="1"/>
  <c r="AA179" i="1"/>
  <c r="T177" i="1"/>
  <c r="U177" i="1" s="1"/>
  <c r="S177" i="1" s="1"/>
  <c r="T176" i="1"/>
  <c r="AA163" i="1"/>
  <c r="T161" i="1"/>
  <c r="U161" i="1" s="1"/>
  <c r="S161" i="1" s="1"/>
  <c r="T160" i="1"/>
  <c r="AA207" i="1"/>
  <c r="T207" i="1"/>
  <c r="AA205" i="1"/>
  <c r="W205" i="1" s="1"/>
  <c r="T150" i="1"/>
  <c r="U150" i="1" s="1"/>
  <c r="S150" i="1" s="1"/>
  <c r="T172" i="1"/>
  <c r="U172" i="1" s="1"/>
  <c r="S172" i="1" s="1"/>
  <c r="T218" i="1"/>
  <c r="U218" i="1" s="1"/>
  <c r="S218" i="1" s="1"/>
  <c r="AG122" i="1"/>
  <c r="X122" i="1"/>
  <c r="X121" i="1"/>
  <c r="AG121" i="1"/>
  <c r="T109" i="1"/>
  <c r="AG109" i="1"/>
  <c r="X193" i="1"/>
  <c r="T188" i="1"/>
  <c r="AA180" i="1"/>
  <c r="AG179" i="1"/>
  <c r="U179" i="1" s="1"/>
  <c r="S179" i="1" s="1"/>
  <c r="X179" i="1"/>
  <c r="X177" i="1"/>
  <c r="AG176" i="1"/>
  <c r="X173" i="1"/>
  <c r="AA170" i="1"/>
  <c r="W170" i="1" s="1"/>
  <c r="AA164" i="1"/>
  <c r="AG163" i="1"/>
  <c r="X163" i="1"/>
  <c r="X161" i="1"/>
  <c r="AG160" i="1"/>
  <c r="X157" i="1"/>
  <c r="AA216" i="1"/>
  <c r="W216" i="1" s="1"/>
  <c r="AA208" i="1"/>
  <c r="AG207" i="1"/>
  <c r="AG206" i="1"/>
  <c r="AA155" i="1"/>
  <c r="AA146" i="1"/>
  <c r="T144" i="1"/>
  <c r="X144" i="1"/>
  <c r="AG144" i="1"/>
  <c r="AG141" i="1"/>
  <c r="U141" i="1" s="1"/>
  <c r="S141" i="1" s="1"/>
  <c r="X141" i="1"/>
  <c r="T134" i="1"/>
  <c r="U134" i="1" s="1"/>
  <c r="S134" i="1" s="1"/>
  <c r="T128" i="1"/>
  <c r="X129" i="1"/>
  <c r="X128" i="1"/>
  <c r="AG128" i="1"/>
  <c r="T120" i="1"/>
  <c r="X120" i="1"/>
  <c r="AG120" i="1"/>
  <c r="AA118" i="1"/>
  <c r="T106" i="1"/>
  <c r="X107" i="1"/>
  <c r="X106" i="1"/>
  <c r="AG106" i="1"/>
  <c r="T56" i="1"/>
  <c r="T32" i="1"/>
  <c r="U32" i="1" s="1"/>
  <c r="S32" i="1" s="1"/>
  <c r="AA145" i="1"/>
  <c r="T142" i="1"/>
  <c r="U142" i="1" s="1"/>
  <c r="S142" i="1" s="1"/>
  <c r="AA131" i="1"/>
  <c r="AA129" i="1"/>
  <c r="W129" i="1" s="1"/>
  <c r="T126" i="1"/>
  <c r="U126" i="1" s="1"/>
  <c r="S126" i="1" s="1"/>
  <c r="AA113" i="1"/>
  <c r="AA112" i="1"/>
  <c r="AI112" i="1" s="1"/>
  <c r="AA110" i="1"/>
  <c r="AA99" i="1"/>
  <c r="T95" i="1"/>
  <c r="U95" i="1" s="1"/>
  <c r="S95" i="1" s="1"/>
  <c r="AG93" i="1"/>
  <c r="U93" i="1" s="1"/>
  <c r="S93" i="1" s="1"/>
  <c r="AG90" i="1"/>
  <c r="U90" i="1" s="1"/>
  <c r="S90" i="1" s="1"/>
  <c r="X90" i="1"/>
  <c r="AG86" i="1"/>
  <c r="AA74" i="1"/>
  <c r="X69" i="1"/>
  <c r="X65" i="1"/>
  <c r="AG64" i="1"/>
  <c r="U64" i="1" s="1"/>
  <c r="S64" i="1" s="1"/>
  <c r="AG58" i="1"/>
  <c r="AG56" i="1"/>
  <c r="AA49" i="1"/>
  <c r="AG48" i="1"/>
  <c r="U48" i="1" s="1"/>
  <c r="S48" i="1" s="1"/>
  <c r="AA44" i="1"/>
  <c r="W44" i="1" s="1"/>
  <c r="AG43" i="1"/>
  <c r="U43" i="1" s="1"/>
  <c r="S43" i="1" s="1"/>
  <c r="X43" i="1"/>
  <c r="T41" i="1"/>
  <c r="X33" i="1"/>
  <c r="X29" i="1"/>
  <c r="AA22" i="1"/>
  <c r="AA14" i="1"/>
  <c r="T133" i="1"/>
  <c r="U133" i="1" s="1"/>
  <c r="S133" i="1" s="1"/>
  <c r="AA123" i="1"/>
  <c r="AA115" i="1"/>
  <c r="AA105" i="1"/>
  <c r="T103" i="1"/>
  <c r="X91" i="1"/>
  <c r="T87" i="1"/>
  <c r="U87" i="1" s="1"/>
  <c r="S87" i="1" s="1"/>
  <c r="X44" i="1"/>
  <c r="AA31" i="1"/>
  <c r="X16" i="1"/>
  <c r="AG15" i="1"/>
  <c r="U15" i="1" s="1"/>
  <c r="S15" i="1" s="1"/>
  <c r="AA128" i="1"/>
  <c r="X126" i="1"/>
  <c r="X125" i="1"/>
  <c r="AA122" i="1"/>
  <c r="AA120" i="1"/>
  <c r="AA119" i="1"/>
  <c r="W119" i="1" s="1"/>
  <c r="T118" i="1"/>
  <c r="U118" i="1" s="1"/>
  <c r="S118" i="1" s="1"/>
  <c r="AA108" i="1"/>
  <c r="AA92" i="1"/>
  <c r="AA80" i="1"/>
  <c r="X73" i="1"/>
  <c r="AA66" i="1"/>
  <c r="AA58" i="1"/>
  <c r="AA43" i="1"/>
  <c r="AA37" i="1"/>
  <c r="X35" i="1"/>
  <c r="AA33" i="1"/>
  <c r="AI33" i="1" s="1"/>
  <c r="AA29" i="1"/>
  <c r="W29" i="1" s="1"/>
  <c r="AA27" i="1"/>
  <c r="AA26" i="1"/>
  <c r="AA25" i="1"/>
  <c r="AA19" i="1"/>
  <c r="AA18" i="1"/>
  <c r="T199" i="1"/>
  <c r="AG199" i="1"/>
  <c r="AG191" i="1"/>
  <c r="X192" i="1"/>
  <c r="T191" i="1"/>
  <c r="AG215" i="1"/>
  <c r="T215" i="1"/>
  <c r="X215" i="1"/>
  <c r="X196" i="1"/>
  <c r="T195" i="1"/>
  <c r="X195" i="1"/>
  <c r="AG195" i="1"/>
  <c r="T174" i="1"/>
  <c r="X174" i="1"/>
  <c r="W213" i="1"/>
  <c r="T181" i="1"/>
  <c r="U181" i="1" s="1"/>
  <c r="S181" i="1" s="1"/>
  <c r="S44" i="3"/>
  <c r="AG214" i="1"/>
  <c r="X181" i="1"/>
  <c r="T175" i="1"/>
  <c r="AG171" i="1"/>
  <c r="X171" i="1"/>
  <c r="T169" i="1"/>
  <c r="U169" i="1" s="1"/>
  <c r="S169" i="1" s="1"/>
  <c r="T166" i="1"/>
  <c r="X166" i="1"/>
  <c r="X165" i="1"/>
  <c r="T159" i="1"/>
  <c r="AG217" i="1"/>
  <c r="X217" i="1"/>
  <c r="T213" i="1"/>
  <c r="U213" i="1" s="1"/>
  <c r="S213" i="1" s="1"/>
  <c r="T210" i="1"/>
  <c r="X210" i="1"/>
  <c r="X209" i="1"/>
  <c r="AG156" i="1"/>
  <c r="X132" i="1"/>
  <c r="AG132" i="1"/>
  <c r="X133" i="1"/>
  <c r="AG130" i="1"/>
  <c r="T130" i="1"/>
  <c r="X130" i="1"/>
  <c r="T183" i="1"/>
  <c r="T167" i="1"/>
  <c r="T158" i="1"/>
  <c r="X158" i="1"/>
  <c r="AG186" i="1"/>
  <c r="AG183" i="1"/>
  <c r="X183" i="1"/>
  <c r="AG198" i="1"/>
  <c r="AG194" i="1"/>
  <c r="AG190" i="1"/>
  <c r="T182" i="1"/>
  <c r="X182" i="1"/>
  <c r="X214" i="1"/>
  <c r="X198" i="1"/>
  <c r="X194" i="1"/>
  <c r="AA183" i="1"/>
  <c r="AG182" i="1"/>
  <c r="AG175" i="1"/>
  <c r="T173" i="1"/>
  <c r="U173" i="1" s="1"/>
  <c r="S173" i="1" s="1"/>
  <c r="T170" i="1"/>
  <c r="U170" i="1" s="1"/>
  <c r="S170" i="1" s="1"/>
  <c r="X170" i="1"/>
  <c r="X169" i="1"/>
  <c r="X168" i="1"/>
  <c r="AA167" i="1"/>
  <c r="AG166" i="1"/>
  <c r="AI166" i="1" s="1"/>
  <c r="AG159" i="1"/>
  <c r="T157" i="1"/>
  <c r="U157" i="1" s="1"/>
  <c r="S157" i="1" s="1"/>
  <c r="T216" i="1"/>
  <c r="U216" i="1" s="1"/>
  <c r="S216" i="1" s="1"/>
  <c r="X216" i="1"/>
  <c r="X213" i="1"/>
  <c r="X212" i="1"/>
  <c r="AA211" i="1"/>
  <c r="AG210" i="1"/>
  <c r="T205" i="1"/>
  <c r="U205" i="1" s="1"/>
  <c r="S205" i="1" s="1"/>
  <c r="X156" i="1"/>
  <c r="T154" i="1"/>
  <c r="AG154" i="1"/>
  <c r="X148" i="1"/>
  <c r="AG148" i="1"/>
  <c r="X149" i="1"/>
  <c r="AG146" i="1"/>
  <c r="T146" i="1"/>
  <c r="X146" i="1"/>
  <c r="T123" i="1"/>
  <c r="X123" i="1"/>
  <c r="AG123" i="1"/>
  <c r="T211" i="1"/>
  <c r="T139" i="1"/>
  <c r="X139" i="1"/>
  <c r="AG139" i="1"/>
  <c r="T178" i="1"/>
  <c r="U178" i="1" s="1"/>
  <c r="S178" i="1" s="1"/>
  <c r="X178" i="1"/>
  <c r="AG174" i="1"/>
  <c r="AG167" i="1"/>
  <c r="T165" i="1"/>
  <c r="U165" i="1" s="1"/>
  <c r="S165" i="1" s="1"/>
  <c r="T162" i="1"/>
  <c r="U162" i="1" s="1"/>
  <c r="S162" i="1" s="1"/>
  <c r="X162" i="1"/>
  <c r="AG158" i="1"/>
  <c r="AG211" i="1"/>
  <c r="T209" i="1"/>
  <c r="U209" i="1" s="1"/>
  <c r="S209" i="1" s="1"/>
  <c r="X116" i="1"/>
  <c r="AG116" i="1"/>
  <c r="X117" i="1"/>
  <c r="AG80" i="1"/>
  <c r="T80" i="1"/>
  <c r="T147" i="1"/>
  <c r="X147" i="1"/>
  <c r="T140" i="1"/>
  <c r="T131" i="1"/>
  <c r="X131" i="1"/>
  <c r="T124" i="1"/>
  <c r="T115" i="1"/>
  <c r="X115" i="1"/>
  <c r="X102" i="1"/>
  <c r="X101" i="1"/>
  <c r="AG101" i="1"/>
  <c r="T92" i="1"/>
  <c r="X92" i="1"/>
  <c r="X93" i="1"/>
  <c r="AG92" i="1"/>
  <c r="AG37" i="1"/>
  <c r="X37" i="1"/>
  <c r="T37" i="1"/>
  <c r="AG27" i="1"/>
  <c r="X28" i="1"/>
  <c r="T27" i="1"/>
  <c r="X27" i="1"/>
  <c r="X206" i="1"/>
  <c r="X155" i="1"/>
  <c r="T151" i="1"/>
  <c r="U151" i="1" s="1"/>
  <c r="S151" i="1" s="1"/>
  <c r="X151" i="1"/>
  <c r="X150" i="1"/>
  <c r="AA148" i="1"/>
  <c r="AG147" i="1"/>
  <c r="AG140" i="1"/>
  <c r="X140" i="1"/>
  <c r="T138" i="1"/>
  <c r="U138" i="1" s="1"/>
  <c r="S138" i="1" s="1"/>
  <c r="T135" i="1"/>
  <c r="U135" i="1" s="1"/>
  <c r="S135" i="1" s="1"/>
  <c r="X135" i="1"/>
  <c r="X134" i="1"/>
  <c r="AA132" i="1"/>
  <c r="AG131" i="1"/>
  <c r="AG124" i="1"/>
  <c r="X124" i="1"/>
  <c r="T122" i="1"/>
  <c r="T119" i="1"/>
  <c r="U119" i="1" s="1"/>
  <c r="S119" i="1" s="1"/>
  <c r="X119" i="1"/>
  <c r="X118" i="1"/>
  <c r="AA116" i="1"/>
  <c r="AG115" i="1"/>
  <c r="AG99" i="1"/>
  <c r="X99" i="1"/>
  <c r="T99" i="1"/>
  <c r="AG85" i="1"/>
  <c r="T66" i="1"/>
  <c r="X66" i="1"/>
  <c r="AG66" i="1"/>
  <c r="T143" i="1"/>
  <c r="U143" i="1" s="1"/>
  <c r="S143" i="1" s="1"/>
  <c r="X143" i="1"/>
  <c r="AA140" i="1"/>
  <c r="T127" i="1"/>
  <c r="U127" i="1" s="1"/>
  <c r="S127" i="1" s="1"/>
  <c r="X127" i="1"/>
  <c r="AA124" i="1"/>
  <c r="T108" i="1"/>
  <c r="X108" i="1"/>
  <c r="X109" i="1"/>
  <c r="AG108" i="1"/>
  <c r="T85" i="1"/>
  <c r="T62" i="1"/>
  <c r="X62" i="1"/>
  <c r="AG62" i="1"/>
  <c r="T46" i="1"/>
  <c r="X46" i="1"/>
  <c r="AG46" i="1"/>
  <c r="T112" i="1"/>
  <c r="U112" i="1" s="1"/>
  <c r="S112" i="1" s="1"/>
  <c r="X112" i="1"/>
  <c r="X111" i="1"/>
  <c r="X110" i="1"/>
  <c r="AA109" i="1"/>
  <c r="T96" i="1"/>
  <c r="U96" i="1" s="1"/>
  <c r="S96" i="1" s="1"/>
  <c r="X96" i="1"/>
  <c r="X95" i="1"/>
  <c r="X94" i="1"/>
  <c r="AA93" i="1"/>
  <c r="AA72" i="1"/>
  <c r="W72" i="1" s="1"/>
  <c r="AA71" i="1"/>
  <c r="T70" i="1"/>
  <c r="X70" i="1"/>
  <c r="AG70" i="1"/>
  <c r="T67" i="1"/>
  <c r="U67" i="1" s="1"/>
  <c r="S67" i="1" s="1"/>
  <c r="X67" i="1"/>
  <c r="AA55" i="1"/>
  <c r="AA54" i="1"/>
  <c r="T52" i="1"/>
  <c r="X52" i="1"/>
  <c r="AG52" i="1"/>
  <c r="T100" i="1"/>
  <c r="U100" i="1" s="1"/>
  <c r="S100" i="1" s="1"/>
  <c r="X100" i="1"/>
  <c r="T84" i="1"/>
  <c r="U84" i="1" s="1"/>
  <c r="S84" i="1" s="1"/>
  <c r="T74" i="1"/>
  <c r="X74" i="1"/>
  <c r="AG74" i="1"/>
  <c r="T71" i="1"/>
  <c r="X71" i="1"/>
  <c r="T57" i="1"/>
  <c r="AG57" i="1"/>
  <c r="T54" i="1"/>
  <c r="T107" i="1"/>
  <c r="U107" i="1" s="1"/>
  <c r="S107" i="1" s="1"/>
  <c r="T104" i="1"/>
  <c r="U104" i="1" s="1"/>
  <c r="S104" i="1" s="1"/>
  <c r="X104" i="1"/>
  <c r="AA101" i="1"/>
  <c r="T91" i="1"/>
  <c r="U91" i="1" s="1"/>
  <c r="S91" i="1" s="1"/>
  <c r="T88" i="1"/>
  <c r="U88" i="1" s="1"/>
  <c r="S88" i="1" s="1"/>
  <c r="X88" i="1"/>
  <c r="AA85" i="1"/>
  <c r="T75" i="1"/>
  <c r="U75" i="1" s="1"/>
  <c r="S75" i="1" s="1"/>
  <c r="X75" i="1"/>
  <c r="X72" i="1"/>
  <c r="AG71" i="1"/>
  <c r="AA64" i="1"/>
  <c r="AA62" i="1"/>
  <c r="T61" i="1"/>
  <c r="X61" i="1"/>
  <c r="AG61" i="1"/>
  <c r="T58" i="1"/>
  <c r="X58" i="1"/>
  <c r="AG54" i="1"/>
  <c r="AG50" i="1"/>
  <c r="X50" i="1"/>
  <c r="X40" i="1"/>
  <c r="X39" i="1"/>
  <c r="AG39" i="1"/>
  <c r="T51" i="1"/>
  <c r="U51" i="1" s="1"/>
  <c r="S51" i="1" s="1"/>
  <c r="X51" i="1"/>
  <c r="X49" i="1"/>
  <c r="AA48" i="1"/>
  <c r="T34" i="1"/>
  <c r="U34" i="1" s="1"/>
  <c r="S34" i="1" s="1"/>
  <c r="X34" i="1"/>
  <c r="AG31" i="1"/>
  <c r="X32" i="1"/>
  <c r="T29" i="1"/>
  <c r="U29" i="1" s="1"/>
  <c r="S29" i="1" s="1"/>
  <c r="T38" i="1"/>
  <c r="U38" i="1" s="1"/>
  <c r="S38" i="1" s="1"/>
  <c r="X38" i="1"/>
  <c r="X36" i="1"/>
  <c r="AA35" i="1"/>
  <c r="T33" i="1"/>
  <c r="U33" i="1" s="1"/>
  <c r="S33" i="1" s="1"/>
  <c r="T25" i="1"/>
  <c r="X25" i="1"/>
  <c r="AG25" i="1"/>
  <c r="T22" i="1"/>
  <c r="AG22" i="1"/>
  <c r="T18" i="1"/>
  <c r="X18" i="1"/>
  <c r="AG18" i="1"/>
  <c r="T14" i="1"/>
  <c r="AG14" i="1"/>
  <c r="T42" i="1"/>
  <c r="U42" i="1" s="1"/>
  <c r="S42" i="1" s="1"/>
  <c r="X42" i="1"/>
  <c r="AA39" i="1"/>
  <c r="X30" i="1"/>
  <c r="X26" i="1"/>
  <c r="X19" i="1"/>
  <c r="X15" i="1"/>
  <c r="X17" i="1"/>
  <c r="Y33" i="3"/>
  <c r="Y22" i="3"/>
  <c r="Y28" i="3"/>
  <c r="Y12" i="3"/>
  <c r="Y15" i="3"/>
  <c r="Y53" i="3"/>
  <c r="Y60" i="3"/>
  <c r="Y61" i="3"/>
  <c r="Y57" i="3"/>
  <c r="Y8" i="3"/>
  <c r="Y38" i="3"/>
  <c r="Y36" i="3"/>
  <c r="Y25" i="3"/>
  <c r="Y35" i="3"/>
  <c r="Y23" i="3"/>
  <c r="Y19" i="3"/>
  <c r="Y31" i="3"/>
  <c r="Y34" i="3"/>
  <c r="Y41" i="3"/>
  <c r="Y47" i="3"/>
  <c r="Y56" i="3"/>
  <c r="Y30" i="3"/>
  <c r="Y7" i="3"/>
  <c r="Y52" i="3"/>
  <c r="Y17" i="3"/>
  <c r="Y44" i="3"/>
  <c r="Y29" i="3"/>
  <c r="Y55" i="3"/>
  <c r="Y14" i="3"/>
  <c r="Y48" i="3"/>
  <c r="Y43" i="3"/>
  <c r="S34" i="3"/>
  <c r="R34" i="3"/>
  <c r="S15" i="3"/>
  <c r="R15" i="3"/>
  <c r="S13" i="3"/>
  <c r="R13" i="3"/>
  <c r="S31" i="3"/>
  <c r="R31" i="3"/>
  <c r="S35" i="3"/>
  <c r="R35" i="3"/>
  <c r="S22" i="3"/>
  <c r="R22" i="3"/>
  <c r="S23" i="3"/>
  <c r="R23" i="3"/>
  <c r="S37" i="3"/>
  <c r="R37" i="3"/>
  <c r="S7" i="3"/>
  <c r="R7" i="3"/>
  <c r="S25" i="3"/>
  <c r="R25" i="3"/>
  <c r="S38" i="3"/>
  <c r="R38" i="3"/>
  <c r="S30" i="3"/>
  <c r="R30" i="3"/>
  <c r="S46" i="3"/>
  <c r="R46" i="3"/>
  <c r="S11" i="3"/>
  <c r="R11" i="3"/>
  <c r="AI69" i="1" l="1"/>
  <c r="W75" i="1"/>
  <c r="AI60" i="1"/>
  <c r="W165" i="1"/>
  <c r="W149" i="1"/>
  <c r="W59" i="1"/>
  <c r="W176" i="1"/>
  <c r="AI53" i="1"/>
  <c r="W55" i="1"/>
  <c r="AI178" i="1"/>
  <c r="W143" i="1"/>
  <c r="AI29" i="1"/>
  <c r="W123" i="1"/>
  <c r="U114" i="1"/>
  <c r="S114" i="1" s="1"/>
  <c r="U23" i="1"/>
  <c r="S23" i="1" s="1"/>
  <c r="U53" i="1"/>
  <c r="S53" i="1" s="1"/>
  <c r="U145" i="1"/>
  <c r="S145" i="1" s="1"/>
  <c r="W50" i="1"/>
  <c r="W138" i="1"/>
  <c r="W139" i="1"/>
  <c r="W206" i="1"/>
  <c r="AI16" i="1"/>
  <c r="AI133" i="1"/>
  <c r="W196" i="1"/>
  <c r="W69" i="1"/>
  <c r="AI49" i="1"/>
  <c r="AI102" i="1"/>
  <c r="W36" i="1"/>
  <c r="AI111" i="1"/>
  <c r="W68" i="1"/>
  <c r="W61" i="1"/>
  <c r="W95" i="1"/>
  <c r="AI42" i="1"/>
  <c r="W174" i="1"/>
  <c r="AI193" i="1"/>
  <c r="U60" i="1"/>
  <c r="S60" i="1" s="1"/>
  <c r="U164" i="1"/>
  <c r="S164" i="1" s="1"/>
  <c r="AI90" i="1"/>
  <c r="AI94" i="1"/>
  <c r="AI41" i="1"/>
  <c r="U207" i="1"/>
  <c r="S207" i="1" s="1"/>
  <c r="U89" i="1"/>
  <c r="S89" i="1" s="1"/>
  <c r="AI30" i="1"/>
  <c r="AI152" i="1"/>
  <c r="AI194" i="1"/>
  <c r="U94" i="1"/>
  <c r="S94" i="1" s="1"/>
  <c r="U136" i="1"/>
  <c r="S136" i="1" s="1"/>
  <c r="W45" i="1"/>
  <c r="W117" i="1"/>
  <c r="AI182" i="1"/>
  <c r="U68" i="1"/>
  <c r="S68" i="1" s="1"/>
  <c r="AI68" i="1"/>
  <c r="W91" i="1"/>
  <c r="W126" i="1"/>
  <c r="W35" i="1"/>
  <c r="AI100" i="1"/>
  <c r="W163" i="1"/>
  <c r="W97" i="1"/>
  <c r="AI98" i="1"/>
  <c r="AI47" i="1"/>
  <c r="U47" i="1"/>
  <c r="S47" i="1" s="1"/>
  <c r="W47" i="1"/>
  <c r="AI15" i="1"/>
  <c r="AI186" i="1"/>
  <c r="W171" i="1"/>
  <c r="AI202" i="1"/>
  <c r="AI21" i="1"/>
  <c r="AI97" i="1"/>
  <c r="W217" i="1"/>
  <c r="AI162" i="1"/>
  <c r="W207" i="1"/>
  <c r="U103" i="1"/>
  <c r="S103" i="1" s="1"/>
  <c r="AI215" i="1"/>
  <c r="W144" i="1"/>
  <c r="AI145" i="1"/>
  <c r="W179" i="1"/>
  <c r="AI142" i="1"/>
  <c r="AI208" i="1"/>
  <c r="W180" i="1"/>
  <c r="W79" i="1"/>
  <c r="AI192" i="1"/>
  <c r="AI136" i="1"/>
  <c r="W111" i="1"/>
  <c r="W94" i="1"/>
  <c r="W103" i="1"/>
  <c r="AI36" i="1"/>
  <c r="W67" i="1"/>
  <c r="W49" i="1"/>
  <c r="U69" i="1"/>
  <c r="S69" i="1" s="1"/>
  <c r="AI120" i="1"/>
  <c r="U144" i="1"/>
  <c r="S144" i="1" s="1"/>
  <c r="W28" i="1"/>
  <c r="AI113" i="1"/>
  <c r="U153" i="1"/>
  <c r="S153" i="1" s="1"/>
  <c r="W60" i="1"/>
  <c r="W88" i="1"/>
  <c r="AI151" i="1"/>
  <c r="W158" i="1"/>
  <c r="W177" i="1"/>
  <c r="AI170" i="1"/>
  <c r="AI24" i="1"/>
  <c r="AI79" i="1"/>
  <c r="W90" i="1"/>
  <c r="AI144" i="1"/>
  <c r="AI103" i="1"/>
  <c r="W114" i="1"/>
  <c r="U111" i="1"/>
  <c r="S111" i="1" s="1"/>
  <c r="AI40" i="1"/>
  <c r="AI43" i="1"/>
  <c r="AI84" i="1"/>
  <c r="U122" i="1"/>
  <c r="S122" i="1" s="1"/>
  <c r="W181" i="1"/>
  <c r="AI199" i="1"/>
  <c r="AI157" i="1"/>
  <c r="AI23" i="1"/>
  <c r="W89" i="1"/>
  <c r="U113" i="1"/>
  <c r="S113" i="1" s="1"/>
  <c r="U188" i="1"/>
  <c r="S188" i="1" s="1"/>
  <c r="AI73" i="1"/>
  <c r="W132" i="1"/>
  <c r="AI28" i="1"/>
  <c r="W92" i="1"/>
  <c r="W113" i="1"/>
  <c r="AI207" i="1"/>
  <c r="W215" i="1"/>
  <c r="W43" i="1"/>
  <c r="AI122" i="1"/>
  <c r="W105" i="1"/>
  <c r="W125" i="1"/>
  <c r="U128" i="1"/>
  <c r="S128" i="1" s="1"/>
  <c r="W152" i="1"/>
  <c r="W134" i="1"/>
  <c r="AI196" i="1"/>
  <c r="U40" i="1"/>
  <c r="S40" i="1" s="1"/>
  <c r="AI96" i="1"/>
  <c r="W130" i="1"/>
  <c r="W33" i="1"/>
  <c r="W93" i="1"/>
  <c r="AI65" i="1"/>
  <c r="U98" i="1"/>
  <c r="S98" i="1" s="1"/>
  <c r="W58" i="1"/>
  <c r="W110" i="1"/>
  <c r="AI153" i="1"/>
  <c r="W30" i="1"/>
  <c r="AI204" i="1"/>
  <c r="U20" i="1"/>
  <c r="S20" i="1" s="1"/>
  <c r="AI155" i="1"/>
  <c r="AI173" i="1"/>
  <c r="U176" i="1"/>
  <c r="S176" i="1" s="1"/>
  <c r="W80" i="1"/>
  <c r="U106" i="1"/>
  <c r="S106" i="1" s="1"/>
  <c r="AI114" i="1"/>
  <c r="U120" i="1"/>
  <c r="S120" i="1" s="1"/>
  <c r="W199" i="1"/>
  <c r="AI89" i="1"/>
  <c r="U58" i="1"/>
  <c r="S58" i="1" s="1"/>
  <c r="AI76" i="1"/>
  <c r="AI167" i="1"/>
  <c r="U163" i="1"/>
  <c r="S163" i="1" s="1"/>
  <c r="AI127" i="1"/>
  <c r="W155" i="1"/>
  <c r="AI119" i="1"/>
  <c r="AI195" i="1"/>
  <c r="W27" i="1"/>
  <c r="W37" i="1"/>
  <c r="W120" i="1"/>
  <c r="W128" i="1"/>
  <c r="W40" i="1"/>
  <c r="W156" i="1"/>
  <c r="W188" i="1"/>
  <c r="W26" i="1"/>
  <c r="AI137" i="1"/>
  <c r="W108" i="1"/>
  <c r="AI104" i="1"/>
  <c r="AI128" i="1"/>
  <c r="AI176" i="1"/>
  <c r="W31" i="1"/>
  <c r="AI38" i="1"/>
  <c r="W41" i="1"/>
  <c r="W85" i="1"/>
  <c r="AI93" i="1"/>
  <c r="W76" i="1"/>
  <c r="W109" i="1"/>
  <c r="AI110" i="1"/>
  <c r="W148" i="1"/>
  <c r="AI58" i="1"/>
  <c r="AI161" i="1"/>
  <c r="W159" i="1"/>
  <c r="AI135" i="1"/>
  <c r="AI212" i="1"/>
  <c r="U26" i="1"/>
  <c r="S26" i="1" s="1"/>
  <c r="W208" i="1"/>
  <c r="W51" i="1"/>
  <c r="W200" i="1"/>
  <c r="W65" i="1"/>
  <c r="W20" i="1"/>
  <c r="W204" i="1"/>
  <c r="AI20" i="1"/>
  <c r="AI129" i="1"/>
  <c r="AI211" i="1"/>
  <c r="W169" i="1"/>
  <c r="W175" i="1"/>
  <c r="AI191" i="1"/>
  <c r="W19" i="1"/>
  <c r="U41" i="1"/>
  <c r="S41" i="1" s="1"/>
  <c r="W32" i="1"/>
  <c r="U59" i="1"/>
  <c r="S59" i="1" s="1"/>
  <c r="AI19" i="1"/>
  <c r="AI44" i="1"/>
  <c r="AI105" i="1"/>
  <c r="W87" i="1"/>
  <c r="AI141" i="1"/>
  <c r="W146" i="1"/>
  <c r="W150" i="1"/>
  <c r="W183" i="1"/>
  <c r="W122" i="1"/>
  <c r="AI26" i="1"/>
  <c r="W145" i="1"/>
  <c r="AI121" i="1"/>
  <c r="U160" i="1"/>
  <c r="S160" i="1" s="1"/>
  <c r="W187" i="1"/>
  <c r="W56" i="1"/>
  <c r="W136" i="1"/>
  <c r="W160" i="1"/>
  <c r="W184" i="1"/>
  <c r="U137" i="1"/>
  <c r="S137" i="1" s="1"/>
  <c r="AI64" i="1"/>
  <c r="AI59" i="1"/>
  <c r="AI160" i="1"/>
  <c r="AI159" i="1"/>
  <c r="W112" i="1"/>
  <c r="U21" i="1"/>
  <c r="S21" i="1" s="1"/>
  <c r="W121" i="1"/>
  <c r="W137" i="1"/>
  <c r="U204" i="1"/>
  <c r="S204" i="1" s="1"/>
  <c r="W168" i="1"/>
  <c r="W48" i="1"/>
  <c r="W107" i="1"/>
  <c r="AI216" i="1"/>
  <c r="W23" i="1"/>
  <c r="W73" i="1"/>
  <c r="AI34" i="1"/>
  <c r="W98" i="1"/>
  <c r="U30" i="1"/>
  <c r="S30" i="1" s="1"/>
  <c r="W62" i="1"/>
  <c r="AI106" i="1"/>
  <c r="W115" i="1"/>
  <c r="W64" i="1"/>
  <c r="W101" i="1"/>
  <c r="W116" i="1"/>
  <c r="U121" i="1"/>
  <c r="S121" i="1" s="1"/>
  <c r="AI183" i="1"/>
  <c r="AI187" i="1"/>
  <c r="AI17" i="1"/>
  <c r="U73" i="1"/>
  <c r="S73" i="1" s="1"/>
  <c r="W164" i="1"/>
  <c r="W17" i="1"/>
  <c r="W21" i="1"/>
  <c r="U86" i="1"/>
  <c r="S86" i="1" s="1"/>
  <c r="AI86" i="1"/>
  <c r="U206" i="1"/>
  <c r="S206" i="1" s="1"/>
  <c r="AI158" i="1"/>
  <c r="U56" i="1"/>
  <c r="S56" i="1" s="1"/>
  <c r="AI56" i="1"/>
  <c r="AI118" i="1"/>
  <c r="W118" i="1"/>
  <c r="W86" i="1"/>
  <c r="AI174" i="1"/>
  <c r="AI48" i="1"/>
  <c r="AI175" i="1"/>
  <c r="W186" i="1"/>
  <c r="W15" i="1"/>
  <c r="W106" i="1"/>
  <c r="U109" i="1"/>
  <c r="S109" i="1" s="1"/>
  <c r="W141" i="1"/>
  <c r="U149" i="1"/>
  <c r="S149" i="1" s="1"/>
  <c r="AI149" i="1"/>
  <c r="AI22" i="1"/>
  <c r="U22" i="1"/>
  <c r="S22" i="1" s="1"/>
  <c r="AI71" i="1"/>
  <c r="U71" i="1"/>
  <c r="S71" i="1" s="1"/>
  <c r="U74" i="1"/>
  <c r="S74" i="1" s="1"/>
  <c r="AI74" i="1"/>
  <c r="W74" i="1"/>
  <c r="AI25" i="1"/>
  <c r="U25" i="1"/>
  <c r="S25" i="1" s="1"/>
  <c r="W25" i="1"/>
  <c r="AI39" i="1"/>
  <c r="U39" i="1"/>
  <c r="S39" i="1" s="1"/>
  <c r="AI55" i="1"/>
  <c r="U66" i="1"/>
  <c r="S66" i="1" s="1"/>
  <c r="AI66" i="1"/>
  <c r="AI85" i="1"/>
  <c r="U85" i="1"/>
  <c r="S85" i="1" s="1"/>
  <c r="U37" i="1"/>
  <c r="S37" i="1" s="1"/>
  <c r="AI37" i="1"/>
  <c r="AI188" i="1"/>
  <c r="U174" i="1"/>
  <c r="S174" i="1" s="1"/>
  <c r="AI139" i="1"/>
  <c r="U139" i="1"/>
  <c r="S139" i="1" s="1"/>
  <c r="AI198" i="1"/>
  <c r="U183" i="1"/>
  <c r="S183" i="1" s="1"/>
  <c r="U156" i="1"/>
  <c r="S156" i="1" s="1"/>
  <c r="AI156" i="1"/>
  <c r="AI168" i="1"/>
  <c r="U217" i="1"/>
  <c r="S217" i="1" s="1"/>
  <c r="AI180" i="1"/>
  <c r="U167" i="1"/>
  <c r="S167" i="1" s="1"/>
  <c r="AI184" i="1"/>
  <c r="U171" i="1"/>
  <c r="S171" i="1" s="1"/>
  <c r="AI210" i="1"/>
  <c r="U195" i="1"/>
  <c r="S195" i="1" s="1"/>
  <c r="U191" i="1"/>
  <c r="S191" i="1" s="1"/>
  <c r="AI206" i="1"/>
  <c r="AI109" i="1"/>
  <c r="U57" i="1"/>
  <c r="S57" i="1" s="1"/>
  <c r="AI57" i="1"/>
  <c r="W57" i="1"/>
  <c r="AI14" i="1"/>
  <c r="U14" i="1"/>
  <c r="S14" i="1" s="1"/>
  <c r="U61" i="1"/>
  <c r="S61" i="1" s="1"/>
  <c r="AI61" i="1"/>
  <c r="AI72" i="1"/>
  <c r="U46" i="1"/>
  <c r="S46" i="1" s="1"/>
  <c r="AI46" i="1"/>
  <c r="AI62" i="1"/>
  <c r="U62" i="1"/>
  <c r="S62" i="1" s="1"/>
  <c r="U99" i="1"/>
  <c r="S99" i="1" s="1"/>
  <c r="AI99" i="1"/>
  <c r="AI124" i="1"/>
  <c r="U124" i="1"/>
  <c r="S124" i="1" s="1"/>
  <c r="AI131" i="1"/>
  <c r="U131" i="1"/>
  <c r="S131" i="1" s="1"/>
  <c r="W131" i="1"/>
  <c r="AI101" i="1"/>
  <c r="U101" i="1"/>
  <c r="S101" i="1" s="1"/>
  <c r="U80" i="1"/>
  <c r="S80" i="1" s="1"/>
  <c r="AI80" i="1"/>
  <c r="U154" i="1"/>
  <c r="S154" i="1" s="1"/>
  <c r="AI154" i="1"/>
  <c r="AI163" i="1"/>
  <c r="W210" i="1"/>
  <c r="U210" i="1"/>
  <c r="S210" i="1" s="1"/>
  <c r="W167" i="1"/>
  <c r="U190" i="1"/>
  <c r="S190" i="1" s="1"/>
  <c r="AI205" i="1"/>
  <c r="W39" i="1"/>
  <c r="AI18" i="1"/>
  <c r="U18" i="1"/>
  <c r="S18" i="1" s="1"/>
  <c r="W14" i="1"/>
  <c r="W18" i="1"/>
  <c r="U31" i="1"/>
  <c r="S31" i="1" s="1"/>
  <c r="AI31" i="1"/>
  <c r="AI35" i="1"/>
  <c r="W46" i="1"/>
  <c r="U50" i="1"/>
  <c r="S50" i="1" s="1"/>
  <c r="AI50" i="1"/>
  <c r="W54" i="1"/>
  <c r="W124" i="1"/>
  <c r="W140" i="1"/>
  <c r="AI115" i="1"/>
  <c r="U115" i="1"/>
  <c r="S115" i="1" s="1"/>
  <c r="U27" i="1"/>
  <c r="S27" i="1" s="1"/>
  <c r="AI27" i="1"/>
  <c r="W66" i="1"/>
  <c r="AI116" i="1"/>
  <c r="U116" i="1"/>
  <c r="S116" i="1" s="1"/>
  <c r="AI171" i="1"/>
  <c r="U158" i="1"/>
  <c r="S158" i="1" s="1"/>
  <c r="AI123" i="1"/>
  <c r="U123" i="1"/>
  <c r="S123" i="1" s="1"/>
  <c r="AI148" i="1"/>
  <c r="U148" i="1"/>
  <c r="S148" i="1" s="1"/>
  <c r="W211" i="1"/>
  <c r="U182" i="1"/>
  <c r="S182" i="1" s="1"/>
  <c r="AI197" i="1"/>
  <c r="W182" i="1"/>
  <c r="U194" i="1"/>
  <c r="S194" i="1" s="1"/>
  <c r="AI209" i="1"/>
  <c r="AI200" i="1"/>
  <c r="U186" i="1"/>
  <c r="S186" i="1" s="1"/>
  <c r="AI132" i="1"/>
  <c r="U132" i="1"/>
  <c r="S132" i="1" s="1"/>
  <c r="W154" i="1"/>
  <c r="U214" i="1"/>
  <c r="S214" i="1" s="1"/>
  <c r="AI217" i="1"/>
  <c r="W214" i="1"/>
  <c r="W22" i="1"/>
  <c r="AI54" i="1"/>
  <c r="U54" i="1"/>
  <c r="S54" i="1" s="1"/>
  <c r="U52" i="1"/>
  <c r="S52" i="1" s="1"/>
  <c r="AI52" i="1"/>
  <c r="W71" i="1"/>
  <c r="W52" i="1"/>
  <c r="AI190" i="1"/>
  <c r="U175" i="1"/>
  <c r="S175" i="1" s="1"/>
  <c r="U198" i="1"/>
  <c r="S198" i="1" s="1"/>
  <c r="AI213" i="1"/>
  <c r="W198" i="1"/>
  <c r="U70" i="1"/>
  <c r="S70" i="1" s="1"/>
  <c r="AI70" i="1"/>
  <c r="AI108" i="1"/>
  <c r="U108" i="1"/>
  <c r="S108" i="1" s="1"/>
  <c r="AI140" i="1"/>
  <c r="U140" i="1"/>
  <c r="S140" i="1" s="1"/>
  <c r="AI147" i="1"/>
  <c r="U147" i="1"/>
  <c r="S147" i="1" s="1"/>
  <c r="W147" i="1"/>
  <c r="AI92" i="1"/>
  <c r="U92" i="1"/>
  <c r="S92" i="1" s="1"/>
  <c r="W99" i="1"/>
  <c r="AI164" i="1"/>
  <c r="U211" i="1"/>
  <c r="S211" i="1" s="1"/>
  <c r="W70" i="1"/>
  <c r="U146" i="1"/>
  <c r="S146" i="1" s="1"/>
  <c r="AI146" i="1"/>
  <c r="AI172" i="1"/>
  <c r="U159" i="1"/>
  <c r="S159" i="1" s="1"/>
  <c r="AI179" i="1"/>
  <c r="W166" i="1"/>
  <c r="U166" i="1"/>
  <c r="S166" i="1" s="1"/>
  <c r="U130" i="1"/>
  <c r="S130" i="1" s="1"/>
  <c r="AI130" i="1"/>
  <c r="W190" i="1"/>
  <c r="W191" i="1"/>
  <c r="AI218" i="1"/>
  <c r="U215" i="1"/>
  <c r="S215" i="1" s="1"/>
  <c r="W195" i="1"/>
  <c r="AI214" i="1"/>
  <c r="U199" i="1"/>
  <c r="S199" i="1" s="1"/>
  <c r="W194" i="1"/>
  <c r="S12" i="3"/>
  <c r="S24" i="3"/>
  <c r="S19" i="3"/>
  <c r="S27" i="3"/>
  <c r="S28" i="3"/>
  <c r="S26" i="3"/>
  <c r="S10" i="3"/>
  <c r="S20" i="3"/>
  <c r="S9" i="3"/>
  <c r="S18" i="3"/>
  <c r="R10" i="3"/>
  <c r="R20" i="3"/>
  <c r="R19" i="3"/>
  <c r="R27" i="3"/>
  <c r="R26" i="3"/>
  <c r="R12" i="3"/>
  <c r="R24" i="3"/>
  <c r="R28" i="3"/>
  <c r="R40" i="3"/>
  <c r="R39" i="3"/>
  <c r="S32" i="3"/>
  <c r="S36" i="3"/>
  <c r="S40" i="3"/>
  <c r="S39" i="3"/>
  <c r="R36" i="3"/>
  <c r="R32" i="3"/>
  <c r="R18" i="3"/>
  <c r="R9" i="3"/>
  <c r="V13" i="1"/>
  <c r="N45" i="3"/>
  <c r="U45" i="3"/>
  <c r="T45" i="3" s="1"/>
  <c r="V45" i="3"/>
  <c r="W45" i="3"/>
  <c r="X45" i="3"/>
  <c r="S45" i="3"/>
  <c r="R45" i="3"/>
  <c r="Y45" i="3" l="1"/>
  <c r="M13" i="3"/>
  <c r="M8" i="3"/>
  <c r="M27" i="3"/>
  <c r="M15" i="3"/>
  <c r="M38" i="3"/>
  <c r="M29" i="3"/>
  <c r="M33" i="3"/>
  <c r="M30" i="3"/>
  <c r="M39" i="3"/>
  <c r="M53" i="3"/>
  <c r="M12" i="3"/>
  <c r="M41" i="3"/>
  <c r="M52" i="3"/>
  <c r="M35" i="3"/>
  <c r="M44" i="3"/>
  <c r="M37" i="3"/>
  <c r="M14" i="3"/>
  <c r="M36" i="3"/>
  <c r="M25" i="3"/>
  <c r="M40" i="3"/>
  <c r="M60" i="3"/>
  <c r="M50" i="3"/>
  <c r="M32" i="3"/>
  <c r="M28" i="3"/>
  <c r="M34" i="3"/>
  <c r="M9" i="3"/>
  <c r="M55" i="3"/>
  <c r="M23" i="3"/>
  <c r="M58" i="3"/>
  <c r="M45" i="3"/>
  <c r="M31" i="3"/>
  <c r="M18" i="3"/>
  <c r="M22" i="3"/>
  <c r="M10" i="3"/>
  <c r="M7" i="3"/>
  <c r="M57" i="3"/>
  <c r="M17" i="3"/>
  <c r="M47" i="3"/>
  <c r="M26" i="3"/>
  <c r="M46" i="3"/>
  <c r="M61" i="3"/>
  <c r="M20" i="3"/>
  <c r="M24" i="3"/>
  <c r="M48" i="3"/>
  <c r="M56" i="3"/>
  <c r="M54" i="3"/>
  <c r="M11" i="3"/>
  <c r="M59" i="3"/>
  <c r="M43" i="3"/>
  <c r="M62" i="3"/>
  <c r="M42" i="3"/>
  <c r="M51" i="3"/>
  <c r="M63" i="3"/>
  <c r="M16" i="3"/>
  <c r="M19" i="3"/>
  <c r="K13" i="1" l="1"/>
  <c r="L13" i="1"/>
  <c r="M13" i="1"/>
  <c r="N13" i="1" s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J7" i="1" s="1"/>
  <c r="M26" i="5"/>
  <c r="AH14" i="1" l="1"/>
  <c r="AH15" i="1"/>
  <c r="AH19" i="1"/>
  <c r="AH20" i="1"/>
  <c r="AH21" i="1"/>
  <c r="AH22" i="1"/>
  <c r="AH26" i="1"/>
  <c r="AH27" i="1"/>
  <c r="AH38" i="1"/>
  <c r="AH39" i="1"/>
  <c r="AH40" i="1"/>
  <c r="AH45" i="1"/>
  <c r="AH46" i="1"/>
  <c r="AH55" i="1"/>
  <c r="AH56" i="1"/>
  <c r="AH57" i="1"/>
  <c r="AH58" i="1"/>
  <c r="AH59" i="1"/>
  <c r="AH95" i="1"/>
  <c r="AH100" i="1"/>
  <c r="AH101" i="1"/>
  <c r="AH102" i="1"/>
  <c r="AH103" i="1"/>
  <c r="AH104" i="1"/>
  <c r="AH105" i="1"/>
  <c r="AH106" i="1"/>
  <c r="AH118" i="1"/>
  <c r="AH119" i="1"/>
  <c r="AH120" i="1"/>
  <c r="AH121" i="1"/>
  <c r="AH122" i="1"/>
  <c r="AH123" i="1"/>
  <c r="AH124" i="1"/>
  <c r="AH131" i="1"/>
  <c r="AH132" i="1"/>
  <c r="AH133" i="1"/>
  <c r="AH134" i="1"/>
  <c r="AH135" i="1"/>
  <c r="AH154" i="1"/>
  <c r="AH155" i="1"/>
  <c r="AH156" i="1"/>
  <c r="AH157" i="1"/>
  <c r="AH158" i="1"/>
  <c r="AH159" i="1"/>
  <c r="AH165" i="1"/>
  <c r="AH166" i="1"/>
  <c r="AH167" i="1"/>
  <c r="AH179" i="1"/>
  <c r="AH180" i="1"/>
  <c r="AH181" i="1"/>
  <c r="AH195" i="1"/>
  <c r="AH206" i="1"/>
  <c r="AH207" i="1"/>
  <c r="AH208" i="1"/>
  <c r="AH215" i="1"/>
  <c r="AH23" i="1"/>
  <c r="AH28" i="1"/>
  <c r="AH29" i="1"/>
  <c r="AH30" i="1"/>
  <c r="AH31" i="1"/>
  <c r="AH32" i="1"/>
  <c r="AH33" i="1"/>
  <c r="AH34" i="1"/>
  <c r="AH41" i="1"/>
  <c r="AH42" i="1"/>
  <c r="AH43" i="1"/>
  <c r="AH48" i="1"/>
  <c r="AH61" i="1"/>
  <c r="AH62" i="1"/>
  <c r="AH64" i="1"/>
  <c r="AH68" i="1"/>
  <c r="AH69" i="1"/>
  <c r="AH76" i="1"/>
  <c r="AH79" i="1"/>
  <c r="AH107" i="1"/>
  <c r="AH108" i="1"/>
  <c r="AH109" i="1"/>
  <c r="AH125" i="1"/>
  <c r="AH136" i="1"/>
  <c r="AH137" i="1"/>
  <c r="AH160" i="1"/>
  <c r="AH168" i="1"/>
  <c r="AH169" i="1"/>
  <c r="AH170" i="1"/>
  <c r="AH171" i="1"/>
  <c r="AH172" i="1"/>
  <c r="AH173" i="1"/>
  <c r="AH174" i="1"/>
  <c r="AH175" i="1"/>
  <c r="AH176" i="1"/>
  <c r="AH177" i="1"/>
  <c r="AH182" i="1"/>
  <c r="AH183" i="1"/>
  <c r="AH196" i="1"/>
  <c r="AH197" i="1"/>
  <c r="AH198" i="1"/>
  <c r="AH209" i="1"/>
  <c r="AH210" i="1"/>
  <c r="AH216" i="1"/>
  <c r="AH217" i="1"/>
  <c r="AH218" i="1"/>
  <c r="AH152" i="1"/>
  <c r="AH193" i="1"/>
  <c r="AH199" i="1"/>
  <c r="AH202" i="1"/>
  <c r="AH205" i="1"/>
  <c r="AH213" i="1"/>
  <c r="AH16" i="1"/>
  <c r="AH17" i="1"/>
  <c r="AH35" i="1"/>
  <c r="AH44" i="1"/>
  <c r="AH49" i="1"/>
  <c r="AH50" i="1"/>
  <c r="AH51" i="1"/>
  <c r="AH52" i="1"/>
  <c r="AH54" i="1"/>
  <c r="AH60" i="1"/>
  <c r="AH65" i="1"/>
  <c r="AH66" i="1"/>
  <c r="AH70" i="1"/>
  <c r="AH71" i="1"/>
  <c r="AH72" i="1"/>
  <c r="AH73" i="1"/>
  <c r="AH74" i="1"/>
  <c r="AH80" i="1"/>
  <c r="AH84" i="1"/>
  <c r="AH85" i="1"/>
  <c r="AH86" i="1"/>
  <c r="AH87" i="1"/>
  <c r="AH88" i="1"/>
  <c r="AH89" i="1"/>
  <c r="AH90" i="1"/>
  <c r="AH96" i="1"/>
  <c r="AH97" i="1"/>
  <c r="AH117" i="1"/>
  <c r="AH138" i="1"/>
  <c r="AH139" i="1"/>
  <c r="AH140" i="1"/>
  <c r="AH141" i="1"/>
  <c r="AH145" i="1"/>
  <c r="AH146" i="1"/>
  <c r="AH147" i="1"/>
  <c r="AH148" i="1"/>
  <c r="AH149" i="1"/>
  <c r="AH161" i="1"/>
  <c r="AH162" i="1"/>
  <c r="AH163" i="1"/>
  <c r="AH164" i="1"/>
  <c r="AH178" i="1"/>
  <c r="AH184" i="1"/>
  <c r="AH186" i="1"/>
  <c r="AH187" i="1"/>
  <c r="AH188" i="1"/>
  <c r="AH190" i="1"/>
  <c r="AH191" i="1"/>
  <c r="AH211" i="1"/>
  <c r="AH151" i="1"/>
  <c r="AH192" i="1"/>
  <c r="AH194" i="1"/>
  <c r="AH200" i="1"/>
  <c r="AH204" i="1"/>
  <c r="AH212" i="1"/>
  <c r="AH214" i="1"/>
  <c r="AH18" i="1"/>
  <c r="AH24" i="1"/>
  <c r="AH25" i="1"/>
  <c r="AH36" i="1"/>
  <c r="AH37" i="1"/>
  <c r="AH67" i="1"/>
  <c r="AH75" i="1"/>
  <c r="AH91" i="1"/>
  <c r="AH92" i="1"/>
  <c r="AH93" i="1"/>
  <c r="AH94" i="1"/>
  <c r="AH98" i="1"/>
  <c r="AH99" i="1"/>
  <c r="AH110" i="1"/>
  <c r="AH111" i="1"/>
  <c r="AH112" i="1"/>
  <c r="AH113" i="1"/>
  <c r="AH114" i="1"/>
  <c r="AH115" i="1"/>
  <c r="AH116" i="1"/>
  <c r="AH126" i="1"/>
  <c r="AH127" i="1"/>
  <c r="AH128" i="1"/>
  <c r="AH129" i="1"/>
  <c r="AH130" i="1"/>
  <c r="AH142" i="1"/>
  <c r="AH143" i="1"/>
  <c r="AH144" i="1"/>
  <c r="AH150" i="1"/>
  <c r="AH153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<sst xmlns="http://schemas.openxmlformats.org/spreadsheetml/2006/main" count="2254" uniqueCount="768">
  <si>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</si>
  <si>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</si>
  <si>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</si>
  <si>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</si>
  <si>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</si>
  <si>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</si>
  <si>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</si>
  <si>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</si>
  <si>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</si>
  <si>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</si>
  <si>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</si>
  <si>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</si>
  <si>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</si>
  <si>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</si>
  <si>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</si>
  <si>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</si>
  <si>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</si>
  <si>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</si>
  <si>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</si>
  <si>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</si>
  <si>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</si>
  <si>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</si>
  <si>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</si>
  <si>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</si>
  <si>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</si>
  <si>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</si>
  <si>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</si>
  <si>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</si>
  <si>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</si>
  <si>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</si>
  <si>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</si>
  <si>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</si>
  <si>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</si>
  <si>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</si>
  <si>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</si>
  <si>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</si>
  <si>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</si>
  <si>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</si>
  <si>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</si>
  <si>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</si>
  <si>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</si>
  <si>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</si>
  <si>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</si>
  <si>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</si>
  <si>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</si>
  <si>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</si>
  <si>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</si>
  <si>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</si>
  <si>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</si>
  <si>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</si>
  <si>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</si>
  <si>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</si>
  <si>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</si>
  <si>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</si>
  <si>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</si>
  <si>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</si>
  <si>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</si>
  <si>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</si>
  <si>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</si>
  <si>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</si>
  <si>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</si>
  <si>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</si>
  <si>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</si>
  <si>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</si>
  <si>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</si>
  <si>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</si>
  <si>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</si>
  <si>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</si>
  <si>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</si>
  <si>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</si>
  <si>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</si>
  <si>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</si>
  <si>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</si>
  <si>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</si>
  <si>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</si>
  <si>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</si>
  <si>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</si>
  <si>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</si>
  <si>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</si>
  <si>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</si>
  <si>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</si>
  <si>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</si>
  <si>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</si>
  <si>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</si>
  <si>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</si>
  <si>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</si>
  <si>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</si>
  <si>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</si>
  <si>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</si>
  <si>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rtdc.l.rtdc.4013:itc</t>
  </si>
  <si>
    <t>rtdc.l.rtdc.4030:itc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</si>
  <si>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</si>
  <si>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</si>
  <si>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</si>
  <si>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</si>
  <si>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</si>
  <si>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</si>
  <si>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</si>
  <si>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</si>
  <si>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</si>
  <si>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</si>
  <si>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</si>
  <si>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</si>
  <si>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</si>
  <si>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</si>
  <si>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</si>
  <si>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</si>
  <si>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</si>
  <si>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</si>
  <si>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</si>
  <si>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</si>
  <si>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</si>
  <si>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</si>
  <si>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</si>
  <si>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</si>
  <si>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</si>
  <si>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</si>
  <si>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</si>
  <si>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</si>
  <si>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</si>
  <si>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</si>
  <si>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</si>
  <si>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</si>
  <si>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</si>
  <si>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</si>
  <si>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</si>
  <si>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</si>
  <si>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</si>
  <si>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</si>
  <si>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</si>
  <si>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</si>
  <si>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</si>
  <si>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rtdc.l.rtdc.4038:itc</t>
  </si>
  <si>
    <t>204:154</t>
  </si>
  <si>
    <t>rtdc.l.rtdc.4009:itc</t>
  </si>
  <si>
    <t>rtdc.l.rtdc.4002:itc</t>
  </si>
  <si>
    <t>:.+((SYSTEM_STATE.+slice.+state.+changed )|(ment ac)|(system.+state.+changed )|(\|lc)|(penalty)|(\[timeout)|(PRM\|1\|D)|(kpr)|(kdp))</t>
  </si>
  <si>
    <t>rtdc.l.rtdc.4004:itc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</si>
  <si>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</si>
  <si>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</si>
  <si>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</si>
  <si>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</si>
  <si>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</si>
  <si>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</si>
  <si>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</si>
  <si>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</si>
  <si>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</si>
  <si>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</si>
  <si>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</si>
  <si>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</si>
  <si>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</si>
  <si>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</si>
  <si>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</si>
  <si>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</si>
  <si>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</si>
  <si>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</si>
  <si>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</si>
  <si>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</si>
  <si>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</si>
  <si>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</si>
  <si>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</si>
  <si>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</si>
  <si>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</si>
  <si>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</si>
  <si>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</si>
  <si>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</si>
  <si>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</si>
  <si>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</si>
  <si>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</si>
  <si>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</si>
  <si>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</si>
  <si>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</si>
  <si>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</si>
  <si>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</si>
  <si>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</si>
  <si>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</si>
  <si>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</si>
  <si>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</si>
  <si>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</si>
  <si>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</si>
  <si>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rtdc.l.rtdc.4011:itc</t>
  </si>
  <si>
    <t>rtdc.l.rtdc.4043:itc</t>
  </si>
  <si>
    <t>rtdc.l.rtdc.4001:itc</t>
  </si>
  <si>
    <t>rtdc.l.rtdc.4044:itc</t>
  </si>
  <si>
    <t>Reactive Warning (1)</t>
  </si>
  <si>
    <t>Y</t>
  </si>
  <si>
    <t>KILLION</t>
  </si>
  <si>
    <t>rtdc.l.rtdc.4025:itc</t>
  </si>
  <si>
    <t>STARKS</t>
  </si>
  <si>
    <t>rtdc.l.rtdc.4026:itc</t>
  </si>
  <si>
    <t>COOLAHAN</t>
  </si>
  <si>
    <t>rtdc.l.rtdc.4012:itc</t>
  </si>
  <si>
    <t>rtdc.l.rtdc.4051:itc</t>
  </si>
  <si>
    <t>BRANNON</t>
  </si>
  <si>
    <t>ROCHA</t>
  </si>
  <si>
    <t>rtdc.l.rtdc.4052:itc</t>
  </si>
  <si>
    <t>Time (US/Mountain)</t>
  </si>
  <si>
    <t>Source</t>
  </si>
  <si>
    <t>Employee Identifier</t>
  </si>
  <si>
    <t>Employee Last Name</t>
  </si>
  <si>
    <t>Wi-MAX outage</t>
  </si>
  <si>
    <t>rtdc.l.rtdc.4041:itc</t>
  </si>
  <si>
    <t>rtdc.l.rtdc.4010:itc</t>
  </si>
  <si>
    <t>SANTIZO</t>
  </si>
  <si>
    <t>rtdc.l.rtdc.4042:itc</t>
  </si>
  <si>
    <t>CRAYTON</t>
  </si>
  <si>
    <t>STURGEON</t>
  </si>
  <si>
    <t>rtdc.l.rtdc.4022:itc</t>
  </si>
  <si>
    <t>204:233318</t>
  </si>
  <si>
    <t>Data.Current Information Milepost</t>
  </si>
  <si>
    <t>Stopped Distance Short of Target (ft)</t>
  </si>
  <si>
    <t>MAELZER</t>
  </si>
  <si>
    <t>BEAM</t>
  </si>
  <si>
    <t>rtdc.l.rtdc.4046:itc</t>
  </si>
  <si>
    <t>rtdc.l.rtdc.4045:itc</t>
  </si>
  <si>
    <t>STRICKLAND</t>
  </si>
  <si>
    <t>MAHAN</t>
  </si>
  <si>
    <t>DE LA ROSA</t>
  </si>
  <si>
    <t>MOSES</t>
  </si>
  <si>
    <t>LEVERE</t>
  </si>
  <si>
    <t>CUSHING</t>
  </si>
  <si>
    <t>rtdc.l.rtdc.4003:itc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</si>
  <si>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</si>
  <si>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</si>
  <si>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</si>
  <si>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</si>
  <si>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</si>
  <si>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</si>
  <si>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</si>
  <si>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</si>
  <si>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</si>
  <si>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</si>
  <si>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</si>
  <si>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</si>
  <si>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</si>
  <si>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</si>
  <si>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Partly Cloudy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</si>
  <si>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</si>
  <si>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</si>
  <si>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</si>
  <si>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</si>
  <si>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</si>
  <si>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</si>
  <si>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</si>
  <si>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</si>
  <si>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</si>
  <si>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</si>
  <si>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</si>
  <si>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</si>
  <si>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</si>
  <si>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</si>
  <si>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</si>
  <si>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partly-cloudy-day</t>
  </si>
  <si>
    <t>clear-night</t>
  </si>
  <si>
    <t>Clear</t>
  </si>
  <si>
    <t>Powered by Forecast [forecast.io]</t>
  </si>
  <si>
    <t>40th 4S STOP, cleared shortly</t>
  </si>
  <si>
    <t>Pena 4S STOP, cleared shortly</t>
  </si>
  <si>
    <t>Early arrival</t>
  </si>
  <si>
    <t>163-08</t>
  </si>
  <si>
    <t>167-08</t>
  </si>
  <si>
    <t>101-08</t>
  </si>
  <si>
    <t>204:732</t>
  </si>
  <si>
    <t>204:233334</t>
  </si>
  <si>
    <t>102-08</t>
  </si>
  <si>
    <t>204:232707</t>
  </si>
  <si>
    <t>204:149</t>
  </si>
  <si>
    <t>103-08</t>
  </si>
  <si>
    <t>204:610</t>
  </si>
  <si>
    <t>204:233314</t>
  </si>
  <si>
    <t>104-08</t>
  </si>
  <si>
    <t>204:232677</t>
  </si>
  <si>
    <t>204:123</t>
  </si>
  <si>
    <t>105-08</t>
  </si>
  <si>
    <t>204:750</t>
  </si>
  <si>
    <t>204:233298</t>
  </si>
  <si>
    <t>106-08</t>
  </si>
  <si>
    <t>204:232655</t>
  </si>
  <si>
    <t>204:160</t>
  </si>
  <si>
    <t>107-08</t>
  </si>
  <si>
    <t>204:446</t>
  </si>
  <si>
    <t>108-08</t>
  </si>
  <si>
    <t>204:232982</t>
  </si>
  <si>
    <t>204:163</t>
  </si>
  <si>
    <t>109-08</t>
  </si>
  <si>
    <t>204:471</t>
  </si>
  <si>
    <t>110-08</t>
  </si>
  <si>
    <t>204:232991</t>
  </si>
  <si>
    <t>204:158</t>
  </si>
  <si>
    <t>111-08</t>
  </si>
  <si>
    <t>204:739</t>
  </si>
  <si>
    <t>204:801</t>
  </si>
  <si>
    <t>204:233305</t>
  </si>
  <si>
    <t>112-08</t>
  </si>
  <si>
    <t>204:232990</t>
  </si>
  <si>
    <t>204:147</t>
  </si>
  <si>
    <t>113-08</t>
  </si>
  <si>
    <t>204:453</t>
  </si>
  <si>
    <t>204:233302</t>
  </si>
  <si>
    <t>114-08</t>
  </si>
  <si>
    <t>204:127864</t>
  </si>
  <si>
    <t>115-08</t>
  </si>
  <si>
    <t>204:704</t>
  </si>
  <si>
    <t>204:233288</t>
  </si>
  <si>
    <t>116-08</t>
  </si>
  <si>
    <t>204:232986</t>
  </si>
  <si>
    <t>204:150</t>
  </si>
  <si>
    <t>117-08</t>
  </si>
  <si>
    <t>204:416</t>
  </si>
  <si>
    <t>118-08</t>
  </si>
  <si>
    <t>204:221</t>
  </si>
  <si>
    <t>119-08</t>
  </si>
  <si>
    <t>204:777</t>
  </si>
  <si>
    <t>204:233291</t>
  </si>
  <si>
    <t>120-08</t>
  </si>
  <si>
    <t>204:232959</t>
  </si>
  <si>
    <t>204:143</t>
  </si>
  <si>
    <t>121-08</t>
  </si>
  <si>
    <t>204:469</t>
  </si>
  <si>
    <t>204:233278</t>
  </si>
  <si>
    <t>122-08</t>
  </si>
  <si>
    <t>204:232964</t>
  </si>
  <si>
    <t>204:167</t>
  </si>
  <si>
    <t>123-08</t>
  </si>
  <si>
    <t>204:462</t>
  </si>
  <si>
    <t>204:233307</t>
  </si>
  <si>
    <t>124-08</t>
  </si>
  <si>
    <t>204:152</t>
  </si>
  <si>
    <t>125-08</t>
  </si>
  <si>
    <t>204:480</t>
  </si>
  <si>
    <t>126-08</t>
  </si>
  <si>
    <t>204:233004</t>
  </si>
  <si>
    <t>127-08</t>
  </si>
  <si>
    <t>204:438</t>
  </si>
  <si>
    <t>204:233303</t>
  </si>
  <si>
    <t>128-08</t>
  </si>
  <si>
    <t>204:232996</t>
  </si>
  <si>
    <t>129-08</t>
  </si>
  <si>
    <t>204:457</t>
  </si>
  <si>
    <t>204:233329</t>
  </si>
  <si>
    <t>130-08</t>
  </si>
  <si>
    <t>204:233008</t>
  </si>
  <si>
    <t>131-08</t>
  </si>
  <si>
    <t>204:526</t>
  </si>
  <si>
    <t>132-08</t>
  </si>
  <si>
    <t>204:233005</t>
  </si>
  <si>
    <t>204:145</t>
  </si>
  <si>
    <t>133-08</t>
  </si>
  <si>
    <t>204:447</t>
  </si>
  <si>
    <t>204:233285</t>
  </si>
  <si>
    <t>134-08</t>
  </si>
  <si>
    <t>204:232974</t>
  </si>
  <si>
    <t>204:161</t>
  </si>
  <si>
    <t>136-08</t>
  </si>
  <si>
    <t>204:232955</t>
  </si>
  <si>
    <t>137-08</t>
  </si>
  <si>
    <t>204:437</t>
  </si>
  <si>
    <t>204:233297</t>
  </si>
  <si>
    <t>138-08</t>
  </si>
  <si>
    <t>139-08</t>
  </si>
  <si>
    <t>204:466</t>
  </si>
  <si>
    <t>204:233268</t>
  </si>
  <si>
    <t>140-08</t>
  </si>
  <si>
    <t>204:232961</t>
  </si>
  <si>
    <t>204:134</t>
  </si>
  <si>
    <t>142-08</t>
  </si>
  <si>
    <t>204:232998</t>
  </si>
  <si>
    <t>143-08</t>
  </si>
  <si>
    <t>204:449</t>
  </si>
  <si>
    <t>144-08</t>
  </si>
  <si>
    <t>204:232957</t>
  </si>
  <si>
    <t>145-08</t>
  </si>
  <si>
    <t>204:431</t>
  </si>
  <si>
    <t>204:233331</t>
  </si>
  <si>
    <t>146-08</t>
  </si>
  <si>
    <t>204:233019</t>
  </si>
  <si>
    <t>204:92</t>
  </si>
  <si>
    <t>147-08</t>
  </si>
  <si>
    <t>204:451</t>
  </si>
  <si>
    <t>204:233282</t>
  </si>
  <si>
    <t>148-08</t>
  </si>
  <si>
    <t>204:232963</t>
  </si>
  <si>
    <t>204:156</t>
  </si>
  <si>
    <t>149-08</t>
  </si>
  <si>
    <t>204:455</t>
  </si>
  <si>
    <t>204:233287</t>
  </si>
  <si>
    <t>150-08</t>
  </si>
  <si>
    <t>204:232976</t>
  </si>
  <si>
    <t>152-08</t>
  </si>
  <si>
    <t>204:232977</t>
  </si>
  <si>
    <t>153-08</t>
  </si>
  <si>
    <t>154-08</t>
  </si>
  <si>
    <t>204:232983</t>
  </si>
  <si>
    <t>155-08</t>
  </si>
  <si>
    <t>204:233299</t>
  </si>
  <si>
    <t>156-08</t>
  </si>
  <si>
    <t>157-08</t>
  </si>
  <si>
    <t>204:86375</t>
  </si>
  <si>
    <t>204:233312</t>
  </si>
  <si>
    <t>158-08</t>
  </si>
  <si>
    <t>159-08</t>
  </si>
  <si>
    <t>204:413</t>
  </si>
  <si>
    <t>160-08</t>
  </si>
  <si>
    <t>161-08</t>
  </si>
  <si>
    <t>204:478</t>
  </si>
  <si>
    <t>204:233380</t>
  </si>
  <si>
    <t>204:233326</t>
  </si>
  <si>
    <t>204:233316</t>
  </si>
  <si>
    <t>DE.1.0.8.0.ENG1</t>
  </si>
  <si>
    <t>204:10522</t>
  </si>
  <si>
    <t>204:128105</t>
  </si>
  <si>
    <t>204:10564</t>
  </si>
  <si>
    <t>204:128098</t>
  </si>
  <si>
    <t>204:127834</t>
  </si>
  <si>
    <t>204:10290</t>
  </si>
  <si>
    <t>204:127842</t>
  </si>
  <si>
    <t>204:8732</t>
  </si>
  <si>
    <t>50-08</t>
  </si>
  <si>
    <t>300:24614</t>
  </si>
  <si>
    <t>300:24216</t>
  </si>
  <si>
    <t>800-08</t>
  </si>
  <si>
    <t>300:58626</t>
  </si>
  <si>
    <t>204:829</t>
  </si>
  <si>
    <t>801-08</t>
  </si>
  <si>
    <t>204:1112</t>
  </si>
  <si>
    <t>300:58944</t>
  </si>
  <si>
    <t>802-08</t>
  </si>
  <si>
    <t>300:58623</t>
  </si>
  <si>
    <t>204:843</t>
  </si>
  <si>
    <t>803-08</t>
  </si>
  <si>
    <t>204:974</t>
  </si>
  <si>
    <t>300:58988</t>
  </si>
  <si>
    <t>804-08</t>
  </si>
  <si>
    <t>300:58674</t>
  </si>
  <si>
    <t>204:712</t>
  </si>
  <si>
    <t>805-08</t>
  </si>
  <si>
    <t>204:1142</t>
  </si>
  <si>
    <t>300:58943</t>
  </si>
  <si>
    <t>806-08</t>
  </si>
  <si>
    <t>300:58617</t>
  </si>
  <si>
    <t>204:846</t>
  </si>
  <si>
    <t>807-08</t>
  </si>
  <si>
    <t>204:990</t>
  </si>
  <si>
    <t>300:58996</t>
  </si>
  <si>
    <t>808-08</t>
  </si>
  <si>
    <t>300:58687</t>
  </si>
  <si>
    <t>204:685</t>
  </si>
  <si>
    <t>809-08</t>
  </si>
  <si>
    <t>810-08</t>
  </si>
  <si>
    <t>300:58615</t>
  </si>
  <si>
    <t>204:482</t>
  </si>
  <si>
    <t>811-08</t>
  </si>
  <si>
    <t>204:971</t>
  </si>
  <si>
    <t>300:59011</t>
  </si>
  <si>
    <t>812-08</t>
  </si>
  <si>
    <t>300:58683</t>
  </si>
  <si>
    <t>204:680</t>
  </si>
  <si>
    <t>813-08</t>
  </si>
  <si>
    <t>204:976</t>
  </si>
  <si>
    <t>300:58992</t>
  </si>
  <si>
    <t>814-08</t>
  </si>
  <si>
    <t>300:58672</t>
  </si>
  <si>
    <t>204:689</t>
  </si>
  <si>
    <t>815-08</t>
  </si>
  <si>
    <t>300:58999</t>
  </si>
  <si>
    <t>816-08</t>
  </si>
  <si>
    <t>300:58678</t>
  </si>
  <si>
    <t>817-08</t>
  </si>
  <si>
    <t>204:979</t>
  </si>
  <si>
    <t>818-08</t>
  </si>
  <si>
    <t>204:694</t>
  </si>
  <si>
    <t>819-08</t>
  </si>
  <si>
    <t>204:985</t>
  </si>
  <si>
    <t>300:58990</t>
  </si>
  <si>
    <t>903-08</t>
  </si>
  <si>
    <t>204:773</t>
  </si>
  <si>
    <t>204:1126</t>
  </si>
  <si>
    <t>rtdc.l.rtdc.4016:itc</t>
  </si>
  <si>
    <t>rtdc.l.rtdc.4018:itc</t>
  </si>
  <si>
    <t>rtdc.l.rtdc.4017:itc</t>
  </si>
  <si>
    <t>rtdc.l.rtdc.4015:itc</t>
  </si>
  <si>
    <t>rtdc.l.rtdc.4037:itc</t>
  </si>
  <si>
    <t>rtdc.l.rtdc.4021:itc</t>
  </si>
  <si>
    <t>176-08</t>
  </si>
  <si>
    <t>189-08</t>
  </si>
  <si>
    <t>825-08</t>
  </si>
  <si>
    <t>826-08</t>
  </si>
  <si>
    <t>205-08</t>
  </si>
  <si>
    <t>194-08</t>
  </si>
  <si>
    <t>201-08</t>
  </si>
  <si>
    <t>196-08</t>
  </si>
  <si>
    <t>830-08</t>
  </si>
  <si>
    <t>62-08</t>
  </si>
  <si>
    <t>202-08</t>
  </si>
  <si>
    <t>833-08</t>
  </si>
  <si>
    <t>64-08</t>
  </si>
  <si>
    <t>213-08</t>
  </si>
  <si>
    <t>206-08</t>
  </si>
  <si>
    <t>rtdc.l.rtdc.4039:itc</t>
  </si>
  <si>
    <t>212-08</t>
  </si>
  <si>
    <t>214-08</t>
  </si>
  <si>
    <t>841-08</t>
  </si>
  <si>
    <t>TEMPORARY SPEED RESTRICTION</t>
  </si>
  <si>
    <t>840-08</t>
  </si>
  <si>
    <t>222-08</t>
  </si>
  <si>
    <t>842-08</t>
  </si>
  <si>
    <t>229-08</t>
  </si>
  <si>
    <t>237-08</t>
  </si>
  <si>
    <t>162-08</t>
  </si>
  <si>
    <t>204:233053</t>
  </si>
  <si>
    <t>204:139</t>
  </si>
  <si>
    <t>164-08</t>
  </si>
  <si>
    <t>204:233003</t>
  </si>
  <si>
    <t>168-08</t>
  </si>
  <si>
    <t>204:232971</t>
  </si>
  <si>
    <t>172-08</t>
  </si>
  <si>
    <t>173-08</t>
  </si>
  <si>
    <t>204:427</t>
  </si>
  <si>
    <t>204:233310</t>
  </si>
  <si>
    <t>174-08</t>
  </si>
  <si>
    <t>175-08</t>
  </si>
  <si>
    <t>204:233370</t>
  </si>
  <si>
    <t>204:233042</t>
  </si>
  <si>
    <t>177-08</t>
  </si>
  <si>
    <t>178-08</t>
  </si>
  <si>
    <t>204:233000</t>
  </si>
  <si>
    <t>179-08</t>
  </si>
  <si>
    <t>204:442</t>
  </si>
  <si>
    <t>180-08</t>
  </si>
  <si>
    <t>181-08</t>
  </si>
  <si>
    <t>204:477</t>
  </si>
  <si>
    <t>182-08</t>
  </si>
  <si>
    <t>183-08</t>
  </si>
  <si>
    <t>204:233293</t>
  </si>
  <si>
    <t>184-08</t>
  </si>
  <si>
    <t>185-08</t>
  </si>
  <si>
    <t>204:233308</t>
  </si>
  <si>
    <t>186-08</t>
  </si>
  <si>
    <t>204:232987</t>
  </si>
  <si>
    <t>204:169</t>
  </si>
  <si>
    <t>187-08</t>
  </si>
  <si>
    <t>204:473</t>
  </si>
  <si>
    <t>188-08</t>
  </si>
  <si>
    <t>204:458</t>
  </si>
  <si>
    <t>204:233376</t>
  </si>
  <si>
    <t>190-08</t>
  </si>
  <si>
    <t>204:233068</t>
  </si>
  <si>
    <t>204:130</t>
  </si>
  <si>
    <t>191-08</t>
  </si>
  <si>
    <t>204:1464</t>
  </si>
  <si>
    <t>204:233320</t>
  </si>
  <si>
    <t>192-08</t>
  </si>
  <si>
    <t>193-08</t>
  </si>
  <si>
    <t>204:233300</t>
  </si>
  <si>
    <t>204:198</t>
  </si>
  <si>
    <t>195-08</t>
  </si>
  <si>
    <t>204:233284</t>
  </si>
  <si>
    <t>197-08</t>
  </si>
  <si>
    <t>204:233306</t>
  </si>
  <si>
    <t>198-08</t>
  </si>
  <si>
    <t>204:232981</t>
  </si>
  <si>
    <t>199-08</t>
  </si>
  <si>
    <t>200-08</t>
  </si>
  <si>
    <t>204:232973</t>
  </si>
  <si>
    <t>204:233317</t>
  </si>
  <si>
    <t>204:233015</t>
  </si>
  <si>
    <t>203-08</t>
  </si>
  <si>
    <t>204:464</t>
  </si>
  <si>
    <t>204:233357</t>
  </si>
  <si>
    <t>204-08</t>
  </si>
  <si>
    <t>204:233315</t>
  </si>
  <si>
    <t>204:232989</t>
  </si>
  <si>
    <t>204:176</t>
  </si>
  <si>
    <t>207-08</t>
  </si>
  <si>
    <t>204:533</t>
  </si>
  <si>
    <t>204:233301</t>
  </si>
  <si>
    <t>208-08</t>
  </si>
  <si>
    <t>204:362</t>
  </si>
  <si>
    <t>209-08</t>
  </si>
  <si>
    <t>210-08</t>
  </si>
  <si>
    <t>204:232993</t>
  </si>
  <si>
    <t>211-08</t>
  </si>
  <si>
    <t>204:519</t>
  </si>
  <si>
    <t>204:232984</t>
  </si>
  <si>
    <t>204:950</t>
  </si>
  <si>
    <t>204:493</t>
  </si>
  <si>
    <t>204:233374</t>
  </si>
  <si>
    <t>204:136</t>
  </si>
  <si>
    <t>215-08</t>
  </si>
  <si>
    <t>204:420</t>
  </si>
  <si>
    <t>216-08</t>
  </si>
  <si>
    <t>204:232969</t>
  </si>
  <si>
    <t>217-08</t>
  </si>
  <si>
    <t>204:233321</t>
  </si>
  <si>
    <t>218-08</t>
  </si>
  <si>
    <t>219-08</t>
  </si>
  <si>
    <t>204:233322</t>
  </si>
  <si>
    <t>220-08</t>
  </si>
  <si>
    <t>221-08</t>
  </si>
  <si>
    <t>204:232979</t>
  </si>
  <si>
    <t>204:172</t>
  </si>
  <si>
    <t>223-08</t>
  </si>
  <si>
    <t>224-08</t>
  </si>
  <si>
    <t>204:232968</t>
  </si>
  <si>
    <t>204:170</t>
  </si>
  <si>
    <t>225-08</t>
  </si>
  <si>
    <t>226-08</t>
  </si>
  <si>
    <t>204:349</t>
  </si>
  <si>
    <t>227-08</t>
  </si>
  <si>
    <t>228-08</t>
  </si>
  <si>
    <t>204:325</t>
  </si>
  <si>
    <t>230-08</t>
  </si>
  <si>
    <t>204:342</t>
  </si>
  <si>
    <t>231-08</t>
  </si>
  <si>
    <t>204:467</t>
  </si>
  <si>
    <t>204:233381</t>
  </si>
  <si>
    <t>232-08</t>
  </si>
  <si>
    <t>204:233079</t>
  </si>
  <si>
    <t>204:375</t>
  </si>
  <si>
    <t>233-08</t>
  </si>
  <si>
    <t>204:622</t>
  </si>
  <si>
    <t>204:233325</t>
  </si>
  <si>
    <t>234-08</t>
  </si>
  <si>
    <t>204:232683</t>
  </si>
  <si>
    <t>235-08</t>
  </si>
  <si>
    <t>204:606</t>
  </si>
  <si>
    <t>236-08</t>
  </si>
  <si>
    <t>204:232641</t>
  </si>
  <si>
    <t>204:180</t>
  </si>
  <si>
    <t>204:646</t>
  </si>
  <si>
    <t>204:233304</t>
  </si>
  <si>
    <t>238-08</t>
  </si>
  <si>
    <t>204:232668</t>
  </si>
  <si>
    <t>239-08</t>
  </si>
  <si>
    <t>204:664</t>
  </si>
  <si>
    <t>240-08</t>
  </si>
  <si>
    <t>204:232624</t>
  </si>
  <si>
    <t>204:141</t>
  </si>
  <si>
    <t>241-08</t>
  </si>
  <si>
    <t>204:770</t>
  </si>
  <si>
    <t>204:233323</t>
  </si>
  <si>
    <t>242-08</t>
  </si>
  <si>
    <t>204:232687</t>
  </si>
  <si>
    <t>243-08</t>
  </si>
  <si>
    <t>204:233295</t>
  </si>
  <si>
    <t>244-08</t>
  </si>
  <si>
    <t>204:232646</t>
  </si>
  <si>
    <t>204:94</t>
  </si>
  <si>
    <t>303-08</t>
  </si>
  <si>
    <t>204:684</t>
  </si>
  <si>
    <t>300:23310</t>
  </si>
  <si>
    <t>307-08</t>
  </si>
  <si>
    <t>204:460</t>
  </si>
  <si>
    <t>300:23304</t>
  </si>
  <si>
    <t>309-08</t>
  </si>
  <si>
    <t>204:741</t>
  </si>
  <si>
    <t>311-08</t>
  </si>
  <si>
    <t>204:752</t>
  </si>
  <si>
    <t>300:23306</t>
  </si>
  <si>
    <t>313-08</t>
  </si>
  <si>
    <t>204:766</t>
  </si>
  <si>
    <t>315-08</t>
  </si>
  <si>
    <t>204:728</t>
  </si>
  <si>
    <t>300:22629</t>
  </si>
  <si>
    <t>300:24290</t>
  </si>
  <si>
    <t>204:978</t>
  </si>
  <si>
    <t>300:24421</t>
  </si>
  <si>
    <t>300:23995</t>
  </si>
  <si>
    <t>820-08</t>
  </si>
  <si>
    <t>300:58670</t>
  </si>
  <si>
    <t>204:673</t>
  </si>
  <si>
    <t>821-08</t>
  </si>
  <si>
    <t>204:972</t>
  </si>
  <si>
    <t>300:58982</t>
  </si>
  <si>
    <t>822-08</t>
  </si>
  <si>
    <t>300:58666</t>
  </si>
  <si>
    <t>204:794</t>
  </si>
  <si>
    <t>823-08</t>
  </si>
  <si>
    <t>204:1093</t>
  </si>
  <si>
    <t>300:58967</t>
  </si>
  <si>
    <t>824-08</t>
  </si>
  <si>
    <t>300:58647</t>
  </si>
  <si>
    <t>204:769</t>
  </si>
  <si>
    <t>204:1062</t>
  </si>
  <si>
    <t>300:58871</t>
  </si>
  <si>
    <t>300:58551</t>
  </si>
  <si>
    <t>204:748</t>
  </si>
  <si>
    <t>827-08</t>
  </si>
  <si>
    <t>204:1035</t>
  </si>
  <si>
    <t>300:58888</t>
  </si>
  <si>
    <t>829-08</t>
  </si>
  <si>
    <t>204:1056</t>
  </si>
  <si>
    <t>300:58960</t>
  </si>
  <si>
    <t>300:58641</t>
  </si>
  <si>
    <t>204:857</t>
  </si>
  <si>
    <t>831-08</t>
  </si>
  <si>
    <t>204:1065</t>
  </si>
  <si>
    <t>300:58897</t>
  </si>
  <si>
    <t>204:1149</t>
  </si>
  <si>
    <t>300:58941</t>
  </si>
  <si>
    <t>834-08</t>
  </si>
  <si>
    <t>300:58630</t>
  </si>
  <si>
    <t>204:635</t>
  </si>
  <si>
    <t>835-08</t>
  </si>
  <si>
    <t>300:58914</t>
  </si>
  <si>
    <t>836-08</t>
  </si>
  <si>
    <t>300:58592</t>
  </si>
  <si>
    <t>204:780</t>
  </si>
  <si>
    <t>837-08</t>
  </si>
  <si>
    <t>204:944</t>
  </si>
  <si>
    <t>300:58937</t>
  </si>
  <si>
    <t>838-08</t>
  </si>
  <si>
    <t>204:671</t>
  </si>
  <si>
    <t>839-08</t>
  </si>
  <si>
    <t>204:1074</t>
  </si>
  <si>
    <t>300:58899</t>
  </si>
  <si>
    <t>204:715</t>
  </si>
  <si>
    <t>204:951</t>
  </si>
  <si>
    <t>300:58636</t>
  </si>
  <si>
    <t>204:647</t>
  </si>
  <si>
    <t>843-08</t>
  </si>
  <si>
    <t>204:1004</t>
  </si>
  <si>
    <t>300:58952</t>
  </si>
  <si>
    <t>845-08</t>
  </si>
  <si>
    <t>300:58911</t>
  </si>
  <si>
    <t>906-08</t>
  </si>
  <si>
    <t>300:58583</t>
  </si>
  <si>
    <t>300:21755</t>
  </si>
  <si>
    <t>human_readable_time</t>
  </si>
  <si>
    <t>clear-day</t>
  </si>
  <si>
    <t>Summary for DUS 2016-09-08: Partly cloudy starting in the afternoon, continuing until evening.</t>
  </si>
  <si>
    <t>MALAVE</t>
  </si>
  <si>
    <t>BREITSCH</t>
  </si>
  <si>
    <t>YORK</t>
  </si>
  <si>
    <t>BRANDNER</t>
  </si>
  <si>
    <t>GRASTON</t>
  </si>
  <si>
    <t>151-08</t>
  </si>
  <si>
    <t>BONDS</t>
  </si>
  <si>
    <t>SHOOK</t>
  </si>
  <si>
    <t>51-08</t>
  </si>
  <si>
    <t>165-08</t>
  </si>
  <si>
    <t>53-08</t>
  </si>
  <si>
    <t>169-08</t>
  </si>
  <si>
    <t>ADANE</t>
  </si>
  <si>
    <t>171-08</t>
  </si>
  <si>
    <t>166-08</t>
  </si>
  <si>
    <t>170-08</t>
  </si>
  <si>
    <t>BERLING</t>
  </si>
  <si>
    <t>rtdc.l.rtdc.4040:itc</t>
  </si>
  <si>
    <t>COOPER</t>
  </si>
  <si>
    <t>HOMIK</t>
  </si>
  <si>
    <t>DELGADO</t>
  </si>
  <si>
    <t>OUN</t>
  </si>
  <si>
    <t>66-08</t>
  </si>
  <si>
    <t>69-08</t>
  </si>
  <si>
    <t>305-08</t>
  </si>
  <si>
    <t>844-08</t>
  </si>
  <si>
    <t>847-08</t>
  </si>
  <si>
    <t>rtdc.l.rtdc.4028:itc</t>
  </si>
  <si>
    <t>Onboard in-route failure</t>
  </si>
  <si>
    <t>135-08</t>
  </si>
  <si>
    <t>Did not init</t>
  </si>
  <si>
    <t>141-08</t>
  </si>
  <si>
    <t>828-08</t>
  </si>
  <si>
    <t>832-08</t>
  </si>
  <si>
    <t>Form C</t>
  </si>
  <si>
    <t>Overspeed</t>
  </si>
  <si>
    <t>Unable to init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</si>
</sst>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7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2" borderId="13" xfId="0" applyNumberFormat="1" applyFill="1" applyBorder="1" applyAlignment="1"/>
    <xf numFmtId="169" fontId="0" fillId="0" borderId="0" xfId="0" applyAlignment="1"/>
    <xf numFmtId="169" fontId="0" fillId="0" borderId="15" xfId="0" applyBorder="1" applyAlignment="1">
      <alignment horizontal="left" vertical="center"/>
    </xf>
    <xf numFmtId="169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57"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5"/>
  <sheetViews>
    <sheetView topLeftCell="A184" zoomScaleNormal="100" workbookViewId="0">
      <selection activeCell="S203" sqref="S203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34.28515625" customWidth="1"/>
    <col min="19" max="19" width="7.7109375" style="23" customWidth="1"/>
    <col min="20" max="20" width="3.85546875" customWidth="1"/>
    <col min="21" max="21" width="5" style="165" customWidth="1"/>
    <col min="22" max="22" width="5.7109375" style="104" customWidth="1"/>
    <col min="23" max="23" width="3.85546875" style="22" customWidth="1"/>
    <col min="24" max="24" width="5.28515625" style="170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9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118</v>
      </c>
      <c r="J1" s="43"/>
      <c r="K1" s="30"/>
      <c r="L1" s="30"/>
      <c r="M1" s="42"/>
      <c r="N1" s="43"/>
      <c r="O1" s="2"/>
      <c r="P1" s="2"/>
      <c r="R1" s="40" t="s">
        <v>119</v>
      </c>
      <c r="S1" s="43"/>
      <c r="T1" s="30"/>
      <c r="U1" s="161"/>
      <c r="V1" s="42"/>
      <c r="W1" s="43"/>
      <c r="X1" s="165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42621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42621</v>
      </c>
      <c r="S2" s="79"/>
      <c r="T2" s="80"/>
      <c r="U2" s="162"/>
      <c r="V2" s="102" t="s">
        <v>8</v>
      </c>
      <c r="W2" s="82"/>
      <c r="X2" s="168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63"/>
      <c r="V3" s="44" t="s">
        <v>11</v>
      </c>
      <c r="W3" s="45" t="s">
        <v>12</v>
      </c>
      <c r="X3" s="169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47</v>
      </c>
      <c r="T4" s="46"/>
      <c r="U4" s="164"/>
      <c r="V4" s="47" t="s">
        <v>15</v>
      </c>
      <c r="W4" s="45" t="s">
        <v>15</v>
      </c>
      <c r="X4" s="169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COUNTIFS($N$13:$N$9388,"&gt;0",$AG$13:$AG$9388,I1)</f>
        <v>134</v>
      </c>
      <c r="K5" s="46"/>
      <c r="L5" s="46"/>
      <c r="M5" s="47">
        <f>AVERAGEIFS($N$13:$N$9388,$AG$13:$AG$9388,I1)</f>
        <v>39.222263681620653</v>
      </c>
      <c r="N5" s="45">
        <f t="array" ref="N5">MIN(IF($AG$13:$AG$9388=I1,IF(ISNUMBER($N$13:$N$9388),IF($N$13:$N$9388&gt;0,$N$13:$N$9388))))</f>
        <v>34.500000007683411</v>
      </c>
      <c r="O5" s="3">
        <f t="array" ref="O5">MAX(IF($AG$13:$AG$9388=I1,IF(ISNUMBER($N$13:$N$9388),IF($N$13:$N$9388&gt;0,$N$13:$N$9388))))</f>
        <v>52.600000005913898</v>
      </c>
      <c r="P5" s="2"/>
      <c r="R5" s="87" t="s">
        <v>17</v>
      </c>
      <c r="S5" s="57">
        <f>COUNTIFS($N$13:$N$9388,"&gt;0",$AG$13:$AG$9388,R1)</f>
        <v>43</v>
      </c>
      <c r="T5" s="46"/>
      <c r="U5" s="164"/>
      <c r="V5" s="47">
        <f>AVERAGEIFS($N$13:$N$9388,$AG$13:$AG$9388,R1)</f>
        <v>15.105426356299283</v>
      </c>
      <c r="W5" s="45">
        <f t="array" ref="W5">MIN(IF($AG$13:$AG$9388=R1,IF(ISNUMBER($N$13:$N$9388),IF($N$13:$N$9388&gt;0,$N$13:$N$9388))))</f>
        <v>12.533333329483867</v>
      </c>
      <c r="X5" s="169">
        <f t="array" ref="X5">MAX(IF($AG$13:$AG$9388=R1,IF(ISNUMBER($N$13:$N$9388),IF($N$13:$N$9388&gt;0,$N$13:$N$9388))))</f>
        <v>17.850000002654269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COUNT($O$13:$O$154)</f>
        <v>0</v>
      </c>
      <c r="K6" s="46"/>
      <c r="L6" s="46"/>
      <c r="M6" s="47">
        <f>IFERROR(AVERAGE($O$13:$O$154),0)</f>
        <v>0</v>
      </c>
      <c r="N6" s="45">
        <f>MIN($O$13:$O$154)</f>
        <v>0</v>
      </c>
      <c r="O6" s="3">
        <f>MAX($O$13:$O$154)</f>
        <v>0</v>
      </c>
      <c r="P6" s="2"/>
      <c r="R6" s="88" t="s">
        <v>43</v>
      </c>
      <c r="S6" s="57">
        <f>COUNT($O$13:$O$154)</f>
        <v>0</v>
      </c>
      <c r="T6" s="46"/>
      <c r="U6" s="164"/>
      <c r="V6" s="47">
        <f>IFERROR(AVERAGE($O$13:$O$154),0)</f>
        <v>0</v>
      </c>
      <c r="W6" s="45">
        <f>MIN($O$13:$O$154)</f>
        <v>0</v>
      </c>
      <c r="X6" s="169">
        <f>MAX($O$13:$O$154)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COUNTIFS($P$13:$P$9388,"&gt;0",$AG$13:$AG$9388,I1)</f>
        <v>10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COUNTIFS($P$13:$P$9388,"&gt;0",$AG$13:$AG$9388,R1)</f>
        <v>4</v>
      </c>
      <c r="T7" s="46"/>
      <c r="U7" s="164"/>
      <c r="V7" s="47" t="s">
        <v>15</v>
      </c>
      <c r="W7" s="45" t="s">
        <v>15</v>
      </c>
      <c r="X7" s="169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134</v>
      </c>
      <c r="K8" s="46"/>
      <c r="L8" s="46"/>
      <c r="M8" s="47">
        <f>M5</f>
        <v>39.222263681620653</v>
      </c>
      <c r="N8" s="45">
        <f>N5</f>
        <v>34.500000007683411</v>
      </c>
      <c r="O8" s="3">
        <f>O5</f>
        <v>52.600000005913898</v>
      </c>
      <c r="P8" s="2"/>
      <c r="R8" s="87" t="s">
        <v>16</v>
      </c>
      <c r="S8" s="57">
        <f>S5</f>
        <v>43</v>
      </c>
      <c r="T8" s="46"/>
      <c r="U8" s="164"/>
      <c r="V8" s="47">
        <f>V5</f>
        <v>15.105426356299283</v>
      </c>
      <c r="W8" s="45">
        <f>W5</f>
        <v>12.533333329483867</v>
      </c>
      <c r="X8" s="169">
        <f>X5</f>
        <v>17.850000002654269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0.93055555555555558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0.91489361702127658</v>
      </c>
      <c r="T9" s="48"/>
      <c r="U9" s="161"/>
      <c r="V9" s="90"/>
      <c r="W9" s="43"/>
      <c r="X9" s="158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5"/>
      <c r="V10" s="103"/>
      <c r="W10" s="22"/>
      <c r="X10" s="170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5" t="str">
        <f>"Eagle P3 System Performance - "&amp;TEXT(Variables!A2,"yyyy-mm-dd")</f>
        <v>Eagle P3 System Performance - 2016-09-08</v>
      </c>
      <c r="B11" s="17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S11" s="72">
        <f>AVERAGE(S13:S105)</f>
        <v>0.91577060931899634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6" t="s">
        <v>71</v>
      </c>
      <c r="V12" s="105" t="s">
        <v>45</v>
      </c>
      <c r="W12" s="53" t="s">
        <v>23</v>
      </c>
      <c r="X12" s="171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91</v>
      </c>
      <c r="AE12" s="98" t="s">
        <v>98</v>
      </c>
      <c r="AF12" s="95" t="s">
        <v>103</v>
      </c>
      <c r="AG12" s="4" t="s">
        <v>120</v>
      </c>
      <c r="AH12" s="101" t="s">
        <v>122</v>
      </c>
      <c r="AI12" s="136" t="s">
        <v>170</v>
      </c>
      <c r="AJ12" s="53" t="s">
        <v>171</v>
      </c>
      <c r="AK12" s="53" t="s">
        <v>143</v>
      </c>
      <c r="AL12" s="53" t="s">
        <v>172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261</v>
      </c>
      <c r="B13" s="7">
        <v>4018</v>
      </c>
      <c r="C13" s="24" t="s">
        <v>109</v>
      </c>
      <c r="D13" s="24" t="s">
        <v>262</v>
      </c>
      <c r="E13" s="15">
        <v>42621.132638888892</v>
      </c>
      <c r="F13" s="15">
        <v>42621.135740740741</v>
      </c>
      <c r="G13" s="7">
        <v>1</v>
      </c>
      <c r="H13" s="15" t="s">
        <v>263</v>
      </c>
      <c r="I13" s="15">
        <v>42621.161226851851</v>
      </c>
      <c r="J13" s="7">
        <v>0</v>
      </c>
      <c r="K13" s="122" t="str">
        <f t="shared" ref="K13:K76" si="0">IF(ISEVEN(B13),(B13-1)&amp;"/"&amp;B13,B13&amp;"/"&amp;(B13+1))</f>
        <v>4017/4018</v>
      </c>
      <c r="L13" s="24" t="str">
        <f>VLOOKUP(A13,'Trips&amp;Operators'!$C$1:$E$10000,3,FALSE)</f>
        <v>MAELZER</v>
      </c>
      <c r="M13" s="6">
        <f t="shared" ref="M13:M44" si="1">I13-F13</f>
        <v>2.548611110978527E-2</v>
      </c>
      <c r="N13" s="7">
        <f t="shared" ref="N13:N25" si="2">24*60*SUM($M13:$M13)</f>
        <v>36.699999998090789</v>
      </c>
      <c r="O13" s="7"/>
      <c r="P13" s="7"/>
      <c r="Q13" s="25"/>
      <c r="R13" s="25"/>
      <c r="S13" s="37">
        <f t="shared" ref="S13:S44" si="3">SUM(U13:U13)/IF(AG13="EC",12,1)</f>
        <v>1</v>
      </c>
      <c r="T13" s="52" t="str">
        <f t="shared" ref="T13:T76" si="4"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44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https://search-rtdc-monitor-bjffxe2xuh6vdkpspy63sjmuny.us-east-1.es.amazonaws.com/_plugin/kibana/#/discover/Steve-Slow-Train-Analysis-(2080s-and-2083s)?_g=(refreshInterval:(display:Off,section:0,value:0),time:(from:'2016-09-08 02:11:00-0600',mode:absolute,to:'2016-09-08 04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3" s="54" t="str">
        <f t="shared" ref="W13:W44" si="6">IF(AA13&lt;IF(AG13="EC",23,5.65),"Y","N")</f>
        <v>N</v>
      </c>
      <c r="X13" s="172" t="e">
        <f t="shared" ref="X13:X20" si="7">VALUE(LEFT(AD13,4))-VALUE(LEFT(AD12,4))</f>
        <v>#VALUE!</v>
      </c>
      <c r="Y13" s="69">
        <f t="shared" ref="Y13:Y44" si="8">RIGHT(D13,LEN(D13)-4)/10000</f>
        <v>7.3200000000000001E-2</v>
      </c>
      <c r="Z13" s="69">
        <f t="shared" ref="Z13:Z44" si="9">RIGHT(H13,LEN(H13)-4)/10000</f>
        <v>23.333400000000001</v>
      </c>
      <c r="AA13" s="69">
        <f t="shared" ref="AA13:AA44" si="10">ABS(Z13-Y13)</f>
        <v>23.260200000000001</v>
      </c>
      <c r="AB13" s="66" t="e">
        <f>VLOOKUP(A13,Enforcements!$C$7:$K$21,8,0)</f>
        <v>#N/A</v>
      </c>
      <c r="AC13" s="62" t="e">
        <f>VLOOKUP(A13,Enforcements!$C$7:$E$21,3,0)</f>
        <v>#N/A</v>
      </c>
      <c r="AD13" s="63" t="str">
        <f t="shared" ref="AD13:AD76" si="11">IF(LEN(A13)=6,"0"&amp;A13,A13)</f>
        <v>0101-08</v>
      </c>
      <c r="AE13" s="99" t="str">
        <f t="shared" ref="AE13:AE44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AF13" s="96" t="str">
        <f t="shared" ref="AF13:AF44" si="13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/stypes="*4018*20160908*" /stext=" 09:.+((SYSTEM_STATE.+slice.+state.+changed )|(ment ac)|(system.+state.+changed )|(\|lc)|(penalty)|(\[timeout)|(PRM\|1\|D)|(kpr)|(kdp))" /e /r /s</v>
      </c>
      <c r="AG13" s="1" t="str">
        <f t="shared" ref="AG13:AG76" si="14">IFERROR(IF(VALUE(LEFT(AD13,2))&lt;=2,"EC",IF(OR(VALUE(LEFT(AD13,2))=8,VALUE(LEFT(AD13,2))=18),"NW","Other")),"Other")</f>
        <v>EC</v>
      </c>
      <c r="AH13" s="100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101-08 --locoid 4018 --swversion DE.1.0.7.0 --startMP 204:732 --initTime 2016-09-08T03:11:00 --startdatetime 2016-09-08T03:15:28 --delay 1 --endMP 204:233334 --enddatetime 2016-09-08T03:52:10 --enforcementcount 0 &gt;&gt;C:\Users\stu\Documents\GitHub\eaglep3-reporting\EC\2016-09-08-refined-times.txt</v>
      </c>
      <c r="AI13" s="137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{"issue":{"subject":"","project_id":79,"tracker_id":40,"status_id":1,"priority_id":2,"assigned_to_id":23,"start_date":"2016-09-08","description":"","custom_fields":[{"id":1,"name":"Subdivision","value":"EC"},{"id":4,"name":"Milepost","value":"23.2602"},{"id":17,"name":"Train ID","value":"101-08"},{"id":16,"name":"Locomotive ID","value":"4018"},{"id":130,"name":"Impact","value":""},{"id":150,"name":"Time of Event (Mountain Time)","value":"03:52:10"},{"id":151,"name":"Denver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264</v>
      </c>
      <c r="B14" s="7">
        <v>4043</v>
      </c>
      <c r="C14" s="24" t="s">
        <v>109</v>
      </c>
      <c r="D14" s="24" t="s">
        <v>265</v>
      </c>
      <c r="E14" s="15">
        <v>42621.16915509259</v>
      </c>
      <c r="F14" s="15">
        <v>42621.174618055556</v>
      </c>
      <c r="G14" s="7">
        <v>1</v>
      </c>
      <c r="H14" s="15" t="s">
        <v>266</v>
      </c>
      <c r="I14" s="15">
        <v>42621.201423611114</v>
      </c>
      <c r="J14" s="7">
        <v>0</v>
      </c>
      <c r="K14" s="122" t="str">
        <f t="shared" si="0"/>
        <v>4043/4044</v>
      </c>
      <c r="L14" s="24" t="str">
        <f>VLOOKUP(A14,'Trips&amp;Operators'!$C$1:$E$10000,3,FALSE)</f>
        <v>MAELZER</v>
      </c>
      <c r="M14" s="6">
        <f t="shared" si="1"/>
        <v>2.6805555557075422E-2</v>
      </c>
      <c r="N14" s="7">
        <f t="shared" si="2"/>
        <v>38.600000002188608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03:03:35-0600',mode:absolute,to:'2016-09-08 05:50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4" s="54" t="str">
        <f t="shared" si="6"/>
        <v>N</v>
      </c>
      <c r="X14" s="172">
        <f t="shared" si="7"/>
        <v>1</v>
      </c>
      <c r="Y14" s="69">
        <f t="shared" si="8"/>
        <v>23.270700000000001</v>
      </c>
      <c r="Z14" s="69">
        <f t="shared" si="9"/>
        <v>1.49E-2</v>
      </c>
      <c r="AA14" s="69">
        <f t="shared" si="10"/>
        <v>23.255800000000001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 t="shared" si="11"/>
        <v>0102-08</v>
      </c>
      <c r="AE14" s="99" t="str">
        <f t="shared" si="12"/>
        <v>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 &amp; aws s3 cp s3://rtdc.mdm.uploadarchive/RTDC4043/2016-09-09/ "%USERPROFILE%\AppData\Local\Temp\OnboardLogs"\RTDC4043\2016-09-09 --recursive &amp; "%USERPROFILE%\Documents\GitHub\mrs-test-scripts\Headless Mode &amp; Sideloading\WalkAndUnGZ.bat" "%USERPROFILE%\AppData\Local\Temp\OnboardLogs"\RTDC4043\2016-09-09</v>
      </c>
      <c r="AF14" s="96" t="str">
        <f t="shared" si="13"/>
        <v>"C:\Program Files (x86)\AstroGrep\AstroGrep.exe" /spath="%USERPROFILE%\AppData\Local\Temp\OnboardLogs" /stypes="*4043*20160908*"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ref="AH14:AH84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102-08 --locoid 4043 --swversion DE.1.0.7.0 --startMP 204:232707 --initTime 2016-09-08T04:03:35 --startdatetime 2016-09-08T04:11:27 --delay 1 --endMP 204:149 --enddatetime 2016-09-08T04:50:03 --enforcementcount 0 &gt;&gt;C:\Users\stu\Documents\GitHub\eaglep3-reporting\EC\2016-09-08-refined-times.txt</v>
      </c>
      <c r="AI14" s="137" t="str">
        <f t="shared" ref="AI14:AI84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{"issue":{"subject":"","project_id":79,"tracker_id":40,"status_id":1,"priority_id":2,"assigned_to_id":23,"start_date":"2016-09-08","description":"","custom_fields":[{"id":1,"name":"Subdivision","value":"EC"},{"id":4,"name":"Milepost","value":"23.2558"},{"id":17,"name":"Train ID","value":"102-08"},{"id":16,"name":"Locomotive ID","value":"4043"},{"id":130,"name":"Impact","value":""},{"id":150,"name":"Time of Event (Mountain Time)","value":"04:50:03"},{"id":151,"name":"Denver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267</v>
      </c>
      <c r="B15" s="7">
        <v>4016</v>
      </c>
      <c r="C15" s="24" t="s">
        <v>109</v>
      </c>
      <c r="D15" s="24" t="s">
        <v>268</v>
      </c>
      <c r="E15" s="15">
        <v>42621.149791666663</v>
      </c>
      <c r="F15" s="15">
        <v>42621.156597222223</v>
      </c>
      <c r="G15" s="7">
        <v>1</v>
      </c>
      <c r="H15" s="15" t="s">
        <v>269</v>
      </c>
      <c r="I15" s="15">
        <v>42621.18173611111</v>
      </c>
      <c r="J15" s="7">
        <v>0</v>
      </c>
      <c r="K15" s="122" t="str">
        <f t="shared" si="0"/>
        <v>4015/4016</v>
      </c>
      <c r="L15" s="24" t="str">
        <f>VLOOKUP(A15,'Trips&amp;Operators'!$C$1:$E$10000,3,FALSE)</f>
        <v>SANTIZO</v>
      </c>
      <c r="M15" s="6">
        <f t="shared" si="1"/>
        <v>2.5138888886431232E-2</v>
      </c>
      <c r="N15" s="7">
        <f t="shared" si="2"/>
        <v>36.199999996460974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02:35:42-0600',mode:absolute,to:'2016-09-08 05:21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5" s="54" t="str">
        <f t="shared" si="6"/>
        <v>N</v>
      </c>
      <c r="X15" s="172">
        <f t="shared" si="7"/>
        <v>1</v>
      </c>
      <c r="Y15" s="69">
        <f t="shared" si="8"/>
        <v>6.0999999999999999E-2</v>
      </c>
      <c r="Z15" s="69">
        <f t="shared" si="9"/>
        <v>23.331399999999999</v>
      </c>
      <c r="AA15" s="69">
        <f t="shared" si="10"/>
        <v>23.270399999999999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11"/>
        <v>0103-08</v>
      </c>
      <c r="AE15" s="99" t="str">
        <f t="shared" si="12"/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AF15" s="96" t="str">
        <f t="shared" si="13"/>
        <v>"C:\Program Files (x86)\AstroGrep\AstroGrep.exe" /spath="%USERPROFILE%\AppData\Local\Temp\OnboardLogs" /stypes="*4016*20160908*"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7"/>
        <v>"%USERPROFILE%\Documents\GitHub\eaglep3\Utilities\RefineRTDCRunTimes.py" --tripid 103-08 --locoid 4016 --swversion DE.1.0.7.0 --startMP 204:610 --initTime 2016-09-08T03:35:42 --startdatetime 2016-09-08T03:45:30 --delay 1 --endMP 204:233314 --enddatetime 2016-09-08T04:21:42 --enforcementcount 0 &gt;&gt;C:\Users\stu\Documents\GitHub\eaglep3-reporting\EC\2016-09-08-refined-times.txt</v>
      </c>
      <c r="AI15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{"issue":{"subject":"","project_id":79,"tracker_id":40,"status_id":1,"priority_id":2,"assigned_to_id":23,"start_date":"2016-09-08","description":"","custom_fields":[{"id":1,"name":"Subdivision","value":"EC"},{"id":4,"name":"Milepost","value":"23.2704"},{"id":17,"name":"Train ID","value":"103-08"},{"id":16,"name":"Locomotive ID","value":"4016"},{"id":130,"name":"Impact","value":""},{"id":150,"name":"Time of Event (Mountain Time)","value":"04:21:42"},{"id":151,"name":"Denver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270</v>
      </c>
      <c r="B16" s="7">
        <v>4012</v>
      </c>
      <c r="C16" s="24" t="s">
        <v>109</v>
      </c>
      <c r="D16" s="24" t="s">
        <v>271</v>
      </c>
      <c r="E16" s="15">
        <v>42621.18377314815</v>
      </c>
      <c r="F16" s="15">
        <v>42621.195347222223</v>
      </c>
      <c r="G16" s="7">
        <v>1</v>
      </c>
      <c r="H16" s="15" t="s">
        <v>272</v>
      </c>
      <c r="I16" s="15">
        <v>42621.222719907404</v>
      </c>
      <c r="J16" s="7">
        <v>0</v>
      </c>
      <c r="K16" s="122" t="str">
        <f t="shared" si="0"/>
        <v>4011/4012</v>
      </c>
      <c r="L16" s="24" t="str">
        <f>VLOOKUP(A16,'Trips&amp;Operators'!$C$1:$E$10000,3,FALSE)</f>
        <v>SANTIZO</v>
      </c>
      <c r="M16" s="6">
        <f t="shared" si="1"/>
        <v>2.7372685181035195E-2</v>
      </c>
      <c r="N16" s="7">
        <f t="shared" si="2"/>
        <v>39.41666666069068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03:24:38-0600',mode:absolute,to:'2016-09-08 06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6" s="54" t="str">
        <f t="shared" si="6"/>
        <v>N</v>
      </c>
      <c r="X16" s="172">
        <f t="shared" si="7"/>
        <v>1</v>
      </c>
      <c r="Y16" s="69">
        <f t="shared" si="8"/>
        <v>23.267700000000001</v>
      </c>
      <c r="Z16" s="69">
        <f t="shared" si="9"/>
        <v>1.23E-2</v>
      </c>
      <c r="AA16" s="69">
        <f t="shared" si="10"/>
        <v>23.255400000000002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 t="shared" si="11"/>
        <v>0104-08</v>
      </c>
      <c r="AE16" s="99" t="str">
        <f t="shared" si="12"/>
        <v>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 &amp; 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</v>
      </c>
      <c r="AF16" s="96" t="str">
        <f t="shared" si="13"/>
        <v>"C:\Program Files (x86)\AstroGrep\AstroGrep.exe" /spath="%USERPROFILE%\AppData\Local\Temp\OnboardLogs" /stypes="*4012*20160908*"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7"/>
        <v>"%USERPROFILE%\Documents\GitHub\eaglep3\Utilities\RefineRTDCRunTimes.py" --tripid 104-08 --locoid 4012 --swversion DE.1.0.7.0 --startMP 204:232677 --initTime 2016-09-08T04:24:38 --startdatetime 2016-09-08T04:41:18 --delay 1 --endMP 204:123 --enddatetime 2016-09-08T05:20:43 --enforcementcount 0 &gt;&gt;C:\Users\stu\Documents\GitHub\eaglep3-reporting\EC\2016-09-08-refined-times.txt</v>
      </c>
      <c r="AI16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{"issue":{"subject":"","project_id":79,"tracker_id":40,"status_id":1,"priority_id":2,"assigned_to_id":23,"start_date":"2016-09-08","description":"","custom_fields":[{"id":1,"name":"Subdivision","value":"EC"},{"id":4,"name":"Milepost","value":"23.2554"},{"id":17,"name":"Train ID","value":"104-08"},{"id":16,"name":"Locomotive ID","value":"4012"},{"id":130,"name":"Impact","value":""},{"id":150,"name":"Time of Event (Mountain Time)","value":"05:20:43"},{"id":151,"name":"Denver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273</v>
      </c>
      <c r="B17" s="7">
        <v>4031</v>
      </c>
      <c r="C17" s="24" t="s">
        <v>109</v>
      </c>
      <c r="D17" s="24" t="s">
        <v>274</v>
      </c>
      <c r="E17" s="15">
        <v>42621.174953703703</v>
      </c>
      <c r="F17" s="15">
        <v>42621.17728009259</v>
      </c>
      <c r="G17" s="7">
        <v>1</v>
      </c>
      <c r="H17" s="15" t="s">
        <v>275</v>
      </c>
      <c r="I17" s="15">
        <v>42621.203587962962</v>
      </c>
      <c r="J17" s="7">
        <v>0</v>
      </c>
      <c r="K17" s="122" t="str">
        <f t="shared" si="0"/>
        <v>4031/4032</v>
      </c>
      <c r="L17" s="24" t="str">
        <f>VLOOKUP(A17,'Trips&amp;Operators'!$C$1:$E$10000,3,FALSE)</f>
        <v>MALAVE</v>
      </c>
      <c r="M17" s="6">
        <f t="shared" si="1"/>
        <v>2.6307870371965691E-2</v>
      </c>
      <c r="N17" s="7">
        <f t="shared" si="2"/>
        <v>37.883333335630596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03:11:56-0600',mode:absolute,to:'2016-09-08 05:53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7" s="54" t="str">
        <f t="shared" si="6"/>
        <v>N</v>
      </c>
      <c r="X17" s="172">
        <f t="shared" si="7"/>
        <v>1</v>
      </c>
      <c r="Y17" s="69">
        <f t="shared" si="8"/>
        <v>7.4999999999999997E-2</v>
      </c>
      <c r="Z17" s="69">
        <f t="shared" si="9"/>
        <v>23.329799999999999</v>
      </c>
      <c r="AA17" s="69">
        <f t="shared" si="10"/>
        <v>23.254799999999999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 t="shared" si="11"/>
        <v>0105-08</v>
      </c>
      <c r="AE17" s="99" t="str">
        <f t="shared" si="12"/>
        <v>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 &amp; 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</v>
      </c>
      <c r="AF17" s="96" t="str">
        <f t="shared" si="13"/>
        <v>"C:\Program Files (x86)\AstroGrep\AstroGrep.exe" /spath="%USERPROFILE%\AppData\Local\Temp\OnboardLogs" /stypes="*4031*20160908*"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7"/>
        <v>"%USERPROFILE%\Documents\GitHub\eaglep3\Utilities\RefineRTDCRunTimes.py" --tripid 105-08 --locoid 4031 --swversion DE.1.0.7.0 --startMP 204:750 --initTime 2016-09-08T04:11:56 --startdatetime 2016-09-08T04:15:17 --delay 1 --endMP 204:233298 --enddatetime 2016-09-08T04:53:10 --enforcementcount 0 &gt;&gt;C:\Users\stu\Documents\GitHub\eaglep3-reporting\EC\2016-09-08-refined-times.txt</v>
      </c>
      <c r="AI17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{"issue":{"subject":"","project_id":79,"tracker_id":40,"status_id":1,"priority_id":2,"assigned_to_id":23,"start_date":"2016-09-08","description":"","custom_fields":[{"id":1,"name":"Subdivision","value":"EC"},{"id":4,"name":"Milepost","value":"23.2548"},{"id":17,"name":"Train ID","value":"105-08"},{"id":16,"name":"Locomotive ID","value":"4031"},{"id":130,"name":"Impact","value":""},{"id":150,"name":"Time of Event (Mountain Time)","value":"04:53:10"},{"id":151,"name":"Denver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276</v>
      </c>
      <c r="B18" s="7">
        <v>4039</v>
      </c>
      <c r="C18" s="24" t="s">
        <v>109</v>
      </c>
      <c r="D18" s="24" t="s">
        <v>277</v>
      </c>
      <c r="E18" s="15">
        <v>42621.215439814812</v>
      </c>
      <c r="F18" s="15">
        <v>42621.216631944444</v>
      </c>
      <c r="G18" s="7">
        <v>1</v>
      </c>
      <c r="H18" s="15" t="s">
        <v>278</v>
      </c>
      <c r="I18" s="15">
        <v>42621.243171296293</v>
      </c>
      <c r="J18" s="7">
        <v>0</v>
      </c>
      <c r="K18" s="122" t="str">
        <f t="shared" si="0"/>
        <v>4039/4040</v>
      </c>
      <c r="L18" s="24" t="str">
        <f>VLOOKUP(A18,'Trips&amp;Operators'!$C$1:$E$10000,3,FALSE)</f>
        <v>MALAVE</v>
      </c>
      <c r="M18" s="6">
        <f t="shared" si="1"/>
        <v>2.6539351849351078E-2</v>
      </c>
      <c r="N18" s="7">
        <f t="shared" si="2"/>
        <v>38.216666663065553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04:10:14-0600',mode:absolute,to:'2016-09-08 06:50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8" s="54" t="str">
        <f t="shared" si="6"/>
        <v>N</v>
      </c>
      <c r="X18" s="172">
        <f t="shared" si="7"/>
        <v>1</v>
      </c>
      <c r="Y18" s="69">
        <f t="shared" si="8"/>
        <v>23.265499999999999</v>
      </c>
      <c r="Z18" s="69">
        <f t="shared" si="9"/>
        <v>1.6E-2</v>
      </c>
      <c r="AA18" s="69">
        <f t="shared" si="10"/>
        <v>23.249500000000001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 t="shared" si="11"/>
        <v>0106-08</v>
      </c>
      <c r="AE18" s="99" t="str">
        <f t="shared" si="12"/>
        <v>aws s3 cp s3://rtdc.mdm.uploadarchive/RTDC4039/2016-09-08/ "%USERPROFILE%\AppData\Local\Temp\OnboardLogs"\RTDC4039\2016-09-08 --recursive &amp; "%USERPROFILE%\Documents\GitHub\mrs-test-scripts\Headless Mode &amp; Sideloading\WalkAndUnGZ.bat" "%USERPROFILE%\AppData\Local\Temp\OnboardLogs"\RTDC4039\2016-09-08 &amp; aws s3 cp s3://rtdc.mdm.uploadarchive/RTDC4039/2016-09-09/ "%USERPROFILE%\AppData\Local\Temp\OnboardLogs"\RTDC4039\2016-09-09 --recursive &amp; "%USERPROFILE%\Documents\GitHub\mrs-test-scripts\Headless Mode &amp; Sideloading\WalkAndUnGZ.bat" "%USERPROFILE%\AppData\Local\Temp\OnboardLogs"\RTDC4039\2016-09-09</v>
      </c>
      <c r="AF18" s="96" t="str">
        <f t="shared" si="13"/>
        <v>"C:\Program Files (x86)\AstroGrep\AstroGrep.exe" /spath="%USERPROFILE%\AppData\Local\Temp\OnboardLogs" /stypes="*4039*20160908*"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7"/>
        <v>"%USERPROFILE%\Documents\GitHub\eaglep3\Utilities\RefineRTDCRunTimes.py" --tripid 106-08 --locoid 4039 --swversion DE.1.0.7.0 --startMP 204:232655 --initTime 2016-09-08T05:10:14 --startdatetime 2016-09-08T05:11:57 --delay 1 --endMP 204:160 --enddatetime 2016-09-08T05:50:10 --enforcementcount 0 &gt;&gt;C:\Users\stu\Documents\GitHub\eaglep3-reporting\EC\2016-09-08-refined-times.txt</v>
      </c>
      <c r="AI18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{"issue":{"subject":"","project_id":79,"tracker_id":40,"status_id":1,"priority_id":2,"assigned_to_id":23,"start_date":"2016-09-08","description":"","custom_fields":[{"id":1,"name":"Subdivision","value":"EC"},{"id":4,"name":"Milepost","value":"23.2495"},{"id":17,"name":"Train ID","value":"106-08"},{"id":16,"name":"Locomotive ID","value":"4039"},{"id":130,"name":"Impact","value":""},{"id":150,"name":"Time of Event (Mountain Time)","value":"05:50:10"},{"id":151,"name":"Denver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279</v>
      </c>
      <c r="B19" s="7">
        <v>4014</v>
      </c>
      <c r="C19" s="24" t="s">
        <v>109</v>
      </c>
      <c r="D19" s="24" t="s">
        <v>280</v>
      </c>
      <c r="E19" s="15">
        <v>42621.183125000003</v>
      </c>
      <c r="F19" s="15">
        <v>42621.187731481485</v>
      </c>
      <c r="G19" s="7">
        <v>2</v>
      </c>
      <c r="H19" s="15" t="s">
        <v>208</v>
      </c>
      <c r="I19" s="15">
        <v>42621.21503472222</v>
      </c>
      <c r="J19" s="7">
        <v>0</v>
      </c>
      <c r="K19" s="122" t="str">
        <f t="shared" si="0"/>
        <v>4013/4014</v>
      </c>
      <c r="L19" s="24" t="str">
        <f>VLOOKUP(A19,'Trips&amp;Operators'!$C$1:$E$10000,3,FALSE)</f>
        <v>STRICKLAND</v>
      </c>
      <c r="M19" s="6">
        <f t="shared" si="1"/>
        <v>2.7303240734909195E-2</v>
      </c>
      <c r="N19" s="7">
        <f t="shared" si="2"/>
        <v>39.316666658269241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03:23:42-0600',mode:absolute,to:'2016-09-08 06:09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9" s="54" t="str">
        <f t="shared" si="6"/>
        <v>N</v>
      </c>
      <c r="X19" s="172">
        <f t="shared" si="7"/>
        <v>1</v>
      </c>
      <c r="Y19" s="69">
        <f t="shared" si="8"/>
        <v>4.4600000000000001E-2</v>
      </c>
      <c r="Z19" s="69">
        <f t="shared" si="9"/>
        <v>23.331800000000001</v>
      </c>
      <c r="AA19" s="69">
        <f t="shared" si="10"/>
        <v>23.287200000000002</v>
      </c>
      <c r="AB19" s="66" t="str">
        <f>VLOOKUP(A19,Enforcements!$C$7:$K$21,8,0)</f>
        <v>Bulletin (2)</v>
      </c>
      <c r="AC19" s="62" t="str">
        <f>VLOOKUP(A19,Enforcements!$C$7:$E$21,3,0)</f>
        <v>GRADE CROSSING</v>
      </c>
      <c r="AD19" s="63" t="str">
        <f t="shared" si="11"/>
        <v>0107-08</v>
      </c>
      <c r="AE19" s="99" t="str">
        <f t="shared" si="12"/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AF19" s="96" t="str">
        <f t="shared" si="13"/>
        <v>"C:\Program Files (x86)\AstroGrep\AstroGrep.exe" /spath="%USERPROFILE%\AppData\Local\Temp\OnboardLogs" /stypes="*4014*20160908*"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si="17"/>
        <v>"%USERPROFILE%\Documents\GitHub\eaglep3\Utilities\RefineRTDCRunTimes.py" --tripid 107-08 --locoid 4014 --swversion DE.1.0.7.0 --startMP 204:446 --initTime 2016-09-08T04:23:42 --startdatetime 2016-09-08T04:30:20 --delay 2 --endMP 204:233318 --enddatetime 2016-09-08T05:09:39 --enforcementcount 0 &gt;&gt;C:\Users\stu\Documents\GitHub\eaglep3-reporting\EC\2016-09-08-refined-times.txt</v>
      </c>
      <c r="AI19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{"issue":{"subject":"","project_id":79,"tracker_id":40,"status_id":1,"priority_id":2,"assigned_to_id":23,"start_date":"2016-09-08","description":"","custom_fields":[{"id":1,"name":"Subdivision","value":"EC"},{"id":4,"name":"Milepost","value":"23.2872"},{"id":17,"name":"Train ID","value":"107-08"},{"id":16,"name":"Locomotive ID","value":"4014"},{"id":130,"name":"Impact","value":""},{"id":150,"name":"Time of Event (Mountain Time)","value":"05:09:39"},{"id":151,"name":"Denver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281</v>
      </c>
      <c r="B20" s="7">
        <v>4013</v>
      </c>
      <c r="C20" s="24" t="s">
        <v>109</v>
      </c>
      <c r="D20" s="24" t="s">
        <v>282</v>
      </c>
      <c r="E20" s="15">
        <v>42621.224710648145</v>
      </c>
      <c r="F20" s="15">
        <v>42621.2266087963</v>
      </c>
      <c r="G20" s="7">
        <v>1</v>
      </c>
      <c r="H20" s="15" t="s">
        <v>283</v>
      </c>
      <c r="I20" s="15">
        <v>42621.255104166667</v>
      </c>
      <c r="J20" s="7">
        <v>0</v>
      </c>
      <c r="K20" s="122" t="str">
        <f t="shared" si="0"/>
        <v>4013/4014</v>
      </c>
      <c r="L20" s="24" t="str">
        <f>VLOOKUP(A20,'Trips&amp;Operators'!$C$1:$E$10000,3,FALSE)</f>
        <v>STRICKLAND</v>
      </c>
      <c r="M20" s="6">
        <f t="shared" si="1"/>
        <v>2.8495370366727002E-2</v>
      </c>
      <c r="N20" s="7">
        <f t="shared" si="2"/>
        <v>41.033333328086883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04:23:35-0600',mode:absolute,to:'2016-09-08 07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0" s="54" t="str">
        <f t="shared" si="6"/>
        <v>N</v>
      </c>
      <c r="X20" s="172">
        <f t="shared" si="7"/>
        <v>1</v>
      </c>
      <c r="Y20" s="69">
        <f t="shared" si="8"/>
        <v>23.298200000000001</v>
      </c>
      <c r="Z20" s="69">
        <f t="shared" si="9"/>
        <v>1.6299999999999999E-2</v>
      </c>
      <c r="AA20" s="69">
        <f t="shared" si="10"/>
        <v>23.2819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 t="shared" si="11"/>
        <v>0108-08</v>
      </c>
      <c r="AE20" s="99" t="str">
        <f t="shared" si="12"/>
        <v>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 &amp; aws s3 cp s3://rtdc.mdm.uploadarchive/RTDC4013/2016-09-09/ "%USERPROFILE%\AppData\Local\Temp\OnboardLogs"\RTDC4013\2016-09-09 --recursive &amp; "%USERPROFILE%\Documents\GitHub\mrs-test-scripts\Headless Mode &amp; Sideloading\WalkAndUnGZ.bat" "%USERPROFILE%\AppData\Local\Temp\OnboardLogs"\RTDC4013\2016-09-09</v>
      </c>
      <c r="AF20" s="96" t="str">
        <f t="shared" si="13"/>
        <v>"C:\Program Files (x86)\AstroGrep\AstroGrep.exe" /spath="%USERPROFILE%\AppData\Local\Temp\OnboardLogs" /stypes="*4013*20160908*"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7"/>
        <v>"%USERPROFILE%\Documents\GitHub\eaglep3\Utilities\RefineRTDCRunTimes.py" --tripid 108-08 --locoid 4013 --swversion DE.1.0.7.0 --startMP 204:232982 --initTime 2016-09-08T05:23:35 --startdatetime 2016-09-08T05:26:19 --delay 1 --endMP 204:163 --enddatetime 2016-09-08T06:07:21 --enforcementcount 0 &gt;&gt;C:\Users\stu\Documents\GitHub\eaglep3-reporting\EC\2016-09-08-refined-times.txt</v>
      </c>
      <c r="AI20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{"issue":{"subject":"","project_id":79,"tracker_id":40,"status_id":1,"priority_id":2,"assigned_to_id":23,"start_date":"2016-09-08","description":"","custom_fields":[{"id":1,"name":"Subdivision","value":"EC"},{"id":4,"name":"Milepost","value":"23.2819"},{"id":17,"name":"Train ID","value":"108-08"},{"id":16,"name":"Locomotive ID","value":"4013"},{"id":130,"name":"Impact","value":""},{"id":150,"name":"Time of Event (Mountain Time)","value":"06:07:21"},{"id":151,"name":"Denver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284</v>
      </c>
      <c r="B21" s="7">
        <v>4009</v>
      </c>
      <c r="C21" s="24" t="s">
        <v>109</v>
      </c>
      <c r="D21" s="24" t="s">
        <v>285</v>
      </c>
      <c r="E21" s="15">
        <v>42621.194374999999</v>
      </c>
      <c r="F21" s="15">
        <v>42621.198449074072</v>
      </c>
      <c r="G21" s="7">
        <v>1</v>
      </c>
      <c r="H21" s="15" t="s">
        <v>269</v>
      </c>
      <c r="I21" s="15">
        <v>42621.222812499997</v>
      </c>
      <c r="J21" s="7">
        <v>0</v>
      </c>
      <c r="K21" s="122" t="str">
        <f t="shared" si="0"/>
        <v>4009/4010</v>
      </c>
      <c r="L21" s="24" t="str">
        <f>VLOOKUP(A21,'Trips&amp;Operators'!$C$1:$E$10000,3,FALSE)</f>
        <v>BREITSCH</v>
      </c>
      <c r="M21" s="6">
        <f t="shared" si="1"/>
        <v>2.4363425924093463E-2</v>
      </c>
      <c r="N21" s="7">
        <f t="shared" si="2"/>
        <v>35.083333330694586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03:39:54-0600',mode:absolute,to:'2016-09-08 06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1" s="54" t="str">
        <f t="shared" si="6"/>
        <v>N</v>
      </c>
      <c r="X21" s="172">
        <f t="shared" ref="X21:X24" si="19">VALUE(LEFT(AD21,4))-VALUE(LEFT(AD20,4))</f>
        <v>1</v>
      </c>
      <c r="Y21" s="69">
        <f t="shared" si="8"/>
        <v>4.7100000000000003E-2</v>
      </c>
      <c r="Z21" s="69">
        <f t="shared" si="9"/>
        <v>23.331399999999999</v>
      </c>
      <c r="AA21" s="69">
        <f t="shared" si="10"/>
        <v>23.284299999999998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 t="shared" si="11"/>
        <v>0109-08</v>
      </c>
      <c r="AE21" s="99" t="str">
        <f t="shared" si="12"/>
        <v>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 &amp; 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</v>
      </c>
      <c r="AF21" s="96" t="str">
        <f t="shared" si="13"/>
        <v>"C:\Program Files (x86)\AstroGrep\AstroGrep.exe" /spath="%USERPROFILE%\AppData\Local\Temp\OnboardLogs" /stypes="*4009*20160908*"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7"/>
        <v>"%USERPROFILE%\Documents\GitHub\eaglep3\Utilities\RefineRTDCRunTimes.py" --tripid 109-08 --locoid 4009 --swversion DE.1.0.7.0 --startMP 204:471 --initTime 2016-09-08T04:39:54 --startdatetime 2016-09-08T04:45:46 --delay 1 --endMP 204:233314 --enddatetime 2016-09-08T05:20:51 --enforcementcount 0 &gt;&gt;C:\Users\stu\Documents\GitHub\eaglep3-reporting\EC\2016-09-08-refined-times.txt</v>
      </c>
      <c r="AI21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{"issue":{"subject":"","project_id":79,"tracker_id":40,"status_id":1,"priority_id":2,"assigned_to_id":23,"start_date":"2016-09-08","description":"","custom_fields":[{"id":1,"name":"Subdivision","value":"EC"},{"id":4,"name":"Milepost","value":"23.2843"},{"id":17,"name":"Train ID","value":"109-08"},{"id":16,"name":"Locomotive ID","value":"4009"},{"id":130,"name":"Impact","value":""},{"id":150,"name":"Time of Event (Mountain Time)","value":"05:20:51"},{"id":151,"name":"Denver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286</v>
      </c>
      <c r="B22" s="7">
        <v>4010</v>
      </c>
      <c r="C22" s="24" t="s">
        <v>109</v>
      </c>
      <c r="D22" s="24" t="s">
        <v>287</v>
      </c>
      <c r="E22" s="15">
        <v>42621.235995370371</v>
      </c>
      <c r="F22" s="15">
        <v>42621.237303240741</v>
      </c>
      <c r="G22" s="7">
        <v>1</v>
      </c>
      <c r="H22" s="15" t="s">
        <v>288</v>
      </c>
      <c r="I22" s="15">
        <v>42621.26358796296</v>
      </c>
      <c r="J22" s="7">
        <v>0</v>
      </c>
      <c r="K22" s="122" t="str">
        <f t="shared" si="0"/>
        <v>4009/4010</v>
      </c>
      <c r="L22" s="24" t="str">
        <f>VLOOKUP(A22,'Trips&amp;Operators'!$C$1:$E$10000,3,FALSE)</f>
        <v>BREITSCH</v>
      </c>
      <c r="M22" s="6">
        <f t="shared" si="1"/>
        <v>2.6284722218406387E-2</v>
      </c>
      <c r="N22" s="7">
        <f t="shared" si="2"/>
        <v>37.849999994505197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04:39:50-0600',mode:absolute,to:'2016-09-08 07:19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22" s="54" t="str">
        <f t="shared" si="6"/>
        <v>N</v>
      </c>
      <c r="X22" s="172">
        <f t="shared" si="19"/>
        <v>1</v>
      </c>
      <c r="Y22" s="69">
        <f t="shared" si="8"/>
        <v>23.299099999999999</v>
      </c>
      <c r="Z22" s="69">
        <f t="shared" si="9"/>
        <v>1.5800000000000002E-2</v>
      </c>
      <c r="AA22" s="69">
        <f t="shared" si="10"/>
        <v>23.283300000000001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 t="shared" si="11"/>
        <v>0110-08</v>
      </c>
      <c r="AE22" s="99" t="str">
        <f t="shared" si="12"/>
        <v>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 &amp; 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</v>
      </c>
      <c r="AF22" s="96" t="str">
        <f t="shared" si="13"/>
        <v>"C:\Program Files (x86)\AstroGrep\AstroGrep.exe" /spath="%USERPROFILE%\AppData\Local\Temp\OnboardLogs" /stypes="*4010*20160908*"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7"/>
        <v>"%USERPROFILE%\Documents\GitHub\eaglep3\Utilities\RefineRTDCRunTimes.py" --tripid 110-08 --locoid 4010 --swversion DE.1.0.7.0 --startMP 204:232991 --initTime 2016-09-08T05:39:50 --startdatetime 2016-09-08T05:41:43 --delay 1 --endMP 204:158 --enddatetime 2016-09-08T06:19:34 --enforcementcount 0 &gt;&gt;C:\Users\stu\Documents\GitHub\eaglep3-reporting\EC\2016-09-08-refined-times.txt</v>
      </c>
      <c r="AI22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{"issue":{"subject":"","project_id":79,"tracker_id":40,"status_id":1,"priority_id":2,"assigned_to_id":23,"start_date":"2016-09-08","description":"","custom_fields":[{"id":1,"name":"Subdivision","value":"EC"},{"id":4,"name":"Milepost","value":"23.2833"},{"id":17,"name":"Train ID","value":"110-08"},{"id":16,"name":"Locomotive ID","value":"4010"},{"id":130,"name":"Impact","value":""},{"id":150,"name":"Time of Event (Mountain Time)","value":"06:19:34"},{"id":151,"name":"Denver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289</v>
      </c>
      <c r="B23" s="7">
        <v>4018</v>
      </c>
      <c r="C23" s="24" t="s">
        <v>109</v>
      </c>
      <c r="D23" s="24" t="s">
        <v>291</v>
      </c>
      <c r="E23" s="15">
        <v>42621.207511574074</v>
      </c>
      <c r="F23" s="15">
        <v>42621.208923611113</v>
      </c>
      <c r="G23" s="7">
        <v>1</v>
      </c>
      <c r="H23" s="15" t="s">
        <v>292</v>
      </c>
      <c r="I23" s="15">
        <v>42621.234027777777</v>
      </c>
      <c r="J23" s="7">
        <v>0</v>
      </c>
      <c r="K23" s="122" t="str">
        <f t="shared" si="0"/>
        <v>4017/4018</v>
      </c>
      <c r="L23" s="24" t="str">
        <f>VLOOKUP(A23,'Trips&amp;Operators'!$C$1:$E$10000,3,FALSE)</f>
        <v>STARKS</v>
      </c>
      <c r="M23" s="6">
        <f t="shared" si="1"/>
        <v>2.5104166663368233E-2</v>
      </c>
      <c r="N23" s="7">
        <f t="shared" si="2"/>
        <v>36.149999995250255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03:58:49-0600',mode:absolute,to:'2016-09-08 06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3" s="54" t="str">
        <f t="shared" si="6"/>
        <v>N</v>
      </c>
      <c r="X23" s="172">
        <f t="shared" si="19"/>
        <v>1</v>
      </c>
      <c r="Y23" s="69">
        <f t="shared" si="8"/>
        <v>8.0100000000000005E-2</v>
      </c>
      <c r="Z23" s="69">
        <f t="shared" si="9"/>
        <v>23.330500000000001</v>
      </c>
      <c r="AA23" s="69">
        <f t="shared" si="10"/>
        <v>23.250399999999999</v>
      </c>
      <c r="AB23" s="66" t="str">
        <f>VLOOKUP(A23,Enforcements!$C$7:$K$21,8,0)</f>
        <v>Speed (6)</v>
      </c>
      <c r="AC23" s="62" t="str">
        <f>VLOOKUP(A23,Enforcements!$C$7:$E$21,3,0)</f>
        <v>PERMANENT SPEED RESTRICTION</v>
      </c>
      <c r="AD23" s="63" t="str">
        <f t="shared" si="11"/>
        <v>0111-08</v>
      </c>
      <c r="AE23" s="99" t="str">
        <f t="shared" si="12"/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AF23" s="96" t="str">
        <f t="shared" si="13"/>
        <v>"C:\Program Files (x86)\AstroGrep\AstroGrep.exe" /spath="%USERPROFILE%\AppData\Local\Temp\OnboardLogs" /stypes="*4018*20160908*"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7"/>
        <v>"%USERPROFILE%\Documents\GitHub\eaglep3\Utilities\RefineRTDCRunTimes.py" --tripid 111-08 --locoid 4018 --swversion DE.1.0.7.0 --startMP 204:801 --initTime 2016-09-08T04:58:49 --startdatetime 2016-09-08T05:00:51 --delay 1 --endMP 204:233305 --enddatetime 2016-09-08T05:37:00 --enforcementcount 0 &gt;&gt;C:\Users\stu\Documents\GitHub\eaglep3-reporting\EC\2016-09-08-refined-times.txt</v>
      </c>
      <c r="AI23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{"issue":{"subject":"","project_id":79,"tracker_id":40,"status_id":1,"priority_id":2,"assigned_to_id":23,"start_date":"2016-09-08","description":"","custom_fields":[{"id":1,"name":"Subdivision","value":"EC"},{"id":4,"name":"Milepost","value":"23.2504"},{"id":17,"name":"Train ID","value":"111-08"},{"id":16,"name":"Locomotive ID","value":"4018"},{"id":130,"name":"Impact","value":""},{"id":150,"name":"Time of Event (Mountain Time)","value":"05:37:00"},{"id":151,"name":"Denver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293</v>
      </c>
      <c r="B24" s="7">
        <v>4017</v>
      </c>
      <c r="C24" s="24" t="s">
        <v>109</v>
      </c>
      <c r="D24" s="24" t="s">
        <v>294</v>
      </c>
      <c r="E24" s="15">
        <v>42621.243900462963</v>
      </c>
      <c r="F24" s="15">
        <v>42621.247523148151</v>
      </c>
      <c r="G24" s="7">
        <v>2</v>
      </c>
      <c r="H24" s="15" t="s">
        <v>295</v>
      </c>
      <c r="I24" s="15">
        <v>42621.274386574078</v>
      </c>
      <c r="J24" s="7">
        <v>0</v>
      </c>
      <c r="K24" s="122" t="str">
        <f t="shared" si="0"/>
        <v>4017/4018</v>
      </c>
      <c r="L24" s="24" t="str">
        <f>VLOOKUP(A24,'Trips&amp;Operators'!$C$1:$E$10000,3,FALSE)</f>
        <v>STARKS</v>
      </c>
      <c r="M24" s="6">
        <f t="shared" si="1"/>
        <v>2.6863425926421769E-2</v>
      </c>
      <c r="N24" s="7">
        <f t="shared" si="2"/>
        <v>38.683333334047347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04:51:13-0600',mode:absolute,to:'2016-09-08 07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24" s="54" t="str">
        <f t="shared" si="6"/>
        <v>N</v>
      </c>
      <c r="X24" s="172">
        <f t="shared" si="19"/>
        <v>1</v>
      </c>
      <c r="Y24" s="69">
        <f t="shared" si="8"/>
        <v>23.298999999999999</v>
      </c>
      <c r="Z24" s="69">
        <f t="shared" si="9"/>
        <v>1.47E-2</v>
      </c>
      <c r="AA24" s="69">
        <f t="shared" si="10"/>
        <v>23.284299999999998</v>
      </c>
      <c r="AB24" s="66" t="str">
        <f>VLOOKUP(A24,Enforcements!$C$7:$K$21,8,0)</f>
        <v>Bulletin (2)</v>
      </c>
      <c r="AC24" s="62" t="str">
        <f>VLOOKUP(A24,Enforcements!$C$7:$E$21,3,0)</f>
        <v>GRADE CROSSING</v>
      </c>
      <c r="AD24" s="63" t="str">
        <f t="shared" si="11"/>
        <v>0112-08</v>
      </c>
      <c r="AE24" s="99" t="str">
        <f t="shared" si="12"/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AF24" s="96" t="str">
        <f t="shared" si="13"/>
        <v>"C:\Program Files (x86)\AstroGrep\AstroGrep.exe" /spath="%USERPROFILE%\AppData\Local\Temp\OnboardLogs" /stypes="*4017*20160908*"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7"/>
        <v>"%USERPROFILE%\Documents\GitHub\eaglep3\Utilities\RefineRTDCRunTimes.py" --tripid 112-08 --locoid 4017 --swversion DE.1.0.7.0 --startMP 204:232990 --initTime 2016-09-08T05:51:13 --startdatetime 2016-09-08T05:56:26 --delay 2 --endMP 204:147 --enddatetime 2016-09-08T06:35:07 --enforcementcount 0 &gt;&gt;C:\Users\stu\Documents\GitHub\eaglep3-reporting\EC\2016-09-08-refined-times.txt</v>
      </c>
      <c r="AI24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{"issue":{"subject":"","project_id":79,"tracker_id":40,"status_id":1,"priority_id":2,"assigned_to_id":23,"start_date":"2016-09-08","description":"","custom_fields":[{"id":1,"name":"Subdivision","value":"EC"},{"id":4,"name":"Milepost","value":"23.2843"},{"id":17,"name":"Train ID","value":"112-08"},{"id":16,"name":"Locomotive ID","value":"4017"},{"id":130,"name":"Impact","value":""},{"id":150,"name":"Time of Event (Mountain Time)","value":"06:35:07"},{"id":151,"name":"Denver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296</v>
      </c>
      <c r="B25" s="7">
        <v>4044</v>
      </c>
      <c r="C25" s="24" t="s">
        <v>109</v>
      </c>
      <c r="D25" s="24" t="s">
        <v>297</v>
      </c>
      <c r="E25" s="15">
        <v>42621.212500000001</v>
      </c>
      <c r="F25" s="15">
        <v>42621.219050925924</v>
      </c>
      <c r="G25" s="7">
        <v>1</v>
      </c>
      <c r="H25" s="15" t="s">
        <v>298</v>
      </c>
      <c r="I25" s="15">
        <v>42621.245428240742</v>
      </c>
      <c r="J25" s="7">
        <v>0</v>
      </c>
      <c r="K25" s="122" t="str">
        <f t="shared" si="0"/>
        <v>4043/4044</v>
      </c>
      <c r="L25" s="24" t="str">
        <f>VLOOKUP(A25,'Trips&amp;Operators'!$C$1:$E$10000,3,FALSE)</f>
        <v>MAELZER</v>
      </c>
      <c r="M25" s="6">
        <f t="shared" si="1"/>
        <v>2.6377314818091691E-2</v>
      </c>
      <c r="N25" s="7">
        <f t="shared" si="2"/>
        <v>37.983333338052034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04:06:00-0600',mode:absolute,to:'2016-09-08 06:53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5" s="54" t="str">
        <f t="shared" si="6"/>
        <v>N</v>
      </c>
      <c r="X25" s="172">
        <f t="shared" ref="X25:X53" si="20">VALUE(LEFT(AD25,4))-VALUE(LEFT(AD24,4))</f>
        <v>1</v>
      </c>
      <c r="Y25" s="69">
        <f t="shared" si="8"/>
        <v>4.53E-2</v>
      </c>
      <c r="Z25" s="69">
        <f t="shared" si="9"/>
        <v>23.330200000000001</v>
      </c>
      <c r="AA25" s="69">
        <f t="shared" si="10"/>
        <v>23.2849</v>
      </c>
      <c r="AB25" s="66" t="e">
        <f>VLOOKUP(A25,Enforcements!$C$7:$K$21,8,0)</f>
        <v>#N/A</v>
      </c>
      <c r="AC25" s="62" t="e">
        <f>VLOOKUP(A25,Enforcements!$C$7:$E$21,3,0)</f>
        <v>#N/A</v>
      </c>
      <c r="AD25" s="63" t="str">
        <f t="shared" si="11"/>
        <v>0113-08</v>
      </c>
      <c r="AE25" s="99" t="str">
        <f t="shared" si="12"/>
        <v>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 &amp; aws s3 cp s3://rtdc.mdm.uploadarchive/RTDC4044/2016-09-09/ "%USERPROFILE%\AppData\Local\Temp\OnboardLogs"\RTDC4044\2016-09-09 --recursive &amp; "%USERPROFILE%\Documents\GitHub\mrs-test-scripts\Headless Mode &amp; Sideloading\WalkAndUnGZ.bat" "%USERPROFILE%\AppData\Local\Temp\OnboardLogs"\RTDC4044\2016-09-09</v>
      </c>
      <c r="AF25" s="96" t="str">
        <f t="shared" si="13"/>
        <v>"C:\Program Files (x86)\AstroGrep\AstroGrep.exe" /spath="%USERPROFILE%\AppData\Local\Temp\OnboardLogs" /stypes="*4044*20160908*"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17"/>
        <v>"%USERPROFILE%\Documents\GitHub\eaglep3\Utilities\RefineRTDCRunTimes.py" --tripid 113-08 --locoid 4044 --swversion DE.1.0.7.0 --startMP 204:453 --initTime 2016-09-08T05:06:00 --startdatetime 2016-09-08T05:15:26 --delay 1 --endMP 204:233302 --enddatetime 2016-09-08T05:53:25 --enforcementcount 0 &gt;&gt;C:\Users\stu\Documents\GitHub\eaglep3-reporting\EC\2016-09-08-refined-times.txt</v>
      </c>
      <c r="AI25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{"issue":{"subject":"","project_id":79,"tracker_id":40,"status_id":1,"priority_id":2,"assigned_to_id":23,"start_date":"2016-09-08","description":"","custom_fields":[{"id":1,"name":"Subdivision","value":"EC"},{"id":4,"name":"Milepost","value":"23.2849"},{"id":17,"name":"Train ID","value":"113-08"},{"id":16,"name":"Locomotive ID","value":"4044"},{"id":130,"name":"Impact","value":""},{"id":150,"name":"Time of Event (Mountain Time)","value":"05:53:25"},{"id":151,"name":"Denver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299</v>
      </c>
      <c r="B26" s="7">
        <v>4043</v>
      </c>
      <c r="C26" s="24" t="s">
        <v>109</v>
      </c>
      <c r="D26" s="24" t="s">
        <v>300</v>
      </c>
      <c r="E26" s="15">
        <v>42621.268067129633</v>
      </c>
      <c r="F26" s="15">
        <v>42621.26971064815</v>
      </c>
      <c r="G26" s="7">
        <v>1</v>
      </c>
      <c r="H26" s="15" t="s">
        <v>295</v>
      </c>
      <c r="I26" s="15">
        <v>42621.286157407405</v>
      </c>
      <c r="J26" s="7">
        <v>0</v>
      </c>
      <c r="K26" s="122" t="str">
        <f t="shared" si="0"/>
        <v>4043/4044</v>
      </c>
      <c r="L26" s="24" t="str">
        <f>VLOOKUP(A26,'Trips&amp;Operators'!$C$1:$E$10000,3,FALSE)</f>
        <v>MAELZER</v>
      </c>
      <c r="M26" s="6">
        <f t="shared" si="1"/>
        <v>1.6446759254904464E-2</v>
      </c>
      <c r="N26" s="7"/>
      <c r="O26" s="7"/>
      <c r="P26" s="7">
        <f>24*60*SUM($M26:$M26)</f>
        <v>23.683333327062428</v>
      </c>
      <c r="Q26" s="25"/>
      <c r="R26" s="25" t="s">
        <v>200</v>
      </c>
      <c r="S26" s="37">
        <f t="shared" si="3"/>
        <v>1</v>
      </c>
      <c r="T26" s="52" t="str">
        <f t="shared" si="4"/>
        <v>Southbound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05:26:01-0600',mode:absolute,to:'2016-09-08 07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26" s="54" t="str">
        <f t="shared" si="6"/>
        <v>Y</v>
      </c>
      <c r="X26" s="172">
        <f t="shared" si="20"/>
        <v>1</v>
      </c>
      <c r="Y26" s="69">
        <f t="shared" si="8"/>
        <v>12.7864</v>
      </c>
      <c r="Z26" s="69">
        <f t="shared" si="9"/>
        <v>1.47E-2</v>
      </c>
      <c r="AA26" s="69">
        <f t="shared" si="10"/>
        <v>12.771700000000001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 t="shared" si="11"/>
        <v>0114-08</v>
      </c>
      <c r="AE26" s="99" t="str">
        <f t="shared" si="12"/>
        <v>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 &amp; aws s3 cp s3://rtdc.mdm.uploadarchive/RTDC4043/2016-09-09/ "%USERPROFILE%\AppData\Local\Temp\OnboardLogs"\RTDC4043\2016-09-09 --recursive &amp; "%USERPROFILE%\Documents\GitHub\mrs-test-scripts\Headless Mode &amp; Sideloading\WalkAndUnGZ.bat" "%USERPROFILE%\AppData\Local\Temp\OnboardLogs"\RTDC4043\2016-09-09</v>
      </c>
      <c r="AF26" s="96" t="str">
        <f t="shared" si="13"/>
        <v>"C:\Program Files (x86)\AstroGrep\AstroGrep.exe" /spath="%USERPROFILE%\AppData\Local\Temp\OnboardLogs" /stypes="*4043*20160908*"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7"/>
        <v>"%USERPROFILE%\Documents\GitHub\eaglep3\Utilities\RefineRTDCRunTimes.py" --tripid 114-08 --locoid 4043 --swversion DE.1.0.7.0 --startMP 204:127864 --initTime 2016-09-08T06:26:01 --startdatetime 2016-09-08T06:28:23 --delay 1 --endMP 204:147 --enddatetime 2016-09-08T06:52:04 --enforcementcount 0 &gt;&gt;C:\Users\stu\Documents\GitHub\eaglep3-reporting\EC\2016-09-08-refined-times.txt</v>
      </c>
      <c r="AI26" s="137" t="str">
        <f t="shared" si="18"/>
        <v>echo {"issue":{"subject":"Wi-MAX outage","project_id":79,"tracker_id":40,"status_id":1,"priority_id":2,"assigned_to_id":23,"start_date":"2016-09-08","description":"","custom_fields":[{"id":1,"name":"Subdivision","value":"EC"},{"id":4,"name":"Milepost","value":"12.7717"},{"id":17,"name":"Train ID","value":"114-08"},{"id":16,"name":"Locomotive ID","value":"4043"},{"id":130,"name":"Impact","value":""},{"id":150,"name":"Time of Event (Mountain Time)","value":"06:52:04"},{"id":151,"name":"Denver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301</v>
      </c>
      <c r="B27" s="7">
        <v>4016</v>
      </c>
      <c r="C27" s="24" t="s">
        <v>109</v>
      </c>
      <c r="D27" s="24" t="s">
        <v>302</v>
      </c>
      <c r="E27" s="15">
        <v>42621.224907407406</v>
      </c>
      <c r="F27" s="15">
        <v>42621.229328703703</v>
      </c>
      <c r="G27" s="7">
        <v>2</v>
      </c>
      <c r="H27" s="15" t="s">
        <v>303</v>
      </c>
      <c r="I27" s="15">
        <v>42621.254756944443</v>
      </c>
      <c r="J27" s="7">
        <v>0</v>
      </c>
      <c r="K27" s="122" t="str">
        <f t="shared" si="0"/>
        <v>4015/4016</v>
      </c>
      <c r="L27" s="24" t="str">
        <f>VLOOKUP(A27,'Trips&amp;Operators'!$C$1:$E$10000,3,FALSE)</f>
        <v>BRANNON</v>
      </c>
      <c r="M27" s="6">
        <f t="shared" si="1"/>
        <v>2.5428240740438923E-2</v>
      </c>
      <c r="N27" s="7">
        <f t="shared" ref="N27:N46" si="21">24*60*SUM($M27:$M27)</f>
        <v>36.616666666232049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04:23:52-0600',mode:absolute,to:'2016-09-08 07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7" s="54" t="str">
        <f t="shared" si="6"/>
        <v>N</v>
      </c>
      <c r="X27" s="172">
        <f t="shared" si="20"/>
        <v>1</v>
      </c>
      <c r="Y27" s="69">
        <f t="shared" si="8"/>
        <v>7.0400000000000004E-2</v>
      </c>
      <c r="Z27" s="69">
        <f t="shared" si="9"/>
        <v>23.328800000000001</v>
      </c>
      <c r="AA27" s="69">
        <f t="shared" si="10"/>
        <v>23.258400000000002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 t="shared" si="11"/>
        <v>0115-08</v>
      </c>
      <c r="AE27" s="99" t="str">
        <f t="shared" si="12"/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AF27" s="96" t="str">
        <f t="shared" si="13"/>
        <v>"C:\Program Files (x86)\AstroGrep\AstroGrep.exe" /spath="%USERPROFILE%\AppData\Local\Temp\OnboardLogs" /stypes="*4016*20160908*"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7"/>
        <v>"%USERPROFILE%\Documents\GitHub\eaglep3\Utilities\RefineRTDCRunTimes.py" --tripid 115-08 --locoid 4016 --swversion DE.1.0.7.0 --startMP 204:704 --initTime 2016-09-08T05:23:52 --startdatetime 2016-09-08T05:30:14 --delay 2 --endMP 204:233288 --enddatetime 2016-09-08T06:06:51 --enforcementcount 0 &gt;&gt;C:\Users\stu\Documents\GitHub\eaglep3-reporting\EC\2016-09-08-refined-times.txt</v>
      </c>
      <c r="AI27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{"issue":{"subject":"","project_id":79,"tracker_id":40,"status_id":1,"priority_id":2,"assigned_to_id":23,"start_date":"2016-09-08","description":"","custom_fields":[{"id":1,"name":"Subdivision","value":"EC"},{"id":4,"name":"Milepost","value":"23.2584"},{"id":17,"name":"Train ID","value":"115-08"},{"id":16,"name":"Locomotive ID","value":"4016"},{"id":130,"name":"Impact","value":""},{"id":150,"name":"Time of Event (Mountain Time)","value":"06:06:51"},{"id":151,"name":"Denver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304</v>
      </c>
      <c r="B28" s="7">
        <v>4015</v>
      </c>
      <c r="C28" s="24" t="s">
        <v>109</v>
      </c>
      <c r="D28" s="24" t="s">
        <v>305</v>
      </c>
      <c r="E28" s="15">
        <v>42621.256643518522</v>
      </c>
      <c r="F28" s="15">
        <v>42621.268217592595</v>
      </c>
      <c r="G28" s="7">
        <v>1</v>
      </c>
      <c r="H28" s="15" t="s">
        <v>306</v>
      </c>
      <c r="I28" s="15">
        <v>42621.298148148147</v>
      </c>
      <c r="J28" s="7">
        <v>0</v>
      </c>
      <c r="K28" s="122" t="str">
        <f t="shared" si="0"/>
        <v>4015/4016</v>
      </c>
      <c r="L28" s="24" t="str">
        <f>VLOOKUP(A28,'Trips&amp;Operators'!$C$1:$E$10000,3,FALSE)</f>
        <v>BRANNON</v>
      </c>
      <c r="M28" s="6">
        <f t="shared" si="1"/>
        <v>2.9930555552709848E-2</v>
      </c>
      <c r="N28" s="7">
        <f t="shared" si="21"/>
        <v>43.099999995902181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05:09:34-0600',mode:absolute,to:'2016-09-08 08:09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28" s="54" t="str">
        <f t="shared" si="6"/>
        <v>N</v>
      </c>
      <c r="X28" s="172">
        <f t="shared" si="20"/>
        <v>1</v>
      </c>
      <c r="Y28" s="69">
        <f t="shared" si="8"/>
        <v>23.2986</v>
      </c>
      <c r="Z28" s="69">
        <f t="shared" si="9"/>
        <v>1.4999999999999999E-2</v>
      </c>
      <c r="AA28" s="69">
        <f t="shared" si="10"/>
        <v>23.2836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 t="shared" si="11"/>
        <v>0116-08</v>
      </c>
      <c r="AE28" s="99" t="str">
        <f t="shared" si="12"/>
        <v>aws s3 cp s3://rtdc.mdm.uploadarchive/RTDC4015/2016-09-08/ "%USERPROFILE%\AppData\Local\Temp\OnboardLogs"\RTDC4015\2016-09-08 --recursive &amp; "%USERPROFILE%\Documents\GitHub\mrs-test-scripts\Headless Mode &amp; Sideloading\WalkAndUnGZ.bat" "%USERPROFILE%\AppData\Local\Temp\OnboardLogs"\RTDC4015\2016-09-08 &amp; 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</v>
      </c>
      <c r="AF28" s="96" t="str">
        <f t="shared" si="13"/>
        <v>"C:\Program Files (x86)\AstroGrep\AstroGrep.exe" /spath="%USERPROFILE%\AppData\Local\Temp\OnboardLogs" /stypes="*4015*20160908*"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7"/>
        <v>"%USERPROFILE%\Documents\GitHub\eaglep3\Utilities\RefineRTDCRunTimes.py" --tripid 116-08 --locoid 4015 --swversion DE.1.0.7.0 --startMP 204:232986 --initTime 2016-09-08T06:09:34 --startdatetime 2016-09-08T06:26:14 --delay 1 --endMP 204:150 --enddatetime 2016-09-08T07:09:20 --enforcementcount 0 &gt;&gt;C:\Users\stu\Documents\GitHub\eaglep3-reporting\EC\2016-09-08-refined-times.txt</v>
      </c>
      <c r="AI28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{"issue":{"subject":"","project_id":79,"tracker_id":40,"status_id":1,"priority_id":2,"assigned_to_id":23,"start_date":"2016-09-08","description":"","custom_fields":[{"id":1,"name":"Subdivision","value":"EC"},{"id":4,"name":"Milepost","value":"23.2836"},{"id":17,"name":"Train ID","value":"116-08"},{"id":16,"name":"Locomotive ID","value":"4015"},{"id":130,"name":"Impact","value":""},{"id":150,"name":"Time of Event (Mountain Time)","value":"07:09:20"},{"id":151,"name":"Denver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307</v>
      </c>
      <c r="B29" s="7">
        <v>4011</v>
      </c>
      <c r="C29" s="24" t="s">
        <v>109</v>
      </c>
      <c r="D29" s="24" t="s">
        <v>308</v>
      </c>
      <c r="E29" s="15">
        <v>42621.226041666669</v>
      </c>
      <c r="F29" s="15">
        <v>42621.239803240744</v>
      </c>
      <c r="G29" s="7">
        <v>1</v>
      </c>
      <c r="H29" s="15" t="s">
        <v>298</v>
      </c>
      <c r="I29" s="15">
        <v>42621.264861111114</v>
      </c>
      <c r="J29" s="7">
        <v>0</v>
      </c>
      <c r="K29" s="122" t="str">
        <f t="shared" si="0"/>
        <v>4011/4012</v>
      </c>
      <c r="L29" s="24" t="str">
        <f>VLOOKUP(A29,'Trips&amp;Operators'!$C$1:$E$10000,3,FALSE)</f>
        <v>SANTIZO</v>
      </c>
      <c r="M29" s="6">
        <f t="shared" si="1"/>
        <v>2.5057870370801538E-2</v>
      </c>
      <c r="N29" s="7">
        <f t="shared" si="21"/>
        <v>36.083333333954215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04:25:30-0600',mode:absolute,to:'2016-09-08 07:21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9" s="54" t="str">
        <f t="shared" si="6"/>
        <v>N</v>
      </c>
      <c r="X29" s="172">
        <f t="shared" si="20"/>
        <v>1</v>
      </c>
      <c r="Y29" s="69">
        <f t="shared" si="8"/>
        <v>4.1599999999999998E-2</v>
      </c>
      <c r="Z29" s="69">
        <f t="shared" si="9"/>
        <v>23.330200000000001</v>
      </c>
      <c r="AA29" s="69">
        <f t="shared" si="10"/>
        <v>23.288600000000002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 t="shared" si="11"/>
        <v>0117-08</v>
      </c>
      <c r="AE29" s="99" t="str">
        <f t="shared" si="12"/>
        <v>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 &amp; 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</v>
      </c>
      <c r="AF29" s="96" t="str">
        <f t="shared" si="13"/>
        <v>"C:\Program Files (x86)\AstroGrep\AstroGrep.exe" /spath="%USERPROFILE%\AppData\Local\Temp\OnboardLogs" /stypes="*4011*20160908*"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7"/>
        <v>"%USERPROFILE%\Documents\GitHub\eaglep3\Utilities\RefineRTDCRunTimes.py" --tripid 117-08 --locoid 4011 --swversion DE.1.0.7.0 --startMP 204:416 --initTime 2016-09-08T05:25:30 --startdatetime 2016-09-08T05:45:19 --delay 1 --endMP 204:233302 --enddatetime 2016-09-08T06:21:24 --enforcementcount 0 &gt;&gt;C:\Users\stu\Documents\GitHub\eaglep3-reporting\EC\2016-09-08-refined-times.txt</v>
      </c>
      <c r="AI29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{"issue":{"subject":"","project_id":79,"tracker_id":40,"status_id":1,"priority_id":2,"assigned_to_id":23,"start_date":"2016-09-08","description":"","custom_fields":[{"id":1,"name":"Subdivision","value":"EC"},{"id":4,"name":"Milepost","value":"23.2886"},{"id":17,"name":"Train ID","value":"117-08"},{"id":16,"name":"Locomotive ID","value":"4011"},{"id":130,"name":"Impact","value":""},{"id":150,"name":"Time of Event (Mountain Time)","value":"06:21:24"},{"id":151,"name":"Denver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309</v>
      </c>
      <c r="B30" s="7">
        <v>4012</v>
      </c>
      <c r="C30" s="24" t="s">
        <v>109</v>
      </c>
      <c r="D30" s="24" t="s">
        <v>287</v>
      </c>
      <c r="E30" s="15">
        <v>42621.26635416667</v>
      </c>
      <c r="F30" s="15">
        <v>42621.278692129628</v>
      </c>
      <c r="G30" s="7">
        <v>1</v>
      </c>
      <c r="H30" s="15" t="s">
        <v>310</v>
      </c>
      <c r="I30" s="15">
        <v>42621.31521990741</v>
      </c>
      <c r="J30" s="7">
        <v>0</v>
      </c>
      <c r="K30" s="122" t="str">
        <f t="shared" si="0"/>
        <v>4011/4012</v>
      </c>
      <c r="L30" s="24" t="str">
        <f>VLOOKUP(A30,'Trips&amp;Operators'!$C$1:$E$10000,3,FALSE)</f>
        <v>SANTIZO</v>
      </c>
      <c r="M30" s="6">
        <f t="shared" si="1"/>
        <v>3.6527777781884652E-2</v>
      </c>
      <c r="N30" s="7">
        <f t="shared" si="21"/>
        <v>52.600000005913898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05:23:33-0600',mode:absolute,to:'2016-09-08 08:33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30" s="54" t="str">
        <f t="shared" si="6"/>
        <v>N</v>
      </c>
      <c r="X30" s="172">
        <f t="shared" si="20"/>
        <v>1</v>
      </c>
      <c r="Y30" s="69">
        <f t="shared" si="8"/>
        <v>23.299099999999999</v>
      </c>
      <c r="Z30" s="69">
        <f t="shared" si="9"/>
        <v>2.2100000000000002E-2</v>
      </c>
      <c r="AA30" s="69">
        <f t="shared" si="10"/>
        <v>23.277000000000001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11"/>
        <v>0118-08</v>
      </c>
      <c r="AE30" s="99" t="str">
        <f t="shared" si="12"/>
        <v>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 &amp; 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</v>
      </c>
      <c r="AF30" s="96" t="str">
        <f t="shared" si="13"/>
        <v>"C:\Program Files (x86)\AstroGrep\AstroGrep.exe" /spath="%USERPROFILE%\AppData\Local\Temp\OnboardLogs" /stypes="*4012*20160908*"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7"/>
        <v>"%USERPROFILE%\Documents\GitHub\eaglep3\Utilities\RefineRTDCRunTimes.py" --tripid 118-08 --locoid 4012 --swversion DE.1.0.7.0 --startMP 204:232991 --initTime 2016-09-08T06:23:33 --startdatetime 2016-09-08T06:41:19 --delay 1 --endMP 204:221 --enddatetime 2016-09-08T07:33:55 --enforcementcount 0 &gt;&gt;C:\Users\stu\Documents\GitHub\eaglep3-reporting\EC\2016-09-08-refined-times.txt</v>
      </c>
      <c r="AI30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{"issue":{"subject":"","project_id":79,"tracker_id":40,"status_id":1,"priority_id":2,"assigned_to_id":23,"start_date":"2016-09-08","description":"","custom_fields":[{"id":1,"name":"Subdivision","value":"EC"},{"id":4,"name":"Milepost","value":"23.277"},{"id":17,"name":"Train ID","value":"118-08"},{"id":16,"name":"Locomotive ID","value":"4012"},{"id":130,"name":"Impact","value":""},{"id":150,"name":"Time of Event (Mountain Time)","value":"07:33:55"},{"id":151,"name":"Denver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311</v>
      </c>
      <c r="B31" s="7">
        <v>4031</v>
      </c>
      <c r="C31" s="24" t="s">
        <v>109</v>
      </c>
      <c r="D31" s="24" t="s">
        <v>312</v>
      </c>
      <c r="E31" s="15">
        <v>42621.247893518521</v>
      </c>
      <c r="F31" s="15">
        <v>42621.250243055554</v>
      </c>
      <c r="G31" s="7">
        <v>1</v>
      </c>
      <c r="H31" s="15" t="s">
        <v>313</v>
      </c>
      <c r="I31" s="15">
        <v>42621.275509259256</v>
      </c>
      <c r="J31" s="7">
        <v>0</v>
      </c>
      <c r="K31" s="122" t="str">
        <f t="shared" si="0"/>
        <v>4031/4032</v>
      </c>
      <c r="L31" s="24" t="str">
        <f>VLOOKUP(A31,'Trips&amp;Operators'!$C$1:$E$10000,3,FALSE)</f>
        <v>MALAVE</v>
      </c>
      <c r="M31" s="6">
        <f t="shared" si="1"/>
        <v>2.5266203701903578E-2</v>
      </c>
      <c r="N31" s="7">
        <f t="shared" si="21"/>
        <v>36.383333330741152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04:56:58-0600',mode:absolute,to:'2016-09-08 07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31" s="54" t="str">
        <f t="shared" si="6"/>
        <v>N</v>
      </c>
      <c r="X31" s="172">
        <f t="shared" si="20"/>
        <v>1</v>
      </c>
      <c r="Y31" s="69">
        <f t="shared" si="8"/>
        <v>7.7700000000000005E-2</v>
      </c>
      <c r="Z31" s="69">
        <f t="shared" si="9"/>
        <v>23.3291</v>
      </c>
      <c r="AA31" s="69">
        <f t="shared" si="10"/>
        <v>23.2514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 t="shared" si="11"/>
        <v>0119-08</v>
      </c>
      <c r="AE31" s="99" t="str">
        <f t="shared" si="12"/>
        <v>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 &amp; 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</v>
      </c>
      <c r="AF31" s="96" t="str">
        <f t="shared" si="13"/>
        <v>"C:\Program Files (x86)\AstroGrep\AstroGrep.exe" /spath="%USERPROFILE%\AppData\Local\Temp\OnboardLogs" /stypes="*4031*20160908*"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7"/>
        <v>"%USERPROFILE%\Documents\GitHub\eaglep3\Utilities\RefineRTDCRunTimes.py" --tripid 119-08 --locoid 4031 --swversion DE.1.0.7.0 --startMP 204:777 --initTime 2016-09-08T05:56:58 --startdatetime 2016-09-08T06:00:21 --delay 1 --endMP 204:233291 --enddatetime 2016-09-08T06:36:44 --enforcementcount 0 &gt;&gt;C:\Users\stu\Documents\GitHub\eaglep3-reporting\EC\2016-09-08-refined-times.txt</v>
      </c>
      <c r="AI31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{"issue":{"subject":"","project_id":79,"tracker_id":40,"status_id":1,"priority_id":2,"assigned_to_id":23,"start_date":"2016-09-08","description":"","custom_fields":[{"id":1,"name":"Subdivision","value":"EC"},{"id":4,"name":"Milepost","value":"23.2514"},{"id":17,"name":"Train ID","value":"119-08"},{"id":16,"name":"Locomotive ID","value":"4031"},{"id":130,"name":"Impact","value":""},{"id":150,"name":"Time of Event (Mountain Time)","value":"06:36:44"},{"id":151,"name":"Denver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314</v>
      </c>
      <c r="B32" s="7">
        <v>4032</v>
      </c>
      <c r="C32" s="24" t="s">
        <v>109</v>
      </c>
      <c r="D32" s="24" t="s">
        <v>315</v>
      </c>
      <c r="E32" s="15">
        <v>42621.28601851852</v>
      </c>
      <c r="F32" s="15">
        <v>42621.2891087963</v>
      </c>
      <c r="G32" s="7">
        <v>1</v>
      </c>
      <c r="H32" s="15" t="s">
        <v>316</v>
      </c>
      <c r="I32" s="15">
        <v>42621.319467592592</v>
      </c>
      <c r="J32" s="7">
        <v>0</v>
      </c>
      <c r="K32" s="122" t="str">
        <f t="shared" si="0"/>
        <v>4031/4032</v>
      </c>
      <c r="L32" s="24" t="str">
        <f>VLOOKUP(A32,'Trips&amp;Operators'!$C$1:$E$10000,3,FALSE)</f>
        <v>MALAVE</v>
      </c>
      <c r="M32" s="6">
        <f t="shared" si="1"/>
        <v>3.0358796291693579E-2</v>
      </c>
      <c r="N32" s="7">
        <f t="shared" si="21"/>
        <v>43.716666660038754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05:51:52-0600',mode:absolute,to:'2016-09-08 08:40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32" s="54" t="str">
        <f t="shared" si="6"/>
        <v>N</v>
      </c>
      <c r="X32" s="172">
        <f t="shared" si="20"/>
        <v>1</v>
      </c>
      <c r="Y32" s="69">
        <f t="shared" si="8"/>
        <v>23.2959</v>
      </c>
      <c r="Z32" s="69">
        <f t="shared" si="9"/>
        <v>1.43E-2</v>
      </c>
      <c r="AA32" s="69">
        <f t="shared" si="10"/>
        <v>23.281600000000001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 t="shared" si="11"/>
        <v>0120-08</v>
      </c>
      <c r="AE32" s="99" t="str">
        <f t="shared" si="12"/>
        <v>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 &amp; 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</v>
      </c>
      <c r="AF32" s="96" t="str">
        <f t="shared" si="13"/>
        <v>"C:\Program Files (x86)\AstroGrep\AstroGrep.exe" /spath="%USERPROFILE%\AppData\Local\Temp\OnboardLogs" /stypes="*4032*20160908*"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7"/>
        <v>"%USERPROFILE%\Documents\GitHub\eaglep3\Utilities\RefineRTDCRunTimes.py" --tripid 120-08 --locoid 4032 --swversion DE.1.0.7.0 --startMP 204:232959 --initTime 2016-09-08T06:51:52 --startdatetime 2016-09-08T06:56:19 --delay 1 --endMP 204:143 --enddatetime 2016-09-08T07:40:02 --enforcementcount 0 &gt;&gt;C:\Users\stu\Documents\GitHub\eaglep3-reporting\EC\2016-09-08-refined-times.txt</v>
      </c>
      <c r="AI32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{"issue":{"subject":"","project_id":79,"tracker_id":40,"status_id":1,"priority_id":2,"assigned_to_id":23,"start_date":"2016-09-08","description":"","custom_fields":[{"id":1,"name":"Subdivision","value":"EC"},{"id":4,"name":"Milepost","value":"23.2816"},{"id":17,"name":"Train ID","value":"120-08"},{"id":16,"name":"Locomotive ID","value":"4032"},{"id":130,"name":"Impact","value":""},{"id":150,"name":"Time of Event (Mountain Time)","value":"07:40:02"},{"id":151,"name":"Denver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317</v>
      </c>
      <c r="B33" s="7">
        <v>4014</v>
      </c>
      <c r="C33" s="24" t="s">
        <v>109</v>
      </c>
      <c r="D33" s="24" t="s">
        <v>318</v>
      </c>
      <c r="E33" s="15">
        <v>42621.257673611108</v>
      </c>
      <c r="F33" s="15">
        <v>42621.260763888888</v>
      </c>
      <c r="G33" s="7">
        <v>2</v>
      </c>
      <c r="H33" s="15" t="s">
        <v>319</v>
      </c>
      <c r="I33" s="15">
        <v>42621.29451388889</v>
      </c>
      <c r="J33" s="7">
        <v>0</v>
      </c>
      <c r="K33" s="122" t="str">
        <f t="shared" si="0"/>
        <v>4013/4014</v>
      </c>
      <c r="L33" s="24" t="str">
        <f>VLOOKUP(A33,'Trips&amp;Operators'!$C$1:$E$10000,3,FALSE)</f>
        <v>STRICKLAND</v>
      </c>
      <c r="M33" s="6">
        <f t="shared" si="1"/>
        <v>3.3750000002328306E-2</v>
      </c>
      <c r="N33" s="7">
        <f t="shared" si="21"/>
        <v>48.600000003352761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05:11:03-0600',mode:absolute,to:'2016-09-08 08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33" s="54" t="str">
        <f t="shared" si="6"/>
        <v>N</v>
      </c>
      <c r="X33" s="172">
        <f t="shared" si="20"/>
        <v>1</v>
      </c>
      <c r="Y33" s="69">
        <f t="shared" si="8"/>
        <v>4.6899999999999997E-2</v>
      </c>
      <c r="Z33" s="69">
        <f t="shared" si="9"/>
        <v>23.3278</v>
      </c>
      <c r="AA33" s="69">
        <f t="shared" si="10"/>
        <v>23.280899999999999</v>
      </c>
      <c r="AB33" s="66" t="str">
        <f>VLOOKUP(A33,Enforcements!$C$7:$K$21,8,0)</f>
        <v>Bulletin (2)</v>
      </c>
      <c r="AC33" s="62" t="str">
        <f>VLOOKUP(A33,Enforcements!$C$7:$E$21,3,0)</f>
        <v>GRADE CROSSING</v>
      </c>
      <c r="AD33" s="63" t="str">
        <f t="shared" si="11"/>
        <v>0121-08</v>
      </c>
      <c r="AE33" s="99" t="str">
        <f t="shared" si="12"/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AF33" s="96" t="str">
        <f t="shared" si="13"/>
        <v>"C:\Program Files (x86)\AstroGrep\AstroGrep.exe" /spath="%USERPROFILE%\AppData\Local\Temp\OnboardLogs" /stypes="*4014*20160908*" /stext=" 13:.+((SYSTEM_STATE.+slice.+state.+changed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7"/>
        <v>"%USERPROFILE%\Documents\GitHub\eaglep3\Utilities\RefineRTDCRunTimes.py" --tripid 121-08 --locoid 4014 --swversion DE.1.0.7.0 --startMP 204:469 --initTime 2016-09-08T06:11:03 --startdatetime 2016-09-08T06:15:30 --delay 2 --endMP 204:233278 --enddatetime 2016-09-08T07:04:06 --enforcementcount 0 &gt;&gt;C:\Users\stu\Documents\GitHub\eaglep3-reporting\EC\2016-09-08-refined-times.txt</v>
      </c>
      <c r="AI33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{"issue":{"subject":"","project_id":79,"tracker_id":40,"status_id":1,"priority_id":2,"assigned_to_id":23,"start_date":"2016-09-08","description":"","custom_fields":[{"id":1,"name":"Subdivision","value":"EC"},{"id":4,"name":"Milepost","value":"23.2809"},{"id":17,"name":"Train ID","value":"121-08"},{"id":16,"name":"Locomotive ID","value":"4014"},{"id":130,"name":"Impact","value":""},{"id":150,"name":"Time of Event (Mountain Time)","value":"07:04:06"},{"id":151,"name":"Denver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320</v>
      </c>
      <c r="B34" s="7">
        <v>4013</v>
      </c>
      <c r="C34" s="24" t="s">
        <v>109</v>
      </c>
      <c r="D34" s="24" t="s">
        <v>321</v>
      </c>
      <c r="E34" s="15">
        <v>42621.296296296299</v>
      </c>
      <c r="F34" s="15">
        <v>42621.300324074073</v>
      </c>
      <c r="G34" s="7">
        <v>1</v>
      </c>
      <c r="H34" s="15" t="s">
        <v>322</v>
      </c>
      <c r="I34" s="15">
        <v>42621.328622685185</v>
      </c>
      <c r="J34" s="7">
        <v>0</v>
      </c>
      <c r="K34" s="122" t="str">
        <f t="shared" si="0"/>
        <v>4013/4014</v>
      </c>
      <c r="L34" s="24" t="str">
        <f>VLOOKUP(A34,'Trips&amp;Operators'!$C$1:$E$10000,3,FALSE)</f>
        <v>STRICKLAND</v>
      </c>
      <c r="M34" s="6">
        <f t="shared" si="1"/>
        <v>2.8298611112404615E-2</v>
      </c>
      <c r="N34" s="7">
        <f t="shared" si="21"/>
        <v>40.750000001862645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06:06:40-0600',mode:absolute,to:'2016-09-08 08:53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34" s="54" t="str">
        <f t="shared" si="6"/>
        <v>N</v>
      </c>
      <c r="X34" s="172">
        <f t="shared" si="20"/>
        <v>1</v>
      </c>
      <c r="Y34" s="69">
        <f t="shared" si="8"/>
        <v>23.296399999999998</v>
      </c>
      <c r="Z34" s="69">
        <f t="shared" si="9"/>
        <v>1.67E-2</v>
      </c>
      <c r="AA34" s="69">
        <f t="shared" si="10"/>
        <v>23.279699999999998</v>
      </c>
      <c r="AB34" s="66" t="e">
        <f>VLOOKUP(A34,Enforcements!$C$7:$K$21,8,0)</f>
        <v>#N/A</v>
      </c>
      <c r="AC34" s="62" t="e">
        <f>VLOOKUP(A34,Enforcements!$C$7:$E$21,3,0)</f>
        <v>#N/A</v>
      </c>
      <c r="AD34" s="63" t="str">
        <f t="shared" si="11"/>
        <v>0122-08</v>
      </c>
      <c r="AE34" s="99" t="str">
        <f t="shared" si="12"/>
        <v>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 &amp; aws s3 cp s3://rtdc.mdm.uploadarchive/RTDC4013/2016-09-09/ "%USERPROFILE%\AppData\Local\Temp\OnboardLogs"\RTDC4013\2016-09-09 --recursive &amp; "%USERPROFILE%\Documents\GitHub\mrs-test-scripts\Headless Mode &amp; Sideloading\WalkAndUnGZ.bat" "%USERPROFILE%\AppData\Local\Temp\OnboardLogs"\RTDC4013\2016-09-09</v>
      </c>
      <c r="AF34" s="96" t="str">
        <f t="shared" si="13"/>
        <v>"C:\Program Files (x86)\AstroGrep\AstroGrep.exe" /spath="%USERPROFILE%\AppData\Local\Temp\OnboardLogs" /stypes="*4013*20160908*"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7"/>
        <v>"%USERPROFILE%\Documents\GitHub\eaglep3\Utilities\RefineRTDCRunTimes.py" --tripid 122-08 --locoid 4013 --swversion DE.1.0.7.0 --startMP 204:232964 --initTime 2016-09-08T07:06:40 --startdatetime 2016-09-08T07:12:28 --delay 1 --endMP 204:167 --enddatetime 2016-09-08T07:53:13 --enforcementcount 0 &gt;&gt;C:\Users\stu\Documents\GitHub\eaglep3-reporting\EC\2016-09-08-refined-times.txt</v>
      </c>
      <c r="AI34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{"issue":{"subject":"","project_id":79,"tracker_id":40,"status_id":1,"priority_id":2,"assigned_to_id":23,"start_date":"2016-09-08","description":"","custom_fields":[{"id":1,"name":"Subdivision","value":"EC"},{"id":4,"name":"Milepost","value":"23.2797"},{"id":17,"name":"Train ID","value":"122-08"},{"id":16,"name":"Locomotive ID","value":"4013"},{"id":130,"name":"Impact","value":""},{"id":150,"name":"Time of Event (Mountain Time)","value":"07:53:13"},{"id":151,"name":"Denver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ht="16.5" customHeight="1" x14ac:dyDescent="0.25">
      <c r="A35" s="39" t="s">
        <v>323</v>
      </c>
      <c r="B35" s="7">
        <v>4009</v>
      </c>
      <c r="C35" s="24" t="s">
        <v>109</v>
      </c>
      <c r="D35" s="24" t="s">
        <v>324</v>
      </c>
      <c r="E35" s="15">
        <v>42621.266388888886</v>
      </c>
      <c r="F35" s="15">
        <v>42621.271168981482</v>
      </c>
      <c r="G35" s="7">
        <v>1</v>
      </c>
      <c r="H35" s="15" t="s">
        <v>325</v>
      </c>
      <c r="I35" s="15">
        <v>42621.299143518518</v>
      </c>
      <c r="J35" s="7">
        <v>0</v>
      </c>
      <c r="K35" s="122" t="str">
        <f t="shared" si="0"/>
        <v>4009/4010</v>
      </c>
      <c r="L35" s="24" t="str">
        <f>VLOOKUP(A35,'Trips&amp;Operators'!$C$1:$E$10000,3,FALSE)</f>
        <v>BREITSCH</v>
      </c>
      <c r="M35" s="6">
        <f t="shared" si="1"/>
        <v>2.7974537035333924E-2</v>
      </c>
      <c r="N35" s="7">
        <f t="shared" si="21"/>
        <v>40.283333330880851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05:23:36-0600',mode:absolute,to:'2016-09-08 08:10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35" s="54" t="str">
        <f t="shared" si="6"/>
        <v>N</v>
      </c>
      <c r="X35" s="172">
        <f t="shared" si="20"/>
        <v>1</v>
      </c>
      <c r="Y35" s="69">
        <f t="shared" si="8"/>
        <v>4.6199999999999998E-2</v>
      </c>
      <c r="Z35" s="69">
        <f t="shared" si="9"/>
        <v>23.3307</v>
      </c>
      <c r="AA35" s="69">
        <f t="shared" si="10"/>
        <v>23.284500000000001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 t="shared" si="11"/>
        <v>0123-08</v>
      </c>
      <c r="AE35" s="99" t="str">
        <f t="shared" si="12"/>
        <v>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 &amp; 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</v>
      </c>
      <c r="AF35" s="96" t="str">
        <f t="shared" si="13"/>
        <v>"C:\Program Files (x86)\AstroGrep\AstroGrep.exe" /spath="%USERPROFILE%\AppData\Local\Temp\OnboardLogs" /stypes="*4009*20160908*"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7"/>
        <v>"%USERPROFILE%\Documents\GitHub\eaglep3\Utilities\RefineRTDCRunTimes.py" --tripid 123-08 --locoid 4009 --swversion DE.1.0.7.0 --startMP 204:462 --initTime 2016-09-08T06:23:36 --startdatetime 2016-09-08T06:30:29 --delay 1 --endMP 204:233307 --enddatetime 2016-09-08T07:10:46 --enforcementcount 0 &gt;&gt;C:\Users\stu\Documents\GitHub\eaglep3-reporting\EC\2016-09-08-refined-times.txt</v>
      </c>
      <c r="AI35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{"issue":{"subject":"","project_id":79,"tracker_id":40,"status_id":1,"priority_id":2,"assigned_to_id":23,"start_date":"2016-09-08","description":"","custom_fields":[{"id":1,"name":"Subdivision","value":"EC"},{"id":4,"name":"Milepost","value":"23.2845"},{"id":17,"name":"Train ID","value":"123-08"},{"id":16,"name":"Locomotive ID","value":"4009"},{"id":130,"name":"Impact","value":""},{"id":150,"name":"Time of Event (Mountain Time)","value":"07:10:46"},{"id":151,"name":"Denver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326</v>
      </c>
      <c r="B36" s="7">
        <v>4010</v>
      </c>
      <c r="C36" s="24" t="s">
        <v>109</v>
      </c>
      <c r="D36" s="24" t="s">
        <v>305</v>
      </c>
      <c r="E36" s="15">
        <v>42621.30678240741</v>
      </c>
      <c r="F36" s="15">
        <v>42621.310046296298</v>
      </c>
      <c r="G36" s="7">
        <v>1</v>
      </c>
      <c r="H36" s="15" t="s">
        <v>327</v>
      </c>
      <c r="I36" s="15">
        <v>42621.335821759261</v>
      </c>
      <c r="J36" s="7">
        <v>0</v>
      </c>
      <c r="K36" s="122" t="str">
        <f t="shared" si="0"/>
        <v>4009/4010</v>
      </c>
      <c r="L36" s="24" t="str">
        <f>VLOOKUP(A36,'Trips&amp;Operators'!$C$1:$E$10000,3,FALSE)</f>
        <v>BREITSCH</v>
      </c>
      <c r="M36" s="6">
        <f t="shared" si="1"/>
        <v>2.5775462963792961E-2</v>
      </c>
      <c r="N36" s="7">
        <f t="shared" si="21"/>
        <v>37.116666667861864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06:21:46-0600',mode:absolute,to:'2016-09-08 09:03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36" s="54" t="str">
        <f t="shared" si="6"/>
        <v>N</v>
      </c>
      <c r="X36" s="172">
        <f t="shared" si="20"/>
        <v>1</v>
      </c>
      <c r="Y36" s="69">
        <f t="shared" si="8"/>
        <v>23.2986</v>
      </c>
      <c r="Z36" s="69">
        <f t="shared" si="9"/>
        <v>1.52E-2</v>
      </c>
      <c r="AA36" s="69">
        <f t="shared" si="10"/>
        <v>23.2834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 t="shared" si="11"/>
        <v>0124-08</v>
      </c>
      <c r="AE36" s="99" t="str">
        <f t="shared" si="12"/>
        <v>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 &amp; 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</v>
      </c>
      <c r="AF36" s="96" t="str">
        <f t="shared" si="13"/>
        <v>"C:\Program Files (x86)\AstroGrep\AstroGrep.exe" /spath="%USERPROFILE%\AppData\Local\Temp\OnboardLogs" /stypes="*4010*20160908*"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7"/>
        <v>"%USERPROFILE%\Documents\GitHub\eaglep3\Utilities\RefineRTDCRunTimes.py" --tripid 124-08 --locoid 4010 --swversion DE.1.0.7.0 --startMP 204:232986 --initTime 2016-09-08T07:21:46 --startdatetime 2016-09-08T07:26:28 --delay 1 --endMP 204:152 --enddatetime 2016-09-08T08:03:35 --enforcementcount 0 &gt;&gt;C:\Users\stu\Documents\GitHub\eaglep3-reporting\EC\2016-09-08-refined-times.txt</v>
      </c>
      <c r="AI36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{"issue":{"subject":"","project_id":79,"tracker_id":40,"status_id":1,"priority_id":2,"assigned_to_id":23,"start_date":"2016-09-08","description":"","custom_fields":[{"id":1,"name":"Subdivision","value":"EC"},{"id":4,"name":"Milepost","value":"23.2834"},{"id":17,"name":"Train ID","value":"124-08"},{"id":16,"name":"Locomotive ID","value":"4010"},{"id":130,"name":"Impact","value":""},{"id":150,"name":"Time of Event (Mountain Time)","value":"08:03:35"},{"id":151,"name":"Denver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31" customFormat="1" x14ac:dyDescent="0.25">
      <c r="A37" s="39" t="s">
        <v>328</v>
      </c>
      <c r="B37" s="7">
        <v>4018</v>
      </c>
      <c r="C37" s="24" t="s">
        <v>109</v>
      </c>
      <c r="D37" s="24" t="s">
        <v>329</v>
      </c>
      <c r="E37" s="15">
        <v>42621.27784722222</v>
      </c>
      <c r="F37" s="15">
        <v>42621.281388888892</v>
      </c>
      <c r="G37" s="7">
        <v>1</v>
      </c>
      <c r="H37" s="15" t="s">
        <v>298</v>
      </c>
      <c r="I37" s="15">
        <v>42621.306875000002</v>
      </c>
      <c r="J37" s="7">
        <v>0</v>
      </c>
      <c r="K37" s="122" t="str">
        <f t="shared" si="0"/>
        <v>4017/4018</v>
      </c>
      <c r="L37" s="24" t="str">
        <f>VLOOKUP(A37,'Trips&amp;Operators'!$C$1:$E$10000,3,FALSE)</f>
        <v>STARKS</v>
      </c>
      <c r="M37" s="6">
        <f t="shared" si="1"/>
        <v>2.548611110978527E-2</v>
      </c>
      <c r="N37" s="7">
        <f t="shared" si="21"/>
        <v>36.699999998090789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05:40:06-0600',mode:absolute,to:'2016-09-08 08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37" s="54" t="str">
        <f t="shared" si="6"/>
        <v>N</v>
      </c>
      <c r="X37" s="172">
        <f t="shared" si="20"/>
        <v>1</v>
      </c>
      <c r="Y37" s="69">
        <f t="shared" si="8"/>
        <v>4.8000000000000001E-2</v>
      </c>
      <c r="Z37" s="69">
        <f t="shared" si="9"/>
        <v>23.330200000000001</v>
      </c>
      <c r="AA37" s="69">
        <f t="shared" si="10"/>
        <v>23.282200000000003</v>
      </c>
      <c r="AB37" s="66" t="e">
        <f>VLOOKUP(A37,Enforcements!$C$7:$K$21,8,0)</f>
        <v>#N/A</v>
      </c>
      <c r="AC37" s="62" t="e">
        <f>VLOOKUP(A37,Enforcements!$C$7:$E$21,3,0)</f>
        <v>#N/A</v>
      </c>
      <c r="AD37" s="63" t="str">
        <f t="shared" si="11"/>
        <v>0125-08</v>
      </c>
      <c r="AE37" s="99" t="str">
        <f t="shared" si="12"/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AF37" s="96" t="str">
        <f t="shared" si="13"/>
        <v>"C:\Program Files (x86)\AstroGrep\AstroGrep.exe" /spath="%USERPROFILE%\AppData\Local\Temp\OnboardLogs" /stypes="*4018*20160908*"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7"/>
        <v>"%USERPROFILE%\Documents\GitHub\eaglep3\Utilities\RefineRTDCRunTimes.py" --tripid 125-08 --locoid 4018 --swversion DE.1.0.7.0 --startMP 204:480 --initTime 2016-09-08T06:40:06 --startdatetime 2016-09-08T06:45:12 --delay 1 --endMP 204:233302 --enddatetime 2016-09-08T07:21:54 --enforcementcount 0 &gt;&gt;C:\Users\stu\Documents\GitHub\eaglep3-reporting\EC\2016-09-08-refined-times.txt</v>
      </c>
      <c r="AI37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{"issue":{"subject":"","project_id":79,"tracker_id":40,"status_id":1,"priority_id":2,"assigned_to_id":23,"start_date":"2016-09-08","description":"","custom_fields":[{"id":1,"name":"Subdivision","value":"EC"},{"id":4,"name":"Milepost","value":"23.2822"},{"id":17,"name":"Train ID","value":"125-08"},{"id":16,"name":"Locomotive ID","value":"4018"},{"id":130,"name":"Impact","value":""},{"id":150,"name":"Time of Event (Mountain Time)","value":"07:21:54"},{"id":151,"name":"Denver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330</v>
      </c>
      <c r="B38" s="7">
        <v>4017</v>
      </c>
      <c r="C38" s="24" t="s">
        <v>109</v>
      </c>
      <c r="D38" s="24" t="s">
        <v>331</v>
      </c>
      <c r="E38" s="15">
        <v>42621.317476851851</v>
      </c>
      <c r="F38" s="15">
        <v>42621.320370370369</v>
      </c>
      <c r="G38" s="7">
        <v>1</v>
      </c>
      <c r="H38" s="15" t="s">
        <v>306</v>
      </c>
      <c r="I38" s="15">
        <v>42621.350821759261</v>
      </c>
      <c r="J38" s="7">
        <v>0</v>
      </c>
      <c r="K38" s="122" t="str">
        <f t="shared" si="0"/>
        <v>4017/4018</v>
      </c>
      <c r="L38" s="24" t="str">
        <f>VLOOKUP(A38,'Trips&amp;Operators'!$C$1:$E$10000,3,FALSE)</f>
        <v>STARKS</v>
      </c>
      <c r="M38" s="6">
        <f t="shared" si="1"/>
        <v>3.0451388891378883E-2</v>
      </c>
      <c r="N38" s="7">
        <f t="shared" si="21"/>
        <v>43.850000003585592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06:37:10-0600',mode:absolute,to:'2016-09-08 09:25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38" s="54" t="str">
        <f t="shared" si="6"/>
        <v>N</v>
      </c>
      <c r="X38" s="172">
        <f t="shared" si="20"/>
        <v>1</v>
      </c>
      <c r="Y38" s="69">
        <f t="shared" si="8"/>
        <v>23.3004</v>
      </c>
      <c r="Z38" s="69">
        <f t="shared" si="9"/>
        <v>1.4999999999999999E-2</v>
      </c>
      <c r="AA38" s="69">
        <f t="shared" si="10"/>
        <v>23.285399999999999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 t="shared" si="11"/>
        <v>0126-08</v>
      </c>
      <c r="AE38" s="99" t="str">
        <f t="shared" si="12"/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AF38" s="96" t="str">
        <f t="shared" si="13"/>
        <v>"C:\Program Files (x86)\AstroGrep\AstroGrep.exe" /spath="%USERPROFILE%\AppData\Local\Temp\OnboardLogs" /stypes="*4017*20160908*"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7"/>
        <v>"%USERPROFILE%\Documents\GitHub\eaglep3\Utilities\RefineRTDCRunTimes.py" --tripid 126-08 --locoid 4017 --swversion DE.1.0.7.0 --startMP 204:233004 --initTime 2016-09-08T07:37:10 --startdatetime 2016-09-08T07:41:20 --delay 1 --endMP 204:150 --enddatetime 2016-09-08T08:25:11 --enforcementcount 0 &gt;&gt;C:\Users\stu\Documents\GitHub\eaglep3-reporting\EC\2016-09-08-refined-times.txt</v>
      </c>
      <c r="AI38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{"issue":{"subject":"","project_id":79,"tracker_id":40,"status_id":1,"priority_id":2,"assigned_to_id":23,"start_date":"2016-09-08","description":"","custom_fields":[{"id":1,"name":"Subdivision","value":"EC"},{"id":4,"name":"Milepost","value":"23.2854"},{"id":17,"name":"Train ID","value":"126-08"},{"id":16,"name":"Locomotive ID","value":"4017"},{"id":130,"name":"Impact","value":""},{"id":150,"name":"Time of Event (Mountain Time)","value":"08:25:11"},{"id":151,"name":"Denver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332</v>
      </c>
      <c r="B39" s="7">
        <v>4044</v>
      </c>
      <c r="C39" s="24" t="s">
        <v>109</v>
      </c>
      <c r="D39" s="24" t="s">
        <v>333</v>
      </c>
      <c r="E39" s="15">
        <v>42621.28837962963</v>
      </c>
      <c r="F39" s="15">
        <v>42621.292129629626</v>
      </c>
      <c r="G39" s="7">
        <v>1</v>
      </c>
      <c r="H39" s="15" t="s">
        <v>334</v>
      </c>
      <c r="I39" s="15">
        <v>42621.317326388889</v>
      </c>
      <c r="J39" s="7">
        <v>0</v>
      </c>
      <c r="K39" s="122" t="str">
        <f t="shared" si="0"/>
        <v>4043/4044</v>
      </c>
      <c r="L39" s="24" t="str">
        <f>VLOOKUP(A39,'Trips&amp;Operators'!$C$1:$E$10000,3,FALSE)</f>
        <v>MAELZER</v>
      </c>
      <c r="M39" s="6">
        <f t="shared" si="1"/>
        <v>2.5196759263053536E-2</v>
      </c>
      <c r="N39" s="7">
        <f t="shared" si="21"/>
        <v>36.283333338797092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05:55:16-0600',mode:absolute,to:'2016-09-08 08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39" s="54" t="str">
        <f t="shared" si="6"/>
        <v>N</v>
      </c>
      <c r="X39" s="172">
        <f t="shared" si="20"/>
        <v>1</v>
      </c>
      <c r="Y39" s="69">
        <f t="shared" si="8"/>
        <v>4.3799999999999999E-2</v>
      </c>
      <c r="Z39" s="69">
        <f t="shared" si="9"/>
        <v>23.330300000000001</v>
      </c>
      <c r="AA39" s="69">
        <f t="shared" si="10"/>
        <v>23.2865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 t="shared" si="11"/>
        <v>0127-08</v>
      </c>
      <c r="AE39" s="99" t="str">
        <f t="shared" si="12"/>
        <v>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 &amp; aws s3 cp s3://rtdc.mdm.uploadarchive/RTDC4044/2016-09-09/ "%USERPROFILE%\AppData\Local\Temp\OnboardLogs"\RTDC4044\2016-09-09 --recursive &amp; "%USERPROFILE%\Documents\GitHub\mrs-test-scripts\Headless Mode &amp; Sideloading\WalkAndUnGZ.bat" "%USERPROFILE%\AppData\Local\Temp\OnboardLogs"\RTDC4044\2016-09-09</v>
      </c>
      <c r="AF39" s="96" t="str">
        <f t="shared" si="13"/>
        <v>"C:\Program Files (x86)\AstroGrep\AstroGrep.exe" /spath="%USERPROFILE%\AppData\Local\Temp\OnboardLogs" /stypes="*4044*20160908*"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7"/>
        <v>"%USERPROFILE%\Documents\GitHub\eaglep3\Utilities\RefineRTDCRunTimes.py" --tripid 127-08 --locoid 4044 --swversion DE.1.0.7.0 --startMP 204:438 --initTime 2016-09-08T06:55:16 --startdatetime 2016-09-08T07:00:40 --delay 1 --endMP 204:233303 --enddatetime 2016-09-08T07:36:57 --enforcementcount 0 &gt;&gt;C:\Users\stu\Documents\GitHub\eaglep3-reporting\EC\2016-09-08-refined-times.txt</v>
      </c>
      <c r="AI39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{"issue":{"subject":"","project_id":79,"tracker_id":40,"status_id":1,"priority_id":2,"assigned_to_id":23,"start_date":"2016-09-08","description":"","custom_fields":[{"id":1,"name":"Subdivision","value":"EC"},{"id":4,"name":"Milepost","value":"23.2865"},{"id":17,"name":"Train ID","value":"127-08"},{"id":16,"name":"Locomotive ID","value":"4044"},{"id":130,"name":"Impact","value":""},{"id":150,"name":"Time of Event (Mountain Time)","value":"07:36:57"},{"id":151,"name":"Denver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335</v>
      </c>
      <c r="B40" s="7">
        <v>4043</v>
      </c>
      <c r="C40" s="24" t="s">
        <v>109</v>
      </c>
      <c r="D40" s="24" t="s">
        <v>336</v>
      </c>
      <c r="E40" s="15">
        <v>42621.327002314814</v>
      </c>
      <c r="F40" s="15">
        <v>42621.33084490741</v>
      </c>
      <c r="G40" s="7">
        <v>1</v>
      </c>
      <c r="H40" s="15" t="s">
        <v>327</v>
      </c>
      <c r="I40" s="15">
        <v>42621.358136574076</v>
      </c>
      <c r="J40" s="7">
        <v>0</v>
      </c>
      <c r="K40" s="122" t="str">
        <f t="shared" si="0"/>
        <v>4043/4044</v>
      </c>
      <c r="L40" s="24" t="str">
        <f>VLOOKUP(A40,'Trips&amp;Operators'!$C$1:$E$10000,3,FALSE)</f>
        <v>MAELZER</v>
      </c>
      <c r="M40" s="6">
        <f t="shared" si="1"/>
        <v>2.7291666665405501E-2</v>
      </c>
      <c r="N40" s="7">
        <f t="shared" si="21"/>
        <v>39.299999998183921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06:50:53-0600',mode:absolute,to:'2016-09-08 09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40" s="54" t="str">
        <f t="shared" si="6"/>
        <v>N</v>
      </c>
      <c r="X40" s="172">
        <f t="shared" si="20"/>
        <v>1</v>
      </c>
      <c r="Y40" s="69">
        <f t="shared" si="8"/>
        <v>23.299600000000002</v>
      </c>
      <c r="Z40" s="69">
        <f t="shared" si="9"/>
        <v>1.52E-2</v>
      </c>
      <c r="AA40" s="69">
        <f t="shared" si="10"/>
        <v>23.284400000000002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 t="shared" si="11"/>
        <v>0128-08</v>
      </c>
      <c r="AE40" s="99" t="str">
        <f t="shared" si="12"/>
        <v>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 &amp; aws s3 cp s3://rtdc.mdm.uploadarchive/RTDC4043/2016-09-09/ "%USERPROFILE%\AppData\Local\Temp\OnboardLogs"\RTDC4043\2016-09-09 --recursive &amp; "%USERPROFILE%\Documents\GitHub\mrs-test-scripts\Headless Mode &amp; Sideloading\WalkAndUnGZ.bat" "%USERPROFILE%\AppData\Local\Temp\OnboardLogs"\RTDC4043\2016-09-09</v>
      </c>
      <c r="AF40" s="96" t="str">
        <f t="shared" si="13"/>
        <v>"C:\Program Files (x86)\AstroGrep\AstroGrep.exe" /spath="%USERPROFILE%\AppData\Local\Temp\OnboardLogs" /stypes="*4043*20160908*"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7"/>
        <v>"%USERPROFILE%\Documents\GitHub\eaglep3\Utilities\RefineRTDCRunTimes.py" --tripid 128-08 --locoid 4043 --swversion DE.1.0.7.0 --startMP 204:232996 --initTime 2016-09-08T07:50:53 --startdatetime 2016-09-08T07:56:25 --delay 1 --endMP 204:152 --enddatetime 2016-09-08T08:35:43 --enforcementcount 0 &gt;&gt;C:\Users\stu\Documents\GitHub\eaglep3-reporting\EC\2016-09-08-refined-times.txt</v>
      </c>
      <c r="AI40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{"issue":{"subject":"","project_id":79,"tracker_id":40,"status_id":1,"priority_id":2,"assigned_to_id":23,"start_date":"2016-09-08","description":"","custom_fields":[{"id":1,"name":"Subdivision","value":"EC"},{"id":4,"name":"Milepost","value":"23.2844"},{"id":17,"name":"Train ID","value":"128-08"},{"id":16,"name":"Locomotive ID","value":"4043"},{"id":130,"name":"Impact","value":""},{"id":150,"name":"Time of Event (Mountain Time)","value":"08:35:43"},{"id":151,"name":"Denver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337</v>
      </c>
      <c r="B41" s="7">
        <v>4016</v>
      </c>
      <c r="C41" s="24" t="s">
        <v>109</v>
      </c>
      <c r="D41" s="24" t="s">
        <v>338</v>
      </c>
      <c r="E41" s="15">
        <v>42621.300925925927</v>
      </c>
      <c r="F41" s="15">
        <v>42621.302337962959</v>
      </c>
      <c r="G41" s="7">
        <v>0</v>
      </c>
      <c r="H41" s="15" t="s">
        <v>339</v>
      </c>
      <c r="I41" s="15">
        <v>42621.3283912037</v>
      </c>
      <c r="J41" s="7">
        <v>0</v>
      </c>
      <c r="K41" s="122" t="str">
        <f t="shared" si="0"/>
        <v>4015/4016</v>
      </c>
      <c r="L41" s="24" t="str">
        <f>VLOOKUP(A41,'Trips&amp;Operators'!$C$1:$E$10000,3,FALSE)</f>
        <v>BRANNON</v>
      </c>
      <c r="M41" s="6">
        <f t="shared" si="1"/>
        <v>2.6053240741021E-2</v>
      </c>
      <c r="N41" s="7">
        <f t="shared" si="21"/>
        <v>37.51666666707024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06:13:20-0600',mode:absolute,to:'2016-09-08 08:52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41" s="54" t="str">
        <f t="shared" si="6"/>
        <v>N</v>
      </c>
      <c r="X41" s="172">
        <f t="shared" si="20"/>
        <v>1</v>
      </c>
      <c r="Y41" s="69">
        <f t="shared" si="8"/>
        <v>4.5699999999999998E-2</v>
      </c>
      <c r="Z41" s="69">
        <f t="shared" si="9"/>
        <v>23.332899999999999</v>
      </c>
      <c r="AA41" s="69">
        <f t="shared" si="10"/>
        <v>23.287199999999999</v>
      </c>
      <c r="AB41" s="66" t="e">
        <f>VLOOKUP(A41,Enforcements!$C$7:$K$21,8,0)</f>
        <v>#N/A</v>
      </c>
      <c r="AC41" s="62" t="e">
        <f>VLOOKUP(A41,Enforcements!$C$7:$E$21,3,0)</f>
        <v>#N/A</v>
      </c>
      <c r="AD41" s="63" t="str">
        <f t="shared" si="11"/>
        <v>0129-08</v>
      </c>
      <c r="AE41" s="99" t="str">
        <f t="shared" si="12"/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AF41" s="96" t="str">
        <f t="shared" si="13"/>
        <v>"C:\Program Files (x86)\AstroGrep\AstroGrep.exe" /spath="%USERPROFILE%\AppData\Local\Temp\OnboardLogs" /stypes="*4016*20160908*"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7"/>
        <v>"%USERPROFILE%\Documents\GitHub\eaglep3\Utilities\RefineRTDCRunTimes.py" --tripid 129-08 --locoid 4016 --swversion DE.1.0.7.0 --startMP 204:457 --initTime 2016-09-08T07:13:20 --startdatetime 2016-09-08T07:15:22 --delay 0 --endMP 204:233329 --enddatetime 2016-09-08T07:52:53 --enforcementcount 0 &gt;&gt;C:\Users\stu\Documents\GitHub\eaglep3-reporting\EC\2016-09-08-refined-times.txt</v>
      </c>
      <c r="AI41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{"issue":{"subject":"","project_id":79,"tracker_id":40,"status_id":1,"priority_id":2,"assigned_to_id":23,"start_date":"2016-09-08","description":"","custom_fields":[{"id":1,"name":"Subdivision","value":"EC"},{"id":4,"name":"Milepost","value":"23.2872"},{"id":17,"name":"Train ID","value":"129-08"},{"id":16,"name":"Locomotive ID","value":"4016"},{"id":130,"name":"Impact","value":""},{"id":150,"name":"Time of Event (Mountain Time)","value":"07:52:53"},{"id":151,"name":"Denver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340</v>
      </c>
      <c r="B42" s="7">
        <v>4015</v>
      </c>
      <c r="C42" s="24" t="s">
        <v>109</v>
      </c>
      <c r="D42" s="24" t="s">
        <v>341</v>
      </c>
      <c r="E42" s="15">
        <v>42621.333819444444</v>
      </c>
      <c r="F42" s="15">
        <v>42621.34138888889</v>
      </c>
      <c r="G42" s="7">
        <v>1</v>
      </c>
      <c r="H42" s="15" t="s">
        <v>266</v>
      </c>
      <c r="I42" s="15">
        <v>42621.369513888887</v>
      </c>
      <c r="J42" s="7">
        <v>0</v>
      </c>
      <c r="K42" s="122" t="str">
        <f t="shared" si="0"/>
        <v>4015/4016</v>
      </c>
      <c r="L42" s="24" t="str">
        <f>VLOOKUP(A42,'Trips&amp;Operators'!$C$1:$E$10000,3,FALSE)</f>
        <v>BRANNON</v>
      </c>
      <c r="M42" s="6">
        <f t="shared" si="1"/>
        <v>2.8124999997089617E-2</v>
      </c>
      <c r="N42" s="7">
        <f t="shared" si="21"/>
        <v>40.499999995809048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07:00:42-0600',mode:absolute,to:'2016-09-08 09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42" s="54" t="str">
        <f t="shared" si="6"/>
        <v>N</v>
      </c>
      <c r="X42" s="172">
        <f t="shared" si="20"/>
        <v>1</v>
      </c>
      <c r="Y42" s="69">
        <f t="shared" si="8"/>
        <v>23.300799999999999</v>
      </c>
      <c r="Z42" s="69">
        <f t="shared" si="9"/>
        <v>1.49E-2</v>
      </c>
      <c r="AA42" s="69">
        <f t="shared" si="10"/>
        <v>23.285899999999998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 t="shared" si="11"/>
        <v>0130-08</v>
      </c>
      <c r="AE42" s="99" t="str">
        <f t="shared" si="12"/>
        <v>aws s3 cp s3://rtdc.mdm.uploadarchive/RTDC4015/2016-09-08/ "%USERPROFILE%\AppData\Local\Temp\OnboardLogs"\RTDC4015\2016-09-08 --recursive &amp; "%USERPROFILE%\Documents\GitHub\mrs-test-scripts\Headless Mode &amp; Sideloading\WalkAndUnGZ.bat" "%USERPROFILE%\AppData\Local\Temp\OnboardLogs"\RTDC4015\2016-09-08 &amp; 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</v>
      </c>
      <c r="AF42" s="96" t="str">
        <f t="shared" si="13"/>
        <v>"C:\Program Files (x86)\AstroGrep\AstroGrep.exe" /spath="%USERPROFILE%\AppData\Local\Temp\OnboardLogs" /stypes="*4015*20160908*"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7"/>
        <v>"%USERPROFILE%\Documents\GitHub\eaglep3\Utilities\RefineRTDCRunTimes.py" --tripid 130-08 --locoid 4015 --swversion DE.1.0.7.0 --startMP 204:233008 --initTime 2016-09-08T08:00:42 --startdatetime 2016-09-08T08:11:36 --delay 1 --endMP 204:149 --enddatetime 2016-09-08T08:52:06 --enforcementcount 0 &gt;&gt;C:\Users\stu\Documents\GitHub\eaglep3-reporting\EC\2016-09-08-refined-times.txt</v>
      </c>
      <c r="AI42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{"issue":{"subject":"","project_id":79,"tracker_id":40,"status_id":1,"priority_id":2,"assigned_to_id":23,"start_date":"2016-09-08","description":"","custom_fields":[{"id":1,"name":"Subdivision","value":"EC"},{"id":4,"name":"Milepost","value":"23.2859"},{"id":17,"name":"Train ID","value":"130-08"},{"id":16,"name":"Locomotive ID","value":"4015"},{"id":130,"name":"Impact","value":""},{"id":150,"name":"Time of Event (Mountain Time)","value":"08:52:06"},{"id":151,"name":"Denver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342</v>
      </c>
      <c r="B43" s="7">
        <v>4011</v>
      </c>
      <c r="C43" s="24" t="s">
        <v>109</v>
      </c>
      <c r="D43" s="24" t="s">
        <v>343</v>
      </c>
      <c r="E43" s="15">
        <v>42621.316817129627</v>
      </c>
      <c r="F43" s="15">
        <v>42621.318101851852</v>
      </c>
      <c r="G43" s="7">
        <v>1</v>
      </c>
      <c r="H43" s="15" t="s">
        <v>269</v>
      </c>
      <c r="I43" s="15">
        <v>42621.344386574077</v>
      </c>
      <c r="J43" s="7">
        <v>0</v>
      </c>
      <c r="K43" s="122" t="str">
        <f t="shared" si="0"/>
        <v>4011/4012</v>
      </c>
      <c r="L43" s="24" t="str">
        <f>VLOOKUP(A43,'Trips&amp;Operators'!$C$1:$E$10000,3,FALSE)</f>
        <v>SANTIZO</v>
      </c>
      <c r="M43" s="6">
        <f t="shared" si="1"/>
        <v>2.6284722225682344E-2</v>
      </c>
      <c r="N43" s="7">
        <f t="shared" si="21"/>
        <v>37.850000004982576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06:36:13-0600',mode:absolute,to:'2016-09-08 09:15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43" s="54" t="str">
        <f t="shared" si="6"/>
        <v>N</v>
      </c>
      <c r="X43" s="172">
        <f t="shared" si="20"/>
        <v>1</v>
      </c>
      <c r="Y43" s="69">
        <f t="shared" si="8"/>
        <v>5.2600000000000001E-2</v>
      </c>
      <c r="Z43" s="69">
        <f t="shared" si="9"/>
        <v>23.331399999999999</v>
      </c>
      <c r="AA43" s="69">
        <f t="shared" si="10"/>
        <v>23.278799999999997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 t="shared" si="11"/>
        <v>0131-08</v>
      </c>
      <c r="AE43" s="99" t="str">
        <f t="shared" si="12"/>
        <v>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 &amp; 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</v>
      </c>
      <c r="AF43" s="96" t="str">
        <f t="shared" si="13"/>
        <v>"C:\Program Files (x86)\AstroGrep\AstroGrep.exe" /spath="%USERPROFILE%\AppData\Local\Temp\OnboardLogs" /stypes="*4011*20160908*"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0" t="str">
        <f t="shared" si="17"/>
        <v>"%USERPROFILE%\Documents\GitHub\eaglep3\Utilities\RefineRTDCRunTimes.py" --tripid 131-08 --locoid 4011 --swversion DE.1.0.7.0 --startMP 204:526 --initTime 2016-09-08T07:36:13 --startdatetime 2016-09-08T07:38:04 --delay 1 --endMP 204:233314 --enddatetime 2016-09-08T08:15:55 --enforcementcount 0 &gt;&gt;C:\Users\stu\Documents\GitHub\eaglep3-reporting\EC\2016-09-08-refined-times.txt</v>
      </c>
      <c r="AI43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{"issue":{"subject":"","project_id":79,"tracker_id":40,"status_id":1,"priority_id":2,"assigned_to_id":23,"start_date":"2016-09-08","description":"","custom_fields":[{"id":1,"name":"Subdivision","value":"EC"},{"id":4,"name":"Milepost","value":"23.2788"},{"id":17,"name":"Train ID","value":"131-08"},{"id":16,"name":"Locomotive ID","value":"4011"},{"id":130,"name":"Impact","value":""},{"id":150,"name":"Time of Event (Mountain Time)","value":"08:15:55"},{"id":151,"name":"Denver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344</v>
      </c>
      <c r="B44" s="7">
        <v>4012</v>
      </c>
      <c r="C44" s="24" t="s">
        <v>109</v>
      </c>
      <c r="D44" s="24" t="s">
        <v>345</v>
      </c>
      <c r="E44" s="15">
        <v>42621.345370370371</v>
      </c>
      <c r="F44" s="15">
        <v>42621.351747685185</v>
      </c>
      <c r="G44" s="7">
        <v>1</v>
      </c>
      <c r="H44" s="15" t="s">
        <v>346</v>
      </c>
      <c r="I44" s="15">
        <v>42621.38</v>
      </c>
      <c r="J44" s="7">
        <v>0</v>
      </c>
      <c r="K44" s="122" t="str">
        <f t="shared" si="0"/>
        <v>4011/4012</v>
      </c>
      <c r="L44" s="24" t="str">
        <f>VLOOKUP(A44,'Trips&amp;Operators'!$C$1:$E$10000,3,FALSE)</f>
        <v>SANTIZO</v>
      </c>
      <c r="M44" s="6">
        <f t="shared" si="1"/>
        <v>2.8252314812561963E-2</v>
      </c>
      <c r="N44" s="7">
        <f t="shared" si="21"/>
        <v>40.683333330089226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https://search-rtdc-monitor-bjffxe2xuh6vdkpspy63sjmuny.us-east-1.es.amazonaws.com/_plugin/kibana/#/discover/Steve-Slow-Train-Analysis-(2080s-and-2083s)?_g=(refreshInterval:(display:Off,section:0,value:0),time:(from:'2016-09-08 07:17:20-0600',mode:absolute,to:'2016-09-08 10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44" s="54" t="str">
        <f t="shared" si="6"/>
        <v>N</v>
      </c>
      <c r="X44" s="172">
        <f t="shared" si="20"/>
        <v>1</v>
      </c>
      <c r="Y44" s="69">
        <f t="shared" si="8"/>
        <v>23.3005</v>
      </c>
      <c r="Z44" s="69">
        <f t="shared" si="9"/>
        <v>1.4500000000000001E-2</v>
      </c>
      <c r="AA44" s="69">
        <f t="shared" si="10"/>
        <v>23.285999999999998</v>
      </c>
      <c r="AB44" s="66" t="str">
        <f>VLOOKUP(A44,Enforcements!$C$7:$K$21,8,0)</f>
        <v>Bulletin (2)</v>
      </c>
      <c r="AC44" s="62" t="str">
        <f>VLOOKUP(A44,Enforcements!$C$7:$E$21,3,0)</f>
        <v>GRADE CROSSING</v>
      </c>
      <c r="AD44" s="63" t="str">
        <f t="shared" si="11"/>
        <v>0132-08</v>
      </c>
      <c r="AE44" s="99" t="str">
        <f t="shared" si="12"/>
        <v>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 &amp; 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</v>
      </c>
      <c r="AF44" s="96" t="str">
        <f t="shared" si="13"/>
        <v>"C:\Program Files (x86)\AstroGrep\AstroGrep.exe" /spath="%USERPROFILE%\AppData\Local\Temp\OnboardLogs" /stypes="*4012*20160908*"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0" t="str">
        <f t="shared" si="17"/>
        <v>"%USERPROFILE%\Documents\GitHub\eaglep3\Utilities\RefineRTDCRunTimes.py" --tripid 132-08 --locoid 4012 --swversion DE.1.0.7.0 --startMP 204:233005 --initTime 2016-09-08T08:17:20 --startdatetime 2016-09-08T08:26:31 --delay 1 --endMP 204:145 --enddatetime 2016-09-08T09:07:12 --enforcementcount 0 &gt;&gt;C:\Users\stu\Documents\GitHub\eaglep3-reporting\EC\2016-09-08-refined-times.txt</v>
      </c>
      <c r="AI44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{"issue":{"subject":"","project_id":79,"tracker_id":40,"status_id":1,"priority_id":2,"assigned_to_id":23,"start_date":"2016-09-08","description":"","custom_fields":[{"id":1,"name":"Subdivision","value":"EC"},{"id":4,"name":"Milepost","value":"23.286"},{"id":17,"name":"Train ID","value":"132-08"},{"id":16,"name":"Locomotive ID","value":"4012"},{"id":130,"name":"Impact","value":""},{"id":150,"name":"Time of Event (Mountain Time)","value":"09:07:12"},{"id":151,"name":"Denver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347</v>
      </c>
      <c r="B45" s="7">
        <v>4031</v>
      </c>
      <c r="C45" s="24" t="s">
        <v>109</v>
      </c>
      <c r="D45" s="24" t="s">
        <v>348</v>
      </c>
      <c r="E45" s="15">
        <v>42621.32271990741</v>
      </c>
      <c r="F45" s="15">
        <v>42621.323912037034</v>
      </c>
      <c r="G45" s="7">
        <v>1</v>
      </c>
      <c r="H45" s="15" t="s">
        <v>349</v>
      </c>
      <c r="I45" s="15">
        <v>42621.349664351852</v>
      </c>
      <c r="J45" s="7">
        <v>0</v>
      </c>
      <c r="K45" s="122" t="str">
        <f t="shared" si="0"/>
        <v>4031/4032</v>
      </c>
      <c r="L45" s="24" t="str">
        <f>VLOOKUP(A45,'Trips&amp;Operators'!$C$1:$E$10000,3,FALSE)</f>
        <v>MALAVE</v>
      </c>
      <c r="M45" s="6">
        <f t="shared" ref="M45:M76" si="22">I45-F45</f>
        <v>2.5752314817509614E-2</v>
      </c>
      <c r="N45" s="7">
        <f t="shared" si="21"/>
        <v>37.083333337213844</v>
      </c>
      <c r="O45" s="7"/>
      <c r="P45" s="7"/>
      <c r="Q45" s="25"/>
      <c r="R45" s="25"/>
      <c r="S45" s="37">
        <f t="shared" ref="S45:S76" si="23">SUM(U45:U45)/IF(AG45="EC",12,1)</f>
        <v>1</v>
      </c>
      <c r="T45" s="52" t="str">
        <f t="shared" si="4"/>
        <v>NorthBound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ref="V45:V76" si="24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https://search-rtdc-monitor-bjffxe2xuh6vdkpspy63sjmuny.us-east-1.es.amazonaws.com/_plugin/kibana/#/discover/Steve-Slow-Train-Analysis-(2080s-and-2083s)?_g=(refreshInterval:(display:Off,section:0,value:0),time:(from:'2016-09-08 06:44:43-0600',mode:absolute,to:'2016-09-08 09:23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45" s="54" t="str">
        <f t="shared" ref="W45:W76" si="25">IF(AA45&lt;IF(AG45="EC",23,5.65),"Y","N")</f>
        <v>N</v>
      </c>
      <c r="X45" s="172">
        <f t="shared" si="20"/>
        <v>1</v>
      </c>
      <c r="Y45" s="69">
        <f t="shared" ref="Y45:Y62" si="26">RIGHT(D45,LEN(D45)-4)/10000</f>
        <v>4.4699999999999997E-2</v>
      </c>
      <c r="Z45" s="69">
        <f t="shared" ref="Z45:Z62" si="27">RIGHT(H45,LEN(H45)-4)/10000</f>
        <v>23.328499999999998</v>
      </c>
      <c r="AA45" s="69">
        <f t="shared" ref="AA45:AA76" si="28">ABS(Z45-Y45)</f>
        <v>23.283799999999999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 t="shared" si="11"/>
        <v>0133-08</v>
      </c>
      <c r="AE45" s="99" t="str">
        <f t="shared" ref="AE45:AE76" si="29"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 &amp; 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</v>
      </c>
      <c r="AF45" s="96" t="str">
        <f t="shared" ref="AF45:AF76" si="30">astrogrep_path&amp;" /spath="&amp;search_path&amp;" /stypes=""*"&amp;B45&amp;"*"&amp;TEXT(I45-utc_offset/24,"YYYYMMDD")&amp;"*"" /stext="" "&amp;TEXT(I45-utc_offset/24,"HH")&amp;search_regexp&amp;""" /e /r /s"</f>
        <v>"C:\Program Files (x86)\AstroGrep\AstroGrep.exe" /spath="%USERPROFILE%\AppData\Local\Temp\OnboardLogs" /stypes="*4031*20160908*" /stext=" 14:.+((SYSTEM_STATE.+slice.+state.+changed )|(ment ac)|(system.+state.+changed )|(\|lc)|(penalty)|(\[timeout)|(PRM\|1\|D)|(kpr)|(kdp))" /e /r /s</v>
      </c>
      <c r="AG45" s="1" t="str">
        <f t="shared" si="14"/>
        <v>EC</v>
      </c>
      <c r="AH45" s="100" t="str">
        <f t="shared" si="17"/>
        <v>"%USERPROFILE%\Documents\GitHub\eaglep3\Utilities\RefineRTDCRunTimes.py" --tripid 133-08 --locoid 4031 --swversion DE.1.0.7.0 --startMP 204:447 --initTime 2016-09-08T07:44:43 --startdatetime 2016-09-08T07:46:26 --delay 1 --endMP 204:233285 --enddatetime 2016-09-08T08:23:31 --enforcementcount 0 &gt;&gt;C:\Users\stu\Documents\GitHub\eaglep3-reporting\EC\2016-09-08-refined-times.txt</v>
      </c>
      <c r="AI45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{"issue":{"subject":"","project_id":79,"tracker_id":40,"status_id":1,"priority_id":2,"assigned_to_id":23,"start_date":"2016-09-08","description":"","custom_fields":[{"id":1,"name":"Subdivision","value":"EC"},{"id":4,"name":"Milepost","value":"23.2838"},{"id":17,"name":"Train ID","value":"133-08"},{"id":16,"name":"Locomotive ID","value":"4031"},{"id":130,"name":"Impact","value":""},{"id":150,"name":"Time of Event (Mountain Time)","value":"08:23:31"},{"id":151,"name":"Denver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350</v>
      </c>
      <c r="B46" s="7">
        <v>4032</v>
      </c>
      <c r="C46" s="24" t="s">
        <v>109</v>
      </c>
      <c r="D46" s="24" t="s">
        <v>351</v>
      </c>
      <c r="E46" s="15">
        <v>42621.360150462962</v>
      </c>
      <c r="F46" s="15">
        <v>42621.362118055556</v>
      </c>
      <c r="G46" s="7">
        <v>2</v>
      </c>
      <c r="H46" s="15" t="s">
        <v>352</v>
      </c>
      <c r="I46" s="15">
        <v>42621.391527777778</v>
      </c>
      <c r="J46" s="7">
        <v>0</v>
      </c>
      <c r="K46" s="122" t="str">
        <f t="shared" si="0"/>
        <v>4031/4032</v>
      </c>
      <c r="L46" s="24" t="str">
        <f>VLOOKUP(A46,'Trips&amp;Operators'!$C$1:$E$10000,3,FALSE)</f>
        <v>MALAVE</v>
      </c>
      <c r="M46" s="6">
        <f t="shared" si="22"/>
        <v>2.940972222131677E-2</v>
      </c>
      <c r="N46" s="7">
        <f t="shared" si="21"/>
        <v>42.349999998696148</v>
      </c>
      <c r="O46" s="7"/>
      <c r="P46" s="7"/>
      <c r="Q46" s="25"/>
      <c r="R46" s="25"/>
      <c r="S46" s="37">
        <f t="shared" si="23"/>
        <v>1</v>
      </c>
      <c r="T46" s="52" t="str">
        <f t="shared" si="4"/>
        <v>Southbound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07:38:37-0600',mode:absolute,to:'2016-09-08 10:23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46" s="54" t="str">
        <f t="shared" si="25"/>
        <v>N</v>
      </c>
      <c r="X46" s="172">
        <f t="shared" si="20"/>
        <v>1</v>
      </c>
      <c r="Y46" s="69">
        <f t="shared" si="26"/>
        <v>23.2974</v>
      </c>
      <c r="Z46" s="69">
        <f t="shared" si="27"/>
        <v>1.61E-2</v>
      </c>
      <c r="AA46" s="69">
        <f t="shared" si="28"/>
        <v>23.281299999999998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 t="shared" si="11"/>
        <v>0134-08</v>
      </c>
      <c r="AE46" s="99" t="str">
        <f t="shared" si="29"/>
        <v>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 &amp; 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</v>
      </c>
      <c r="AF46" s="96" t="str">
        <f t="shared" si="30"/>
        <v>"C:\Program Files (x86)\AstroGrep\AstroGrep.exe" /spath="%USERPROFILE%\AppData\Local\Temp\OnboardLogs" /stypes="*4032*20160908*" /stext=" 15:.+((SYSTEM_STATE.+slice.+state.+changed )|(ment ac)|(system.+state.+changed )|(\|lc)|(penalty)|(\[timeout)|(PRM\|1\|D)|(kpr)|(kdp))" /e /r /s</v>
      </c>
      <c r="AG46" s="1" t="str">
        <f t="shared" si="14"/>
        <v>EC</v>
      </c>
      <c r="AH46" s="100" t="str">
        <f t="shared" si="17"/>
        <v>"%USERPROFILE%\Documents\GitHub\eaglep3\Utilities\RefineRTDCRunTimes.py" --tripid 134-08 --locoid 4032 --swversion DE.1.0.7.0 --startMP 204:232974 --initTime 2016-09-08T08:38:37 --startdatetime 2016-09-08T08:41:27 --delay 2 --endMP 204:161 --enddatetime 2016-09-08T09:23:48 --enforcementcount 0 &gt;&gt;C:\Users\stu\Documents\GitHub\eaglep3-reporting\EC\2016-09-08-refined-times.txt</v>
      </c>
      <c r="AI46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{"issue":{"subject":"","project_id":79,"tracker_id":40,"status_id":1,"priority_id":2,"assigned_to_id":23,"start_date":"2016-09-08","description":"","custom_fields":[{"id":1,"name":"Subdivision","value":"EC"},{"id":4,"name":"Milepost","value":"23.2813"},{"id":17,"name":"Train ID","value":"134-08"},{"id":16,"name":"Locomotive ID","value":"4032"},{"id":130,"name":"Impact","value":""},{"id":150,"name":"Time of Event (Mountain Time)","value":"09:23:48"},{"id":151,"name":"Denver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760</v>
      </c>
      <c r="B47" s="7">
        <v>4014</v>
      </c>
      <c r="C47" s="24" t="s">
        <v>109</v>
      </c>
      <c r="D47" s="24" t="s">
        <v>351</v>
      </c>
      <c r="E47" s="15">
        <v>42621.360150462962</v>
      </c>
      <c r="F47" s="15">
        <v>42621.362118055556</v>
      </c>
      <c r="G47" s="7">
        <v>2</v>
      </c>
      <c r="H47" s="15" t="s">
        <v>352</v>
      </c>
      <c r="I47" s="15">
        <v>42621.391527777778</v>
      </c>
      <c r="J47" s="7">
        <v>0</v>
      </c>
      <c r="K47" s="122" t="str">
        <f t="shared" si="0"/>
        <v>4013/4014</v>
      </c>
      <c r="L47" s="24" t="e">
        <f>VLOOKUP(A47,'Trips&amp;Operators'!$C$1:$E$10000,3,FALSE)</f>
        <v>#N/A</v>
      </c>
      <c r="M47" s="6">
        <f t="shared" si="22"/>
        <v>2.940972222131677E-2</v>
      </c>
      <c r="N47" s="7"/>
      <c r="O47" s="7"/>
      <c r="P47" s="7">
        <v>1</v>
      </c>
      <c r="Q47" s="25"/>
      <c r="R47" s="25" t="s">
        <v>761</v>
      </c>
      <c r="S47" s="37">
        <f t="shared" si="23"/>
        <v>0</v>
      </c>
      <c r="T47" s="52" t="str">
        <f t="shared" si="4"/>
        <v>NorthBound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0</v>
      </c>
      <c r="V47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07:38:37-0600',mode:absolute,to:'2016-09-08 10:23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47" s="54" t="str">
        <f t="shared" si="25"/>
        <v>N</v>
      </c>
      <c r="X47" s="172">
        <f t="shared" si="20"/>
        <v>1</v>
      </c>
      <c r="Y47" s="69">
        <f t="shared" si="26"/>
        <v>23.2974</v>
      </c>
      <c r="Z47" s="69">
        <f t="shared" si="27"/>
        <v>1.61E-2</v>
      </c>
      <c r="AA47" s="69">
        <f t="shared" si="28"/>
        <v>23.281299999999998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 t="shared" si="11"/>
        <v>0135-08</v>
      </c>
      <c r="AE47" s="99" t="str">
        <f t="shared" si="29"/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AF47" s="96" t="str">
        <f t="shared" si="30"/>
        <v>"C:\Program Files (x86)\AstroGrep\AstroGrep.exe" /spath="%USERPROFILE%\AppData\Local\Temp\OnboardLogs" /stypes="*4014*20160908*" /stext=" 15:.+((SYSTEM_STATE.+slice.+state.+changed )|(ment ac)|(system.+state.+changed )|(\|lc)|(penalty)|(\[timeout)|(PRM\|1\|D)|(kpr)|(kdp))" /e /r /s</v>
      </c>
      <c r="AG47" s="1" t="str">
        <f t="shared" si="14"/>
        <v>EC</v>
      </c>
      <c r="AH47" s="100" t="str">
        <f t="shared" ref="AH47" si="31">refinertdcruntimes&amp;" --tripid "&amp;A47&amp;" --locoid "&amp;B47&amp;" --swversion "&amp;C47&amp;" --startMP "&amp;D47&amp;" --initTime "&amp;TEXT(E47,"yyyy-mm-ddTHH:MM:SS")&amp;" --startdatetime "&amp;TEXT(F47,"yyyy-mm-ddTHH:MM:SS")&amp;" --delay "&amp;G47&amp;" --endMP "&amp;H47&amp;" --enddatetime "&amp;TEXT(I47,"yyyy-mm-ddTHH:MM:SS")&amp;" --enforcementcount "&amp;J47&amp;IF(outputrefinedruntimes," &gt;&gt;"&amp;RefinedRTDCRunTimesOutputFile,"")</f>
        <v>"%USERPROFILE%\Documents\GitHub\eaglep3\Utilities\RefineRTDCRunTimes.py" --tripid 135-08 --locoid 4014 --swversion DE.1.0.7.0 --startMP 204:232974 --initTime 2016-09-08T08:38:37 --startdatetime 2016-09-08T08:41:27 --delay 2 --endMP 204:161 --enddatetime 2016-09-08T09:23:48 --enforcementcount 0 &gt;&gt;C:\Users\stu\Documents\GitHub\eaglep3-reporting\EC\2016-09-08-refined-times.txt</v>
      </c>
      <c r="AI47" s="137" t="str">
        <f t="shared" ref="AI47" si="32">"echo {""issue"":{""subject"":"""&amp;R47&amp;""",""project_id"":79,""tracker_id"":40,""status_id"":"&amp;redmine_status&amp;",""priority_id"":"&amp;redmine_priority&amp;",""assigned_to_id"":"&amp;redmine_assignee&amp;",""start_date"":"""&amp;TEXT(I47,"YYYY-mm-dd")&amp;""",""description"":"""&amp;AJ47&amp;""",""custom_fields"":[{""id"":1,""name"":""Subdivision"",""value"":"""&amp;AG47&amp;"""},{""id"":4,""name"":""Milepost"",""value"":"""&amp;AA47&amp;"""},{""id"":17,""name"":""Train ID"",""value"":"""&amp;A47&amp;"""},{""id"":16,""name"":""Locomotive ID"",""value"":"""&amp;B47&amp;"""},{""id"":130,""name"":""Impact"",""value"":"""&amp;AK47&amp;"""},{""id"":150,""name"":""Time of Event (Mountain Time)"",""value"":"""&amp;TEXT(I47,"hh:mm:ss")&amp;"""},{""id"":151,""name"":""Denver Issue ID"",""value"":"""&amp;"""},{""id"":178,""name"":""Operational Impact"",""value"":"""&amp;redmine_op_impact&amp;"""},{""id"":179,""name"":""Denver Segment Assigned"",""value"":"""&amp;AL47&amp;"""}]}}"&amp;"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init","project_id":79,"tracker_id":40,"status_id":1,"priority_id":2,"assigned_to_id":23,"start_date":"2016-09-08","description":"","custom_fields":[{"id":1,"name":"Subdivision","value":"EC"},{"id":4,"name":"Milepost","value":"23.2813"},{"id":17,"name":"Train ID","value":"135-08"},{"id":16,"name":"Locomotive ID","value":"4014"},{"id":130,"name":"Impact","value":""},{"id":150,"name":"Time of Event (Mountain Time)","value":"09:23:48"},{"id":151,"name":"Denver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353</v>
      </c>
      <c r="B48" s="7">
        <v>4013</v>
      </c>
      <c r="C48" s="24" t="s">
        <v>109</v>
      </c>
      <c r="D48" s="24" t="s">
        <v>354</v>
      </c>
      <c r="E48" s="15">
        <v>42621.369768518518</v>
      </c>
      <c r="F48" s="15">
        <v>42621.372534722221</v>
      </c>
      <c r="G48" s="7">
        <v>1</v>
      </c>
      <c r="H48" s="15" t="s">
        <v>322</v>
      </c>
      <c r="I48" s="15">
        <v>42621.39949074074</v>
      </c>
      <c r="J48" s="7">
        <v>0</v>
      </c>
      <c r="K48" s="122" t="str">
        <f t="shared" si="0"/>
        <v>4013/4014</v>
      </c>
      <c r="L48" s="24" t="str">
        <f>VLOOKUP(A48,'Trips&amp;Operators'!$C$1:$E$10000,3,FALSE)</f>
        <v>GRASTON</v>
      </c>
      <c r="M48" s="6">
        <f t="shared" si="22"/>
        <v>2.6956018518831115E-2</v>
      </c>
      <c r="N48" s="7">
        <f>24*60*SUM($M48:$M48)</f>
        <v>38.816666667116806</v>
      </c>
      <c r="O48" s="7"/>
      <c r="P48" s="7"/>
      <c r="Q48" s="25"/>
      <c r="R48" s="25"/>
      <c r="S48" s="37">
        <f t="shared" si="23"/>
        <v>1</v>
      </c>
      <c r="T48" s="52" t="str">
        <f t="shared" si="4"/>
        <v>Southbound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07:52:28-0600',mode:absolute,to:'2016-09-08 10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48" s="54" t="str">
        <f t="shared" si="25"/>
        <v>N</v>
      </c>
      <c r="X48" s="172">
        <f t="shared" si="20"/>
        <v>1</v>
      </c>
      <c r="Y48" s="69">
        <f t="shared" si="26"/>
        <v>23.295500000000001</v>
      </c>
      <c r="Z48" s="69">
        <f t="shared" si="27"/>
        <v>1.67E-2</v>
      </c>
      <c r="AA48" s="69">
        <f t="shared" si="28"/>
        <v>23.2788</v>
      </c>
      <c r="AB48" s="66" t="e">
        <f>VLOOKUP(A48,Enforcements!$C$7:$K$21,8,0)</f>
        <v>#N/A</v>
      </c>
      <c r="AC48" s="62" t="e">
        <f>VLOOKUP(A48,Enforcements!$C$7:$E$21,3,0)</f>
        <v>#N/A</v>
      </c>
      <c r="AD48" s="63" t="str">
        <f t="shared" si="11"/>
        <v>0136-08</v>
      </c>
      <c r="AE48" s="99" t="str">
        <f t="shared" si="29"/>
        <v>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 &amp; aws s3 cp s3://rtdc.mdm.uploadarchive/RTDC4013/2016-09-09/ "%USERPROFILE%\AppData\Local\Temp\OnboardLogs"\RTDC4013\2016-09-09 --recursive &amp; "%USERPROFILE%\Documents\GitHub\mrs-test-scripts\Headless Mode &amp; Sideloading\WalkAndUnGZ.bat" "%USERPROFILE%\AppData\Local\Temp\OnboardLogs"\RTDC4013\2016-09-09</v>
      </c>
      <c r="AF48" s="96" t="str">
        <f t="shared" si="30"/>
        <v>"C:\Program Files (x86)\AstroGrep\AstroGrep.exe" /spath="%USERPROFILE%\AppData\Local\Temp\OnboardLogs" /stypes="*4013*20160908*" /stext=" 15:.+((SYSTEM_STATE.+slice.+state.+changed )|(ment ac)|(system.+state.+changed )|(\|lc)|(penalty)|(\[timeout)|(PRM\|1\|D)|(kpr)|(kdp))" /e /r /s</v>
      </c>
      <c r="AG48" s="1" t="str">
        <f t="shared" si="14"/>
        <v>EC</v>
      </c>
      <c r="AH48" s="100" t="str">
        <f t="shared" si="17"/>
        <v>"%USERPROFILE%\Documents\GitHub\eaglep3\Utilities\RefineRTDCRunTimes.py" --tripid 136-08 --locoid 4013 --swversion DE.1.0.7.0 --startMP 204:232955 --initTime 2016-09-08T08:52:28 --startdatetime 2016-09-08T08:56:27 --delay 1 --endMP 204:167 --enddatetime 2016-09-08T09:35:16 --enforcementcount 0 &gt;&gt;C:\Users\stu\Documents\GitHub\eaglep3-reporting\EC\2016-09-08-refined-times.txt</v>
      </c>
      <c r="AI48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{"issue":{"subject":"","project_id":79,"tracker_id":40,"status_id":1,"priority_id":2,"assigned_to_id":23,"start_date":"2016-09-08","description":"","custom_fields":[{"id":1,"name":"Subdivision","value":"EC"},{"id":4,"name":"Milepost","value":"23.2788"},{"id":17,"name":"Train ID","value":"136-08"},{"id":16,"name":"Locomotive ID","value":"4013"},{"id":130,"name":"Impact","value":""},{"id":150,"name":"Time of Event (Mountain Time)","value":"09:35:16"},{"id":151,"name":"Denver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355</v>
      </c>
      <c r="B49" s="7">
        <v>4009</v>
      </c>
      <c r="C49" s="24" t="s">
        <v>109</v>
      </c>
      <c r="D49" s="24" t="s">
        <v>356</v>
      </c>
      <c r="E49" s="15">
        <v>42621.341284722221</v>
      </c>
      <c r="F49" s="15">
        <v>42621.343993055554</v>
      </c>
      <c r="G49" s="7">
        <v>1</v>
      </c>
      <c r="H49" s="15" t="s">
        <v>357</v>
      </c>
      <c r="I49" s="15">
        <v>42621.372106481482</v>
      </c>
      <c r="J49" s="7">
        <v>0</v>
      </c>
      <c r="K49" s="122" t="str">
        <f t="shared" si="0"/>
        <v>4009/4010</v>
      </c>
      <c r="L49" s="24" t="str">
        <f>VLOOKUP(A49,'Trips&amp;Operators'!$C$1:$E$10000,3,FALSE)</f>
        <v>BREITSCH</v>
      </c>
      <c r="M49" s="6">
        <f t="shared" si="22"/>
        <v>2.8113425927585922E-2</v>
      </c>
      <c r="N49" s="7">
        <f>24*60*SUM($M49:$M49)</f>
        <v>40.483333335723728</v>
      </c>
      <c r="O49" s="7"/>
      <c r="P49" s="7"/>
      <c r="Q49" s="25"/>
      <c r="R49" s="25"/>
      <c r="S49" s="37">
        <f t="shared" si="23"/>
        <v>1</v>
      </c>
      <c r="T49" s="52" t="str">
        <f t="shared" si="4"/>
        <v>NorthBound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07:11:27-0600',mode:absolute,to:'2016-09-08 09:55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49" s="54" t="str">
        <f t="shared" si="25"/>
        <v>N</v>
      </c>
      <c r="X49" s="172">
        <f t="shared" si="20"/>
        <v>1</v>
      </c>
      <c r="Y49" s="69">
        <f t="shared" si="26"/>
        <v>4.3700000000000003E-2</v>
      </c>
      <c r="Z49" s="69">
        <f t="shared" si="27"/>
        <v>23.329699999999999</v>
      </c>
      <c r="AA49" s="69">
        <f t="shared" si="28"/>
        <v>23.285999999999998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 t="shared" si="11"/>
        <v>0137-08</v>
      </c>
      <c r="AE49" s="99" t="str">
        <f t="shared" si="29"/>
        <v>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 &amp; 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</v>
      </c>
      <c r="AF49" s="96" t="str">
        <f t="shared" si="30"/>
        <v>"C:\Program Files (x86)\AstroGrep\AstroGrep.exe" /spath="%USERPROFILE%\AppData\Local\Temp\OnboardLogs" /stypes="*4009*20160908*" /stext=" 14:.+((SYSTEM_STATE.+slice.+state.+changed )|(ment ac)|(system.+state.+changed )|(\|lc)|(penalty)|(\[timeout)|(PRM\|1\|D)|(kpr)|(kdp))" /e /r /s</v>
      </c>
      <c r="AG49" s="1" t="str">
        <f t="shared" si="14"/>
        <v>EC</v>
      </c>
      <c r="AH49" s="100" t="str">
        <f t="shared" si="17"/>
        <v>"%USERPROFILE%\Documents\GitHub\eaglep3\Utilities\RefineRTDCRunTimes.py" --tripid 137-08 --locoid 4009 --swversion DE.1.0.7.0 --startMP 204:437 --initTime 2016-09-08T08:11:27 --startdatetime 2016-09-08T08:15:21 --delay 1 --endMP 204:233297 --enddatetime 2016-09-08T08:55:50 --enforcementcount 0 &gt;&gt;C:\Users\stu\Documents\GitHub\eaglep3-reporting\EC\2016-09-08-refined-times.txt</v>
      </c>
      <c r="AI49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{"issue":{"subject":"","project_id":79,"tracker_id":40,"status_id":1,"priority_id":2,"assigned_to_id":23,"start_date":"2016-09-08","description":"","custom_fields":[{"id":1,"name":"Subdivision","value":"EC"},{"id":4,"name":"Milepost","value":"23.286"},{"id":17,"name":"Train ID","value":"137-08"},{"id":16,"name":"Locomotive ID","value":"4009"},{"id":130,"name":"Impact","value":""},{"id":150,"name":"Time of Event (Mountain Time)","value":"08:55:50"},{"id":151,"name":"Denver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358</v>
      </c>
      <c r="B50" s="7">
        <v>4010</v>
      </c>
      <c r="C50" s="24" t="s">
        <v>109</v>
      </c>
      <c r="D50" s="24" t="s">
        <v>287</v>
      </c>
      <c r="E50" s="15">
        <v>42621.376516203702</v>
      </c>
      <c r="F50" s="15">
        <v>42621.382928240739</v>
      </c>
      <c r="G50" s="7">
        <v>1</v>
      </c>
      <c r="H50" s="15" t="s">
        <v>283</v>
      </c>
      <c r="I50" s="15">
        <v>42621.409317129626</v>
      </c>
      <c r="J50" s="7">
        <v>0</v>
      </c>
      <c r="K50" s="122" t="str">
        <f t="shared" si="0"/>
        <v>4009/4010</v>
      </c>
      <c r="L50" s="24" t="str">
        <f>VLOOKUP(A50,'Trips&amp;Operators'!$C$1:$E$10000,3,FALSE)</f>
        <v>BREITSCH</v>
      </c>
      <c r="M50" s="6">
        <f t="shared" si="22"/>
        <v>2.6388888887595385E-2</v>
      </c>
      <c r="N50" s="7">
        <f>24*60*SUM($M50:$M50)</f>
        <v>37.999999998137355</v>
      </c>
      <c r="O50" s="7"/>
      <c r="P50" s="7"/>
      <c r="Q50" s="25"/>
      <c r="R50" s="25"/>
      <c r="S50" s="37">
        <f t="shared" si="23"/>
        <v>1</v>
      </c>
      <c r="T50" s="52" t="str">
        <f t="shared" si="4"/>
        <v>Southbound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08:02:11-0600',mode:absolute,to:'2016-09-08 10:49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50" s="54" t="str">
        <f t="shared" si="25"/>
        <v>N</v>
      </c>
      <c r="X50" s="172">
        <f t="shared" si="20"/>
        <v>1</v>
      </c>
      <c r="Y50" s="69">
        <f t="shared" si="26"/>
        <v>23.299099999999999</v>
      </c>
      <c r="Z50" s="69">
        <f t="shared" si="27"/>
        <v>1.6299999999999999E-2</v>
      </c>
      <c r="AA50" s="69">
        <f t="shared" si="28"/>
        <v>23.282799999999998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 t="shared" si="11"/>
        <v>0138-08</v>
      </c>
      <c r="AE50" s="99" t="str">
        <f t="shared" si="29"/>
        <v>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 &amp; 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</v>
      </c>
      <c r="AF50" s="96" t="str">
        <f t="shared" si="30"/>
        <v>"C:\Program Files (x86)\AstroGrep\AstroGrep.exe" /spath="%USERPROFILE%\AppData\Local\Temp\OnboardLogs" /stypes="*4010*20160908*" /stext=" 15:.+((SYSTEM_STATE.+slice.+state.+changed )|(ment ac)|(system.+state.+changed )|(\|lc)|(penalty)|(\[timeout)|(PRM\|1\|D)|(kpr)|(kdp))" /e /r /s</v>
      </c>
      <c r="AG50" s="1" t="str">
        <f t="shared" si="14"/>
        <v>EC</v>
      </c>
      <c r="AH50" s="100" t="str">
        <f t="shared" si="17"/>
        <v>"%USERPROFILE%\Documents\GitHub\eaglep3\Utilities\RefineRTDCRunTimes.py" --tripid 138-08 --locoid 4010 --swversion DE.1.0.7.0 --startMP 204:232991 --initTime 2016-09-08T09:02:11 --startdatetime 2016-09-08T09:11:25 --delay 1 --endMP 204:163 --enddatetime 2016-09-08T09:49:25 --enforcementcount 0 &gt;&gt;C:\Users\stu\Documents\GitHub\eaglep3-reporting\EC\2016-09-08-refined-times.txt</v>
      </c>
      <c r="AI50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{"issue":{"subject":"","project_id":79,"tracker_id":40,"status_id":1,"priority_id":2,"assigned_to_id":23,"start_date":"2016-09-08","description":"","custom_fields":[{"id":1,"name":"Subdivision","value":"EC"},{"id":4,"name":"Milepost","value":"23.2828"},{"id":17,"name":"Train ID","value":"138-08"},{"id":16,"name":"Locomotive ID","value":"4010"},{"id":130,"name":"Impact","value":""},{"id":150,"name":"Time of Event (Mountain Time)","value":"09:49:25"},{"id":151,"name":"Denver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359</v>
      </c>
      <c r="B51" s="7">
        <v>4018</v>
      </c>
      <c r="C51" s="24" t="s">
        <v>109</v>
      </c>
      <c r="D51" s="24" t="s">
        <v>360</v>
      </c>
      <c r="E51" s="15">
        <v>42621.352870370371</v>
      </c>
      <c r="F51" s="15">
        <v>42621.354456018518</v>
      </c>
      <c r="G51" s="7">
        <v>1</v>
      </c>
      <c r="H51" s="15" t="s">
        <v>361</v>
      </c>
      <c r="I51" s="15">
        <v>42621.380358796298</v>
      </c>
      <c r="J51" s="7">
        <v>0</v>
      </c>
      <c r="K51" s="122" t="str">
        <f t="shared" si="0"/>
        <v>4017/4018</v>
      </c>
      <c r="L51" s="24" t="str">
        <f>VLOOKUP(A51,'Trips&amp;Operators'!$C$1:$E$10000,3,FALSE)</f>
        <v>STARKS</v>
      </c>
      <c r="M51" s="6">
        <f t="shared" si="22"/>
        <v>2.5902777779265307E-2</v>
      </c>
      <c r="N51" s="7">
        <f>24*60*SUM($M51:$M51)</f>
        <v>37.300000002142042</v>
      </c>
      <c r="O51" s="7"/>
      <c r="P51" s="7"/>
      <c r="Q51" s="25"/>
      <c r="R51" s="25"/>
      <c r="S51" s="37">
        <f t="shared" si="23"/>
        <v>1</v>
      </c>
      <c r="T51" s="52" t="str">
        <f t="shared" si="4"/>
        <v>NorthBound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07:28:08-0600',mode:absolute,to:'2016-09-08 10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51" s="54" t="str">
        <f t="shared" si="25"/>
        <v>N</v>
      </c>
      <c r="X51" s="172">
        <f t="shared" si="20"/>
        <v>1</v>
      </c>
      <c r="Y51" s="69">
        <f t="shared" si="26"/>
        <v>4.6600000000000003E-2</v>
      </c>
      <c r="Z51" s="69">
        <f t="shared" si="27"/>
        <v>23.326799999999999</v>
      </c>
      <c r="AA51" s="69">
        <f t="shared" si="28"/>
        <v>23.280199999999997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11"/>
        <v>0139-08</v>
      </c>
      <c r="AE51" s="99" t="str">
        <f t="shared" si="29"/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AF51" s="96" t="str">
        <f t="shared" si="30"/>
        <v>"C:\Program Files (x86)\AstroGrep\AstroGrep.exe" /spath="%USERPROFILE%\AppData\Local\Temp\OnboardLogs" /stypes="*4018*20160908*" /stext=" 15:.+((SYSTEM_STATE.+slice.+state.+changed )|(ment ac)|(system.+state.+changed )|(\|lc)|(penalty)|(\[timeout)|(PRM\|1\|D)|(kpr)|(kdp))" /e /r /s</v>
      </c>
      <c r="AG51" s="1" t="str">
        <f t="shared" si="14"/>
        <v>EC</v>
      </c>
      <c r="AH51" s="100" t="str">
        <f t="shared" si="17"/>
        <v>"%USERPROFILE%\Documents\GitHub\eaglep3\Utilities\RefineRTDCRunTimes.py" --tripid 139-08 --locoid 4018 --swversion DE.1.0.7.0 --startMP 204:466 --initTime 2016-09-08T08:28:08 --startdatetime 2016-09-08T08:30:25 --delay 1 --endMP 204:233268 --enddatetime 2016-09-08T09:07:43 --enforcementcount 0 &gt;&gt;C:\Users\stu\Documents\GitHub\eaglep3-reporting\EC\2016-09-08-refined-times.txt</v>
      </c>
      <c r="AI51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{"issue":{"subject":"","project_id":79,"tracker_id":40,"status_id":1,"priority_id":2,"assigned_to_id":23,"start_date":"2016-09-08","description":"","custom_fields":[{"id":1,"name":"Subdivision","value":"EC"},{"id":4,"name":"Milepost","value":"23.2802"},{"id":17,"name":"Train ID","value":"139-08"},{"id":16,"name":"Locomotive ID","value":"4018"},{"id":130,"name":"Impact","value":""},{"id":150,"name":"Time of Event (Mountain Time)","value":"09:07:43"},{"id":151,"name":"Denver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362</v>
      </c>
      <c r="B52" s="7">
        <v>4017</v>
      </c>
      <c r="C52" s="24" t="s">
        <v>109</v>
      </c>
      <c r="D52" s="24" t="s">
        <v>363</v>
      </c>
      <c r="E52" s="15">
        <v>42621.39099537037</v>
      </c>
      <c r="F52" s="15">
        <v>42621.393425925926</v>
      </c>
      <c r="G52" s="7">
        <v>1</v>
      </c>
      <c r="H52" s="15" t="s">
        <v>364</v>
      </c>
      <c r="I52" s="15">
        <v>42621.421956018516</v>
      </c>
      <c r="J52" s="7">
        <v>0</v>
      </c>
      <c r="K52" s="122" t="str">
        <f t="shared" si="0"/>
        <v>4017/4018</v>
      </c>
      <c r="L52" s="24" t="str">
        <f>VLOOKUP(A52,'Trips&amp;Operators'!$C$1:$E$10000,3,FALSE)</f>
        <v>STARKS</v>
      </c>
      <c r="M52" s="6">
        <f t="shared" si="22"/>
        <v>2.8530092589790002E-2</v>
      </c>
      <c r="N52" s="7">
        <f>24*60*SUM($M52:$M52)</f>
        <v>41.083333329297602</v>
      </c>
      <c r="O52" s="7"/>
      <c r="P52" s="7"/>
      <c r="Q52" s="25"/>
      <c r="R52" s="25"/>
      <c r="S52" s="37">
        <f t="shared" si="23"/>
        <v>1</v>
      </c>
      <c r="T52" s="52" t="str">
        <f t="shared" si="4"/>
        <v>Southbound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08:23:02-0600',mode:absolute,to:'2016-09-08 11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52" s="54" t="str">
        <f t="shared" si="25"/>
        <v>N</v>
      </c>
      <c r="X52" s="172">
        <f t="shared" si="20"/>
        <v>1</v>
      </c>
      <c r="Y52" s="69">
        <f t="shared" si="26"/>
        <v>23.296099999999999</v>
      </c>
      <c r="Z52" s="69">
        <f t="shared" si="27"/>
        <v>1.34E-2</v>
      </c>
      <c r="AA52" s="69">
        <f t="shared" si="28"/>
        <v>23.282699999999998</v>
      </c>
      <c r="AB52" s="66" t="e">
        <f>VLOOKUP(A52,Enforcements!$C$7:$K$21,8,0)</f>
        <v>#N/A</v>
      </c>
      <c r="AC52" s="62" t="e">
        <f>VLOOKUP(A52,Enforcements!$C$7:$E$21,3,0)</f>
        <v>#N/A</v>
      </c>
      <c r="AD52" s="63" t="str">
        <f t="shared" si="11"/>
        <v>0140-08</v>
      </c>
      <c r="AE52" s="99" t="str">
        <f t="shared" si="29"/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AF52" s="96" t="str">
        <f t="shared" si="30"/>
        <v>"C:\Program Files (x86)\AstroGrep\AstroGrep.exe" /spath="%USERPROFILE%\AppData\Local\Temp\OnboardLogs" /stypes="*4017*20160908*" /stext=" 16:.+((SYSTEM_STATE.+slice.+state.+changed )|(ment ac)|(system.+state.+changed )|(\|lc)|(penalty)|(\[timeout)|(PRM\|1\|D)|(kpr)|(kdp))" /e /r /s</v>
      </c>
      <c r="AG52" s="1" t="str">
        <f t="shared" si="14"/>
        <v>EC</v>
      </c>
      <c r="AH52" s="100" t="str">
        <f t="shared" si="17"/>
        <v>"%USERPROFILE%\Documents\GitHub\eaglep3\Utilities\RefineRTDCRunTimes.py" --tripid 140-08 --locoid 4017 --swversion DE.1.0.7.0 --startMP 204:232961 --initTime 2016-09-08T09:23:02 --startdatetime 2016-09-08T09:26:32 --delay 1 --endMP 204:134 --enddatetime 2016-09-08T10:07:37 --enforcementcount 0 &gt;&gt;C:\Users\stu\Documents\GitHub\eaglep3-reporting\EC\2016-09-08-refined-times.txt</v>
      </c>
      <c r="AI52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{"issue":{"subject":"","project_id":79,"tracker_id":40,"status_id":1,"priority_id":2,"assigned_to_id":23,"start_date":"2016-09-08","description":"","custom_fields":[{"id":1,"name":"Subdivision","value":"EC"},{"id":4,"name":"Milepost","value":"23.2827"},{"id":17,"name":"Train ID","value":"140-08"},{"id":16,"name":"Locomotive ID","value":"4017"},{"id":130,"name":"Impact","value":""},{"id":150,"name":"Time of Event (Mountain Time)","value":"10:07:37"},{"id":151,"name":"Denver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762</v>
      </c>
      <c r="B53" s="7">
        <v>4044</v>
      </c>
      <c r="C53" s="24" t="s">
        <v>109</v>
      </c>
      <c r="D53" s="24" t="s">
        <v>363</v>
      </c>
      <c r="E53" s="15">
        <v>42621.39099537037</v>
      </c>
      <c r="F53" s="15">
        <v>42621.393425925926</v>
      </c>
      <c r="G53" s="7">
        <v>1</v>
      </c>
      <c r="H53" s="15" t="s">
        <v>364</v>
      </c>
      <c r="I53" s="15">
        <v>42621.421956018516</v>
      </c>
      <c r="J53" s="7">
        <v>0</v>
      </c>
      <c r="K53" s="122" t="str">
        <f t="shared" si="0"/>
        <v>4043/4044</v>
      </c>
      <c r="L53" s="24" t="e">
        <f>VLOOKUP(A53,'Trips&amp;Operators'!$C$1:$E$10000,3,FALSE)</f>
        <v>#N/A</v>
      </c>
      <c r="M53" s="6">
        <f t="shared" si="22"/>
        <v>2.8530092589790002E-2</v>
      </c>
      <c r="N53" s="7"/>
      <c r="O53" s="7"/>
      <c r="P53" s="7">
        <v>1</v>
      </c>
      <c r="Q53" s="25"/>
      <c r="R53" s="25" t="s">
        <v>761</v>
      </c>
      <c r="S53" s="37">
        <f t="shared" si="23"/>
        <v>0</v>
      </c>
      <c r="T53" s="52" t="str">
        <f t="shared" si="4"/>
        <v>NorthBound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0</v>
      </c>
      <c r="V53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08:23:02-0600',mode:absolute,to:'2016-09-08 11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53" s="54" t="str">
        <f t="shared" si="25"/>
        <v>N</v>
      </c>
      <c r="X53" s="172">
        <f t="shared" si="20"/>
        <v>1</v>
      </c>
      <c r="Y53" s="69">
        <f t="shared" si="26"/>
        <v>23.296099999999999</v>
      </c>
      <c r="Z53" s="69">
        <f t="shared" si="27"/>
        <v>1.34E-2</v>
      </c>
      <c r="AA53" s="69">
        <f t="shared" si="28"/>
        <v>23.282699999999998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 t="shared" si="11"/>
        <v>0141-08</v>
      </c>
      <c r="AE53" s="99" t="str">
        <f t="shared" si="29"/>
        <v>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 &amp; aws s3 cp s3://rtdc.mdm.uploadarchive/RTDC4044/2016-09-09/ "%USERPROFILE%\AppData\Local\Temp\OnboardLogs"\RTDC4044\2016-09-09 --recursive &amp; "%USERPROFILE%\Documents\GitHub\mrs-test-scripts\Headless Mode &amp; Sideloading\WalkAndUnGZ.bat" "%USERPROFILE%\AppData\Local\Temp\OnboardLogs"\RTDC4044\2016-09-09</v>
      </c>
      <c r="AF53" s="96" t="str">
        <f t="shared" si="30"/>
        <v>"C:\Program Files (x86)\AstroGrep\AstroGrep.exe" /spath="%USERPROFILE%\AppData\Local\Temp\OnboardLogs" /stypes="*4044*20160908*" /stext=" 16:.+((SYSTEM_STATE.+slice.+state.+changed )|(ment ac)|(system.+state.+changed )|(\|lc)|(penalty)|(\[timeout)|(PRM\|1\|D)|(kpr)|(kdp))" /e /r /s</v>
      </c>
      <c r="AG53" s="1" t="str">
        <f t="shared" si="14"/>
        <v>EC</v>
      </c>
      <c r="AH53" s="100" t="str">
        <f t="shared" ref="AH53" si="33">refinertdcruntimes&amp;" --tripid "&amp;A53&amp;" --locoid "&amp;B53&amp;" --swversion "&amp;C53&amp;" --startMP "&amp;D53&amp;" --initTime "&amp;TEXT(E53,"yyyy-mm-ddTHH:MM:SS")&amp;" --startdatetime "&amp;TEXT(F53,"yyyy-mm-ddTHH:MM:SS")&amp;" --delay "&amp;G53&amp;" --endMP "&amp;H53&amp;" --enddatetime "&amp;TEXT(I53,"yyyy-mm-ddTHH:MM:SS")&amp;" --enforcementcount "&amp;J53&amp;IF(outputrefinedruntimes," &gt;&gt;"&amp;RefinedRTDCRunTimesOutputFile,"")</f>
        <v>"%USERPROFILE%\Documents\GitHub\eaglep3\Utilities\RefineRTDCRunTimes.py" --tripid 141-08 --locoid 4044 --swversion DE.1.0.7.0 --startMP 204:232961 --initTime 2016-09-08T09:23:02 --startdatetime 2016-09-08T09:26:32 --delay 1 --endMP 204:134 --enddatetime 2016-09-08T10:07:37 --enforcementcount 0 &gt;&gt;C:\Users\stu\Documents\GitHub\eaglep3-reporting\EC\2016-09-08-refined-times.txt</v>
      </c>
      <c r="AI53" s="137" t="str">
        <f t="shared" ref="AI53" si="34">"echo {""issue"":{""subject"":"""&amp;R53&amp;""",""project_id"":79,""tracker_id"":40,""status_id"":"&amp;redmine_status&amp;",""priority_id"":"&amp;redmine_priority&amp;",""assigned_to_id"":"&amp;redmine_assignee&amp;",""start_date"":"""&amp;TEXT(I53,"YYYY-mm-dd")&amp;""",""description"":"""&amp;AJ53&amp;""",""custom_fields"":[{""id"":1,""name"":""Subdivision"",""value"":"""&amp;AG53&amp;"""},{""id"":4,""name"":""Milepost"",""value"":"""&amp;AA53&amp;"""},{""id"":17,""name"":""Train ID"",""value"":"""&amp;A53&amp;"""},{""id"":16,""name"":""Locomotive ID"",""value"":"""&amp;B53&amp;"""},{""id"":130,""name"":""Impact"",""value"":"""&amp;AK53&amp;"""},{""id"":150,""name"":""Time of Event (Mountain Time)"",""value"":"""&amp;TEXT(I53,"hh:mm:ss")&amp;"""},{""id"":151,""name"":""Denver Issue ID"",""value"":"""&amp;"""},{""id"":178,""name"":""Operational Impact"",""value"":"""&amp;redmine_op_impact&amp;"""},{""id"":179,""name"":""Denver Segment Assigned"",""value"":"""&amp;AL53&amp;"""}]}}"&amp;"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init","project_id":79,"tracker_id":40,"status_id":1,"priority_id":2,"assigned_to_id":23,"start_date":"2016-09-08","description":"","custom_fields":[{"id":1,"name":"Subdivision","value":"EC"},{"id":4,"name":"Milepost","value":"23.2827"},{"id":17,"name":"Train ID","value":"141-08"},{"id":16,"name":"Locomotive ID","value":"4044"},{"id":130,"name":"Impact","value":""},{"id":150,"name":"Time of Event (Mountain Time)","value":"10:07:37"},{"id":151,"name":"Denver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365</v>
      </c>
      <c r="B54" s="7">
        <v>4043</v>
      </c>
      <c r="C54" s="24" t="s">
        <v>109</v>
      </c>
      <c r="D54" s="24" t="s">
        <v>366</v>
      </c>
      <c r="E54" s="15">
        <v>42621.397268518522</v>
      </c>
      <c r="F54" s="15">
        <v>42621.403761574074</v>
      </c>
      <c r="G54" s="7">
        <v>1</v>
      </c>
      <c r="H54" s="15" t="s">
        <v>327</v>
      </c>
      <c r="I54" s="15">
        <v>42621.430520833332</v>
      </c>
      <c r="J54" s="7">
        <v>0</v>
      </c>
      <c r="K54" s="122" t="str">
        <f t="shared" si="0"/>
        <v>4043/4044</v>
      </c>
      <c r="L54" s="24" t="str">
        <f>VLOOKUP(A54,'Trips&amp;Operators'!$C$1:$E$10000,3,FALSE)</f>
        <v>MAELZER</v>
      </c>
      <c r="M54" s="6">
        <f t="shared" si="22"/>
        <v>2.675925925723277E-2</v>
      </c>
      <c r="N54" s="7">
        <f t="shared" ref="N54:N62" si="35">24*60*SUM($M54:$M54)</f>
        <v>38.533333330415189</v>
      </c>
      <c r="O54" s="7"/>
      <c r="P54" s="7"/>
      <c r="Q54" s="25"/>
      <c r="R54" s="25"/>
      <c r="S54" s="37">
        <f t="shared" si="23"/>
        <v>1</v>
      </c>
      <c r="T54" s="52" t="str">
        <f t="shared" si="4"/>
        <v>Southbound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08:32:04-0600',mode:absolute,to:'2016-09-08 11:19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54" s="54" t="str">
        <f t="shared" si="25"/>
        <v>N</v>
      </c>
      <c r="X54" s="172">
        <f t="shared" ref="X54:X57" si="36">VALUE(LEFT(AD54,4))-VALUE(LEFT(AD53,4))</f>
        <v>1</v>
      </c>
      <c r="Y54" s="69">
        <f t="shared" si="26"/>
        <v>23.299800000000001</v>
      </c>
      <c r="Z54" s="69">
        <f t="shared" si="27"/>
        <v>1.52E-2</v>
      </c>
      <c r="AA54" s="69">
        <f t="shared" si="28"/>
        <v>23.284600000000001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 t="shared" si="11"/>
        <v>0142-08</v>
      </c>
      <c r="AE54" s="99" t="str">
        <f t="shared" si="29"/>
        <v>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 &amp; aws s3 cp s3://rtdc.mdm.uploadarchive/RTDC4043/2016-09-09/ "%USERPROFILE%\AppData\Local\Temp\OnboardLogs"\RTDC4043\2016-09-09 --recursive &amp; "%USERPROFILE%\Documents\GitHub\mrs-test-scripts\Headless Mode &amp; Sideloading\WalkAndUnGZ.bat" "%USERPROFILE%\AppData\Local\Temp\OnboardLogs"\RTDC4043\2016-09-09</v>
      </c>
      <c r="AF54" s="96" t="str">
        <f t="shared" si="30"/>
        <v>"C:\Program Files (x86)\AstroGrep\AstroGrep.exe" /spath="%USERPROFILE%\AppData\Local\Temp\OnboardLogs" /stypes="*4043*20160908*" /stext=" 16:.+((SYSTEM_STATE.+slice.+state.+changed )|(ment ac)|(system.+state.+changed )|(\|lc)|(penalty)|(\[timeout)|(PRM\|1\|D)|(kpr)|(kdp))" /e /r /s</v>
      </c>
      <c r="AG54" s="1" t="str">
        <f t="shared" si="14"/>
        <v>EC</v>
      </c>
      <c r="AH54" s="100" t="str">
        <f t="shared" si="17"/>
        <v>"%USERPROFILE%\Documents\GitHub\eaglep3\Utilities\RefineRTDCRunTimes.py" --tripid 142-08 --locoid 4043 --swversion DE.1.0.7.0 --startMP 204:232998 --initTime 2016-09-08T09:32:04 --startdatetime 2016-09-08T09:41:25 --delay 1 --endMP 204:152 --enddatetime 2016-09-08T10:19:57 --enforcementcount 0 &gt;&gt;C:\Users\stu\Documents\GitHub\eaglep3-reporting\EC\2016-09-08-refined-times.txt</v>
      </c>
      <c r="AI54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{"issue":{"subject":"","project_id":79,"tracker_id":40,"status_id":1,"priority_id":2,"assigned_to_id":23,"start_date":"2016-09-08","description":"","custom_fields":[{"id":1,"name":"Subdivision","value":"EC"},{"id":4,"name":"Milepost","value":"23.2846"},{"id":17,"name":"Train ID","value":"142-08"},{"id":16,"name":"Locomotive ID","value":"4043"},{"id":130,"name":"Impact","value":""},{"id":150,"name":"Time of Event (Mountain Time)","value":"10:19:57"},{"id":151,"name":"Denver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367</v>
      </c>
      <c r="B55" s="7">
        <v>4016</v>
      </c>
      <c r="C55" s="24" t="s">
        <v>109</v>
      </c>
      <c r="D55" s="24" t="s">
        <v>368</v>
      </c>
      <c r="E55" s="15">
        <v>42621.371006944442</v>
      </c>
      <c r="F55" s="15">
        <v>42621.375162037039</v>
      </c>
      <c r="G55" s="7">
        <v>1</v>
      </c>
      <c r="H55" s="15" t="s">
        <v>269</v>
      </c>
      <c r="I55" s="15">
        <v>42621.401655092595</v>
      </c>
      <c r="J55" s="7">
        <v>0</v>
      </c>
      <c r="K55" s="122" t="str">
        <f t="shared" si="0"/>
        <v>4015/4016</v>
      </c>
      <c r="L55" s="24" t="str">
        <f>VLOOKUP(A55,'Trips&amp;Operators'!$C$1:$E$10000,3,FALSE)</f>
        <v>BRANNON</v>
      </c>
      <c r="M55" s="6">
        <f t="shared" si="22"/>
        <v>2.6493055556784384E-2</v>
      </c>
      <c r="N55" s="7">
        <f t="shared" si="35"/>
        <v>38.150000001769513</v>
      </c>
      <c r="O55" s="7"/>
      <c r="P55" s="7"/>
      <c r="Q55" s="25"/>
      <c r="R55" s="25"/>
      <c r="S55" s="37">
        <f t="shared" si="23"/>
        <v>1</v>
      </c>
      <c r="T55" s="52" t="str">
        <f t="shared" si="4"/>
        <v>NorthBound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07:54:15-0600',mode:absolute,to:'2016-09-08 10:38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55" s="54" t="str">
        <f t="shared" si="25"/>
        <v>N</v>
      </c>
      <c r="X55" s="172">
        <f t="shared" si="36"/>
        <v>1</v>
      </c>
      <c r="Y55" s="69">
        <f t="shared" si="26"/>
        <v>4.4900000000000002E-2</v>
      </c>
      <c r="Z55" s="69">
        <f t="shared" si="27"/>
        <v>23.331399999999999</v>
      </c>
      <c r="AA55" s="69">
        <f t="shared" si="28"/>
        <v>23.2865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 t="shared" si="11"/>
        <v>0143-08</v>
      </c>
      <c r="AE55" s="99" t="str">
        <f t="shared" si="29"/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AF55" s="96" t="str">
        <f t="shared" si="30"/>
        <v>"C:\Program Files (x86)\AstroGrep\AstroGrep.exe" /spath="%USERPROFILE%\AppData\Local\Temp\OnboardLogs" /stypes="*4016*20160908*" /stext=" 15:.+((SYSTEM_STATE.+slice.+state.+changed )|(ment ac)|(system.+state.+changed )|(\|lc)|(penalty)|(\[timeout)|(PRM\|1\|D)|(kpr)|(kdp))" /e /r /s</v>
      </c>
      <c r="AG55" s="1" t="str">
        <f t="shared" si="14"/>
        <v>EC</v>
      </c>
      <c r="AH55" s="100" t="str">
        <f t="shared" si="17"/>
        <v>"%USERPROFILE%\Documents\GitHub\eaglep3\Utilities\RefineRTDCRunTimes.py" --tripid 143-08 --locoid 4016 --swversion DE.1.0.7.0 --startMP 204:449 --initTime 2016-09-08T08:54:15 --startdatetime 2016-09-08T09:00:14 --delay 1 --endMP 204:233314 --enddatetime 2016-09-08T09:38:23 --enforcementcount 0 &gt;&gt;C:\Users\stu\Documents\GitHub\eaglep3-reporting\EC\2016-09-08-refined-times.txt</v>
      </c>
      <c r="AI55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{"issue":{"subject":"","project_id":79,"tracker_id":40,"status_id":1,"priority_id":2,"assigned_to_id":23,"start_date":"2016-09-08","description":"","custom_fields":[{"id":1,"name":"Subdivision","value":"EC"},{"id":4,"name":"Milepost","value":"23.2865"},{"id":17,"name":"Train ID","value":"143-08"},{"id":16,"name":"Locomotive ID","value":"4016"},{"id":130,"name":"Impact","value":""},{"id":150,"name":"Time of Event (Mountain Time)","value":"09:38:23"},{"id":151,"name":"Denver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369</v>
      </c>
      <c r="B56" s="7">
        <v>4015</v>
      </c>
      <c r="C56" s="24" t="s">
        <v>109</v>
      </c>
      <c r="D56" s="24" t="s">
        <v>370</v>
      </c>
      <c r="E56" s="15">
        <v>42621.40625</v>
      </c>
      <c r="F56" s="15">
        <v>42621.414305555554</v>
      </c>
      <c r="G56" s="7">
        <v>1</v>
      </c>
      <c r="H56" s="15" t="s">
        <v>133</v>
      </c>
      <c r="I56" s="15">
        <v>42621.442303240743</v>
      </c>
      <c r="J56" s="7">
        <v>0</v>
      </c>
      <c r="K56" s="122" t="str">
        <f t="shared" si="0"/>
        <v>4015/4016</v>
      </c>
      <c r="L56" s="24" t="str">
        <f>VLOOKUP(A56,'Trips&amp;Operators'!$C$1:$E$10000,3,FALSE)</f>
        <v>BRANNON</v>
      </c>
      <c r="M56" s="6">
        <f t="shared" si="22"/>
        <v>2.7997685188893229E-2</v>
      </c>
      <c r="N56" s="7">
        <f t="shared" si="35"/>
        <v>40.316666672006249</v>
      </c>
      <c r="O56" s="7"/>
      <c r="P56" s="7"/>
      <c r="Q56" s="25"/>
      <c r="R56" s="25"/>
      <c r="S56" s="37">
        <f t="shared" si="23"/>
        <v>1</v>
      </c>
      <c r="T56" s="52" t="str">
        <f t="shared" si="4"/>
        <v>Southbound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08:45:00-0600',mode:absolute,to:'2016-09-08 11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56" s="54" t="str">
        <f t="shared" si="25"/>
        <v>N</v>
      </c>
      <c r="X56" s="172">
        <f t="shared" si="36"/>
        <v>1</v>
      </c>
      <c r="Y56" s="69">
        <f t="shared" si="26"/>
        <v>23.2957</v>
      </c>
      <c r="Z56" s="69">
        <f t="shared" si="27"/>
        <v>1.54E-2</v>
      </c>
      <c r="AA56" s="69">
        <f t="shared" si="28"/>
        <v>23.2803</v>
      </c>
      <c r="AB56" s="66" t="e">
        <f>VLOOKUP(A56,Enforcements!$C$7:$K$21,8,0)</f>
        <v>#N/A</v>
      </c>
      <c r="AC56" s="62" t="e">
        <f>VLOOKUP(A56,Enforcements!$C$7:$E$21,3,0)</f>
        <v>#N/A</v>
      </c>
      <c r="AD56" s="63" t="str">
        <f t="shared" si="11"/>
        <v>0144-08</v>
      </c>
      <c r="AE56" s="99" t="str">
        <f t="shared" si="29"/>
        <v>aws s3 cp s3://rtdc.mdm.uploadarchive/RTDC4015/2016-09-08/ "%USERPROFILE%\AppData\Local\Temp\OnboardLogs"\RTDC4015\2016-09-08 --recursive &amp; "%USERPROFILE%\Documents\GitHub\mrs-test-scripts\Headless Mode &amp; Sideloading\WalkAndUnGZ.bat" "%USERPROFILE%\AppData\Local\Temp\OnboardLogs"\RTDC4015\2016-09-08 &amp; 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</v>
      </c>
      <c r="AF56" s="96" t="str">
        <f t="shared" si="30"/>
        <v>"C:\Program Files (x86)\AstroGrep\AstroGrep.exe" /spath="%USERPROFILE%\AppData\Local\Temp\OnboardLogs" /stypes="*4015*20160908*" /stext=" 16:.+((SYSTEM_STATE.+slice.+state.+changed )|(ment ac)|(system.+state.+changed )|(\|lc)|(penalty)|(\[timeout)|(PRM\|1\|D)|(kpr)|(kdp))" /e /r /s</v>
      </c>
      <c r="AG56" s="1" t="str">
        <f t="shared" si="14"/>
        <v>EC</v>
      </c>
      <c r="AH56" s="100" t="str">
        <f t="shared" si="17"/>
        <v>"%USERPROFILE%\Documents\GitHub\eaglep3\Utilities\RefineRTDCRunTimes.py" --tripid 144-08 --locoid 4015 --swversion DE.1.0.7.0 --startMP 204:232957 --initTime 2016-09-08T09:45:00 --startdatetime 2016-09-08T09:56:36 --delay 1 --endMP 204:154 --enddatetime 2016-09-08T10:36:55 --enforcementcount 0 &gt;&gt;C:\Users\stu\Documents\GitHub\eaglep3-reporting\EC\2016-09-08-refined-times.txt</v>
      </c>
      <c r="AI56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{"issue":{"subject":"","project_id":79,"tracker_id":40,"status_id":1,"priority_id":2,"assigned_to_id":23,"start_date":"2016-09-08","description":"","custom_fields":[{"id":1,"name":"Subdivision","value":"EC"},{"id":4,"name":"Milepost","value":"23.2803"},{"id":17,"name":"Train ID","value":"144-08"},{"id":16,"name":"Locomotive ID","value":"4015"},{"id":130,"name":"Impact","value":""},{"id":150,"name":"Time of Event (Mountain Time)","value":"10:36:55"},{"id":151,"name":"Denver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371</v>
      </c>
      <c r="B57" s="7">
        <v>4011</v>
      </c>
      <c r="C57" s="24" t="s">
        <v>109</v>
      </c>
      <c r="D57" s="24" t="s">
        <v>372</v>
      </c>
      <c r="E57" s="15">
        <v>42621.381006944444</v>
      </c>
      <c r="F57" s="15">
        <v>42621.386006944442</v>
      </c>
      <c r="G57" s="7">
        <v>1</v>
      </c>
      <c r="H57" s="15" t="s">
        <v>373</v>
      </c>
      <c r="I57" s="15">
        <v>42621.40996527778</v>
      </c>
      <c r="J57" s="7">
        <v>0</v>
      </c>
      <c r="K57" s="122" t="str">
        <f t="shared" si="0"/>
        <v>4011/4012</v>
      </c>
      <c r="L57" s="24" t="str">
        <f>VLOOKUP(A57,'Trips&amp;Operators'!$C$1:$E$10000,3,FALSE)</f>
        <v>SANTIZO</v>
      </c>
      <c r="M57" s="6">
        <f t="shared" si="22"/>
        <v>2.3958333338669036E-2</v>
      </c>
      <c r="N57" s="7">
        <f t="shared" si="35"/>
        <v>34.500000007683411</v>
      </c>
      <c r="O57" s="7"/>
      <c r="P57" s="7"/>
      <c r="Q57" s="25"/>
      <c r="R57" s="25"/>
      <c r="S57" s="37">
        <f t="shared" si="23"/>
        <v>1</v>
      </c>
      <c r="T57" s="52" t="str">
        <f t="shared" si="4"/>
        <v>NorthBound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08:08:39-0600',mode:absolute,to:'2016-09-08 10:50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57" s="54" t="str">
        <f t="shared" si="25"/>
        <v>N</v>
      </c>
      <c r="X57" s="172">
        <f t="shared" si="36"/>
        <v>1</v>
      </c>
      <c r="Y57" s="69">
        <f t="shared" si="26"/>
        <v>4.3099999999999999E-2</v>
      </c>
      <c r="Z57" s="69">
        <f t="shared" si="27"/>
        <v>23.333100000000002</v>
      </c>
      <c r="AA57" s="69">
        <f t="shared" si="28"/>
        <v>23.290000000000003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 t="shared" si="11"/>
        <v>0145-08</v>
      </c>
      <c r="AE57" s="99" t="str">
        <f t="shared" si="29"/>
        <v>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 &amp; 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</v>
      </c>
      <c r="AF57" s="96" t="str">
        <f t="shared" si="30"/>
        <v>"C:\Program Files (x86)\AstroGrep\AstroGrep.exe" /spath="%USERPROFILE%\AppData\Local\Temp\OnboardLogs" /stypes="*4011*20160908*" /stext=" 15:.+((SYSTEM_STATE.+slice.+state.+changed )|(ment ac)|(system.+state.+changed )|(\|lc)|(penalty)|(\[timeout)|(PRM\|1\|D)|(kpr)|(kdp))" /e /r /s</v>
      </c>
      <c r="AG57" s="1" t="str">
        <f t="shared" si="14"/>
        <v>EC</v>
      </c>
      <c r="AH57" s="100" t="str">
        <f t="shared" si="17"/>
        <v>"%USERPROFILE%\Documents\GitHub\eaglep3\Utilities\RefineRTDCRunTimes.py" --tripid 145-08 --locoid 4011 --swversion DE.1.0.7.0 --startMP 204:431 --initTime 2016-09-08T09:08:39 --startdatetime 2016-09-08T09:15:51 --delay 1 --endMP 204:233331 --enddatetime 2016-09-08T09:50:21 --enforcementcount 0 &gt;&gt;C:\Users\stu\Documents\GitHub\eaglep3-reporting\EC\2016-09-08-refined-times.txt</v>
      </c>
      <c r="AI57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{"issue":{"subject":"","project_id":79,"tracker_id":40,"status_id":1,"priority_id":2,"assigned_to_id":23,"start_date":"2016-09-08","description":"","custom_fields":[{"id":1,"name":"Subdivision","value":"EC"},{"id":4,"name":"Milepost","value":"23.29"},{"id":17,"name":"Train ID","value":"145-08"},{"id":16,"name":"Locomotive ID","value":"4011"},{"id":130,"name":"Impact","value":""},{"id":150,"name":"Time of Event (Mountain Time)","value":"09:50:21"},{"id":151,"name":"Denver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374</v>
      </c>
      <c r="B58" s="7">
        <v>4012</v>
      </c>
      <c r="C58" s="24" t="s">
        <v>109</v>
      </c>
      <c r="D58" s="24" t="s">
        <v>375</v>
      </c>
      <c r="E58" s="15">
        <v>42621.411828703705</v>
      </c>
      <c r="F58" s="15">
        <v>42621.424675925926</v>
      </c>
      <c r="G58" s="7">
        <v>0</v>
      </c>
      <c r="H58" s="15" t="s">
        <v>376</v>
      </c>
      <c r="I58" s="15">
        <v>42621.450046296297</v>
      </c>
      <c r="J58" s="7">
        <v>0</v>
      </c>
      <c r="K58" s="122" t="str">
        <f t="shared" si="0"/>
        <v>4011/4012</v>
      </c>
      <c r="L58" s="24" t="str">
        <f>VLOOKUP(A58,'Trips&amp;Operators'!$C$1:$E$10000,3,FALSE)</f>
        <v>SANTIZO</v>
      </c>
      <c r="M58" s="6">
        <f t="shared" si="22"/>
        <v>2.5370370371092577E-2</v>
      </c>
      <c r="N58" s="7">
        <f t="shared" si="35"/>
        <v>36.53333333437331</v>
      </c>
      <c r="O58" s="7"/>
      <c r="P58" s="7"/>
      <c r="Q58" s="25"/>
      <c r="R58" s="25"/>
      <c r="S58" s="37">
        <f t="shared" si="23"/>
        <v>1</v>
      </c>
      <c r="T58" s="52" t="str">
        <f t="shared" si="4"/>
        <v>Southbound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08:53:02-0600',mode:absolute,to:'2016-09-08 11:48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58" s="54" t="str">
        <f t="shared" si="25"/>
        <v>N</v>
      </c>
      <c r="X58" s="172">
        <f t="shared" ref="X58:X75" si="37">VALUE(LEFT(AD58,4))-VALUE(LEFT(AD57,4))</f>
        <v>1</v>
      </c>
      <c r="Y58" s="69">
        <f t="shared" si="26"/>
        <v>23.3019</v>
      </c>
      <c r="Z58" s="69">
        <f t="shared" si="27"/>
        <v>9.1999999999999998E-3</v>
      </c>
      <c r="AA58" s="69">
        <f t="shared" si="28"/>
        <v>23.2927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 t="shared" si="11"/>
        <v>0146-08</v>
      </c>
      <c r="AE58" s="99" t="str">
        <f t="shared" si="29"/>
        <v>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 &amp; 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</v>
      </c>
      <c r="AF58" s="96" t="str">
        <f t="shared" si="30"/>
        <v>"C:\Program Files (x86)\AstroGrep\AstroGrep.exe" /spath="%USERPROFILE%\AppData\Local\Temp\OnboardLogs" /stypes="*4012*20160908*" /stext=" 16:.+((SYSTEM_STATE.+slice.+state.+changed )|(ment ac)|(system.+state.+changed )|(\|lc)|(penalty)|(\[timeout)|(PRM\|1\|D)|(kpr)|(kdp))" /e /r /s</v>
      </c>
      <c r="AG58" s="1" t="str">
        <f t="shared" si="14"/>
        <v>EC</v>
      </c>
      <c r="AH58" s="100" t="str">
        <f t="shared" si="17"/>
        <v>"%USERPROFILE%\Documents\GitHub\eaglep3\Utilities\RefineRTDCRunTimes.py" --tripid 146-08 --locoid 4012 --swversion DE.1.0.7.0 --startMP 204:233019 --initTime 2016-09-08T09:53:02 --startdatetime 2016-09-08T10:11:32 --delay 0 --endMP 204:92 --enddatetime 2016-09-08T10:48:04 --enforcementcount 0 &gt;&gt;C:\Users\stu\Documents\GitHub\eaglep3-reporting\EC\2016-09-08-refined-times.txt</v>
      </c>
      <c r="AI58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{"issue":{"subject":"","project_id":79,"tracker_id":40,"status_id":1,"priority_id":2,"assigned_to_id":23,"start_date":"2016-09-08","description":"","custom_fields":[{"id":1,"name":"Subdivision","value":"EC"},{"id":4,"name":"Milepost","value":"23.2927"},{"id":17,"name":"Train ID","value":"146-08"},{"id":16,"name":"Locomotive ID","value":"4012"},{"id":130,"name":"Impact","value":""},{"id":150,"name":"Time of Event (Mountain Time)","value":"10:48:04"},{"id":151,"name":"Denver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377</v>
      </c>
      <c r="B59" s="7">
        <v>4031</v>
      </c>
      <c r="C59" s="24" t="s">
        <v>109</v>
      </c>
      <c r="D59" s="24" t="s">
        <v>378</v>
      </c>
      <c r="E59" s="15">
        <v>42621.39471064815</v>
      </c>
      <c r="F59" s="15">
        <v>42621.396145833336</v>
      </c>
      <c r="G59" s="7">
        <v>1</v>
      </c>
      <c r="H59" s="15" t="s">
        <v>379</v>
      </c>
      <c r="I59" s="15">
        <v>42621.421423611115</v>
      </c>
      <c r="J59" s="7">
        <v>0</v>
      </c>
      <c r="K59" s="122" t="str">
        <f t="shared" si="0"/>
        <v>4031/4032</v>
      </c>
      <c r="L59" s="24" t="str">
        <f>VLOOKUP(A59,'Trips&amp;Operators'!$C$1:$E$10000,3,FALSE)</f>
        <v>MALAVE</v>
      </c>
      <c r="M59" s="6">
        <f t="shared" si="22"/>
        <v>2.527777777868323E-2</v>
      </c>
      <c r="N59" s="7">
        <f t="shared" si="35"/>
        <v>36.400000001303852</v>
      </c>
      <c r="O59" s="7"/>
      <c r="P59" s="7"/>
      <c r="Q59" s="25"/>
      <c r="R59" s="25"/>
      <c r="S59" s="37">
        <f t="shared" si="23"/>
        <v>1</v>
      </c>
      <c r="T59" s="52" t="str">
        <f t="shared" si="4"/>
        <v>NorthBound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08:28:23-0600',mode:absolute,to:'2016-09-08 11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59" s="54" t="str">
        <f t="shared" si="25"/>
        <v>N</v>
      </c>
      <c r="X59" s="172">
        <f t="shared" si="37"/>
        <v>1</v>
      </c>
      <c r="Y59" s="69">
        <f t="shared" si="26"/>
        <v>4.5100000000000001E-2</v>
      </c>
      <c r="Z59" s="69">
        <f t="shared" si="27"/>
        <v>23.328199999999999</v>
      </c>
      <c r="AA59" s="69">
        <f t="shared" si="28"/>
        <v>23.283099999999997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 t="shared" si="11"/>
        <v>0147-08</v>
      </c>
      <c r="AE59" s="99" t="str">
        <f t="shared" si="29"/>
        <v>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 &amp; 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</v>
      </c>
      <c r="AF59" s="96" t="str">
        <f t="shared" si="30"/>
        <v>"C:\Program Files (x86)\AstroGrep\AstroGrep.exe" /spath="%USERPROFILE%\AppData\Local\Temp\OnboardLogs" /stypes="*4031*20160908*" /stext=" 16:.+((SYSTEM_STATE.+slice.+state.+changed )|(ment ac)|(system.+state.+changed )|(\|lc)|(penalty)|(\[timeout)|(PRM\|1\|D)|(kpr)|(kdp))" /e /r /s</v>
      </c>
      <c r="AG59" s="1" t="str">
        <f t="shared" si="14"/>
        <v>EC</v>
      </c>
      <c r="AH59" s="100" t="str">
        <f t="shared" si="17"/>
        <v>"%USERPROFILE%\Documents\GitHub\eaglep3\Utilities\RefineRTDCRunTimes.py" --tripid 147-08 --locoid 4031 --swversion DE.1.0.7.0 --startMP 204:451 --initTime 2016-09-08T09:28:23 --startdatetime 2016-09-08T09:30:27 --delay 1 --endMP 204:233282 --enddatetime 2016-09-08T10:06:51 --enforcementcount 0 &gt;&gt;C:\Users\stu\Documents\GitHub\eaglep3-reporting\EC\2016-09-08-refined-times.txt</v>
      </c>
      <c r="AI59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{"issue":{"subject":"","project_id":79,"tracker_id":40,"status_id":1,"priority_id":2,"assigned_to_id":23,"start_date":"2016-09-08","description":"","custom_fields":[{"id":1,"name":"Subdivision","value":"EC"},{"id":4,"name":"Milepost","value":"23.2831"},{"id":17,"name":"Train ID","value":"147-08"},{"id":16,"name":"Locomotive ID","value":"4031"},{"id":130,"name":"Impact","value":""},{"id":150,"name":"Time of Event (Mountain Time)","value":"10:06:51"},{"id":151,"name":"Denver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380</v>
      </c>
      <c r="B60" s="7">
        <v>4032</v>
      </c>
      <c r="C60" s="24" t="s">
        <v>109</v>
      </c>
      <c r="D60" s="24" t="s">
        <v>381</v>
      </c>
      <c r="E60" s="15">
        <v>42621.432650462964</v>
      </c>
      <c r="F60" s="15">
        <v>42621.434907407405</v>
      </c>
      <c r="G60" s="7">
        <v>3</v>
      </c>
      <c r="H60" s="15" t="s">
        <v>382</v>
      </c>
      <c r="I60" s="15">
        <v>42621.462812500002</v>
      </c>
      <c r="J60" s="7">
        <v>0</v>
      </c>
      <c r="K60" s="122" t="str">
        <f t="shared" si="0"/>
        <v>4031/4032</v>
      </c>
      <c r="L60" s="24" t="str">
        <f>VLOOKUP(A60,'Trips&amp;Operators'!$C$1:$E$10000,3,FALSE)</f>
        <v>MALAVE</v>
      </c>
      <c r="M60" s="6">
        <f t="shared" si="22"/>
        <v>2.7905092596483883E-2</v>
      </c>
      <c r="N60" s="7">
        <f t="shared" si="35"/>
        <v>40.183333338936791</v>
      </c>
      <c r="O60" s="7"/>
      <c r="P60" s="7"/>
      <c r="Q60" s="25"/>
      <c r="R60" s="25"/>
      <c r="S60" s="37">
        <f t="shared" si="23"/>
        <v>1</v>
      </c>
      <c r="T60" s="52" t="str">
        <f t="shared" si="4"/>
        <v>Southbound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09:23:01-0600',mode:absolute,to:'2016-09-08 12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60" s="54" t="str">
        <f t="shared" si="25"/>
        <v>N</v>
      </c>
      <c r="X60" s="172">
        <f t="shared" si="37"/>
        <v>1</v>
      </c>
      <c r="Y60" s="69">
        <f t="shared" si="26"/>
        <v>23.296299999999999</v>
      </c>
      <c r="Z60" s="69">
        <f t="shared" si="27"/>
        <v>1.5599999999999999E-2</v>
      </c>
      <c r="AA60" s="69">
        <f t="shared" si="28"/>
        <v>23.2807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 t="shared" si="11"/>
        <v>0148-08</v>
      </c>
      <c r="AE60" s="99" t="str">
        <f t="shared" si="29"/>
        <v>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 &amp; 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</v>
      </c>
      <c r="AF60" s="96" t="str">
        <f t="shared" si="30"/>
        <v>"C:\Program Files (x86)\AstroGrep\AstroGrep.exe" /spath="%USERPROFILE%\AppData\Local\Temp\OnboardLogs" /stypes="*4032*20160908*" /stext=" 17:.+((SYSTEM_STATE.+slice.+state.+changed )|(ment ac)|(system.+state.+changed )|(\|lc)|(penalty)|(\[timeout)|(PRM\|1\|D)|(kpr)|(kdp))" /e /r /s</v>
      </c>
      <c r="AG60" s="1" t="str">
        <f t="shared" si="14"/>
        <v>EC</v>
      </c>
      <c r="AH60" s="100" t="str">
        <f t="shared" si="17"/>
        <v>"%USERPROFILE%\Documents\GitHub\eaglep3\Utilities\RefineRTDCRunTimes.py" --tripid 148-08 --locoid 4032 --swversion DE.1.0.7.0 --startMP 204:232963 --initTime 2016-09-08T10:23:01 --startdatetime 2016-09-08T10:26:16 --delay 3 --endMP 204:156 --enddatetime 2016-09-08T11:06:27 --enforcementcount 0 &gt;&gt;C:\Users\stu\Documents\GitHub\eaglep3-reporting\EC\2016-09-08-refined-times.txt</v>
      </c>
      <c r="AI60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{"issue":{"subject":"","project_id":79,"tracker_id":40,"status_id":1,"priority_id":2,"assigned_to_id":23,"start_date":"2016-09-08","description":"","custom_fields":[{"id":1,"name":"Subdivision","value":"EC"},{"id":4,"name":"Milepost","value":"23.2807"},{"id":17,"name":"Train ID","value":"148-08"},{"id":16,"name":"Locomotive ID","value":"4032"},{"id":130,"name":"Impact","value":""},{"id":150,"name":"Time of Event (Mountain Time)","value":"11:06:27"},{"id":151,"name":"Denver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383</v>
      </c>
      <c r="B61" s="7">
        <v>4014</v>
      </c>
      <c r="C61" s="24" t="s">
        <v>109</v>
      </c>
      <c r="D61" s="24" t="s">
        <v>384</v>
      </c>
      <c r="E61" s="15">
        <v>42621.40353009259</v>
      </c>
      <c r="F61" s="15">
        <v>42621.406539351854</v>
      </c>
      <c r="G61" s="7">
        <v>1</v>
      </c>
      <c r="H61" s="15" t="s">
        <v>385</v>
      </c>
      <c r="I61" s="15">
        <v>42621.431620370371</v>
      </c>
      <c r="J61" s="7">
        <v>0</v>
      </c>
      <c r="K61" s="122" t="str">
        <f t="shared" si="0"/>
        <v>4013/4014</v>
      </c>
      <c r="L61" s="24" t="str">
        <f>VLOOKUP(A61,'Trips&amp;Operators'!$C$1:$E$10000,3,FALSE)</f>
        <v>GRASTON</v>
      </c>
      <c r="M61" s="6">
        <f t="shared" si="22"/>
        <v>2.5081018517084885E-2</v>
      </c>
      <c r="N61" s="7">
        <f t="shared" si="35"/>
        <v>36.116666664602235</v>
      </c>
      <c r="O61" s="7"/>
      <c r="P61" s="7"/>
      <c r="Q61" s="25"/>
      <c r="R61" s="25"/>
      <c r="S61" s="37">
        <f t="shared" si="23"/>
        <v>1</v>
      </c>
      <c r="T61" s="52" t="str">
        <f t="shared" si="4"/>
        <v>NorthBound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08:41:05-0600',mode:absolute,to:'2016-09-08 11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61" s="54" t="str">
        <f t="shared" si="25"/>
        <v>N</v>
      </c>
      <c r="X61" s="172">
        <f t="shared" si="37"/>
        <v>1</v>
      </c>
      <c r="Y61" s="69">
        <f t="shared" si="26"/>
        <v>4.5499999999999999E-2</v>
      </c>
      <c r="Z61" s="69">
        <f t="shared" si="27"/>
        <v>23.328700000000001</v>
      </c>
      <c r="AA61" s="69">
        <f t="shared" si="28"/>
        <v>23.283200000000001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 t="shared" si="11"/>
        <v>0149-08</v>
      </c>
      <c r="AE61" s="99" t="str">
        <f t="shared" si="29"/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AF61" s="96" t="str">
        <f t="shared" si="30"/>
        <v>"C:\Program Files (x86)\AstroGrep\AstroGrep.exe" /spath="%USERPROFILE%\AppData\Local\Temp\OnboardLogs" /stypes="*4014*20160908*" /stext=" 16:.+((SYSTEM_STATE.+slice.+state.+changed )|(ment ac)|(system.+state.+changed )|(\|lc)|(penalty)|(\[timeout)|(PRM\|1\|D)|(kpr)|(kdp))" /e /r /s</v>
      </c>
      <c r="AG61" s="1" t="str">
        <f t="shared" si="14"/>
        <v>EC</v>
      </c>
      <c r="AH61" s="100" t="str">
        <f t="shared" si="17"/>
        <v>"%USERPROFILE%\Documents\GitHub\eaglep3\Utilities\RefineRTDCRunTimes.py" --tripid 149-08 --locoid 4014 --swversion DE.1.0.7.0 --startMP 204:455 --initTime 2016-09-08T09:41:05 --startdatetime 2016-09-08T09:45:25 --delay 1 --endMP 204:233287 --enddatetime 2016-09-08T10:21:32 --enforcementcount 0 &gt;&gt;C:\Users\stu\Documents\GitHub\eaglep3-reporting\EC\2016-09-08-refined-times.txt</v>
      </c>
      <c r="AI61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{"issue":{"subject":"","project_id":79,"tracker_id":40,"status_id":1,"priority_id":2,"assigned_to_id":23,"start_date":"2016-09-08","description":"","custom_fields":[{"id":1,"name":"Subdivision","value":"EC"},{"id":4,"name":"Milepost","value":"23.2832"},{"id":17,"name":"Train ID","value":"149-08"},{"id":16,"name":"Locomotive ID","value":"4014"},{"id":130,"name":"Impact","value":""},{"id":150,"name":"Time of Event (Mountain Time)","value":"10:21:32"},{"id":151,"name":"Denver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386</v>
      </c>
      <c r="B62" s="7">
        <v>4013</v>
      </c>
      <c r="C62" s="24" t="s">
        <v>109</v>
      </c>
      <c r="D62" s="24" t="s">
        <v>387</v>
      </c>
      <c r="E62" s="15">
        <v>42621.433425925927</v>
      </c>
      <c r="F62" s="15">
        <v>42621.445787037039</v>
      </c>
      <c r="G62" s="7">
        <v>0</v>
      </c>
      <c r="H62" s="15" t="s">
        <v>295</v>
      </c>
      <c r="I62" s="15">
        <v>42621.471782407411</v>
      </c>
      <c r="J62" s="7">
        <v>0</v>
      </c>
      <c r="K62" s="122" t="str">
        <f t="shared" si="0"/>
        <v>4013/4014</v>
      </c>
      <c r="L62" s="24" t="str">
        <f>VLOOKUP(A62,'Trips&amp;Operators'!$C$1:$E$10000,3,FALSE)</f>
        <v>GRASTON</v>
      </c>
      <c r="M62" s="6">
        <f t="shared" si="22"/>
        <v>2.5995370371674653E-2</v>
      </c>
      <c r="N62" s="7">
        <f t="shared" si="35"/>
        <v>37.433333335211501</v>
      </c>
      <c r="O62" s="7"/>
      <c r="P62" s="7"/>
      <c r="Q62" s="25"/>
      <c r="R62" s="25"/>
      <c r="S62" s="37">
        <f t="shared" si="23"/>
        <v>1</v>
      </c>
      <c r="T62" s="52" t="str">
        <f t="shared" si="4"/>
        <v>Southbound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09:24:08-0600',mode:absolute,to:'2016-09-08 12:19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62" s="54" t="str">
        <f t="shared" si="25"/>
        <v>N</v>
      </c>
      <c r="X62" s="172">
        <f t="shared" si="37"/>
        <v>1</v>
      </c>
      <c r="Y62" s="69">
        <f t="shared" si="26"/>
        <v>23.297599999999999</v>
      </c>
      <c r="Z62" s="69">
        <f t="shared" si="27"/>
        <v>1.47E-2</v>
      </c>
      <c r="AA62" s="69">
        <f t="shared" si="28"/>
        <v>23.282899999999998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 t="shared" si="11"/>
        <v>0150-08</v>
      </c>
      <c r="AE62" s="99" t="str">
        <f t="shared" si="29"/>
        <v>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 &amp; aws s3 cp s3://rtdc.mdm.uploadarchive/RTDC4013/2016-09-09/ "%USERPROFILE%\AppData\Local\Temp\OnboardLogs"\RTDC4013\2016-09-09 --recursive &amp; "%USERPROFILE%\Documents\GitHub\mrs-test-scripts\Headless Mode &amp; Sideloading\WalkAndUnGZ.bat" "%USERPROFILE%\AppData\Local\Temp\OnboardLogs"\RTDC4013\2016-09-09</v>
      </c>
      <c r="AF62" s="96" t="str">
        <f t="shared" si="30"/>
        <v>"C:\Program Files (x86)\AstroGrep\AstroGrep.exe" /spath="%USERPROFILE%\AppData\Local\Temp\OnboardLogs" /stypes="*4013*20160908*" /stext=" 17:.+((SYSTEM_STATE.+slice.+state.+changed )|(ment ac)|(system.+state.+changed )|(\|lc)|(penalty)|(\[timeout)|(PRM\|1\|D)|(kpr)|(kdp))" /e /r /s</v>
      </c>
      <c r="AG62" s="1" t="str">
        <f t="shared" si="14"/>
        <v>EC</v>
      </c>
      <c r="AH62" s="100" t="str">
        <f t="shared" si="17"/>
        <v>"%USERPROFILE%\Documents\GitHub\eaglep3\Utilities\RefineRTDCRunTimes.py" --tripid 150-08 --locoid 4013 --swversion DE.1.0.7.0 --startMP 204:232976 --initTime 2016-09-08T10:24:08 --startdatetime 2016-09-08T10:41:56 --delay 0 --endMP 204:147 --enddatetime 2016-09-08T11:19:22 --enforcementcount 0 &gt;&gt;C:\Users\stu\Documents\GitHub\eaglep3-reporting\EC\2016-09-08-refined-times.txt</v>
      </c>
      <c r="AI62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{"issue":{"subject":"","project_id":79,"tracker_id":40,"status_id":1,"priority_id":2,"assigned_to_id":23,"start_date":"2016-09-08","description":"","custom_fields":[{"id":1,"name":"Subdivision","value":"EC"},{"id":4,"name":"Milepost","value":"23.2829"},{"id":17,"name":"Train ID","value":"150-08"},{"id":16,"name":"Locomotive ID","value":"4013"},{"id":130,"name":"Impact","value":""},{"id":150,"name":"Time of Event (Mountain Time)","value":"11:19:22"},{"id":151,"name":"Denver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736</v>
      </c>
      <c r="B63" s="7">
        <v>4009</v>
      </c>
      <c r="C63" s="24" t="s">
        <v>109</v>
      </c>
      <c r="D63" s="24" t="s">
        <v>387</v>
      </c>
      <c r="E63" s="15">
        <v>42621.433425925927</v>
      </c>
      <c r="F63" s="15">
        <v>42621.414803240739</v>
      </c>
      <c r="G63" s="7">
        <v>0</v>
      </c>
      <c r="H63" s="15" t="s">
        <v>295</v>
      </c>
      <c r="I63" s="15">
        <v>42621.433923611112</v>
      </c>
      <c r="J63" s="7">
        <v>0</v>
      </c>
      <c r="K63" s="122" t="str">
        <f t="shared" si="0"/>
        <v>4009/4010</v>
      </c>
      <c r="L63" s="24" t="str">
        <f>VLOOKUP(A63,'Trips&amp;Operators'!$C$1:$E$10000,3,FALSE)</f>
        <v>BREITSCH</v>
      </c>
      <c r="M63" s="6">
        <f t="shared" si="22"/>
        <v>1.9120370372547768E-2</v>
      </c>
      <c r="N63" s="7"/>
      <c r="O63" s="7"/>
      <c r="P63" s="7">
        <f>24*60*SUM($M63:$M63)</f>
        <v>27.533333336468786</v>
      </c>
      <c r="Q63" s="25"/>
      <c r="R63" s="25" t="s">
        <v>200</v>
      </c>
      <c r="S63" s="37">
        <f t="shared" si="23"/>
        <v>1</v>
      </c>
      <c r="T63" s="52" t="str">
        <f t="shared" si="4"/>
        <v>NorthBound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09:24:08-0600',mode:absolute,to:'2016-09-08 11:24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63" s="54" t="str">
        <f t="shared" si="25"/>
        <v>Y</v>
      </c>
      <c r="X63" s="172">
        <f t="shared" si="37"/>
        <v>1</v>
      </c>
      <c r="Y63" s="69">
        <v>0.04</v>
      </c>
      <c r="Z63" s="69">
        <v>14.6</v>
      </c>
      <c r="AA63" s="69">
        <f t="shared" si="28"/>
        <v>14.56</v>
      </c>
      <c r="AB63" s="66" t="e">
        <f>VLOOKUP(A63,Enforcements!$C$7:$K$21,8,0)</f>
        <v>#N/A</v>
      </c>
      <c r="AC63" s="62" t="e">
        <f>VLOOKUP(A63,Enforcements!$C$7:$E$21,3,0)</f>
        <v>#N/A</v>
      </c>
      <c r="AD63" s="63" t="str">
        <f t="shared" si="11"/>
        <v>0151-08</v>
      </c>
      <c r="AE63" s="99" t="str">
        <f t="shared" si="29"/>
        <v>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 &amp; 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</v>
      </c>
      <c r="AF63" s="96" t="str">
        <f t="shared" si="30"/>
        <v>"C:\Program Files (x86)\AstroGrep\AstroGrep.exe" /spath="%USERPROFILE%\AppData\Local\Temp\OnboardLogs" /stypes="*4009*20160908*" /stext=" 16:.+((SYSTEM_STATE.+slice.+state.+changed )|(ment ac)|(system.+state.+changed )|(\|lc)|(penalty)|(\[timeout)|(PRM\|1\|D)|(kpr)|(kdp))" /e /r /s</v>
      </c>
      <c r="AG63" s="1" t="str">
        <f t="shared" si="14"/>
        <v>EC</v>
      </c>
      <c r="AH63" s="100" t="str">
        <f t="shared" ref="AH63" si="38">refinertdcruntimes&amp;" --tripid "&amp;A63&amp;" --locoid "&amp;B63&amp;" --swversion "&amp;C63&amp;" --startMP "&amp;D63&amp;" --initTime "&amp;TEXT(E63,"yyyy-mm-ddTHH:MM:SS")&amp;" --startdatetime "&amp;TEXT(F63,"yyyy-mm-ddTHH:MM:SS")&amp;" --delay "&amp;G63&amp;" --endMP "&amp;H63&amp;" --enddatetime "&amp;TEXT(I63,"yyyy-mm-ddTHH:MM:SS")&amp;" --enforcementcount "&amp;J63&amp;IF(outputrefinedruntimes," &gt;&gt;"&amp;RefinedRTDCRunTimesOutputFile,"")</f>
        <v>"%USERPROFILE%\Documents\GitHub\eaglep3\Utilities\RefineRTDCRunTimes.py" --tripid 151-08 --locoid 4009 --swversion DE.1.0.7.0 --startMP 204:232976 --initTime 2016-09-08T10:24:08 --startdatetime 2016-09-08T09:57:19 --delay 0 --endMP 204:147 --enddatetime 2016-09-08T10:24:51 --enforcementcount 0 &gt;&gt;C:\Users\stu\Documents\GitHub\eaglep3-reporting\EC\2016-09-08-refined-times.txt</v>
      </c>
      <c r="AI63" s="137" t="str">
        <f t="shared" ref="AI63" si="39">"echo {""issue"":{""subject"":"""&amp;R63&amp;""",""project_id"":79,""tracker_id"":40,""status_id"":"&amp;redmine_status&amp;",""priority_id"":"&amp;redmine_priority&amp;",""assigned_to_id"":"&amp;redmine_assignee&amp;",""start_date"":"""&amp;TEXT(I63,"YYYY-mm-dd")&amp;""",""description"":"""&amp;AJ63&amp;""",""custom_fields"":[{""id"":1,""name"":""Subdivision"",""value"":"""&amp;AG63&amp;"""},{""id"":4,""name"":""Milepost"",""value"":"""&amp;AA63&amp;"""},{""id"":17,""name"":""Train ID"",""value"":"""&amp;A63&amp;"""},{""id"":16,""name"":""Locomotive ID"",""value"":"""&amp;B63&amp;"""},{""id"":130,""name"":""Impact"",""value"":"""&amp;AK63&amp;"""},{""id"":150,""name"":""Time of Event (Mountain Time)"",""value"":"""&amp;TEXT(I63,"hh:mm:ss")&amp;"""},{""id"":151,""name"":""Denver Issue ID"",""value"":"""&amp;"""},{""id"":178,""name"":""Operational Impact"",""value"":"""&amp;redmine_op_impact&amp;"""},{""id"":179,""name"":""Denver Segment Assigned"",""value"":"""&amp;AL63&amp;"""}]}}"&amp;" | curl -X POST -H ""Content-Type: application/json"" -H ""X-Redmine-API-Key: "&amp;redm_api_key&amp;""" "&amp;redm_url&amp;" --data @-"</f>
        <v>echo {"issue":{"subject":"Wi-MAX outage","project_id":79,"tracker_id":40,"status_id":1,"priority_id":2,"assigned_to_id":23,"start_date":"2016-09-08","description":"","custom_fields":[{"id":1,"name":"Subdivision","value":"EC"},{"id":4,"name":"Milepost","value":"14.56"},{"id":17,"name":"Train ID","value":"151-08"},{"id":16,"name":"Locomotive ID","value":"4009"},{"id":130,"name":"Impact","value":""},{"id":150,"name":"Time of Event (Mountain Time)","value":"10:24:51"},{"id":151,"name":"Denver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388</v>
      </c>
      <c r="B64" s="7">
        <v>4010</v>
      </c>
      <c r="C64" s="24" t="s">
        <v>109</v>
      </c>
      <c r="D64" s="24" t="s">
        <v>389</v>
      </c>
      <c r="E64" s="15">
        <v>42621.445428240739</v>
      </c>
      <c r="F64" s="15">
        <v>42621.456458333334</v>
      </c>
      <c r="G64" s="7">
        <v>2</v>
      </c>
      <c r="H64" s="15" t="s">
        <v>346</v>
      </c>
      <c r="I64" s="15">
        <v>42621.483101851853</v>
      </c>
      <c r="J64" s="7">
        <v>0</v>
      </c>
      <c r="K64" s="122" t="str">
        <f t="shared" si="0"/>
        <v>4009/4010</v>
      </c>
      <c r="L64" s="24" t="str">
        <f>VLOOKUP(A64,'Trips&amp;Operators'!$C$1:$E$10000,3,FALSE)</f>
        <v>BREITSCH</v>
      </c>
      <c r="M64" s="6">
        <f t="shared" si="22"/>
        <v>2.6643518518540077E-2</v>
      </c>
      <c r="N64" s="7">
        <f>24*60*SUM($M64:$M64)</f>
        <v>38.366666666697711</v>
      </c>
      <c r="O64" s="7"/>
      <c r="P64" s="7"/>
      <c r="Q64" s="25"/>
      <c r="R64" s="25"/>
      <c r="S64" s="37">
        <f t="shared" si="23"/>
        <v>1</v>
      </c>
      <c r="T64" s="52" t="str">
        <f t="shared" si="4"/>
        <v>Southbound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09:41:25-0600',mode:absolute,to:'2016-09-08 12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64" s="54" t="str">
        <f t="shared" si="25"/>
        <v>N</v>
      </c>
      <c r="X64" s="172">
        <f t="shared" si="37"/>
        <v>1</v>
      </c>
      <c r="Y64" s="69">
        <f t="shared" ref="Y64:Y76" si="40">RIGHT(D64,LEN(D64)-4)/10000</f>
        <v>23.297699999999999</v>
      </c>
      <c r="Z64" s="69">
        <f t="shared" ref="Z64:Z76" si="41">RIGHT(H64,LEN(H64)-4)/10000</f>
        <v>1.4500000000000001E-2</v>
      </c>
      <c r="AA64" s="69">
        <f t="shared" si="28"/>
        <v>23.283199999999997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 t="shared" si="11"/>
        <v>0152-08</v>
      </c>
      <c r="AE64" s="99" t="str">
        <f t="shared" si="29"/>
        <v>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 &amp; 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</v>
      </c>
      <c r="AF64" s="96" t="str">
        <f t="shared" si="30"/>
        <v>"C:\Program Files (x86)\AstroGrep\AstroGrep.exe" /spath="%USERPROFILE%\AppData\Local\Temp\OnboardLogs" /stypes="*4010*20160908*" /stext=" 17:.+((SYSTEM_STATE.+slice.+state.+changed )|(ment ac)|(system.+state.+changed )|(\|lc)|(penalty)|(\[timeout)|(PRM\|1\|D)|(kpr)|(kdp))" /e /r /s</v>
      </c>
      <c r="AG64" s="1" t="str">
        <f t="shared" si="14"/>
        <v>EC</v>
      </c>
      <c r="AH64" s="100" t="str">
        <f t="shared" si="17"/>
        <v>"%USERPROFILE%\Documents\GitHub\eaglep3\Utilities\RefineRTDCRunTimes.py" --tripid 152-08 --locoid 4010 --swversion DE.1.0.7.0 --startMP 204:232977 --initTime 2016-09-08T10:41:25 --startdatetime 2016-09-08T10:57:18 --delay 2 --endMP 204:145 --enddatetime 2016-09-08T11:35:40 --enforcementcount 0 &gt;&gt;C:\Users\stu\Documents\GitHub\eaglep3-reporting\EC\2016-09-08-refined-times.txt</v>
      </c>
      <c r="AI64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{"issue":{"subject":"","project_id":79,"tracker_id":40,"status_id":1,"priority_id":2,"assigned_to_id":23,"start_date":"2016-09-08","description":"","custom_fields":[{"id":1,"name":"Subdivision","value":"EC"},{"id":4,"name":"Milepost","value":"23.2832"},{"id":17,"name":"Train ID","value":"152-08"},{"id":16,"name":"Locomotive ID","value":"4010"},{"id":130,"name":"Impact","value":""},{"id":150,"name":"Time of Event (Mountain Time)","value":"11:35:40"},{"id":151,"name":"Denver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390</v>
      </c>
      <c r="B65" s="7">
        <v>4018</v>
      </c>
      <c r="C65" s="24" t="s">
        <v>109</v>
      </c>
      <c r="D65" s="24" t="s">
        <v>338</v>
      </c>
      <c r="E65" s="15">
        <v>42621.423657407409</v>
      </c>
      <c r="F65" s="15">
        <v>42621.427245370367</v>
      </c>
      <c r="G65" s="7">
        <v>1</v>
      </c>
      <c r="H65" s="15" t="s">
        <v>357</v>
      </c>
      <c r="I65" s="15">
        <v>42621.452476851853</v>
      </c>
      <c r="J65" s="7">
        <v>0</v>
      </c>
      <c r="K65" s="122" t="str">
        <f t="shared" si="0"/>
        <v>4017/4018</v>
      </c>
      <c r="L65" s="24" t="str">
        <f>VLOOKUP(A65,'Trips&amp;Operators'!$C$1:$E$10000,3,FALSE)</f>
        <v>STARKS</v>
      </c>
      <c r="M65" s="6">
        <f t="shared" si="22"/>
        <v>2.5231481486116536E-2</v>
      </c>
      <c r="N65" s="7">
        <f>24*60*SUM($M65:$M65)</f>
        <v>36.333333340007812</v>
      </c>
      <c r="O65" s="7"/>
      <c r="P65" s="7"/>
      <c r="Q65" s="25"/>
      <c r="R65" s="25"/>
      <c r="S65" s="37">
        <f t="shared" si="23"/>
        <v>1</v>
      </c>
      <c r="T65" s="52" t="str">
        <f t="shared" si="4"/>
        <v>NorthBound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09:10:04-0600',mode:absolute,to:'2016-09-08 11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65" s="54" t="str">
        <f t="shared" si="25"/>
        <v>N</v>
      </c>
      <c r="X65" s="172">
        <f t="shared" si="37"/>
        <v>1</v>
      </c>
      <c r="Y65" s="69">
        <f t="shared" si="40"/>
        <v>4.5699999999999998E-2</v>
      </c>
      <c r="Z65" s="69">
        <f t="shared" si="41"/>
        <v>23.329699999999999</v>
      </c>
      <c r="AA65" s="69">
        <f t="shared" si="28"/>
        <v>23.283999999999999</v>
      </c>
      <c r="AB65" s="66" t="e">
        <f>VLOOKUP(A65,Enforcements!$C$7:$K$21,8,0)</f>
        <v>#N/A</v>
      </c>
      <c r="AC65" s="62" t="e">
        <f>VLOOKUP(A65,Enforcements!$C$7:$E$21,3,0)</f>
        <v>#N/A</v>
      </c>
      <c r="AD65" s="63" t="str">
        <f t="shared" si="11"/>
        <v>0153-08</v>
      </c>
      <c r="AE65" s="99" t="str">
        <f t="shared" si="29"/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AF65" s="96" t="str">
        <f t="shared" si="30"/>
        <v>"C:\Program Files (x86)\AstroGrep\AstroGrep.exe" /spath="%USERPROFILE%\AppData\Local\Temp\OnboardLogs" /stypes="*4018*20160908*" /stext=" 16:.+((SYSTEM_STATE.+slice.+state.+changed )|(ment ac)|(system.+state.+changed )|(\|lc)|(penalty)|(\[timeout)|(PRM\|1\|D)|(kpr)|(kdp))" /e /r /s</v>
      </c>
      <c r="AG65" s="1" t="str">
        <f t="shared" si="14"/>
        <v>EC</v>
      </c>
      <c r="AH65" s="100" t="str">
        <f t="shared" si="17"/>
        <v>"%USERPROFILE%\Documents\GitHub\eaglep3\Utilities\RefineRTDCRunTimes.py" --tripid 153-08 --locoid 4018 --swversion DE.1.0.7.0 --startMP 204:457 --initTime 2016-09-08T10:10:04 --startdatetime 2016-09-08T10:15:14 --delay 1 --endMP 204:233297 --enddatetime 2016-09-08T10:51:34 --enforcementcount 0 &gt;&gt;C:\Users\stu\Documents\GitHub\eaglep3-reporting\EC\2016-09-08-refined-times.txt</v>
      </c>
      <c r="AI65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{"issue":{"subject":"","project_id":79,"tracker_id":40,"status_id":1,"priority_id":2,"assigned_to_id":23,"start_date":"2016-09-08","description":"","custom_fields":[{"id":1,"name":"Subdivision","value":"EC"},{"id":4,"name":"Milepost","value":"23.284"},{"id":17,"name":"Train ID","value":"153-08"},{"id":16,"name":"Locomotive ID","value":"4018"},{"id":130,"name":"Impact","value":""},{"id":150,"name":"Time of Event (Mountain Time)","value":"10:51:34"},{"id":151,"name":"Denver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391</v>
      </c>
      <c r="B66" s="7">
        <v>4017</v>
      </c>
      <c r="C66" s="24" t="s">
        <v>109</v>
      </c>
      <c r="D66" s="24" t="s">
        <v>392</v>
      </c>
      <c r="E66" s="15">
        <v>42621.46366898148</v>
      </c>
      <c r="F66" s="15">
        <v>42621.466157407405</v>
      </c>
      <c r="G66" s="7">
        <v>1</v>
      </c>
      <c r="H66" s="15" t="s">
        <v>306</v>
      </c>
      <c r="I66" s="15">
        <v>42621.492465277777</v>
      </c>
      <c r="J66" s="7">
        <v>0</v>
      </c>
      <c r="K66" s="122" t="str">
        <f t="shared" si="0"/>
        <v>4017/4018</v>
      </c>
      <c r="L66" s="24" t="str">
        <f>VLOOKUP(A66,'Trips&amp;Operators'!$C$1:$E$10000,3,FALSE)</f>
        <v>STARKS</v>
      </c>
      <c r="M66" s="6">
        <f t="shared" si="22"/>
        <v>2.6307870371965691E-2</v>
      </c>
      <c r="N66" s="7">
        <f>24*60*SUM($M66:$M66)</f>
        <v>37.883333335630596</v>
      </c>
      <c r="O66" s="7"/>
      <c r="P66" s="7"/>
      <c r="Q66" s="25"/>
      <c r="R66" s="25"/>
      <c r="S66" s="37">
        <f t="shared" si="23"/>
        <v>1</v>
      </c>
      <c r="T66" s="52" t="str">
        <f t="shared" si="4"/>
        <v>Southbound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10:07:41-0600',mode:absolute,to:'2016-09-08 12:49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66" s="54" t="str">
        <f t="shared" si="25"/>
        <v>N</v>
      </c>
      <c r="X66" s="172">
        <f t="shared" si="37"/>
        <v>1</v>
      </c>
      <c r="Y66" s="69">
        <f t="shared" si="40"/>
        <v>23.298300000000001</v>
      </c>
      <c r="Z66" s="69">
        <f t="shared" si="41"/>
        <v>1.4999999999999999E-2</v>
      </c>
      <c r="AA66" s="69">
        <f t="shared" si="28"/>
        <v>23.283300000000001</v>
      </c>
      <c r="AB66" s="66" t="e">
        <f>VLOOKUP(A66,Enforcements!$C$7:$K$21,8,0)</f>
        <v>#N/A</v>
      </c>
      <c r="AC66" s="62" t="e">
        <f>VLOOKUP(A66,Enforcements!$C$7:$E$21,3,0)</f>
        <v>#N/A</v>
      </c>
      <c r="AD66" s="63" t="str">
        <f t="shared" si="11"/>
        <v>0154-08</v>
      </c>
      <c r="AE66" s="99" t="str">
        <f t="shared" si="29"/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AF66" s="96" t="str">
        <f t="shared" si="30"/>
        <v>"C:\Program Files (x86)\AstroGrep\AstroGrep.exe" /spath="%USERPROFILE%\AppData\Local\Temp\OnboardLogs" /stypes="*4017*20160908*" /stext=" 17:.+((SYSTEM_STATE.+slice.+state.+changed )|(ment ac)|(system.+state.+changed )|(\|lc)|(penalty)|(\[timeout)|(PRM\|1\|D)|(kpr)|(kdp))" /e /r /s</v>
      </c>
      <c r="AG66" s="1" t="str">
        <f t="shared" si="14"/>
        <v>EC</v>
      </c>
      <c r="AH66" s="100" t="str">
        <f t="shared" si="17"/>
        <v>"%USERPROFILE%\Documents\GitHub\eaglep3\Utilities\RefineRTDCRunTimes.py" --tripid 154-08 --locoid 4017 --swversion DE.1.0.7.0 --startMP 204:232983 --initTime 2016-09-08T11:07:41 --startdatetime 2016-09-08T11:11:16 --delay 1 --endMP 204:150 --enddatetime 2016-09-08T11:49:09 --enforcementcount 0 &gt;&gt;C:\Users\stu\Documents\GitHub\eaglep3-reporting\EC\2016-09-08-refined-times.txt</v>
      </c>
      <c r="AI66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{"issue":{"subject":"","project_id":79,"tracker_id":40,"status_id":1,"priority_id":2,"assigned_to_id":23,"start_date":"2016-09-08","description":"","custom_fields":[{"id":1,"name":"Subdivision","value":"EC"},{"id":4,"name":"Milepost","value":"23.2833"},{"id":17,"name":"Train ID","value":"154-08"},{"id":16,"name":"Locomotive ID","value":"4017"},{"id":130,"name":"Impact","value":""},{"id":150,"name":"Time of Event (Mountain Time)","value":"11:49:09"},{"id":151,"name":"Denver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393</v>
      </c>
      <c r="B67" s="7">
        <v>4044</v>
      </c>
      <c r="C67" s="24" t="s">
        <v>109</v>
      </c>
      <c r="D67" s="24" t="s">
        <v>368</v>
      </c>
      <c r="E67" s="15">
        <v>42621.433078703703</v>
      </c>
      <c r="F67" s="15">
        <v>42621.437615740739</v>
      </c>
      <c r="G67" s="7">
        <v>6</v>
      </c>
      <c r="H67" s="15" t="s">
        <v>394</v>
      </c>
      <c r="I67" s="15">
        <v>42621.464375000003</v>
      </c>
      <c r="J67" s="7">
        <v>0</v>
      </c>
      <c r="K67" s="122" t="str">
        <f t="shared" si="0"/>
        <v>4043/4044</v>
      </c>
      <c r="L67" s="24" t="str">
        <f>VLOOKUP(A67,'Trips&amp;Operators'!$C$1:$E$10000,3,FALSE)</f>
        <v>CRAYTON</v>
      </c>
      <c r="M67" s="6">
        <f t="shared" si="22"/>
        <v>2.6759259264508728E-2</v>
      </c>
      <c r="N67" s="7">
        <f>24*60*SUM($M67:$M67)</f>
        <v>38.533333340892568</v>
      </c>
      <c r="O67" s="7"/>
      <c r="P67" s="7"/>
      <c r="Q67" s="25"/>
      <c r="R67" s="25"/>
      <c r="S67" s="37">
        <f t="shared" si="23"/>
        <v>1</v>
      </c>
      <c r="T67" s="52" t="str">
        <f t="shared" si="4"/>
        <v>NorthBound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09:23:38-0600',mode:absolute,to:'2016-09-08 12:08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67" s="54" t="str">
        <f t="shared" si="25"/>
        <v>N</v>
      </c>
      <c r="X67" s="172">
        <f t="shared" si="37"/>
        <v>1</v>
      </c>
      <c r="Y67" s="69">
        <f t="shared" si="40"/>
        <v>4.4900000000000002E-2</v>
      </c>
      <c r="Z67" s="69">
        <f t="shared" si="41"/>
        <v>23.329899999999999</v>
      </c>
      <c r="AA67" s="69">
        <f t="shared" si="28"/>
        <v>23.285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 t="shared" si="11"/>
        <v>0155-08</v>
      </c>
      <c r="AE67" s="99" t="str">
        <f t="shared" si="29"/>
        <v>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 &amp; aws s3 cp s3://rtdc.mdm.uploadarchive/RTDC4044/2016-09-09/ "%USERPROFILE%\AppData\Local\Temp\OnboardLogs"\RTDC4044\2016-09-09 --recursive &amp; "%USERPROFILE%\Documents\GitHub\mrs-test-scripts\Headless Mode &amp; Sideloading\WalkAndUnGZ.bat" "%USERPROFILE%\AppData\Local\Temp\OnboardLogs"\RTDC4044\2016-09-09</v>
      </c>
      <c r="AF67" s="96" t="str">
        <f t="shared" si="30"/>
        <v>"C:\Program Files (x86)\AstroGrep\AstroGrep.exe" /spath="%USERPROFILE%\AppData\Local\Temp\OnboardLogs" /stypes="*4044*20160908*" /stext=" 17:.+((SYSTEM_STATE.+slice.+state.+changed )|(ment ac)|(system.+state.+changed )|(\|lc)|(penalty)|(\[timeout)|(PRM\|1\|D)|(kpr)|(kdp))" /e /r /s</v>
      </c>
      <c r="AG67" s="1" t="str">
        <f t="shared" si="14"/>
        <v>EC</v>
      </c>
      <c r="AH67" s="100" t="str">
        <f t="shared" si="17"/>
        <v>"%USERPROFILE%\Documents\GitHub\eaglep3\Utilities\RefineRTDCRunTimes.py" --tripid 155-08 --locoid 4044 --swversion DE.1.0.7.0 --startMP 204:449 --initTime 2016-09-08T10:23:38 --startdatetime 2016-09-08T10:30:10 --delay 6 --endMP 204:233299 --enddatetime 2016-09-08T11:08:42 --enforcementcount 0 &gt;&gt;C:\Users\stu\Documents\GitHub\eaglep3-reporting\EC\2016-09-08-refined-times.txt</v>
      </c>
      <c r="AI67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{"issue":{"subject":"","project_id":79,"tracker_id":40,"status_id":1,"priority_id":2,"assigned_to_id":23,"start_date":"2016-09-08","description":"","custom_fields":[{"id":1,"name":"Subdivision","value":"EC"},{"id":4,"name":"Milepost","value":"23.285"},{"id":17,"name":"Train ID","value":"155-08"},{"id":16,"name":"Locomotive ID","value":"4044"},{"id":130,"name":"Impact","value":""},{"id":150,"name":"Time of Event (Mountain Time)","value":"11:08:42"},{"id":151,"name":"Denver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395</v>
      </c>
      <c r="B68" s="7">
        <v>4043</v>
      </c>
      <c r="C68" s="24" t="s">
        <v>109</v>
      </c>
      <c r="D68" s="24" t="s">
        <v>363</v>
      </c>
      <c r="E68" s="15">
        <v>42621.47084490741</v>
      </c>
      <c r="F68" s="15">
        <v>42621.477256944447</v>
      </c>
      <c r="G68" s="7">
        <v>3</v>
      </c>
      <c r="H68" s="15" t="s">
        <v>327</v>
      </c>
      <c r="I68" s="15">
        <v>42621.505277777775</v>
      </c>
      <c r="J68" s="7">
        <v>0</v>
      </c>
      <c r="K68" s="122" t="str">
        <f t="shared" si="0"/>
        <v>4043/4044</v>
      </c>
      <c r="L68" s="24" t="str">
        <f>VLOOKUP(A68,'Trips&amp;Operators'!$C$1:$E$10000,3,FALSE)</f>
        <v>CRAYTON</v>
      </c>
      <c r="M68" s="6">
        <f t="shared" si="22"/>
        <v>2.8020833327900618E-2</v>
      </c>
      <c r="N68" s="7">
        <f>24*60*SUM($M68:$M68)</f>
        <v>40.34999999217689</v>
      </c>
      <c r="O68" s="7"/>
      <c r="P68" s="7"/>
      <c r="Q68" s="25"/>
      <c r="R68" s="25"/>
      <c r="S68" s="37">
        <f t="shared" si="23"/>
        <v>1</v>
      </c>
      <c r="T68" s="52" t="str">
        <f t="shared" si="4"/>
        <v>Southbound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10:18:01-0600',mode:absolute,to:'2016-09-08 13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68" s="54" t="str">
        <f t="shared" si="25"/>
        <v>N</v>
      </c>
      <c r="X68" s="172">
        <f t="shared" si="37"/>
        <v>1</v>
      </c>
      <c r="Y68" s="69">
        <f t="shared" si="40"/>
        <v>23.296099999999999</v>
      </c>
      <c r="Z68" s="69">
        <f t="shared" si="41"/>
        <v>1.52E-2</v>
      </c>
      <c r="AA68" s="69">
        <f t="shared" si="28"/>
        <v>23.280899999999999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 t="shared" si="11"/>
        <v>0156-08</v>
      </c>
      <c r="AE68" s="99" t="str">
        <f t="shared" si="29"/>
        <v>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 &amp; aws s3 cp s3://rtdc.mdm.uploadarchive/RTDC4043/2016-09-09/ "%USERPROFILE%\AppData\Local\Temp\OnboardLogs"\RTDC4043\2016-09-09 --recursive &amp; "%USERPROFILE%\Documents\GitHub\mrs-test-scripts\Headless Mode &amp; Sideloading\WalkAndUnGZ.bat" "%USERPROFILE%\AppData\Local\Temp\OnboardLogs"\RTDC4043\2016-09-09</v>
      </c>
      <c r="AF68" s="96" t="str">
        <f t="shared" si="30"/>
        <v>"C:\Program Files (x86)\AstroGrep\AstroGrep.exe" /spath="%USERPROFILE%\AppData\Local\Temp\OnboardLogs" /stypes="*4043*20160908*" /stext=" 18:.+((SYSTEM_STATE.+slice.+state.+changed )|(ment ac)|(system.+state.+changed )|(\|lc)|(penalty)|(\[timeout)|(PRM\|1\|D)|(kpr)|(kdp))" /e /r /s</v>
      </c>
      <c r="AG68" s="1" t="str">
        <f t="shared" si="14"/>
        <v>EC</v>
      </c>
      <c r="AH68" s="100" t="str">
        <f t="shared" si="17"/>
        <v>"%USERPROFILE%\Documents\GitHub\eaglep3\Utilities\RefineRTDCRunTimes.py" --tripid 156-08 --locoid 4043 --swversion DE.1.0.7.0 --startMP 204:232961 --initTime 2016-09-08T11:18:01 --startdatetime 2016-09-08T11:27:15 --delay 3 --endMP 204:152 --enddatetime 2016-09-08T12:07:36 --enforcementcount 0 &gt;&gt;C:\Users\stu\Documents\GitHub\eaglep3-reporting\EC\2016-09-08-refined-times.txt</v>
      </c>
      <c r="AI68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{"issue":{"subject":"","project_id":79,"tracker_id":40,"status_id":1,"priority_id":2,"assigned_to_id":23,"start_date":"2016-09-08","description":"","custom_fields":[{"id":1,"name":"Subdivision","value":"EC"},{"id":4,"name":"Milepost","value":"23.2809"},{"id":17,"name":"Train ID","value":"156-08"},{"id":16,"name":"Locomotive ID","value":"4043"},{"id":130,"name":"Impact","value":""},{"id":150,"name":"Time of Event (Mountain Time)","value":"12:07:36"},{"id":151,"name":"Denver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396</v>
      </c>
      <c r="B69" s="7">
        <v>4016</v>
      </c>
      <c r="C69" s="24" t="s">
        <v>109</v>
      </c>
      <c r="D69" s="24" t="s">
        <v>397</v>
      </c>
      <c r="E69" s="15">
        <v>42621.459699074076</v>
      </c>
      <c r="F69" s="15">
        <v>42621.460694444446</v>
      </c>
      <c r="G69" s="7">
        <v>1</v>
      </c>
      <c r="H69" s="15" t="s">
        <v>398</v>
      </c>
      <c r="I69" s="15">
        <v>42621.473055555558</v>
      </c>
      <c r="J69" s="7">
        <v>0</v>
      </c>
      <c r="K69" s="122" t="str">
        <f t="shared" si="0"/>
        <v>4015/4016</v>
      </c>
      <c r="L69" s="24" t="str">
        <f>VLOOKUP(A69,'Trips&amp;Operators'!$C$1:$E$10000,3,FALSE)</f>
        <v>BRANNON</v>
      </c>
      <c r="M69" s="6">
        <f t="shared" si="22"/>
        <v>1.2361111112113576E-2</v>
      </c>
      <c r="N69" s="7"/>
      <c r="O69" s="7"/>
      <c r="P69" s="7">
        <f>24*60*SUM($M69:$M69)</f>
        <v>17.80000000144355</v>
      </c>
      <c r="Q69" s="25"/>
      <c r="R69" s="25" t="s">
        <v>759</v>
      </c>
      <c r="S69" s="37">
        <f t="shared" si="23"/>
        <v>0.16666666666666666</v>
      </c>
      <c r="T69" s="52" t="str">
        <f t="shared" si="4"/>
        <v>NorthBound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2</v>
      </c>
      <c r="V69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10:01:58-0600',mode:absolute,to:'2016-09-08 12:21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69" s="54" t="str">
        <f t="shared" si="25"/>
        <v>Y</v>
      </c>
      <c r="X69" s="172">
        <f t="shared" si="37"/>
        <v>1</v>
      </c>
      <c r="Y69" s="69">
        <f t="shared" si="40"/>
        <v>8.6374999999999993</v>
      </c>
      <c r="Z69" s="69">
        <f t="shared" si="41"/>
        <v>23.331199999999999</v>
      </c>
      <c r="AA69" s="69">
        <f t="shared" si="28"/>
        <v>14.6937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 t="shared" si="11"/>
        <v>0157-08</v>
      </c>
      <c r="AE69" s="99" t="str">
        <f t="shared" si="29"/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AF69" s="96" t="str">
        <f t="shared" si="30"/>
        <v>"C:\Program Files (x86)\AstroGrep\AstroGrep.exe" /spath="%USERPROFILE%\AppData\Local\Temp\OnboardLogs" /stypes="*4016*20160908*" /stext=" 17:.+((SYSTEM_STATE.+slice.+state.+changed )|(ment ac)|(system.+state.+changed )|(\|lc)|(penalty)|(\[timeout)|(PRM\|1\|D)|(kpr)|(kdp))" /e /r /s</v>
      </c>
      <c r="AG69" s="1" t="str">
        <f t="shared" si="14"/>
        <v>EC</v>
      </c>
      <c r="AH69" s="100" t="str">
        <f t="shared" si="17"/>
        <v>"%USERPROFILE%\Documents\GitHub\eaglep3\Utilities\RefineRTDCRunTimes.py" --tripid 157-08 --locoid 4016 --swversion DE.1.0.7.0 --startMP 204:86375 --initTime 2016-09-08T11:01:58 --startdatetime 2016-09-08T11:03:24 --delay 1 --endMP 204:233312 --enddatetime 2016-09-08T11:21:12 --enforcementcount 0 &gt;&gt;C:\Users\stu\Documents\GitHub\eaglep3-reporting\EC\2016-09-08-refined-times.txt</v>
      </c>
      <c r="AI69" s="137" t="str">
        <f t="shared" si="18"/>
        <v>echo {"issue":{"subject":"Onboard in-route failure","project_id":79,"tracker_id":40,"status_id":1,"priority_id":2,"assigned_to_id":23,"start_date":"2016-09-08","description":"","custom_fields":[{"id":1,"name":"Subdivision","value":"EC"},{"id":4,"name":"Milepost","value":"14.6937"},{"id":17,"name":"Train ID","value":"157-08"},{"id":16,"name":"Locomotive ID","value":"4016"},{"id":130,"name":"Impact","value":""},{"id":150,"name":"Time of Event (Mountain Time)","value":"11:21:12"},{"id":151,"name":"Denver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399</v>
      </c>
      <c r="B70" s="7">
        <v>4015</v>
      </c>
      <c r="C70" s="24" t="s">
        <v>109</v>
      </c>
      <c r="D70" s="24" t="s">
        <v>336</v>
      </c>
      <c r="E70" s="15">
        <v>42621.477268518516</v>
      </c>
      <c r="F70" s="15">
        <v>42621.487013888887</v>
      </c>
      <c r="G70" s="7">
        <v>0</v>
      </c>
      <c r="H70" s="15" t="s">
        <v>283</v>
      </c>
      <c r="I70" s="15">
        <v>42621.516446759262</v>
      </c>
      <c r="J70" s="7">
        <v>0</v>
      </c>
      <c r="K70" s="122" t="str">
        <f t="shared" si="0"/>
        <v>4015/4016</v>
      </c>
      <c r="L70" s="24" t="str">
        <f>VLOOKUP(A70,'Trips&amp;Operators'!$C$1:$E$10000,3,FALSE)</f>
        <v>BRANNON</v>
      </c>
      <c r="M70" s="6">
        <f t="shared" si="22"/>
        <v>2.9432870374876074E-2</v>
      </c>
      <c r="N70" s="7">
        <f t="shared" ref="N70:N76" si="42">24*60*SUM($M70:$M70)</f>
        <v>42.383333339821547</v>
      </c>
      <c r="O70" s="7"/>
      <c r="P70" s="7"/>
      <c r="Q70" s="25"/>
      <c r="R70" s="25"/>
      <c r="S70" s="37">
        <f t="shared" si="23"/>
        <v>1</v>
      </c>
      <c r="T70" s="52" t="str">
        <f t="shared" si="4"/>
        <v>Southbound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10:27:16-0600',mode:absolute,to:'2016-09-08 13:23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70" s="54" t="str">
        <f t="shared" si="25"/>
        <v>N</v>
      </c>
      <c r="X70" s="172">
        <f t="shared" si="37"/>
        <v>1</v>
      </c>
      <c r="Y70" s="69">
        <f t="shared" si="40"/>
        <v>23.299600000000002</v>
      </c>
      <c r="Z70" s="69">
        <f t="shared" si="41"/>
        <v>1.6299999999999999E-2</v>
      </c>
      <c r="AA70" s="69">
        <f t="shared" si="28"/>
        <v>23.283300000000001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 t="shared" si="11"/>
        <v>0158-08</v>
      </c>
      <c r="AE70" s="99" t="str">
        <f t="shared" si="29"/>
        <v>aws s3 cp s3://rtdc.mdm.uploadarchive/RTDC4015/2016-09-08/ "%USERPROFILE%\AppData\Local\Temp\OnboardLogs"\RTDC4015\2016-09-08 --recursive &amp; "%USERPROFILE%\Documents\GitHub\mrs-test-scripts\Headless Mode &amp; Sideloading\WalkAndUnGZ.bat" "%USERPROFILE%\AppData\Local\Temp\OnboardLogs"\RTDC4015\2016-09-08 &amp; 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</v>
      </c>
      <c r="AF70" s="96" t="str">
        <f t="shared" si="30"/>
        <v>"C:\Program Files (x86)\AstroGrep\AstroGrep.exe" /spath="%USERPROFILE%\AppData\Local\Temp\OnboardLogs" /stypes="*4015*20160908*" /stext=" 18:.+((SYSTEM_STATE.+slice.+state.+changed )|(ment ac)|(system.+state.+changed )|(\|lc)|(penalty)|(\[timeout)|(PRM\|1\|D)|(kpr)|(kdp))" /e /r /s</v>
      </c>
      <c r="AG70" s="1" t="str">
        <f t="shared" si="14"/>
        <v>EC</v>
      </c>
      <c r="AH70" s="100" t="str">
        <f t="shared" si="17"/>
        <v>"%USERPROFILE%\Documents\GitHub\eaglep3\Utilities\RefineRTDCRunTimes.py" --tripid 158-08 --locoid 4015 --swversion DE.1.0.7.0 --startMP 204:232996 --initTime 2016-09-08T11:27:16 --startdatetime 2016-09-08T11:41:18 --delay 0 --endMP 204:163 --enddatetime 2016-09-08T12:23:41 --enforcementcount 0 &gt;&gt;C:\Users\stu\Documents\GitHub\eaglep3-reporting\EC\2016-09-08-refined-times.txt</v>
      </c>
      <c r="AI70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{"issue":{"subject":"","project_id":79,"tracker_id":40,"status_id":1,"priority_id":2,"assigned_to_id":23,"start_date":"2016-09-08","description":"","custom_fields":[{"id":1,"name":"Subdivision","value":"EC"},{"id":4,"name":"Milepost","value":"23.2833"},{"id":17,"name":"Train ID","value":"158-08"},{"id":16,"name":"Locomotive ID","value":"4015"},{"id":130,"name":"Impact","value":""},{"id":150,"name":"Time of Event (Mountain Time)","value":"12:23:41"},{"id":151,"name":"Denver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400</v>
      </c>
      <c r="B71" s="7">
        <v>4011</v>
      </c>
      <c r="C71" s="24" t="s">
        <v>109</v>
      </c>
      <c r="D71" s="24" t="s">
        <v>401</v>
      </c>
      <c r="E71" s="15">
        <v>42621.45417824074</v>
      </c>
      <c r="F71" s="15">
        <v>42621.458692129629</v>
      </c>
      <c r="G71" s="7">
        <v>1</v>
      </c>
      <c r="H71" s="15" t="s">
        <v>313</v>
      </c>
      <c r="I71" s="15">
        <v>42621.484236111108</v>
      </c>
      <c r="J71" s="7">
        <v>0</v>
      </c>
      <c r="K71" s="122" t="str">
        <f t="shared" si="0"/>
        <v>4011/4012</v>
      </c>
      <c r="L71" s="24" t="str">
        <f>VLOOKUP(A71,'Trips&amp;Operators'!$C$1:$E$10000,3,FALSE)</f>
        <v>BONDS</v>
      </c>
      <c r="M71" s="6">
        <f t="shared" si="22"/>
        <v>2.5543981479131617E-2</v>
      </c>
      <c r="N71" s="7">
        <f t="shared" si="42"/>
        <v>36.783333329949528</v>
      </c>
      <c r="O71" s="7"/>
      <c r="P71" s="7"/>
      <c r="Q71" s="25"/>
      <c r="R71" s="25"/>
      <c r="S71" s="37">
        <f t="shared" si="23"/>
        <v>1</v>
      </c>
      <c r="T71" s="52" t="str">
        <f t="shared" si="4"/>
        <v>NorthBound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09:54:01-0600',mode:absolute,to:'2016-09-08 12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71" s="54" t="str">
        <f t="shared" si="25"/>
        <v>N</v>
      </c>
      <c r="X71" s="172">
        <f t="shared" si="37"/>
        <v>1</v>
      </c>
      <c r="Y71" s="69">
        <f t="shared" si="40"/>
        <v>4.1300000000000003E-2</v>
      </c>
      <c r="Z71" s="69">
        <f t="shared" si="41"/>
        <v>23.3291</v>
      </c>
      <c r="AA71" s="69">
        <f t="shared" si="28"/>
        <v>23.287800000000001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 t="shared" si="11"/>
        <v>0159-08</v>
      </c>
      <c r="AE71" s="99" t="str">
        <f t="shared" si="29"/>
        <v>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 &amp; 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</v>
      </c>
      <c r="AF71" s="96" t="str">
        <f t="shared" si="30"/>
        <v>"C:\Program Files (x86)\AstroGrep\AstroGrep.exe" /spath="%USERPROFILE%\AppData\Local\Temp\OnboardLogs" /stypes="*4011*20160908*" /stext=" 17:.+((SYSTEM_STATE.+slice.+state.+changed )|(ment ac)|(system.+state.+changed )|(\|lc)|(penalty)|(\[timeout)|(PRM\|1\|D)|(kpr)|(kdp))" /e /r /s</v>
      </c>
      <c r="AG71" s="1" t="str">
        <f t="shared" si="14"/>
        <v>EC</v>
      </c>
      <c r="AH71" s="100" t="str">
        <f t="shared" si="17"/>
        <v>"%USERPROFILE%\Documents\GitHub\eaglep3\Utilities\RefineRTDCRunTimes.py" --tripid 159-08 --locoid 4011 --swversion DE.1.0.7.0 --startMP 204:413 --initTime 2016-09-08T10:54:01 --startdatetime 2016-09-08T11:00:31 --delay 1 --endMP 204:233291 --enddatetime 2016-09-08T11:37:18 --enforcementcount 0 &gt;&gt;C:\Users\stu\Documents\GitHub\eaglep3-reporting\EC\2016-09-08-refined-times.txt</v>
      </c>
      <c r="AI71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{"issue":{"subject":"","project_id":79,"tracker_id":40,"status_id":1,"priority_id":2,"assigned_to_id":23,"start_date":"2016-09-08","description":"","custom_fields":[{"id":1,"name":"Subdivision","value":"EC"},{"id":4,"name":"Milepost","value":"23.2878"},{"id":17,"name":"Train ID","value":"159-08"},{"id":16,"name":"Locomotive ID","value":"4011"},{"id":130,"name":"Impact","value":""},{"id":150,"name":"Time of Event (Mountain Time)","value":"11:37:18"},{"id":151,"name":"Denver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402</v>
      </c>
      <c r="B72" s="7">
        <v>4012</v>
      </c>
      <c r="C72" s="24" t="s">
        <v>109</v>
      </c>
      <c r="D72" s="24" t="s">
        <v>381</v>
      </c>
      <c r="E72" s="15">
        <v>42621.488958333335</v>
      </c>
      <c r="F72" s="15">
        <v>42621.497384259259</v>
      </c>
      <c r="G72" s="7">
        <v>1</v>
      </c>
      <c r="H72" s="15" t="s">
        <v>364</v>
      </c>
      <c r="I72" s="15">
        <v>42621.525150462963</v>
      </c>
      <c r="J72" s="7">
        <v>0</v>
      </c>
      <c r="K72" s="122" t="str">
        <f t="shared" si="0"/>
        <v>4011/4012</v>
      </c>
      <c r="L72" s="24" t="str">
        <f>VLOOKUP(A72,'Trips&amp;Operators'!$C$1:$E$10000,3,FALSE)</f>
        <v>BONDS</v>
      </c>
      <c r="M72" s="6">
        <f t="shared" si="22"/>
        <v>2.7766203704231884E-2</v>
      </c>
      <c r="N72" s="7">
        <f t="shared" si="42"/>
        <v>39.983333334093913</v>
      </c>
      <c r="O72" s="7"/>
      <c r="P72" s="7"/>
      <c r="Q72" s="25"/>
      <c r="R72" s="25"/>
      <c r="S72" s="37">
        <f t="shared" si="23"/>
        <v>1</v>
      </c>
      <c r="T72" s="52" t="str">
        <f t="shared" si="4"/>
        <v>Southbound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10:44:06-0600',mode:absolute,to:'2016-09-08 13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72" s="54" t="str">
        <f t="shared" si="25"/>
        <v>N</v>
      </c>
      <c r="X72" s="172">
        <f t="shared" si="37"/>
        <v>1</v>
      </c>
      <c r="Y72" s="69">
        <f t="shared" si="40"/>
        <v>23.296299999999999</v>
      </c>
      <c r="Z72" s="69">
        <f t="shared" si="41"/>
        <v>1.34E-2</v>
      </c>
      <c r="AA72" s="69">
        <f t="shared" si="28"/>
        <v>23.282899999999998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 t="shared" si="11"/>
        <v>0160-08</v>
      </c>
      <c r="AE72" s="99" t="str">
        <f t="shared" si="29"/>
        <v>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 &amp; 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</v>
      </c>
      <c r="AF72" s="96" t="str">
        <f t="shared" si="30"/>
        <v>"C:\Program Files (x86)\AstroGrep\AstroGrep.exe" /spath="%USERPROFILE%\AppData\Local\Temp\OnboardLogs" /stypes="*4012*20160908*" /stext=" 18:.+((SYSTEM_STATE.+slice.+state.+changed )|(ment ac)|(system.+state.+changed )|(\|lc)|(penalty)|(\[timeout)|(PRM\|1\|D)|(kpr)|(kdp))" /e /r /s</v>
      </c>
      <c r="AG72" s="1" t="str">
        <f t="shared" si="14"/>
        <v>EC</v>
      </c>
      <c r="AH72" s="100" t="str">
        <f t="shared" si="17"/>
        <v>"%USERPROFILE%\Documents\GitHub\eaglep3\Utilities\RefineRTDCRunTimes.py" --tripid 160-08 --locoid 4012 --swversion DE.1.0.7.0 --startMP 204:232963 --initTime 2016-09-08T11:44:06 --startdatetime 2016-09-08T11:56:14 --delay 1 --endMP 204:134 --enddatetime 2016-09-08T12:36:13 --enforcementcount 0 &gt;&gt;C:\Users\stu\Documents\GitHub\eaglep3-reporting\EC\2016-09-08-refined-times.txt</v>
      </c>
      <c r="AI72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{"issue":{"subject":"","project_id":79,"tracker_id":40,"status_id":1,"priority_id":2,"assigned_to_id":23,"start_date":"2016-09-08","description":"","custom_fields":[{"id":1,"name":"Subdivision","value":"EC"},{"id":4,"name":"Milepost","value":"23.2829"},{"id":17,"name":"Train ID","value":"160-08"},{"id":16,"name":"Locomotive ID","value":"4012"},{"id":130,"name":"Impact","value":""},{"id":150,"name":"Time of Event (Mountain Time)","value":"12:36:13"},{"id":151,"name":"Denver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403</v>
      </c>
      <c r="B73" s="7">
        <v>4031</v>
      </c>
      <c r="C73" s="24" t="s">
        <v>109</v>
      </c>
      <c r="D73" s="24" t="s">
        <v>404</v>
      </c>
      <c r="E73" s="15">
        <v>42621.464699074073</v>
      </c>
      <c r="F73" s="15">
        <v>42621.468935185185</v>
      </c>
      <c r="G73" s="7">
        <v>2</v>
      </c>
      <c r="H73" s="15" t="s">
        <v>405</v>
      </c>
      <c r="I73" s="15">
        <v>42621.49454861111</v>
      </c>
      <c r="J73" s="7">
        <v>0</v>
      </c>
      <c r="K73" s="122" t="str">
        <f t="shared" si="0"/>
        <v>4031/4032</v>
      </c>
      <c r="L73" s="24" t="str">
        <f>VLOOKUP(A73,'Trips&amp;Operators'!$C$1:$E$10000,3,FALSE)</f>
        <v>SHOOK</v>
      </c>
      <c r="M73" s="6">
        <f t="shared" si="22"/>
        <v>2.5613425925257616E-2</v>
      </c>
      <c r="N73" s="7">
        <f t="shared" si="42"/>
        <v>36.883333332370967</v>
      </c>
      <c r="O73" s="7"/>
      <c r="P73" s="7"/>
      <c r="Q73" s="25"/>
      <c r="R73" s="25"/>
      <c r="S73" s="37">
        <f t="shared" si="23"/>
        <v>1</v>
      </c>
      <c r="T73" s="52" t="str">
        <f t="shared" si="4"/>
        <v>NorthBound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10:09:10-0600',mode:absolute,to:'2016-09-08 12:52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73" s="54" t="str">
        <f t="shared" si="25"/>
        <v>N</v>
      </c>
      <c r="X73" s="172">
        <f t="shared" si="37"/>
        <v>1</v>
      </c>
      <c r="Y73" s="69">
        <f t="shared" si="40"/>
        <v>4.7800000000000002E-2</v>
      </c>
      <c r="Z73" s="69">
        <f t="shared" si="41"/>
        <v>23.338000000000001</v>
      </c>
      <c r="AA73" s="69">
        <f t="shared" si="28"/>
        <v>23.290200000000002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 t="shared" si="11"/>
        <v>0161-08</v>
      </c>
      <c r="AE73" s="99" t="str">
        <f t="shared" si="29"/>
        <v>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 &amp; 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</v>
      </c>
      <c r="AF73" s="96" t="str">
        <f t="shared" si="30"/>
        <v>"C:\Program Files (x86)\AstroGrep\AstroGrep.exe" /spath="%USERPROFILE%\AppData\Local\Temp\OnboardLogs" /stypes="*4031*20160908*" /stext=" 17:.+((SYSTEM_STATE.+slice.+state.+changed )|(ment ac)|(system.+state.+changed )|(\|lc)|(penalty)|(\[timeout)|(PRM\|1\|D)|(kpr)|(kdp))" /e /r /s</v>
      </c>
      <c r="AG73" s="1" t="str">
        <f t="shared" si="14"/>
        <v>EC</v>
      </c>
      <c r="AH73" s="100" t="str">
        <f t="shared" si="17"/>
        <v>"%USERPROFILE%\Documents\GitHub\eaglep3\Utilities\RefineRTDCRunTimes.py" --tripid 161-08 --locoid 4031 --swversion DE.1.0.7.0 --startMP 204:478 --initTime 2016-09-08T11:09:10 --startdatetime 2016-09-08T11:15:16 --delay 2 --endMP 204:233380 --enddatetime 2016-09-08T11:52:09 --enforcementcount 0 &gt;&gt;C:\Users\stu\Documents\GitHub\eaglep3-reporting\EC\2016-09-08-refined-times.txt</v>
      </c>
      <c r="AI73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{"issue":{"subject":"","project_id":79,"tracker_id":40,"status_id":1,"priority_id":2,"assigned_to_id":23,"start_date":"2016-09-08","description":"","custom_fields":[{"id":1,"name":"Subdivision","value":"EC"},{"id":4,"name":"Milepost","value":"23.2902"},{"id":17,"name":"Train ID","value":"161-08"},{"id":16,"name":"Locomotive ID","value":"4031"},{"id":130,"name":"Impact","value":""},{"id":150,"name":"Time of Event (Mountain Time)","value":"11:52:09"},{"id":151,"name":"Denver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508</v>
      </c>
      <c r="B74" s="7">
        <v>4032</v>
      </c>
      <c r="C74" s="24" t="s">
        <v>109</v>
      </c>
      <c r="D74" s="24" t="s">
        <v>509</v>
      </c>
      <c r="E74" s="15">
        <v>42621.501840277779</v>
      </c>
      <c r="F74" s="15">
        <v>42621.507835648146</v>
      </c>
      <c r="G74" s="7">
        <v>1</v>
      </c>
      <c r="H74" s="15" t="s">
        <v>510</v>
      </c>
      <c r="I74" s="15">
        <v>42621.535868055558</v>
      </c>
      <c r="J74" s="7">
        <v>0</v>
      </c>
      <c r="K74" s="122" t="str">
        <f t="shared" si="0"/>
        <v>4031/4032</v>
      </c>
      <c r="L74" s="24" t="str">
        <f>VLOOKUP(A74,'Trips&amp;Operators'!$C$1:$E$10000,3,FALSE)</f>
        <v>SHOOK</v>
      </c>
      <c r="M74" s="6">
        <f t="shared" si="22"/>
        <v>2.8032407411956228E-2</v>
      </c>
      <c r="N74" s="7">
        <f t="shared" si="42"/>
        <v>40.366666673216969</v>
      </c>
      <c r="O74" s="7"/>
      <c r="P74" s="7"/>
      <c r="Q74" s="25"/>
      <c r="R74" s="25"/>
      <c r="S74" s="37">
        <f t="shared" si="23"/>
        <v>1</v>
      </c>
      <c r="T74" s="52" t="str">
        <f t="shared" si="4"/>
        <v>Southbound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11:02:39-0600',mode:absolute,to:'2016-09-08 13:51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74" s="54" t="str">
        <f t="shared" si="25"/>
        <v>N</v>
      </c>
      <c r="X74" s="172">
        <f t="shared" si="37"/>
        <v>1</v>
      </c>
      <c r="Y74" s="69">
        <f t="shared" si="40"/>
        <v>23.305299999999999</v>
      </c>
      <c r="Z74" s="69">
        <f t="shared" si="41"/>
        <v>1.3899999999999999E-2</v>
      </c>
      <c r="AA74" s="69">
        <f t="shared" si="28"/>
        <v>23.291399999999999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 t="shared" si="11"/>
        <v>0162-08</v>
      </c>
      <c r="AE74" s="99" t="str">
        <f t="shared" si="29"/>
        <v>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 &amp; 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</v>
      </c>
      <c r="AF74" s="96" t="str">
        <f t="shared" si="30"/>
        <v>"C:\Program Files (x86)\AstroGrep\AstroGrep.exe" /spath="%USERPROFILE%\AppData\Local\Temp\OnboardLogs" /stypes="*4032*20160908*" /stext=" 18:.+((SYSTEM_STATE.+slice.+state.+changed )|(ment ac)|(system.+state.+changed )|(\|lc)|(penalty)|(\[timeout)|(PRM\|1\|D)|(kpr)|(kdp))" /e /r /s</v>
      </c>
      <c r="AG74" s="1" t="str">
        <f t="shared" si="14"/>
        <v>EC</v>
      </c>
      <c r="AH74" s="100" t="str">
        <f t="shared" si="17"/>
        <v>"%USERPROFILE%\Documents\GitHub\eaglep3\Utilities\RefineRTDCRunTimes.py" --tripid 162-08 --locoid 4032 --swversion DE.1.0.7.0 --startMP 204:233053 --initTime 2016-09-08T12:02:39 --startdatetime 2016-09-08T12:11:17 --delay 1 --endMP 204:139 --enddatetime 2016-09-08T12:51:39 --enforcementcount 0 &gt;&gt;C:\Users\stu\Documents\GitHub\eaglep3-reporting\EC\2016-09-08-refined-times.txt</v>
      </c>
      <c r="AI74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{"issue":{"subject":"","project_id":79,"tracker_id":40,"status_id":1,"priority_id":2,"assigned_to_id":23,"start_date":"2016-09-08","description":"","custom_fields":[{"id":1,"name":"Subdivision","value":"EC"},{"id":4,"name":"Milepost","value":"23.2914"},{"id":17,"name":"Train ID","value":"162-08"},{"id":16,"name":"Locomotive ID","value":"4032"},{"id":130,"name":"Impact","value":""},{"id":150,"name":"Time of Event (Mountain Time)","value":"12:51:39"},{"id":151,"name":"Denver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259</v>
      </c>
      <c r="B75" s="7">
        <v>4014</v>
      </c>
      <c r="C75" s="24" t="s">
        <v>109</v>
      </c>
      <c r="D75" s="24" t="s">
        <v>297</v>
      </c>
      <c r="E75" s="15">
        <v>42621.4765162037</v>
      </c>
      <c r="F75" s="15">
        <v>42621.48027777778</v>
      </c>
      <c r="G75" s="7">
        <v>4</v>
      </c>
      <c r="H75" s="15" t="s">
        <v>406</v>
      </c>
      <c r="I75" s="15">
        <v>42621.506365740737</v>
      </c>
      <c r="J75" s="7">
        <v>0</v>
      </c>
      <c r="K75" s="122" t="str">
        <f t="shared" si="0"/>
        <v>4013/4014</v>
      </c>
      <c r="L75" s="24" t="str">
        <f>VLOOKUP(A75,'Trips&amp;Operators'!$C$1:$E$10000,3,FALSE)</f>
        <v>MOSES</v>
      </c>
      <c r="M75" s="6">
        <f t="shared" si="22"/>
        <v>2.6087962956808042E-2</v>
      </c>
      <c r="N75" s="7">
        <f t="shared" si="42"/>
        <v>37.56666665780358</v>
      </c>
      <c r="O75" s="7"/>
      <c r="P75" s="7"/>
      <c r="Q75" s="25"/>
      <c r="R75" s="25"/>
      <c r="S75" s="37">
        <f t="shared" si="23"/>
        <v>1</v>
      </c>
      <c r="T75" s="52" t="str">
        <f t="shared" si="4"/>
        <v>NorthBound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10:26:11-0600',mode:absolute,to:'2016-09-08 13:09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75" s="54" t="str">
        <f t="shared" si="25"/>
        <v>N</v>
      </c>
      <c r="X75" s="172">
        <f t="shared" si="37"/>
        <v>1</v>
      </c>
      <c r="Y75" s="69">
        <f t="shared" si="40"/>
        <v>4.53E-2</v>
      </c>
      <c r="Z75" s="69">
        <f t="shared" si="41"/>
        <v>23.332599999999999</v>
      </c>
      <c r="AA75" s="69">
        <f t="shared" si="28"/>
        <v>23.287299999999998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 t="shared" si="11"/>
        <v>0163-08</v>
      </c>
      <c r="AE75" s="99" t="str">
        <f t="shared" si="29"/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AF75" s="96" t="str">
        <f t="shared" si="30"/>
        <v>"C:\Program Files (x86)\AstroGrep\AstroGrep.exe" /spath="%USERPROFILE%\AppData\Local\Temp\OnboardLogs" /stypes="*4014*20160908*" /stext=" 18:.+((SYSTEM_STATE.+slice.+state.+changed )|(ment ac)|(system.+state.+changed )|(\|lc)|(penalty)|(\[timeout)|(PRM\|1\|D)|(kpr)|(kdp))" /e /r /s</v>
      </c>
      <c r="AG75" s="1" t="str">
        <f t="shared" si="14"/>
        <v>EC</v>
      </c>
      <c r="AH75" s="100" t="str">
        <f t="shared" si="17"/>
        <v>"%USERPROFILE%\Documents\GitHub\eaglep3\Utilities\RefineRTDCRunTimes.py" --tripid 163-08 --locoid 4014 --swversion DE.1.0.7.0 --startMP 204:453 --initTime 2016-09-08T11:26:11 --startdatetime 2016-09-08T11:31:36 --delay 4 --endMP 204:233326 --enddatetime 2016-09-08T12:09:10 --enforcementcount 0 &gt;&gt;C:\Users\stu\Documents\GitHub\eaglep3-reporting\EC\2016-09-08-refined-times.txt</v>
      </c>
      <c r="AI75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{"issue":{"subject":"","project_id":79,"tracker_id":40,"status_id":1,"priority_id":2,"assigned_to_id":23,"start_date":"2016-09-08","description":"","custom_fields":[{"id":1,"name":"Subdivision","value":"EC"},{"id":4,"name":"Milepost","value":"23.2873"},{"id":17,"name":"Train ID","value":"163-08"},{"id":16,"name":"Locomotive ID","value":"4014"},{"id":130,"name":"Impact","value":""},{"id":150,"name":"Time of Event (Mountain Time)","value":"12:09:10"},{"id":151,"name":"Denver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511</v>
      </c>
      <c r="B76" s="7">
        <v>4013</v>
      </c>
      <c r="C76" s="24" t="s">
        <v>109</v>
      </c>
      <c r="D76" s="24" t="s">
        <v>512</v>
      </c>
      <c r="E76" s="15">
        <v>42621.515069444446</v>
      </c>
      <c r="F76" s="15">
        <v>42621.518773148149</v>
      </c>
      <c r="G76" s="7">
        <v>1</v>
      </c>
      <c r="H76" s="15" t="s">
        <v>327</v>
      </c>
      <c r="I76" s="15">
        <v>42621.547638888886</v>
      </c>
      <c r="J76" s="7">
        <v>0</v>
      </c>
      <c r="K76" s="122" t="str">
        <f t="shared" si="0"/>
        <v>4013/4014</v>
      </c>
      <c r="L76" s="24" t="str">
        <f>VLOOKUP(A76,'Trips&amp;Operators'!$C$1:$E$10000,3,FALSE)</f>
        <v>MOSES</v>
      </c>
      <c r="M76" s="6">
        <f t="shared" si="22"/>
        <v>2.8865740736364387E-2</v>
      </c>
      <c r="N76" s="7">
        <f t="shared" si="42"/>
        <v>41.566666660364717</v>
      </c>
      <c r="O76" s="7"/>
      <c r="P76" s="7"/>
      <c r="Q76" s="25"/>
      <c r="R76" s="25"/>
      <c r="S76" s="37">
        <f t="shared" si="23"/>
        <v>1</v>
      </c>
      <c r="T76" s="52" t="str">
        <f t="shared" si="4"/>
        <v>Southbound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24"/>
        <v>https://search-rtdc-monitor-bjffxe2xuh6vdkpspy63sjmuny.us-east-1.es.amazonaws.com/_plugin/kibana/#/discover/Steve-Slow-Train-Analysis-(2080s-and-2083s)?_g=(refreshInterval:(display:Off,section:0,value:0),time:(from:'2016-09-08 11:21:42-0600',mode:absolute,to:'2016-09-08 14:08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76" s="54" t="str">
        <f t="shared" si="25"/>
        <v>N</v>
      </c>
      <c r="X76" s="172">
        <f t="shared" ref="X76:X86" si="43">VALUE(LEFT(AD76,4))-VALUE(LEFT(AD75,4))</f>
        <v>1</v>
      </c>
      <c r="Y76" s="69">
        <f t="shared" si="40"/>
        <v>23.3003</v>
      </c>
      <c r="Z76" s="69">
        <f t="shared" si="41"/>
        <v>1.52E-2</v>
      </c>
      <c r="AA76" s="69">
        <f t="shared" si="28"/>
        <v>23.2851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 t="shared" si="11"/>
        <v>0164-08</v>
      </c>
      <c r="AE76" s="99" t="str">
        <f t="shared" si="29"/>
        <v>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 &amp; aws s3 cp s3://rtdc.mdm.uploadarchive/RTDC4013/2016-09-09/ "%USERPROFILE%\AppData\Local\Temp\OnboardLogs"\RTDC4013\2016-09-09 --recursive &amp; "%USERPROFILE%\Documents\GitHub\mrs-test-scripts\Headless Mode &amp; Sideloading\WalkAndUnGZ.bat" "%USERPROFILE%\AppData\Local\Temp\OnboardLogs"\RTDC4013\2016-09-09</v>
      </c>
      <c r="AF76" s="96" t="str">
        <f t="shared" si="30"/>
        <v>"C:\Program Files (x86)\AstroGrep\AstroGrep.exe" /spath="%USERPROFILE%\AppData\Local\Temp\OnboardLogs" /stypes="*4013*20160908*" /stext=" 19:.+((SYSTEM_STATE.+slice.+state.+changed )|(ment ac)|(system.+state.+changed )|(\|lc)|(penalty)|(\[timeout)|(PRM\|1\|D)|(kpr)|(kdp))" /e /r /s</v>
      </c>
      <c r="AG76" s="1" t="str">
        <f t="shared" si="14"/>
        <v>EC</v>
      </c>
      <c r="AH76" s="100" t="str">
        <f t="shared" si="17"/>
        <v>"%USERPROFILE%\Documents\GitHub\eaglep3\Utilities\RefineRTDCRunTimes.py" --tripid 164-08 --locoid 4013 --swversion DE.1.0.7.0 --startMP 204:233003 --initTime 2016-09-08T12:21:42 --startdatetime 2016-09-08T12:27:02 --delay 1 --endMP 204:152 --enddatetime 2016-09-08T13:08:36 --enforcementcount 0 &gt;&gt;C:\Users\stu\Documents\GitHub\eaglep3-reporting\EC\2016-09-08-refined-times.txt</v>
      </c>
      <c r="AI76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{"issue":{"subject":"","project_id":79,"tracker_id":40,"status_id":1,"priority_id":2,"assigned_to_id":23,"start_date":"2016-09-08","description":"","custom_fields":[{"id":1,"name":"Subdivision","value":"EC"},{"id":4,"name":"Milepost","value":"23.2851"},{"id":17,"name":"Train ID","value":"164-08"},{"id":16,"name":"Locomotive ID","value":"4013"},{"id":130,"name":"Impact","value":""},{"id":150,"name":"Time of Event (Mountain Time)","value":"13:08:36"},{"id":151,"name":"Denver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740</v>
      </c>
      <c r="B77" s="7">
        <v>4009</v>
      </c>
      <c r="C77" s="24"/>
      <c r="D77" s="24"/>
      <c r="E77" s="15"/>
      <c r="F77" s="15"/>
      <c r="G77" s="7"/>
      <c r="H77" s="15"/>
      <c r="I77" s="15"/>
      <c r="J77" s="7"/>
      <c r="K77" s="122" t="str">
        <f t="shared" ref="K77:K140" si="44">IF(ISEVEN(B77),(B77-1)&amp;"/"&amp;B77,B77&amp;"/"&amp;(B77+1))</f>
        <v>4009/4010</v>
      </c>
      <c r="L77" s="24"/>
      <c r="M77" s="6"/>
      <c r="N77" s="7"/>
      <c r="O77" s="7"/>
      <c r="P77" s="7">
        <v>1</v>
      </c>
      <c r="Q77" s="25"/>
      <c r="R77" s="25" t="s">
        <v>767</v>
      </c>
      <c r="S77" s="37">
        <v>0</v>
      </c>
      <c r="T77" s="52" t="str">
        <f t="shared" ref="T77:T140" si="45">IF(ISEVEN(LEFT(AD77,4)),"Southbound","NorthBound")</f>
        <v>NorthBound</v>
      </c>
      <c r="U77" s="167"/>
      <c r="V77" s="106"/>
      <c r="W77" s="54"/>
      <c r="X77" s="172">
        <f t="shared" si="43"/>
        <v>1</v>
      </c>
      <c r="Y77" s="69"/>
      <c r="Z77" s="69"/>
      <c r="AA77" s="69"/>
      <c r="AB77" s="66"/>
      <c r="AC77" s="62"/>
      <c r="AD77" s="63" t="str">
        <f t="shared" ref="AD77:AD140" si="46">IF(LEN(A77)=6,"0"&amp;A77,A77)</f>
        <v>0165-08</v>
      </c>
      <c r="AE77" s="99"/>
      <c r="AF77" s="96"/>
      <c r="AG77" s="1" t="str">
        <f t="shared" ref="AG77:AG140" si="47">IFERROR(IF(VALUE(LEFT(AD77,2))&lt;=2,"EC",IF(OR(VALUE(LEFT(AD77,2))=8,VALUE(LEFT(AD77,2))=18),"NW","Other")),"Other")</f>
        <v>EC</v>
      </c>
      <c r="AH77" s="100"/>
      <c r="AI77" s="137"/>
      <c r="AJ77" s="55"/>
      <c r="AK77" s="55"/>
      <c r="AL77" s="55"/>
    </row>
    <row r="78" spans="1:38" s="1" customFormat="1" x14ac:dyDescent="0.25">
      <c r="A78" s="39" t="s">
        <v>745</v>
      </c>
      <c r="B78" s="7">
        <v>4010</v>
      </c>
      <c r="C78" s="24"/>
      <c r="D78" s="24"/>
      <c r="E78" s="15"/>
      <c r="F78" s="15"/>
      <c r="G78" s="7"/>
      <c r="H78" s="15"/>
      <c r="I78" s="15"/>
      <c r="J78" s="7"/>
      <c r="K78" s="122" t="str">
        <f t="shared" si="44"/>
        <v>4009/4010</v>
      </c>
      <c r="L78" s="24"/>
      <c r="M78" s="6"/>
      <c r="N78" s="7"/>
      <c r="O78" s="7"/>
      <c r="P78" s="7">
        <v>1</v>
      </c>
      <c r="Q78" s="25"/>
      <c r="R78" s="25" t="s">
        <v>767</v>
      </c>
      <c r="S78" s="37">
        <v>0</v>
      </c>
      <c r="T78" s="52" t="str">
        <f t="shared" si="45"/>
        <v>Southbound</v>
      </c>
      <c r="U78" s="167"/>
      <c r="V78" s="106"/>
      <c r="W78" s="54"/>
      <c r="X78" s="172">
        <f t="shared" si="43"/>
        <v>1</v>
      </c>
      <c r="Y78" s="69"/>
      <c r="Z78" s="69"/>
      <c r="AA78" s="69"/>
      <c r="AB78" s="66"/>
      <c r="AC78" s="62"/>
      <c r="AD78" s="63" t="str">
        <f t="shared" si="46"/>
        <v>0166-08</v>
      </c>
      <c r="AE78" s="99"/>
      <c r="AF78" s="96"/>
      <c r="AG78" s="1" t="str">
        <f t="shared" si="47"/>
        <v>EC</v>
      </c>
      <c r="AH78" s="100"/>
      <c r="AI78" s="137"/>
      <c r="AJ78" s="55"/>
      <c r="AK78" s="55"/>
      <c r="AL78" s="55"/>
    </row>
    <row r="79" spans="1:38" s="1" customFormat="1" x14ac:dyDescent="0.25">
      <c r="A79" s="39" t="s">
        <v>260</v>
      </c>
      <c r="B79" s="7">
        <v>4018</v>
      </c>
      <c r="C79" s="24" t="s">
        <v>109</v>
      </c>
      <c r="D79" s="24" t="s">
        <v>297</v>
      </c>
      <c r="E79" s="15">
        <v>42621.494652777779</v>
      </c>
      <c r="F79" s="15">
        <v>42621.5002662037</v>
      </c>
      <c r="G79" s="7">
        <v>1</v>
      </c>
      <c r="H79" s="15" t="s">
        <v>407</v>
      </c>
      <c r="I79" s="15">
        <v>42621.524814814817</v>
      </c>
      <c r="J79" s="7">
        <v>0</v>
      </c>
      <c r="K79" s="122" t="str">
        <f t="shared" si="44"/>
        <v>4017/4018</v>
      </c>
      <c r="L79" s="24" t="str">
        <f>VLOOKUP(A79,'Trips&amp;Operators'!$C$1:$E$10000,3,FALSE)</f>
        <v>KILLION</v>
      </c>
      <c r="M79" s="6">
        <f>I79-F79</f>
        <v>2.4548611116188113E-2</v>
      </c>
      <c r="N79" s="7">
        <f>24*60*SUM($M79:$M79)</f>
        <v>35.350000007310882</v>
      </c>
      <c r="O79" s="7"/>
      <c r="P79" s="7"/>
      <c r="Q79" s="25"/>
      <c r="R79" s="25"/>
      <c r="S79" s="37">
        <f>SUM(U79:U79)/IF(AG79="EC",12,1)</f>
        <v>1</v>
      </c>
      <c r="T79" s="52" t="str">
        <f t="shared" si="45"/>
        <v>NorthBound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>"https://search-rtdc-monitor-bjffxe2xuh6vdkpspy63sjmuny.us-east-1.es.amazonaws.com/_plugin/kibana/#/discover/Steve-Slow-Train-Analysis-(2080s-and-2083s)?_g=(refreshInterval:(display:Off,section:0,value:0),time:(from:'"&amp;TEXT(E79-1/24,"yyyy-MM-DD hh:mm:ss")&amp;"-0600',mode:absolute,to:'"&amp;TEXT(I79+1/24,"yyyy-MM-DD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https://search-rtdc-monitor-bjffxe2xuh6vdkpspy63sjmuny.us-east-1.es.amazonaws.com/_plugin/kibana/#/discover/Steve-Slow-Train-Analysis-(2080s-and-2083s)?_g=(refreshInterval:(display:Off,section:0,value:0),time:(from:'2016-09-08 10:52:18-0600',mode:absolute,to:'2016-09-08 13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79" s="54" t="str">
        <f>IF(AA79&lt;IF(AG79="EC",23,5.65),"Y","N")</f>
        <v>N</v>
      </c>
      <c r="X79" s="172">
        <f t="shared" si="43"/>
        <v>1</v>
      </c>
      <c r="Y79" s="69">
        <f>RIGHT(D79,LEN(D79)-4)/10000</f>
        <v>4.53E-2</v>
      </c>
      <c r="Z79" s="69">
        <f>RIGHT(H79,LEN(H79)-4)/10000</f>
        <v>23.331600000000002</v>
      </c>
      <c r="AA79" s="69">
        <f>ABS(Z79-Y79)</f>
        <v>23.286300000000001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 t="shared" si="46"/>
        <v>0167-08</v>
      </c>
      <c r="AE79" s="99" t="str">
        <f>"aws s3 cp "&amp;s3_bucket&amp;"/RTDC"&amp;B79&amp;"/"&amp;TEXT(F79,"YYYY-MM-DD")&amp;"/ "&amp;search_path&amp;"\RTDC"&amp;B79&amp;"\"&amp;TEXT(F79,"YYYY-MM-DD")&amp;" --recursive &amp; """&amp;walkandungz&amp;""" "&amp;search_path&amp;"\RTDC"&amp;B79&amp;"\"&amp;TEXT(F79,"YYYY-MM-DD")
&amp;" &amp; "&amp;"aws s3 cp "&amp;s3_bucket&amp;"/RTDC"&amp;B79&amp;"/"&amp;TEXT(F79+1,"YYYY-MM-DD")&amp;"/ "&amp;search_path&amp;"\RTDC"&amp;B79&amp;"\"&amp;TEXT(F79+1,"YYYY-MM-DD")&amp;" --recursive &amp; """&amp;walkandungz&amp;""" "&amp;search_path&amp;"\RTDC"&amp;B79&amp;"\"&amp;TEXT(F79+1,"YYYY-MM-DD")</f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AF79" s="96" t="str">
        <f>astrogrep_path&amp;" /spath="&amp;search_path&amp;" /stypes=""*"&amp;B79&amp;"*"&amp;TEXT(I79-utc_offset/24,"YYYYMMDD")&amp;"*"" /stext="" "&amp;TEXT(I79-utc_offset/24,"HH")&amp;search_regexp&amp;""" /e /r /s"</f>
        <v>"C:\Program Files (x86)\AstroGrep\AstroGrep.exe" /spath="%USERPROFILE%\AppData\Local\Temp\OnboardLogs" /stypes="*4018*20160908*" /stext=" 18:.+((SYSTEM_STATE.+slice.+state.+changed )|(ment ac)|(system.+state.+changed )|(\|lc)|(penalty)|(\[timeout)|(PRM\|1\|D)|(kpr)|(kdp))" /e /r /s</v>
      </c>
      <c r="AG79" s="1" t="str">
        <f t="shared" si="47"/>
        <v>EC</v>
      </c>
      <c r="AH79" s="100" t="str">
        <f t="shared" si="17"/>
        <v>"%USERPROFILE%\Documents\GitHub\eaglep3\Utilities\RefineRTDCRunTimes.py" --tripid 167-08 --locoid 4018 --swversion DE.1.0.7.0 --startMP 204:453 --initTime 2016-09-08T11:52:18 --startdatetime 2016-09-08T12:00:23 --delay 1 --endMP 204:233316 --enddatetime 2016-09-08T12:35:44 --enforcementcount 0 &gt;&gt;C:\Users\stu\Documents\GitHub\eaglep3-reporting\EC\2016-09-08-refined-times.txt</v>
      </c>
      <c r="AI79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{"issue":{"subject":"","project_id":79,"tracker_id":40,"status_id":1,"priority_id":2,"assigned_to_id":23,"start_date":"2016-09-08","description":"","custom_fields":[{"id":1,"name":"Subdivision","value":"EC"},{"id":4,"name":"Milepost","value":"23.2863"},{"id":17,"name":"Train ID","value":"167-08"},{"id":16,"name":"Locomotive ID","value":"4018"},{"id":130,"name":"Impact","value":""},{"id":150,"name":"Time of Event (Mountain Time)","value":"12:35:44"},{"id":151,"name":"Denver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513</v>
      </c>
      <c r="B80" s="7">
        <v>4017</v>
      </c>
      <c r="C80" s="24" t="s">
        <v>109</v>
      </c>
      <c r="D80" s="24" t="s">
        <v>514</v>
      </c>
      <c r="E80" s="15">
        <v>42621.530648148146</v>
      </c>
      <c r="F80" s="15">
        <v>42621.540138888886</v>
      </c>
      <c r="G80" s="7">
        <v>1</v>
      </c>
      <c r="H80" s="15" t="s">
        <v>352</v>
      </c>
      <c r="I80" s="15">
        <v>42621.565960648149</v>
      </c>
      <c r="J80" s="7">
        <v>0</v>
      </c>
      <c r="K80" s="122" t="str">
        <f t="shared" si="44"/>
        <v>4017/4018</v>
      </c>
      <c r="L80" s="24" t="str">
        <f>VLOOKUP(A80,'Trips&amp;Operators'!$C$1:$E$10000,3,FALSE)</f>
        <v>KILLION</v>
      </c>
      <c r="M80" s="6">
        <f>I80-F80</f>
        <v>2.5821759263635613E-2</v>
      </c>
      <c r="N80" s="7">
        <f>24*60*SUM($M80:$M80)</f>
        <v>37.183333339635283</v>
      </c>
      <c r="O80" s="7"/>
      <c r="P80" s="7"/>
      <c r="Q80" s="25"/>
      <c r="R80" s="25"/>
      <c r="S80" s="37">
        <f>SUM(U80:U80)/IF(AG80="EC",12,1)</f>
        <v>1</v>
      </c>
      <c r="T80" s="52" t="str">
        <f t="shared" si="45"/>
        <v>Southbound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>"https://search-rtdc-monitor-bjffxe2xuh6vdkpspy63sjmuny.us-east-1.es.amazonaws.com/_plugin/kibana/#/discover/Steve-Slow-Train-Analysis-(2080s-and-2083s)?_g=(refreshInterval:(display:Off,section:0,value:0),time:(from:'"&amp;TEXT(E80-1/24,"yyyy-MM-DD hh:mm:ss")&amp;"-0600',mode:absolute,to:'"&amp;TEXT(I80+1/24,"yyyy-MM-DD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https://search-rtdc-monitor-bjffxe2xuh6vdkpspy63sjmuny.us-east-1.es.amazonaws.com/_plugin/kibana/#/discover/Steve-Slow-Train-Analysis-(2080s-and-2083s)?_g=(refreshInterval:(display:Off,section:0,value:0),time:(from:'2016-09-08 11:44:08-0600',mode:absolute,to:'2016-09-08 14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80" s="54" t="str">
        <f>IF(AA80&lt;IF(AG80="EC",23,5.65),"Y","N")</f>
        <v>N</v>
      </c>
      <c r="X80" s="172">
        <f t="shared" si="43"/>
        <v>1</v>
      </c>
      <c r="Y80" s="69">
        <f>RIGHT(D80,LEN(D80)-4)/10000</f>
        <v>23.2971</v>
      </c>
      <c r="Z80" s="69">
        <f>RIGHT(H80,LEN(H80)-4)/10000</f>
        <v>1.61E-2</v>
      </c>
      <c r="AA80" s="69">
        <f>ABS(Z80-Y80)</f>
        <v>23.280999999999999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 t="shared" si="46"/>
        <v>0168-08</v>
      </c>
      <c r="AE80" s="99" t="str">
        <f>"aws s3 cp "&amp;s3_bucket&amp;"/RTDC"&amp;B80&amp;"/"&amp;TEXT(F80,"YYYY-MM-DD")&amp;"/ "&amp;search_path&amp;"\RTDC"&amp;B80&amp;"\"&amp;TEXT(F80,"YYYY-MM-DD")&amp;" --recursive &amp; """&amp;walkandungz&amp;""" "&amp;search_path&amp;"\RTDC"&amp;B80&amp;"\"&amp;TEXT(F80,"YYYY-MM-DD")
&amp;" &amp; "&amp;"aws s3 cp "&amp;s3_bucket&amp;"/RTDC"&amp;B80&amp;"/"&amp;TEXT(F80+1,"YYYY-MM-DD")&amp;"/ "&amp;search_path&amp;"\RTDC"&amp;B80&amp;"\"&amp;TEXT(F80+1,"YYYY-MM-DD")&amp;" --recursive &amp; """&amp;walkandungz&amp;""" "&amp;search_path&amp;"\RTDC"&amp;B80&amp;"\"&amp;TEXT(F80+1,"YYYY-MM-DD")</f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AF80" s="96" t="str">
        <f>astrogrep_path&amp;" /spath="&amp;search_path&amp;" /stypes=""*"&amp;B80&amp;"*"&amp;TEXT(I80-utc_offset/24,"YYYYMMDD")&amp;"*"" /stext="" "&amp;TEXT(I80-utc_offset/24,"HH")&amp;search_regexp&amp;""" /e /r /s"</f>
        <v>"C:\Program Files (x86)\AstroGrep\AstroGrep.exe" /spath="%USERPROFILE%\AppData\Local\Temp\OnboardLogs" /stypes="*4017*20160908*" /stext=" 19:.+((SYSTEM_STATE.+slice.+state.+changed )|(ment ac)|(system.+state.+changed )|(\|lc)|(penalty)|(\[timeout)|(PRM\|1\|D)|(kpr)|(kdp))" /e /r /s</v>
      </c>
      <c r="AG80" s="1" t="str">
        <f t="shared" si="47"/>
        <v>EC</v>
      </c>
      <c r="AH80" s="100" t="str">
        <f t="shared" si="17"/>
        <v>"%USERPROFILE%\Documents\GitHub\eaglep3\Utilities\RefineRTDCRunTimes.py" --tripid 168-08 --locoid 4017 --swversion DE.1.0.7.0 --startMP 204:232971 --initTime 2016-09-08T12:44:08 --startdatetime 2016-09-08T12:57:48 --delay 1 --endMP 204:161 --enddatetime 2016-09-08T13:34:59 --enforcementcount 0 &gt;&gt;C:\Users\stu\Documents\GitHub\eaglep3-reporting\EC\2016-09-08-refined-times.txt</v>
      </c>
      <c r="AI80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{"issue":{"subject":"","project_id":79,"tracker_id":40,"status_id":1,"priority_id":2,"assigned_to_id":23,"start_date":"2016-09-08","description":"","custom_fields":[{"id":1,"name":"Subdivision","value":"EC"},{"id":4,"name":"Milepost","value":"23.281"},{"id":17,"name":"Train ID","value":"168-08"},{"id":16,"name":"Locomotive ID","value":"4017"},{"id":130,"name":"Impact","value":""},{"id":150,"name":"Time of Event (Mountain Time)","value":"13:34:59"},{"id":151,"name":"Denver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742</v>
      </c>
      <c r="B81" s="7">
        <v>4044</v>
      </c>
      <c r="C81" s="24"/>
      <c r="D81" s="24"/>
      <c r="E81" s="15"/>
      <c r="F81" s="15"/>
      <c r="G81" s="7"/>
      <c r="H81" s="15"/>
      <c r="I81" s="15"/>
      <c r="J81" s="7"/>
      <c r="K81" s="122" t="str">
        <f t="shared" si="44"/>
        <v>4043/4044</v>
      </c>
      <c r="L81" s="24"/>
      <c r="M81" s="6"/>
      <c r="N81" s="7"/>
      <c r="O81" s="7"/>
      <c r="P81" s="7">
        <v>1</v>
      </c>
      <c r="Q81" s="25"/>
      <c r="R81" s="25" t="s">
        <v>767</v>
      </c>
      <c r="S81" s="37">
        <v>0</v>
      </c>
      <c r="T81" s="52" t="str">
        <f t="shared" si="45"/>
        <v>NorthBound</v>
      </c>
      <c r="U81" s="167"/>
      <c r="V81" s="106"/>
      <c r="W81" s="54"/>
      <c r="X81" s="172">
        <f t="shared" si="43"/>
        <v>1</v>
      </c>
      <c r="Y81" s="69"/>
      <c r="Z81" s="69"/>
      <c r="AA81" s="69"/>
      <c r="AB81" s="66"/>
      <c r="AC81" s="62"/>
      <c r="AD81" s="63" t="str">
        <f t="shared" si="46"/>
        <v>0169-08</v>
      </c>
      <c r="AE81" s="99"/>
      <c r="AF81" s="96"/>
      <c r="AG81" s="1" t="str">
        <f t="shared" si="47"/>
        <v>EC</v>
      </c>
      <c r="AH81" s="100"/>
      <c r="AI81" s="137"/>
      <c r="AJ81" s="55"/>
      <c r="AK81" s="55"/>
      <c r="AL81" s="55"/>
    </row>
    <row r="82" spans="1:38" s="1" customFormat="1" x14ac:dyDescent="0.25">
      <c r="A82" s="39" t="s">
        <v>746</v>
      </c>
      <c r="B82" s="7">
        <v>4043</v>
      </c>
      <c r="C82" s="24"/>
      <c r="D82" s="24"/>
      <c r="E82" s="15"/>
      <c r="F82" s="15"/>
      <c r="G82" s="7"/>
      <c r="H82" s="15"/>
      <c r="I82" s="15"/>
      <c r="J82" s="7"/>
      <c r="K82" s="122" t="str">
        <f t="shared" si="44"/>
        <v>4043/4044</v>
      </c>
      <c r="L82" s="24"/>
      <c r="M82" s="6"/>
      <c r="N82" s="7"/>
      <c r="O82" s="7"/>
      <c r="P82" s="7">
        <v>1</v>
      </c>
      <c r="Q82" s="25"/>
      <c r="R82" s="25" t="s">
        <v>767</v>
      </c>
      <c r="S82" s="37">
        <v>0</v>
      </c>
      <c r="T82" s="52" t="str">
        <f t="shared" si="45"/>
        <v>Southbound</v>
      </c>
      <c r="U82" s="167"/>
      <c r="V82" s="106"/>
      <c r="W82" s="54"/>
      <c r="X82" s="172">
        <f t="shared" si="43"/>
        <v>1</v>
      </c>
      <c r="Y82" s="69"/>
      <c r="Z82" s="69"/>
      <c r="AA82" s="69"/>
      <c r="AB82" s="66"/>
      <c r="AC82" s="62"/>
      <c r="AD82" s="63" t="str">
        <f t="shared" si="46"/>
        <v>0170-08</v>
      </c>
      <c r="AE82" s="99"/>
      <c r="AF82" s="96"/>
      <c r="AG82" s="1" t="str">
        <f t="shared" si="47"/>
        <v>EC</v>
      </c>
      <c r="AH82" s="100"/>
      <c r="AI82" s="137"/>
      <c r="AJ82" s="55"/>
      <c r="AK82" s="55"/>
      <c r="AL82" s="55"/>
    </row>
    <row r="83" spans="1:38" s="1" customFormat="1" x14ac:dyDescent="0.25">
      <c r="A83" s="39" t="s">
        <v>744</v>
      </c>
      <c r="B83" s="7">
        <v>4016</v>
      </c>
      <c r="C83" s="24"/>
      <c r="D83" s="24"/>
      <c r="E83" s="15"/>
      <c r="F83" s="15"/>
      <c r="G83" s="7"/>
      <c r="H83" s="15"/>
      <c r="I83" s="15"/>
      <c r="J83" s="7"/>
      <c r="K83" s="122" t="str">
        <f t="shared" si="44"/>
        <v>4015/4016</v>
      </c>
      <c r="L83" s="24"/>
      <c r="M83" s="6"/>
      <c r="N83" s="7"/>
      <c r="O83" s="7"/>
      <c r="P83" s="7">
        <v>1</v>
      </c>
      <c r="Q83" s="25"/>
      <c r="R83" s="25" t="s">
        <v>767</v>
      </c>
      <c r="S83" s="37">
        <v>0</v>
      </c>
      <c r="T83" s="52" t="str">
        <f t="shared" si="45"/>
        <v>NorthBound</v>
      </c>
      <c r="U83" s="167"/>
      <c r="V83" s="106"/>
      <c r="W83" s="54"/>
      <c r="X83" s="172">
        <f t="shared" si="43"/>
        <v>1</v>
      </c>
      <c r="Y83" s="69"/>
      <c r="Z83" s="69"/>
      <c r="AA83" s="69"/>
      <c r="AB83" s="66"/>
      <c r="AC83" s="62"/>
      <c r="AD83" s="63" t="str">
        <f t="shared" si="46"/>
        <v>0171-08</v>
      </c>
      <c r="AE83" s="99"/>
      <c r="AF83" s="96"/>
      <c r="AG83" s="1" t="str">
        <f t="shared" si="47"/>
        <v>EC</v>
      </c>
      <c r="AH83" s="100"/>
      <c r="AI83" s="137"/>
      <c r="AJ83" s="55"/>
      <c r="AK83" s="55"/>
      <c r="AL83" s="55"/>
    </row>
    <row r="84" spans="1:38" s="1" customFormat="1" x14ac:dyDescent="0.25">
      <c r="A84" s="39" t="s">
        <v>515</v>
      </c>
      <c r="B84" s="7">
        <v>4015</v>
      </c>
      <c r="C84" s="24" t="s">
        <v>109</v>
      </c>
      <c r="D84" s="24" t="s">
        <v>315</v>
      </c>
      <c r="E84" s="15">
        <v>42621.551678240743</v>
      </c>
      <c r="F84" s="15">
        <v>42621.560023148151</v>
      </c>
      <c r="G84" s="7">
        <v>1</v>
      </c>
      <c r="H84" s="15" t="s">
        <v>382</v>
      </c>
      <c r="I84" s="15">
        <v>42621.587118055555</v>
      </c>
      <c r="J84" s="7">
        <v>0</v>
      </c>
      <c r="K84" s="122" t="str">
        <f t="shared" si="44"/>
        <v>4015/4016</v>
      </c>
      <c r="L84" s="24" t="str">
        <f>VLOOKUP(A84,'Trips&amp;Operators'!$C$1:$E$10000,3,FALSE)</f>
        <v>DE LA ROSA</v>
      </c>
      <c r="M84" s="6">
        <f t="shared" ref="M84:M115" si="48">I84-F84</f>
        <v>2.7094907403807156E-2</v>
      </c>
      <c r="N84" s="7">
        <f t="shared" ref="N84:N115" si="49">24*60*SUM($M84:$M84)</f>
        <v>39.016666661482304</v>
      </c>
      <c r="O84" s="7"/>
      <c r="P84" s="7"/>
      <c r="Q84" s="25"/>
      <c r="R84" s="25"/>
      <c r="S84" s="37">
        <f t="shared" ref="S84:S115" si="50">SUM(U84:U84)/IF(AG84="EC",12,1)</f>
        <v>1</v>
      </c>
      <c r="T84" s="52" t="str">
        <f t="shared" si="45"/>
        <v>Southbound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ref="V84:V115" si="51">"https://search-rtdc-monitor-bjffxe2xuh6vdkpspy63sjmuny.us-east-1.es.amazonaws.com/_plugin/kibana/#/discover/Steve-Slow-Train-Analysis-(2080s-and-2083s)?_g=(refreshInterval:(display:Off,section:0,value:0),time:(from:'"&amp;TEXT(E84-1/24,"yyyy-MM-DD hh:mm:ss")&amp;"-0600',mode:absolute,to:'"&amp;TEXT(I84+1/24,"yyyy-MM-DD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84&amp;"%22')),sort:!(Time,asc))"</f>
        <v>https://search-rtdc-monitor-bjffxe2xuh6vdkpspy63sjmuny.us-east-1.es.amazonaws.com/_plugin/kibana/#/discover/Steve-Slow-Train-Analysis-(2080s-and-2083s)?_g=(refreshInterval:(display:Off,section:0,value:0),time:(from:'2016-09-08 12:14:25-0600',mode:absolute,to:'2016-09-08 15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84" s="54" t="str">
        <f t="shared" ref="W84:W115" si="52">IF(AA84&lt;IF(AG84="EC",23,5.65),"Y","N")</f>
        <v>N</v>
      </c>
      <c r="X84" s="172">
        <f t="shared" si="43"/>
        <v>1</v>
      </c>
      <c r="Y84" s="69">
        <f t="shared" ref="Y84:Y115" si="53">RIGHT(D84,LEN(D84)-4)/10000</f>
        <v>23.2959</v>
      </c>
      <c r="Z84" s="69">
        <f t="shared" ref="Z84:Z115" si="54">RIGHT(H84,LEN(H84)-4)/10000</f>
        <v>1.5599999999999999E-2</v>
      </c>
      <c r="AA84" s="69">
        <f t="shared" ref="AA84:AA115" si="55">ABS(Z84-Y84)</f>
        <v>23.2803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 t="shared" si="46"/>
        <v>0172-08</v>
      </c>
      <c r="AE84" s="99" t="str">
        <f t="shared" ref="AE84:AE115" si="56">"aws s3 cp "&amp;s3_bucket&amp;"/RTDC"&amp;B84&amp;"/"&amp;TEXT(F84,"YYYY-MM-DD")&amp;"/ "&amp;search_path&amp;"\RTDC"&amp;B84&amp;"\"&amp;TEXT(F84,"YYYY-MM-DD")&amp;" --recursive &amp; """&amp;walkandungz&amp;""" "&amp;search_path&amp;"\RTDC"&amp;B84&amp;"\"&amp;TEXT(F84,"YYYY-MM-DD")
&amp;" &amp; "&amp;"aws s3 cp "&amp;s3_bucket&amp;"/RTDC"&amp;B84&amp;"/"&amp;TEXT(F84+1,"YYYY-MM-DD")&amp;"/ "&amp;search_path&amp;"\RTDC"&amp;B84&amp;"\"&amp;TEXT(F84+1,"YYYY-MM-DD")&amp;" --recursive &amp; """&amp;walkandungz&amp;""" "&amp;search_path&amp;"\RTDC"&amp;B84&amp;"\"&amp;TEXT(F84+1,"YYYY-MM-DD")</f>
        <v>aws s3 cp s3://rtdc.mdm.uploadarchive/RTDC4015/2016-09-08/ "%USERPROFILE%\AppData\Local\Temp\OnboardLogs"\RTDC4015\2016-09-08 --recursive &amp; "%USERPROFILE%\Documents\GitHub\mrs-test-scripts\Headless Mode &amp; Sideloading\WalkAndUnGZ.bat" "%USERPROFILE%\AppData\Local\Temp\OnboardLogs"\RTDC4015\2016-09-08 &amp; 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</v>
      </c>
      <c r="AF84" s="96" t="str">
        <f t="shared" ref="AF84:AF115" si="57">astrogrep_path&amp;" /spath="&amp;search_path&amp;" /stypes=""*"&amp;B84&amp;"*"&amp;TEXT(I84-utc_offset/24,"YYYYMMDD")&amp;"*"" /stext="" "&amp;TEXT(I84-utc_offset/24,"HH")&amp;search_regexp&amp;""" /e /r /s"</f>
        <v>"C:\Program Files (x86)\AstroGrep\AstroGrep.exe" /spath="%USERPROFILE%\AppData\Local\Temp\OnboardLogs" /stypes="*4015*20160908*" /stext=" 20:.+((SYSTEM_STATE.+slice.+state.+changed )|(ment ac)|(system.+state.+changed )|(\|lc)|(penalty)|(\[timeout)|(PRM\|1\|D)|(kpr)|(kdp))" /e /r /s</v>
      </c>
      <c r="AG84" s="1" t="str">
        <f t="shared" si="47"/>
        <v>EC</v>
      </c>
      <c r="AH84" s="100" t="str">
        <f t="shared" si="17"/>
        <v>"%USERPROFILE%\Documents\GitHub\eaglep3\Utilities\RefineRTDCRunTimes.py" --tripid 172-08 --locoid 4015 --swversion DE.1.0.7.0 --startMP 204:232959 --initTime 2016-09-08T13:14:25 --startdatetime 2016-09-08T13:26:26 --delay 1 --endMP 204:156 --enddatetime 2016-09-08T14:05:27 --enforcementcount 0 &gt;&gt;C:\Users\stu\Documents\GitHub\eaglep3-reporting\EC\2016-09-08-refined-times.txt</v>
      </c>
      <c r="AI84" s="137" t="str">
        <f t="shared" si="18"/>
        <v>echo {"issue":{"subject":"","project_id":79,"tracker_id":40,"status_id":1,"priority_id":2,"assigned_to_id":23,"start_date":"2016-09-08","description":"","custom_fields":[{"id":1,"name":"Subdivision","value":"EC"},{"id":4,"name":"Milepost","value":"23.2803"},{"id":17,"name":"Train ID","value":"172-08"},{"id":16,"name":"Locomotive ID","value":"4015"},{"id":130,"name":"Impact","value":""},{"id":150,"name":"Time of Event (Mountain Time)","value":"14:05:27"},{"id":151,"name":"Denver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x14ac:dyDescent="0.25">
      <c r="A85" s="39" t="s">
        <v>516</v>
      </c>
      <c r="B85" s="7">
        <v>4011</v>
      </c>
      <c r="C85" s="24" t="s">
        <v>109</v>
      </c>
      <c r="D85" s="24" t="s">
        <v>517</v>
      </c>
      <c r="E85" s="15">
        <v>42621.526747685188</v>
      </c>
      <c r="F85" s="15">
        <v>42621.531504629631</v>
      </c>
      <c r="G85" s="7">
        <v>1</v>
      </c>
      <c r="H85" s="15" t="s">
        <v>518</v>
      </c>
      <c r="I85" s="15">
        <v>42621.557129629633</v>
      </c>
      <c r="J85" s="7">
        <v>0</v>
      </c>
      <c r="K85" s="122" t="str">
        <f t="shared" si="44"/>
        <v>4011/4012</v>
      </c>
      <c r="L85" s="24" t="str">
        <f>VLOOKUP(A85,'Trips&amp;Operators'!$C$1:$E$10000,3,FALSE)</f>
        <v>BONDS</v>
      </c>
      <c r="M85" s="6">
        <f t="shared" si="48"/>
        <v>2.5625000002037268E-2</v>
      </c>
      <c r="N85" s="7">
        <f t="shared" si="49"/>
        <v>36.900000002933666</v>
      </c>
      <c r="O85" s="7"/>
      <c r="P85" s="7"/>
      <c r="Q85" s="25"/>
      <c r="R85" s="25"/>
      <c r="S85" s="37">
        <f t="shared" si="50"/>
        <v>1</v>
      </c>
      <c r="T85" s="52" t="str">
        <f t="shared" si="45"/>
        <v>NorthBound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11:38:31-0600',mode:absolute,to:'2016-09-08 14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85" s="54" t="str">
        <f t="shared" si="52"/>
        <v>N</v>
      </c>
      <c r="X85" s="172">
        <f t="shared" si="43"/>
        <v>1</v>
      </c>
      <c r="Y85" s="69">
        <f t="shared" si="53"/>
        <v>4.2700000000000002E-2</v>
      </c>
      <c r="Z85" s="69">
        <f t="shared" si="54"/>
        <v>23.331</v>
      </c>
      <c r="AA85" s="69">
        <f t="shared" si="55"/>
        <v>23.2883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 t="shared" si="46"/>
        <v>0173-08</v>
      </c>
      <c r="AE85" s="99" t="str">
        <f t="shared" si="56"/>
        <v>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 &amp; 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</v>
      </c>
      <c r="AF85" s="96" t="str">
        <f t="shared" si="57"/>
        <v>"C:\Program Files (x86)\AstroGrep\AstroGrep.exe" /spath="%USERPROFILE%\AppData\Local\Temp\OnboardLogs" /stypes="*4011*20160908*" /stext=" 19:.+((SYSTEM_STATE.+slice.+state.+changed )|(ment ac)|(system.+state.+changed )|(\|lc)|(penalty)|(\[timeout)|(PRM\|1\|D)|(kpr)|(kdp))" /e /r /s</v>
      </c>
      <c r="AG85" s="1" t="str">
        <f t="shared" si="47"/>
        <v>EC</v>
      </c>
      <c r="AH85" s="100" t="str">
        <f t="shared" ref="AH85:AH148" si="58">refinertdcruntimes&amp;" --tripid "&amp;A85&amp;" --locoid "&amp;B85&amp;" --swversion "&amp;C85&amp;" --startMP "&amp;D85&amp;" --initTime "&amp;TEXT(E85,"yyyy-mm-ddTHH:MM:SS")&amp;" --startdatetime "&amp;TEXT(F85,"yyyy-mm-ddTHH:MM:SS")&amp;" --delay "&amp;G85&amp;" --endMP "&amp;H85&amp;" --enddatetime "&amp;TEXT(I85,"yyyy-mm-ddTHH:MM:SS")&amp;" --enforcementcount "&amp;J85&amp;IF(outputrefinedruntimes," &gt;&gt;"&amp;RefinedRTDCRunTimesOutputFile,"")</f>
        <v>"%USERPROFILE%\Documents\GitHub\eaglep3\Utilities\RefineRTDCRunTimes.py" --tripid 173-08 --locoid 4011 --swversion DE.1.0.7.0 --startMP 204:427 --initTime 2016-09-08T12:38:31 --startdatetime 2016-09-08T12:45:22 --delay 1 --endMP 204:233310 --enddatetime 2016-09-08T13:22:16 --enforcementcount 0 &gt;&gt;C:\Users\stu\Documents\GitHub\eaglep3-reporting\EC\2016-09-08-refined-times.txt</v>
      </c>
      <c r="AI85" s="137" t="str">
        <f t="shared" ref="AI85:AI148" si="59">"echo {""issue"":{""subject"":"""&amp;R85&amp;""",""project_id"":79,""tracker_id"":40,""status_id"":"&amp;redmine_status&amp;",""priority_id"":"&amp;redmine_priority&amp;",""assigned_to_id"":"&amp;redmine_assignee&amp;",""start_date"":"""&amp;TEXT(I85,"YYYY-mm-dd")&amp;""",""description"":"""&amp;AJ85&amp;""",""custom_fields"":[{""id"":1,""name"":""Subdivision"",""value"":"""&amp;AG85&amp;"""},{""id"":4,""name"":""Milepost"",""value"":"""&amp;AA85&amp;"""},{""id"":17,""name"":""Train ID"",""value"":"""&amp;A85&amp;"""},{""id"":16,""name"":""Locomotive ID"",""value"":"""&amp;B85&amp;"""},{""id"":130,""name"":""Impact"",""value"":"""&amp;AK85&amp;"""},{""id"":150,""name"":""Time of Event (Mountain Time)"",""value"":"""&amp;TEXT(I85,"hh:mm:ss")&amp;"""},{""id"":151,""name"":""Denver Issue ID"",""value"":"""&amp;"""},{""id"":178,""name"":""Operational Impact"",""value"":"""&amp;redmine_op_impact&amp;"""},{""id"":179,""name"":""Denver Segment Assigned"",""value"":"""&amp;AL85&amp;"""}]}}"&amp;"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{"issue":{"subject":"","project_id":79,"tracker_id":40,"status_id":1,"priority_id":2,"assigned_to_id":23,"start_date":"2016-09-08","description":"","custom_fields":[{"id":1,"name":"Subdivision","value":"EC"},{"id":4,"name":"Milepost","value":"23.2883"},{"id":17,"name":"Train ID","value":"173-08"},{"id":16,"name":"Locomotive ID","value":"4011"},{"id":130,"name":"Impact","value":""},{"id":150,"name":"Time of Event (Mountain Time)","value":"13:22:16"},{"id":151,"name":"Denver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519</v>
      </c>
      <c r="B86" s="7">
        <v>4012</v>
      </c>
      <c r="C86" s="24" t="s">
        <v>109</v>
      </c>
      <c r="D86" s="24" t="s">
        <v>287</v>
      </c>
      <c r="E86" s="15">
        <v>42621.561550925922</v>
      </c>
      <c r="F86" s="15">
        <v>42621.570405092592</v>
      </c>
      <c r="G86" s="7">
        <v>1</v>
      </c>
      <c r="H86" s="15" t="s">
        <v>133</v>
      </c>
      <c r="I86" s="15">
        <v>42621.600115740737</v>
      </c>
      <c r="J86" s="7">
        <v>0</v>
      </c>
      <c r="K86" s="122" t="str">
        <f t="shared" si="44"/>
        <v>4011/4012</v>
      </c>
      <c r="L86" s="24" t="str">
        <f>VLOOKUP(A86,'Trips&amp;Operators'!$C$1:$E$10000,3,FALSE)</f>
        <v>BONDS</v>
      </c>
      <c r="M86" s="6">
        <f t="shared" si="48"/>
        <v>2.9710648144828156E-2</v>
      </c>
      <c r="N86" s="7">
        <f t="shared" si="49"/>
        <v>42.783333328552544</v>
      </c>
      <c r="O86" s="7"/>
      <c r="P86" s="7"/>
      <c r="Q86" s="25"/>
      <c r="R86" s="25"/>
      <c r="S86" s="37">
        <f t="shared" si="50"/>
        <v>1</v>
      </c>
      <c r="T86" s="52" t="str">
        <f t="shared" si="45"/>
        <v>Southbound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12:28:38-0600',mode:absolute,to:'2016-09-08 15:24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86" s="54" t="str">
        <f t="shared" si="52"/>
        <v>N</v>
      </c>
      <c r="X86" s="172">
        <f t="shared" si="43"/>
        <v>1</v>
      </c>
      <c r="Y86" s="69">
        <f t="shared" si="53"/>
        <v>23.299099999999999</v>
      </c>
      <c r="Z86" s="69">
        <f t="shared" si="54"/>
        <v>1.54E-2</v>
      </c>
      <c r="AA86" s="69">
        <f t="shared" si="55"/>
        <v>23.2837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 t="shared" si="46"/>
        <v>0174-08</v>
      </c>
      <c r="AE86" s="99" t="str">
        <f t="shared" si="56"/>
        <v>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 &amp; 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</v>
      </c>
      <c r="AF86" s="96" t="str">
        <f t="shared" si="57"/>
        <v>"C:\Program Files (x86)\AstroGrep\AstroGrep.exe" /spath="%USERPROFILE%\AppData\Local\Temp\OnboardLogs" /stypes="*4012*20160908*" /stext=" 20:.+((SYSTEM_STATE.+slice.+state.+changed )|(ment ac)|(system.+state.+changed )|(\|lc)|(penalty)|(\[timeout)|(PRM\|1\|D)|(kpr)|(kdp))" /e /r /s</v>
      </c>
      <c r="AG86" s="1" t="str">
        <f t="shared" si="47"/>
        <v>EC</v>
      </c>
      <c r="AH86" s="100" t="str">
        <f t="shared" si="58"/>
        <v>"%USERPROFILE%\Documents\GitHub\eaglep3\Utilities\RefineRTDCRunTimes.py" --tripid 174-08 --locoid 4012 --swversion DE.1.0.7.0 --startMP 204:232991 --initTime 2016-09-08T13:28:38 --startdatetime 2016-09-08T13:41:23 --delay 1 --endMP 204:154 --enddatetime 2016-09-08T14:24:10 --enforcementcount 0 &gt;&gt;C:\Users\stu\Documents\GitHub\eaglep3-reporting\EC\2016-09-08-refined-times.txt</v>
      </c>
      <c r="AI86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{"issue":{"subject":"","project_id":79,"tracker_id":40,"status_id":1,"priority_id":2,"assigned_to_id":23,"start_date":"2016-09-08","description":"","custom_fields":[{"id":1,"name":"Subdivision","value":"EC"},{"id":4,"name":"Milepost","value":"23.2837"},{"id":17,"name":"Train ID","value":"174-08"},{"id":16,"name":"Locomotive ID","value":"4012"},{"id":130,"name":"Impact","value":""},{"id":150,"name":"Time of Event (Mountain Time)","value":"14:24:10"},{"id":151,"name":"Denver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520</v>
      </c>
      <c r="B87" s="7">
        <v>4031</v>
      </c>
      <c r="C87" s="24" t="s">
        <v>109</v>
      </c>
      <c r="D87" s="24" t="s">
        <v>324</v>
      </c>
      <c r="E87" s="15">
        <v>42621.537303240744</v>
      </c>
      <c r="F87" s="15">
        <v>42621.541863425926</v>
      </c>
      <c r="G87" s="7">
        <v>1</v>
      </c>
      <c r="H87" s="15" t="s">
        <v>521</v>
      </c>
      <c r="I87" s="15">
        <v>42621.568009259259</v>
      </c>
      <c r="J87" s="7">
        <v>0</v>
      </c>
      <c r="K87" s="122" t="str">
        <f t="shared" si="44"/>
        <v>4031/4032</v>
      </c>
      <c r="L87" s="24" t="str">
        <f>VLOOKUP(A87,'Trips&amp;Operators'!$C$1:$E$10000,3,FALSE)</f>
        <v>SHOOK</v>
      </c>
      <c r="M87" s="6">
        <f t="shared" si="48"/>
        <v>2.6145833333430346E-2</v>
      </c>
      <c r="N87" s="7">
        <f t="shared" si="49"/>
        <v>37.650000000139698</v>
      </c>
      <c r="O87" s="7"/>
      <c r="P87" s="7"/>
      <c r="Q87" s="25"/>
      <c r="R87" s="25"/>
      <c r="S87" s="37">
        <f t="shared" si="50"/>
        <v>1</v>
      </c>
      <c r="T87" s="52" t="str">
        <f t="shared" si="45"/>
        <v>NorthBound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11:53:43-0600',mode:absolute,to:'2016-09-08 14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87" s="54" t="str">
        <f t="shared" si="52"/>
        <v>N</v>
      </c>
      <c r="X87" s="172">
        <f t="shared" ref="X87:X118" si="60">VALUE(LEFT(AD87,4))-VALUE(LEFT(AD86,4))</f>
        <v>1</v>
      </c>
      <c r="Y87" s="69">
        <f t="shared" si="53"/>
        <v>4.6199999999999998E-2</v>
      </c>
      <c r="Z87" s="69">
        <f t="shared" si="54"/>
        <v>23.337</v>
      </c>
      <c r="AA87" s="69">
        <f t="shared" si="55"/>
        <v>23.290800000000001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 t="shared" si="46"/>
        <v>0175-08</v>
      </c>
      <c r="AE87" s="99" t="str">
        <f t="shared" si="56"/>
        <v>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 &amp; 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</v>
      </c>
      <c r="AF87" s="96" t="str">
        <f t="shared" si="57"/>
        <v>"C:\Program Files (x86)\AstroGrep\AstroGrep.exe" /spath="%USERPROFILE%\AppData\Local\Temp\OnboardLogs" /stypes="*4031*20160908*" /stext=" 19:.+((SYSTEM_STATE.+slice.+state.+changed )|(ment ac)|(system.+state.+changed )|(\|lc)|(penalty)|(\[timeout)|(PRM\|1\|D)|(kpr)|(kdp))" /e /r /s</v>
      </c>
      <c r="AG87" s="1" t="str">
        <f t="shared" si="47"/>
        <v>EC</v>
      </c>
      <c r="AH87" s="100" t="str">
        <f t="shared" si="58"/>
        <v>"%USERPROFILE%\Documents\GitHub\eaglep3\Utilities\RefineRTDCRunTimes.py" --tripid 175-08 --locoid 4031 --swversion DE.1.0.7.0 --startMP 204:462 --initTime 2016-09-08T12:53:43 --startdatetime 2016-09-08T13:00:17 --delay 1 --endMP 204:233370 --enddatetime 2016-09-08T13:37:56 --enforcementcount 0 &gt;&gt;C:\Users\stu\Documents\GitHub\eaglep3-reporting\EC\2016-09-08-refined-times.txt</v>
      </c>
      <c r="AI87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{"issue":{"subject":"","project_id":79,"tracker_id":40,"status_id":1,"priority_id":2,"assigned_to_id":23,"start_date":"2016-09-08","description":"","custom_fields":[{"id":1,"name":"Subdivision","value":"EC"},{"id":4,"name":"Milepost","value":"23.2908"},{"id":17,"name":"Train ID","value":"175-08"},{"id":16,"name":"Locomotive ID","value":"4031"},{"id":130,"name":"Impact","value":""},{"id":150,"name":"Time of Event (Mountain Time)","value":"13:37:56"},{"id":151,"name":"Denver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483</v>
      </c>
      <c r="B88" s="7">
        <v>4032</v>
      </c>
      <c r="C88" s="24" t="s">
        <v>109</v>
      </c>
      <c r="D88" s="24" t="s">
        <v>522</v>
      </c>
      <c r="E88" s="15">
        <v>42621.575196759259</v>
      </c>
      <c r="F88" s="15">
        <v>42621.580694444441</v>
      </c>
      <c r="G88" s="7">
        <v>1</v>
      </c>
      <c r="H88" s="15" t="s">
        <v>295</v>
      </c>
      <c r="I88" s="15">
        <v>42621.610231481478</v>
      </c>
      <c r="J88" s="7">
        <v>0</v>
      </c>
      <c r="K88" s="122" t="str">
        <f t="shared" si="44"/>
        <v>4031/4032</v>
      </c>
      <c r="L88" s="24" t="str">
        <f>VLOOKUP(A88,'Trips&amp;Operators'!$C$1:$E$10000,3,FALSE)</f>
        <v>SHOOK</v>
      </c>
      <c r="M88" s="6">
        <f t="shared" si="48"/>
        <v>2.9537037036789116E-2</v>
      </c>
      <c r="N88" s="7">
        <f t="shared" si="49"/>
        <v>42.533333332976326</v>
      </c>
      <c r="O88" s="7"/>
      <c r="P88" s="7"/>
      <c r="Q88" s="25"/>
      <c r="R88" s="25"/>
      <c r="S88" s="37">
        <f t="shared" si="50"/>
        <v>1</v>
      </c>
      <c r="T88" s="52" t="str">
        <f t="shared" si="45"/>
        <v>Southbound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12:48:17-0600',mode:absolute,to:'2016-09-08 15:38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88" s="54" t="str">
        <f t="shared" si="52"/>
        <v>N</v>
      </c>
      <c r="X88" s="172">
        <f t="shared" si="60"/>
        <v>1</v>
      </c>
      <c r="Y88" s="69">
        <f t="shared" si="53"/>
        <v>23.304200000000002</v>
      </c>
      <c r="Z88" s="69">
        <f t="shared" si="54"/>
        <v>1.47E-2</v>
      </c>
      <c r="AA88" s="69">
        <f t="shared" si="55"/>
        <v>23.2895</v>
      </c>
      <c r="AB88" s="66" t="str">
        <f>VLOOKUP(A88,Enforcements!$C$7:$K$21,8,0)</f>
        <v>Bulletin (2)</v>
      </c>
      <c r="AC88" s="62" t="str">
        <f>VLOOKUP(A88,Enforcements!$C$7:$E$21,3,0)</f>
        <v>GRADE CROSSING</v>
      </c>
      <c r="AD88" s="63" t="str">
        <f t="shared" si="46"/>
        <v>0176-08</v>
      </c>
      <c r="AE88" s="99" t="str">
        <f t="shared" si="56"/>
        <v>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 &amp; 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</v>
      </c>
      <c r="AF88" s="96" t="str">
        <f t="shared" si="57"/>
        <v>"C:\Program Files (x86)\AstroGrep\AstroGrep.exe" /spath="%USERPROFILE%\AppData\Local\Temp\OnboardLogs" /stypes="*4032*20160908*" /stext=" 20:.+((SYSTEM_STATE.+slice.+state.+changed )|(ment ac)|(system.+state.+changed )|(\|lc)|(penalty)|(\[timeout)|(PRM\|1\|D)|(kpr)|(kdp))" /e /r /s</v>
      </c>
      <c r="AG88" s="1" t="str">
        <f t="shared" si="47"/>
        <v>EC</v>
      </c>
      <c r="AH88" s="100" t="str">
        <f t="shared" si="58"/>
        <v>"%USERPROFILE%\Documents\GitHub\eaglep3\Utilities\RefineRTDCRunTimes.py" --tripid 176-08 --locoid 4032 --swversion DE.1.0.7.0 --startMP 204:233042 --initTime 2016-09-08T13:48:17 --startdatetime 2016-09-08T13:56:12 --delay 1 --endMP 204:147 --enddatetime 2016-09-08T14:38:44 --enforcementcount 0 &gt;&gt;C:\Users\stu\Documents\GitHub\eaglep3-reporting\EC\2016-09-08-refined-times.txt</v>
      </c>
      <c r="AI88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{"issue":{"subject":"","project_id":79,"tracker_id":40,"status_id":1,"priority_id":2,"assigned_to_id":23,"start_date":"2016-09-08","description":"","custom_fields":[{"id":1,"name":"Subdivision","value":"EC"},{"id":4,"name":"Milepost","value":"23.2895"},{"id":17,"name":"Train ID","value":"176-08"},{"id":16,"name":"Locomotive ID","value":"4032"},{"id":130,"name":"Impact","value":""},{"id":150,"name":"Time of Event (Mountain Time)","value":"14:38:44"},{"id":151,"name":"Denver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23" customFormat="1" x14ac:dyDescent="0.25">
      <c r="A89" s="39" t="s">
        <v>523</v>
      </c>
      <c r="B89" s="7">
        <v>4014</v>
      </c>
      <c r="C89" s="24" t="s">
        <v>109</v>
      </c>
      <c r="D89" s="24" t="s">
        <v>297</v>
      </c>
      <c r="E89" s="15">
        <v>42621.550335648149</v>
      </c>
      <c r="F89" s="15">
        <v>42621.552569444444</v>
      </c>
      <c r="G89" s="7">
        <v>1</v>
      </c>
      <c r="H89" s="15" t="s">
        <v>313</v>
      </c>
      <c r="I89" s="15">
        <v>42621.579351851855</v>
      </c>
      <c r="J89" s="7">
        <v>0</v>
      </c>
      <c r="K89" s="122" t="str">
        <f t="shared" si="44"/>
        <v>4013/4014</v>
      </c>
      <c r="L89" s="24" t="str">
        <f>VLOOKUP(A89,'Trips&amp;Operators'!$C$1:$E$10000,3,FALSE)</f>
        <v>MOSES</v>
      </c>
      <c r="M89" s="6">
        <f t="shared" si="48"/>
        <v>2.6782407410792075E-2</v>
      </c>
      <c r="N89" s="7">
        <f t="shared" si="49"/>
        <v>38.566666671540588</v>
      </c>
      <c r="O89" s="7"/>
      <c r="P89" s="7"/>
      <c r="Q89" s="25"/>
      <c r="R89" s="25"/>
      <c r="S89" s="37">
        <f t="shared" si="50"/>
        <v>1</v>
      </c>
      <c r="T89" s="52" t="str">
        <f t="shared" si="45"/>
        <v>NorthBound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12:12:29-0600',mode:absolute,to:'2016-09-08 14:54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89" s="54" t="str">
        <f t="shared" si="52"/>
        <v>N</v>
      </c>
      <c r="X89" s="172">
        <f t="shared" si="60"/>
        <v>1</v>
      </c>
      <c r="Y89" s="69">
        <f t="shared" si="53"/>
        <v>4.53E-2</v>
      </c>
      <c r="Z89" s="69">
        <f t="shared" si="54"/>
        <v>23.3291</v>
      </c>
      <c r="AA89" s="69">
        <f t="shared" si="55"/>
        <v>23.283799999999999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 t="shared" si="46"/>
        <v>0177-08</v>
      </c>
      <c r="AE89" s="99" t="str">
        <f t="shared" si="56"/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AF89" s="96" t="str">
        <f t="shared" si="57"/>
        <v>"C:\Program Files (x86)\AstroGrep\AstroGrep.exe" /spath="%USERPROFILE%\AppData\Local\Temp\OnboardLogs" /stypes="*4014*20160908*" /stext=" 19:.+((SYSTEM_STATE.+slice.+state.+changed )|(ment ac)|(system.+state.+changed )|(\|lc)|(penalty)|(\[timeout)|(PRM\|1\|D)|(kpr)|(kdp))" /e /r /s</v>
      </c>
      <c r="AG89" s="1" t="str">
        <f t="shared" si="47"/>
        <v>EC</v>
      </c>
      <c r="AH89" s="100" t="str">
        <f t="shared" si="58"/>
        <v>"%USERPROFILE%\Documents\GitHub\eaglep3\Utilities\RefineRTDCRunTimes.py" --tripid 177-08 --locoid 4014 --swversion DE.1.0.7.0 --startMP 204:453 --initTime 2016-09-08T13:12:29 --startdatetime 2016-09-08T13:15:42 --delay 1 --endMP 204:233291 --enddatetime 2016-09-08T13:54:16 --enforcementcount 0 &gt;&gt;C:\Users\stu\Documents\GitHub\eaglep3-reporting\EC\2016-09-08-refined-times.txt</v>
      </c>
      <c r="AI89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{"issue":{"subject":"","project_id":79,"tracker_id":40,"status_id":1,"priority_id":2,"assigned_to_id":23,"start_date":"2016-09-08","description":"","custom_fields":[{"id":1,"name":"Subdivision","value":"EC"},{"id":4,"name":"Milepost","value":"23.2838"},{"id":17,"name":"Train ID","value":"177-08"},{"id":16,"name":"Locomotive ID","value":"4014"},{"id":130,"name":"Impact","value":""},{"id":150,"name":"Time of Event (Mountain Time)","value":"13:54:16"},{"id":151,"name":"Denver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23" customFormat="1" x14ac:dyDescent="0.25">
      <c r="A90" s="39" t="s">
        <v>524</v>
      </c>
      <c r="B90" s="7">
        <v>4013</v>
      </c>
      <c r="C90" s="24" t="s">
        <v>109</v>
      </c>
      <c r="D90" s="24" t="s">
        <v>525</v>
      </c>
      <c r="E90" s="15">
        <v>42621.588564814818</v>
      </c>
      <c r="F90" s="15">
        <v>42621.591574074075</v>
      </c>
      <c r="G90" s="7">
        <v>2</v>
      </c>
      <c r="H90" s="15" t="s">
        <v>278</v>
      </c>
      <c r="I90" s="15">
        <v>42621.621979166666</v>
      </c>
      <c r="J90" s="7">
        <v>0</v>
      </c>
      <c r="K90" s="122" t="str">
        <f t="shared" si="44"/>
        <v>4013/4014</v>
      </c>
      <c r="L90" s="24" t="str">
        <f>VLOOKUP(A90,'Trips&amp;Operators'!$C$1:$E$10000,3,FALSE)</f>
        <v>MOSES</v>
      </c>
      <c r="M90" s="6">
        <f t="shared" si="48"/>
        <v>3.0405092591536231E-2</v>
      </c>
      <c r="N90" s="7">
        <f t="shared" si="49"/>
        <v>43.783333331812173</v>
      </c>
      <c r="O90" s="7"/>
      <c r="P90" s="7"/>
      <c r="Q90" s="25"/>
      <c r="R90" s="25"/>
      <c r="S90" s="37">
        <f t="shared" si="50"/>
        <v>1</v>
      </c>
      <c r="T90" s="52" t="str">
        <f t="shared" si="45"/>
        <v>Southbound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13:07:32-0600',mode:absolute,to:'2016-09-08 15:55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90" s="54" t="str">
        <f t="shared" si="52"/>
        <v>N</v>
      </c>
      <c r="X90" s="172">
        <f t="shared" si="60"/>
        <v>1</v>
      </c>
      <c r="Y90" s="69">
        <f t="shared" si="53"/>
        <v>23.3</v>
      </c>
      <c r="Z90" s="69">
        <f t="shared" si="54"/>
        <v>1.6E-2</v>
      </c>
      <c r="AA90" s="69">
        <f t="shared" si="55"/>
        <v>23.284000000000002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 t="shared" si="46"/>
        <v>0178-08</v>
      </c>
      <c r="AE90" s="99" t="str">
        <f t="shared" si="56"/>
        <v>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 &amp; aws s3 cp s3://rtdc.mdm.uploadarchive/RTDC4013/2016-09-09/ "%USERPROFILE%\AppData\Local\Temp\OnboardLogs"\RTDC4013\2016-09-09 --recursive &amp; "%USERPROFILE%\Documents\GitHub\mrs-test-scripts\Headless Mode &amp; Sideloading\WalkAndUnGZ.bat" "%USERPROFILE%\AppData\Local\Temp\OnboardLogs"\RTDC4013\2016-09-09</v>
      </c>
      <c r="AF90" s="96" t="str">
        <f t="shared" si="57"/>
        <v>"C:\Program Files (x86)\AstroGrep\AstroGrep.exe" /spath="%USERPROFILE%\AppData\Local\Temp\OnboardLogs" /stypes="*4013*20160908*" /stext=" 20:.+((SYSTEM_STATE.+slice.+state.+changed )|(ment ac)|(system.+state.+changed )|(\|lc)|(penalty)|(\[timeout)|(PRM\|1\|D)|(kpr)|(kdp))" /e /r /s</v>
      </c>
      <c r="AG90" s="1" t="str">
        <f t="shared" si="47"/>
        <v>EC</v>
      </c>
      <c r="AH90" s="100" t="str">
        <f t="shared" si="58"/>
        <v>"%USERPROFILE%\Documents\GitHub\eaglep3\Utilities\RefineRTDCRunTimes.py" --tripid 178-08 --locoid 4013 --swversion DE.1.0.7.0 --startMP 204:233000 --initTime 2016-09-08T14:07:32 --startdatetime 2016-09-08T14:11:52 --delay 2 --endMP 204:160 --enddatetime 2016-09-08T14:55:39 --enforcementcount 0 &gt;&gt;C:\Users\stu\Documents\GitHub\eaglep3-reporting\EC\2016-09-08-refined-times.txt</v>
      </c>
      <c r="AI90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{"issue":{"subject":"","project_id":79,"tracker_id":40,"status_id":1,"priority_id":2,"assigned_to_id":23,"start_date":"2016-09-08","description":"","custom_fields":[{"id":1,"name":"Subdivision","value":"EC"},{"id":4,"name":"Milepost","value":"23.284"},{"id":17,"name":"Train ID","value":"178-08"},{"id":16,"name":"Locomotive ID","value":"4013"},{"id":130,"name":"Impact","value":""},{"id":150,"name":"Time of Event (Mountain Time)","value":"14:55:39"},{"id":151,"name":"Denver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x14ac:dyDescent="0.25">
      <c r="A91" s="39" t="s">
        <v>526</v>
      </c>
      <c r="B91" s="7">
        <v>4009</v>
      </c>
      <c r="C91" s="24" t="s">
        <v>109</v>
      </c>
      <c r="D91" s="24" t="s">
        <v>527</v>
      </c>
      <c r="E91" s="15">
        <v>42621.560879629629</v>
      </c>
      <c r="F91" s="15">
        <v>42621.563287037039</v>
      </c>
      <c r="G91" s="7">
        <v>2</v>
      </c>
      <c r="H91" s="15" t="s">
        <v>398</v>
      </c>
      <c r="I91" s="15">
        <v>42621.587557870371</v>
      </c>
      <c r="J91" s="7">
        <v>0</v>
      </c>
      <c r="K91" s="122" t="str">
        <f t="shared" si="44"/>
        <v>4009/4010</v>
      </c>
      <c r="L91" s="24" t="str">
        <f>VLOOKUP(A91,'Trips&amp;Operators'!$C$1:$E$10000,3,FALSE)</f>
        <v>MAHAN</v>
      </c>
      <c r="M91" s="6">
        <f t="shared" si="48"/>
        <v>2.4270833331684116E-2</v>
      </c>
      <c r="N91" s="7">
        <f t="shared" si="49"/>
        <v>34.949999997625127</v>
      </c>
      <c r="O91" s="7"/>
      <c r="P91" s="7"/>
      <c r="Q91" s="25"/>
      <c r="R91" s="25"/>
      <c r="S91" s="37">
        <f t="shared" si="50"/>
        <v>1</v>
      </c>
      <c r="T91" s="52" t="str">
        <f t="shared" si="45"/>
        <v>NorthBound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12:27:40-0600',mode:absolute,to:'2016-09-08 15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91" s="54" t="str">
        <f t="shared" si="52"/>
        <v>N</v>
      </c>
      <c r="X91" s="172">
        <f t="shared" si="60"/>
        <v>1</v>
      </c>
      <c r="Y91" s="69">
        <f t="shared" si="53"/>
        <v>4.4200000000000003E-2</v>
      </c>
      <c r="Z91" s="69">
        <f t="shared" si="54"/>
        <v>23.331199999999999</v>
      </c>
      <c r="AA91" s="69">
        <f t="shared" si="55"/>
        <v>23.286999999999999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 t="shared" si="46"/>
        <v>0179-08</v>
      </c>
      <c r="AE91" s="99" t="str">
        <f t="shared" si="56"/>
        <v>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 &amp; 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</v>
      </c>
      <c r="AF91" s="96" t="str">
        <f t="shared" si="57"/>
        <v>"C:\Program Files (x86)\AstroGrep\AstroGrep.exe" /spath="%USERPROFILE%\AppData\Local\Temp\OnboardLogs" /stypes="*4009*20160908*" /stext=" 20:.+((SYSTEM_STATE.+slice.+state.+changed )|(ment ac)|(system.+state.+changed )|(\|lc)|(penalty)|(\[timeout)|(PRM\|1\|D)|(kpr)|(kdp))" /e /r /s</v>
      </c>
      <c r="AG91" s="1" t="str">
        <f t="shared" si="47"/>
        <v>EC</v>
      </c>
      <c r="AH91" s="100" t="str">
        <f t="shared" si="58"/>
        <v>"%USERPROFILE%\Documents\GitHub\eaglep3\Utilities\RefineRTDCRunTimes.py" --tripid 179-08 --locoid 4009 --swversion DE.1.0.7.0 --startMP 204:442 --initTime 2016-09-08T13:27:40 --startdatetime 2016-09-08T13:31:08 --delay 2 --endMP 204:233312 --enddatetime 2016-09-08T14:06:05 --enforcementcount 0 &gt;&gt;C:\Users\stu\Documents\GitHub\eaglep3-reporting\EC\2016-09-08-refined-times.txt</v>
      </c>
      <c r="AI91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{"issue":{"subject":"","project_id":79,"tracker_id":40,"status_id":1,"priority_id":2,"assigned_to_id":23,"start_date":"2016-09-08","description":"","custom_fields":[{"id":1,"name":"Subdivision","value":"EC"},{"id":4,"name":"Milepost","value":"23.287"},{"id":17,"name":"Train ID","value":"179-08"},{"id":16,"name":"Locomotive ID","value":"4009"},{"id":130,"name":"Impact","value":""},{"id":150,"name":"Time of Event (Mountain Time)","value":"14:06:05"},{"id":151,"name":"Denver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23" customFormat="1" x14ac:dyDescent="0.25">
      <c r="A92" s="39" t="s">
        <v>528</v>
      </c>
      <c r="B92" s="7">
        <v>4010</v>
      </c>
      <c r="C92" s="24" t="s">
        <v>109</v>
      </c>
      <c r="D92" s="24" t="s">
        <v>336</v>
      </c>
      <c r="E92" s="15">
        <v>42621.594965277778</v>
      </c>
      <c r="F92" s="15">
        <v>42621.601886574077</v>
      </c>
      <c r="G92" s="7">
        <v>1</v>
      </c>
      <c r="H92" s="15" t="s">
        <v>283</v>
      </c>
      <c r="I92" s="15">
        <v>42621.631898148145</v>
      </c>
      <c r="J92" s="7">
        <v>0</v>
      </c>
      <c r="K92" s="122" t="str">
        <f t="shared" si="44"/>
        <v>4009/4010</v>
      </c>
      <c r="L92" s="24" t="str">
        <f>VLOOKUP(A92,'Trips&amp;Operators'!$C$1:$E$10000,3,FALSE)</f>
        <v>MAHAN</v>
      </c>
      <c r="M92" s="6">
        <f t="shared" si="48"/>
        <v>3.0011574068339542E-2</v>
      </c>
      <c r="N92" s="7">
        <f t="shared" si="49"/>
        <v>43.21666665840894</v>
      </c>
      <c r="O92" s="7"/>
      <c r="P92" s="7"/>
      <c r="Q92" s="25"/>
      <c r="R92" s="25"/>
      <c r="S92" s="37">
        <f t="shared" si="50"/>
        <v>1</v>
      </c>
      <c r="T92" s="52" t="str">
        <f t="shared" si="45"/>
        <v>Southbound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13:16:45-0600',mode:absolute,to:'2016-09-08 16:09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92" s="54" t="str">
        <f t="shared" si="52"/>
        <v>N</v>
      </c>
      <c r="X92" s="172">
        <f t="shared" si="60"/>
        <v>1</v>
      </c>
      <c r="Y92" s="69">
        <f t="shared" si="53"/>
        <v>23.299600000000002</v>
      </c>
      <c r="Z92" s="69">
        <f t="shared" si="54"/>
        <v>1.6299999999999999E-2</v>
      </c>
      <c r="AA92" s="69">
        <f t="shared" si="55"/>
        <v>23.283300000000001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46"/>
        <v>0180-08</v>
      </c>
      <c r="AE92" s="99" t="str">
        <f t="shared" si="56"/>
        <v>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 &amp; 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</v>
      </c>
      <c r="AF92" s="96" t="str">
        <f t="shared" si="57"/>
        <v>"C:\Program Files (x86)\AstroGrep\AstroGrep.exe" /spath="%USERPROFILE%\AppData\Local\Temp\OnboardLogs" /stypes="*4010*20160908*" /stext=" 21:.+((SYSTEM_STATE.+slice.+state.+changed )|(ment ac)|(system.+state.+changed )|(\|lc)|(penalty)|(\[timeout)|(PRM\|1\|D)|(kpr)|(kdp))" /e /r /s</v>
      </c>
      <c r="AG92" s="1" t="str">
        <f t="shared" si="47"/>
        <v>EC</v>
      </c>
      <c r="AH92" s="100" t="str">
        <f t="shared" si="58"/>
        <v>"%USERPROFILE%\Documents\GitHub\eaglep3\Utilities\RefineRTDCRunTimes.py" --tripid 180-08 --locoid 4010 --swversion DE.1.0.7.0 --startMP 204:232996 --initTime 2016-09-08T14:16:45 --startdatetime 2016-09-08T14:26:43 --delay 1 --endMP 204:163 --enddatetime 2016-09-08T15:09:56 --enforcementcount 0 &gt;&gt;C:\Users\stu\Documents\GitHub\eaglep3-reporting\EC\2016-09-08-refined-times.txt</v>
      </c>
      <c r="AI92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{"issue":{"subject":"","project_id":79,"tracker_id":40,"status_id":1,"priority_id":2,"assigned_to_id":23,"start_date":"2016-09-08","description":"","custom_fields":[{"id":1,"name":"Subdivision","value":"EC"},{"id":4,"name":"Milepost","value":"23.2833"},{"id":17,"name":"Train ID","value":"180-08"},{"id":16,"name":"Locomotive ID","value":"4010"},{"id":130,"name":"Impact","value":""},{"id":150,"name":"Time of Event (Mountain Time)","value":"15:09:56"},{"id":151,"name":"Denver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23" customFormat="1" x14ac:dyDescent="0.25">
      <c r="A93" s="39" t="s">
        <v>529</v>
      </c>
      <c r="B93" s="7">
        <v>4018</v>
      </c>
      <c r="C93" s="24" t="s">
        <v>109</v>
      </c>
      <c r="D93" s="24" t="s">
        <v>530</v>
      </c>
      <c r="E93" s="15">
        <v>42621.56931712963</v>
      </c>
      <c r="F93" s="15">
        <v>42621.573310185187</v>
      </c>
      <c r="G93" s="7">
        <v>1</v>
      </c>
      <c r="H93" s="15" t="s">
        <v>357</v>
      </c>
      <c r="I93" s="15">
        <v>42621.59783564815</v>
      </c>
      <c r="J93" s="7">
        <v>0</v>
      </c>
      <c r="K93" s="122" t="str">
        <f t="shared" si="44"/>
        <v>4017/4018</v>
      </c>
      <c r="L93" s="24" t="str">
        <f>VLOOKUP(A93,'Trips&amp;Operators'!$C$1:$E$10000,3,FALSE)</f>
        <v>KILLION</v>
      </c>
      <c r="M93" s="6">
        <f t="shared" si="48"/>
        <v>2.4525462962628808E-2</v>
      </c>
      <c r="N93" s="7">
        <f t="shared" si="49"/>
        <v>35.316666666185483</v>
      </c>
      <c r="O93" s="7"/>
      <c r="P93" s="7"/>
      <c r="Q93" s="25"/>
      <c r="R93" s="25"/>
      <c r="S93" s="37">
        <f t="shared" si="50"/>
        <v>1</v>
      </c>
      <c r="T93" s="52" t="str">
        <f t="shared" si="45"/>
        <v>NorthBound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12:39:49-0600',mode:absolute,to:'2016-09-08 15:20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93" s="54" t="str">
        <f t="shared" si="52"/>
        <v>N</v>
      </c>
      <c r="X93" s="172">
        <f t="shared" si="60"/>
        <v>1</v>
      </c>
      <c r="Y93" s="69">
        <f t="shared" si="53"/>
        <v>4.7699999999999999E-2</v>
      </c>
      <c r="Z93" s="69">
        <f t="shared" si="54"/>
        <v>23.329699999999999</v>
      </c>
      <c r="AA93" s="69">
        <f t="shared" si="55"/>
        <v>23.282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 t="shared" si="46"/>
        <v>0181-08</v>
      </c>
      <c r="AE93" s="99" t="str">
        <f t="shared" si="56"/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AF93" s="96" t="str">
        <f t="shared" si="57"/>
        <v>"C:\Program Files (x86)\AstroGrep\AstroGrep.exe" /spath="%USERPROFILE%\AppData\Local\Temp\OnboardLogs" /stypes="*4018*20160908*" /stext=" 20:.+((SYSTEM_STATE.+slice.+state.+changed )|(ment ac)|(system.+state.+changed )|(\|lc)|(penalty)|(\[timeout)|(PRM\|1\|D)|(kpr)|(kdp))" /e /r /s</v>
      </c>
      <c r="AG93" s="1" t="str">
        <f t="shared" si="47"/>
        <v>EC</v>
      </c>
      <c r="AH93" s="100" t="str">
        <f t="shared" si="58"/>
        <v>"%USERPROFILE%\Documents\GitHub\eaglep3\Utilities\RefineRTDCRunTimes.py" --tripid 181-08 --locoid 4018 --swversion DE.1.0.7.0 --startMP 204:477 --initTime 2016-09-08T13:39:49 --startdatetime 2016-09-08T13:45:34 --delay 1 --endMP 204:233297 --enddatetime 2016-09-08T14:20:53 --enforcementcount 0 &gt;&gt;C:\Users\stu\Documents\GitHub\eaglep3-reporting\EC\2016-09-08-refined-times.txt</v>
      </c>
      <c r="AI93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{"issue":{"subject":"","project_id":79,"tracker_id":40,"status_id":1,"priority_id":2,"assigned_to_id":23,"start_date":"2016-09-08","description":"","custom_fields":[{"id":1,"name":"Subdivision","value":"EC"},{"id":4,"name":"Milepost","value":"23.282"},{"id":17,"name":"Train ID","value":"181-08"},{"id":16,"name":"Locomotive ID","value":"4018"},{"id":130,"name":"Impact","value":""},{"id":150,"name":"Time of Event (Mountain Time)","value":"14:20:53"},{"id":151,"name":"Denver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x14ac:dyDescent="0.25">
      <c r="A94" s="39" t="s">
        <v>531</v>
      </c>
      <c r="B94" s="7">
        <v>4017</v>
      </c>
      <c r="C94" s="24" t="s">
        <v>109</v>
      </c>
      <c r="D94" s="24" t="s">
        <v>389</v>
      </c>
      <c r="E94" s="15">
        <v>42621.603402777779</v>
      </c>
      <c r="F94" s="15">
        <v>42621.613113425927</v>
      </c>
      <c r="G94" s="7">
        <v>1</v>
      </c>
      <c r="H94" s="15" t="s">
        <v>316</v>
      </c>
      <c r="I94" s="15">
        <v>42621.640972222223</v>
      </c>
      <c r="J94" s="7">
        <v>0</v>
      </c>
      <c r="K94" s="122" t="str">
        <f t="shared" si="44"/>
        <v>4017/4018</v>
      </c>
      <c r="L94" s="24" t="str">
        <f>VLOOKUP(A94,'Trips&amp;Operators'!$C$1:$E$10000,3,FALSE)</f>
        <v>KILLION</v>
      </c>
      <c r="M94" s="6">
        <f t="shared" si="48"/>
        <v>2.7858796296641231E-2</v>
      </c>
      <c r="N94" s="7">
        <f t="shared" si="49"/>
        <v>40.116666667163372</v>
      </c>
      <c r="O94" s="7"/>
      <c r="P94" s="7"/>
      <c r="Q94" s="25"/>
      <c r="R94" s="25"/>
      <c r="S94" s="37">
        <f t="shared" si="50"/>
        <v>1</v>
      </c>
      <c r="T94" s="52" t="str">
        <f t="shared" si="45"/>
        <v>Southbound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13:28:54-0600',mode:absolute,to:'2016-09-08 16:23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94" s="54" t="str">
        <f t="shared" si="52"/>
        <v>N</v>
      </c>
      <c r="X94" s="172">
        <f t="shared" si="60"/>
        <v>1</v>
      </c>
      <c r="Y94" s="69">
        <f t="shared" si="53"/>
        <v>23.297699999999999</v>
      </c>
      <c r="Z94" s="69">
        <f t="shared" si="54"/>
        <v>1.43E-2</v>
      </c>
      <c r="AA94" s="69">
        <f t="shared" si="55"/>
        <v>23.2834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 t="shared" si="46"/>
        <v>0182-08</v>
      </c>
      <c r="AE94" s="99" t="str">
        <f t="shared" si="56"/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AF94" s="96" t="str">
        <f t="shared" si="57"/>
        <v>"C:\Program Files (x86)\AstroGrep\AstroGrep.exe" /spath="%USERPROFILE%\AppData\Local\Temp\OnboardLogs" /stypes="*4017*20160908*" /stext=" 21:.+((SYSTEM_STATE.+slice.+state.+changed )|(ment ac)|(system.+state.+changed )|(\|lc)|(penalty)|(\[timeout)|(PRM\|1\|D)|(kpr)|(kdp))" /e /r /s</v>
      </c>
      <c r="AG94" s="1" t="str">
        <f t="shared" si="47"/>
        <v>EC</v>
      </c>
      <c r="AH94" s="100" t="str">
        <f t="shared" si="58"/>
        <v>"%USERPROFILE%\Documents\GitHub\eaglep3\Utilities\RefineRTDCRunTimes.py" --tripid 182-08 --locoid 4017 --swversion DE.1.0.7.0 --startMP 204:232977 --initTime 2016-09-08T14:28:54 --startdatetime 2016-09-08T14:42:53 --delay 1 --endMP 204:143 --enddatetime 2016-09-08T15:23:00 --enforcementcount 0 &gt;&gt;C:\Users\stu\Documents\GitHub\eaglep3-reporting\EC\2016-09-08-refined-times.txt</v>
      </c>
      <c r="AI94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{"issue":{"subject":"","project_id":79,"tracker_id":40,"status_id":1,"priority_id":2,"assigned_to_id":23,"start_date":"2016-09-08","description":"","custom_fields":[{"id":1,"name":"Subdivision","value":"EC"},{"id":4,"name":"Milepost","value":"23.2834"},{"id":17,"name":"Train ID","value":"182-08"},{"id":16,"name":"Locomotive ID","value":"4017"},{"id":130,"name":"Impact","value":""},{"id":150,"name":"Time of Event (Mountain Time)","value":"15:23:00"},{"id":151,"name":"Denver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x14ac:dyDescent="0.25">
      <c r="A95" s="39" t="s">
        <v>532</v>
      </c>
      <c r="B95" s="7">
        <v>4040</v>
      </c>
      <c r="C95" s="24" t="s">
        <v>109</v>
      </c>
      <c r="D95" s="24" t="s">
        <v>297</v>
      </c>
      <c r="E95" s="15">
        <v>42621.578738425924</v>
      </c>
      <c r="F95" s="15">
        <v>42621.584456018521</v>
      </c>
      <c r="G95" s="7">
        <v>3</v>
      </c>
      <c r="H95" s="15" t="s">
        <v>533</v>
      </c>
      <c r="I95" s="15">
        <v>42621.611087962963</v>
      </c>
      <c r="J95" s="7">
        <v>0</v>
      </c>
      <c r="K95" s="122" t="str">
        <f t="shared" si="44"/>
        <v>4039/4040</v>
      </c>
      <c r="L95" s="24" t="str">
        <f>VLOOKUP(A95,'Trips&amp;Operators'!$C$1:$E$10000,3,FALSE)</f>
        <v>ADANE</v>
      </c>
      <c r="M95" s="6">
        <f t="shared" si="48"/>
        <v>2.6631944441760425E-2</v>
      </c>
      <c r="N95" s="7">
        <f t="shared" si="49"/>
        <v>38.349999996135011</v>
      </c>
      <c r="O95" s="7"/>
      <c r="P95" s="7"/>
      <c r="Q95" s="25"/>
      <c r="R95" s="25"/>
      <c r="S95" s="37">
        <f t="shared" si="50"/>
        <v>1</v>
      </c>
      <c r="T95" s="52" t="str">
        <f t="shared" si="45"/>
        <v>NorthBound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12:53:23-0600',mode:absolute,to:'2016-09-08 15:39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95" s="54" t="str">
        <f t="shared" si="52"/>
        <v>N</v>
      </c>
      <c r="X95" s="172">
        <f t="shared" si="60"/>
        <v>1</v>
      </c>
      <c r="Y95" s="69">
        <f t="shared" si="53"/>
        <v>4.53E-2</v>
      </c>
      <c r="Z95" s="69">
        <f t="shared" si="54"/>
        <v>23.3293</v>
      </c>
      <c r="AA95" s="69">
        <f t="shared" si="55"/>
        <v>23.283999999999999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 t="shared" si="46"/>
        <v>0183-08</v>
      </c>
      <c r="AE95" s="99" t="str">
        <f t="shared" si="56"/>
        <v>aws s3 cp s3://rtdc.mdm.uploadarchive/RTDC4040/2016-09-08/ "%USERPROFILE%\AppData\Local\Temp\OnboardLogs"\RTDC4040\2016-09-08 --recursive &amp; "%USERPROFILE%\Documents\GitHub\mrs-test-scripts\Headless Mode &amp; Sideloading\WalkAndUnGZ.bat" "%USERPROFILE%\AppData\Local\Temp\OnboardLogs"\RTDC4040\2016-09-08 &amp; aws s3 cp s3://rtdc.mdm.uploadarchive/RTDC4040/2016-09-09/ "%USERPROFILE%\AppData\Local\Temp\OnboardLogs"\RTDC4040\2016-09-09 --recursive &amp; "%USERPROFILE%\Documents\GitHub\mrs-test-scripts\Headless Mode &amp; Sideloading\WalkAndUnGZ.bat" "%USERPROFILE%\AppData\Local\Temp\OnboardLogs"\RTDC4040\2016-09-09</v>
      </c>
      <c r="AF95" s="96" t="str">
        <f t="shared" si="57"/>
        <v>"C:\Program Files (x86)\AstroGrep\AstroGrep.exe" /spath="%USERPROFILE%\AppData\Local\Temp\OnboardLogs" /stypes="*4040*20160908*" /stext=" 20:.+((SYSTEM_STATE.+slice.+state.+changed )|(ment ac)|(system.+state.+changed )|(\|lc)|(penalty)|(\[timeout)|(PRM\|1\|D)|(kpr)|(kdp))" /e /r /s</v>
      </c>
      <c r="AG95" s="1" t="str">
        <f t="shared" si="47"/>
        <v>EC</v>
      </c>
      <c r="AH95" s="100" t="str">
        <f t="shared" si="58"/>
        <v>"%USERPROFILE%\Documents\GitHub\eaglep3\Utilities\RefineRTDCRunTimes.py" --tripid 183-08 --locoid 4040 --swversion DE.1.0.7.0 --startMP 204:453 --initTime 2016-09-08T13:53:23 --startdatetime 2016-09-08T14:01:37 --delay 3 --endMP 204:233293 --enddatetime 2016-09-08T14:39:58 --enforcementcount 0 &gt;&gt;C:\Users\stu\Documents\GitHub\eaglep3-reporting\EC\2016-09-08-refined-times.txt</v>
      </c>
      <c r="AI95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{"issue":{"subject":"","project_id":79,"tracker_id":40,"status_id":1,"priority_id":2,"assigned_to_id":23,"start_date":"2016-09-08","description":"","custom_fields":[{"id":1,"name":"Subdivision","value":"EC"},{"id":4,"name":"Milepost","value":"23.284"},{"id":17,"name":"Train ID","value":"183-08"},{"id":16,"name":"Locomotive ID","value":"4040"},{"id":130,"name":"Impact","value":""},{"id":150,"name":"Time of Event (Mountain Time)","value":"14:39:58"},{"id":151,"name":"Denver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534</v>
      </c>
      <c r="B96" s="7">
        <v>4039</v>
      </c>
      <c r="C96" s="24" t="s">
        <v>109</v>
      </c>
      <c r="D96" s="24" t="s">
        <v>514</v>
      </c>
      <c r="E96" s="15">
        <v>42621.619039351855</v>
      </c>
      <c r="F96" s="15">
        <v>42621.622511574074</v>
      </c>
      <c r="G96" s="7">
        <v>1</v>
      </c>
      <c r="H96" s="15" t="s">
        <v>133</v>
      </c>
      <c r="I96" s="15">
        <v>42621.649733796294</v>
      </c>
      <c r="J96" s="7">
        <v>0</v>
      </c>
      <c r="K96" s="122" t="str">
        <f t="shared" si="44"/>
        <v>4039/4040</v>
      </c>
      <c r="L96" s="24" t="str">
        <f>VLOOKUP(A96,'Trips&amp;Operators'!$C$1:$E$10000,3,FALSE)</f>
        <v>ADANE</v>
      </c>
      <c r="M96" s="6">
        <f t="shared" si="48"/>
        <v>2.7222222219279502E-2</v>
      </c>
      <c r="N96" s="7">
        <f t="shared" si="49"/>
        <v>39.199999995762482</v>
      </c>
      <c r="O96" s="7"/>
      <c r="P96" s="7"/>
      <c r="Q96" s="25"/>
      <c r="R96" s="25"/>
      <c r="S96" s="37">
        <f t="shared" si="50"/>
        <v>1</v>
      </c>
      <c r="T96" s="52" t="str">
        <f t="shared" si="45"/>
        <v>Southbound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13:51:25-0600',mode:absolute,to:'2016-09-08 16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96" s="54" t="str">
        <f t="shared" si="52"/>
        <v>N</v>
      </c>
      <c r="X96" s="172">
        <f t="shared" si="60"/>
        <v>1</v>
      </c>
      <c r="Y96" s="69">
        <f t="shared" si="53"/>
        <v>23.2971</v>
      </c>
      <c r="Z96" s="69">
        <f t="shared" si="54"/>
        <v>1.54E-2</v>
      </c>
      <c r="AA96" s="69">
        <f t="shared" si="55"/>
        <v>23.281700000000001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 t="shared" si="46"/>
        <v>0184-08</v>
      </c>
      <c r="AE96" s="99" t="str">
        <f t="shared" si="56"/>
        <v>aws s3 cp s3://rtdc.mdm.uploadarchive/RTDC4039/2016-09-08/ "%USERPROFILE%\AppData\Local\Temp\OnboardLogs"\RTDC4039\2016-09-08 --recursive &amp; "%USERPROFILE%\Documents\GitHub\mrs-test-scripts\Headless Mode &amp; Sideloading\WalkAndUnGZ.bat" "%USERPROFILE%\AppData\Local\Temp\OnboardLogs"\RTDC4039\2016-09-08 &amp; aws s3 cp s3://rtdc.mdm.uploadarchive/RTDC4039/2016-09-09/ "%USERPROFILE%\AppData\Local\Temp\OnboardLogs"\RTDC4039\2016-09-09 --recursive &amp; "%USERPROFILE%\Documents\GitHub\mrs-test-scripts\Headless Mode &amp; Sideloading\WalkAndUnGZ.bat" "%USERPROFILE%\AppData\Local\Temp\OnboardLogs"\RTDC4039\2016-09-09</v>
      </c>
      <c r="AF96" s="96" t="str">
        <f t="shared" si="57"/>
        <v>"C:\Program Files (x86)\AstroGrep\AstroGrep.exe" /spath="%USERPROFILE%\AppData\Local\Temp\OnboardLogs" /stypes="*4039*20160908*" /stext=" 21:.+((SYSTEM_STATE.+slice.+state.+changed )|(ment ac)|(system.+state.+changed )|(\|lc)|(penalty)|(\[timeout)|(PRM\|1\|D)|(kpr)|(kdp))" /e /r /s</v>
      </c>
      <c r="AG96" s="1" t="str">
        <f t="shared" si="47"/>
        <v>EC</v>
      </c>
      <c r="AH96" s="100" t="str">
        <f t="shared" si="58"/>
        <v>"%USERPROFILE%\Documents\GitHub\eaglep3\Utilities\RefineRTDCRunTimes.py" --tripid 184-08 --locoid 4039 --swversion DE.1.0.7.0 --startMP 204:232971 --initTime 2016-09-08T14:51:25 --startdatetime 2016-09-08T14:56:25 --delay 1 --endMP 204:154 --enddatetime 2016-09-08T15:35:37 --enforcementcount 0 &gt;&gt;C:\Users\stu\Documents\GitHub\eaglep3-reporting\EC\2016-09-08-refined-times.txt</v>
      </c>
      <c r="AI96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{"issue":{"subject":"","project_id":79,"tracker_id":40,"status_id":1,"priority_id":2,"assigned_to_id":23,"start_date":"2016-09-08","description":"","custom_fields":[{"id":1,"name":"Subdivision","value":"EC"},{"id":4,"name":"Milepost","value":"23.2817"},{"id":17,"name":"Train ID","value":"184-08"},{"id":16,"name":"Locomotive ID","value":"4039"},{"id":130,"name":"Impact","value":""},{"id":150,"name":"Time of Event (Mountain Time)","value":"15:35:37"},{"id":151,"name":"Denver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x14ac:dyDescent="0.25">
      <c r="A97" s="39" t="s">
        <v>535</v>
      </c>
      <c r="B97" s="7">
        <v>4016</v>
      </c>
      <c r="C97" s="24" t="s">
        <v>109</v>
      </c>
      <c r="D97" s="24" t="s">
        <v>318</v>
      </c>
      <c r="E97" s="15">
        <v>42621.590231481481</v>
      </c>
      <c r="F97" s="15">
        <v>42621.594328703701</v>
      </c>
      <c r="G97" s="7">
        <v>2</v>
      </c>
      <c r="H97" s="15" t="s">
        <v>536</v>
      </c>
      <c r="I97" s="15">
        <v>42621.619247685187</v>
      </c>
      <c r="J97" s="7">
        <v>0</v>
      </c>
      <c r="K97" s="122" t="str">
        <f t="shared" si="44"/>
        <v>4015/4016</v>
      </c>
      <c r="L97" s="24" t="str">
        <f>VLOOKUP(A97,'Trips&amp;Operators'!$C$1:$E$10000,3,FALSE)</f>
        <v>DE LA ROSA</v>
      </c>
      <c r="M97" s="6">
        <f t="shared" si="48"/>
        <v>2.4918981485825498E-2</v>
      </c>
      <c r="N97" s="7">
        <f t="shared" si="49"/>
        <v>35.883333339588717</v>
      </c>
      <c r="O97" s="7"/>
      <c r="P97" s="7"/>
      <c r="Q97" s="25"/>
      <c r="R97" s="25"/>
      <c r="S97" s="37">
        <f t="shared" si="50"/>
        <v>1</v>
      </c>
      <c r="T97" s="52" t="str">
        <f t="shared" si="45"/>
        <v>NorthBound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13:09:56-0600',mode:absolute,to:'2016-09-08 15:51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97" s="54" t="str">
        <f t="shared" si="52"/>
        <v>N</v>
      </c>
      <c r="X97" s="172">
        <f t="shared" si="60"/>
        <v>1</v>
      </c>
      <c r="Y97" s="69">
        <f t="shared" si="53"/>
        <v>4.6899999999999997E-2</v>
      </c>
      <c r="Z97" s="69">
        <f t="shared" si="54"/>
        <v>23.3308</v>
      </c>
      <c r="AA97" s="69">
        <f t="shared" si="55"/>
        <v>23.283899999999999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46"/>
        <v>0185-08</v>
      </c>
      <c r="AE97" s="99" t="str">
        <f t="shared" si="56"/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AF97" s="96" t="str">
        <f t="shared" si="57"/>
        <v>"C:\Program Files (x86)\AstroGrep\AstroGrep.exe" /spath="%USERPROFILE%\AppData\Local\Temp\OnboardLogs" /stypes="*4016*20160908*" /stext=" 20:.+((SYSTEM_STATE.+slice.+state.+changed )|(ment ac)|(system.+state.+changed )|(\|lc)|(penalty)|(\[timeout)|(PRM\|1\|D)|(kpr)|(kdp))" /e /r /s</v>
      </c>
      <c r="AG97" s="1" t="str">
        <f t="shared" si="47"/>
        <v>EC</v>
      </c>
      <c r="AH97" s="100" t="str">
        <f t="shared" si="58"/>
        <v>"%USERPROFILE%\Documents\GitHub\eaglep3\Utilities\RefineRTDCRunTimes.py" --tripid 185-08 --locoid 4016 --swversion DE.1.0.7.0 --startMP 204:469 --initTime 2016-09-08T14:09:56 --startdatetime 2016-09-08T14:15:50 --delay 2 --endMP 204:233308 --enddatetime 2016-09-08T14:51:43 --enforcementcount 0 &gt;&gt;C:\Users\stu\Documents\GitHub\eaglep3-reporting\EC\2016-09-08-refined-times.txt</v>
      </c>
      <c r="AI97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{"issue":{"subject":"","project_id":79,"tracker_id":40,"status_id":1,"priority_id":2,"assigned_to_id":23,"start_date":"2016-09-08","description":"","custom_fields":[{"id":1,"name":"Subdivision","value":"EC"},{"id":4,"name":"Milepost","value":"23.2839"},{"id":17,"name":"Train ID","value":"185-08"},{"id":16,"name":"Locomotive ID","value":"4016"},{"id":130,"name":"Impact","value":""},{"id":150,"name":"Time of Event (Mountain Time)","value":"14:51:43"},{"id":151,"name":"Denver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x14ac:dyDescent="0.25">
      <c r="A98" s="39" t="s">
        <v>537</v>
      </c>
      <c r="B98" s="7">
        <v>4015</v>
      </c>
      <c r="C98" s="24" t="s">
        <v>109</v>
      </c>
      <c r="D98" s="24" t="s">
        <v>538</v>
      </c>
      <c r="E98" s="15">
        <v>42621.627604166664</v>
      </c>
      <c r="F98" s="15">
        <v>42621.633171296293</v>
      </c>
      <c r="G98" s="7">
        <v>2</v>
      </c>
      <c r="H98" s="15" t="s">
        <v>539</v>
      </c>
      <c r="I98" s="15">
        <v>42621.660532407404</v>
      </c>
      <c r="J98" s="7">
        <v>0</v>
      </c>
      <c r="K98" s="122" t="str">
        <f t="shared" si="44"/>
        <v>4015/4016</v>
      </c>
      <c r="L98" s="24" t="str">
        <f>VLOOKUP(A98,'Trips&amp;Operators'!$C$1:$E$10000,3,FALSE)</f>
        <v>DE LA ROSA</v>
      </c>
      <c r="M98" s="6">
        <f t="shared" si="48"/>
        <v>2.73611111115315E-2</v>
      </c>
      <c r="N98" s="7">
        <f t="shared" si="49"/>
        <v>39.40000000060536</v>
      </c>
      <c r="O98" s="7"/>
      <c r="P98" s="7"/>
      <c r="Q98" s="25"/>
      <c r="R98" s="25"/>
      <c r="S98" s="37">
        <f t="shared" si="50"/>
        <v>1</v>
      </c>
      <c r="T98" s="52" t="str">
        <f t="shared" si="45"/>
        <v>Southbound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14:03:45-0600',mode:absolute,to:'2016-09-08 16:51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98" s="54" t="str">
        <f t="shared" si="52"/>
        <v>N</v>
      </c>
      <c r="X98" s="172">
        <f t="shared" si="60"/>
        <v>1</v>
      </c>
      <c r="Y98" s="69">
        <f t="shared" si="53"/>
        <v>23.2987</v>
      </c>
      <c r="Z98" s="69">
        <f t="shared" si="54"/>
        <v>1.6899999999999998E-2</v>
      </c>
      <c r="AA98" s="69">
        <f t="shared" si="55"/>
        <v>23.2818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 t="shared" si="46"/>
        <v>0186-08</v>
      </c>
      <c r="AE98" s="99" t="str">
        <f t="shared" si="56"/>
        <v>aws s3 cp s3://rtdc.mdm.uploadarchive/RTDC4015/2016-09-08/ "%USERPROFILE%\AppData\Local\Temp\OnboardLogs"\RTDC4015\2016-09-08 --recursive &amp; "%USERPROFILE%\Documents\GitHub\mrs-test-scripts\Headless Mode &amp; Sideloading\WalkAndUnGZ.bat" "%USERPROFILE%\AppData\Local\Temp\OnboardLogs"\RTDC4015\2016-09-08 &amp; 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</v>
      </c>
      <c r="AF98" s="96" t="str">
        <f t="shared" si="57"/>
        <v>"C:\Program Files (x86)\AstroGrep\AstroGrep.exe" /spath="%USERPROFILE%\AppData\Local\Temp\OnboardLogs" /stypes="*4015*20160908*" /stext=" 21:.+((SYSTEM_STATE.+slice.+state.+changed )|(ment ac)|(system.+state.+changed )|(\|lc)|(penalty)|(\[timeout)|(PRM\|1\|D)|(kpr)|(kdp))" /e /r /s</v>
      </c>
      <c r="AG98" s="1" t="str">
        <f t="shared" si="47"/>
        <v>EC</v>
      </c>
      <c r="AH98" s="100" t="str">
        <f t="shared" si="58"/>
        <v>"%USERPROFILE%\Documents\GitHub\eaglep3\Utilities\RefineRTDCRunTimes.py" --tripid 186-08 --locoid 4015 --swversion DE.1.0.7.0 --startMP 204:232987 --initTime 2016-09-08T15:03:45 --startdatetime 2016-09-08T15:11:46 --delay 2 --endMP 204:169 --enddatetime 2016-09-08T15:51:10 --enforcementcount 0 &gt;&gt;C:\Users\stu\Documents\GitHub\eaglep3-reporting\EC\2016-09-08-refined-times.txt</v>
      </c>
      <c r="AI98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{"issue":{"subject":"","project_id":79,"tracker_id":40,"status_id":1,"priority_id":2,"assigned_to_id":23,"start_date":"2016-09-08","description":"","custom_fields":[{"id":1,"name":"Subdivision","value":"EC"},{"id":4,"name":"Milepost","value":"23.2818"},{"id":17,"name":"Train ID","value":"186-08"},{"id":16,"name":"Locomotive ID","value":"4015"},{"id":130,"name":"Impact","value":""},{"id":150,"name":"Time of Event (Mountain Time)","value":"15:51:10"},{"id":151,"name":"Denver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x14ac:dyDescent="0.25">
      <c r="A99" s="39" t="s">
        <v>540</v>
      </c>
      <c r="B99" s="7">
        <v>4011</v>
      </c>
      <c r="C99" s="24" t="s">
        <v>109</v>
      </c>
      <c r="D99" s="24" t="s">
        <v>541</v>
      </c>
      <c r="E99" s="15">
        <v>42621.60119212963</v>
      </c>
      <c r="F99" s="15">
        <v>42621.604363425926</v>
      </c>
      <c r="G99" s="7">
        <v>1</v>
      </c>
      <c r="H99" s="15" t="s">
        <v>407</v>
      </c>
      <c r="I99" s="15">
        <v>42621.630243055559</v>
      </c>
      <c r="J99" s="7">
        <v>0</v>
      </c>
      <c r="K99" s="122" t="str">
        <f t="shared" si="44"/>
        <v>4011/4012</v>
      </c>
      <c r="L99" s="24" t="str">
        <f>VLOOKUP(A99,'Trips&amp;Operators'!$C$1:$E$10000,3,FALSE)</f>
        <v>BONDS</v>
      </c>
      <c r="M99" s="6">
        <f t="shared" si="48"/>
        <v>2.587962963298196E-2</v>
      </c>
      <c r="N99" s="7">
        <f t="shared" si="49"/>
        <v>37.266666671494022</v>
      </c>
      <c r="O99" s="7"/>
      <c r="P99" s="7"/>
      <c r="Q99" s="25"/>
      <c r="R99" s="25"/>
      <c r="S99" s="37">
        <f t="shared" si="50"/>
        <v>1</v>
      </c>
      <c r="T99" s="52" t="str">
        <f t="shared" si="45"/>
        <v>NorthBound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13:25:43-0600',mode:absolute,to:'2016-09-08 16:07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99" s="54" t="str">
        <f t="shared" si="52"/>
        <v>N</v>
      </c>
      <c r="X99" s="172">
        <f t="shared" si="60"/>
        <v>1</v>
      </c>
      <c r="Y99" s="69">
        <f t="shared" si="53"/>
        <v>4.7300000000000002E-2</v>
      </c>
      <c r="Z99" s="69">
        <f t="shared" si="54"/>
        <v>23.331600000000002</v>
      </c>
      <c r="AA99" s="69">
        <f t="shared" si="55"/>
        <v>23.284300000000002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 t="shared" si="46"/>
        <v>0187-08</v>
      </c>
      <c r="AE99" s="99" t="str">
        <f t="shared" si="56"/>
        <v>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 &amp; 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</v>
      </c>
      <c r="AF99" s="96" t="str">
        <f t="shared" si="57"/>
        <v>"C:\Program Files (x86)\AstroGrep\AstroGrep.exe" /spath="%USERPROFILE%\AppData\Local\Temp\OnboardLogs" /stypes="*4011*20160908*" /stext=" 21:.+((SYSTEM_STATE.+slice.+state.+changed )|(ment ac)|(system.+state.+changed )|(\|lc)|(penalty)|(\[timeout)|(PRM\|1\|D)|(kpr)|(kdp))" /e /r /s</v>
      </c>
      <c r="AG99" s="1" t="str">
        <f t="shared" si="47"/>
        <v>EC</v>
      </c>
      <c r="AH99" s="100" t="str">
        <f t="shared" si="58"/>
        <v>"%USERPROFILE%\Documents\GitHub\eaglep3\Utilities\RefineRTDCRunTimes.py" --tripid 187-08 --locoid 4011 --swversion DE.1.0.7.0 --startMP 204:473 --initTime 2016-09-08T14:25:43 --startdatetime 2016-09-08T14:30:17 --delay 1 --endMP 204:233316 --enddatetime 2016-09-08T15:07:33 --enforcementcount 0 &gt;&gt;C:\Users\stu\Documents\GitHub\eaglep3-reporting\EC\2016-09-08-refined-times.txt</v>
      </c>
      <c r="AI99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{"issue":{"subject":"","project_id":79,"tracker_id":40,"status_id":1,"priority_id":2,"assigned_to_id":23,"start_date":"2016-09-08","description":"","custom_fields":[{"id":1,"name":"Subdivision","value":"EC"},{"id":4,"name":"Milepost","value":"23.2843"},{"id":17,"name":"Train ID","value":"187-08"},{"id":16,"name":"Locomotive ID","value":"4011"},{"id":130,"name":"Impact","value":""},{"id":150,"name":"Time of Event (Mountain Time)","value":"15:07:33"},{"id":151,"name":"Denver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x14ac:dyDescent="0.25">
      <c r="A100" s="39" t="s">
        <v>542</v>
      </c>
      <c r="B100" s="7">
        <v>4012</v>
      </c>
      <c r="C100" s="24" t="s">
        <v>109</v>
      </c>
      <c r="D100" s="24" t="s">
        <v>305</v>
      </c>
      <c r="E100" s="15">
        <v>42621.635162037041</v>
      </c>
      <c r="F100" s="15">
        <v>42621.643287037034</v>
      </c>
      <c r="G100" s="7">
        <v>1</v>
      </c>
      <c r="H100" s="15" t="s">
        <v>295</v>
      </c>
      <c r="I100" s="15">
        <v>42621.671840277777</v>
      </c>
      <c r="J100" s="7">
        <v>0</v>
      </c>
      <c r="K100" s="122" t="str">
        <f t="shared" si="44"/>
        <v>4011/4012</v>
      </c>
      <c r="L100" s="24" t="str">
        <f>VLOOKUP(A100,'Trips&amp;Operators'!$C$1:$E$10000,3,FALSE)</f>
        <v>BONDS</v>
      </c>
      <c r="M100" s="6">
        <f t="shared" si="48"/>
        <v>2.8553240743349306E-2</v>
      </c>
      <c r="N100" s="7">
        <f t="shared" si="49"/>
        <v>41.116666670423001</v>
      </c>
      <c r="O100" s="7"/>
      <c r="P100" s="7"/>
      <c r="Q100" s="25"/>
      <c r="R100" s="25"/>
      <c r="S100" s="37">
        <f t="shared" si="50"/>
        <v>1</v>
      </c>
      <c r="T100" s="52" t="str">
        <f t="shared" si="45"/>
        <v>Southbound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14:14:38-0600',mode:absolute,to:'2016-09-08 17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00" s="54" t="str">
        <f t="shared" si="52"/>
        <v>N</v>
      </c>
      <c r="X100" s="172">
        <f t="shared" si="60"/>
        <v>1</v>
      </c>
      <c r="Y100" s="69">
        <f t="shared" si="53"/>
        <v>23.2986</v>
      </c>
      <c r="Z100" s="69">
        <f t="shared" si="54"/>
        <v>1.47E-2</v>
      </c>
      <c r="AA100" s="69">
        <f t="shared" si="55"/>
        <v>23.283899999999999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 t="shared" si="46"/>
        <v>0188-08</v>
      </c>
      <c r="AE100" s="99" t="str">
        <f t="shared" si="56"/>
        <v>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 &amp; 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</v>
      </c>
      <c r="AF100" s="96" t="str">
        <f t="shared" si="57"/>
        <v>"C:\Program Files (x86)\AstroGrep\AstroGrep.exe" /spath="%USERPROFILE%\AppData\Local\Temp\OnboardLogs" /stypes="*4012*20160908*" /stext=" 22:.+((SYSTEM_STATE.+slice.+state.+changed )|(ment ac)|(system.+state.+changed )|(\|lc)|(penalty)|(\[timeout)|(PRM\|1\|D)|(kpr)|(kdp))" /e /r /s</v>
      </c>
      <c r="AG100" s="1" t="str">
        <f t="shared" si="47"/>
        <v>EC</v>
      </c>
      <c r="AH100" s="100" t="str">
        <f t="shared" si="58"/>
        <v>"%USERPROFILE%\Documents\GitHub\eaglep3\Utilities\RefineRTDCRunTimes.py" --tripid 188-08 --locoid 4012 --swversion DE.1.0.7.0 --startMP 204:232986 --initTime 2016-09-08T15:14:38 --startdatetime 2016-09-08T15:26:20 --delay 1 --endMP 204:147 --enddatetime 2016-09-08T16:07:27 --enforcementcount 0 &gt;&gt;C:\Users\stu\Documents\GitHub\eaglep3-reporting\EC\2016-09-08-refined-times.txt</v>
      </c>
      <c r="AI100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{"issue":{"subject":"","project_id":79,"tracker_id":40,"status_id":1,"priority_id":2,"assigned_to_id":23,"start_date":"2016-09-08","description":"","custom_fields":[{"id":1,"name":"Subdivision","value":"EC"},{"id":4,"name":"Milepost","value":"23.2839"},{"id":17,"name":"Train ID","value":"188-08"},{"id":16,"name":"Locomotive ID","value":"4012"},{"id":130,"name":"Impact","value":""},{"id":150,"name":"Time of Event (Mountain Time)","value":"16:07:27"},{"id":151,"name":"Denver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484</v>
      </c>
      <c r="B101" s="7">
        <v>4031</v>
      </c>
      <c r="C101" s="24" t="s">
        <v>109</v>
      </c>
      <c r="D101" s="24" t="s">
        <v>543</v>
      </c>
      <c r="E101" s="15">
        <v>42621.611481481479</v>
      </c>
      <c r="F101" s="15">
        <v>42621.614814814813</v>
      </c>
      <c r="G101" s="7">
        <v>2</v>
      </c>
      <c r="H101" s="15" t="s">
        <v>544</v>
      </c>
      <c r="I101" s="15">
        <v>42621.640659722223</v>
      </c>
      <c r="J101" s="7">
        <v>0</v>
      </c>
      <c r="K101" s="122" t="str">
        <f t="shared" si="44"/>
        <v>4031/4032</v>
      </c>
      <c r="L101" s="24" t="str">
        <f>VLOOKUP(A101,'Trips&amp;Operators'!$C$1:$E$10000,3,FALSE)</f>
        <v>SHOOK</v>
      </c>
      <c r="M101" s="6">
        <f t="shared" si="48"/>
        <v>2.584490740991896E-2</v>
      </c>
      <c r="N101" s="7">
        <f t="shared" si="49"/>
        <v>37.216666670283303</v>
      </c>
      <c r="O101" s="7"/>
      <c r="P101" s="7"/>
      <c r="Q101" s="25"/>
      <c r="R101" s="25"/>
      <c r="S101" s="37">
        <f t="shared" si="50"/>
        <v>1</v>
      </c>
      <c r="T101" s="52" t="str">
        <f t="shared" si="45"/>
        <v>NorthBound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13:40:32-0600',mode:absolute,to:'2016-09-08 16:22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01" s="54" t="str">
        <f t="shared" si="52"/>
        <v>N</v>
      </c>
      <c r="X101" s="172">
        <f t="shared" si="60"/>
        <v>1</v>
      </c>
      <c r="Y101" s="69">
        <f t="shared" si="53"/>
        <v>4.58E-2</v>
      </c>
      <c r="Z101" s="69">
        <f t="shared" si="54"/>
        <v>23.337599999999998</v>
      </c>
      <c r="AA101" s="69">
        <f t="shared" si="55"/>
        <v>23.291799999999999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 t="shared" si="46"/>
        <v>0189-08</v>
      </c>
      <c r="AE101" s="99" t="str">
        <f t="shared" si="56"/>
        <v>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 &amp; 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</v>
      </c>
      <c r="AF101" s="96" t="str">
        <f t="shared" si="57"/>
        <v>"C:\Program Files (x86)\AstroGrep\AstroGrep.exe" /spath="%USERPROFILE%\AppData\Local\Temp\OnboardLogs" /stypes="*4031*20160908*" /stext=" 21:.+((SYSTEM_STATE.+slice.+state.+changed )|(ment ac)|(system.+state.+changed )|(\|lc)|(penalty)|(\[timeout)|(PRM\|1\|D)|(kpr)|(kdp))" /e /r /s</v>
      </c>
      <c r="AG101" s="1" t="str">
        <f t="shared" si="47"/>
        <v>EC</v>
      </c>
      <c r="AH101" s="100" t="str">
        <f t="shared" si="58"/>
        <v>"%USERPROFILE%\Documents\GitHub\eaglep3\Utilities\RefineRTDCRunTimes.py" --tripid 189-08 --locoid 4031 --swversion DE.1.0.7.0 --startMP 204:458 --initTime 2016-09-08T14:40:32 --startdatetime 2016-09-08T14:45:20 --delay 2 --endMP 204:233376 --enddatetime 2016-09-08T15:22:33 --enforcementcount 0 &gt;&gt;C:\Users\stu\Documents\GitHub\eaglep3-reporting\EC\2016-09-08-refined-times.txt</v>
      </c>
      <c r="AI101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{"issue":{"subject":"","project_id":79,"tracker_id":40,"status_id":1,"priority_id":2,"assigned_to_id":23,"start_date":"2016-09-08","description":"","custom_fields":[{"id":1,"name":"Subdivision","value":"EC"},{"id":4,"name":"Milepost","value":"23.2918"},{"id":17,"name":"Train ID","value":"189-08"},{"id":16,"name":"Locomotive ID","value":"4031"},{"id":130,"name":"Impact","value":""},{"id":150,"name":"Time of Event (Mountain Time)","value":"15:22:33"},{"id":151,"name":"Denver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x14ac:dyDescent="0.25">
      <c r="A102" s="39" t="s">
        <v>545</v>
      </c>
      <c r="B102" s="7">
        <v>4032</v>
      </c>
      <c r="C102" s="24" t="s">
        <v>109</v>
      </c>
      <c r="D102" s="24" t="s">
        <v>546</v>
      </c>
      <c r="E102" s="15">
        <v>42621.646643518521</v>
      </c>
      <c r="F102" s="15">
        <v>42621.653645833336</v>
      </c>
      <c r="G102" s="7">
        <v>1</v>
      </c>
      <c r="H102" s="15" t="s">
        <v>547</v>
      </c>
      <c r="I102" s="15">
        <v>42621.681793981479</v>
      </c>
      <c r="J102" s="7">
        <v>0</v>
      </c>
      <c r="K102" s="122" t="str">
        <f t="shared" si="44"/>
        <v>4031/4032</v>
      </c>
      <c r="L102" s="24" t="str">
        <f>VLOOKUP(A102,'Trips&amp;Operators'!$C$1:$E$10000,3,FALSE)</f>
        <v>SHOOK</v>
      </c>
      <c r="M102" s="6">
        <f t="shared" si="48"/>
        <v>2.8148148143372964E-2</v>
      </c>
      <c r="N102" s="7">
        <f t="shared" si="49"/>
        <v>40.533333326457068</v>
      </c>
      <c r="O102" s="7"/>
      <c r="P102" s="7"/>
      <c r="Q102" s="25"/>
      <c r="R102" s="25"/>
      <c r="S102" s="37">
        <f t="shared" si="50"/>
        <v>1</v>
      </c>
      <c r="T102" s="52" t="str">
        <f t="shared" si="45"/>
        <v>Southbound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14:31:10-0600',mode:absolute,to:'2016-09-08 17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02" s="54" t="str">
        <f t="shared" si="52"/>
        <v>N</v>
      </c>
      <c r="X102" s="172">
        <f t="shared" si="60"/>
        <v>1</v>
      </c>
      <c r="Y102" s="69">
        <f t="shared" si="53"/>
        <v>23.306799999999999</v>
      </c>
      <c r="Z102" s="69">
        <f t="shared" si="54"/>
        <v>1.2999999999999999E-2</v>
      </c>
      <c r="AA102" s="69">
        <f t="shared" si="55"/>
        <v>23.293799999999997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 t="shared" si="46"/>
        <v>0190-08</v>
      </c>
      <c r="AE102" s="99" t="str">
        <f t="shared" si="56"/>
        <v>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 &amp; 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</v>
      </c>
      <c r="AF102" s="96" t="str">
        <f t="shared" si="57"/>
        <v>"C:\Program Files (x86)\AstroGrep\AstroGrep.exe" /spath="%USERPROFILE%\AppData\Local\Temp\OnboardLogs" /stypes="*4032*20160908*" /stext=" 22:.+((SYSTEM_STATE.+slice.+state.+changed )|(ment ac)|(system.+state.+changed )|(\|lc)|(penalty)|(\[timeout)|(PRM\|1\|D)|(kpr)|(kdp))" /e /r /s</v>
      </c>
      <c r="AG102" s="1" t="str">
        <f t="shared" si="47"/>
        <v>EC</v>
      </c>
      <c r="AH102" s="100" t="str">
        <f t="shared" si="58"/>
        <v>"%USERPROFILE%\Documents\GitHub\eaglep3\Utilities\RefineRTDCRunTimes.py" --tripid 190-08 --locoid 4032 --swversion DE.1.0.7.0 --startMP 204:233068 --initTime 2016-09-08T15:31:10 --startdatetime 2016-09-08T15:41:15 --delay 1 --endMP 204:130 --enddatetime 2016-09-08T16:21:47 --enforcementcount 0 &gt;&gt;C:\Users\stu\Documents\GitHub\eaglep3-reporting\EC\2016-09-08-refined-times.txt</v>
      </c>
      <c r="AI102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{"issue":{"subject":"","project_id":79,"tracker_id":40,"status_id":1,"priority_id":2,"assigned_to_id":23,"start_date":"2016-09-08","description":"","custom_fields":[{"id":1,"name":"Subdivision","value":"EC"},{"id":4,"name":"Milepost","value":"23.2938"},{"id":17,"name":"Train ID","value":"190-08"},{"id":16,"name":"Locomotive ID","value":"4032"},{"id":130,"name":"Impact","value":""},{"id":150,"name":"Time of Event (Mountain Time)","value":"16:21:47"},{"id":151,"name":"Denver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548</v>
      </c>
      <c r="B103" s="7">
        <v>4014</v>
      </c>
      <c r="C103" s="24" t="s">
        <v>109</v>
      </c>
      <c r="D103" s="24" t="s">
        <v>549</v>
      </c>
      <c r="E103" s="15">
        <v>42621.624826388892</v>
      </c>
      <c r="F103" s="15">
        <v>42621.626250000001</v>
      </c>
      <c r="G103" s="7">
        <v>2</v>
      </c>
      <c r="H103" s="15" t="s">
        <v>550</v>
      </c>
      <c r="I103" s="15">
        <v>42621.652569444443</v>
      </c>
      <c r="J103" s="7">
        <v>0</v>
      </c>
      <c r="K103" s="122" t="str">
        <f t="shared" si="44"/>
        <v>4013/4014</v>
      </c>
      <c r="L103" s="24" t="str">
        <f>VLOOKUP(A103,'Trips&amp;Operators'!$C$1:$E$10000,3,FALSE)</f>
        <v>MOSES</v>
      </c>
      <c r="M103" s="6">
        <f t="shared" si="48"/>
        <v>2.6319444441469386E-2</v>
      </c>
      <c r="N103" s="7">
        <f t="shared" si="49"/>
        <v>37.899999995715916</v>
      </c>
      <c r="O103" s="7"/>
      <c r="P103" s="7"/>
      <c r="Q103" s="25"/>
      <c r="R103" s="25"/>
      <c r="S103" s="37">
        <f t="shared" si="50"/>
        <v>1</v>
      </c>
      <c r="T103" s="52" t="str">
        <f t="shared" si="45"/>
        <v>NorthBound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13:59:45-0600',mode:absolute,to:'2016-09-08 16:39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03" s="54" t="str">
        <f t="shared" si="52"/>
        <v>N</v>
      </c>
      <c r="X103" s="172">
        <f t="shared" si="60"/>
        <v>1</v>
      </c>
      <c r="Y103" s="69">
        <f t="shared" si="53"/>
        <v>0.1464</v>
      </c>
      <c r="Z103" s="69">
        <f t="shared" si="54"/>
        <v>23.332000000000001</v>
      </c>
      <c r="AA103" s="69">
        <f t="shared" si="55"/>
        <v>23.185600000000001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 t="shared" si="46"/>
        <v>0191-08</v>
      </c>
      <c r="AE103" s="99" t="str">
        <f t="shared" si="56"/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AF103" s="96" t="str">
        <f t="shared" si="57"/>
        <v>"C:\Program Files (x86)\AstroGrep\AstroGrep.exe" /spath="%USERPROFILE%\AppData\Local\Temp\OnboardLogs" /stypes="*4014*20160908*" /stext=" 21:.+((SYSTEM_STATE.+slice.+state.+changed )|(ment ac)|(system.+state.+changed )|(\|lc)|(penalty)|(\[timeout)|(PRM\|1\|D)|(kpr)|(kdp))" /e /r /s</v>
      </c>
      <c r="AG103" s="1" t="str">
        <f t="shared" si="47"/>
        <v>EC</v>
      </c>
      <c r="AH103" s="100" t="str">
        <f t="shared" si="58"/>
        <v>"%USERPROFILE%\Documents\GitHub\eaglep3\Utilities\RefineRTDCRunTimes.py" --tripid 191-08 --locoid 4014 --swversion DE.1.0.7.0 --startMP 204:1464 --initTime 2016-09-08T14:59:45 --startdatetime 2016-09-08T15:01:48 --delay 2 --endMP 204:233320 --enddatetime 2016-09-08T15:39:42 --enforcementcount 0 &gt;&gt;C:\Users\stu\Documents\GitHub\eaglep3-reporting\EC\2016-09-08-refined-times.txt</v>
      </c>
      <c r="AI103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{"issue":{"subject":"","project_id":79,"tracker_id":40,"status_id":1,"priority_id":2,"assigned_to_id":23,"start_date":"2016-09-08","description":"","custom_fields":[{"id":1,"name":"Subdivision","value":"EC"},{"id":4,"name":"Milepost","value":"23.1856"},{"id":17,"name":"Train ID","value":"191-08"},{"id":16,"name":"Locomotive ID","value":"4014"},{"id":130,"name":"Impact","value":""},{"id":150,"name":"Time of Event (Mountain Time)","value":"15:39:42"},{"id":151,"name":"Denver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551</v>
      </c>
      <c r="B104" s="7">
        <v>4013</v>
      </c>
      <c r="C104" s="24" t="s">
        <v>109</v>
      </c>
      <c r="D104" s="24" t="s">
        <v>512</v>
      </c>
      <c r="E104" s="15">
        <v>42621.660821759258</v>
      </c>
      <c r="F104" s="15">
        <v>42621.664166666669</v>
      </c>
      <c r="G104" s="7">
        <v>1</v>
      </c>
      <c r="H104" s="15" t="s">
        <v>133</v>
      </c>
      <c r="I104" s="15">
        <v>42621.691377314812</v>
      </c>
      <c r="J104" s="7">
        <v>0</v>
      </c>
      <c r="K104" s="122" t="str">
        <f t="shared" si="44"/>
        <v>4013/4014</v>
      </c>
      <c r="L104" s="24" t="str">
        <f>VLOOKUP(A104,'Trips&amp;Operators'!$C$1:$E$10000,3,FALSE)</f>
        <v>MOSES</v>
      </c>
      <c r="M104" s="6">
        <f t="shared" si="48"/>
        <v>2.7210648142499849E-2</v>
      </c>
      <c r="N104" s="7">
        <f t="shared" si="49"/>
        <v>39.183333325199783</v>
      </c>
      <c r="O104" s="7"/>
      <c r="P104" s="7"/>
      <c r="Q104" s="25"/>
      <c r="R104" s="25"/>
      <c r="S104" s="37">
        <f t="shared" si="50"/>
        <v>1</v>
      </c>
      <c r="T104" s="52" t="str">
        <f t="shared" si="45"/>
        <v>Southbound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14:51:35-0600',mode:absolute,to:'2016-09-08 17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04" s="54" t="str">
        <f t="shared" si="52"/>
        <v>N</v>
      </c>
      <c r="X104" s="172">
        <f t="shared" si="60"/>
        <v>1</v>
      </c>
      <c r="Y104" s="69">
        <f t="shared" si="53"/>
        <v>23.3003</v>
      </c>
      <c r="Z104" s="69">
        <f t="shared" si="54"/>
        <v>1.54E-2</v>
      </c>
      <c r="AA104" s="69">
        <f t="shared" si="55"/>
        <v>23.2849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 t="shared" si="46"/>
        <v>0192-08</v>
      </c>
      <c r="AE104" s="99" t="str">
        <f t="shared" si="56"/>
        <v>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 &amp; aws s3 cp s3://rtdc.mdm.uploadarchive/RTDC4013/2016-09-09/ "%USERPROFILE%\AppData\Local\Temp\OnboardLogs"\RTDC4013\2016-09-09 --recursive &amp; "%USERPROFILE%\Documents\GitHub\mrs-test-scripts\Headless Mode &amp; Sideloading\WalkAndUnGZ.bat" "%USERPROFILE%\AppData\Local\Temp\OnboardLogs"\RTDC4013\2016-09-09</v>
      </c>
      <c r="AF104" s="96" t="str">
        <f t="shared" si="57"/>
        <v>"C:\Program Files (x86)\AstroGrep\AstroGrep.exe" /spath="%USERPROFILE%\AppData\Local\Temp\OnboardLogs" /stypes="*4013*20160908*" /stext=" 22:.+((SYSTEM_STATE.+slice.+state.+changed )|(ment ac)|(system.+state.+changed )|(\|lc)|(penalty)|(\[timeout)|(PRM\|1\|D)|(kpr)|(kdp))" /e /r /s</v>
      </c>
      <c r="AG104" s="1" t="str">
        <f t="shared" si="47"/>
        <v>EC</v>
      </c>
      <c r="AH104" s="100" t="str">
        <f t="shared" si="58"/>
        <v>"%USERPROFILE%\Documents\GitHub\eaglep3\Utilities\RefineRTDCRunTimes.py" --tripid 192-08 --locoid 4013 --swversion DE.1.0.7.0 --startMP 204:233003 --initTime 2016-09-08T15:51:35 --startdatetime 2016-09-08T15:56:24 --delay 1 --endMP 204:154 --enddatetime 2016-09-08T16:35:35 --enforcementcount 0 &gt;&gt;C:\Users\stu\Documents\GitHub\eaglep3-reporting\EC\2016-09-08-refined-times.txt</v>
      </c>
      <c r="AI104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{"issue":{"subject":"","project_id":79,"tracker_id":40,"status_id":1,"priority_id":2,"assigned_to_id":23,"start_date":"2016-09-08","description":"","custom_fields":[{"id":1,"name":"Subdivision","value":"EC"},{"id":4,"name":"Milepost","value":"23.2849"},{"id":17,"name":"Train ID","value":"192-08"},{"id":16,"name":"Locomotive ID","value":"4013"},{"id":130,"name":"Impact","value":""},{"id":150,"name":"Time of Event (Mountain Time)","value":"16:35:35"},{"id":151,"name":"Denver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552</v>
      </c>
      <c r="B105" s="7">
        <v>4009</v>
      </c>
      <c r="C105" s="24" t="s">
        <v>109</v>
      </c>
      <c r="D105" s="24" t="s">
        <v>368</v>
      </c>
      <c r="E105" s="15">
        <v>42621.635150462964</v>
      </c>
      <c r="F105" s="15">
        <v>42621.63690972222</v>
      </c>
      <c r="G105" s="7">
        <v>1</v>
      </c>
      <c r="H105" s="15" t="s">
        <v>553</v>
      </c>
      <c r="I105" s="15">
        <v>42621.662407407406</v>
      </c>
      <c r="J105" s="7">
        <v>0</v>
      </c>
      <c r="K105" s="122" t="str">
        <f t="shared" si="44"/>
        <v>4009/4010</v>
      </c>
      <c r="L105" s="24" t="str">
        <f>VLOOKUP(A105,'Trips&amp;Operators'!$C$1:$E$10000,3,FALSE)</f>
        <v>MAHAN</v>
      </c>
      <c r="M105" s="6">
        <f t="shared" si="48"/>
        <v>2.5497685186564922E-2</v>
      </c>
      <c r="N105" s="7">
        <f t="shared" si="49"/>
        <v>36.716666668653488</v>
      </c>
      <c r="O105" s="7"/>
      <c r="P105" s="7"/>
      <c r="Q105" s="25"/>
      <c r="R105" s="25"/>
      <c r="S105" s="37">
        <f t="shared" si="50"/>
        <v>1</v>
      </c>
      <c r="T105" s="52" t="str">
        <f t="shared" si="45"/>
        <v>NorthBound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14:14:37-0600',mode:absolute,to:'2016-09-08 16:53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05" s="54" t="str">
        <f t="shared" si="52"/>
        <v>N</v>
      </c>
      <c r="X105" s="172">
        <f t="shared" si="60"/>
        <v>1</v>
      </c>
      <c r="Y105" s="69">
        <f t="shared" si="53"/>
        <v>4.4900000000000002E-2</v>
      </c>
      <c r="Z105" s="69">
        <f t="shared" si="54"/>
        <v>23.33</v>
      </c>
      <c r="AA105" s="69">
        <f t="shared" si="55"/>
        <v>23.2851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 t="shared" si="46"/>
        <v>0193-08</v>
      </c>
      <c r="AE105" s="99" t="str">
        <f t="shared" si="56"/>
        <v>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 &amp; 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</v>
      </c>
      <c r="AF105" s="96" t="str">
        <f t="shared" si="57"/>
        <v>"C:\Program Files (x86)\AstroGrep\AstroGrep.exe" /spath="%USERPROFILE%\AppData\Local\Temp\OnboardLogs" /stypes="*4009*20160908*" /stext=" 21:.+((SYSTEM_STATE.+slice.+state.+changed )|(ment ac)|(system.+state.+changed )|(\|lc)|(penalty)|(\[timeout)|(PRM\|1\|D)|(kpr)|(kdp))" /e /r /s</v>
      </c>
      <c r="AG105" s="1" t="str">
        <f t="shared" si="47"/>
        <v>EC</v>
      </c>
      <c r="AH105" s="100" t="str">
        <f t="shared" si="58"/>
        <v>"%USERPROFILE%\Documents\GitHub\eaglep3\Utilities\RefineRTDCRunTimes.py" --tripid 193-08 --locoid 4009 --swversion DE.1.0.7.0 --startMP 204:449 --initTime 2016-09-08T15:14:37 --startdatetime 2016-09-08T15:17:09 --delay 1 --endMP 204:233300 --enddatetime 2016-09-08T15:53:52 --enforcementcount 0 &gt;&gt;C:\Users\stu\Documents\GitHub\eaglep3-reporting\EC\2016-09-08-refined-times.txt</v>
      </c>
      <c r="AI105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{"issue":{"subject":"","project_id":79,"tracker_id":40,"status_id":1,"priority_id":2,"assigned_to_id":23,"start_date":"2016-09-08","description":"","custom_fields":[{"id":1,"name":"Subdivision","value":"EC"},{"id":4,"name":"Milepost","value":"23.2851"},{"id":17,"name":"Train ID","value":"193-08"},{"id":16,"name":"Locomotive ID","value":"4009"},{"id":130,"name":"Impact","value":""},{"id":150,"name":"Time of Event (Mountain Time)","value":"15:53:52"},{"id":151,"name":"Denver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488</v>
      </c>
      <c r="B106" s="7">
        <v>4010</v>
      </c>
      <c r="C106" s="24" t="s">
        <v>109</v>
      </c>
      <c r="D106" s="24" t="s">
        <v>538</v>
      </c>
      <c r="E106" s="15">
        <v>42621.668020833335</v>
      </c>
      <c r="F106" s="15">
        <v>42621.674722222226</v>
      </c>
      <c r="G106" s="7">
        <v>1</v>
      </c>
      <c r="H106" s="15" t="s">
        <v>554</v>
      </c>
      <c r="I106" s="15">
        <v>42621.70239583333</v>
      </c>
      <c r="J106" s="7">
        <v>0</v>
      </c>
      <c r="K106" s="122" t="str">
        <f t="shared" si="44"/>
        <v>4009/4010</v>
      </c>
      <c r="L106" s="24" t="str">
        <f>VLOOKUP(A106,'Trips&amp;Operators'!$C$1:$E$10000,3,FALSE)</f>
        <v>MAHAN</v>
      </c>
      <c r="M106" s="6">
        <f t="shared" si="48"/>
        <v>2.767361110454658E-2</v>
      </c>
      <c r="N106" s="7">
        <f t="shared" si="49"/>
        <v>39.849999990547076</v>
      </c>
      <c r="O106" s="7"/>
      <c r="P106" s="7"/>
      <c r="Q106" s="25"/>
      <c r="R106" s="25"/>
      <c r="S106" s="37">
        <f t="shared" si="50"/>
        <v>1</v>
      </c>
      <c r="T106" s="52" t="str">
        <f t="shared" si="45"/>
        <v>Southbound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15:01:57-0600',mode:absolute,to:'2016-09-08 17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06" s="54" t="str">
        <f t="shared" si="52"/>
        <v>N</v>
      </c>
      <c r="X106" s="172">
        <f t="shared" si="60"/>
        <v>1</v>
      </c>
      <c r="Y106" s="69">
        <f t="shared" si="53"/>
        <v>23.2987</v>
      </c>
      <c r="Z106" s="69">
        <f t="shared" si="54"/>
        <v>1.9800000000000002E-2</v>
      </c>
      <c r="AA106" s="69">
        <f t="shared" si="55"/>
        <v>23.2789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 t="shared" si="46"/>
        <v>0194-08</v>
      </c>
      <c r="AE106" s="99" t="str">
        <f t="shared" si="56"/>
        <v>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 &amp; 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</v>
      </c>
      <c r="AF106" s="96" t="str">
        <f t="shared" si="57"/>
        <v>"C:\Program Files (x86)\AstroGrep\AstroGrep.exe" /spath="%USERPROFILE%\AppData\Local\Temp\OnboardLogs" /stypes="*4010*20160908*" /stext=" 22:.+((SYSTEM_STATE.+slice.+state.+changed )|(ment ac)|(system.+state.+changed )|(\|lc)|(penalty)|(\[timeout)|(PRM\|1\|D)|(kpr)|(kdp))" /e /r /s</v>
      </c>
      <c r="AG106" s="1" t="str">
        <f t="shared" si="47"/>
        <v>EC</v>
      </c>
      <c r="AH106" s="100" t="str">
        <f t="shared" si="58"/>
        <v>"%USERPROFILE%\Documents\GitHub\eaglep3\Utilities\RefineRTDCRunTimes.py" --tripid 194-08 --locoid 4010 --swversion DE.1.0.7.0 --startMP 204:232987 --initTime 2016-09-08T16:01:57 --startdatetime 2016-09-08T16:11:36 --delay 1 --endMP 204:198 --enddatetime 2016-09-08T16:51:27 --enforcementcount 0 &gt;&gt;C:\Users\stu\Documents\GitHub\eaglep3-reporting\EC\2016-09-08-refined-times.txt</v>
      </c>
      <c r="AI106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{"issue":{"subject":"","project_id":79,"tracker_id":40,"status_id":1,"priority_id":2,"assigned_to_id":23,"start_date":"2016-09-08","description":"","custom_fields":[{"id":1,"name":"Subdivision","value":"EC"},{"id":4,"name":"Milepost","value":"23.2789"},{"id":17,"name":"Train ID","value":"194-08"},{"id":16,"name":"Locomotive ID","value":"4010"},{"id":130,"name":"Impact","value":""},{"id":150,"name":"Time of Event (Mountain Time)","value":"16:51:27"},{"id":151,"name":"Denver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555</v>
      </c>
      <c r="B107" s="7">
        <v>4018</v>
      </c>
      <c r="C107" s="24" t="s">
        <v>109</v>
      </c>
      <c r="D107" s="24" t="s">
        <v>384</v>
      </c>
      <c r="E107" s="15">
        <v>42621.642395833333</v>
      </c>
      <c r="F107" s="15">
        <v>42621.646064814813</v>
      </c>
      <c r="G107" s="7">
        <v>1</v>
      </c>
      <c r="H107" s="15" t="s">
        <v>556</v>
      </c>
      <c r="I107" s="15">
        <v>42621.670405092591</v>
      </c>
      <c r="J107" s="7">
        <v>0</v>
      </c>
      <c r="K107" s="122" t="str">
        <f t="shared" si="44"/>
        <v>4017/4018</v>
      </c>
      <c r="L107" s="24" t="str">
        <f>VLOOKUP(A107,'Trips&amp;Operators'!$C$1:$E$10000,3,FALSE)</f>
        <v>KILLION</v>
      </c>
      <c r="M107" s="6">
        <f t="shared" si="48"/>
        <v>2.4340277777810115E-2</v>
      </c>
      <c r="N107" s="7">
        <f t="shared" si="49"/>
        <v>35.050000000046566</v>
      </c>
      <c r="O107" s="7"/>
      <c r="P107" s="7"/>
      <c r="Q107" s="25"/>
      <c r="R107" s="25"/>
      <c r="S107" s="37">
        <f t="shared" si="50"/>
        <v>1</v>
      </c>
      <c r="T107" s="52" t="str">
        <f t="shared" si="45"/>
        <v>NorthBound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14:25:03-0600',mode:absolute,to:'2016-09-08 17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07" s="54" t="str">
        <f t="shared" si="52"/>
        <v>N</v>
      </c>
      <c r="X107" s="172">
        <f t="shared" si="60"/>
        <v>1</v>
      </c>
      <c r="Y107" s="69">
        <f t="shared" si="53"/>
        <v>4.5499999999999999E-2</v>
      </c>
      <c r="Z107" s="69">
        <f t="shared" si="54"/>
        <v>23.328399999999998</v>
      </c>
      <c r="AA107" s="69">
        <f t="shared" si="55"/>
        <v>23.282899999999998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 t="shared" si="46"/>
        <v>0195-08</v>
      </c>
      <c r="AE107" s="99" t="str">
        <f t="shared" si="56"/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AF107" s="96" t="str">
        <f t="shared" si="57"/>
        <v>"C:\Program Files (x86)\AstroGrep\AstroGrep.exe" /spath="%USERPROFILE%\AppData\Local\Temp\OnboardLogs" /stypes="*4018*20160908*" /stext=" 22:.+((SYSTEM_STATE.+slice.+state.+changed )|(ment ac)|(system.+state.+changed )|(\|lc)|(penalty)|(\[timeout)|(PRM\|1\|D)|(kpr)|(kdp))" /e /r /s</v>
      </c>
      <c r="AG107" s="1" t="str">
        <f t="shared" si="47"/>
        <v>EC</v>
      </c>
      <c r="AH107" s="100" t="str">
        <f t="shared" si="58"/>
        <v>"%USERPROFILE%\Documents\GitHub\eaglep3\Utilities\RefineRTDCRunTimes.py" --tripid 195-08 --locoid 4018 --swversion DE.1.0.7.0 --startMP 204:455 --initTime 2016-09-08T15:25:03 --startdatetime 2016-09-08T15:30:20 --delay 1 --endMP 204:233284 --enddatetime 2016-09-08T16:05:23 --enforcementcount 0 &gt;&gt;C:\Users\stu\Documents\GitHub\eaglep3-reporting\EC\2016-09-08-refined-times.txt</v>
      </c>
      <c r="AI107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{"issue":{"subject":"","project_id":79,"tracker_id":40,"status_id":1,"priority_id":2,"assigned_to_id":23,"start_date":"2016-09-08","description":"","custom_fields":[{"id":1,"name":"Subdivision","value":"EC"},{"id":4,"name":"Milepost","value":"23.2829"},{"id":17,"name":"Train ID","value":"195-08"},{"id":16,"name":"Locomotive ID","value":"4018"},{"id":130,"name":"Impact","value":""},{"id":150,"name":"Time of Event (Mountain Time)","value":"16:05:23"},{"id":151,"name":"Denver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490</v>
      </c>
      <c r="B108" s="7">
        <v>4017</v>
      </c>
      <c r="C108" s="24" t="s">
        <v>109</v>
      </c>
      <c r="D108" s="24" t="s">
        <v>389</v>
      </c>
      <c r="E108" s="15">
        <v>42621.676261574074</v>
      </c>
      <c r="F108" s="15">
        <v>42621.684976851851</v>
      </c>
      <c r="G108" s="7">
        <v>1</v>
      </c>
      <c r="H108" s="15" t="s">
        <v>306</v>
      </c>
      <c r="I108" s="15">
        <v>42621.714282407411</v>
      </c>
      <c r="J108" s="7">
        <v>0</v>
      </c>
      <c r="K108" s="122" t="str">
        <f t="shared" si="44"/>
        <v>4017/4018</v>
      </c>
      <c r="L108" s="24" t="str">
        <f>VLOOKUP(A108,'Trips&amp;Operators'!$C$1:$E$10000,3,FALSE)</f>
        <v>KILLION</v>
      </c>
      <c r="M108" s="6">
        <f t="shared" si="48"/>
        <v>2.9305555559403729E-2</v>
      </c>
      <c r="N108" s="7">
        <f t="shared" si="49"/>
        <v>42.200000005541369</v>
      </c>
      <c r="O108" s="7"/>
      <c r="P108" s="7"/>
      <c r="Q108" s="25"/>
      <c r="R108" s="25"/>
      <c r="S108" s="37">
        <f t="shared" si="50"/>
        <v>1</v>
      </c>
      <c r="T108" s="52" t="str">
        <f t="shared" si="45"/>
        <v>Southbound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15:13:49-0600',mode:absolute,to:'2016-09-08 18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08" s="54" t="str">
        <f t="shared" si="52"/>
        <v>N</v>
      </c>
      <c r="X108" s="172">
        <f t="shared" si="60"/>
        <v>1</v>
      </c>
      <c r="Y108" s="69">
        <f t="shared" si="53"/>
        <v>23.297699999999999</v>
      </c>
      <c r="Z108" s="69">
        <f t="shared" si="54"/>
        <v>1.4999999999999999E-2</v>
      </c>
      <c r="AA108" s="69">
        <f t="shared" si="55"/>
        <v>23.282699999999998</v>
      </c>
      <c r="AB108" s="66" t="str">
        <f>VLOOKUP(A108,Enforcements!$C$7:$K$21,8,0)</f>
        <v>Bulletin (2)</v>
      </c>
      <c r="AC108" s="62" t="str">
        <f>VLOOKUP(A108,Enforcements!$C$7:$E$21,3,0)</f>
        <v>GRADE CROSSING</v>
      </c>
      <c r="AD108" s="63" t="str">
        <f t="shared" si="46"/>
        <v>0196-08</v>
      </c>
      <c r="AE108" s="99" t="str">
        <f t="shared" si="56"/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AF108" s="96" t="str">
        <f t="shared" si="57"/>
        <v>"C:\Program Files (x86)\AstroGrep\AstroGrep.exe" /spath="%USERPROFILE%\AppData\Local\Temp\OnboardLogs" /stypes="*4017*20160908*" /stext=" 23:.+((SYSTEM_STATE.+slice.+state.+changed )|(ment ac)|(system.+state.+changed )|(\|lc)|(penalty)|(\[timeout)|(PRM\|1\|D)|(kpr)|(kdp))" /e /r /s</v>
      </c>
      <c r="AG108" s="1" t="str">
        <f t="shared" si="47"/>
        <v>EC</v>
      </c>
      <c r="AH108" s="100" t="str">
        <f t="shared" si="58"/>
        <v>"%USERPROFILE%\Documents\GitHub\eaglep3\Utilities\RefineRTDCRunTimes.py" --tripid 196-08 --locoid 4017 --swversion DE.1.0.7.0 --startMP 204:232977 --initTime 2016-09-08T16:13:49 --startdatetime 2016-09-08T16:26:22 --delay 1 --endMP 204:150 --enddatetime 2016-09-08T17:08:34 --enforcementcount 0 &gt;&gt;C:\Users\stu\Documents\GitHub\eaglep3-reporting\EC\2016-09-08-refined-times.txt</v>
      </c>
      <c r="AI108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{"issue":{"subject":"","project_id":79,"tracker_id":40,"status_id":1,"priority_id":2,"assigned_to_id":23,"start_date":"2016-09-08","description":"","custom_fields":[{"id":1,"name":"Subdivision","value":"EC"},{"id":4,"name":"Milepost","value":"23.2827"},{"id":17,"name":"Train ID","value":"196-08"},{"id":16,"name":"Locomotive ID","value":"4017"},{"id":130,"name":"Impact","value":""},{"id":150,"name":"Time of Event (Mountain Time)","value":"17:08:34"},{"id":151,"name":"Denver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x14ac:dyDescent="0.25">
      <c r="A109" s="39" t="s">
        <v>557</v>
      </c>
      <c r="B109" s="7">
        <v>4040</v>
      </c>
      <c r="C109" s="24" t="s">
        <v>109</v>
      </c>
      <c r="D109" s="24" t="s">
        <v>360</v>
      </c>
      <c r="E109" s="15">
        <v>42621.652650462966</v>
      </c>
      <c r="F109" s="15">
        <v>42621.656851851854</v>
      </c>
      <c r="G109" s="7">
        <v>1</v>
      </c>
      <c r="H109" s="15" t="s">
        <v>558</v>
      </c>
      <c r="I109" s="15">
        <v>42621.682511574072</v>
      </c>
      <c r="J109" s="7">
        <v>0</v>
      </c>
      <c r="K109" s="122" t="str">
        <f t="shared" si="44"/>
        <v>4039/4040</v>
      </c>
      <c r="L109" s="24" t="str">
        <f>VLOOKUP(A109,'Trips&amp;Operators'!$C$1:$E$10000,3,FALSE)</f>
        <v>ADANE</v>
      </c>
      <c r="M109" s="6">
        <f t="shared" si="48"/>
        <v>2.565972221782431E-2</v>
      </c>
      <c r="N109" s="7">
        <f t="shared" si="49"/>
        <v>36.949999993667006</v>
      </c>
      <c r="O109" s="7"/>
      <c r="P109" s="7"/>
      <c r="Q109" s="25"/>
      <c r="R109" s="25"/>
      <c r="S109" s="37">
        <f t="shared" si="50"/>
        <v>1</v>
      </c>
      <c r="T109" s="52" t="str">
        <f t="shared" si="45"/>
        <v>NorthBound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14:39:49-0600',mode:absolute,to:'2016-09-08 17:22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09" s="54" t="str">
        <f t="shared" si="52"/>
        <v>N</v>
      </c>
      <c r="X109" s="172">
        <f t="shared" si="60"/>
        <v>1</v>
      </c>
      <c r="Y109" s="69">
        <f t="shared" si="53"/>
        <v>4.6600000000000003E-2</v>
      </c>
      <c r="Z109" s="69">
        <f t="shared" si="54"/>
        <v>23.3306</v>
      </c>
      <c r="AA109" s="69">
        <f t="shared" si="55"/>
        <v>23.283999999999999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 t="shared" si="46"/>
        <v>0197-08</v>
      </c>
      <c r="AE109" s="99" t="str">
        <f t="shared" si="56"/>
        <v>aws s3 cp s3://rtdc.mdm.uploadarchive/RTDC4040/2016-09-08/ "%USERPROFILE%\AppData\Local\Temp\OnboardLogs"\RTDC4040\2016-09-08 --recursive &amp; "%USERPROFILE%\Documents\GitHub\mrs-test-scripts\Headless Mode &amp; Sideloading\WalkAndUnGZ.bat" "%USERPROFILE%\AppData\Local\Temp\OnboardLogs"\RTDC4040\2016-09-08 &amp; aws s3 cp s3://rtdc.mdm.uploadarchive/RTDC4040/2016-09-09/ "%USERPROFILE%\AppData\Local\Temp\OnboardLogs"\RTDC4040\2016-09-09 --recursive &amp; "%USERPROFILE%\Documents\GitHub\mrs-test-scripts\Headless Mode &amp; Sideloading\WalkAndUnGZ.bat" "%USERPROFILE%\AppData\Local\Temp\OnboardLogs"\RTDC4040\2016-09-09</v>
      </c>
      <c r="AF109" s="96" t="str">
        <f t="shared" si="57"/>
        <v>"C:\Program Files (x86)\AstroGrep\AstroGrep.exe" /spath="%USERPROFILE%\AppData\Local\Temp\OnboardLogs" /stypes="*4040*20160908*" /stext=" 22:.+((SYSTEM_STATE.+slice.+state.+changed )|(ment ac)|(system.+state.+changed )|(\|lc)|(penalty)|(\[timeout)|(PRM\|1\|D)|(kpr)|(kdp))" /e /r /s</v>
      </c>
      <c r="AG109" s="1" t="str">
        <f t="shared" si="47"/>
        <v>EC</v>
      </c>
      <c r="AH109" s="100" t="str">
        <f t="shared" si="58"/>
        <v>"%USERPROFILE%\Documents\GitHub\eaglep3\Utilities\RefineRTDCRunTimes.py" --tripid 197-08 --locoid 4040 --swversion DE.1.0.7.0 --startMP 204:466 --initTime 2016-09-08T15:39:49 --startdatetime 2016-09-08T15:45:52 --delay 1 --endMP 204:233306 --enddatetime 2016-09-08T16:22:49 --enforcementcount 0 &gt;&gt;C:\Users\stu\Documents\GitHub\eaglep3-reporting\EC\2016-09-08-refined-times.txt</v>
      </c>
      <c r="AI109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{"issue":{"subject":"","project_id":79,"tracker_id":40,"status_id":1,"priority_id":2,"assigned_to_id":23,"start_date":"2016-09-08","description":"","custom_fields":[{"id":1,"name":"Subdivision","value":"EC"},{"id":4,"name":"Milepost","value":"23.284"},{"id":17,"name":"Train ID","value":"197-08"},{"id":16,"name":"Locomotive ID","value":"4040"},{"id":130,"name":"Impact","value":""},{"id":150,"name":"Time of Event (Mountain Time)","value":"16:22:49"},{"id":151,"name":"Denver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559</v>
      </c>
      <c r="B110" s="7">
        <v>4039</v>
      </c>
      <c r="C110" s="24" t="s">
        <v>109</v>
      </c>
      <c r="D110" s="24" t="s">
        <v>560</v>
      </c>
      <c r="E110" s="15">
        <v>42621.691932870373</v>
      </c>
      <c r="F110" s="15">
        <v>42621.695474537039</v>
      </c>
      <c r="G110" s="7">
        <v>1</v>
      </c>
      <c r="H110" s="15" t="s">
        <v>346</v>
      </c>
      <c r="I110" s="15">
        <v>42621.724456018521</v>
      </c>
      <c r="J110" s="7">
        <v>0</v>
      </c>
      <c r="K110" s="122" t="str">
        <f t="shared" si="44"/>
        <v>4039/4040</v>
      </c>
      <c r="L110" s="24" t="str">
        <f>VLOOKUP(A110,'Trips&amp;Operators'!$C$1:$E$10000,3,FALSE)</f>
        <v>ADANE</v>
      </c>
      <c r="M110" s="6">
        <f t="shared" si="48"/>
        <v>2.8981481482333038E-2</v>
      </c>
      <c r="N110" s="7">
        <f t="shared" si="49"/>
        <v>41.733333334559575</v>
      </c>
      <c r="O110" s="7"/>
      <c r="P110" s="7"/>
      <c r="Q110" s="25"/>
      <c r="R110" s="25"/>
      <c r="S110" s="37">
        <f t="shared" si="50"/>
        <v>1</v>
      </c>
      <c r="T110" s="52" t="str">
        <f t="shared" si="45"/>
        <v>Southbound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15:36:23-0600',mode:absolute,to:'2016-09-08 18:23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10" s="54" t="str">
        <f t="shared" si="52"/>
        <v>N</v>
      </c>
      <c r="X110" s="172">
        <f t="shared" si="60"/>
        <v>1</v>
      </c>
      <c r="Y110" s="69">
        <f t="shared" si="53"/>
        <v>23.298100000000002</v>
      </c>
      <c r="Z110" s="69">
        <f t="shared" si="54"/>
        <v>1.4500000000000001E-2</v>
      </c>
      <c r="AA110" s="69">
        <f t="shared" si="55"/>
        <v>23.2836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 t="shared" si="46"/>
        <v>0198-08</v>
      </c>
      <c r="AE110" s="99" t="str">
        <f t="shared" si="56"/>
        <v>aws s3 cp s3://rtdc.mdm.uploadarchive/RTDC4039/2016-09-08/ "%USERPROFILE%\AppData\Local\Temp\OnboardLogs"\RTDC4039\2016-09-08 --recursive &amp; "%USERPROFILE%\Documents\GitHub\mrs-test-scripts\Headless Mode &amp; Sideloading\WalkAndUnGZ.bat" "%USERPROFILE%\AppData\Local\Temp\OnboardLogs"\RTDC4039\2016-09-08 &amp; aws s3 cp s3://rtdc.mdm.uploadarchive/RTDC4039/2016-09-09/ "%USERPROFILE%\AppData\Local\Temp\OnboardLogs"\RTDC4039\2016-09-09 --recursive &amp; "%USERPROFILE%\Documents\GitHub\mrs-test-scripts\Headless Mode &amp; Sideloading\WalkAndUnGZ.bat" "%USERPROFILE%\AppData\Local\Temp\OnboardLogs"\RTDC4039\2016-09-09</v>
      </c>
      <c r="AF110" s="96" t="str">
        <f t="shared" si="57"/>
        <v>"C:\Program Files (x86)\AstroGrep\AstroGrep.exe" /spath="%USERPROFILE%\AppData\Local\Temp\OnboardLogs" /stypes="*4039*20160908*" /stext=" 23:.+((SYSTEM_STATE.+slice.+state.+changed )|(ment ac)|(system.+state.+changed )|(\|lc)|(penalty)|(\[timeout)|(PRM\|1\|D)|(kpr)|(kdp))" /e /r /s</v>
      </c>
      <c r="AG110" s="1" t="str">
        <f t="shared" si="47"/>
        <v>EC</v>
      </c>
      <c r="AH110" s="100" t="str">
        <f t="shared" si="58"/>
        <v>"%USERPROFILE%\Documents\GitHub\eaglep3\Utilities\RefineRTDCRunTimes.py" --tripid 198-08 --locoid 4039 --swversion DE.1.0.7.0 --startMP 204:232981 --initTime 2016-09-08T16:36:23 --startdatetime 2016-09-08T16:41:29 --delay 1 --endMP 204:145 --enddatetime 2016-09-08T17:23:13 --enforcementcount 0 &gt;&gt;C:\Users\stu\Documents\GitHub\eaglep3-reporting\EC\2016-09-08-refined-times.txt</v>
      </c>
      <c r="AI110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{"issue":{"subject":"","project_id":79,"tracker_id":40,"status_id":1,"priority_id":2,"assigned_to_id":23,"start_date":"2016-09-08","description":"","custom_fields":[{"id":1,"name":"Subdivision","value":"EC"},{"id":4,"name":"Milepost","value":"23.2836"},{"id":17,"name":"Train ID","value":"198-08"},{"id":16,"name":"Locomotive ID","value":"4039"},{"id":130,"name":"Impact","value":""},{"id":150,"name":"Time of Event (Mountain Time)","value":"17:23:13"},{"id":151,"name":"Denver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561</v>
      </c>
      <c r="B111" s="7">
        <v>4016</v>
      </c>
      <c r="C111" s="24" t="s">
        <v>109</v>
      </c>
      <c r="D111" s="24" t="s">
        <v>368</v>
      </c>
      <c r="E111" s="15">
        <v>42621.664490740739</v>
      </c>
      <c r="F111" s="15">
        <v>42621.667384259257</v>
      </c>
      <c r="G111" s="7">
        <v>2</v>
      </c>
      <c r="H111" s="15" t="s">
        <v>325</v>
      </c>
      <c r="I111" s="15">
        <v>42621.691851851851</v>
      </c>
      <c r="J111" s="7">
        <v>0</v>
      </c>
      <c r="K111" s="122" t="str">
        <f t="shared" si="44"/>
        <v>4015/4016</v>
      </c>
      <c r="L111" s="24" t="str">
        <f>VLOOKUP(A111,'Trips&amp;Operators'!$C$1:$E$10000,3,FALSE)</f>
        <v>DE LA ROSA</v>
      </c>
      <c r="M111" s="6">
        <f t="shared" si="48"/>
        <v>2.4467592593282461E-2</v>
      </c>
      <c r="N111" s="7">
        <f t="shared" si="49"/>
        <v>35.233333334326744</v>
      </c>
      <c r="O111" s="7"/>
      <c r="P111" s="7"/>
      <c r="Q111" s="25"/>
      <c r="R111" s="25"/>
      <c r="S111" s="37">
        <f t="shared" si="50"/>
        <v>1</v>
      </c>
      <c r="T111" s="52" t="str">
        <f t="shared" si="45"/>
        <v>NorthBound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14:56:52-0600',mode:absolute,to:'2016-09-08 17:36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11" s="54" t="str">
        <f t="shared" si="52"/>
        <v>N</v>
      </c>
      <c r="X111" s="172">
        <f t="shared" si="60"/>
        <v>1</v>
      </c>
      <c r="Y111" s="69">
        <f t="shared" si="53"/>
        <v>4.4900000000000002E-2</v>
      </c>
      <c r="Z111" s="69">
        <f t="shared" si="54"/>
        <v>23.3307</v>
      </c>
      <c r="AA111" s="69">
        <f t="shared" si="55"/>
        <v>23.285800000000002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 t="shared" si="46"/>
        <v>0199-08</v>
      </c>
      <c r="AE111" s="99" t="str">
        <f t="shared" si="56"/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AF111" s="96" t="str">
        <f t="shared" si="57"/>
        <v>"C:\Program Files (x86)\AstroGrep\AstroGrep.exe" /spath="%USERPROFILE%\AppData\Local\Temp\OnboardLogs" /stypes="*4016*20160908*" /stext=" 22:.+((SYSTEM_STATE.+slice.+state.+changed )|(ment ac)|(system.+state.+changed )|(\|lc)|(penalty)|(\[timeout)|(PRM\|1\|D)|(kpr)|(kdp))" /e /r /s</v>
      </c>
      <c r="AG111" s="1" t="str">
        <f t="shared" si="47"/>
        <v>EC</v>
      </c>
      <c r="AH111" s="100" t="str">
        <f t="shared" si="58"/>
        <v>"%USERPROFILE%\Documents\GitHub\eaglep3\Utilities\RefineRTDCRunTimes.py" --tripid 199-08 --locoid 4016 --swversion DE.1.0.7.0 --startMP 204:449 --initTime 2016-09-08T15:56:52 --startdatetime 2016-09-08T16:01:02 --delay 2 --endMP 204:233307 --enddatetime 2016-09-08T16:36:16 --enforcementcount 0 &gt;&gt;C:\Users\stu\Documents\GitHub\eaglep3-reporting\EC\2016-09-08-refined-times.txt</v>
      </c>
      <c r="AI111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{"issue":{"subject":"","project_id":79,"tracker_id":40,"status_id":1,"priority_id":2,"assigned_to_id":23,"start_date":"2016-09-08","description":"","custom_fields":[{"id":1,"name":"Subdivision","value":"EC"},{"id":4,"name":"Milepost","value":"23.2858"},{"id":17,"name":"Train ID","value":"199-08"},{"id":16,"name":"Locomotive ID","value":"4016"},{"id":130,"name":"Impact","value":""},{"id":150,"name":"Time of Event (Mountain Time)","value":"16:36:16"},{"id":151,"name":"Denver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562</v>
      </c>
      <c r="B112" s="7">
        <v>4015</v>
      </c>
      <c r="C112" s="24" t="s">
        <v>109</v>
      </c>
      <c r="D112" s="24" t="s">
        <v>563</v>
      </c>
      <c r="E112" s="15">
        <v>42621.700740740744</v>
      </c>
      <c r="F112" s="15">
        <v>42621.705763888887</v>
      </c>
      <c r="G112" s="7">
        <v>1</v>
      </c>
      <c r="H112" s="15" t="s">
        <v>288</v>
      </c>
      <c r="I112" s="15">
        <v>42621.736851851849</v>
      </c>
      <c r="J112" s="7">
        <v>0</v>
      </c>
      <c r="K112" s="122" t="str">
        <f t="shared" si="44"/>
        <v>4015/4016</v>
      </c>
      <c r="L112" s="24" t="str">
        <f>VLOOKUP(A112,'Trips&amp;Operators'!$C$1:$E$10000,3,FALSE)</f>
        <v>DE LA ROSA</v>
      </c>
      <c r="M112" s="6">
        <f t="shared" si="48"/>
        <v>3.1087962961464655E-2</v>
      </c>
      <c r="N112" s="7">
        <f t="shared" si="49"/>
        <v>44.766666664509103</v>
      </c>
      <c r="O112" s="7"/>
      <c r="P112" s="7"/>
      <c r="Q112" s="25"/>
      <c r="R112" s="25"/>
      <c r="S112" s="37">
        <f t="shared" si="50"/>
        <v>1</v>
      </c>
      <c r="T112" s="52" t="str">
        <f t="shared" si="45"/>
        <v>Southbound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15:49:04-0600',mode:absolute,to:'2016-09-08 18:41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12" s="54" t="str">
        <f t="shared" si="52"/>
        <v>N</v>
      </c>
      <c r="X112" s="172">
        <f t="shared" si="60"/>
        <v>1</v>
      </c>
      <c r="Y112" s="69">
        <f t="shared" si="53"/>
        <v>23.2973</v>
      </c>
      <c r="Z112" s="69">
        <f t="shared" si="54"/>
        <v>1.5800000000000002E-2</v>
      </c>
      <c r="AA112" s="69">
        <f t="shared" si="55"/>
        <v>23.281500000000001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 t="shared" si="46"/>
        <v>0200-08</v>
      </c>
      <c r="AE112" s="99" t="str">
        <f t="shared" si="56"/>
        <v>aws s3 cp s3://rtdc.mdm.uploadarchive/RTDC4015/2016-09-08/ "%USERPROFILE%\AppData\Local\Temp\OnboardLogs"\RTDC4015\2016-09-08 --recursive &amp; "%USERPROFILE%\Documents\GitHub\mrs-test-scripts\Headless Mode &amp; Sideloading\WalkAndUnGZ.bat" "%USERPROFILE%\AppData\Local\Temp\OnboardLogs"\RTDC4015\2016-09-08 &amp; 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</v>
      </c>
      <c r="AF112" s="96" t="str">
        <f t="shared" si="57"/>
        <v>"C:\Program Files (x86)\AstroGrep\AstroGrep.exe" /spath="%USERPROFILE%\AppData\Local\Temp\OnboardLogs" /stypes="*4015*20160908*" /stext=" 23:.+((SYSTEM_STATE.+slice.+state.+changed )|(ment ac)|(system.+state.+changed )|(\|lc)|(penalty)|(\[timeout)|(PRM\|1\|D)|(kpr)|(kdp))" /e /r /s</v>
      </c>
      <c r="AG112" s="1" t="str">
        <f t="shared" si="47"/>
        <v>EC</v>
      </c>
      <c r="AH112" s="100" t="str">
        <f t="shared" si="58"/>
        <v>"%USERPROFILE%\Documents\GitHub\eaglep3\Utilities\RefineRTDCRunTimes.py" --tripid 200-08 --locoid 4015 --swversion DE.1.0.7.0 --startMP 204:232973 --initTime 2016-09-08T16:49:04 --startdatetime 2016-09-08T16:56:18 --delay 1 --endMP 204:158 --enddatetime 2016-09-08T17:41:04 --enforcementcount 0 &gt;&gt;C:\Users\stu\Documents\GitHub\eaglep3-reporting\EC\2016-09-08-refined-times.txt</v>
      </c>
      <c r="AI112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{"issue":{"subject":"","project_id":79,"tracker_id":40,"status_id":1,"priority_id":2,"assigned_to_id":23,"start_date":"2016-09-08","description":"","custom_fields":[{"id":1,"name":"Subdivision","value":"EC"},{"id":4,"name":"Milepost","value":"23.2815"},{"id":17,"name":"Train ID","value":"200-08"},{"id":16,"name":"Locomotive ID","value":"4015"},{"id":130,"name":"Impact","value":""},{"id":150,"name":"Time of Event (Mountain Time)","value":"17:41:04"},{"id":151,"name":"Denver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489</v>
      </c>
      <c r="B113" s="7">
        <v>4011</v>
      </c>
      <c r="C113" s="24" t="s">
        <v>109</v>
      </c>
      <c r="D113" s="24" t="s">
        <v>356</v>
      </c>
      <c r="E113" s="15">
        <v>42621.673692129632</v>
      </c>
      <c r="F113" s="15">
        <v>42621.677395833336</v>
      </c>
      <c r="G113" s="7">
        <v>1</v>
      </c>
      <c r="H113" s="15" t="s">
        <v>564</v>
      </c>
      <c r="I113" s="15">
        <v>42621.702916666669</v>
      </c>
      <c r="J113" s="7">
        <v>0</v>
      </c>
      <c r="K113" s="122" t="str">
        <f t="shared" si="44"/>
        <v>4011/4012</v>
      </c>
      <c r="L113" s="24" t="str">
        <f>VLOOKUP(A113,'Trips&amp;Operators'!$C$1:$E$10000,3,FALSE)</f>
        <v>BONDS</v>
      </c>
      <c r="M113" s="6">
        <f t="shared" si="48"/>
        <v>2.5520833332848269E-2</v>
      </c>
      <c r="N113" s="7">
        <f t="shared" si="49"/>
        <v>36.749999999301508</v>
      </c>
      <c r="O113" s="7"/>
      <c r="P113" s="7"/>
      <c r="Q113" s="25"/>
      <c r="R113" s="25"/>
      <c r="S113" s="37">
        <f t="shared" si="50"/>
        <v>1</v>
      </c>
      <c r="T113" s="52" t="str">
        <f t="shared" si="45"/>
        <v>NorthBound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15:10:07-0600',mode:absolute,to:'2016-09-08 17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13" s="54" t="str">
        <f t="shared" si="52"/>
        <v>N</v>
      </c>
      <c r="X113" s="172">
        <f t="shared" si="60"/>
        <v>1</v>
      </c>
      <c r="Y113" s="69">
        <f t="shared" si="53"/>
        <v>4.3700000000000003E-2</v>
      </c>
      <c r="Z113" s="69">
        <f t="shared" si="54"/>
        <v>23.331700000000001</v>
      </c>
      <c r="AA113" s="69">
        <f t="shared" si="55"/>
        <v>23.288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 t="shared" si="46"/>
        <v>0201-08</v>
      </c>
      <c r="AE113" s="99" t="str">
        <f t="shared" si="56"/>
        <v>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 &amp; 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</v>
      </c>
      <c r="AF113" s="96" t="str">
        <f t="shared" si="57"/>
        <v>"C:\Program Files (x86)\AstroGrep\AstroGrep.exe" /spath="%USERPROFILE%\AppData\Local\Temp\OnboardLogs" /stypes="*4011*20160908*" /stext=" 22:.+((SYSTEM_STATE.+slice.+state.+changed )|(ment ac)|(system.+state.+changed )|(\|lc)|(penalty)|(\[timeout)|(PRM\|1\|D)|(kpr)|(kdp))" /e /r /s</v>
      </c>
      <c r="AG113" s="1" t="str">
        <f t="shared" si="47"/>
        <v>EC</v>
      </c>
      <c r="AH113" s="100" t="str">
        <f t="shared" si="58"/>
        <v>"%USERPROFILE%\Documents\GitHub\eaglep3\Utilities\RefineRTDCRunTimes.py" --tripid 201-08 --locoid 4011 --swversion DE.1.0.7.0 --startMP 204:437 --initTime 2016-09-08T16:10:07 --startdatetime 2016-09-08T16:15:27 --delay 1 --endMP 204:233317 --enddatetime 2016-09-08T16:52:12 --enforcementcount 0 &gt;&gt;C:\Users\stu\Documents\GitHub\eaglep3-reporting\EC\2016-09-08-refined-times.txt</v>
      </c>
      <c r="AI113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{"issue":{"subject":"","project_id":79,"tracker_id":40,"status_id":1,"priority_id":2,"assigned_to_id":23,"start_date":"2016-09-08","description":"","custom_fields":[{"id":1,"name":"Subdivision","value":"EC"},{"id":4,"name":"Milepost","value":"23.288"},{"id":17,"name":"Train ID","value":"201-08"},{"id":16,"name":"Locomotive ID","value":"4011"},{"id":130,"name":"Impact","value":""},{"id":150,"name":"Time of Event (Mountain Time)","value":"16:52:12"},{"id":151,"name":"Denver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493</v>
      </c>
      <c r="B114" s="7">
        <v>4012</v>
      </c>
      <c r="C114" s="24" t="s">
        <v>109</v>
      </c>
      <c r="D114" s="24" t="s">
        <v>565</v>
      </c>
      <c r="E114" s="15">
        <v>42621.707951388889</v>
      </c>
      <c r="F114" s="15">
        <v>42621.716203703705</v>
      </c>
      <c r="G114" s="7">
        <v>1</v>
      </c>
      <c r="H114" s="15" t="s">
        <v>364</v>
      </c>
      <c r="I114" s="15">
        <v>42621.746412037035</v>
      </c>
      <c r="J114" s="7">
        <v>0</v>
      </c>
      <c r="K114" s="122" t="str">
        <f t="shared" si="44"/>
        <v>4011/4012</v>
      </c>
      <c r="L114" s="24" t="str">
        <f>VLOOKUP(A114,'Trips&amp;Operators'!$C$1:$E$10000,3,FALSE)</f>
        <v>BONDS</v>
      </c>
      <c r="M114" s="6">
        <f t="shared" si="48"/>
        <v>3.0208333329937886E-2</v>
      </c>
      <c r="N114" s="7">
        <f t="shared" si="49"/>
        <v>43.499999995110556</v>
      </c>
      <c r="O114" s="7"/>
      <c r="P114" s="7"/>
      <c r="Q114" s="25"/>
      <c r="R114" s="25"/>
      <c r="S114" s="37">
        <f t="shared" si="50"/>
        <v>1</v>
      </c>
      <c r="T114" s="52" t="str">
        <f t="shared" si="45"/>
        <v>Southbound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15:59:27-0600',mode:absolute,to:'2016-09-08 18:54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14" s="54" t="str">
        <f t="shared" si="52"/>
        <v>N</v>
      </c>
      <c r="X114" s="172">
        <f t="shared" si="60"/>
        <v>1</v>
      </c>
      <c r="Y114" s="69">
        <f t="shared" si="53"/>
        <v>23.301500000000001</v>
      </c>
      <c r="Z114" s="69">
        <f t="shared" si="54"/>
        <v>1.34E-2</v>
      </c>
      <c r="AA114" s="69">
        <f t="shared" si="55"/>
        <v>23.2881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46"/>
        <v>0202-08</v>
      </c>
      <c r="AE114" s="99" t="str">
        <f t="shared" si="56"/>
        <v>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 &amp; 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</v>
      </c>
      <c r="AF114" s="96" t="str">
        <f t="shared" si="57"/>
        <v>"C:\Program Files (x86)\AstroGrep\AstroGrep.exe" /spath="%USERPROFILE%\AppData\Local\Temp\OnboardLogs" /stypes="*4012*20160908*" /stext=" 23:.+((SYSTEM_STATE.+slice.+state.+changed )|(ment ac)|(system.+state.+changed )|(\|lc)|(penalty)|(\[timeout)|(PRM\|1\|D)|(kpr)|(kdp))" /e /r /s</v>
      </c>
      <c r="AG114" s="1" t="str">
        <f t="shared" si="47"/>
        <v>EC</v>
      </c>
      <c r="AH114" s="100" t="str">
        <f t="shared" si="58"/>
        <v>"%USERPROFILE%\Documents\GitHub\eaglep3\Utilities\RefineRTDCRunTimes.py" --tripid 202-08 --locoid 4012 --swversion DE.1.0.7.0 --startMP 204:233015 --initTime 2016-09-08T16:59:27 --startdatetime 2016-09-08T17:11:20 --delay 1 --endMP 204:134 --enddatetime 2016-09-08T17:54:50 --enforcementcount 0 &gt;&gt;C:\Users\stu\Documents\GitHub\eaglep3-reporting\EC\2016-09-08-refined-times.txt</v>
      </c>
      <c r="AI114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{"issue":{"subject":"","project_id":79,"tracker_id":40,"status_id":1,"priority_id":2,"assigned_to_id":23,"start_date":"2016-09-08","description":"","custom_fields":[{"id":1,"name":"Subdivision","value":"EC"},{"id":4,"name":"Milepost","value":"23.2881"},{"id":17,"name":"Train ID","value":"202-08"},{"id":16,"name":"Locomotive ID","value":"4012"},{"id":130,"name":"Impact","value":""},{"id":150,"name":"Time of Event (Mountain Time)","value":"17:54:50"},{"id":151,"name":"Denver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566</v>
      </c>
      <c r="B115" s="7">
        <v>4031</v>
      </c>
      <c r="C115" s="24" t="s">
        <v>109</v>
      </c>
      <c r="D115" s="24" t="s">
        <v>567</v>
      </c>
      <c r="E115" s="15">
        <v>42621.683217592596</v>
      </c>
      <c r="F115" s="15">
        <v>42621.687673611108</v>
      </c>
      <c r="G115" s="7">
        <v>1</v>
      </c>
      <c r="H115" s="15" t="s">
        <v>568</v>
      </c>
      <c r="I115" s="15">
        <v>42621.713472222225</v>
      </c>
      <c r="J115" s="7">
        <v>0</v>
      </c>
      <c r="K115" s="122" t="str">
        <f t="shared" si="44"/>
        <v>4031/4032</v>
      </c>
      <c r="L115" s="24" t="str">
        <f>VLOOKUP(A115,'Trips&amp;Operators'!$C$1:$E$10000,3,FALSE)</f>
        <v>SHOOK</v>
      </c>
      <c r="M115" s="6">
        <f t="shared" si="48"/>
        <v>2.5798611117352266E-2</v>
      </c>
      <c r="N115" s="7">
        <f t="shared" si="49"/>
        <v>37.150000008987263</v>
      </c>
      <c r="O115" s="7"/>
      <c r="P115" s="7"/>
      <c r="Q115" s="25"/>
      <c r="R115" s="25"/>
      <c r="S115" s="37">
        <f t="shared" si="50"/>
        <v>1</v>
      </c>
      <c r="T115" s="52" t="str">
        <f t="shared" si="45"/>
        <v>NorthBound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51"/>
        <v>https://search-rtdc-monitor-bjffxe2xuh6vdkpspy63sjmuny.us-east-1.es.amazonaws.com/_plugin/kibana/#/discover/Steve-Slow-Train-Analysis-(2080s-and-2083s)?_g=(refreshInterval:(display:Off,section:0,value:0),time:(from:'2016-09-08 15:23:50-0600',mode:absolute,to:'2016-09-08 18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15" s="54" t="str">
        <f t="shared" si="52"/>
        <v>N</v>
      </c>
      <c r="X115" s="172">
        <f t="shared" si="60"/>
        <v>1</v>
      </c>
      <c r="Y115" s="69">
        <f t="shared" si="53"/>
        <v>4.6399999999999997E-2</v>
      </c>
      <c r="Z115" s="69">
        <f t="shared" si="54"/>
        <v>23.335699999999999</v>
      </c>
      <c r="AA115" s="69">
        <f t="shared" si="55"/>
        <v>23.289300000000001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46"/>
        <v>0203-08</v>
      </c>
      <c r="AE115" s="99" t="str">
        <f t="shared" si="56"/>
        <v>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 &amp; 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</v>
      </c>
      <c r="AF115" s="96" t="str">
        <f t="shared" si="57"/>
        <v>"C:\Program Files (x86)\AstroGrep\AstroGrep.exe" /spath="%USERPROFILE%\AppData\Local\Temp\OnboardLogs" /stypes="*4031*20160908*" /stext=" 23:.+((SYSTEM_STATE.+slice.+state.+changed )|(ment ac)|(system.+state.+changed )|(\|lc)|(penalty)|(\[timeout)|(PRM\|1\|D)|(kpr)|(kdp))" /e /r /s</v>
      </c>
      <c r="AG115" s="1" t="str">
        <f t="shared" si="47"/>
        <v>EC</v>
      </c>
      <c r="AH115" s="100" t="str">
        <f t="shared" si="58"/>
        <v>"%USERPROFILE%\Documents\GitHub\eaglep3\Utilities\RefineRTDCRunTimes.py" --tripid 203-08 --locoid 4031 --swversion DE.1.0.7.0 --startMP 204:464 --initTime 2016-09-08T16:23:50 --startdatetime 2016-09-08T16:30:15 --delay 1 --endMP 204:233357 --enddatetime 2016-09-08T17:07:24 --enforcementcount 0 &gt;&gt;C:\Users\stu\Documents\GitHub\eaglep3-reporting\EC\2016-09-08-refined-times.txt</v>
      </c>
      <c r="AI115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{"issue":{"subject":"","project_id":79,"tracker_id":40,"status_id":1,"priority_id":2,"assigned_to_id":23,"start_date":"2016-09-08","description":"","custom_fields":[{"id":1,"name":"Subdivision","value":"EC"},{"id":4,"name":"Milepost","value":"23.2893"},{"id":17,"name":"Train ID","value":"203-08"},{"id":16,"name":"Locomotive ID","value":"4031"},{"id":130,"name":"Impact","value":""},{"id":150,"name":"Time of Event (Mountain Time)","value":"17:07:24"},{"id":151,"name":"Denver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x14ac:dyDescent="0.25">
      <c r="A116" s="39" t="s">
        <v>569</v>
      </c>
      <c r="B116" s="7">
        <v>4032</v>
      </c>
      <c r="C116" s="24" t="s">
        <v>109</v>
      </c>
      <c r="D116" s="24" t="s">
        <v>509</v>
      </c>
      <c r="E116" s="15">
        <v>42621.720833333333</v>
      </c>
      <c r="F116" s="15">
        <v>42621.726631944446</v>
      </c>
      <c r="G116" s="7">
        <v>1</v>
      </c>
      <c r="H116" s="15" t="s">
        <v>295</v>
      </c>
      <c r="I116" s="15">
        <v>42621.759155092594</v>
      </c>
      <c r="J116" s="7">
        <v>0</v>
      </c>
      <c r="K116" s="122" t="str">
        <f t="shared" si="44"/>
        <v>4031/4032</v>
      </c>
      <c r="L116" s="24" t="str">
        <f>VLOOKUP(A116,'Trips&amp;Operators'!$C$1:$E$10000,3,FALSE)</f>
        <v>SHOOK</v>
      </c>
      <c r="M116" s="6">
        <f t="shared" ref="M116:M147" si="61">I116-F116</f>
        <v>3.25231481474475E-2</v>
      </c>
      <c r="N116" s="7">
        <f t="shared" ref="N116:N147" si="62">24*60*SUM($M116:$M116)</f>
        <v>46.833333332324401</v>
      </c>
      <c r="O116" s="7"/>
      <c r="P116" s="7"/>
      <c r="Q116" s="25"/>
      <c r="R116" s="25"/>
      <c r="S116" s="37">
        <f t="shared" ref="S116:S147" si="63">SUM(U116:U116)/IF(AG116="EC",12,1)</f>
        <v>1</v>
      </c>
      <c r="T116" s="52" t="str">
        <f t="shared" si="45"/>
        <v>Southbound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ref="V116:V147" si="64">"https://search-rtdc-monitor-bjffxe2xuh6vdkpspy63sjmuny.us-east-1.es.amazonaws.com/_plugin/kibana/#/discover/Steve-Slow-Train-Analysis-(2080s-and-2083s)?_g=(refreshInterval:(display:Off,section:0,value:0),time:(from:'"&amp;TEXT(E116-1/24,"yyyy-MM-DD hh:mm:ss")&amp;"-0600',mode:absolute,to:'"&amp;TEXT(I116+1/24,"yyyy-MM-DD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116&amp;"%22')),sort:!(Time,asc))"</f>
        <v>https://search-rtdc-monitor-bjffxe2xuh6vdkpspy63sjmuny.us-east-1.es.amazonaws.com/_plugin/kibana/#/discover/Steve-Slow-Train-Analysis-(2080s-and-2083s)?_g=(refreshInterval:(display:Off,section:0,value:0),time:(from:'2016-09-08 16:18:00-0600',mode:absolute,to:'2016-09-08 19:13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16" s="54" t="str">
        <f t="shared" ref="W116:W147" si="65">IF(AA116&lt;IF(AG116="EC",23,5.65),"Y","N")</f>
        <v>N</v>
      </c>
      <c r="X116" s="172">
        <f t="shared" si="60"/>
        <v>1</v>
      </c>
      <c r="Y116" s="69">
        <f t="shared" ref="Y116:Y147" si="66">RIGHT(D116,LEN(D116)-4)/10000</f>
        <v>23.305299999999999</v>
      </c>
      <c r="Z116" s="69">
        <f t="shared" ref="Z116:Z147" si="67">RIGHT(H116,LEN(H116)-4)/10000</f>
        <v>1.47E-2</v>
      </c>
      <c r="AA116" s="69">
        <f t="shared" ref="AA116:AA147" si="68">ABS(Z116-Y116)</f>
        <v>23.290599999999998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 t="shared" si="46"/>
        <v>0204-08</v>
      </c>
      <c r="AE116" s="99" t="str">
        <f t="shared" ref="AE116:AE147" si="69">"aws s3 cp "&amp;s3_bucket&amp;"/RTDC"&amp;B116&amp;"/"&amp;TEXT(F116,"YYYY-MM-DD")&amp;"/ "&amp;search_path&amp;"\RTDC"&amp;B116&amp;"\"&amp;TEXT(F116,"YYYY-MM-DD")&amp;" --recursive &amp; """&amp;walkandungz&amp;""" "&amp;search_path&amp;"\RTDC"&amp;B116&amp;"\"&amp;TEXT(F116,"YYYY-MM-DD")
&amp;" &amp; "&amp;"aws s3 cp "&amp;s3_bucket&amp;"/RTDC"&amp;B116&amp;"/"&amp;TEXT(F116+1,"YYYY-MM-DD")&amp;"/ "&amp;search_path&amp;"\RTDC"&amp;B116&amp;"\"&amp;TEXT(F116+1,"YYYY-MM-DD")&amp;" --recursive &amp; """&amp;walkandungz&amp;""" "&amp;search_path&amp;"\RTDC"&amp;B116&amp;"\"&amp;TEXT(F116+1,"YYYY-MM-DD")</f>
        <v>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 &amp; 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</v>
      </c>
      <c r="AF116" s="96" t="str">
        <f t="shared" ref="AF116:AF147" si="70">astrogrep_path&amp;" /spath="&amp;search_path&amp;" /stypes=""*"&amp;B116&amp;"*"&amp;TEXT(I116-utc_offset/24,"YYYYMMDD")&amp;"*"" /stext="" "&amp;TEXT(I116-utc_offset/24,"HH")&amp;search_regexp&amp;""" /e /r /s"</f>
        <v>"C:\Program Files (x86)\AstroGrep\AstroGrep.exe" /spath="%USERPROFILE%\AppData\Local\Temp\OnboardLogs" /stypes="*4032*20160909*" /stext=" 00:.+((SYSTEM_STATE.+slice.+state.+changed )|(ment ac)|(system.+state.+changed )|(\|lc)|(penalty)|(\[timeout)|(PRM\|1\|D)|(kpr)|(kdp))" /e /r /s</v>
      </c>
      <c r="AG116" s="1" t="str">
        <f t="shared" si="47"/>
        <v>EC</v>
      </c>
      <c r="AH116" s="100" t="str">
        <f t="shared" si="58"/>
        <v>"%USERPROFILE%\Documents\GitHub\eaglep3\Utilities\RefineRTDCRunTimes.py" --tripid 204-08 --locoid 4032 --swversion DE.1.0.7.0 --startMP 204:233053 --initTime 2016-09-08T17:18:00 --startdatetime 2016-09-08T17:26:21 --delay 1 --endMP 204:147 --enddatetime 2016-09-08T18:13:11 --enforcementcount 0 &gt;&gt;C:\Users\stu\Documents\GitHub\eaglep3-reporting\EC\2016-09-08-refined-times.txt</v>
      </c>
      <c r="AI116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{"issue":{"subject":"","project_id":79,"tracker_id":40,"status_id":1,"priority_id":2,"assigned_to_id":23,"start_date":"2016-09-08","description":"","custom_fields":[{"id":1,"name":"Subdivision","value":"EC"},{"id":4,"name":"Milepost","value":"23.2906"},{"id":17,"name":"Train ID","value":"204-08"},{"id":16,"name":"Locomotive ID","value":"4032"},{"id":130,"name":"Impact","value":""},{"id":150,"name":"Time of Event (Mountain Time)","value":"18:13:11"},{"id":151,"name":"Denver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487</v>
      </c>
      <c r="B117" s="7">
        <v>4014</v>
      </c>
      <c r="C117" s="24" t="s">
        <v>109</v>
      </c>
      <c r="D117" s="24" t="s">
        <v>360</v>
      </c>
      <c r="E117" s="15">
        <v>42621.694212962961</v>
      </c>
      <c r="F117" s="15">
        <v>42621.698159722226</v>
      </c>
      <c r="G117" s="7">
        <v>2</v>
      </c>
      <c r="H117" s="15" t="s">
        <v>570</v>
      </c>
      <c r="I117" s="15">
        <v>42621.726342592592</v>
      </c>
      <c r="J117" s="7">
        <v>0</v>
      </c>
      <c r="K117" s="122" t="str">
        <f t="shared" si="44"/>
        <v>4013/4014</v>
      </c>
      <c r="L117" s="24" t="str">
        <f>VLOOKUP(A117,'Trips&amp;Operators'!$C$1:$E$10000,3,FALSE)</f>
        <v>MOSES</v>
      </c>
      <c r="M117" s="6">
        <f t="shared" si="61"/>
        <v>2.8182870366435964E-2</v>
      </c>
      <c r="N117" s="7">
        <f t="shared" si="62"/>
        <v>40.583333327667788</v>
      </c>
      <c r="O117" s="7"/>
      <c r="P117" s="7"/>
      <c r="Q117" s="25"/>
      <c r="R117" s="25"/>
      <c r="S117" s="37">
        <f t="shared" si="63"/>
        <v>1</v>
      </c>
      <c r="T117" s="52" t="str">
        <f t="shared" si="45"/>
        <v>NorthBound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15:39:40-0600',mode:absolute,to:'2016-09-08 18:25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17" s="54" t="str">
        <f t="shared" si="65"/>
        <v>N</v>
      </c>
      <c r="X117" s="172">
        <f t="shared" si="60"/>
        <v>1</v>
      </c>
      <c r="Y117" s="69">
        <f t="shared" si="66"/>
        <v>4.6600000000000003E-2</v>
      </c>
      <c r="Z117" s="69">
        <f t="shared" si="67"/>
        <v>23.331499999999998</v>
      </c>
      <c r="AA117" s="69">
        <f t="shared" si="68"/>
        <v>23.284899999999997</v>
      </c>
      <c r="AB117" s="66" t="str">
        <f>VLOOKUP(A117,Enforcements!$C$7:$K$21,8,0)</f>
        <v>Speed (6)</v>
      </c>
      <c r="AC117" s="62" t="str">
        <f>VLOOKUP(A117,Enforcements!$C$7:$E$21,3,0)</f>
        <v>PERMANENT SPEED RESTRICTION</v>
      </c>
      <c r="AD117" s="63" t="str">
        <f t="shared" si="46"/>
        <v>0205-08</v>
      </c>
      <c r="AE117" s="99" t="str">
        <f t="shared" si="69"/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AF117" s="96" t="str">
        <f t="shared" si="70"/>
        <v>"C:\Program Files (x86)\AstroGrep\AstroGrep.exe" /spath="%USERPROFILE%\AppData\Local\Temp\OnboardLogs" /stypes="*4014*20160908*" /stext=" 23:.+((SYSTEM_STATE.+slice.+state.+changed )|(ment ac)|(system.+state.+changed )|(\|lc)|(penalty)|(\[timeout)|(PRM\|1\|D)|(kpr)|(kdp))" /e /r /s</v>
      </c>
      <c r="AG117" s="1" t="str">
        <f t="shared" si="47"/>
        <v>EC</v>
      </c>
      <c r="AH117" s="100" t="str">
        <f t="shared" si="58"/>
        <v>"%USERPROFILE%\Documents\GitHub\eaglep3\Utilities\RefineRTDCRunTimes.py" --tripid 205-08 --locoid 4014 --swversion DE.1.0.7.0 --startMP 204:466 --initTime 2016-09-08T16:39:40 --startdatetime 2016-09-08T16:45:21 --delay 2 --endMP 204:233315 --enddatetime 2016-09-08T17:25:56 --enforcementcount 0 &gt;&gt;C:\Users\stu\Documents\GitHub\eaglep3-reporting\EC\2016-09-08-refined-times.txt</v>
      </c>
      <c r="AI117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{"issue":{"subject":"","project_id":79,"tracker_id":40,"status_id":1,"priority_id":2,"assigned_to_id":23,"start_date":"2016-09-08","description":"","custom_fields":[{"id":1,"name":"Subdivision","value":"EC"},{"id":4,"name":"Milepost","value":"23.2849"},{"id":17,"name":"Train ID","value":"205-08"},{"id":16,"name":"Locomotive ID","value":"4014"},{"id":130,"name":"Impact","value":""},{"id":150,"name":"Time of Event (Mountain Time)","value":"17:25:56"},{"id":151,"name":"Denver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497</v>
      </c>
      <c r="B118" s="7">
        <v>4013</v>
      </c>
      <c r="C118" s="24" t="s">
        <v>109</v>
      </c>
      <c r="D118" s="24" t="s">
        <v>571</v>
      </c>
      <c r="E118" s="15">
        <v>42621.733564814815</v>
      </c>
      <c r="F118" s="15">
        <v>42621.737245370372</v>
      </c>
      <c r="G118" s="7">
        <v>1</v>
      </c>
      <c r="H118" s="15" t="s">
        <v>572</v>
      </c>
      <c r="I118" s="15">
        <v>42621.768090277779</v>
      </c>
      <c r="J118" s="7">
        <v>0</v>
      </c>
      <c r="K118" s="122" t="str">
        <f t="shared" si="44"/>
        <v>4013/4014</v>
      </c>
      <c r="L118" s="24" t="str">
        <f>VLOOKUP(A118,'Trips&amp;Operators'!$C$1:$E$10000,3,FALSE)</f>
        <v>MOSES</v>
      </c>
      <c r="M118" s="6">
        <f t="shared" si="61"/>
        <v>3.0844907407299615E-2</v>
      </c>
      <c r="N118" s="7">
        <f t="shared" si="62"/>
        <v>44.416666666511446</v>
      </c>
      <c r="O118" s="7"/>
      <c r="P118" s="7"/>
      <c r="Q118" s="25"/>
      <c r="R118" s="25"/>
      <c r="S118" s="37">
        <f t="shared" si="63"/>
        <v>1</v>
      </c>
      <c r="T118" s="52" t="str">
        <f t="shared" si="45"/>
        <v>Southbound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16:36:20-0600',mode:absolute,to:'2016-09-08 19:26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18" s="54" t="str">
        <f t="shared" si="65"/>
        <v>N</v>
      </c>
      <c r="X118" s="172">
        <f t="shared" si="60"/>
        <v>1</v>
      </c>
      <c r="Y118" s="69">
        <f t="shared" si="66"/>
        <v>23.2989</v>
      </c>
      <c r="Z118" s="69">
        <f t="shared" si="67"/>
        <v>1.7600000000000001E-2</v>
      </c>
      <c r="AA118" s="69">
        <f t="shared" si="68"/>
        <v>23.281299999999998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46"/>
        <v>0206-08</v>
      </c>
      <c r="AE118" s="99" t="str">
        <f t="shared" si="69"/>
        <v>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 &amp; aws s3 cp s3://rtdc.mdm.uploadarchive/RTDC4013/2016-09-09/ "%USERPROFILE%\AppData\Local\Temp\OnboardLogs"\RTDC4013\2016-09-09 --recursive &amp; "%USERPROFILE%\Documents\GitHub\mrs-test-scripts\Headless Mode &amp; Sideloading\WalkAndUnGZ.bat" "%USERPROFILE%\AppData\Local\Temp\OnboardLogs"\RTDC4013\2016-09-09</v>
      </c>
      <c r="AF118" s="96" t="str">
        <f t="shared" si="70"/>
        <v>"C:\Program Files (x86)\AstroGrep\AstroGrep.exe" /spath="%USERPROFILE%\AppData\Local\Temp\OnboardLogs" /stypes="*4013*20160909*" /stext=" 00:.+((SYSTEM_STATE.+slice.+state.+changed )|(ment ac)|(system.+state.+changed )|(\|lc)|(penalty)|(\[timeout)|(PRM\|1\|D)|(kpr)|(kdp))" /e /r /s</v>
      </c>
      <c r="AG118" s="1" t="str">
        <f t="shared" si="47"/>
        <v>EC</v>
      </c>
      <c r="AH118" s="100" t="str">
        <f t="shared" si="58"/>
        <v>"%USERPROFILE%\Documents\GitHub\eaglep3\Utilities\RefineRTDCRunTimes.py" --tripid 206-08 --locoid 4013 --swversion DE.1.0.7.0 --startMP 204:232989 --initTime 2016-09-08T17:36:20 --startdatetime 2016-09-08T17:41:38 --delay 1 --endMP 204:176 --enddatetime 2016-09-08T18:26:03 --enforcementcount 0 &gt;&gt;C:\Users\stu\Documents\GitHub\eaglep3-reporting\EC\2016-09-08-refined-times.txt</v>
      </c>
      <c r="AI118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{"issue":{"subject":"","project_id":79,"tracker_id":40,"status_id":1,"priority_id":2,"assigned_to_id":23,"start_date":"2016-09-08","description":"","custom_fields":[{"id":1,"name":"Subdivision","value":"EC"},{"id":4,"name":"Milepost","value":"23.2813"},{"id":17,"name":"Train ID","value":"206-08"},{"id":16,"name":"Locomotive ID","value":"4013"},{"id":130,"name":"Impact","value":""},{"id":150,"name":"Time of Event (Mountain Time)","value":"18:26:03"},{"id":151,"name":"Denver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573</v>
      </c>
      <c r="B119" s="7">
        <v>4009</v>
      </c>
      <c r="C119" s="24" t="s">
        <v>109</v>
      </c>
      <c r="D119" s="24" t="s">
        <v>574</v>
      </c>
      <c r="E119" s="15">
        <v>42621.70521990741</v>
      </c>
      <c r="F119" s="15">
        <v>42621.709004629629</v>
      </c>
      <c r="G119" s="7">
        <v>1</v>
      </c>
      <c r="H119" s="15" t="s">
        <v>575</v>
      </c>
      <c r="I119" s="15">
        <v>42621.737685185188</v>
      </c>
      <c r="J119" s="7">
        <v>0</v>
      </c>
      <c r="K119" s="122" t="str">
        <f t="shared" si="44"/>
        <v>4009/4010</v>
      </c>
      <c r="L119" s="24" t="str">
        <f>VLOOKUP(A119,'Trips&amp;Operators'!$C$1:$E$10000,3,FALSE)</f>
        <v>MAHAN</v>
      </c>
      <c r="M119" s="6">
        <f t="shared" si="61"/>
        <v>2.8680555558821652E-2</v>
      </c>
      <c r="N119" s="7">
        <f t="shared" si="62"/>
        <v>41.300000004703179</v>
      </c>
      <c r="O119" s="7"/>
      <c r="P119" s="7"/>
      <c r="Q119" s="25"/>
      <c r="R119" s="25"/>
      <c r="S119" s="37">
        <f t="shared" si="63"/>
        <v>1</v>
      </c>
      <c r="T119" s="52" t="str">
        <f t="shared" si="45"/>
        <v>NorthBound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15:55:31-0600',mode:absolute,to:'2016-09-08 18:42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19" s="54" t="str">
        <f t="shared" si="65"/>
        <v>N</v>
      </c>
      <c r="X119" s="172">
        <f t="shared" ref="X119:X150" si="71">VALUE(LEFT(AD119,4))-VALUE(LEFT(AD118,4))</f>
        <v>1</v>
      </c>
      <c r="Y119" s="69">
        <f t="shared" si="66"/>
        <v>5.33E-2</v>
      </c>
      <c r="Z119" s="69">
        <f t="shared" si="67"/>
        <v>23.330100000000002</v>
      </c>
      <c r="AA119" s="69">
        <f t="shared" si="68"/>
        <v>23.276800000000001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 t="shared" si="46"/>
        <v>0207-08</v>
      </c>
      <c r="AE119" s="99" t="str">
        <f t="shared" si="69"/>
        <v>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 &amp; 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</v>
      </c>
      <c r="AF119" s="96" t="str">
        <f t="shared" si="70"/>
        <v>"C:\Program Files (x86)\AstroGrep\AstroGrep.exe" /spath="%USERPROFILE%\AppData\Local\Temp\OnboardLogs" /stypes="*4009*20160908*" /stext=" 23:.+((SYSTEM_STATE.+slice.+state.+changed )|(ment ac)|(system.+state.+changed )|(\|lc)|(penalty)|(\[timeout)|(PRM\|1\|D)|(kpr)|(kdp))" /e /r /s</v>
      </c>
      <c r="AG119" s="1" t="str">
        <f t="shared" si="47"/>
        <v>EC</v>
      </c>
      <c r="AH119" s="100" t="str">
        <f t="shared" si="58"/>
        <v>"%USERPROFILE%\Documents\GitHub\eaglep3\Utilities\RefineRTDCRunTimes.py" --tripid 207-08 --locoid 4009 --swversion DE.1.0.7.0 --startMP 204:533 --initTime 2016-09-08T16:55:31 --startdatetime 2016-09-08T17:00:58 --delay 1 --endMP 204:233301 --enddatetime 2016-09-08T17:42:16 --enforcementcount 0 &gt;&gt;C:\Users\stu\Documents\GitHub\eaglep3-reporting\EC\2016-09-08-refined-times.txt</v>
      </c>
      <c r="AI119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{"issue":{"subject":"","project_id":79,"tracker_id":40,"status_id":1,"priority_id":2,"assigned_to_id":23,"start_date":"2016-09-08","description":"","custom_fields":[{"id":1,"name":"Subdivision","value":"EC"},{"id":4,"name":"Milepost","value":"23.2768"},{"id":17,"name":"Train ID","value":"207-08"},{"id":16,"name":"Locomotive ID","value":"4009"},{"id":130,"name":"Impact","value":""},{"id":150,"name":"Time of Event (Mountain Time)","value":"17:42:16"},{"id":151,"name":"Denver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x14ac:dyDescent="0.25">
      <c r="A120" s="39" t="s">
        <v>576</v>
      </c>
      <c r="B120" s="7">
        <v>4010</v>
      </c>
      <c r="C120" s="24" t="s">
        <v>109</v>
      </c>
      <c r="D120" s="24" t="s">
        <v>282</v>
      </c>
      <c r="E120" s="15">
        <v>42621.740370370368</v>
      </c>
      <c r="F120" s="15">
        <v>42621.747789351852</v>
      </c>
      <c r="G120" s="7">
        <v>1</v>
      </c>
      <c r="H120" s="15" t="s">
        <v>577</v>
      </c>
      <c r="I120" s="15">
        <v>42621.77616898148</v>
      </c>
      <c r="J120" s="7">
        <v>0</v>
      </c>
      <c r="K120" s="122" t="str">
        <f t="shared" si="44"/>
        <v>4009/4010</v>
      </c>
      <c r="L120" s="24" t="str">
        <f>VLOOKUP(A120,'Trips&amp;Operators'!$C$1:$E$10000,3,FALSE)</f>
        <v>MAHAN</v>
      </c>
      <c r="M120" s="6">
        <f t="shared" si="61"/>
        <v>2.8379629628034309E-2</v>
      </c>
      <c r="N120" s="7">
        <f t="shared" si="62"/>
        <v>40.866666664369404</v>
      </c>
      <c r="O120" s="7"/>
      <c r="P120" s="7"/>
      <c r="Q120" s="25"/>
      <c r="R120" s="25"/>
      <c r="S120" s="37">
        <f t="shared" si="63"/>
        <v>1</v>
      </c>
      <c r="T120" s="52" t="str">
        <f t="shared" si="45"/>
        <v>Southbound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16:46:08-0600',mode:absolute,to:'2016-09-08 19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20" s="54" t="str">
        <f t="shared" si="65"/>
        <v>N</v>
      </c>
      <c r="X120" s="172">
        <f t="shared" si="71"/>
        <v>1</v>
      </c>
      <c r="Y120" s="69">
        <f t="shared" si="66"/>
        <v>23.298200000000001</v>
      </c>
      <c r="Z120" s="69">
        <f t="shared" si="67"/>
        <v>3.6200000000000003E-2</v>
      </c>
      <c r="AA120" s="69">
        <f t="shared" si="68"/>
        <v>23.262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46"/>
        <v>0208-08</v>
      </c>
      <c r="AE120" s="99" t="str">
        <f t="shared" si="69"/>
        <v>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 &amp; 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</v>
      </c>
      <c r="AF120" s="96" t="str">
        <f t="shared" si="70"/>
        <v>"C:\Program Files (x86)\AstroGrep\AstroGrep.exe" /spath="%USERPROFILE%\AppData\Local\Temp\OnboardLogs" /stypes="*4010*20160909*" /stext=" 00:.+((SYSTEM_STATE.+slice.+state.+changed )|(ment ac)|(system.+state.+changed )|(\|lc)|(penalty)|(\[timeout)|(PRM\|1\|D)|(kpr)|(kdp))" /e /r /s</v>
      </c>
      <c r="AG120" s="1" t="str">
        <f t="shared" si="47"/>
        <v>EC</v>
      </c>
      <c r="AH120" s="100" t="str">
        <f t="shared" si="58"/>
        <v>"%USERPROFILE%\Documents\GitHub\eaglep3\Utilities\RefineRTDCRunTimes.py" --tripid 208-08 --locoid 4010 --swversion DE.1.0.7.0 --startMP 204:232982 --initTime 2016-09-08T17:46:08 --startdatetime 2016-09-08T17:56:49 --delay 1 --endMP 204:362 --enddatetime 2016-09-08T18:37:41 --enforcementcount 0 &gt;&gt;C:\Users\stu\Documents\GitHub\eaglep3-reporting\EC\2016-09-08-refined-times.txt</v>
      </c>
      <c r="AI120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{"issue":{"subject":"","project_id":79,"tracker_id":40,"status_id":1,"priority_id":2,"assigned_to_id":23,"start_date":"2016-09-08","description":"","custom_fields":[{"id":1,"name":"Subdivision","value":"EC"},{"id":4,"name":"Milepost","value":"23.262"},{"id":17,"name":"Train ID","value":"208-08"},{"id":16,"name":"Locomotive ID","value":"4010"},{"id":130,"name":"Impact","value":""},{"id":150,"name":"Time of Event (Mountain Time)","value":"18:37:41"},{"id":151,"name":"Denver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578</v>
      </c>
      <c r="B121" s="7">
        <v>4018</v>
      </c>
      <c r="C121" s="24" t="s">
        <v>109</v>
      </c>
      <c r="D121" s="24" t="s">
        <v>543</v>
      </c>
      <c r="E121" s="15">
        <v>42621.71802083333</v>
      </c>
      <c r="F121" s="15">
        <v>42621.720034722224</v>
      </c>
      <c r="G121" s="7">
        <v>1</v>
      </c>
      <c r="H121" s="15" t="s">
        <v>298</v>
      </c>
      <c r="I121" s="15">
        <v>42621.747858796298</v>
      </c>
      <c r="J121" s="7">
        <v>0</v>
      </c>
      <c r="K121" s="122" t="str">
        <f t="shared" si="44"/>
        <v>4017/4018</v>
      </c>
      <c r="L121" s="24" t="str">
        <f>VLOOKUP(A121,'Trips&amp;Operators'!$C$1:$E$10000,3,FALSE)</f>
        <v>DELGADO</v>
      </c>
      <c r="M121" s="6">
        <f t="shared" si="61"/>
        <v>2.7824074073578231E-2</v>
      </c>
      <c r="N121" s="7">
        <f t="shared" si="62"/>
        <v>40.066666665952653</v>
      </c>
      <c r="O121" s="7"/>
      <c r="P121" s="7"/>
      <c r="Q121" s="25"/>
      <c r="R121" s="25"/>
      <c r="S121" s="37">
        <f t="shared" si="63"/>
        <v>1</v>
      </c>
      <c r="T121" s="52" t="str">
        <f t="shared" si="45"/>
        <v>NorthBound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16:13:57-0600',mode:absolute,to:'2016-09-08 18:56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21" s="54" t="str">
        <f t="shared" si="65"/>
        <v>N</v>
      </c>
      <c r="X121" s="172">
        <f t="shared" si="71"/>
        <v>1</v>
      </c>
      <c r="Y121" s="69">
        <f t="shared" si="66"/>
        <v>4.58E-2</v>
      </c>
      <c r="Z121" s="69">
        <f t="shared" si="67"/>
        <v>23.330200000000001</v>
      </c>
      <c r="AA121" s="69">
        <f t="shared" si="68"/>
        <v>23.284400000000002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 t="shared" si="46"/>
        <v>0209-08</v>
      </c>
      <c r="AE121" s="99" t="str">
        <f t="shared" si="69"/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AF121" s="96" t="str">
        <f t="shared" si="70"/>
        <v>"C:\Program Files (x86)\AstroGrep\AstroGrep.exe" /spath="%USERPROFILE%\AppData\Local\Temp\OnboardLogs" /stypes="*4018*20160908*" /stext=" 23:.+((SYSTEM_STATE.+slice.+state.+changed )|(ment ac)|(system.+state.+changed )|(\|lc)|(penalty)|(\[timeout)|(PRM\|1\|D)|(kpr)|(kdp))" /e /r /s</v>
      </c>
      <c r="AG121" s="1" t="str">
        <f t="shared" si="47"/>
        <v>EC</v>
      </c>
      <c r="AH121" s="100" t="str">
        <f t="shared" si="58"/>
        <v>"%USERPROFILE%\Documents\GitHub\eaglep3\Utilities\RefineRTDCRunTimes.py" --tripid 209-08 --locoid 4018 --swversion DE.1.0.7.0 --startMP 204:458 --initTime 2016-09-08T17:13:57 --startdatetime 2016-09-08T17:16:51 --delay 1 --endMP 204:233302 --enddatetime 2016-09-08T17:56:55 --enforcementcount 0 &gt;&gt;C:\Users\stu\Documents\GitHub\eaglep3-reporting\EC\2016-09-08-refined-times.txt</v>
      </c>
      <c r="AI121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{"issue":{"subject":"","project_id":79,"tracker_id":40,"status_id":1,"priority_id":2,"assigned_to_id":23,"start_date":"2016-09-08","description":"","custom_fields":[{"id":1,"name":"Subdivision","value":"EC"},{"id":4,"name":"Milepost","value":"23.2844"},{"id":17,"name":"Train ID","value":"209-08"},{"id":16,"name":"Locomotive ID","value":"4018"},{"id":130,"name":"Impact","value":""},{"id":150,"name":"Time of Event (Mountain Time)","value":"17:56:55"},{"id":151,"name":"Denver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579</v>
      </c>
      <c r="B122" s="7">
        <v>4017</v>
      </c>
      <c r="C122" s="24" t="s">
        <v>109</v>
      </c>
      <c r="D122" s="24" t="s">
        <v>580</v>
      </c>
      <c r="E122" s="15">
        <v>42621.752337962964</v>
      </c>
      <c r="F122" s="15">
        <v>42621.757916666669</v>
      </c>
      <c r="G122" s="7">
        <v>1</v>
      </c>
      <c r="H122" s="15" t="s">
        <v>266</v>
      </c>
      <c r="I122" s="15">
        <v>42621.785162037035</v>
      </c>
      <c r="J122" s="7">
        <v>0</v>
      </c>
      <c r="K122" s="122" t="str">
        <f t="shared" si="44"/>
        <v>4017/4018</v>
      </c>
      <c r="L122" s="24" t="str">
        <f>VLOOKUP(A122,'Trips&amp;Operators'!$C$1:$E$10000,3,FALSE)</f>
        <v>DELGADO</v>
      </c>
      <c r="M122" s="6">
        <f t="shared" si="61"/>
        <v>2.7245370365562849E-2</v>
      </c>
      <c r="N122" s="7">
        <f t="shared" si="62"/>
        <v>39.233333326410502</v>
      </c>
      <c r="O122" s="7"/>
      <c r="P122" s="7"/>
      <c r="Q122" s="25"/>
      <c r="R122" s="25"/>
      <c r="S122" s="37">
        <f t="shared" si="63"/>
        <v>1</v>
      </c>
      <c r="T122" s="52" t="str">
        <f t="shared" si="45"/>
        <v>Southbound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17:03:22-0600',mode:absolute,to:'2016-09-08 19:50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22" s="54" t="str">
        <f t="shared" si="65"/>
        <v>N</v>
      </c>
      <c r="X122" s="172">
        <f t="shared" si="71"/>
        <v>1</v>
      </c>
      <c r="Y122" s="69">
        <f t="shared" si="66"/>
        <v>23.299299999999999</v>
      </c>
      <c r="Z122" s="69">
        <f t="shared" si="67"/>
        <v>1.49E-2</v>
      </c>
      <c r="AA122" s="69">
        <f t="shared" si="68"/>
        <v>23.284399999999998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 t="shared" si="46"/>
        <v>0210-08</v>
      </c>
      <c r="AE122" s="99" t="str">
        <f t="shared" si="69"/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AF122" s="96" t="str">
        <f t="shared" si="70"/>
        <v>"C:\Program Files (x86)\AstroGrep\AstroGrep.exe" /spath="%USERPROFILE%\AppData\Local\Temp\OnboardLogs" /stypes="*4017*20160909*" /stext=" 00:.+((SYSTEM_STATE.+slice.+state.+changed )|(ment ac)|(system.+state.+changed )|(\|lc)|(penalty)|(\[timeout)|(PRM\|1\|D)|(kpr)|(kdp))" /e /r /s</v>
      </c>
      <c r="AG122" s="1" t="str">
        <f t="shared" si="47"/>
        <v>EC</v>
      </c>
      <c r="AH122" s="100" t="str">
        <f t="shared" si="58"/>
        <v>"%USERPROFILE%\Documents\GitHub\eaglep3\Utilities\RefineRTDCRunTimes.py" --tripid 210-08 --locoid 4017 --swversion DE.1.0.7.0 --startMP 204:232993 --initTime 2016-09-08T18:03:22 --startdatetime 2016-09-08T18:11:24 --delay 1 --endMP 204:149 --enddatetime 2016-09-08T18:50:38 --enforcementcount 0 &gt;&gt;C:\Users\stu\Documents\GitHub\eaglep3-reporting\EC\2016-09-08-refined-times.txt</v>
      </c>
      <c r="AI122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{"issue":{"subject":"","project_id":79,"tracker_id":40,"status_id":1,"priority_id":2,"assigned_to_id":23,"start_date":"2016-09-08","description":"","custom_fields":[{"id":1,"name":"Subdivision","value":"EC"},{"id":4,"name":"Milepost","value":"23.2844"},{"id":17,"name":"Train ID","value":"210-08"},{"id":16,"name":"Locomotive ID","value":"4017"},{"id":130,"name":"Impact","value":""},{"id":150,"name":"Time of Event (Mountain Time)","value":"18:50:38"},{"id":151,"name":"Denver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581</v>
      </c>
      <c r="B123" s="7">
        <v>4040</v>
      </c>
      <c r="C123" s="24" t="s">
        <v>109</v>
      </c>
      <c r="D123" s="24" t="s">
        <v>582</v>
      </c>
      <c r="E123" s="15">
        <v>42621.725949074076</v>
      </c>
      <c r="F123" s="15">
        <v>42621.729664351849</v>
      </c>
      <c r="G123" s="7">
        <v>2</v>
      </c>
      <c r="H123" s="15" t="s">
        <v>303</v>
      </c>
      <c r="I123" s="15">
        <v>42621.754861111112</v>
      </c>
      <c r="J123" s="7">
        <v>0</v>
      </c>
      <c r="K123" s="122" t="str">
        <f t="shared" si="44"/>
        <v>4039/4040</v>
      </c>
      <c r="L123" s="24" t="str">
        <f>VLOOKUP(A123,'Trips&amp;Operators'!$C$1:$E$10000,3,FALSE)</f>
        <v>KILLION</v>
      </c>
      <c r="M123" s="6">
        <f t="shared" si="61"/>
        <v>2.5196759263053536E-2</v>
      </c>
      <c r="N123" s="7">
        <f t="shared" si="62"/>
        <v>36.283333338797092</v>
      </c>
      <c r="O123" s="7"/>
      <c r="P123" s="7"/>
      <c r="Q123" s="25"/>
      <c r="R123" s="25"/>
      <c r="S123" s="37">
        <f t="shared" si="63"/>
        <v>1</v>
      </c>
      <c r="T123" s="52" t="str">
        <f t="shared" si="45"/>
        <v>NorthBound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16:25:22-0600',mode:absolute,to:'2016-09-08 19:07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23" s="54" t="str">
        <f t="shared" si="65"/>
        <v>N</v>
      </c>
      <c r="X123" s="172">
        <f t="shared" si="71"/>
        <v>1</v>
      </c>
      <c r="Y123" s="69">
        <f t="shared" si="66"/>
        <v>5.1900000000000002E-2</v>
      </c>
      <c r="Z123" s="69">
        <f t="shared" si="67"/>
        <v>23.328800000000001</v>
      </c>
      <c r="AA123" s="69">
        <f t="shared" si="68"/>
        <v>23.276900000000001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46"/>
        <v>0211-08</v>
      </c>
      <c r="AE123" s="99" t="str">
        <f t="shared" si="69"/>
        <v>aws s3 cp s3://rtdc.mdm.uploadarchive/RTDC4040/2016-09-08/ "%USERPROFILE%\AppData\Local\Temp\OnboardLogs"\RTDC4040\2016-09-08 --recursive &amp; "%USERPROFILE%\Documents\GitHub\mrs-test-scripts\Headless Mode &amp; Sideloading\WalkAndUnGZ.bat" "%USERPROFILE%\AppData\Local\Temp\OnboardLogs"\RTDC4040\2016-09-08 &amp; aws s3 cp s3://rtdc.mdm.uploadarchive/RTDC4040/2016-09-09/ "%USERPROFILE%\AppData\Local\Temp\OnboardLogs"\RTDC4040\2016-09-09 --recursive &amp; "%USERPROFILE%\Documents\GitHub\mrs-test-scripts\Headless Mode &amp; Sideloading\WalkAndUnGZ.bat" "%USERPROFILE%\AppData\Local\Temp\OnboardLogs"\RTDC4040\2016-09-09</v>
      </c>
      <c r="AF123" s="96" t="str">
        <f t="shared" si="70"/>
        <v>"C:\Program Files (x86)\AstroGrep\AstroGrep.exe" /spath="%USERPROFILE%\AppData\Local\Temp\OnboardLogs" /stypes="*4040*20160909*" /stext=" 00:.+((SYSTEM_STATE.+slice.+state.+changed )|(ment ac)|(system.+state.+changed )|(\|lc)|(penalty)|(\[timeout)|(PRM\|1\|D)|(kpr)|(kdp))" /e /r /s</v>
      </c>
      <c r="AG123" s="1" t="str">
        <f t="shared" si="47"/>
        <v>EC</v>
      </c>
      <c r="AH123" s="100" t="str">
        <f t="shared" si="58"/>
        <v>"%USERPROFILE%\Documents\GitHub\eaglep3\Utilities\RefineRTDCRunTimes.py" --tripid 211-08 --locoid 4040 --swversion DE.1.0.7.0 --startMP 204:519 --initTime 2016-09-08T17:25:22 --startdatetime 2016-09-08T17:30:43 --delay 2 --endMP 204:233288 --enddatetime 2016-09-08T18:07:00 --enforcementcount 0 &gt;&gt;C:\Users\stu\Documents\GitHub\eaglep3-reporting\EC\2016-09-08-refined-times.txt</v>
      </c>
      <c r="AI123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{"issue":{"subject":"","project_id":79,"tracker_id":40,"status_id":1,"priority_id":2,"assigned_to_id":23,"start_date":"2016-09-08","description":"","custom_fields":[{"id":1,"name":"Subdivision","value":"EC"},{"id":4,"name":"Milepost","value":"23.2769"},{"id":17,"name":"Train ID","value":"211-08"},{"id":16,"name":"Locomotive ID","value":"4040"},{"id":130,"name":"Impact","value":""},{"id":150,"name":"Time of Event (Mountain Time)","value":"18:07:00"},{"id":151,"name":"Denver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x14ac:dyDescent="0.25">
      <c r="A124" s="39" t="s">
        <v>499</v>
      </c>
      <c r="B124" s="7">
        <v>4039</v>
      </c>
      <c r="C124" s="24" t="s">
        <v>109</v>
      </c>
      <c r="D124" s="24" t="s">
        <v>583</v>
      </c>
      <c r="E124" s="15">
        <v>42621.760254629633</v>
      </c>
      <c r="F124" s="15">
        <v>42621.768900462965</v>
      </c>
      <c r="G124" s="7">
        <v>1</v>
      </c>
      <c r="H124" s="15" t="s">
        <v>584</v>
      </c>
      <c r="I124" s="15">
        <v>42621.796770833331</v>
      </c>
      <c r="J124" s="7">
        <v>0</v>
      </c>
      <c r="K124" s="122" t="str">
        <f t="shared" si="44"/>
        <v>4039/4040</v>
      </c>
      <c r="L124" s="24" t="str">
        <f>VLOOKUP(A124,'Trips&amp;Operators'!$C$1:$E$10000,3,FALSE)</f>
        <v>KILLION</v>
      </c>
      <c r="M124" s="6">
        <f t="shared" si="61"/>
        <v>2.7870370366144925E-2</v>
      </c>
      <c r="N124" s="7">
        <f t="shared" si="62"/>
        <v>40.133333327248693</v>
      </c>
      <c r="O124" s="7"/>
      <c r="P124" s="7"/>
      <c r="Q124" s="25"/>
      <c r="R124" s="25"/>
      <c r="S124" s="37">
        <f t="shared" si="63"/>
        <v>1</v>
      </c>
      <c r="T124" s="52" t="str">
        <f t="shared" si="45"/>
        <v>Southbound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17:14:46-0600',mode:absolute,to:'2016-09-08 20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24" s="54" t="str">
        <f t="shared" si="65"/>
        <v>N</v>
      </c>
      <c r="X124" s="172">
        <f t="shared" si="71"/>
        <v>1</v>
      </c>
      <c r="Y124" s="69">
        <f t="shared" si="66"/>
        <v>23.298400000000001</v>
      </c>
      <c r="Z124" s="69">
        <f t="shared" si="67"/>
        <v>9.5000000000000001E-2</v>
      </c>
      <c r="AA124" s="69">
        <f t="shared" si="68"/>
        <v>23.203400000000002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 t="shared" si="46"/>
        <v>0212-08</v>
      </c>
      <c r="AE124" s="99" t="str">
        <f t="shared" si="69"/>
        <v>aws s3 cp s3://rtdc.mdm.uploadarchive/RTDC4039/2016-09-08/ "%USERPROFILE%\AppData\Local\Temp\OnboardLogs"\RTDC4039\2016-09-08 --recursive &amp; "%USERPROFILE%\Documents\GitHub\mrs-test-scripts\Headless Mode &amp; Sideloading\WalkAndUnGZ.bat" "%USERPROFILE%\AppData\Local\Temp\OnboardLogs"\RTDC4039\2016-09-08 &amp; aws s3 cp s3://rtdc.mdm.uploadarchive/RTDC4039/2016-09-09/ "%USERPROFILE%\AppData\Local\Temp\OnboardLogs"\RTDC4039\2016-09-09 --recursive &amp; "%USERPROFILE%\Documents\GitHub\mrs-test-scripts\Headless Mode &amp; Sideloading\WalkAndUnGZ.bat" "%USERPROFILE%\AppData\Local\Temp\OnboardLogs"\RTDC4039\2016-09-09</v>
      </c>
      <c r="AF124" s="96" t="str">
        <f t="shared" si="70"/>
        <v>"C:\Program Files (x86)\AstroGrep\AstroGrep.exe" /spath="%USERPROFILE%\AppData\Local\Temp\OnboardLogs" /stypes="*4039*20160909*" /stext=" 01:.+((SYSTEM_STATE.+slice.+state.+changed )|(ment ac)|(system.+state.+changed )|(\|lc)|(penalty)|(\[timeout)|(PRM\|1\|D)|(kpr)|(kdp))" /e /r /s</v>
      </c>
      <c r="AG124" s="1" t="str">
        <f t="shared" si="47"/>
        <v>EC</v>
      </c>
      <c r="AH124" s="100" t="str">
        <f t="shared" si="58"/>
        <v>"%USERPROFILE%\Documents\GitHub\eaglep3\Utilities\RefineRTDCRunTimes.py" --tripid 212-08 --locoid 4039 --swversion DE.1.0.7.0 --startMP 204:232984 --initTime 2016-09-08T18:14:46 --startdatetime 2016-09-08T18:27:13 --delay 1 --endMP 204:950 --enddatetime 2016-09-08T19:07:21 --enforcementcount 0 &gt;&gt;C:\Users\stu\Documents\GitHub\eaglep3-reporting\EC\2016-09-08-refined-times.txt</v>
      </c>
      <c r="AI124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{"issue":{"subject":"","project_id":79,"tracker_id":40,"status_id":1,"priority_id":2,"assigned_to_id":23,"start_date":"2016-09-08","description":"","custom_fields":[{"id":1,"name":"Subdivision","value":"EC"},{"id":4,"name":"Milepost","value":"23.2034"},{"id":17,"name":"Train ID","value":"212-08"},{"id":16,"name":"Locomotive ID","value":"4039"},{"id":130,"name":"Impact","value":""},{"id":150,"name":"Time of Event (Mountain Time)","value":"19:07:21"},{"id":151,"name":"Denver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x14ac:dyDescent="0.25">
      <c r="A125" s="39" t="s">
        <v>496</v>
      </c>
      <c r="B125" s="7">
        <v>4016</v>
      </c>
      <c r="C125" s="24" t="s">
        <v>109</v>
      </c>
      <c r="D125" s="24" t="s">
        <v>585</v>
      </c>
      <c r="E125" s="15">
        <v>42621.738703703704</v>
      </c>
      <c r="F125" s="15">
        <v>42621.740648148145</v>
      </c>
      <c r="G125" s="7">
        <v>1</v>
      </c>
      <c r="H125" s="15" t="s">
        <v>586</v>
      </c>
      <c r="I125" s="15">
        <v>42621.765567129631</v>
      </c>
      <c r="J125" s="7">
        <v>0</v>
      </c>
      <c r="K125" s="122" t="str">
        <f t="shared" si="44"/>
        <v>4015/4016</v>
      </c>
      <c r="L125" s="24" t="str">
        <f>VLOOKUP(A125,'Trips&amp;Operators'!$C$1:$E$10000,3,FALSE)</f>
        <v>STAMBAUGH</v>
      </c>
      <c r="M125" s="6">
        <f t="shared" si="61"/>
        <v>2.4918981485825498E-2</v>
      </c>
      <c r="N125" s="7">
        <f t="shared" si="62"/>
        <v>35.883333339588717</v>
      </c>
      <c r="O125" s="7"/>
      <c r="P125" s="7"/>
      <c r="Q125" s="25"/>
      <c r="R125" s="25"/>
      <c r="S125" s="37">
        <f t="shared" si="63"/>
        <v>1</v>
      </c>
      <c r="T125" s="52" t="str">
        <f t="shared" si="45"/>
        <v>NorthBound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16:43:44-0600',mode:absolute,to:'2016-09-08 19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25" s="54" t="str">
        <f t="shared" si="65"/>
        <v>N</v>
      </c>
      <c r="X125" s="172">
        <f t="shared" si="71"/>
        <v>1</v>
      </c>
      <c r="Y125" s="69">
        <f t="shared" si="66"/>
        <v>4.9299999999999997E-2</v>
      </c>
      <c r="Z125" s="69">
        <f t="shared" si="67"/>
        <v>23.337399999999999</v>
      </c>
      <c r="AA125" s="69">
        <f t="shared" si="68"/>
        <v>23.2881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 t="shared" si="46"/>
        <v>0213-08</v>
      </c>
      <c r="AE125" s="99" t="str">
        <f t="shared" si="69"/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AF125" s="96" t="str">
        <f t="shared" si="70"/>
        <v>"C:\Program Files (x86)\AstroGrep\AstroGrep.exe" /spath="%USERPROFILE%\AppData\Local\Temp\OnboardLogs" /stypes="*4016*20160909*" /stext=" 00:.+((SYSTEM_STATE.+slice.+state.+changed )|(ment ac)|(system.+state.+changed )|(\|lc)|(penalty)|(\[timeout)|(PRM\|1\|D)|(kpr)|(kdp))" /e /r /s</v>
      </c>
      <c r="AG125" s="1" t="str">
        <f t="shared" si="47"/>
        <v>EC</v>
      </c>
      <c r="AH125" s="100" t="str">
        <f t="shared" si="58"/>
        <v>"%USERPROFILE%\Documents\GitHub\eaglep3\Utilities\RefineRTDCRunTimes.py" --tripid 213-08 --locoid 4016 --swversion DE.1.0.7.0 --startMP 204:493 --initTime 2016-09-08T17:43:44 --startdatetime 2016-09-08T17:46:32 --delay 1 --endMP 204:233374 --enddatetime 2016-09-08T18:22:25 --enforcementcount 0 &gt;&gt;C:\Users\stu\Documents\GitHub\eaglep3-reporting\EC\2016-09-08-refined-times.txt</v>
      </c>
      <c r="AI125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{"issue":{"subject":"","project_id":79,"tracker_id":40,"status_id":1,"priority_id":2,"assigned_to_id":23,"start_date":"2016-09-08","description":"","custom_fields":[{"id":1,"name":"Subdivision","value":"EC"},{"id":4,"name":"Milepost","value":"23.2881"},{"id":17,"name":"Train ID","value":"213-08"},{"id":16,"name":"Locomotive ID","value":"4016"},{"id":130,"name":"Impact","value":""},{"id":150,"name":"Time of Event (Mountain Time)","value":"18:22:25"},{"id":151,"name":"Denver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x14ac:dyDescent="0.25">
      <c r="A126" s="39" t="s">
        <v>500</v>
      </c>
      <c r="B126" s="7">
        <v>4015</v>
      </c>
      <c r="C126" s="24" t="s">
        <v>109</v>
      </c>
      <c r="D126" s="24" t="s">
        <v>546</v>
      </c>
      <c r="E126" s="15">
        <v>42621.77511574074</v>
      </c>
      <c r="F126" s="15">
        <v>42621.779027777775</v>
      </c>
      <c r="G126" s="7">
        <v>1</v>
      </c>
      <c r="H126" s="15" t="s">
        <v>587</v>
      </c>
      <c r="I126" s="15">
        <v>42621.806192129632</v>
      </c>
      <c r="J126" s="7">
        <v>0</v>
      </c>
      <c r="K126" s="122" t="str">
        <f t="shared" si="44"/>
        <v>4015/4016</v>
      </c>
      <c r="L126" s="24" t="str">
        <f>VLOOKUP(A126,'Trips&amp;Operators'!$C$1:$E$10000,3,FALSE)</f>
        <v>STAMBAUGH</v>
      </c>
      <c r="M126" s="6">
        <f t="shared" si="61"/>
        <v>2.7164351857209112E-2</v>
      </c>
      <c r="N126" s="7">
        <f t="shared" si="62"/>
        <v>39.116666674381122</v>
      </c>
      <c r="O126" s="7"/>
      <c r="P126" s="7"/>
      <c r="Q126" s="25"/>
      <c r="R126" s="25"/>
      <c r="S126" s="37">
        <f t="shared" si="63"/>
        <v>1</v>
      </c>
      <c r="T126" s="52" t="str">
        <f t="shared" si="45"/>
        <v>Southbound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17:36:10-0600',mode:absolute,to:'2016-09-08 20:20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26" s="54" t="str">
        <f t="shared" si="65"/>
        <v>N</v>
      </c>
      <c r="X126" s="172">
        <f t="shared" si="71"/>
        <v>1</v>
      </c>
      <c r="Y126" s="69">
        <f t="shared" si="66"/>
        <v>23.306799999999999</v>
      </c>
      <c r="Z126" s="69">
        <f t="shared" si="67"/>
        <v>1.3599999999999999E-2</v>
      </c>
      <c r="AA126" s="69">
        <f t="shared" si="68"/>
        <v>23.293199999999999</v>
      </c>
      <c r="AB126" s="66" t="str">
        <f>VLOOKUP(A126,Enforcements!$C$7:$K$21,8,0)</f>
        <v>Speed (6)</v>
      </c>
      <c r="AC126" s="62" t="str">
        <f>VLOOKUP(A126,Enforcements!$C$7:$E$21,3,0)</f>
        <v>PERMANENT SPEED RESTRICTION</v>
      </c>
      <c r="AD126" s="63" t="str">
        <f t="shared" si="46"/>
        <v>0214-08</v>
      </c>
      <c r="AE126" s="99" t="str">
        <f t="shared" si="69"/>
        <v>aws s3 cp s3://rtdc.mdm.uploadarchive/RTDC4015/2016-09-08/ "%USERPROFILE%\AppData\Local\Temp\OnboardLogs"\RTDC4015\2016-09-08 --recursive &amp; "%USERPROFILE%\Documents\GitHub\mrs-test-scripts\Headless Mode &amp; Sideloading\WalkAndUnGZ.bat" "%USERPROFILE%\AppData\Local\Temp\OnboardLogs"\RTDC4015\2016-09-08 &amp; 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</v>
      </c>
      <c r="AF126" s="96" t="str">
        <f t="shared" si="70"/>
        <v>"C:\Program Files (x86)\AstroGrep\AstroGrep.exe" /spath="%USERPROFILE%\AppData\Local\Temp\OnboardLogs" /stypes="*4015*20160909*" /stext=" 01:.+((SYSTEM_STATE.+slice.+state.+changed )|(ment ac)|(system.+state.+changed )|(\|lc)|(penalty)|(\[timeout)|(PRM\|1\|D)|(kpr)|(kdp))" /e /r /s</v>
      </c>
      <c r="AG126" s="1" t="str">
        <f t="shared" si="47"/>
        <v>EC</v>
      </c>
      <c r="AH126" s="100" t="str">
        <f t="shared" si="58"/>
        <v>"%USERPROFILE%\Documents\GitHub\eaglep3\Utilities\RefineRTDCRunTimes.py" --tripid 214-08 --locoid 4015 --swversion DE.1.0.7.0 --startMP 204:233068 --initTime 2016-09-08T18:36:10 --startdatetime 2016-09-08T18:41:48 --delay 1 --endMP 204:136 --enddatetime 2016-09-08T19:20:55 --enforcementcount 0 &gt;&gt;C:\Users\stu\Documents\GitHub\eaglep3-reporting\EC\2016-09-08-refined-times.txt</v>
      </c>
      <c r="AI126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{"issue":{"subject":"","project_id":79,"tracker_id":40,"status_id":1,"priority_id":2,"assigned_to_id":23,"start_date":"2016-09-08","description":"","custom_fields":[{"id":1,"name":"Subdivision","value":"EC"},{"id":4,"name":"Milepost","value":"23.2932"},{"id":17,"name":"Train ID","value":"214-08"},{"id":16,"name":"Locomotive ID","value":"4015"},{"id":130,"name":"Impact","value":""},{"id":150,"name":"Time of Event (Mountain Time)","value":"19:20:55"},{"id":151,"name":"Denver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588</v>
      </c>
      <c r="B127" s="7">
        <v>4011</v>
      </c>
      <c r="C127" s="24" t="s">
        <v>109</v>
      </c>
      <c r="D127" s="24" t="s">
        <v>589</v>
      </c>
      <c r="E127" s="15">
        <v>42621.747974537036</v>
      </c>
      <c r="F127" s="15">
        <v>42621.750162037039</v>
      </c>
      <c r="G127" s="7">
        <v>1</v>
      </c>
      <c r="H127" s="15" t="s">
        <v>313</v>
      </c>
      <c r="I127" s="15">
        <v>42621.775254629632</v>
      </c>
      <c r="J127" s="7">
        <v>0</v>
      </c>
      <c r="K127" s="122" t="str">
        <f t="shared" si="44"/>
        <v>4011/4012</v>
      </c>
      <c r="L127" s="24" t="str">
        <f>VLOOKUP(A127,'Trips&amp;Operators'!$C$1:$E$10000,3,FALSE)</f>
        <v>DE LA ROSA</v>
      </c>
      <c r="M127" s="6">
        <f t="shared" si="61"/>
        <v>2.5092592593864538E-2</v>
      </c>
      <c r="N127" s="7">
        <f t="shared" si="62"/>
        <v>36.133333335164934</v>
      </c>
      <c r="O127" s="7"/>
      <c r="P127" s="7"/>
      <c r="Q127" s="25"/>
      <c r="R127" s="25"/>
      <c r="S127" s="37">
        <f t="shared" si="63"/>
        <v>1</v>
      </c>
      <c r="T127" s="52" t="str">
        <f t="shared" si="45"/>
        <v>NorthBound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16:57:05-0600',mode:absolute,to:'2016-09-08 19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27" s="54" t="str">
        <f t="shared" si="65"/>
        <v>N</v>
      </c>
      <c r="X127" s="172">
        <f t="shared" si="71"/>
        <v>1</v>
      </c>
      <c r="Y127" s="69">
        <f t="shared" si="66"/>
        <v>4.2000000000000003E-2</v>
      </c>
      <c r="Z127" s="69">
        <f t="shared" si="67"/>
        <v>23.3291</v>
      </c>
      <c r="AA127" s="69">
        <f t="shared" si="68"/>
        <v>23.287099999999999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 t="shared" si="46"/>
        <v>0215-08</v>
      </c>
      <c r="AE127" s="99" t="str">
        <f t="shared" si="69"/>
        <v>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 &amp; 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</v>
      </c>
      <c r="AF127" s="96" t="str">
        <f t="shared" si="70"/>
        <v>"C:\Program Files (x86)\AstroGrep\AstroGrep.exe" /spath="%USERPROFILE%\AppData\Local\Temp\OnboardLogs" /stypes="*4011*20160909*" /stext=" 00:.+((SYSTEM_STATE.+slice.+state.+changed )|(ment ac)|(system.+state.+changed )|(\|lc)|(penalty)|(\[timeout)|(PRM\|1\|D)|(kpr)|(kdp))" /e /r /s</v>
      </c>
      <c r="AG127" s="1" t="str">
        <f t="shared" si="47"/>
        <v>EC</v>
      </c>
      <c r="AH127" s="100" t="str">
        <f t="shared" si="58"/>
        <v>"%USERPROFILE%\Documents\GitHub\eaglep3\Utilities\RefineRTDCRunTimes.py" --tripid 215-08 --locoid 4011 --swversion DE.1.0.7.0 --startMP 204:420 --initTime 2016-09-08T17:57:05 --startdatetime 2016-09-08T18:00:14 --delay 1 --endMP 204:233291 --enddatetime 2016-09-08T18:36:22 --enforcementcount 0 &gt;&gt;C:\Users\stu\Documents\GitHub\eaglep3-reporting\EC\2016-09-08-refined-times.txt</v>
      </c>
      <c r="AI127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{"issue":{"subject":"","project_id":79,"tracker_id":40,"status_id":1,"priority_id":2,"assigned_to_id":23,"start_date":"2016-09-08","description":"","custom_fields":[{"id":1,"name":"Subdivision","value":"EC"},{"id":4,"name":"Milepost","value":"23.2871"},{"id":17,"name":"Train ID","value":"215-08"},{"id":16,"name":"Locomotive ID","value":"4011"},{"id":130,"name":"Impact","value":""},{"id":150,"name":"Time of Event (Mountain Time)","value":"18:36:22"},{"id":151,"name":"Denver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590</v>
      </c>
      <c r="B128" s="7">
        <v>4012</v>
      </c>
      <c r="C128" s="24" t="s">
        <v>109</v>
      </c>
      <c r="D128" s="24" t="s">
        <v>591</v>
      </c>
      <c r="E128" s="15">
        <v>42621.785104166665</v>
      </c>
      <c r="F128" s="15">
        <v>42621.789097222223</v>
      </c>
      <c r="G128" s="7">
        <v>2</v>
      </c>
      <c r="H128" s="15" t="s">
        <v>133</v>
      </c>
      <c r="I128" s="15">
        <v>42621.817152777781</v>
      </c>
      <c r="J128" s="7">
        <v>0</v>
      </c>
      <c r="K128" s="122" t="str">
        <f t="shared" si="44"/>
        <v>4011/4012</v>
      </c>
      <c r="L128" s="24" t="str">
        <f>VLOOKUP(A128,'Trips&amp;Operators'!$C$1:$E$10000,3,FALSE)</f>
        <v>DE LA ROSA</v>
      </c>
      <c r="M128" s="6">
        <f t="shared" si="61"/>
        <v>2.8055555558239575E-2</v>
      </c>
      <c r="N128" s="7">
        <f t="shared" si="62"/>
        <v>40.400000003864989</v>
      </c>
      <c r="O128" s="7"/>
      <c r="P128" s="7"/>
      <c r="Q128" s="25"/>
      <c r="R128" s="25"/>
      <c r="S128" s="37">
        <f t="shared" si="63"/>
        <v>1</v>
      </c>
      <c r="T128" s="52" t="str">
        <f t="shared" si="45"/>
        <v>Southbound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17:50:33-0600',mode:absolute,to:'2016-09-08 20:36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28" s="54" t="str">
        <f t="shared" si="65"/>
        <v>N</v>
      </c>
      <c r="X128" s="172">
        <f t="shared" si="71"/>
        <v>1</v>
      </c>
      <c r="Y128" s="69">
        <f t="shared" si="66"/>
        <v>23.296900000000001</v>
      </c>
      <c r="Z128" s="69">
        <f t="shared" si="67"/>
        <v>1.54E-2</v>
      </c>
      <c r="AA128" s="69">
        <f t="shared" si="68"/>
        <v>23.281500000000001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 t="shared" si="46"/>
        <v>0216-08</v>
      </c>
      <c r="AE128" s="99" t="str">
        <f t="shared" si="69"/>
        <v>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 &amp; 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</v>
      </c>
      <c r="AF128" s="96" t="str">
        <f t="shared" si="70"/>
        <v>"C:\Program Files (x86)\AstroGrep\AstroGrep.exe" /spath="%USERPROFILE%\AppData\Local\Temp\OnboardLogs" /stypes="*4012*20160909*" /stext=" 01:.+((SYSTEM_STATE.+slice.+state.+changed )|(ment ac)|(system.+state.+changed )|(\|lc)|(penalty)|(\[timeout)|(PRM\|1\|D)|(kpr)|(kdp))" /e /r /s</v>
      </c>
      <c r="AG128" s="1" t="str">
        <f t="shared" si="47"/>
        <v>EC</v>
      </c>
      <c r="AH128" s="100" t="str">
        <f t="shared" si="58"/>
        <v>"%USERPROFILE%\Documents\GitHub\eaglep3\Utilities\RefineRTDCRunTimes.py" --tripid 216-08 --locoid 4012 --swversion DE.1.0.7.0 --startMP 204:232969 --initTime 2016-09-08T18:50:33 --startdatetime 2016-09-08T18:56:18 --delay 2 --endMP 204:154 --enddatetime 2016-09-08T19:36:42 --enforcementcount 0 &gt;&gt;C:\Users\stu\Documents\GitHub\eaglep3-reporting\EC\2016-09-08-refined-times.txt</v>
      </c>
      <c r="AI128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{"issue":{"subject":"","project_id":79,"tracker_id":40,"status_id":1,"priority_id":2,"assigned_to_id":23,"start_date":"2016-09-08","description":"","custom_fields":[{"id":1,"name":"Subdivision","value":"EC"},{"id":4,"name":"Milepost","value":"23.2815"},{"id":17,"name":"Train ID","value":"216-08"},{"id":16,"name":"Locomotive ID","value":"4012"},{"id":130,"name":"Impact","value":""},{"id":150,"name":"Time of Event (Mountain Time)","value":"19:36:42"},{"id":151,"name":"Denver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592</v>
      </c>
      <c r="B129" s="7">
        <v>4031</v>
      </c>
      <c r="C129" s="24" t="s">
        <v>109</v>
      </c>
      <c r="D129" s="24" t="s">
        <v>527</v>
      </c>
      <c r="E129" s="15">
        <v>42621.762314814812</v>
      </c>
      <c r="F129" s="15">
        <v>42621.764097222222</v>
      </c>
      <c r="G129" s="7">
        <v>1</v>
      </c>
      <c r="H129" s="15" t="s">
        <v>593</v>
      </c>
      <c r="I129" s="15">
        <v>42621.791828703703</v>
      </c>
      <c r="J129" s="7">
        <v>0</v>
      </c>
      <c r="K129" s="122" t="str">
        <f t="shared" si="44"/>
        <v>4031/4032</v>
      </c>
      <c r="L129" s="24" t="str">
        <f>VLOOKUP(A129,'Trips&amp;Operators'!$C$1:$E$10000,3,FALSE)</f>
        <v>OUN</v>
      </c>
      <c r="M129" s="6">
        <f t="shared" si="61"/>
        <v>2.7731481481168885E-2</v>
      </c>
      <c r="N129" s="7">
        <f t="shared" si="62"/>
        <v>39.933333332883194</v>
      </c>
      <c r="O129" s="7"/>
      <c r="P129" s="7"/>
      <c r="Q129" s="25"/>
      <c r="R129" s="25"/>
      <c r="S129" s="37">
        <f t="shared" si="63"/>
        <v>1</v>
      </c>
      <c r="T129" s="52" t="str">
        <f t="shared" si="45"/>
        <v>NorthBound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17:17:44-0600',mode:absolute,to:'2016-09-08 20:00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29" s="54" t="str">
        <f t="shared" si="65"/>
        <v>N</v>
      </c>
      <c r="X129" s="172">
        <f t="shared" si="71"/>
        <v>1</v>
      </c>
      <c r="Y129" s="69">
        <f t="shared" si="66"/>
        <v>4.4200000000000003E-2</v>
      </c>
      <c r="Z129" s="69">
        <f t="shared" si="67"/>
        <v>23.332100000000001</v>
      </c>
      <c r="AA129" s="69">
        <f t="shared" si="68"/>
        <v>23.2879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 t="shared" si="46"/>
        <v>0217-08</v>
      </c>
      <c r="AE129" s="99" t="str">
        <f t="shared" si="69"/>
        <v>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 &amp; 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</v>
      </c>
      <c r="AF129" s="96" t="str">
        <f t="shared" si="70"/>
        <v>"C:\Program Files (x86)\AstroGrep\AstroGrep.exe" /spath="%USERPROFILE%\AppData\Local\Temp\OnboardLogs" /stypes="*4031*20160909*" /stext=" 01:.+((SYSTEM_STATE.+slice.+state.+changed )|(ment ac)|(system.+state.+changed )|(\|lc)|(penalty)|(\[timeout)|(PRM\|1\|D)|(kpr)|(kdp))" /e /r /s</v>
      </c>
      <c r="AG129" s="1" t="str">
        <f t="shared" si="47"/>
        <v>EC</v>
      </c>
      <c r="AH129" s="100" t="str">
        <f t="shared" si="58"/>
        <v>"%USERPROFILE%\Documents\GitHub\eaglep3\Utilities\RefineRTDCRunTimes.py" --tripid 217-08 --locoid 4031 --swversion DE.1.0.7.0 --startMP 204:442 --initTime 2016-09-08T18:17:44 --startdatetime 2016-09-08T18:20:18 --delay 1 --endMP 204:233321 --enddatetime 2016-09-08T19:00:14 --enforcementcount 0 &gt;&gt;C:\Users\stu\Documents\GitHub\eaglep3-reporting\EC\2016-09-08-refined-times.txt</v>
      </c>
      <c r="AI129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{"issue":{"subject":"","project_id":79,"tracker_id":40,"status_id":1,"priority_id":2,"assigned_to_id":23,"start_date":"2016-09-08","description":"","custom_fields":[{"id":1,"name":"Subdivision","value":"EC"},{"id":4,"name":"Milepost","value":"23.2879"},{"id":17,"name":"Train ID","value":"217-08"},{"id":16,"name":"Locomotive ID","value":"4031"},{"id":130,"name":"Impact","value":""},{"id":150,"name":"Time of Event (Mountain Time)","value":"19:00:14"},{"id":151,"name":"Denver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594</v>
      </c>
      <c r="B130" s="7">
        <v>4032</v>
      </c>
      <c r="C130" s="24" t="s">
        <v>109</v>
      </c>
      <c r="D130" s="24" t="s">
        <v>336</v>
      </c>
      <c r="E130" s="15">
        <v>42621.794062499997</v>
      </c>
      <c r="F130" s="15">
        <v>42621.799560185187</v>
      </c>
      <c r="G130" s="7">
        <v>1</v>
      </c>
      <c r="H130" s="15" t="s">
        <v>133</v>
      </c>
      <c r="I130" s="15">
        <v>42621.826979166668</v>
      </c>
      <c r="J130" s="7">
        <v>0</v>
      </c>
      <c r="K130" s="122" t="str">
        <f t="shared" si="44"/>
        <v>4031/4032</v>
      </c>
      <c r="L130" s="24" t="str">
        <f>VLOOKUP(A130,'Trips&amp;Operators'!$C$1:$E$10000,3,FALSE)</f>
        <v>OUN</v>
      </c>
      <c r="M130" s="6">
        <f t="shared" si="61"/>
        <v>2.7418981480877846E-2</v>
      </c>
      <c r="N130" s="7">
        <f t="shared" si="62"/>
        <v>39.483333332464099</v>
      </c>
      <c r="O130" s="7"/>
      <c r="P130" s="7"/>
      <c r="Q130" s="25"/>
      <c r="R130" s="25"/>
      <c r="S130" s="37">
        <f t="shared" si="63"/>
        <v>1</v>
      </c>
      <c r="T130" s="52" t="str">
        <f t="shared" si="45"/>
        <v>Southbound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18:03:27-0600',mode:absolute,to:'2016-09-08 20:50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30" s="54" t="str">
        <f t="shared" si="65"/>
        <v>N</v>
      </c>
      <c r="X130" s="172">
        <f t="shared" si="71"/>
        <v>1</v>
      </c>
      <c r="Y130" s="69">
        <f t="shared" si="66"/>
        <v>23.299600000000002</v>
      </c>
      <c r="Z130" s="69">
        <f t="shared" si="67"/>
        <v>1.54E-2</v>
      </c>
      <c r="AA130" s="69">
        <f t="shared" si="68"/>
        <v>23.284200000000002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 t="shared" si="46"/>
        <v>0218-08</v>
      </c>
      <c r="AE130" s="99" t="str">
        <f t="shared" si="69"/>
        <v>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 &amp; 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</v>
      </c>
      <c r="AF130" s="96" t="str">
        <f t="shared" si="70"/>
        <v>"C:\Program Files (x86)\AstroGrep\AstroGrep.exe" /spath="%USERPROFILE%\AppData\Local\Temp\OnboardLogs" /stypes="*4032*20160909*" /stext=" 01:.+((SYSTEM_STATE.+slice.+state.+changed )|(ment ac)|(system.+state.+changed )|(\|lc)|(penalty)|(\[timeout)|(PRM\|1\|D)|(kpr)|(kdp))" /e /r /s</v>
      </c>
      <c r="AG130" s="1" t="str">
        <f t="shared" si="47"/>
        <v>EC</v>
      </c>
      <c r="AH130" s="100" t="str">
        <f t="shared" si="58"/>
        <v>"%USERPROFILE%\Documents\GitHub\eaglep3\Utilities\RefineRTDCRunTimes.py" --tripid 218-08 --locoid 4032 --swversion DE.1.0.7.0 --startMP 204:232996 --initTime 2016-09-08T19:03:27 --startdatetime 2016-09-08T19:11:22 --delay 1 --endMP 204:154 --enddatetime 2016-09-08T19:50:51 --enforcementcount 0 &gt;&gt;C:\Users\stu\Documents\GitHub\eaglep3-reporting\EC\2016-09-08-refined-times.txt</v>
      </c>
      <c r="AI130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{"issue":{"subject":"","project_id":79,"tracker_id":40,"status_id":1,"priority_id":2,"assigned_to_id":23,"start_date":"2016-09-08","description":"","custom_fields":[{"id":1,"name":"Subdivision","value":"EC"},{"id":4,"name":"Milepost","value":"23.2842"},{"id":17,"name":"Train ID","value":"218-08"},{"id":16,"name":"Locomotive ID","value":"4032"},{"id":130,"name":"Impact","value":""},{"id":150,"name":"Time of Event (Mountain Time)","value":"19:50:51"},{"id":151,"name":"Denver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s="23" customFormat="1" x14ac:dyDescent="0.25">
      <c r="A131" s="39" t="s">
        <v>595</v>
      </c>
      <c r="B131" s="7">
        <v>4014</v>
      </c>
      <c r="C131" s="24" t="s">
        <v>109</v>
      </c>
      <c r="D131" s="24" t="s">
        <v>541</v>
      </c>
      <c r="E131" s="15">
        <v>42621.769537037035</v>
      </c>
      <c r="F131" s="15">
        <v>42621.77202546296</v>
      </c>
      <c r="G131" s="7">
        <v>1</v>
      </c>
      <c r="H131" s="15" t="s">
        <v>596</v>
      </c>
      <c r="I131" s="15">
        <v>42621.79859953704</v>
      </c>
      <c r="J131" s="7">
        <v>0</v>
      </c>
      <c r="K131" s="122" t="str">
        <f t="shared" si="44"/>
        <v>4013/4014</v>
      </c>
      <c r="L131" s="24" t="str">
        <f>VLOOKUP(A131,'Trips&amp;Operators'!$C$1:$E$10000,3,FALSE)</f>
        <v>ARVIDSON</v>
      </c>
      <c r="M131" s="6">
        <f t="shared" si="61"/>
        <v>2.6574074079690035E-2</v>
      </c>
      <c r="N131" s="7">
        <f t="shared" si="62"/>
        <v>38.266666674753651</v>
      </c>
      <c r="O131" s="7"/>
      <c r="P131" s="7"/>
      <c r="Q131" s="25"/>
      <c r="R131" s="25"/>
      <c r="S131" s="37">
        <f t="shared" si="63"/>
        <v>1</v>
      </c>
      <c r="T131" s="52" t="str">
        <f t="shared" si="45"/>
        <v>NorthBound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17:28:08-0600',mode:absolute,to:'2016-09-08 20:09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31" s="54" t="str">
        <f t="shared" si="65"/>
        <v>N</v>
      </c>
      <c r="X131" s="172">
        <f t="shared" si="71"/>
        <v>1</v>
      </c>
      <c r="Y131" s="69">
        <f t="shared" si="66"/>
        <v>4.7300000000000002E-2</v>
      </c>
      <c r="Z131" s="69">
        <f t="shared" si="67"/>
        <v>23.3322</v>
      </c>
      <c r="AA131" s="69">
        <f t="shared" si="68"/>
        <v>23.2849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 t="shared" si="46"/>
        <v>0219-08</v>
      </c>
      <c r="AE131" s="99" t="str">
        <f t="shared" si="69"/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AF131" s="96" t="str">
        <f t="shared" si="70"/>
        <v>"C:\Program Files (x86)\AstroGrep\AstroGrep.exe" /spath="%USERPROFILE%\AppData\Local\Temp\OnboardLogs" /stypes="*4014*20160909*" /stext=" 01:.+((SYSTEM_STATE.+slice.+state.+changed )|(ment ac)|(system.+state.+changed )|(\|lc)|(penalty)|(\[timeout)|(PRM\|1\|D)|(kpr)|(kdp))" /e /r /s</v>
      </c>
      <c r="AG131" s="1" t="str">
        <f t="shared" si="47"/>
        <v>EC</v>
      </c>
      <c r="AH131" s="100" t="str">
        <f t="shared" si="58"/>
        <v>"%USERPROFILE%\Documents\GitHub\eaglep3\Utilities\RefineRTDCRunTimes.py" --tripid 219-08 --locoid 4014 --swversion DE.1.0.7.0 --startMP 204:473 --initTime 2016-09-08T18:28:08 --startdatetime 2016-09-08T18:31:43 --delay 1 --endMP 204:233322 --enddatetime 2016-09-08T19:09:59 --enforcementcount 0 &gt;&gt;C:\Users\stu\Documents\GitHub\eaglep3-reporting\EC\2016-09-08-refined-times.txt</v>
      </c>
      <c r="AI131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{"issue":{"subject":"","project_id":79,"tracker_id":40,"status_id":1,"priority_id":2,"assigned_to_id":23,"start_date":"2016-09-08","description":"","custom_fields":[{"id":1,"name":"Subdivision","value":"EC"},{"id":4,"name":"Milepost","value":"23.2849"},{"id":17,"name":"Train ID","value":"219-08"},{"id":16,"name":"Locomotive ID","value":"4014"},{"id":130,"name":"Impact","value":""},{"id":150,"name":"Time of Event (Mountain Time)","value":"19:09:59"},{"id":151,"name":"Denver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597</v>
      </c>
      <c r="B132" s="7">
        <v>4013</v>
      </c>
      <c r="C132" s="24" t="s">
        <v>109</v>
      </c>
      <c r="D132" s="24" t="s">
        <v>389</v>
      </c>
      <c r="E132" s="15">
        <v>42621.804756944446</v>
      </c>
      <c r="F132" s="15">
        <v>42621.809918981482</v>
      </c>
      <c r="G132" s="7">
        <v>1</v>
      </c>
      <c r="H132" s="15" t="s">
        <v>283</v>
      </c>
      <c r="I132" s="15">
        <v>42621.837129629632</v>
      </c>
      <c r="J132" s="7">
        <v>0</v>
      </c>
      <c r="K132" s="122" t="str">
        <f t="shared" si="44"/>
        <v>4013/4014</v>
      </c>
      <c r="L132" s="24" t="str">
        <f>VLOOKUP(A132,'Trips&amp;Operators'!$C$1:$E$10000,3,FALSE)</f>
        <v>ARVIDSON</v>
      </c>
      <c r="M132" s="6">
        <f t="shared" si="61"/>
        <v>2.7210648149775807E-2</v>
      </c>
      <c r="N132" s="7">
        <f t="shared" si="62"/>
        <v>39.183333335677162</v>
      </c>
      <c r="O132" s="7"/>
      <c r="P132" s="7"/>
      <c r="Q132" s="25"/>
      <c r="R132" s="25"/>
      <c r="S132" s="37">
        <f t="shared" si="63"/>
        <v>1</v>
      </c>
      <c r="T132" s="52" t="str">
        <f t="shared" si="45"/>
        <v>Southbound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18:18:51-0600',mode:absolute,to:'2016-09-08 21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32" s="54" t="str">
        <f t="shared" si="65"/>
        <v>N</v>
      </c>
      <c r="X132" s="172">
        <f t="shared" si="71"/>
        <v>1</v>
      </c>
      <c r="Y132" s="69">
        <f t="shared" si="66"/>
        <v>23.297699999999999</v>
      </c>
      <c r="Z132" s="69">
        <f t="shared" si="67"/>
        <v>1.6299999999999999E-2</v>
      </c>
      <c r="AA132" s="69">
        <f t="shared" si="68"/>
        <v>23.281399999999998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 t="shared" si="46"/>
        <v>0220-08</v>
      </c>
      <c r="AE132" s="99" t="str">
        <f t="shared" si="69"/>
        <v>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 &amp; aws s3 cp s3://rtdc.mdm.uploadarchive/RTDC4013/2016-09-09/ "%USERPROFILE%\AppData\Local\Temp\OnboardLogs"\RTDC4013\2016-09-09 --recursive &amp; "%USERPROFILE%\Documents\GitHub\mrs-test-scripts\Headless Mode &amp; Sideloading\WalkAndUnGZ.bat" "%USERPROFILE%\AppData\Local\Temp\OnboardLogs"\RTDC4013\2016-09-09</v>
      </c>
      <c r="AF132" s="96" t="str">
        <f t="shared" si="70"/>
        <v>"C:\Program Files (x86)\AstroGrep\AstroGrep.exe" /spath="%USERPROFILE%\AppData\Local\Temp\OnboardLogs" /stypes="*4013*20160909*" /stext=" 02:.+((SYSTEM_STATE.+slice.+state.+changed )|(ment ac)|(system.+state.+changed )|(\|lc)|(penalty)|(\[timeout)|(PRM\|1\|D)|(kpr)|(kdp))" /e /r /s</v>
      </c>
      <c r="AG132" s="1" t="str">
        <f t="shared" si="47"/>
        <v>EC</v>
      </c>
      <c r="AH132" s="100" t="str">
        <f t="shared" si="58"/>
        <v>"%USERPROFILE%\Documents\GitHub\eaglep3\Utilities\RefineRTDCRunTimes.py" --tripid 220-08 --locoid 4013 --swversion DE.1.0.7.0 --startMP 204:232977 --initTime 2016-09-08T19:18:51 --startdatetime 2016-09-08T19:26:17 --delay 1 --endMP 204:163 --enddatetime 2016-09-08T20:05:28 --enforcementcount 0 &gt;&gt;C:\Users\stu\Documents\GitHub\eaglep3-reporting\EC\2016-09-08-refined-times.txt</v>
      </c>
      <c r="AI132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{"issue":{"subject":"","project_id":79,"tracker_id":40,"status_id":1,"priority_id":2,"assigned_to_id":23,"start_date":"2016-09-08","description":"","custom_fields":[{"id":1,"name":"Subdivision","value":"EC"},{"id":4,"name":"Milepost","value":"23.2814"},{"id":17,"name":"Train ID","value":"220-08"},{"id":16,"name":"Locomotive ID","value":"4013"},{"id":130,"name":"Impact","value":""},{"id":150,"name":"Time of Event (Mountain Time)","value":"20:05:28"},{"id":151,"name":"Denver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598</v>
      </c>
      <c r="B133" s="7">
        <v>4018</v>
      </c>
      <c r="C133" s="24" t="s">
        <v>109</v>
      </c>
      <c r="D133" s="24" t="s">
        <v>360</v>
      </c>
      <c r="E133" s="15">
        <v>42621.786793981482</v>
      </c>
      <c r="F133" s="15">
        <v>42621.79184027778</v>
      </c>
      <c r="G133" s="7">
        <v>1</v>
      </c>
      <c r="H133" s="15" t="s">
        <v>553</v>
      </c>
      <c r="I133" s="15">
        <v>42621.817800925928</v>
      </c>
      <c r="J133" s="7">
        <v>0</v>
      </c>
      <c r="K133" s="122" t="str">
        <f t="shared" si="44"/>
        <v>4017/4018</v>
      </c>
      <c r="L133" s="24" t="str">
        <f>VLOOKUP(A133,'Trips&amp;Operators'!$C$1:$E$10000,3,FALSE)</f>
        <v>DELGADO</v>
      </c>
      <c r="M133" s="6">
        <f t="shared" si="61"/>
        <v>2.5960648148611654E-2</v>
      </c>
      <c r="N133" s="7">
        <f t="shared" si="62"/>
        <v>37.383333334000781</v>
      </c>
      <c r="O133" s="7"/>
      <c r="P133" s="7"/>
      <c r="Q133" s="25"/>
      <c r="R133" s="25"/>
      <c r="S133" s="37">
        <f t="shared" si="63"/>
        <v>1</v>
      </c>
      <c r="T133" s="52" t="str">
        <f t="shared" si="45"/>
        <v>NorthBound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17:52:59-0600',mode:absolute,to:'2016-09-08 20:37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33" s="54" t="str">
        <f t="shared" si="65"/>
        <v>N</v>
      </c>
      <c r="X133" s="172">
        <f t="shared" si="71"/>
        <v>1</v>
      </c>
      <c r="Y133" s="69">
        <f t="shared" si="66"/>
        <v>4.6600000000000003E-2</v>
      </c>
      <c r="Z133" s="69">
        <f t="shared" si="67"/>
        <v>23.33</v>
      </c>
      <c r="AA133" s="69">
        <f t="shared" si="68"/>
        <v>23.283399999999997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46"/>
        <v>0221-08</v>
      </c>
      <c r="AE133" s="99" t="str">
        <f t="shared" si="69"/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AF133" s="96" t="str">
        <f t="shared" si="70"/>
        <v>"C:\Program Files (x86)\AstroGrep\AstroGrep.exe" /spath="%USERPROFILE%\AppData\Local\Temp\OnboardLogs" /stypes="*4018*20160909*" /stext=" 01:.+((SYSTEM_STATE.+slice.+state.+changed )|(ment ac)|(system.+state.+changed )|(\|lc)|(penalty)|(\[timeout)|(PRM\|1\|D)|(kpr)|(kdp))" /e /r /s</v>
      </c>
      <c r="AG133" s="1" t="str">
        <f t="shared" si="47"/>
        <v>EC</v>
      </c>
      <c r="AH133" s="100" t="str">
        <f t="shared" si="58"/>
        <v>"%USERPROFILE%\Documents\GitHub\eaglep3\Utilities\RefineRTDCRunTimes.py" --tripid 221-08 --locoid 4018 --swversion DE.1.0.7.0 --startMP 204:466 --initTime 2016-09-08T18:52:59 --startdatetime 2016-09-08T19:00:15 --delay 1 --endMP 204:233300 --enddatetime 2016-09-08T19:37:38 --enforcementcount 0 &gt;&gt;C:\Users\stu\Documents\GitHub\eaglep3-reporting\EC\2016-09-08-refined-times.txt</v>
      </c>
      <c r="AI133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{"issue":{"subject":"","project_id":79,"tracker_id":40,"status_id":1,"priority_id":2,"assigned_to_id":23,"start_date":"2016-09-08","description":"","custom_fields":[{"id":1,"name":"Subdivision","value":"EC"},{"id":4,"name":"Milepost","value":"23.2834"},{"id":17,"name":"Train ID","value":"221-08"},{"id":16,"name":"Locomotive ID","value":"4018"},{"id":130,"name":"Impact","value":""},{"id":150,"name":"Time of Event (Mountain Time)","value":"19:37:38"},{"id":151,"name":"Denver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504</v>
      </c>
      <c r="B134" s="7">
        <v>4017</v>
      </c>
      <c r="C134" s="24" t="s">
        <v>109</v>
      </c>
      <c r="D134" s="24" t="s">
        <v>599</v>
      </c>
      <c r="E134" s="15">
        <v>42621.82340277778</v>
      </c>
      <c r="F134" s="15">
        <v>42621.830787037034</v>
      </c>
      <c r="G134" s="7">
        <v>1</v>
      </c>
      <c r="H134" s="15" t="s">
        <v>600</v>
      </c>
      <c r="I134" s="15">
        <v>42621.86010416667</v>
      </c>
      <c r="J134" s="7">
        <v>0</v>
      </c>
      <c r="K134" s="122" t="str">
        <f t="shared" si="44"/>
        <v>4017/4018</v>
      </c>
      <c r="L134" s="24" t="str">
        <f>VLOOKUP(A134,'Trips&amp;Operators'!$C$1:$E$10000,3,FALSE)</f>
        <v>DELGADO</v>
      </c>
      <c r="M134" s="6">
        <f t="shared" si="61"/>
        <v>2.9317129636183381E-2</v>
      </c>
      <c r="N134" s="7">
        <f t="shared" si="62"/>
        <v>42.216666676104069</v>
      </c>
      <c r="O134" s="7"/>
      <c r="P134" s="7"/>
      <c r="Q134" s="25"/>
      <c r="R134" s="25"/>
      <c r="S134" s="37">
        <f t="shared" si="63"/>
        <v>1</v>
      </c>
      <c r="T134" s="52" t="str">
        <f t="shared" si="45"/>
        <v>Southbound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18:45:42-0600',mode:absolute,to:'2016-09-08 21:38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34" s="54" t="str">
        <f t="shared" si="65"/>
        <v>N</v>
      </c>
      <c r="X134" s="172">
        <f t="shared" si="71"/>
        <v>1</v>
      </c>
      <c r="Y134" s="69">
        <f t="shared" si="66"/>
        <v>23.297899999999998</v>
      </c>
      <c r="Z134" s="69">
        <f t="shared" si="67"/>
        <v>1.72E-2</v>
      </c>
      <c r="AA134" s="69">
        <f t="shared" si="68"/>
        <v>23.2807</v>
      </c>
      <c r="AB134" s="66" t="str">
        <f>VLOOKUP(A134,Enforcements!$C$7:$K$21,8,0)</f>
        <v>Speed (6)</v>
      </c>
      <c r="AC134" s="62" t="str">
        <f>VLOOKUP(A134,Enforcements!$C$7:$E$21,3,0)</f>
        <v>PERMANENT SPEED RESTRICTION</v>
      </c>
      <c r="AD134" s="63" t="str">
        <f t="shared" si="46"/>
        <v>0222-08</v>
      </c>
      <c r="AE134" s="99" t="str">
        <f t="shared" si="69"/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AF134" s="96" t="str">
        <f t="shared" si="70"/>
        <v>"C:\Program Files (x86)\AstroGrep\AstroGrep.exe" /spath="%USERPROFILE%\AppData\Local\Temp\OnboardLogs" /stypes="*4017*20160909*" /stext=" 02:.+((SYSTEM_STATE.+slice.+state.+changed )|(ment ac)|(system.+state.+changed )|(\|lc)|(penalty)|(\[timeout)|(PRM\|1\|D)|(kpr)|(kdp))" /e /r /s</v>
      </c>
      <c r="AG134" s="1" t="str">
        <f t="shared" si="47"/>
        <v>EC</v>
      </c>
      <c r="AH134" s="100" t="str">
        <f t="shared" si="58"/>
        <v>"%USERPROFILE%\Documents\GitHub\eaglep3\Utilities\RefineRTDCRunTimes.py" --tripid 222-08 --locoid 4017 --swversion DE.1.0.7.0 --startMP 204:232979 --initTime 2016-09-08T19:45:42 --startdatetime 2016-09-08T19:56:20 --delay 1 --endMP 204:172 --enddatetime 2016-09-08T20:38:33 --enforcementcount 0 &gt;&gt;C:\Users\stu\Documents\GitHub\eaglep3-reporting\EC\2016-09-08-refined-times.txt</v>
      </c>
      <c r="AI134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{"issue":{"subject":"","project_id":79,"tracker_id":40,"status_id":1,"priority_id":2,"assigned_to_id":23,"start_date":"2016-09-08","description":"","custom_fields":[{"id":1,"name":"Subdivision","value":"EC"},{"id":4,"name":"Milepost","value":"23.2807"},{"id":17,"name":"Train ID","value":"222-08"},{"id":16,"name":"Locomotive ID","value":"4017"},{"id":130,"name":"Impact","value":""},{"id":150,"name":"Time of Event (Mountain Time)","value":"20:38:33"},{"id":151,"name":"Denver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601</v>
      </c>
      <c r="B135" s="7">
        <v>4016</v>
      </c>
      <c r="C135" s="24" t="s">
        <v>109</v>
      </c>
      <c r="D135" s="24" t="s">
        <v>384</v>
      </c>
      <c r="E135" s="15">
        <v>42621.807928240742</v>
      </c>
      <c r="F135" s="15">
        <v>42621.81287037037</v>
      </c>
      <c r="G135" s="7">
        <v>1</v>
      </c>
      <c r="H135" s="15" t="s">
        <v>385</v>
      </c>
      <c r="I135" s="15">
        <v>42621.838518518518</v>
      </c>
      <c r="J135" s="7">
        <v>0</v>
      </c>
      <c r="K135" s="122" t="str">
        <f t="shared" si="44"/>
        <v>4015/4016</v>
      </c>
      <c r="L135" s="24" t="str">
        <f>VLOOKUP(A135,'Trips&amp;Operators'!$C$1:$E$10000,3,FALSE)</f>
        <v>STAMBAUGH</v>
      </c>
      <c r="M135" s="6">
        <f t="shared" si="61"/>
        <v>2.5648148148320615E-2</v>
      </c>
      <c r="N135" s="7">
        <f t="shared" si="62"/>
        <v>36.933333333581686</v>
      </c>
      <c r="O135" s="7"/>
      <c r="P135" s="7"/>
      <c r="Q135" s="25"/>
      <c r="R135" s="25"/>
      <c r="S135" s="37">
        <f t="shared" si="63"/>
        <v>1</v>
      </c>
      <c r="T135" s="52" t="str">
        <f t="shared" si="45"/>
        <v>NorthBound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18:23:25-0600',mode:absolute,to:'2016-09-08 21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35" s="54" t="str">
        <f t="shared" si="65"/>
        <v>N</v>
      </c>
      <c r="X135" s="172">
        <f t="shared" si="71"/>
        <v>1</v>
      </c>
      <c r="Y135" s="69">
        <f t="shared" si="66"/>
        <v>4.5499999999999999E-2</v>
      </c>
      <c r="Z135" s="69">
        <f t="shared" si="67"/>
        <v>23.328700000000001</v>
      </c>
      <c r="AA135" s="69">
        <f t="shared" si="68"/>
        <v>23.283200000000001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46"/>
        <v>0223-08</v>
      </c>
      <c r="AE135" s="99" t="str">
        <f t="shared" si="69"/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AF135" s="96" t="str">
        <f t="shared" si="70"/>
        <v>"C:\Program Files (x86)\AstroGrep\AstroGrep.exe" /spath="%USERPROFILE%\AppData\Local\Temp\OnboardLogs" /stypes="*4016*20160909*" /stext=" 02:.+((SYSTEM_STATE.+slice.+state.+changed )|(ment ac)|(system.+state.+changed )|(\|lc)|(penalty)|(\[timeout)|(PRM\|1\|D)|(kpr)|(kdp))" /e /r /s</v>
      </c>
      <c r="AG135" s="1" t="str">
        <f t="shared" si="47"/>
        <v>EC</v>
      </c>
      <c r="AH135" s="100" t="str">
        <f t="shared" si="58"/>
        <v>"%USERPROFILE%\Documents\GitHub\eaglep3\Utilities\RefineRTDCRunTimes.py" --tripid 223-08 --locoid 4016 --swversion DE.1.0.7.0 --startMP 204:455 --initTime 2016-09-08T19:23:25 --startdatetime 2016-09-08T19:30:32 --delay 1 --endMP 204:233287 --enddatetime 2016-09-08T20:07:28 --enforcementcount 0 &gt;&gt;C:\Users\stu\Documents\GitHub\eaglep3-reporting\EC\2016-09-08-refined-times.txt</v>
      </c>
      <c r="AI135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{"issue":{"subject":"","project_id":79,"tracker_id":40,"status_id":1,"priority_id":2,"assigned_to_id":23,"start_date":"2016-09-08","description":"","custom_fields":[{"id":1,"name":"Subdivision","value":"EC"},{"id":4,"name":"Milepost","value":"23.2832"},{"id":17,"name":"Train ID","value":"223-08"},{"id":16,"name":"Locomotive ID","value":"4016"},{"id":130,"name":"Impact","value":""},{"id":150,"name":"Time of Event (Mountain Time)","value":"20:07:28"},{"id":151,"name":"Denver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602</v>
      </c>
      <c r="B136" s="7">
        <v>4015</v>
      </c>
      <c r="C136" s="24" t="s">
        <v>109</v>
      </c>
      <c r="D136" s="24" t="s">
        <v>603</v>
      </c>
      <c r="E136" s="15">
        <v>42621.848217592589</v>
      </c>
      <c r="F136" s="15">
        <v>42621.852037037039</v>
      </c>
      <c r="G136" s="7">
        <v>1</v>
      </c>
      <c r="H136" s="15" t="s">
        <v>604</v>
      </c>
      <c r="I136" s="15">
        <v>42621.877835648149</v>
      </c>
      <c r="J136" s="7">
        <v>0</v>
      </c>
      <c r="K136" s="122" t="str">
        <f t="shared" si="44"/>
        <v>4015/4016</v>
      </c>
      <c r="L136" s="24" t="str">
        <f>VLOOKUP(A136,'Trips&amp;Operators'!$C$1:$E$10000,3,FALSE)</f>
        <v>STAMBAUGH</v>
      </c>
      <c r="M136" s="6">
        <f t="shared" si="61"/>
        <v>2.5798611110076308E-2</v>
      </c>
      <c r="N136" s="7">
        <f t="shared" si="62"/>
        <v>37.149999998509884</v>
      </c>
      <c r="O136" s="7"/>
      <c r="P136" s="7"/>
      <c r="Q136" s="25"/>
      <c r="R136" s="25"/>
      <c r="S136" s="37">
        <f t="shared" si="63"/>
        <v>1</v>
      </c>
      <c r="T136" s="52" t="str">
        <f t="shared" si="45"/>
        <v>Southbound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19:21:26-0600',mode:absolute,to:'2016-09-08 22:04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36" s="54" t="str">
        <f t="shared" si="65"/>
        <v>N</v>
      </c>
      <c r="X136" s="172">
        <f t="shared" si="71"/>
        <v>1</v>
      </c>
      <c r="Y136" s="69">
        <f t="shared" si="66"/>
        <v>23.296800000000001</v>
      </c>
      <c r="Z136" s="69">
        <f t="shared" si="67"/>
        <v>1.7000000000000001E-2</v>
      </c>
      <c r="AA136" s="69">
        <f t="shared" si="68"/>
        <v>23.279800000000002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 t="shared" si="46"/>
        <v>0224-08</v>
      </c>
      <c r="AE136" s="99" t="str">
        <f t="shared" si="69"/>
        <v>aws s3 cp s3://rtdc.mdm.uploadarchive/RTDC4015/2016-09-08/ "%USERPROFILE%\AppData\Local\Temp\OnboardLogs"\RTDC4015\2016-09-08 --recursive &amp; "%USERPROFILE%\Documents\GitHub\mrs-test-scripts\Headless Mode &amp; Sideloading\WalkAndUnGZ.bat" "%USERPROFILE%\AppData\Local\Temp\OnboardLogs"\RTDC4015\2016-09-08 &amp; 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</v>
      </c>
      <c r="AF136" s="96" t="str">
        <f t="shared" si="70"/>
        <v>"C:\Program Files (x86)\AstroGrep\AstroGrep.exe" /spath="%USERPROFILE%\AppData\Local\Temp\OnboardLogs" /stypes="*4015*20160909*" /stext=" 03:.+((SYSTEM_STATE.+slice.+state.+changed )|(ment ac)|(system.+state.+changed )|(\|lc)|(penalty)|(\[timeout)|(PRM\|1\|D)|(kpr)|(kdp))" /e /r /s</v>
      </c>
      <c r="AG136" s="1" t="str">
        <f t="shared" si="47"/>
        <v>EC</v>
      </c>
      <c r="AH136" s="100" t="str">
        <f t="shared" si="58"/>
        <v>"%USERPROFILE%\Documents\GitHub\eaglep3\Utilities\RefineRTDCRunTimes.py" --tripid 224-08 --locoid 4015 --swversion DE.1.0.7.0 --startMP 204:232968 --initTime 2016-09-08T20:21:26 --startdatetime 2016-09-08T20:26:56 --delay 1 --endMP 204:170 --enddatetime 2016-09-08T21:04:05 --enforcementcount 0 &gt;&gt;C:\Users\stu\Documents\GitHub\eaglep3-reporting\EC\2016-09-08-refined-times.txt</v>
      </c>
      <c r="AI136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{"issue":{"subject":"","project_id":79,"tracker_id":40,"status_id":1,"priority_id":2,"assigned_to_id":23,"start_date":"2016-09-08","description":"","custom_fields":[{"id":1,"name":"Subdivision","value":"EC"},{"id":4,"name":"Milepost","value":"23.2798"},{"id":17,"name":"Train ID","value":"224-08"},{"id":16,"name":"Locomotive ID","value":"4015"},{"id":130,"name":"Impact","value":""},{"id":150,"name":"Time of Event (Mountain Time)","value":"21:04:05"},{"id":151,"name":"Denver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605</v>
      </c>
      <c r="B137" s="7">
        <v>4031</v>
      </c>
      <c r="C137" s="24" t="s">
        <v>109</v>
      </c>
      <c r="D137" s="24" t="s">
        <v>404</v>
      </c>
      <c r="E137" s="15">
        <v>42621.830509259256</v>
      </c>
      <c r="F137" s="15">
        <v>42621.833668981482</v>
      </c>
      <c r="G137" s="7">
        <v>1</v>
      </c>
      <c r="H137" s="15" t="s">
        <v>298</v>
      </c>
      <c r="I137" s="15">
        <v>42621.858749999999</v>
      </c>
      <c r="J137" s="7">
        <v>0</v>
      </c>
      <c r="K137" s="122" t="str">
        <f t="shared" si="44"/>
        <v>4031/4032</v>
      </c>
      <c r="L137" s="24" t="str">
        <f>VLOOKUP(A137,'Trips&amp;Operators'!$C$1:$E$10000,3,FALSE)</f>
        <v>OUN</v>
      </c>
      <c r="M137" s="6">
        <f t="shared" si="61"/>
        <v>2.5081018517084885E-2</v>
      </c>
      <c r="N137" s="7">
        <f t="shared" si="62"/>
        <v>36.116666664602235</v>
      </c>
      <c r="O137" s="7"/>
      <c r="P137" s="7"/>
      <c r="Q137" s="25"/>
      <c r="R137" s="25"/>
      <c r="S137" s="37">
        <f t="shared" si="63"/>
        <v>1</v>
      </c>
      <c r="T137" s="52" t="str">
        <f t="shared" si="45"/>
        <v>NorthBound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18:55:56-0600',mode:absolute,to:'2016-09-08 21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37" s="54" t="str">
        <f t="shared" si="65"/>
        <v>N</v>
      </c>
      <c r="X137" s="172">
        <f t="shared" si="71"/>
        <v>1</v>
      </c>
      <c r="Y137" s="69">
        <f t="shared" si="66"/>
        <v>4.7800000000000002E-2</v>
      </c>
      <c r="Z137" s="69">
        <f t="shared" si="67"/>
        <v>23.330200000000001</v>
      </c>
      <c r="AA137" s="69">
        <f t="shared" si="68"/>
        <v>23.282400000000003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 t="shared" si="46"/>
        <v>0225-08</v>
      </c>
      <c r="AE137" s="99" t="str">
        <f t="shared" si="69"/>
        <v>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 &amp; 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</v>
      </c>
      <c r="AF137" s="96" t="str">
        <f t="shared" si="70"/>
        <v>"C:\Program Files (x86)\AstroGrep\AstroGrep.exe" /spath="%USERPROFILE%\AppData\Local\Temp\OnboardLogs" /stypes="*4031*20160909*" /stext=" 02:.+((SYSTEM_STATE.+slice.+state.+changed )|(ment ac)|(system.+state.+changed )|(\|lc)|(penalty)|(\[timeout)|(PRM\|1\|D)|(kpr)|(kdp))" /e /r /s</v>
      </c>
      <c r="AG137" s="1" t="str">
        <f t="shared" si="47"/>
        <v>EC</v>
      </c>
      <c r="AH137" s="100" t="str">
        <f t="shared" si="58"/>
        <v>"%USERPROFILE%\Documents\GitHub\eaglep3\Utilities\RefineRTDCRunTimes.py" --tripid 225-08 --locoid 4031 --swversion DE.1.0.7.0 --startMP 204:478 --initTime 2016-09-08T19:55:56 --startdatetime 2016-09-08T20:00:29 --delay 1 --endMP 204:233302 --enddatetime 2016-09-08T20:36:36 --enforcementcount 0 &gt;&gt;C:\Users\stu\Documents\GitHub\eaglep3-reporting\EC\2016-09-08-refined-times.txt</v>
      </c>
      <c r="AI137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{"issue":{"subject":"","project_id":79,"tracker_id":40,"status_id":1,"priority_id":2,"assigned_to_id":23,"start_date":"2016-09-08","description":"","custom_fields":[{"id":1,"name":"Subdivision","value":"EC"},{"id":4,"name":"Milepost","value":"23.2824"},{"id":17,"name":"Train ID","value":"225-08"},{"id":16,"name":"Locomotive ID","value":"4031"},{"id":130,"name":"Impact","value":""},{"id":150,"name":"Time of Event (Mountain Time)","value":"20:36:36"},{"id":151,"name":"Denver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606</v>
      </c>
      <c r="B138" s="7">
        <v>4032</v>
      </c>
      <c r="C138" s="24" t="s">
        <v>109</v>
      </c>
      <c r="D138" s="24" t="s">
        <v>331</v>
      </c>
      <c r="E138" s="15">
        <v>42621.868472222224</v>
      </c>
      <c r="F138" s="15">
        <v>42621.872442129628</v>
      </c>
      <c r="G138" s="7">
        <v>1</v>
      </c>
      <c r="H138" s="15" t="s">
        <v>607</v>
      </c>
      <c r="I138" s="15">
        <v>42621.900231481479</v>
      </c>
      <c r="J138" s="7">
        <v>0</v>
      </c>
      <c r="K138" s="122" t="str">
        <f t="shared" si="44"/>
        <v>4031/4032</v>
      </c>
      <c r="L138" s="24" t="str">
        <f>VLOOKUP(A138,'Trips&amp;Operators'!$C$1:$E$10000,3,FALSE)</f>
        <v>OUN</v>
      </c>
      <c r="M138" s="6">
        <f t="shared" si="61"/>
        <v>2.7789351850515231E-2</v>
      </c>
      <c r="N138" s="7">
        <f t="shared" si="62"/>
        <v>40.016666664741933</v>
      </c>
      <c r="O138" s="7"/>
      <c r="P138" s="7"/>
      <c r="Q138" s="25"/>
      <c r="R138" s="25"/>
      <c r="S138" s="37">
        <f t="shared" si="63"/>
        <v>1</v>
      </c>
      <c r="T138" s="52" t="str">
        <f t="shared" si="45"/>
        <v>Southbound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19:50:36-0600',mode:absolute,to:'2016-09-08 22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38" s="54" t="str">
        <f t="shared" si="65"/>
        <v>N</v>
      </c>
      <c r="X138" s="172">
        <f t="shared" si="71"/>
        <v>1</v>
      </c>
      <c r="Y138" s="69">
        <f t="shared" si="66"/>
        <v>23.3004</v>
      </c>
      <c r="Z138" s="69">
        <f t="shared" si="67"/>
        <v>3.49E-2</v>
      </c>
      <c r="AA138" s="69">
        <f t="shared" si="68"/>
        <v>23.265499999999999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 t="shared" si="46"/>
        <v>0226-08</v>
      </c>
      <c r="AE138" s="99" t="str">
        <f t="shared" si="69"/>
        <v>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 &amp; 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</v>
      </c>
      <c r="AF138" s="96" t="str">
        <f t="shared" si="70"/>
        <v>"C:\Program Files (x86)\AstroGrep\AstroGrep.exe" /spath="%USERPROFILE%\AppData\Local\Temp\OnboardLogs" /stypes="*4032*20160909*" /stext=" 03:.+((SYSTEM_STATE.+slice.+state.+changed )|(ment ac)|(system.+state.+changed )|(\|lc)|(penalty)|(\[timeout)|(PRM\|1\|D)|(kpr)|(kdp))" /e /r /s</v>
      </c>
      <c r="AG138" s="1" t="str">
        <f t="shared" si="47"/>
        <v>EC</v>
      </c>
      <c r="AH138" s="100" t="str">
        <f t="shared" si="58"/>
        <v>"%USERPROFILE%\Documents\GitHub\eaglep3\Utilities\RefineRTDCRunTimes.py" --tripid 226-08 --locoid 4032 --swversion DE.1.0.7.0 --startMP 204:233004 --initTime 2016-09-08T20:50:36 --startdatetime 2016-09-08T20:56:19 --delay 1 --endMP 204:349 --enddatetime 2016-09-08T21:36:20 --enforcementcount 0 &gt;&gt;C:\Users\stu\Documents\GitHub\eaglep3-reporting\EC\2016-09-08-refined-times.txt</v>
      </c>
      <c r="AI138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{"issue":{"subject":"","project_id":79,"tracker_id":40,"status_id":1,"priority_id":2,"assigned_to_id":23,"start_date":"2016-09-08","description":"","custom_fields":[{"id":1,"name":"Subdivision","value":"EC"},{"id":4,"name":"Milepost","value":"23.2655"},{"id":17,"name":"Train ID","value":"226-08"},{"id":16,"name":"Locomotive ID","value":"4032"},{"id":130,"name":"Impact","value":""},{"id":150,"name":"Time of Event (Mountain Time)","value":"21:36:20"},{"id":151,"name":"Denver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x14ac:dyDescent="0.25">
      <c r="A139" s="39" t="s">
        <v>608</v>
      </c>
      <c r="B139" s="7">
        <v>4014</v>
      </c>
      <c r="C139" s="24" t="s">
        <v>109</v>
      </c>
      <c r="D139" s="24" t="s">
        <v>324</v>
      </c>
      <c r="E139" s="15">
        <v>42621.849641203706</v>
      </c>
      <c r="F139" s="15">
        <v>42621.854398148149</v>
      </c>
      <c r="G139" s="7">
        <v>1</v>
      </c>
      <c r="H139" s="15" t="s">
        <v>357</v>
      </c>
      <c r="I139" s="15">
        <v>42621.881157407406</v>
      </c>
      <c r="J139" s="7">
        <v>0</v>
      </c>
      <c r="K139" s="122" t="str">
        <f t="shared" si="44"/>
        <v>4013/4014</v>
      </c>
      <c r="L139" s="24" t="str">
        <f>VLOOKUP(A139,'Trips&amp;Operators'!$C$1:$E$10000,3,FALSE)</f>
        <v>ARVIDSON</v>
      </c>
      <c r="M139" s="6">
        <f t="shared" si="61"/>
        <v>2.675925925723277E-2</v>
      </c>
      <c r="N139" s="7">
        <f t="shared" si="62"/>
        <v>38.533333330415189</v>
      </c>
      <c r="O139" s="7"/>
      <c r="P139" s="7"/>
      <c r="Q139" s="25"/>
      <c r="R139" s="25"/>
      <c r="S139" s="37">
        <f t="shared" si="63"/>
        <v>1</v>
      </c>
      <c r="T139" s="52" t="str">
        <f t="shared" si="45"/>
        <v>NorthBound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19:23:29-0600',mode:absolute,to:'2016-09-08 22:08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39" s="54" t="str">
        <f t="shared" si="65"/>
        <v>N</v>
      </c>
      <c r="X139" s="172">
        <f t="shared" si="71"/>
        <v>1</v>
      </c>
      <c r="Y139" s="69">
        <f t="shared" si="66"/>
        <v>4.6199999999999998E-2</v>
      </c>
      <c r="Z139" s="69">
        <f t="shared" si="67"/>
        <v>23.329699999999999</v>
      </c>
      <c r="AA139" s="69">
        <f t="shared" si="68"/>
        <v>23.2835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46"/>
        <v>0227-08</v>
      </c>
      <c r="AE139" s="99" t="str">
        <f t="shared" si="69"/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AF139" s="96" t="str">
        <f t="shared" si="70"/>
        <v>"C:\Program Files (x86)\AstroGrep\AstroGrep.exe" /spath="%USERPROFILE%\AppData\Local\Temp\OnboardLogs" /stypes="*4014*20160909*" /stext=" 03:.+((SYSTEM_STATE.+slice.+state.+changed )|(ment ac)|(system.+state.+changed )|(\|lc)|(penalty)|(\[timeout)|(PRM\|1\|D)|(kpr)|(kdp))" /e /r /s</v>
      </c>
      <c r="AG139" s="1" t="str">
        <f t="shared" si="47"/>
        <v>EC</v>
      </c>
      <c r="AH139" s="100" t="str">
        <f t="shared" si="58"/>
        <v>"%USERPROFILE%\Documents\GitHub\eaglep3\Utilities\RefineRTDCRunTimes.py" --tripid 227-08 --locoid 4014 --swversion DE.1.0.7.0 --startMP 204:462 --initTime 2016-09-08T20:23:29 --startdatetime 2016-09-08T20:30:20 --delay 1 --endMP 204:233297 --enddatetime 2016-09-08T21:08:52 --enforcementcount 0 &gt;&gt;C:\Users\stu\Documents\GitHub\eaglep3-reporting\EC\2016-09-08-refined-times.txt</v>
      </c>
      <c r="AI139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{"issue":{"subject":"","project_id":79,"tracker_id":40,"status_id":1,"priority_id":2,"assigned_to_id":23,"start_date":"2016-09-08","description":"","custom_fields":[{"id":1,"name":"Subdivision","value":"EC"},{"id":4,"name":"Milepost","value":"23.2835"},{"id":17,"name":"Train ID","value":"227-08"},{"id":16,"name":"Locomotive ID","value":"4014"},{"id":130,"name":"Impact","value":""},{"id":150,"name":"Time of Event (Mountain Time)","value":"21:08:52"},{"id":151,"name":"Denver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609</v>
      </c>
      <c r="B140" s="7">
        <v>4013</v>
      </c>
      <c r="C140" s="24" t="s">
        <v>109</v>
      </c>
      <c r="D140" s="24" t="s">
        <v>560</v>
      </c>
      <c r="E140" s="15">
        <v>42621.889756944445</v>
      </c>
      <c r="F140" s="15">
        <v>42621.893506944441</v>
      </c>
      <c r="G140" s="7">
        <v>1</v>
      </c>
      <c r="H140" s="15" t="s">
        <v>610</v>
      </c>
      <c r="I140" s="15">
        <v>42621.922789351855</v>
      </c>
      <c r="J140" s="7">
        <v>0</v>
      </c>
      <c r="K140" s="122" t="str">
        <f t="shared" si="44"/>
        <v>4013/4014</v>
      </c>
      <c r="L140" s="24" t="str">
        <f>VLOOKUP(A140,'Trips&amp;Operators'!$C$1:$E$10000,3,FALSE)</f>
        <v>ARVIDSON</v>
      </c>
      <c r="M140" s="6">
        <f t="shared" si="61"/>
        <v>2.9282407413120382E-2</v>
      </c>
      <c r="N140" s="7">
        <f t="shared" si="62"/>
        <v>42.166666674893349</v>
      </c>
      <c r="O140" s="7"/>
      <c r="P140" s="7"/>
      <c r="Q140" s="25"/>
      <c r="R140" s="25"/>
      <c r="S140" s="37">
        <f t="shared" si="63"/>
        <v>1</v>
      </c>
      <c r="T140" s="52" t="str">
        <f t="shared" si="45"/>
        <v>Southbound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20:21:15-0600',mode:absolute,to:'2016-09-08 23:08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40" s="54" t="str">
        <f t="shared" si="65"/>
        <v>N</v>
      </c>
      <c r="X140" s="172">
        <f t="shared" si="71"/>
        <v>1</v>
      </c>
      <c r="Y140" s="69">
        <f t="shared" si="66"/>
        <v>23.298100000000002</v>
      </c>
      <c r="Z140" s="69">
        <f t="shared" si="67"/>
        <v>3.2500000000000001E-2</v>
      </c>
      <c r="AA140" s="69">
        <f t="shared" si="68"/>
        <v>23.265600000000003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 t="shared" si="46"/>
        <v>0228-08</v>
      </c>
      <c r="AE140" s="99" t="str">
        <f t="shared" si="69"/>
        <v>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 &amp; aws s3 cp s3://rtdc.mdm.uploadarchive/RTDC4013/2016-09-09/ "%USERPROFILE%\AppData\Local\Temp\OnboardLogs"\RTDC4013\2016-09-09 --recursive &amp; "%USERPROFILE%\Documents\GitHub\mrs-test-scripts\Headless Mode &amp; Sideloading\WalkAndUnGZ.bat" "%USERPROFILE%\AppData\Local\Temp\OnboardLogs"\RTDC4013\2016-09-09</v>
      </c>
      <c r="AF140" s="96" t="str">
        <f t="shared" si="70"/>
        <v>"C:\Program Files (x86)\AstroGrep\AstroGrep.exe" /spath="%USERPROFILE%\AppData\Local\Temp\OnboardLogs" /stypes="*4013*20160909*" /stext=" 04:.+((SYSTEM_STATE.+slice.+state.+changed )|(ment ac)|(system.+state.+changed )|(\|lc)|(penalty)|(\[timeout)|(PRM\|1\|D)|(kpr)|(kdp))" /e /r /s</v>
      </c>
      <c r="AG140" s="1" t="str">
        <f t="shared" si="47"/>
        <v>EC</v>
      </c>
      <c r="AH140" s="100" t="str">
        <f t="shared" si="58"/>
        <v>"%USERPROFILE%\Documents\GitHub\eaglep3\Utilities\RefineRTDCRunTimes.py" --tripid 228-08 --locoid 4013 --swversion DE.1.0.7.0 --startMP 204:232981 --initTime 2016-09-08T21:21:15 --startdatetime 2016-09-08T21:26:39 --delay 1 --endMP 204:325 --enddatetime 2016-09-08T22:08:49 --enforcementcount 0 &gt;&gt;C:\Users\stu\Documents\GitHub\eaglep3-reporting\EC\2016-09-08-refined-times.txt</v>
      </c>
      <c r="AI140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{"issue":{"subject":"","project_id":79,"tracker_id":40,"status_id":1,"priority_id":2,"assigned_to_id":23,"start_date":"2016-09-08","description":"","custom_fields":[{"id":1,"name":"Subdivision","value":"EC"},{"id":4,"name":"Milepost","value":"23.2656"},{"id":17,"name":"Train ID","value":"228-08"},{"id":16,"name":"Locomotive ID","value":"4013"},{"id":130,"name":"Impact","value":""},{"id":150,"name":"Time of Event (Mountain Time)","value":"22:08:49"},{"id":151,"name":"Denver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506</v>
      </c>
      <c r="B141" s="7">
        <v>4018</v>
      </c>
      <c r="C141" s="24" t="s">
        <v>109</v>
      </c>
      <c r="D141" s="24" t="s">
        <v>360</v>
      </c>
      <c r="E141" s="15">
        <v>42621.869016203702</v>
      </c>
      <c r="F141" s="15">
        <v>42621.875300925924</v>
      </c>
      <c r="G141" s="7">
        <v>2</v>
      </c>
      <c r="H141" s="15" t="s">
        <v>275</v>
      </c>
      <c r="I141" s="15">
        <v>42621.902129629627</v>
      </c>
      <c r="J141" s="7">
        <v>0</v>
      </c>
      <c r="K141" s="122" t="str">
        <f t="shared" ref="K141:K204" si="72">IF(ISEVEN(B141),(B141-1)&amp;"/"&amp;B141,B141&amp;"/"&amp;(B141+1))</f>
        <v>4017/4018</v>
      </c>
      <c r="L141" s="24" t="str">
        <f>VLOOKUP(A141,'Trips&amp;Operators'!$C$1:$E$10000,3,FALSE)</f>
        <v>DELGADO</v>
      </c>
      <c r="M141" s="6">
        <f t="shared" si="61"/>
        <v>2.6828703703358769E-2</v>
      </c>
      <c r="N141" s="7">
        <f t="shared" si="62"/>
        <v>38.633333332836628</v>
      </c>
      <c r="O141" s="7"/>
      <c r="P141" s="7"/>
      <c r="Q141" s="25"/>
      <c r="R141" s="25"/>
      <c r="S141" s="37">
        <f t="shared" si="63"/>
        <v>1</v>
      </c>
      <c r="T141" s="52" t="str">
        <f t="shared" ref="T141:T204" si="73">IF(ISEVEN(LEFT(AD141,4)),"Southbound","NorthBound")</f>
        <v>NorthBound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19:51:23-0600',mode:absolute,to:'2016-09-08 22:39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41" s="54" t="str">
        <f t="shared" si="65"/>
        <v>N</v>
      </c>
      <c r="X141" s="172">
        <f t="shared" si="71"/>
        <v>1</v>
      </c>
      <c r="Y141" s="69">
        <f t="shared" si="66"/>
        <v>4.6600000000000003E-2</v>
      </c>
      <c r="Z141" s="69">
        <f t="shared" si="67"/>
        <v>23.329799999999999</v>
      </c>
      <c r="AA141" s="69">
        <f t="shared" si="68"/>
        <v>23.283199999999997</v>
      </c>
      <c r="AB141" s="66" t="e">
        <f>VLOOKUP(A141,Enforcements!$C$7:$K$21,8,0)</f>
        <v>#N/A</v>
      </c>
      <c r="AC141" s="62" t="e">
        <f>VLOOKUP(A141,Enforcements!$C$7:$E$21,3,0)</f>
        <v>#N/A</v>
      </c>
      <c r="AD141" s="63" t="str">
        <f t="shared" ref="AD141:AD204" si="74">IF(LEN(A141)=6,"0"&amp;A141,A141)</f>
        <v>0229-08</v>
      </c>
      <c r="AE141" s="99" t="str">
        <f t="shared" si="69"/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AF141" s="96" t="str">
        <f t="shared" si="70"/>
        <v>"C:\Program Files (x86)\AstroGrep\AstroGrep.exe" /spath="%USERPROFILE%\AppData\Local\Temp\OnboardLogs" /stypes="*4018*20160909*" /stext=" 03:.+((SYSTEM_STATE.+slice.+state.+changed )|(ment ac)|(system.+state.+changed )|(\|lc)|(penalty)|(\[timeout)|(PRM\|1\|D)|(kpr)|(kdp))" /e /r /s</v>
      </c>
      <c r="AG141" s="1" t="str">
        <f t="shared" ref="AG141:AG204" si="75">IFERROR(IF(VALUE(LEFT(AD141,2))&lt;=2,"EC",IF(OR(VALUE(LEFT(AD141,2))=8,VALUE(LEFT(AD141,2))=18),"NW","Other")),"Other")</f>
        <v>EC</v>
      </c>
      <c r="AH141" s="100" t="str">
        <f t="shared" si="58"/>
        <v>"%USERPROFILE%\Documents\GitHub\eaglep3\Utilities\RefineRTDCRunTimes.py" --tripid 229-08 --locoid 4018 --swversion DE.1.0.7.0 --startMP 204:466 --initTime 2016-09-08T20:51:23 --startdatetime 2016-09-08T21:00:26 --delay 2 --endMP 204:233298 --enddatetime 2016-09-08T21:39:04 --enforcementcount 0 &gt;&gt;C:\Users\stu\Documents\GitHub\eaglep3-reporting\EC\2016-09-08-refined-times.txt</v>
      </c>
      <c r="AI141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{"issue":{"subject":"","project_id":79,"tracker_id":40,"status_id":1,"priority_id":2,"assigned_to_id":23,"start_date":"2016-09-08","description":"","custom_fields":[{"id":1,"name":"Subdivision","value":"EC"},{"id":4,"name":"Milepost","value":"23.2832"},{"id":17,"name":"Train ID","value":"229-08"},{"id":16,"name":"Locomotive ID","value":"4018"},{"id":130,"name":"Impact","value":""},{"id":150,"name":"Time of Event (Mountain Time)","value":"21:39:04"},{"id":151,"name":"Denver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s="23" customFormat="1" x14ac:dyDescent="0.25">
      <c r="A142" s="39" t="s">
        <v>611</v>
      </c>
      <c r="B142" s="7">
        <v>4017</v>
      </c>
      <c r="C142" s="24" t="s">
        <v>109</v>
      </c>
      <c r="D142" s="24" t="s">
        <v>560</v>
      </c>
      <c r="E142" s="15">
        <v>42621.908553240741</v>
      </c>
      <c r="F142" s="15">
        <v>42621.914074074077</v>
      </c>
      <c r="G142" s="7">
        <v>1</v>
      </c>
      <c r="H142" s="15" t="s">
        <v>612</v>
      </c>
      <c r="I142" s="15">
        <v>42621.942418981482</v>
      </c>
      <c r="J142" s="7">
        <v>0</v>
      </c>
      <c r="K142" s="122" t="str">
        <f t="shared" si="72"/>
        <v>4017/4018</v>
      </c>
      <c r="L142" s="24" t="str">
        <f>VLOOKUP(A142,'Trips&amp;Operators'!$C$1:$E$10000,3,FALSE)</f>
        <v>DELGADO</v>
      </c>
      <c r="M142" s="6">
        <f t="shared" si="61"/>
        <v>2.8344907404971309E-2</v>
      </c>
      <c r="N142" s="7">
        <f t="shared" si="62"/>
        <v>40.816666663158685</v>
      </c>
      <c r="O142" s="7"/>
      <c r="P142" s="7"/>
      <c r="Q142" s="25"/>
      <c r="R142" s="25"/>
      <c r="S142" s="37">
        <f t="shared" si="63"/>
        <v>1</v>
      </c>
      <c r="T142" s="52" t="str">
        <f t="shared" si="73"/>
        <v>Southbound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20:48:19-0600',mode:absolute,to:'2016-09-08 23:37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42" s="54" t="str">
        <f t="shared" si="65"/>
        <v>N</v>
      </c>
      <c r="X142" s="172">
        <f t="shared" si="71"/>
        <v>1</v>
      </c>
      <c r="Y142" s="69">
        <f t="shared" si="66"/>
        <v>23.298100000000002</v>
      </c>
      <c r="Z142" s="69">
        <f t="shared" si="67"/>
        <v>3.4200000000000001E-2</v>
      </c>
      <c r="AA142" s="69">
        <f t="shared" si="68"/>
        <v>23.263900000000003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 t="shared" si="74"/>
        <v>0230-08</v>
      </c>
      <c r="AE142" s="99" t="str">
        <f t="shared" si="69"/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AF142" s="96" t="str">
        <f t="shared" si="70"/>
        <v>"C:\Program Files (x86)\AstroGrep\AstroGrep.exe" /spath="%USERPROFILE%\AppData\Local\Temp\OnboardLogs" /stypes="*4017*20160909*" /stext=" 04:.+((SYSTEM_STATE.+slice.+state.+changed )|(ment ac)|(system.+state.+changed )|(\|lc)|(penalty)|(\[timeout)|(PRM\|1\|D)|(kpr)|(kdp))" /e /r /s</v>
      </c>
      <c r="AG142" s="1" t="str">
        <f t="shared" si="75"/>
        <v>EC</v>
      </c>
      <c r="AH142" s="100" t="str">
        <f t="shared" si="58"/>
        <v>"%USERPROFILE%\Documents\GitHub\eaglep3\Utilities\RefineRTDCRunTimes.py" --tripid 230-08 --locoid 4017 --swversion DE.1.0.7.0 --startMP 204:232981 --initTime 2016-09-08T21:48:19 --startdatetime 2016-09-08T21:56:16 --delay 1 --endMP 204:342 --enddatetime 2016-09-08T22:37:05 --enforcementcount 0 &gt;&gt;C:\Users\stu\Documents\GitHub\eaglep3-reporting\EC\2016-09-08-refined-times.txt</v>
      </c>
      <c r="AI142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{"issue":{"subject":"","project_id":79,"tracker_id":40,"status_id":1,"priority_id":2,"assigned_to_id":23,"start_date":"2016-09-08","description":"","custom_fields":[{"id":1,"name":"Subdivision","value":"EC"},{"id":4,"name":"Milepost","value":"23.2639"},{"id":17,"name":"Train ID","value":"230-08"},{"id":16,"name":"Locomotive ID","value":"4017"},{"id":130,"name":"Impact","value":""},{"id":150,"name":"Time of Event (Mountain Time)","value":"22:37:05"},{"id":151,"name":"Denver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613</v>
      </c>
      <c r="B143" s="7">
        <v>4016</v>
      </c>
      <c r="C143" s="24" t="s">
        <v>109</v>
      </c>
      <c r="D143" s="24" t="s">
        <v>614</v>
      </c>
      <c r="E143" s="15">
        <v>42621.881076388891</v>
      </c>
      <c r="F143" s="15">
        <v>42621.896365740744</v>
      </c>
      <c r="G143" s="7">
        <v>1</v>
      </c>
      <c r="H143" s="15" t="s">
        <v>615</v>
      </c>
      <c r="I143" s="15">
        <v>42621.921168981484</v>
      </c>
      <c r="J143" s="7">
        <v>0</v>
      </c>
      <c r="K143" s="122" t="str">
        <f t="shared" si="72"/>
        <v>4015/4016</v>
      </c>
      <c r="L143" s="24" t="str">
        <f>VLOOKUP(A143,'Trips&amp;Operators'!$C$1:$E$10000,3,FALSE)</f>
        <v>STAMBAUGH</v>
      </c>
      <c r="M143" s="6">
        <f t="shared" si="61"/>
        <v>2.4803240739856847E-2</v>
      </c>
      <c r="N143" s="7">
        <f t="shared" si="62"/>
        <v>35.716666665393859</v>
      </c>
      <c r="O143" s="7"/>
      <c r="P143" s="7"/>
      <c r="Q143" s="25"/>
      <c r="R143" s="25"/>
      <c r="S143" s="37">
        <f t="shared" si="63"/>
        <v>1</v>
      </c>
      <c r="T143" s="52" t="str">
        <f t="shared" si="73"/>
        <v>NorthBound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20:08:45-0600',mode:absolute,to:'2016-09-08 23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43" s="54" t="str">
        <f t="shared" si="65"/>
        <v>N</v>
      </c>
      <c r="X143" s="172">
        <f t="shared" si="71"/>
        <v>1</v>
      </c>
      <c r="Y143" s="69">
        <f t="shared" si="66"/>
        <v>4.6699999999999998E-2</v>
      </c>
      <c r="Z143" s="69">
        <f t="shared" si="67"/>
        <v>23.338100000000001</v>
      </c>
      <c r="AA143" s="69">
        <f t="shared" si="68"/>
        <v>23.291399999999999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 t="shared" si="74"/>
        <v>0231-08</v>
      </c>
      <c r="AE143" s="99" t="str">
        <f t="shared" si="69"/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AF143" s="96" t="str">
        <f t="shared" si="70"/>
        <v>"C:\Program Files (x86)\AstroGrep\AstroGrep.exe" /spath="%USERPROFILE%\AppData\Local\Temp\OnboardLogs" /stypes="*4016*20160909*" /stext=" 04:.+((SYSTEM_STATE.+slice.+state.+changed )|(ment ac)|(system.+state.+changed )|(\|lc)|(penalty)|(\[timeout)|(PRM\|1\|D)|(kpr)|(kdp))" /e /r /s</v>
      </c>
      <c r="AG143" s="1" t="str">
        <f t="shared" si="75"/>
        <v>EC</v>
      </c>
      <c r="AH143" s="100" t="str">
        <f t="shared" si="58"/>
        <v>"%USERPROFILE%\Documents\GitHub\eaglep3\Utilities\RefineRTDCRunTimes.py" --tripid 231-08 --locoid 4016 --swversion DE.1.0.7.0 --startMP 204:467 --initTime 2016-09-08T21:08:45 --startdatetime 2016-09-08T21:30:46 --delay 1 --endMP 204:233381 --enddatetime 2016-09-08T22:06:29 --enforcementcount 0 &gt;&gt;C:\Users\stu\Documents\GitHub\eaglep3-reporting\EC\2016-09-08-refined-times.txt</v>
      </c>
      <c r="AI143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{"issue":{"subject":"","project_id":79,"tracker_id":40,"status_id":1,"priority_id":2,"assigned_to_id":23,"start_date":"2016-09-08","description":"","custom_fields":[{"id":1,"name":"Subdivision","value":"EC"},{"id":4,"name":"Milepost","value":"23.2914"},{"id":17,"name":"Train ID","value":"231-08"},{"id":16,"name":"Locomotive ID","value":"4016"},{"id":130,"name":"Impact","value":""},{"id":150,"name":"Time of Event (Mountain Time)","value":"22:06:29"},{"id":151,"name":"Denver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616</v>
      </c>
      <c r="B144" s="7">
        <v>4015</v>
      </c>
      <c r="C144" s="24" t="s">
        <v>109</v>
      </c>
      <c r="D144" s="24" t="s">
        <v>617</v>
      </c>
      <c r="E144" s="15">
        <v>42621.932129629633</v>
      </c>
      <c r="F144" s="15">
        <v>42621.935104166667</v>
      </c>
      <c r="G144" s="7">
        <v>1</v>
      </c>
      <c r="H144" s="15" t="s">
        <v>618</v>
      </c>
      <c r="I144" s="15">
        <v>42621.963194444441</v>
      </c>
      <c r="J144" s="7">
        <v>0</v>
      </c>
      <c r="K144" s="122" t="str">
        <f t="shared" si="72"/>
        <v>4015/4016</v>
      </c>
      <c r="L144" s="24" t="str">
        <f>VLOOKUP(A144,'Trips&amp;Operators'!$C$1:$E$10000,3,FALSE)</f>
        <v>STAMBAUGH</v>
      </c>
      <c r="M144" s="6">
        <f t="shared" si="61"/>
        <v>2.8090277774026617E-2</v>
      </c>
      <c r="N144" s="7">
        <f t="shared" si="62"/>
        <v>40.449999994598329</v>
      </c>
      <c r="O144" s="7"/>
      <c r="P144" s="7"/>
      <c r="Q144" s="25"/>
      <c r="R144" s="25"/>
      <c r="S144" s="37">
        <f t="shared" si="63"/>
        <v>1</v>
      </c>
      <c r="T144" s="52" t="str">
        <f t="shared" si="73"/>
        <v>Southbound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21:22:16-0600',mode:absolute,to:'2016-09-09 00:07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44" s="54" t="str">
        <f t="shared" si="65"/>
        <v>N</v>
      </c>
      <c r="X144" s="172">
        <f t="shared" si="71"/>
        <v>1</v>
      </c>
      <c r="Y144" s="69">
        <f t="shared" si="66"/>
        <v>23.3079</v>
      </c>
      <c r="Z144" s="69">
        <f t="shared" si="67"/>
        <v>3.7499999999999999E-2</v>
      </c>
      <c r="AA144" s="69">
        <f t="shared" si="68"/>
        <v>23.270399999999999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 t="shared" si="74"/>
        <v>0232-08</v>
      </c>
      <c r="AE144" s="99" t="str">
        <f t="shared" si="69"/>
        <v>aws s3 cp s3://rtdc.mdm.uploadarchive/RTDC4015/2016-09-08/ "%USERPROFILE%\AppData\Local\Temp\OnboardLogs"\RTDC4015\2016-09-08 --recursive &amp; "%USERPROFILE%\Documents\GitHub\mrs-test-scripts\Headless Mode &amp; Sideloading\WalkAndUnGZ.bat" "%USERPROFILE%\AppData\Local\Temp\OnboardLogs"\RTDC4015\2016-09-08 &amp; 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</v>
      </c>
      <c r="AF144" s="96" t="str">
        <f t="shared" si="70"/>
        <v>"C:\Program Files (x86)\AstroGrep\AstroGrep.exe" /spath="%USERPROFILE%\AppData\Local\Temp\OnboardLogs" /stypes="*4015*20160909*" /stext=" 05:.+((SYSTEM_STATE.+slice.+state.+changed )|(ment ac)|(system.+state.+changed )|(\|lc)|(penalty)|(\[timeout)|(PRM\|1\|D)|(kpr)|(kdp))" /e /r /s</v>
      </c>
      <c r="AG144" s="1" t="str">
        <f t="shared" si="75"/>
        <v>EC</v>
      </c>
      <c r="AH144" s="100" t="str">
        <f t="shared" si="58"/>
        <v>"%USERPROFILE%\Documents\GitHub\eaglep3\Utilities\RefineRTDCRunTimes.py" --tripid 232-08 --locoid 4015 --swversion DE.1.0.7.0 --startMP 204:233079 --initTime 2016-09-08T22:22:16 --startdatetime 2016-09-08T22:26:33 --delay 1 --endMP 204:375 --enddatetime 2016-09-08T23:07:00 --enforcementcount 0 &gt;&gt;C:\Users\stu\Documents\GitHub\eaglep3-reporting\EC\2016-09-08-refined-times.txt</v>
      </c>
      <c r="AI144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{"issue":{"subject":"","project_id":79,"tracker_id":40,"status_id":1,"priority_id":2,"assigned_to_id":23,"start_date":"2016-09-08","description":"","custom_fields":[{"id":1,"name":"Subdivision","value":"EC"},{"id":4,"name":"Milepost","value":"23.2704"},{"id":17,"name":"Train ID","value":"232-08"},{"id":16,"name":"Locomotive ID","value":"4015"},{"id":130,"name":"Impact","value":""},{"id":150,"name":"Time of Event (Mountain Time)","value":"23:07:00"},{"id":151,"name":"Denver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x14ac:dyDescent="0.25">
      <c r="A145" s="39" t="s">
        <v>619</v>
      </c>
      <c r="B145" s="7">
        <v>4031</v>
      </c>
      <c r="C145" s="24" t="s">
        <v>109</v>
      </c>
      <c r="D145" s="24" t="s">
        <v>620</v>
      </c>
      <c r="E145" s="15">
        <v>42621.909560185188</v>
      </c>
      <c r="F145" s="15">
        <v>42621.917118055557</v>
      </c>
      <c r="G145" s="7">
        <v>1</v>
      </c>
      <c r="H145" s="15" t="s">
        <v>621</v>
      </c>
      <c r="I145" s="15">
        <v>42621.943738425929</v>
      </c>
      <c r="J145" s="7">
        <v>0</v>
      </c>
      <c r="K145" s="122" t="str">
        <f t="shared" si="72"/>
        <v>4031/4032</v>
      </c>
      <c r="L145" s="24" t="str">
        <f>VLOOKUP(A145,'Trips&amp;Operators'!$C$1:$E$10000,3,FALSE)</f>
        <v>OUN</v>
      </c>
      <c r="M145" s="6">
        <f t="shared" si="61"/>
        <v>2.662037037225673E-2</v>
      </c>
      <c r="N145" s="7">
        <f t="shared" si="62"/>
        <v>38.333333336049691</v>
      </c>
      <c r="O145" s="7"/>
      <c r="P145" s="7"/>
      <c r="Q145" s="25"/>
      <c r="R145" s="25"/>
      <c r="S145" s="37">
        <f t="shared" si="63"/>
        <v>1</v>
      </c>
      <c r="T145" s="52" t="str">
        <f t="shared" si="73"/>
        <v>NorthBound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20:49:46-0600',mode:absolute,to:'2016-09-08 23:38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45" s="54" t="str">
        <f t="shared" si="65"/>
        <v>N</v>
      </c>
      <c r="X145" s="172">
        <f t="shared" si="71"/>
        <v>1</v>
      </c>
      <c r="Y145" s="69">
        <f t="shared" si="66"/>
        <v>6.2199999999999998E-2</v>
      </c>
      <c r="Z145" s="69">
        <f t="shared" si="67"/>
        <v>23.3325</v>
      </c>
      <c r="AA145" s="69">
        <f t="shared" si="68"/>
        <v>23.270299999999999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74"/>
        <v>0233-08</v>
      </c>
      <c r="AE145" s="99" t="str">
        <f t="shared" si="69"/>
        <v>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 &amp; 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</v>
      </c>
      <c r="AF145" s="96" t="str">
        <f t="shared" si="70"/>
        <v>"C:\Program Files (x86)\AstroGrep\AstroGrep.exe" /spath="%USERPROFILE%\AppData\Local\Temp\OnboardLogs" /stypes="*4031*20160909*" /stext=" 04:.+((SYSTEM_STATE.+slice.+state.+changed )|(ment ac)|(system.+state.+changed )|(\|lc)|(penalty)|(\[timeout)|(PRM\|1\|D)|(kpr)|(kdp))" /e /r /s</v>
      </c>
      <c r="AG145" s="1" t="str">
        <f t="shared" si="75"/>
        <v>EC</v>
      </c>
      <c r="AH145" s="100" t="str">
        <f t="shared" si="58"/>
        <v>"%USERPROFILE%\Documents\GitHub\eaglep3\Utilities\RefineRTDCRunTimes.py" --tripid 233-08 --locoid 4031 --swversion DE.1.0.7.0 --startMP 204:622 --initTime 2016-09-08T21:49:46 --startdatetime 2016-09-08T22:00:39 --delay 1 --endMP 204:233325 --enddatetime 2016-09-08T22:38:59 --enforcementcount 0 &gt;&gt;C:\Users\stu\Documents\GitHub\eaglep3-reporting\EC\2016-09-08-refined-times.txt</v>
      </c>
      <c r="AI145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{"issue":{"subject":"","project_id":79,"tracker_id":40,"status_id":1,"priority_id":2,"assigned_to_id":23,"start_date":"2016-09-08","description":"","custom_fields":[{"id":1,"name":"Subdivision","value":"EC"},{"id":4,"name":"Milepost","value":"23.2703"},{"id":17,"name":"Train ID","value":"233-08"},{"id":16,"name":"Locomotive ID","value":"4031"},{"id":130,"name":"Impact","value":""},{"id":150,"name":"Time of Event (Mountain Time)","value":"22:38:59"},{"id":151,"name":"Denver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622</v>
      </c>
      <c r="B146" s="7">
        <v>4028</v>
      </c>
      <c r="C146" s="24" t="s">
        <v>109</v>
      </c>
      <c r="D146" s="24" t="s">
        <v>623</v>
      </c>
      <c r="E146" s="15">
        <v>42621.953298611108</v>
      </c>
      <c r="F146" s="15">
        <v>42621.955937500003</v>
      </c>
      <c r="G146" s="7">
        <v>0</v>
      </c>
      <c r="H146" s="15" t="s">
        <v>600</v>
      </c>
      <c r="I146" s="15">
        <v>42621.985833333332</v>
      </c>
      <c r="J146" s="7">
        <v>0</v>
      </c>
      <c r="K146" s="122" t="str">
        <f t="shared" si="72"/>
        <v>4027/4028</v>
      </c>
      <c r="L146" s="24" t="str">
        <f>VLOOKUP(A146,'Trips&amp;Operators'!$C$1:$E$10000,3,FALSE)</f>
        <v>OUN</v>
      </c>
      <c r="M146" s="6">
        <f t="shared" si="61"/>
        <v>2.9895833329646848E-2</v>
      </c>
      <c r="N146" s="7">
        <f t="shared" si="62"/>
        <v>43.049999994691461</v>
      </c>
      <c r="O146" s="7"/>
      <c r="P146" s="7"/>
      <c r="Q146" s="25"/>
      <c r="R146" s="25"/>
      <c r="S146" s="37">
        <f t="shared" si="63"/>
        <v>1</v>
      </c>
      <c r="T146" s="52" t="str">
        <f t="shared" si="73"/>
        <v>Southbound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21:52:45-0600',mode:absolute,to:'2016-09-09 00:39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46" s="54" t="str">
        <f t="shared" si="65"/>
        <v>N</v>
      </c>
      <c r="X146" s="172">
        <f t="shared" si="71"/>
        <v>1</v>
      </c>
      <c r="Y146" s="69">
        <f t="shared" si="66"/>
        <v>23.2683</v>
      </c>
      <c r="Z146" s="69">
        <f t="shared" si="67"/>
        <v>1.72E-2</v>
      </c>
      <c r="AA146" s="69">
        <f t="shared" si="68"/>
        <v>23.251100000000001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 t="shared" si="74"/>
        <v>0234-08</v>
      </c>
      <c r="AE146" s="99" t="str">
        <f t="shared" si="69"/>
        <v>aws s3 cp s3://rtdc.mdm.uploadarchive/RTDC4028/2016-09-08/ "%USERPROFILE%\AppData\Local\Temp\OnboardLogs"\RTDC4028\2016-09-08 --recursive &amp; "%USERPROFILE%\Documents\GitHub\mrs-test-scripts\Headless Mode &amp; Sideloading\WalkAndUnGZ.bat" "%USERPROFILE%\AppData\Local\Temp\OnboardLogs"\RTDC4028\2016-09-08 &amp; aws s3 cp s3://rtdc.mdm.uploadarchive/RTDC4028/2016-09-09/ "%USERPROFILE%\AppData\Local\Temp\OnboardLogs"\RTDC4028\2016-09-09 --recursive &amp; "%USERPROFILE%\Documents\GitHub\mrs-test-scripts\Headless Mode &amp; Sideloading\WalkAndUnGZ.bat" "%USERPROFILE%\AppData\Local\Temp\OnboardLogs"\RTDC4028\2016-09-09</v>
      </c>
      <c r="AF146" s="96" t="str">
        <f t="shared" si="70"/>
        <v>"C:\Program Files (x86)\AstroGrep\AstroGrep.exe" /spath="%USERPROFILE%\AppData\Local\Temp\OnboardLogs" /stypes="*4028*20160909*" /stext=" 05:.+((SYSTEM_STATE.+slice.+state.+changed )|(ment ac)|(system.+state.+changed )|(\|lc)|(penalty)|(\[timeout)|(PRM\|1\|D)|(kpr)|(kdp))" /e /r /s</v>
      </c>
      <c r="AG146" s="1" t="str">
        <f t="shared" si="75"/>
        <v>EC</v>
      </c>
      <c r="AH146" s="100" t="str">
        <f t="shared" si="58"/>
        <v>"%USERPROFILE%\Documents\GitHub\eaglep3\Utilities\RefineRTDCRunTimes.py" --tripid 234-08 --locoid 4028 --swversion DE.1.0.7.0 --startMP 204:232683 --initTime 2016-09-08T22:52:45 --startdatetime 2016-09-08T22:56:33 --delay 0 --endMP 204:172 --enddatetime 2016-09-08T23:39:36 --enforcementcount 0 &gt;&gt;C:\Users\stu\Documents\GitHub\eaglep3-reporting\EC\2016-09-08-refined-times.txt</v>
      </c>
      <c r="AI146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{"issue":{"subject":"","project_id":79,"tracker_id":40,"status_id":1,"priority_id":2,"assigned_to_id":23,"start_date":"2016-09-08","description":"","custom_fields":[{"id":1,"name":"Subdivision","value":"EC"},{"id":4,"name":"Milepost","value":"23.2511"},{"id":17,"name":"Train ID","value":"234-08"},{"id":16,"name":"Locomotive ID","value":"4028"},{"id":130,"name":"Impact","value":""},{"id":150,"name":"Time of Event (Mountain Time)","value":"23:39:36"},{"id":151,"name":"Denver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624</v>
      </c>
      <c r="B147" s="7">
        <v>4014</v>
      </c>
      <c r="C147" s="24" t="s">
        <v>109</v>
      </c>
      <c r="D147" s="24" t="s">
        <v>625</v>
      </c>
      <c r="E147" s="15">
        <v>42621.928043981483</v>
      </c>
      <c r="F147" s="15">
        <v>42621.937824074077</v>
      </c>
      <c r="G147" s="7">
        <v>1</v>
      </c>
      <c r="H147" s="15" t="s">
        <v>385</v>
      </c>
      <c r="I147" s="15">
        <v>42621.963900462964</v>
      </c>
      <c r="J147" s="7">
        <v>0</v>
      </c>
      <c r="K147" s="122" t="str">
        <f t="shared" si="72"/>
        <v>4013/4014</v>
      </c>
      <c r="L147" s="24" t="str">
        <f>VLOOKUP(A147,'Trips&amp;Operators'!$C$1:$E$10000,3,FALSE)</f>
        <v>STURGEON</v>
      </c>
      <c r="M147" s="6">
        <f t="shared" si="61"/>
        <v>2.6076388887304347E-2</v>
      </c>
      <c r="N147" s="7">
        <f t="shared" si="62"/>
        <v>37.54999999771826</v>
      </c>
      <c r="O147" s="7"/>
      <c r="P147" s="7"/>
      <c r="Q147" s="25"/>
      <c r="R147" s="25"/>
      <c r="S147" s="37">
        <f t="shared" si="63"/>
        <v>1</v>
      </c>
      <c r="T147" s="52" t="str">
        <f t="shared" si="73"/>
        <v>NorthBound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64"/>
        <v>https://search-rtdc-monitor-bjffxe2xuh6vdkpspy63sjmuny.us-east-1.es.amazonaws.com/_plugin/kibana/#/discover/Steve-Slow-Train-Analysis-(2080s-and-2083s)?_g=(refreshInterval:(display:Off,section:0,value:0),time:(from:'2016-09-08 21:16:23-0600',mode:absolute,to:'2016-09-09 00:08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47" s="54" t="str">
        <f t="shared" si="65"/>
        <v>N</v>
      </c>
      <c r="X147" s="172">
        <f t="shared" si="71"/>
        <v>1</v>
      </c>
      <c r="Y147" s="69">
        <f t="shared" si="66"/>
        <v>6.0600000000000001E-2</v>
      </c>
      <c r="Z147" s="69">
        <f t="shared" si="67"/>
        <v>23.328700000000001</v>
      </c>
      <c r="AA147" s="69">
        <f t="shared" si="68"/>
        <v>23.2681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74"/>
        <v>0235-08</v>
      </c>
      <c r="AE147" s="99" t="str">
        <f t="shared" si="69"/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AF147" s="96" t="str">
        <f t="shared" si="70"/>
        <v>"C:\Program Files (x86)\AstroGrep\AstroGrep.exe" /spath="%USERPROFILE%\AppData\Local\Temp\OnboardLogs" /stypes="*4014*20160909*" /stext=" 05:.+((SYSTEM_STATE.+slice.+state.+changed )|(ment ac)|(system.+state.+changed )|(\|lc)|(penalty)|(\[timeout)|(PRM\|1\|D)|(kpr)|(kdp))" /e /r /s</v>
      </c>
      <c r="AG147" s="1" t="str">
        <f t="shared" si="75"/>
        <v>EC</v>
      </c>
      <c r="AH147" s="100" t="str">
        <f t="shared" si="58"/>
        <v>"%USERPROFILE%\Documents\GitHub\eaglep3\Utilities\RefineRTDCRunTimes.py" --tripid 235-08 --locoid 4014 --swversion DE.1.0.7.0 --startMP 204:606 --initTime 2016-09-08T22:16:23 --startdatetime 2016-09-08T22:30:28 --delay 1 --endMP 204:233287 --enddatetime 2016-09-08T23:08:01 --enforcementcount 0 &gt;&gt;C:\Users\stu\Documents\GitHub\eaglep3-reporting\EC\2016-09-08-refined-times.txt</v>
      </c>
      <c r="AI147" s="137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{"issue":{"subject":"","project_id":79,"tracker_id":40,"status_id":1,"priority_id":2,"assigned_to_id":23,"start_date":"2016-09-08","description":"","custom_fields":[{"id":1,"name":"Subdivision","value":"EC"},{"id":4,"name":"Milepost","value":"23.2681"},{"id":17,"name":"Train ID","value":"235-08"},{"id":16,"name":"Locomotive ID","value":"4014"},{"id":130,"name":"Impact","value":""},{"id":150,"name":"Time of Event (Mountain Time)","value":"23:08:01"},{"id":151,"name":"Denver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626</v>
      </c>
      <c r="B148" s="7">
        <v>4030</v>
      </c>
      <c r="C148" s="24" t="s">
        <v>109</v>
      </c>
      <c r="D148" s="24" t="s">
        <v>627</v>
      </c>
      <c r="E148" s="15">
        <v>42621.970972222225</v>
      </c>
      <c r="F148" s="15">
        <v>42621.976631944446</v>
      </c>
      <c r="G148" s="7">
        <v>2</v>
      </c>
      <c r="H148" s="15" t="s">
        <v>628</v>
      </c>
      <c r="I148" s="15">
        <v>42622.006944444445</v>
      </c>
      <c r="J148" s="7">
        <v>0</v>
      </c>
      <c r="K148" s="122" t="str">
        <f t="shared" si="72"/>
        <v>4029/4030</v>
      </c>
      <c r="L148" s="24" t="str">
        <f>VLOOKUP(A148,'Trips&amp;Operators'!$C$1:$E$10000,3,FALSE)</f>
        <v>STURGEON</v>
      </c>
      <c r="M148" s="6">
        <f t="shared" ref="M148:M184" si="76">I148-F148</f>
        <v>3.0312499999126885E-2</v>
      </c>
      <c r="N148" s="7">
        <f t="shared" ref="N148:N184" si="77">24*60*SUM($M148:$M148)</f>
        <v>43.649999998742715</v>
      </c>
      <c r="O148" s="7"/>
      <c r="P148" s="7"/>
      <c r="Q148" s="25"/>
      <c r="R148" s="25"/>
      <c r="S148" s="37">
        <f t="shared" ref="S148:S184" si="78">SUM(U148:U148)/IF(AG148="EC",12,1)</f>
        <v>1</v>
      </c>
      <c r="T148" s="52" t="str">
        <f t="shared" si="73"/>
        <v>Southbound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ref="V148:V184" si="79">"https://search-rtdc-monitor-bjffxe2xuh6vdkpspy63sjmuny.us-east-1.es.amazonaws.com/_plugin/kibana/#/discover/Steve-Slow-Train-Analysis-(2080s-and-2083s)?_g=(refreshInterval:(display:Off,section:0,value:0),time:(from:'"&amp;TEXT(E148-1/24,"yyyy-MM-DD hh:mm:ss")&amp;"-0600',mode:absolute,to:'"&amp;TEXT(I148+1/24,"yyyy-MM-DD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https://search-rtdc-monitor-bjffxe2xuh6vdkpspy63sjmuny.us-east-1.es.amazonaws.com/_plugin/kibana/#/discover/Steve-Slow-Train-Analysis-(2080s-and-2083s)?_g=(refreshInterval:(display:Off,section:0,value:0),time:(from:'2016-09-08 22:18:12-0600',mode:absolute,to:'2016-09-09 01:10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48" s="54" t="str">
        <f t="shared" ref="W148:W184" si="80">IF(AA148&lt;IF(AG148="EC",23,5.65),"Y","N")</f>
        <v>N</v>
      </c>
      <c r="X148" s="172">
        <f t="shared" si="71"/>
        <v>1</v>
      </c>
      <c r="Y148" s="69">
        <f t="shared" ref="Y148:Y184" si="81">RIGHT(D148,LEN(D148)-4)/10000</f>
        <v>23.264099999999999</v>
      </c>
      <c r="Z148" s="69">
        <f t="shared" ref="Z148:Z184" si="82">RIGHT(H148,LEN(H148)-4)/10000</f>
        <v>1.7999999999999999E-2</v>
      </c>
      <c r="AA148" s="69">
        <f t="shared" ref="AA148:AA179" si="83">ABS(Z148-Y148)</f>
        <v>23.246099999999998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74"/>
        <v>0236-08</v>
      </c>
      <c r="AE148" s="99" t="str">
        <f t="shared" ref="AE148:AE184" si="84">"aws s3 cp "&amp;s3_bucket&amp;"/RTDC"&amp;B148&amp;"/"&amp;TEXT(F148,"YYYY-MM-DD")&amp;"/ "&amp;search_path&amp;"\RTDC"&amp;B148&amp;"\"&amp;TEXT(F148,"YYYY-MM-DD")&amp;" --recursive &amp; """&amp;walkandungz&amp;""" "&amp;search_path&amp;"\RTDC"&amp;B148&amp;"\"&amp;TEXT(F148,"YYYY-MM-DD")
&amp;" &amp; "&amp;"aws s3 cp "&amp;s3_bucket&amp;"/RTDC"&amp;B148&amp;"/"&amp;TEXT(F148+1,"YYYY-MM-DD")&amp;"/ "&amp;search_path&amp;"\RTDC"&amp;B148&amp;"\"&amp;TEXT(F148+1,"YYYY-MM-DD")&amp;" --recursive &amp; """&amp;walkandungz&amp;""" "&amp;search_path&amp;"\RTDC"&amp;B148&amp;"\"&amp;TEXT(F148+1,"YYYY-MM-DD")</f>
        <v>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 &amp; aws s3 cp s3://rtdc.mdm.uploadarchive/RTDC4030/2016-09-09/ "%USERPROFILE%\AppData\Local\Temp\OnboardLogs"\RTDC4030\2016-09-09 --recursive &amp; "%USERPROFILE%\Documents\GitHub\mrs-test-scripts\Headless Mode &amp; Sideloading\WalkAndUnGZ.bat" "%USERPROFILE%\AppData\Local\Temp\OnboardLogs"\RTDC4030\2016-09-09</v>
      </c>
      <c r="AF148" s="96" t="str">
        <f t="shared" ref="AF148:AF185" si="85">astrogrep_path&amp;" /spath="&amp;search_path&amp;" /stypes=""*"&amp;B148&amp;"*"&amp;TEXT(I148-utc_offset/24,"YYYYMMDD")&amp;"*"" /stext="" "&amp;TEXT(I148-utc_offset/24,"HH")&amp;search_regexp&amp;""" /e /r /s"</f>
        <v>"C:\Program Files (x86)\AstroGrep\AstroGrep.exe" /spath="%USERPROFILE%\AppData\Local\Temp\OnboardLogs" /stypes="*4030*20160909*" /stext=" 06:.+((SYSTEM_STATE.+slice.+state.+changed )|(ment ac)|(system.+state.+changed )|(\|lc)|(penalty)|(\[timeout)|(PRM\|1\|D)|(kpr)|(kdp))" /e /r /s</v>
      </c>
      <c r="AG148" s="1" t="str">
        <f t="shared" si="75"/>
        <v>EC</v>
      </c>
      <c r="AH148" s="100" t="str">
        <f t="shared" si="58"/>
        <v>"%USERPROFILE%\Documents\GitHub\eaglep3\Utilities\RefineRTDCRunTimes.py" --tripid 236-08 --locoid 4030 --swversion DE.1.0.7.0 --startMP 204:232641 --initTime 2016-09-08T23:18:12 --startdatetime 2016-09-08T23:26:21 --delay 2 --endMP 204:180 --enddatetime 2016-09-09T00:10:00 --enforcementcount 0 &gt;&gt;C:\Users\stu\Documents\GitHub\eaglep3-reporting\EC\2016-09-08-refined-times.txt</v>
      </c>
      <c r="AI148" s="137" t="str">
        <f t="shared" si="59"/>
        <v>echo {"issue":{"subject":"","project_id":79,"tracker_id":40,"status_id":1,"priority_id":2,"assigned_to_id":23,"start_date":"2016-09-09","description":"","custom_fields":[{"id":1,"name":"Subdivision","value":"EC"},{"id":4,"name":"Milepost","value":"23.2461"},{"id":17,"name":"Train ID","value":"236-08"},{"id":16,"name":"Locomotive ID","value":"4030"},{"id":130,"name":"Impact","value":""},{"id":150,"name":"Time of Event (Mountain Time)","value":"00:10:00"},{"id":151,"name":"Denver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507</v>
      </c>
      <c r="B149" s="7">
        <v>4018</v>
      </c>
      <c r="C149" s="24" t="s">
        <v>109</v>
      </c>
      <c r="D149" s="24" t="s">
        <v>629</v>
      </c>
      <c r="E149" s="15">
        <v>42621.94672453704</v>
      </c>
      <c r="F149" s="15">
        <v>42621.958564814813</v>
      </c>
      <c r="G149" s="7">
        <v>6</v>
      </c>
      <c r="H149" s="15" t="s">
        <v>630</v>
      </c>
      <c r="I149" s="15">
        <v>42621.985509259262</v>
      </c>
      <c r="J149" s="7">
        <v>0</v>
      </c>
      <c r="K149" s="122" t="str">
        <f t="shared" si="72"/>
        <v>4017/4018</v>
      </c>
      <c r="L149" s="24" t="str">
        <f>VLOOKUP(A149,'Trips&amp;Operators'!$C$1:$E$10000,3,FALSE)</f>
        <v>DELGADO</v>
      </c>
      <c r="M149" s="6">
        <f t="shared" si="76"/>
        <v>2.694444444932742E-2</v>
      </c>
      <c r="N149" s="7">
        <f t="shared" si="77"/>
        <v>38.800000007031485</v>
      </c>
      <c r="O149" s="7"/>
      <c r="P149" s="7"/>
      <c r="Q149" s="25"/>
      <c r="R149" s="25"/>
      <c r="S149" s="37">
        <f t="shared" si="78"/>
        <v>1</v>
      </c>
      <c r="T149" s="52" t="str">
        <f t="shared" si="73"/>
        <v>NorthBound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21:43:17-0600',mode:absolute,to:'2016-09-09 00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49" s="54" t="str">
        <f t="shared" si="80"/>
        <v>N</v>
      </c>
      <c r="X149" s="172">
        <f t="shared" si="71"/>
        <v>1</v>
      </c>
      <c r="Y149" s="69">
        <f t="shared" si="81"/>
        <v>6.4600000000000005E-2</v>
      </c>
      <c r="Z149" s="69">
        <f t="shared" si="82"/>
        <v>23.330400000000001</v>
      </c>
      <c r="AA149" s="69">
        <f t="shared" si="83"/>
        <v>23.265800000000002</v>
      </c>
      <c r="AB149" s="66" t="str">
        <f>VLOOKUP(A149,Enforcements!$C$7:$K$21,8,0)</f>
        <v>Speed (6)</v>
      </c>
      <c r="AC149" s="62" t="str">
        <f>VLOOKUP(A149,Enforcements!$C$7:$E$21,3,0)</f>
        <v>PERMANENT SPEED RESTRICTION</v>
      </c>
      <c r="AD149" s="63" t="str">
        <f t="shared" si="74"/>
        <v>0237-08</v>
      </c>
      <c r="AE149" s="99" t="str">
        <f t="shared" si="84"/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AF149" s="96" t="str">
        <f t="shared" si="85"/>
        <v>"C:\Program Files (x86)\AstroGrep\AstroGrep.exe" /spath="%USERPROFILE%\AppData\Local\Temp\OnboardLogs" /stypes="*4018*20160909*" /stext=" 05:.+((SYSTEM_STATE.+slice.+state.+changed )|(ment ac)|(system.+state.+changed )|(\|lc)|(penalty)|(\[timeout)|(PRM\|1\|D)|(kpr)|(kdp))" /e /r /s</v>
      </c>
      <c r="AG149" s="1" t="str">
        <f t="shared" si="75"/>
        <v>EC</v>
      </c>
      <c r="AH149" s="100" t="str">
        <f t="shared" ref="AH149:AH216" si="86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237-08 --locoid 4018 --swversion DE.1.0.7.0 --startMP 204:646 --initTime 2016-09-08T22:43:17 --startdatetime 2016-09-08T23:00:20 --delay 6 --endMP 204:233304 --enddatetime 2016-09-08T23:39:08 --enforcementcount 0 &gt;&gt;C:\Users\stu\Documents\GitHub\eaglep3-reporting\EC\2016-09-08-refined-times.txt</v>
      </c>
      <c r="AI149" s="137" t="str">
        <f t="shared" ref="AI149:AI216" si="87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AA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{"issue":{"subject":"","project_id":79,"tracker_id":40,"status_id":1,"priority_id":2,"assigned_to_id":23,"start_date":"2016-09-08","description":"","custom_fields":[{"id":1,"name":"Subdivision","value":"EC"},{"id":4,"name":"Milepost","value":"23.2658"},{"id":17,"name":"Train ID","value":"237-08"},{"id":16,"name":"Locomotive ID","value":"4018"},{"id":130,"name":"Impact","value":""},{"id":150,"name":"Time of Event (Mountain Time)","value":"23:39:08"},{"id":151,"name":"Denver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631</v>
      </c>
      <c r="B150" s="7">
        <v>4019</v>
      </c>
      <c r="C150" s="24" t="s">
        <v>109</v>
      </c>
      <c r="D150" s="24" t="s">
        <v>632</v>
      </c>
      <c r="E150" s="15">
        <v>42621.992581018516</v>
      </c>
      <c r="F150" s="15">
        <v>42621.997488425928</v>
      </c>
      <c r="G150" s="7">
        <v>1</v>
      </c>
      <c r="H150" s="15" t="s">
        <v>352</v>
      </c>
      <c r="I150" s="15">
        <v>42622.029120370367</v>
      </c>
      <c r="J150" s="7">
        <v>0</v>
      </c>
      <c r="K150" s="122" t="str">
        <f t="shared" si="72"/>
        <v>4019/4020</v>
      </c>
      <c r="L150" s="24" t="str">
        <f>VLOOKUP(A150,'Trips&amp;Operators'!$C$1:$E$10000,3,FALSE)</f>
        <v>DELGADO</v>
      </c>
      <c r="M150" s="6">
        <f t="shared" si="76"/>
        <v>3.163194443914108E-2</v>
      </c>
      <c r="N150" s="7">
        <f t="shared" si="77"/>
        <v>45.549999992363155</v>
      </c>
      <c r="O150" s="7"/>
      <c r="P150" s="7"/>
      <c r="Q150" s="25"/>
      <c r="R150" s="25"/>
      <c r="S150" s="37">
        <f t="shared" si="78"/>
        <v>1</v>
      </c>
      <c r="T150" s="52" t="str">
        <f t="shared" si="73"/>
        <v>Southbound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22:49:19-0600',mode:absolute,to:'2016-09-09 01:41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50" s="54" t="str">
        <f t="shared" si="80"/>
        <v>N</v>
      </c>
      <c r="X150" s="172">
        <f t="shared" si="71"/>
        <v>1</v>
      </c>
      <c r="Y150" s="69">
        <f t="shared" si="81"/>
        <v>23.2668</v>
      </c>
      <c r="Z150" s="69">
        <f t="shared" si="82"/>
        <v>1.61E-2</v>
      </c>
      <c r="AA150" s="69">
        <f t="shared" si="83"/>
        <v>23.250699999999998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 t="shared" si="74"/>
        <v>0238-08</v>
      </c>
      <c r="AE150" s="99" t="str">
        <f t="shared" si="84"/>
        <v>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 &amp; aws s3 cp s3://rtdc.mdm.uploadarchive/RTDC4019/2016-09-09/ "%USERPROFILE%\AppData\Local\Temp\OnboardLogs"\RTDC4019\2016-09-09 --recursive &amp; "%USERPROFILE%\Documents\GitHub\mrs-test-scripts\Headless Mode &amp; Sideloading\WalkAndUnGZ.bat" "%USERPROFILE%\AppData\Local\Temp\OnboardLogs"\RTDC4019\2016-09-09</v>
      </c>
      <c r="AF150" s="96" t="str">
        <f t="shared" si="85"/>
        <v>"C:\Program Files (x86)\AstroGrep\AstroGrep.exe" /spath="%USERPROFILE%\AppData\Local\Temp\OnboardLogs" /stypes="*4019*20160909*" /stext=" 06:.+((SYSTEM_STATE.+slice.+state.+changed )|(ment ac)|(system.+state.+changed )|(\|lc)|(penalty)|(\[timeout)|(PRM\|1\|D)|(kpr)|(kdp))" /e /r /s</v>
      </c>
      <c r="AG150" s="1" t="str">
        <f t="shared" si="75"/>
        <v>EC</v>
      </c>
      <c r="AH150" s="100" t="str">
        <f t="shared" si="86"/>
        <v>"%USERPROFILE%\Documents\GitHub\eaglep3\Utilities\RefineRTDCRunTimes.py" --tripid 238-08 --locoid 4019 --swversion DE.1.0.7.0 --startMP 204:232668 --initTime 2016-09-08T23:49:19 --startdatetime 2016-09-08T23:56:23 --delay 1 --endMP 204:161 --enddatetime 2016-09-09T00:41:56 --enforcementcount 0 &gt;&gt;C:\Users\stu\Documents\GitHub\eaglep3-reporting\EC\2016-09-08-refined-times.txt</v>
      </c>
      <c r="AI150" s="137" t="str">
        <f t="shared" si="87"/>
        <v>echo {"issue":{"subject":"","project_id":79,"tracker_id":40,"status_id":1,"priority_id":2,"assigned_to_id":23,"start_date":"2016-09-09","description":"","custom_fields":[{"id":1,"name":"Subdivision","value":"EC"},{"id":4,"name":"Milepost","value":"23.2507"},{"id":17,"name":"Train ID","value":"238-08"},{"id":16,"name":"Locomotive ID","value":"4019"},{"id":130,"name":"Impact","value":""},{"id":150,"name":"Time of Event (Mountain Time)","value":"00:41:56"},{"id":151,"name":"Denver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633</v>
      </c>
      <c r="B151" s="7">
        <v>4016</v>
      </c>
      <c r="C151" s="24" t="s">
        <v>109</v>
      </c>
      <c r="D151" s="24" t="s">
        <v>634</v>
      </c>
      <c r="E151" s="15">
        <v>42621.965844907405</v>
      </c>
      <c r="F151" s="15">
        <v>42621.979884259257</v>
      </c>
      <c r="G151" s="7">
        <v>1</v>
      </c>
      <c r="H151" s="15" t="s">
        <v>319</v>
      </c>
      <c r="I151" s="15">
        <v>42622.007453703707</v>
      </c>
      <c r="J151" s="7">
        <v>0</v>
      </c>
      <c r="K151" s="122" t="str">
        <f t="shared" si="72"/>
        <v>4015/4016</v>
      </c>
      <c r="L151" s="24" t="str">
        <f>VLOOKUP(A151,'Trips&amp;Operators'!$C$1:$E$10000,3,FALSE)</f>
        <v>STAMBAUGH</v>
      </c>
      <c r="M151" s="6">
        <f t="shared" si="76"/>
        <v>2.7569444449909497E-2</v>
      </c>
      <c r="N151" s="7">
        <f t="shared" si="77"/>
        <v>39.700000007869676</v>
      </c>
      <c r="O151" s="7"/>
      <c r="P151" s="7"/>
      <c r="Q151" s="25"/>
      <c r="R151" s="25"/>
      <c r="S151" s="37">
        <f t="shared" si="78"/>
        <v>1</v>
      </c>
      <c r="T151" s="52" t="str">
        <f t="shared" si="73"/>
        <v>NorthBound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22:10:49-0600',mode:absolute,to:'2016-09-09 01:10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51" s="54" t="str">
        <f t="shared" si="80"/>
        <v>N</v>
      </c>
      <c r="X151" s="172">
        <f t="shared" ref="X151:X183" si="88">VALUE(LEFT(AD151,4))-VALUE(LEFT(AD150,4))</f>
        <v>1</v>
      </c>
      <c r="Y151" s="69">
        <f t="shared" si="81"/>
        <v>6.6400000000000001E-2</v>
      </c>
      <c r="Z151" s="69">
        <f t="shared" si="82"/>
        <v>23.3278</v>
      </c>
      <c r="AA151" s="69">
        <f t="shared" si="83"/>
        <v>23.261399999999998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74"/>
        <v>0239-08</v>
      </c>
      <c r="AE151" s="99" t="str">
        <f t="shared" si="84"/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AF151" s="96" t="str">
        <f t="shared" si="85"/>
        <v>"C:\Program Files (x86)\AstroGrep\AstroGrep.exe" /spath="%USERPROFILE%\AppData\Local\Temp\OnboardLogs" /stypes="*4016*20160909*" /stext=" 06:.+((SYSTEM_STATE.+slice.+state.+changed )|(ment ac)|(system.+state.+changed )|(\|lc)|(penalty)|(\[timeout)|(PRM\|1\|D)|(kpr)|(kdp))" /e /r /s</v>
      </c>
      <c r="AG151" s="1" t="str">
        <f t="shared" si="75"/>
        <v>EC</v>
      </c>
      <c r="AH151" s="100" t="str">
        <f t="shared" si="86"/>
        <v>"%USERPROFILE%\Documents\GitHub\eaglep3\Utilities\RefineRTDCRunTimes.py" --tripid 239-08 --locoid 4016 --swversion DE.1.0.7.0 --startMP 204:664 --initTime 2016-09-08T23:10:49 --startdatetime 2016-09-08T23:31:02 --delay 1 --endMP 204:233278 --enddatetime 2016-09-09T00:10:44 --enforcementcount 0 &gt;&gt;C:\Users\stu\Documents\GitHub\eaglep3-reporting\EC\2016-09-08-refined-times.txt</v>
      </c>
      <c r="AI151" s="137" t="str">
        <f t="shared" si="87"/>
        <v>echo {"issue":{"subject":"","project_id":79,"tracker_id":40,"status_id":1,"priority_id":2,"assigned_to_id":23,"start_date":"2016-09-09","description":"","custom_fields":[{"id":1,"name":"Subdivision","value":"EC"},{"id":4,"name":"Milepost","value":"23.2614"},{"id":17,"name":"Train ID","value":"239-08"},{"id":16,"name":"Locomotive ID","value":"4016"},{"id":130,"name":"Impact","value":""},{"id":150,"name":"Time of Event (Mountain Time)","value":"00:10:44"},{"id":151,"name":"Denver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s="23" customFormat="1" x14ac:dyDescent="0.25">
      <c r="A152" s="39" t="s">
        <v>635</v>
      </c>
      <c r="B152" s="7">
        <v>4026</v>
      </c>
      <c r="C152" s="24" t="s">
        <v>109</v>
      </c>
      <c r="D152" s="24" t="s">
        <v>636</v>
      </c>
      <c r="E152" s="15">
        <v>42622.012523148151</v>
      </c>
      <c r="F152" s="15">
        <v>42622.018391203703</v>
      </c>
      <c r="G152" s="7">
        <v>3</v>
      </c>
      <c r="H152" s="15" t="s">
        <v>637</v>
      </c>
      <c r="I152" s="15">
        <v>42622.046134259261</v>
      </c>
      <c r="J152" s="7">
        <v>0</v>
      </c>
      <c r="K152" s="122" t="str">
        <f t="shared" si="72"/>
        <v>4025/4026</v>
      </c>
      <c r="L152" s="24" t="str">
        <f>VLOOKUP(A152,'Trips&amp;Operators'!$C$1:$E$10000,3,FALSE)</f>
        <v>STAMBAUGH</v>
      </c>
      <c r="M152" s="6">
        <f t="shared" si="76"/>
        <v>2.7743055557948537E-2</v>
      </c>
      <c r="N152" s="7">
        <f t="shared" si="77"/>
        <v>39.950000003445894</v>
      </c>
      <c r="O152" s="7"/>
      <c r="P152" s="7"/>
      <c r="Q152" s="25"/>
      <c r="R152" s="25"/>
      <c r="S152" s="37">
        <f t="shared" si="78"/>
        <v>1</v>
      </c>
      <c r="T152" s="52" t="str">
        <f t="shared" si="73"/>
        <v>Southbound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23:18:02-0600',mode:absolute,to:'2016-09-09 02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52" s="54" t="str">
        <f t="shared" si="80"/>
        <v>N</v>
      </c>
      <c r="X152" s="172">
        <f t="shared" si="88"/>
        <v>1</v>
      </c>
      <c r="Y152" s="69">
        <f t="shared" si="81"/>
        <v>23.2624</v>
      </c>
      <c r="Z152" s="69">
        <f t="shared" si="82"/>
        <v>1.41E-2</v>
      </c>
      <c r="AA152" s="69">
        <f t="shared" si="83"/>
        <v>23.2483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74"/>
        <v>0240-08</v>
      </c>
      <c r="AE152" s="99" t="str">
        <f t="shared" si="84"/>
        <v>aws s3 cp s3://rtdc.mdm.uploadarchive/RTDC4026/2016-09-09/ "%USERPROFILE%\AppData\Local\Temp\OnboardLogs"\RTDC4026\2016-09-09 --recursive &amp; "%USERPROFILE%\Documents\GitHub\mrs-test-scripts\Headless Mode &amp; Sideloading\WalkAndUnGZ.bat" "%USERPROFILE%\AppData\Local\Temp\OnboardLogs"\RTDC4026\2016-09-09 &amp; aws s3 cp s3://rtdc.mdm.uploadarchive/RTDC4026/2016-09-10/ "%USERPROFILE%\AppData\Local\Temp\OnboardLogs"\RTDC4026\2016-09-10 --recursive &amp; "%USERPROFILE%\Documents\GitHub\mrs-test-scripts\Headless Mode &amp; Sideloading\WalkAndUnGZ.bat" "%USERPROFILE%\AppData\Local\Temp\OnboardLogs"\RTDC4026\2016-09-10</v>
      </c>
      <c r="AF152" s="96" t="str">
        <f t="shared" si="85"/>
        <v>"C:\Program Files (x86)\AstroGrep\AstroGrep.exe" /spath="%USERPROFILE%\AppData\Local\Temp\OnboardLogs" /stypes="*4026*20160909*" /stext=" 07:.+((SYSTEM_STATE.+slice.+state.+changed )|(ment ac)|(system.+state.+changed )|(\|lc)|(penalty)|(\[timeout)|(PRM\|1\|D)|(kpr)|(kdp))" /e /r /s</v>
      </c>
      <c r="AG152" s="1" t="str">
        <f t="shared" si="75"/>
        <v>EC</v>
      </c>
      <c r="AH152" s="100" t="str">
        <f t="shared" si="86"/>
        <v>"%USERPROFILE%\Documents\GitHub\eaglep3\Utilities\RefineRTDCRunTimes.py" --tripid 240-08 --locoid 4026 --swversion DE.1.0.7.0 --startMP 204:232624 --initTime 2016-09-09T00:18:02 --startdatetime 2016-09-09T00:26:29 --delay 3 --endMP 204:141 --enddatetime 2016-09-09T01:06:26 --enforcementcount 0 &gt;&gt;C:\Users\stu\Documents\GitHub\eaglep3-reporting\EC\2016-09-08-refined-times.txt</v>
      </c>
      <c r="AI152" s="137" t="str">
        <f t="shared" si="87"/>
        <v>echo {"issue":{"subject":"","project_id":79,"tracker_id":40,"status_id":1,"priority_id":2,"assigned_to_id":23,"start_date":"2016-09-09","description":"","custom_fields":[{"id":1,"name":"Subdivision","value":"EC"},{"id":4,"name":"Milepost","value":"23.2483"},{"id":17,"name":"Train ID","value":"240-08"},{"id":16,"name":"Locomotive ID","value":"4026"},{"id":130,"name":"Impact","value":""},{"id":150,"name":"Time of Event (Mountain Time)","value":"01:06:26"},{"id":151,"name":"Denver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638</v>
      </c>
      <c r="B153" s="7">
        <v>4031</v>
      </c>
      <c r="C153" s="24" t="s">
        <v>109</v>
      </c>
      <c r="D153" s="24" t="s">
        <v>639</v>
      </c>
      <c r="E153" s="15">
        <v>42621.993067129632</v>
      </c>
      <c r="F153" s="15">
        <v>42622.000300925924</v>
      </c>
      <c r="G153" s="7">
        <v>1</v>
      </c>
      <c r="H153" s="15" t="s">
        <v>640</v>
      </c>
      <c r="I153" s="15">
        <v>42622.02611111111</v>
      </c>
      <c r="J153" s="7">
        <v>0</v>
      </c>
      <c r="K153" s="122" t="str">
        <f t="shared" si="72"/>
        <v>4031/4032</v>
      </c>
      <c r="L153" s="24" t="str">
        <f>VLOOKUP(A153,'Trips&amp;Operators'!$C$1:$E$10000,3,FALSE)</f>
        <v>OUN</v>
      </c>
      <c r="M153" s="6">
        <f t="shared" si="76"/>
        <v>2.5810185186855961E-2</v>
      </c>
      <c r="N153" s="7">
        <f t="shared" si="77"/>
        <v>37.166666669072583</v>
      </c>
      <c r="O153" s="7"/>
      <c r="P153" s="7"/>
      <c r="Q153" s="25"/>
      <c r="R153" s="25"/>
      <c r="S153" s="37">
        <f t="shared" si="78"/>
        <v>1</v>
      </c>
      <c r="T153" s="52" t="str">
        <f t="shared" si="73"/>
        <v>NorthBound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22:50:01-0600',mode:absolute,to:'2016-09-09 01:37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53" s="54" t="str">
        <f t="shared" si="80"/>
        <v>N</v>
      </c>
      <c r="X153" s="172">
        <f t="shared" si="88"/>
        <v>1</v>
      </c>
      <c r="Y153" s="69">
        <f t="shared" si="81"/>
        <v>7.6999999999999999E-2</v>
      </c>
      <c r="Z153" s="69">
        <f t="shared" si="82"/>
        <v>23.3323</v>
      </c>
      <c r="AA153" s="69">
        <f t="shared" si="83"/>
        <v>23.255299999999998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si="74"/>
        <v>0241-08</v>
      </c>
      <c r="AE153" s="99" t="str">
        <f t="shared" si="84"/>
        <v>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 &amp; 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</v>
      </c>
      <c r="AF153" s="96" t="str">
        <f t="shared" si="85"/>
        <v>"C:\Program Files (x86)\AstroGrep\AstroGrep.exe" /spath="%USERPROFILE%\AppData\Local\Temp\OnboardLogs" /stypes="*4031*20160909*" /stext=" 06:.+((SYSTEM_STATE.+slice.+state.+changed )|(ment ac)|(system.+state.+changed )|(\|lc)|(penalty)|(\[timeout)|(PRM\|1\|D)|(kpr)|(kdp))" /e /r /s</v>
      </c>
      <c r="AG153" s="1" t="str">
        <f t="shared" si="75"/>
        <v>EC</v>
      </c>
      <c r="AH153" s="100" t="str">
        <f t="shared" si="86"/>
        <v>"%USERPROFILE%\Documents\GitHub\eaglep3\Utilities\RefineRTDCRunTimes.py" --tripid 241-08 --locoid 4031 --swversion DE.1.0.7.0 --startMP 204:770 --initTime 2016-09-08T23:50:01 --startdatetime 2016-09-09T00:00:26 --delay 1 --endMP 204:233323 --enddatetime 2016-09-09T00:37:36 --enforcementcount 0 &gt;&gt;C:\Users\stu\Documents\GitHub\eaglep3-reporting\EC\2016-09-08-refined-times.txt</v>
      </c>
      <c r="AI153" s="137" t="str">
        <f t="shared" si="87"/>
        <v>echo {"issue":{"subject":"","project_id":79,"tracker_id":40,"status_id":1,"priority_id":2,"assigned_to_id":23,"start_date":"2016-09-09","description":"","custom_fields":[{"id":1,"name":"Subdivision","value":"EC"},{"id":4,"name":"Milepost","value":"23.2553"},{"id":17,"name":"Train ID","value":"241-08"},{"id":16,"name":"Locomotive ID","value":"4031"},{"id":130,"name":"Impact","value":""},{"id":150,"name":"Time of Event (Mountain Time)","value":"00:37:36"},{"id":151,"name":"Denver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641</v>
      </c>
      <c r="B154" s="7">
        <v>4028</v>
      </c>
      <c r="C154" s="24" t="s">
        <v>109</v>
      </c>
      <c r="D154" s="24" t="s">
        <v>642</v>
      </c>
      <c r="E154" s="15">
        <v>42622.036793981482</v>
      </c>
      <c r="F154" s="15">
        <v>42622.039097222223</v>
      </c>
      <c r="G154" s="7">
        <v>1</v>
      </c>
      <c r="H154" s="15" t="s">
        <v>352</v>
      </c>
      <c r="I154" s="15">
        <v>42622.068298611113</v>
      </c>
      <c r="J154" s="7">
        <v>0</v>
      </c>
      <c r="K154" s="122" t="str">
        <f t="shared" si="72"/>
        <v>4027/4028</v>
      </c>
      <c r="L154" s="24" t="str">
        <f>VLOOKUP(A154,'Trips&amp;Operators'!$C$1:$E$10000,3,FALSE)</f>
        <v>OUN</v>
      </c>
      <c r="M154" s="6">
        <f t="shared" si="76"/>
        <v>2.920138889021473E-2</v>
      </c>
      <c r="N154" s="7">
        <f t="shared" si="77"/>
        <v>42.050000001909211</v>
      </c>
      <c r="O154" s="7"/>
      <c r="P154" s="7"/>
      <c r="Q154" s="25"/>
      <c r="R154" s="25"/>
      <c r="S154" s="37">
        <f t="shared" si="78"/>
        <v>1</v>
      </c>
      <c r="T154" s="52" t="str">
        <f t="shared" si="73"/>
        <v>Southbound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23:52:59-0600',mode:absolute,to:'2016-09-09 02:38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54" s="54" t="str">
        <f t="shared" si="80"/>
        <v>N</v>
      </c>
      <c r="X154" s="172">
        <f t="shared" si="88"/>
        <v>1</v>
      </c>
      <c r="Y154" s="69">
        <f t="shared" si="81"/>
        <v>23.268699999999999</v>
      </c>
      <c r="Z154" s="69">
        <f t="shared" si="82"/>
        <v>1.61E-2</v>
      </c>
      <c r="AA154" s="69">
        <f t="shared" si="83"/>
        <v>23.252599999999997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74"/>
        <v>0242-08</v>
      </c>
      <c r="AE154" s="99" t="str">
        <f t="shared" si="84"/>
        <v>aws s3 cp s3://rtdc.mdm.uploadarchive/RTDC4028/2016-09-09/ "%USERPROFILE%\AppData\Local\Temp\OnboardLogs"\RTDC4028\2016-09-09 --recursive &amp; "%USERPROFILE%\Documents\GitHub\mrs-test-scripts\Headless Mode &amp; Sideloading\WalkAndUnGZ.bat" "%USERPROFILE%\AppData\Local\Temp\OnboardLogs"\RTDC4028\2016-09-09 &amp; aws s3 cp s3://rtdc.mdm.uploadarchive/RTDC4028/2016-09-10/ "%USERPROFILE%\AppData\Local\Temp\OnboardLogs"\RTDC4028\2016-09-10 --recursive &amp; "%USERPROFILE%\Documents\GitHub\mrs-test-scripts\Headless Mode &amp; Sideloading\WalkAndUnGZ.bat" "%USERPROFILE%\AppData\Local\Temp\OnboardLogs"\RTDC4028\2016-09-10</v>
      </c>
      <c r="AF154" s="96" t="str">
        <f t="shared" si="85"/>
        <v>"C:\Program Files (x86)\AstroGrep\AstroGrep.exe" /spath="%USERPROFILE%\AppData\Local\Temp\OnboardLogs" /stypes="*4028*20160909*" /stext=" 07:.+((SYSTEM_STATE.+slice.+state.+changed )|(ment ac)|(system.+state.+changed )|(\|lc)|(penalty)|(\[timeout)|(PRM\|1\|D)|(kpr)|(kdp))" /e /r /s</v>
      </c>
      <c r="AG154" s="1" t="str">
        <f t="shared" si="75"/>
        <v>EC</v>
      </c>
      <c r="AH154" s="100" t="str">
        <f t="shared" si="86"/>
        <v>"%USERPROFILE%\Documents\GitHub\eaglep3\Utilities\RefineRTDCRunTimes.py" --tripid 242-08 --locoid 4028 --swversion DE.1.0.7.0 --startMP 204:232687 --initTime 2016-09-09T00:52:59 --startdatetime 2016-09-09T00:56:18 --delay 1 --endMP 204:161 --enddatetime 2016-09-09T01:38:21 --enforcementcount 0 &gt;&gt;C:\Users\stu\Documents\GitHub\eaglep3-reporting\EC\2016-09-08-refined-times.txt</v>
      </c>
      <c r="AI154" s="137" t="str">
        <f t="shared" si="87"/>
        <v>echo {"issue":{"subject":"","project_id":79,"tracker_id":40,"status_id":1,"priority_id":2,"assigned_to_id":23,"start_date":"2016-09-09","description":"","custom_fields":[{"id":1,"name":"Subdivision","value":"EC"},{"id":4,"name":"Milepost","value":"23.2526"},{"id":17,"name":"Train ID","value":"242-08"},{"id":16,"name":"Locomotive ID","value":"4028"},{"id":130,"name":"Impact","value":""},{"id":150,"name":"Time of Event (Mountain Time)","value":"01:38:21"},{"id":151,"name":"Denver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643</v>
      </c>
      <c r="B155" s="7">
        <v>4014</v>
      </c>
      <c r="C155" s="24" t="s">
        <v>109</v>
      </c>
      <c r="D155" s="24" t="s">
        <v>290</v>
      </c>
      <c r="E155" s="15">
        <v>42622.015810185185</v>
      </c>
      <c r="F155" s="15">
        <v>42622.021192129629</v>
      </c>
      <c r="G155" s="7">
        <v>1</v>
      </c>
      <c r="H155" s="15" t="s">
        <v>644</v>
      </c>
      <c r="I155" s="15">
        <v>42622.048900462964</v>
      </c>
      <c r="J155" s="7">
        <v>0</v>
      </c>
      <c r="K155" s="122" t="str">
        <f t="shared" si="72"/>
        <v>4013/4014</v>
      </c>
      <c r="L155" s="24" t="str">
        <f>VLOOKUP(A155,'Trips&amp;Operators'!$C$1:$E$10000,3,FALSE)</f>
        <v>ARVIDSON</v>
      </c>
      <c r="M155" s="6">
        <f t="shared" si="76"/>
        <v>2.7708333334885538E-2</v>
      </c>
      <c r="N155" s="7">
        <f t="shared" si="77"/>
        <v>39.900000002235174</v>
      </c>
      <c r="O155" s="7"/>
      <c r="P155" s="7"/>
      <c r="Q155" s="25"/>
      <c r="R155" s="25"/>
      <c r="S155" s="37">
        <f t="shared" si="78"/>
        <v>1</v>
      </c>
      <c r="T155" s="52" t="str">
        <f t="shared" si="73"/>
        <v>NorthBound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23:22:46-0600',mode:absolute,to:'2016-09-09 02:10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55" s="54" t="str">
        <f t="shared" si="80"/>
        <v>N</v>
      </c>
      <c r="X155" s="172">
        <f t="shared" si="88"/>
        <v>1</v>
      </c>
      <c r="Y155" s="69">
        <f t="shared" si="81"/>
        <v>7.3899999999999993E-2</v>
      </c>
      <c r="Z155" s="69">
        <f t="shared" si="82"/>
        <v>23.329499999999999</v>
      </c>
      <c r="AA155" s="69">
        <f t="shared" si="83"/>
        <v>23.255600000000001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si="74"/>
        <v>0243-08</v>
      </c>
      <c r="AE155" s="99" t="str">
        <f t="shared" si="84"/>
        <v>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 &amp; aws s3 cp s3://rtdc.mdm.uploadarchive/RTDC4014/2016-09-10/ "%USERPROFILE%\AppData\Local\Temp\OnboardLogs"\RTDC4014\2016-09-10 --recursive &amp; "%USERPROFILE%\Documents\GitHub\mrs-test-scripts\Headless Mode &amp; Sideloading\WalkAndUnGZ.bat" "%USERPROFILE%\AppData\Local\Temp\OnboardLogs"\RTDC4014\2016-09-10</v>
      </c>
      <c r="AF155" s="96" t="str">
        <f t="shared" si="85"/>
        <v>"C:\Program Files (x86)\AstroGrep\AstroGrep.exe" /spath="%USERPROFILE%\AppData\Local\Temp\OnboardLogs" /stypes="*4014*20160909*" /stext=" 07:.+((SYSTEM_STATE.+slice.+state.+changed )|(ment ac)|(system.+state.+changed )|(\|lc)|(penalty)|(\[timeout)|(PRM\|1\|D)|(kpr)|(kdp))" /e /r /s</v>
      </c>
      <c r="AG155" s="1" t="str">
        <f t="shared" si="75"/>
        <v>EC</v>
      </c>
      <c r="AH155" s="100" t="str">
        <f t="shared" si="86"/>
        <v>"%USERPROFILE%\Documents\GitHub\eaglep3\Utilities\RefineRTDCRunTimes.py" --tripid 243-08 --locoid 4014 --swversion DE.1.0.7.0 --startMP 204:739 --initTime 2016-09-09T00:22:46 --startdatetime 2016-09-09T00:30:31 --delay 1 --endMP 204:233295 --enddatetime 2016-09-09T01:10:25 --enforcementcount 0 &gt;&gt;C:\Users\stu\Documents\GitHub\eaglep3-reporting\EC\2016-09-08-refined-times.txt</v>
      </c>
      <c r="AI155" s="137" t="str">
        <f t="shared" si="87"/>
        <v>echo {"issue":{"subject":"","project_id":79,"tracker_id":40,"status_id":1,"priority_id":2,"assigned_to_id":23,"start_date":"2016-09-09","description":"","custom_fields":[{"id":1,"name":"Subdivision","value":"EC"},{"id":4,"name":"Milepost","value":"23.2556"},{"id":17,"name":"Train ID","value":"243-08"},{"id":16,"name":"Locomotive ID","value":"4014"},{"id":130,"name":"Impact","value":""},{"id":150,"name":"Time of Event (Mountain Time)","value":"01:10:25"},{"id":151,"name":"Denver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645</v>
      </c>
      <c r="B156" s="7">
        <v>4030</v>
      </c>
      <c r="C156" s="24" t="s">
        <v>109</v>
      </c>
      <c r="D156" s="24" t="s">
        <v>646</v>
      </c>
      <c r="E156" s="15">
        <v>42622.05673611111</v>
      </c>
      <c r="F156" s="15">
        <v>42622.060266203705</v>
      </c>
      <c r="G156" s="7">
        <v>2</v>
      </c>
      <c r="H156" s="15" t="s">
        <v>647</v>
      </c>
      <c r="I156" s="15">
        <v>42622.088865740741</v>
      </c>
      <c r="J156" s="7">
        <v>0</v>
      </c>
      <c r="K156" s="122" t="str">
        <f t="shared" si="72"/>
        <v>4029/4030</v>
      </c>
      <c r="L156" s="24" t="str">
        <f>VLOOKUP(A156,'Trips&amp;Operators'!$C$1:$E$10000,3,FALSE)</f>
        <v>ARVIDSON</v>
      </c>
      <c r="M156" s="6">
        <f t="shared" si="76"/>
        <v>2.8599537035916001E-2</v>
      </c>
      <c r="N156" s="7">
        <f t="shared" si="77"/>
        <v>41.183333331719041</v>
      </c>
      <c r="O156" s="7"/>
      <c r="P156" s="7"/>
      <c r="Q156" s="25"/>
      <c r="R156" s="25"/>
      <c r="S156" s="37">
        <f t="shared" si="78"/>
        <v>1</v>
      </c>
      <c r="T156" s="52" t="str">
        <f t="shared" si="73"/>
        <v>Southbound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https://search-rtdc-monitor-bjffxe2xuh6vdkpspy63sjmuny.us-east-1.es.amazonaws.com/_plugin/kibana/#/discover/Steve-Slow-Train-Analysis-(2080s-and-2083s)?_g=(refreshInterval:(display:Off,section:0,value:0),time:(from:'2016-09-09 00:21:42-0600',mode:absolute,to:'2016-09-09 03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56" s="54" t="str">
        <f t="shared" si="80"/>
        <v>N</v>
      </c>
      <c r="X156" s="172">
        <f t="shared" si="88"/>
        <v>1</v>
      </c>
      <c r="Y156" s="69">
        <f t="shared" si="81"/>
        <v>23.264600000000002</v>
      </c>
      <c r="Z156" s="69">
        <f t="shared" si="82"/>
        <v>9.4000000000000004E-3</v>
      </c>
      <c r="AA156" s="69">
        <f t="shared" si="83"/>
        <v>23.255200000000002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74"/>
        <v>0244-08</v>
      </c>
      <c r="AE156" s="99" t="str">
        <f t="shared" si="84"/>
        <v>aws s3 cp s3://rtdc.mdm.uploadarchive/RTDC4030/2016-09-09/ "%USERPROFILE%\AppData\Local\Temp\OnboardLogs"\RTDC4030\2016-09-09 --recursive &amp; "%USERPROFILE%\Documents\GitHub\mrs-test-scripts\Headless Mode &amp; Sideloading\WalkAndUnGZ.bat" "%USERPROFILE%\AppData\Local\Temp\OnboardLogs"\RTDC4030\2016-09-09 &amp; aws s3 cp s3://rtdc.mdm.uploadarchive/RTDC4030/2016-09-10/ "%USERPROFILE%\AppData\Local\Temp\OnboardLogs"\RTDC4030\2016-09-10 --recursive &amp; "%USERPROFILE%\Documents\GitHub\mrs-test-scripts\Headless Mode &amp; Sideloading\WalkAndUnGZ.bat" "%USERPROFILE%\AppData\Local\Temp\OnboardLogs"\RTDC4030\2016-09-10</v>
      </c>
      <c r="AF156" s="96" t="str">
        <f t="shared" si="85"/>
        <v>"C:\Program Files (x86)\AstroGrep\AstroGrep.exe" /spath="%USERPROFILE%\AppData\Local\Temp\OnboardLogs" /stypes="*4030*20160909*" /stext=" 08:.+((SYSTEM_STATE.+slice.+state.+changed )|(ment ac)|(system.+state.+changed )|(\|lc)|(penalty)|(\[timeout)|(PRM\|1\|D)|(kpr)|(kdp))" /e /r /s</v>
      </c>
      <c r="AG156" s="1" t="str">
        <f t="shared" si="75"/>
        <v>EC</v>
      </c>
      <c r="AH156" s="100" t="str">
        <f t="shared" si="86"/>
        <v>"%USERPROFILE%\Documents\GitHub\eaglep3\Utilities\RefineRTDCRunTimes.py" --tripid 244-08 --locoid 4030 --swversion DE.1.0.7.0 --startMP 204:232646 --initTime 2016-09-09T01:21:42 --startdatetime 2016-09-09T01:26:47 --delay 2 --endMP 204:94 --enddatetime 2016-09-09T02:07:58 --enforcementcount 0 &gt;&gt;C:\Users\stu\Documents\GitHub\eaglep3-reporting\EC\2016-09-08-refined-times.txt</v>
      </c>
      <c r="AI156" s="137" t="str">
        <f t="shared" si="87"/>
        <v>echo {"issue":{"subject":"","project_id":79,"tracker_id":40,"status_id":1,"priority_id":2,"assigned_to_id":23,"start_date":"2016-09-09","description":"","custom_fields":[{"id":1,"name":"Subdivision","value":"EC"},{"id":4,"name":"Milepost","value":"23.2552"},{"id":17,"name":"Train ID","value":"244-08"},{"id":16,"name":"Locomotive ID","value":"4030"},{"id":130,"name":"Impact","value":""},{"id":150,"name":"Time of Event (Mountain Time)","value":"02:07:58"},{"id":151,"name":"Denver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420</v>
      </c>
      <c r="B157" s="7">
        <v>4037</v>
      </c>
      <c r="C157" s="24" t="s">
        <v>109</v>
      </c>
      <c r="D157" s="24" t="s">
        <v>421</v>
      </c>
      <c r="E157" s="15">
        <v>42621.207442129627</v>
      </c>
      <c r="F157" s="15">
        <v>42621.21466435185</v>
      </c>
      <c r="G157" s="7">
        <v>3</v>
      </c>
      <c r="H157" s="15" t="s">
        <v>422</v>
      </c>
      <c r="I157" s="15">
        <v>42621.225092592591</v>
      </c>
      <c r="J157" s="7">
        <v>0</v>
      </c>
      <c r="K157" s="122" t="str">
        <f t="shared" si="72"/>
        <v>4037/4038</v>
      </c>
      <c r="L157" s="24" t="str">
        <f>VLOOKUP(A157,'Trips&amp;Operators'!$C$1:$E$10000,3,FALSE)</f>
        <v>YORK</v>
      </c>
      <c r="M157" s="6">
        <f t="shared" si="76"/>
        <v>1.0428240741021E-2</v>
      </c>
      <c r="N157" s="7">
        <f t="shared" si="77"/>
        <v>15.01666666707024</v>
      </c>
      <c r="O157" s="7"/>
      <c r="P157" s="7"/>
      <c r="Q157" s="25"/>
      <c r="R157" s="25"/>
      <c r="S157" s="37">
        <f t="shared" si="78"/>
        <v>1</v>
      </c>
      <c r="T157" s="52" t="str">
        <f t="shared" si="73"/>
        <v>Southbound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03:58:43-0600',mode:absolute,to:'2016-09-08 06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57" s="54" t="str">
        <f t="shared" si="80"/>
        <v>N</v>
      </c>
      <c r="X157" s="172">
        <f t="shared" si="88"/>
        <v>556</v>
      </c>
      <c r="Y157" s="69">
        <f t="shared" si="81"/>
        <v>5.8625999999999996</v>
      </c>
      <c r="Z157" s="69">
        <f t="shared" si="82"/>
        <v>8.2900000000000001E-2</v>
      </c>
      <c r="AA157" s="69">
        <f t="shared" si="83"/>
        <v>5.7796999999999992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 t="shared" si="74"/>
        <v>0800-08</v>
      </c>
      <c r="AE157" s="99" t="str">
        <f t="shared" si="84"/>
        <v>aws s3 cp s3://rtdc.mdm.uploadarchive/RTDC4037/2016-09-08/ "%USERPROFILE%\AppData\Local\Temp\OnboardLogs"\RTDC4037\2016-09-08 --recursive &amp; "%USERPROFILE%\Documents\GitHub\mrs-test-scripts\Headless Mode &amp; Sideloading\WalkAndUnGZ.bat" "%USERPROFILE%\AppData\Local\Temp\OnboardLogs"\RTDC4037\2016-09-08 &amp; aws s3 cp s3://rtdc.mdm.uploadarchive/RTDC4037/2016-09-09/ "%USERPROFILE%\AppData\Local\Temp\OnboardLogs"\RTDC4037\2016-09-09 --recursive &amp; "%USERPROFILE%\Documents\GitHub\mrs-test-scripts\Headless Mode &amp; Sideloading\WalkAndUnGZ.bat" "%USERPROFILE%\AppData\Local\Temp\OnboardLogs"\RTDC4037\2016-09-09</v>
      </c>
      <c r="AF157" s="96" t="str">
        <f t="shared" si="85"/>
        <v>"C:\Program Files (x86)\AstroGrep\AstroGrep.exe" /spath="%USERPROFILE%\AppData\Local\Temp\OnboardLogs" /stypes="*4037*20160908*" /stext=" 11:.+((SYSTEM_STATE.+slice.+state.+changed )|(ment ac)|(system.+state.+changed )|(\|lc)|(penalty)|(\[timeout)|(PRM\|1\|D)|(kpr)|(kdp))" /e /r /s</v>
      </c>
      <c r="AG157" s="1" t="str">
        <f t="shared" si="75"/>
        <v>NW</v>
      </c>
      <c r="AH157" s="100" t="str">
        <f t="shared" si="86"/>
        <v>"%USERPROFILE%\Documents\GitHub\eaglep3\Utilities\RefineRTDCRunTimes.py" --tripid 800-08 --locoid 4037 --swversion DE.1.0.7.0 --startMP 300:58626 --initTime 2016-09-08T04:58:43 --startdatetime 2016-09-08T05:09:07 --delay 3 --endMP 204:829 --enddatetime 2016-09-08T05:24:08 --enforcementcount 0 &gt;&gt;C:\Users\stu\Documents\GitHub\eaglep3-reporting\EC\2016-09-08-refined-times.txt</v>
      </c>
      <c r="AI157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{"issue":{"subject":"","project_id":79,"tracker_id":40,"status_id":1,"priority_id":2,"assigned_to_id":23,"start_date":"2016-09-08","description":"","custom_fields":[{"id":1,"name":"Subdivision","value":"NW"},{"id":4,"name":"Milepost","value":"5.7797"},{"id":17,"name":"Train ID","value":"800-08"},{"id":16,"name":"Locomotive ID","value":"4037"},{"id":130,"name":"Impact","value":""},{"id":150,"name":"Time of Event (Mountain Time)","value":"05:24:08"},{"id":151,"name":"Denver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s="23" customFormat="1" x14ac:dyDescent="0.25">
      <c r="A158" s="39" t="s">
        <v>423</v>
      </c>
      <c r="B158" s="7">
        <v>4038</v>
      </c>
      <c r="C158" s="24" t="s">
        <v>109</v>
      </c>
      <c r="D158" s="24" t="s">
        <v>424</v>
      </c>
      <c r="E158" s="15">
        <v>42621.2268287037</v>
      </c>
      <c r="F158" s="15">
        <v>42621.244143518517</v>
      </c>
      <c r="G158" s="7">
        <v>1</v>
      </c>
      <c r="H158" s="15" t="s">
        <v>425</v>
      </c>
      <c r="I158" s="15">
        <v>42621.253460648149</v>
      </c>
      <c r="J158" s="7">
        <v>0</v>
      </c>
      <c r="K158" s="122" t="str">
        <f t="shared" si="72"/>
        <v>4037/4038</v>
      </c>
      <c r="L158" s="24" t="str">
        <f>VLOOKUP(A158,'Trips&amp;Operators'!$C$1:$E$10000,3,FALSE)</f>
        <v>YORK</v>
      </c>
      <c r="M158" s="6">
        <f t="shared" si="76"/>
        <v>9.3171296321088448E-3</v>
      </c>
      <c r="N158" s="7">
        <f t="shared" si="77"/>
        <v>13.416666670236737</v>
      </c>
      <c r="O158" s="7"/>
      <c r="P158" s="7"/>
      <c r="Q158" s="25"/>
      <c r="R158" s="25"/>
      <c r="S158" s="37">
        <f t="shared" si="78"/>
        <v>1</v>
      </c>
      <c r="T158" s="52" t="str">
        <f t="shared" si="73"/>
        <v>NorthBound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04:26:38-0600',mode:absolute,to:'2016-09-08 07:04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58" s="54" t="str">
        <f t="shared" si="80"/>
        <v>N</v>
      </c>
      <c r="X158" s="172">
        <f t="shared" si="88"/>
        <v>1</v>
      </c>
      <c r="Y158" s="69">
        <f t="shared" si="81"/>
        <v>0.11119999999999999</v>
      </c>
      <c r="Z158" s="69">
        <f t="shared" si="82"/>
        <v>5.8944000000000001</v>
      </c>
      <c r="AA158" s="69">
        <f t="shared" si="83"/>
        <v>5.7831999999999999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74"/>
        <v>0801-08</v>
      </c>
      <c r="AE158" s="99" t="str">
        <f t="shared" si="84"/>
        <v>aws s3 cp s3://rtdc.mdm.uploadarchive/RTDC4038/2016-09-08/ "%USERPROFILE%\AppData\Local\Temp\OnboardLogs"\RTDC4038\2016-09-08 --recursive &amp; "%USERPROFILE%\Documents\GitHub\mrs-test-scripts\Headless Mode &amp; Sideloading\WalkAndUnGZ.bat" "%USERPROFILE%\AppData\Local\Temp\OnboardLogs"\RTDC4038\2016-09-08 &amp; 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</v>
      </c>
      <c r="AF158" s="96" t="str">
        <f t="shared" si="85"/>
        <v>"C:\Program Files (x86)\AstroGrep\AstroGrep.exe" /spath="%USERPROFILE%\AppData\Local\Temp\OnboardLogs" /stypes="*4038*20160908*" /stext=" 12:.+((SYSTEM_STATE.+slice.+state.+changed )|(ment ac)|(system.+state.+changed )|(\|lc)|(penalty)|(\[timeout)|(PRM\|1\|D)|(kpr)|(kdp))" /e /r /s</v>
      </c>
      <c r="AG158" s="1" t="str">
        <f t="shared" si="75"/>
        <v>NW</v>
      </c>
      <c r="AH158" s="100" t="str">
        <f t="shared" si="86"/>
        <v>"%USERPROFILE%\Documents\GitHub\eaglep3\Utilities\RefineRTDCRunTimes.py" --tripid 801-08 --locoid 4038 --swversion DE.1.0.7.0 --startMP 204:1112 --initTime 2016-09-08T05:26:38 --startdatetime 2016-09-08T05:51:34 --delay 1 --endMP 300:58944 --enddatetime 2016-09-08T06:04:59 --enforcementcount 0 &gt;&gt;C:\Users\stu\Documents\GitHub\eaglep3-reporting\EC\2016-09-08-refined-times.txt</v>
      </c>
      <c r="AI158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{"issue":{"subject":"","project_id":79,"tracker_id":40,"status_id":1,"priority_id":2,"assigned_to_id":23,"start_date":"2016-09-08","description":"","custom_fields":[{"id":1,"name":"Subdivision","value":"NW"},{"id":4,"name":"Milepost","value":"5.7832"},{"id":17,"name":"Train ID","value":"801-08"},{"id":16,"name":"Locomotive ID","value":"4038"},{"id":130,"name":"Impact","value":""},{"id":150,"name":"Time of Event (Mountain Time)","value":"06:04:59"},{"id":151,"name":"Denver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s="23" customFormat="1" x14ac:dyDescent="0.25">
      <c r="A159" s="39" t="s">
        <v>426</v>
      </c>
      <c r="B159" s="7">
        <v>4037</v>
      </c>
      <c r="C159" s="24" t="s">
        <v>109</v>
      </c>
      <c r="D159" s="24" t="s">
        <v>427</v>
      </c>
      <c r="E159" s="15">
        <v>42621.255347222221</v>
      </c>
      <c r="F159" s="15">
        <v>42621.256851851853</v>
      </c>
      <c r="G159" s="7">
        <v>1</v>
      </c>
      <c r="H159" s="15" t="s">
        <v>428</v>
      </c>
      <c r="I159" s="15">
        <v>42621.267372685186</v>
      </c>
      <c r="J159" s="7">
        <v>0</v>
      </c>
      <c r="K159" s="122" t="str">
        <f t="shared" si="72"/>
        <v>4037/4038</v>
      </c>
      <c r="L159" s="24" t="str">
        <f>VLOOKUP(A159,'Trips&amp;Operators'!$C$1:$E$10000,3,FALSE)</f>
        <v>YORK</v>
      </c>
      <c r="M159" s="6">
        <f t="shared" si="76"/>
        <v>1.0520833333430346E-2</v>
      </c>
      <c r="N159" s="7">
        <f t="shared" si="77"/>
        <v>15.150000000139698</v>
      </c>
      <c r="O159" s="7"/>
      <c r="P159" s="7"/>
      <c r="Q159" s="25"/>
      <c r="R159" s="25"/>
      <c r="S159" s="37">
        <f t="shared" si="78"/>
        <v>1</v>
      </c>
      <c r="T159" s="52" t="str">
        <f t="shared" si="73"/>
        <v>Southbound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05:07:42-0600',mode:absolute,to:'2016-09-08 07:25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59" s="54" t="str">
        <f t="shared" si="80"/>
        <v>N</v>
      </c>
      <c r="X159" s="172">
        <f t="shared" si="88"/>
        <v>1</v>
      </c>
      <c r="Y159" s="69">
        <f t="shared" si="81"/>
        <v>5.8623000000000003</v>
      </c>
      <c r="Z159" s="69">
        <f t="shared" si="82"/>
        <v>8.43E-2</v>
      </c>
      <c r="AA159" s="69">
        <f t="shared" si="83"/>
        <v>5.7780000000000005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74"/>
        <v>0802-08</v>
      </c>
      <c r="AE159" s="99" t="str">
        <f t="shared" si="84"/>
        <v>aws s3 cp s3://rtdc.mdm.uploadarchive/RTDC4037/2016-09-08/ "%USERPROFILE%\AppData\Local\Temp\OnboardLogs"\RTDC4037\2016-09-08 --recursive &amp; "%USERPROFILE%\Documents\GitHub\mrs-test-scripts\Headless Mode &amp; Sideloading\WalkAndUnGZ.bat" "%USERPROFILE%\AppData\Local\Temp\OnboardLogs"\RTDC4037\2016-09-08 &amp; aws s3 cp s3://rtdc.mdm.uploadarchive/RTDC4037/2016-09-09/ "%USERPROFILE%\AppData\Local\Temp\OnboardLogs"\RTDC4037\2016-09-09 --recursive &amp; "%USERPROFILE%\Documents\GitHub\mrs-test-scripts\Headless Mode &amp; Sideloading\WalkAndUnGZ.bat" "%USERPROFILE%\AppData\Local\Temp\OnboardLogs"\RTDC4037\2016-09-09</v>
      </c>
      <c r="AF159" s="96" t="str">
        <f t="shared" si="85"/>
        <v>"C:\Program Files (x86)\AstroGrep\AstroGrep.exe" /spath="%USERPROFILE%\AppData\Local\Temp\OnboardLogs" /stypes="*4037*20160908*" /stext=" 12:.+((SYSTEM_STATE.+slice.+state.+changed )|(ment ac)|(system.+state.+changed )|(\|lc)|(penalty)|(\[timeout)|(PRM\|1\|D)|(kpr)|(kdp))" /e /r /s</v>
      </c>
      <c r="AG159" s="1" t="str">
        <f t="shared" si="75"/>
        <v>NW</v>
      </c>
      <c r="AH159" s="100" t="str">
        <f t="shared" si="86"/>
        <v>"%USERPROFILE%\Documents\GitHub\eaglep3\Utilities\RefineRTDCRunTimes.py" --tripid 802-08 --locoid 4037 --swversion DE.1.0.7.0 --startMP 300:58623 --initTime 2016-09-08T06:07:42 --startdatetime 2016-09-08T06:09:52 --delay 1 --endMP 204:843 --enddatetime 2016-09-08T06:25:01 --enforcementcount 0 &gt;&gt;C:\Users\stu\Documents\GitHub\eaglep3-reporting\EC\2016-09-08-refined-times.txt</v>
      </c>
      <c r="AI159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{"issue":{"subject":"","project_id":79,"tracker_id":40,"status_id":1,"priority_id":2,"assigned_to_id":23,"start_date":"2016-09-08","description":"","custom_fields":[{"id":1,"name":"Subdivision","value":"NW"},{"id":4,"name":"Milepost","value":"5.778"},{"id":17,"name":"Train ID","value":"802-08"},{"id":16,"name":"Locomotive ID","value":"4037"},{"id":130,"name":"Impact","value":""},{"id":150,"name":"Time of Event (Mountain Time)","value":"06:25:01"},{"id":151,"name":"Denver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429</v>
      </c>
      <c r="B160" s="7">
        <v>4002</v>
      </c>
      <c r="C160" s="24" t="s">
        <v>109</v>
      </c>
      <c r="D160" s="24" t="s">
        <v>430</v>
      </c>
      <c r="E160" s="15">
        <v>42621.26253472222</v>
      </c>
      <c r="F160" s="15">
        <v>42621.264826388891</v>
      </c>
      <c r="G160" s="7">
        <v>2</v>
      </c>
      <c r="H160" s="15" t="s">
        <v>431</v>
      </c>
      <c r="I160" s="15">
        <v>42621.274652777778</v>
      </c>
      <c r="J160" s="7">
        <v>0</v>
      </c>
      <c r="K160" s="122" t="str">
        <f t="shared" si="72"/>
        <v>4001/4002</v>
      </c>
      <c r="L160" s="24" t="str">
        <f>VLOOKUP(A160,'Trips&amp;Operators'!$C$1:$E$10000,3,FALSE)</f>
        <v>BRANDNER</v>
      </c>
      <c r="M160" s="6">
        <f t="shared" si="76"/>
        <v>9.8263888867222704E-3</v>
      </c>
      <c r="N160" s="7">
        <f t="shared" si="77"/>
        <v>14.149999996880069</v>
      </c>
      <c r="O160" s="7"/>
      <c r="P160" s="7"/>
      <c r="Q160" s="25"/>
      <c r="R160" s="25"/>
      <c r="S160" s="37">
        <f t="shared" si="78"/>
        <v>1</v>
      </c>
      <c r="T160" s="52" t="str">
        <f t="shared" si="73"/>
        <v>NorthBound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05:18:03-0600',mode:absolute,to:'2016-09-08 07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60" s="54" t="str">
        <f t="shared" si="80"/>
        <v>N</v>
      </c>
      <c r="X160" s="172">
        <f t="shared" si="88"/>
        <v>1</v>
      </c>
      <c r="Y160" s="69">
        <f t="shared" si="81"/>
        <v>9.74E-2</v>
      </c>
      <c r="Z160" s="69">
        <f t="shared" si="82"/>
        <v>5.8987999999999996</v>
      </c>
      <c r="AA160" s="69">
        <f t="shared" si="83"/>
        <v>5.8013999999999992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74"/>
        <v>0803-08</v>
      </c>
      <c r="AE160" s="99" t="str">
        <f t="shared" si="84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60" s="96" t="str">
        <f t="shared" si="85"/>
        <v>"C:\Program Files (x86)\AstroGrep\AstroGrep.exe" /spath="%USERPROFILE%\AppData\Local\Temp\OnboardLogs" /stypes="*4002*20160908*" /stext=" 12:.+((SYSTEM_STATE.+slice.+state.+changed )|(ment ac)|(system.+state.+changed )|(\|lc)|(penalty)|(\[timeout)|(PRM\|1\|D)|(kpr)|(kdp))" /e /r /s</v>
      </c>
      <c r="AG160" s="1" t="str">
        <f t="shared" si="75"/>
        <v>NW</v>
      </c>
      <c r="AH160" s="100" t="str">
        <f t="shared" si="86"/>
        <v>"%USERPROFILE%\Documents\GitHub\eaglep3\Utilities\RefineRTDCRunTimes.py" --tripid 803-08 --locoid 4002 --swversion DE.1.0.7.0 --startMP 204:974 --initTime 2016-09-08T06:18:03 --startdatetime 2016-09-08T06:21:21 --delay 2 --endMP 300:58988 --enddatetime 2016-09-08T06:35:30 --enforcementcount 0 &gt;&gt;C:\Users\stu\Documents\GitHub\eaglep3-reporting\EC\2016-09-08-refined-times.txt</v>
      </c>
      <c r="AI160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{"issue":{"subject":"","project_id":79,"tracker_id":40,"status_id":1,"priority_id":2,"assigned_to_id":23,"start_date":"2016-09-08","description":"","custom_fields":[{"id":1,"name":"Subdivision","value":"NW"},{"id":4,"name":"Milepost","value":"5.8014"},{"id":17,"name":"Train ID","value":"803-08"},{"id":16,"name":"Locomotive ID","value":"4002"},{"id":130,"name":"Impact","value":""},{"id":150,"name":"Time of Event (Mountain Time)","value":"06:35:30"},{"id":151,"name":"Denver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432</v>
      </c>
      <c r="B161" s="7">
        <v>4001</v>
      </c>
      <c r="C161" s="24" t="s">
        <v>109</v>
      </c>
      <c r="D161" s="24" t="s">
        <v>433</v>
      </c>
      <c r="E161" s="15">
        <v>42621.277256944442</v>
      </c>
      <c r="F161" s="15">
        <v>42621.279560185183</v>
      </c>
      <c r="G161" s="7">
        <v>2</v>
      </c>
      <c r="H161" s="15" t="s">
        <v>434</v>
      </c>
      <c r="I161" s="15">
        <v>42621.289120370369</v>
      </c>
      <c r="J161" s="7">
        <v>0</v>
      </c>
      <c r="K161" s="122" t="str">
        <f t="shared" si="72"/>
        <v>4001/4002</v>
      </c>
      <c r="L161" s="24" t="str">
        <f>VLOOKUP(A161,'Trips&amp;Operators'!$C$1:$E$10000,3,FALSE)</f>
        <v>BRANDNER</v>
      </c>
      <c r="M161" s="6">
        <f t="shared" si="76"/>
        <v>9.560185186273884E-3</v>
      </c>
      <c r="N161" s="7">
        <f t="shared" si="77"/>
        <v>13.766666668234393</v>
      </c>
      <c r="O161" s="7"/>
      <c r="P161" s="7"/>
      <c r="Q161" s="25"/>
      <c r="R161" s="25"/>
      <c r="S161" s="37">
        <f t="shared" si="78"/>
        <v>1</v>
      </c>
      <c r="T161" s="52" t="str">
        <f t="shared" si="73"/>
        <v>Southbound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05:39:15-0600',mode:absolute,to:'2016-09-08 07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1" s="54" t="str">
        <f t="shared" si="80"/>
        <v>N</v>
      </c>
      <c r="X161" s="172">
        <f t="shared" si="88"/>
        <v>1</v>
      </c>
      <c r="Y161" s="69">
        <f t="shared" si="81"/>
        <v>5.8673999999999999</v>
      </c>
      <c r="Z161" s="69">
        <f t="shared" si="82"/>
        <v>7.1199999999999999E-2</v>
      </c>
      <c r="AA161" s="69">
        <f t="shared" si="83"/>
        <v>5.7961999999999998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74"/>
        <v>0804-08</v>
      </c>
      <c r="AE161" s="99" t="str">
        <f t="shared" si="84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61" s="96" t="str">
        <f t="shared" si="85"/>
        <v>"C:\Program Files (x86)\AstroGrep\AstroGrep.exe" /spath="%USERPROFILE%\AppData\Local\Temp\OnboardLogs" /stypes="*4001*20160908*" /stext=" 12:.+((SYSTEM_STATE.+slice.+state.+changed )|(ment ac)|(system.+state.+changed )|(\|lc)|(penalty)|(\[timeout)|(PRM\|1\|D)|(kpr)|(kdp))" /e /r /s</v>
      </c>
      <c r="AG161" s="1" t="str">
        <f t="shared" si="75"/>
        <v>NW</v>
      </c>
      <c r="AH161" s="100" t="str">
        <f t="shared" si="86"/>
        <v>"%USERPROFILE%\Documents\GitHub\eaglep3\Utilities\RefineRTDCRunTimes.py" --tripid 804-08 --locoid 4001 --swversion DE.1.0.7.0 --startMP 300:58674 --initTime 2016-09-08T06:39:15 --startdatetime 2016-09-08T06:42:34 --delay 2 --endMP 204:712 --enddatetime 2016-09-08T06:56:20 --enforcementcount 0 &gt;&gt;C:\Users\stu\Documents\GitHub\eaglep3-reporting\EC\2016-09-08-refined-times.txt</v>
      </c>
      <c r="AI161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{"issue":{"subject":"","project_id":79,"tracker_id":40,"status_id":1,"priority_id":2,"assigned_to_id":23,"start_date":"2016-09-08","description":"","custom_fields":[{"id":1,"name":"Subdivision","value":"NW"},{"id":4,"name":"Milepost","value":"5.7962"},{"id":17,"name":"Train ID","value":"804-08"},{"id":16,"name":"Locomotive ID","value":"4001"},{"id":130,"name":"Impact","value":""},{"id":150,"name":"Time of Event (Mountain Time)","value":"06:56:20"},{"id":151,"name":"Denver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435</v>
      </c>
      <c r="B162" s="7">
        <v>4038</v>
      </c>
      <c r="C162" s="24" t="s">
        <v>109</v>
      </c>
      <c r="D162" s="24" t="s">
        <v>436</v>
      </c>
      <c r="E162" s="15">
        <v>42621.269155092596</v>
      </c>
      <c r="F162" s="15">
        <v>42621.285624999997</v>
      </c>
      <c r="G162" s="7">
        <v>1</v>
      </c>
      <c r="H162" s="15" t="s">
        <v>437</v>
      </c>
      <c r="I162" s="15">
        <v>42621.294606481482</v>
      </c>
      <c r="J162" s="7">
        <v>0</v>
      </c>
      <c r="K162" s="122" t="str">
        <f t="shared" si="72"/>
        <v>4037/4038</v>
      </c>
      <c r="L162" s="24" t="str">
        <f>VLOOKUP(A162,'Trips&amp;Operators'!$C$1:$E$10000,3,FALSE)</f>
        <v>YORK</v>
      </c>
      <c r="M162" s="6">
        <f t="shared" si="76"/>
        <v>8.9814814855344594E-3</v>
      </c>
      <c r="N162" s="7">
        <f t="shared" si="77"/>
        <v>12.933333339169621</v>
      </c>
      <c r="O162" s="7"/>
      <c r="P162" s="7"/>
      <c r="Q162" s="25"/>
      <c r="R162" s="25"/>
      <c r="S162" s="37">
        <f t="shared" si="78"/>
        <v>1</v>
      </c>
      <c r="T162" s="52" t="str">
        <f t="shared" si="73"/>
        <v>NorthBound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05:27:35-0600',mode:absolute,to:'2016-09-08 08:04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62" s="54" t="str">
        <f t="shared" si="80"/>
        <v>N</v>
      </c>
      <c r="X162" s="172">
        <f t="shared" si="88"/>
        <v>1</v>
      </c>
      <c r="Y162" s="69">
        <f t="shared" si="81"/>
        <v>0.1142</v>
      </c>
      <c r="Z162" s="69">
        <f t="shared" si="82"/>
        <v>5.8943000000000003</v>
      </c>
      <c r="AA162" s="69">
        <f t="shared" si="83"/>
        <v>5.7801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si="74"/>
        <v>0805-08</v>
      </c>
      <c r="AE162" s="99" t="str">
        <f t="shared" si="84"/>
        <v>aws s3 cp s3://rtdc.mdm.uploadarchive/RTDC4038/2016-09-08/ "%USERPROFILE%\AppData\Local\Temp\OnboardLogs"\RTDC4038\2016-09-08 --recursive &amp; "%USERPROFILE%\Documents\GitHub\mrs-test-scripts\Headless Mode &amp; Sideloading\WalkAndUnGZ.bat" "%USERPROFILE%\AppData\Local\Temp\OnboardLogs"\RTDC4038\2016-09-08 &amp; 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</v>
      </c>
      <c r="AF162" s="96" t="str">
        <f t="shared" si="85"/>
        <v>"C:\Program Files (x86)\AstroGrep\AstroGrep.exe" /spath="%USERPROFILE%\AppData\Local\Temp\OnboardLogs" /stypes="*4038*20160908*" /stext=" 13:.+((SYSTEM_STATE.+slice.+state.+changed )|(ment ac)|(system.+state.+changed )|(\|lc)|(penalty)|(\[timeout)|(PRM\|1\|D)|(kpr)|(kdp))" /e /r /s</v>
      </c>
      <c r="AG162" s="1" t="str">
        <f t="shared" si="75"/>
        <v>NW</v>
      </c>
      <c r="AH162" s="100" t="str">
        <f t="shared" si="86"/>
        <v>"%USERPROFILE%\Documents\GitHub\eaglep3\Utilities\RefineRTDCRunTimes.py" --tripid 805-08 --locoid 4038 --swversion DE.1.0.7.0 --startMP 204:1142 --initTime 2016-09-08T06:27:35 --startdatetime 2016-09-08T06:51:18 --delay 1 --endMP 300:58943 --enddatetime 2016-09-08T07:04:14 --enforcementcount 0 &gt;&gt;C:\Users\stu\Documents\GitHub\eaglep3-reporting\EC\2016-09-08-refined-times.txt</v>
      </c>
      <c r="AI162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{"issue":{"subject":"","project_id":79,"tracker_id":40,"status_id":1,"priority_id":2,"assigned_to_id":23,"start_date":"2016-09-08","description":"","custom_fields":[{"id":1,"name":"Subdivision","value":"NW"},{"id":4,"name":"Milepost","value":"5.7801"},{"id":17,"name":"Train ID","value":"805-08"},{"id":16,"name":"Locomotive ID","value":"4038"},{"id":130,"name":"Impact","value":""},{"id":150,"name":"Time of Event (Mountain Time)","value":"07:04:14"},{"id":151,"name":"Denver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438</v>
      </c>
      <c r="B163" s="7">
        <v>4037</v>
      </c>
      <c r="C163" s="24" t="s">
        <v>109</v>
      </c>
      <c r="D163" s="24" t="s">
        <v>439</v>
      </c>
      <c r="E163" s="15">
        <v>42621.296041666668</v>
      </c>
      <c r="F163" s="15">
        <v>42621.297430555554</v>
      </c>
      <c r="G163" s="7">
        <v>1</v>
      </c>
      <c r="H163" s="15" t="s">
        <v>440</v>
      </c>
      <c r="I163" s="15">
        <v>42621.309050925927</v>
      </c>
      <c r="J163" s="7">
        <v>0</v>
      </c>
      <c r="K163" s="122" t="str">
        <f t="shared" si="72"/>
        <v>4037/4038</v>
      </c>
      <c r="L163" s="24" t="str">
        <f>VLOOKUP(A163,'Trips&amp;Operators'!$C$1:$E$10000,3,FALSE)</f>
        <v>YORK</v>
      </c>
      <c r="M163" s="6">
        <f t="shared" si="76"/>
        <v>1.1620370372838806E-2</v>
      </c>
      <c r="N163" s="7">
        <f t="shared" si="77"/>
        <v>16.733333336887881</v>
      </c>
      <c r="O163" s="7"/>
      <c r="P163" s="7"/>
      <c r="Q163" s="25"/>
      <c r="R163" s="25"/>
      <c r="S163" s="37">
        <f t="shared" si="78"/>
        <v>1</v>
      </c>
      <c r="T163" s="52" t="str">
        <f t="shared" si="73"/>
        <v>Southbound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06:06:18-0600',mode:absolute,to:'2016-09-08 08:25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63" s="54" t="str">
        <f t="shared" si="80"/>
        <v>N</v>
      </c>
      <c r="X163" s="172">
        <f t="shared" si="88"/>
        <v>1</v>
      </c>
      <c r="Y163" s="69">
        <f t="shared" si="81"/>
        <v>5.8616999999999999</v>
      </c>
      <c r="Z163" s="69">
        <f t="shared" si="82"/>
        <v>8.4599999999999995E-2</v>
      </c>
      <c r="AA163" s="69">
        <f t="shared" si="83"/>
        <v>5.7770999999999999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74"/>
        <v>0806-08</v>
      </c>
      <c r="AE163" s="99" t="str">
        <f t="shared" si="84"/>
        <v>aws s3 cp s3://rtdc.mdm.uploadarchive/RTDC4037/2016-09-08/ "%USERPROFILE%\AppData\Local\Temp\OnboardLogs"\RTDC4037\2016-09-08 --recursive &amp; "%USERPROFILE%\Documents\GitHub\mrs-test-scripts\Headless Mode &amp; Sideloading\WalkAndUnGZ.bat" "%USERPROFILE%\AppData\Local\Temp\OnboardLogs"\RTDC4037\2016-09-08 &amp; aws s3 cp s3://rtdc.mdm.uploadarchive/RTDC4037/2016-09-09/ "%USERPROFILE%\AppData\Local\Temp\OnboardLogs"\RTDC4037\2016-09-09 --recursive &amp; "%USERPROFILE%\Documents\GitHub\mrs-test-scripts\Headless Mode &amp; Sideloading\WalkAndUnGZ.bat" "%USERPROFILE%\AppData\Local\Temp\OnboardLogs"\RTDC4037\2016-09-09</v>
      </c>
      <c r="AF163" s="96" t="str">
        <f t="shared" si="85"/>
        <v>"C:\Program Files (x86)\AstroGrep\AstroGrep.exe" /spath="%USERPROFILE%\AppData\Local\Temp\OnboardLogs" /stypes="*4037*20160908*" /stext=" 13:.+((SYSTEM_STATE.+slice.+state.+changed )|(ment ac)|(system.+state.+changed )|(\|lc)|(penalty)|(\[timeout)|(PRM\|1\|D)|(kpr)|(kdp))" /e /r /s</v>
      </c>
      <c r="AG163" s="1" t="str">
        <f t="shared" si="75"/>
        <v>NW</v>
      </c>
      <c r="AH163" s="100" t="str">
        <f t="shared" si="86"/>
        <v>"%USERPROFILE%\Documents\GitHub\eaglep3\Utilities\RefineRTDCRunTimes.py" --tripid 806-08 --locoid 4037 --swversion DE.1.0.7.0 --startMP 300:58617 --initTime 2016-09-08T07:06:18 --startdatetime 2016-09-08T07:08:18 --delay 1 --endMP 204:846 --enddatetime 2016-09-08T07:25:02 --enforcementcount 0 &gt;&gt;C:\Users\stu\Documents\GitHub\eaglep3-reporting\EC\2016-09-08-refined-times.txt</v>
      </c>
      <c r="AI163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{"issue":{"subject":"","project_id":79,"tracker_id":40,"status_id":1,"priority_id":2,"assigned_to_id":23,"start_date":"2016-09-08","description":"","custom_fields":[{"id":1,"name":"Subdivision","value":"NW"},{"id":4,"name":"Milepost","value":"5.7771"},{"id":17,"name":"Train ID","value":"806-08"},{"id":16,"name":"Locomotive ID","value":"4037"},{"id":130,"name":"Impact","value":""},{"id":150,"name":"Time of Event (Mountain Time)","value":"07:25:02"},{"id":151,"name":"Denver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441</v>
      </c>
      <c r="B164" s="7">
        <v>4002</v>
      </c>
      <c r="C164" s="24" t="s">
        <v>109</v>
      </c>
      <c r="D164" s="24" t="s">
        <v>442</v>
      </c>
      <c r="E164" s="15">
        <v>42621.303506944445</v>
      </c>
      <c r="F164" s="15">
        <v>42621.306458333333</v>
      </c>
      <c r="G164" s="7">
        <v>2</v>
      </c>
      <c r="H164" s="15" t="s">
        <v>443</v>
      </c>
      <c r="I164" s="15">
        <v>42621.315995370373</v>
      </c>
      <c r="J164" s="7">
        <v>0</v>
      </c>
      <c r="K164" s="122" t="str">
        <f t="shared" si="72"/>
        <v>4001/4002</v>
      </c>
      <c r="L164" s="24" t="str">
        <f>VLOOKUP(A164,'Trips&amp;Operators'!$C$1:$E$10000,3,FALSE)</f>
        <v>BRANDNER</v>
      </c>
      <c r="M164" s="6">
        <f t="shared" si="76"/>
        <v>9.5370370399905369E-3</v>
      </c>
      <c r="N164" s="7">
        <f t="shared" si="77"/>
        <v>13.733333337586373</v>
      </c>
      <c r="O164" s="7"/>
      <c r="P164" s="7"/>
      <c r="Q164" s="25"/>
      <c r="R164" s="25"/>
      <c r="S164" s="37">
        <f t="shared" si="78"/>
        <v>1</v>
      </c>
      <c r="T164" s="52" t="str">
        <f t="shared" si="73"/>
        <v>NorthBound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06:17:03-0600',mode:absolute,to:'2016-09-08 08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64" s="54" t="str">
        <f t="shared" si="80"/>
        <v>N</v>
      </c>
      <c r="X164" s="172">
        <f t="shared" si="88"/>
        <v>1</v>
      </c>
      <c r="Y164" s="69">
        <f t="shared" si="81"/>
        <v>9.9000000000000005E-2</v>
      </c>
      <c r="Z164" s="69">
        <f t="shared" si="82"/>
        <v>5.8996000000000004</v>
      </c>
      <c r="AA164" s="69">
        <f t="shared" si="83"/>
        <v>5.8006000000000002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74"/>
        <v>0807-08</v>
      </c>
      <c r="AE164" s="99" t="str">
        <f t="shared" si="84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64" s="96" t="str">
        <f t="shared" si="85"/>
        <v>"C:\Program Files (x86)\AstroGrep\AstroGrep.exe" /spath="%USERPROFILE%\AppData\Local\Temp\OnboardLogs" /stypes="*4002*20160908*" /stext=" 13:.+((SYSTEM_STATE.+slice.+state.+changed )|(ment ac)|(system.+state.+changed )|(\|lc)|(penalty)|(\[timeout)|(PRM\|1\|D)|(kpr)|(kdp))" /e /r /s</v>
      </c>
      <c r="AG164" s="1" t="str">
        <f t="shared" si="75"/>
        <v>NW</v>
      </c>
      <c r="AH164" s="100" t="str">
        <f t="shared" si="86"/>
        <v>"%USERPROFILE%\Documents\GitHub\eaglep3\Utilities\RefineRTDCRunTimes.py" --tripid 807-08 --locoid 4002 --swversion DE.1.0.7.0 --startMP 204:990 --initTime 2016-09-08T07:17:03 --startdatetime 2016-09-08T07:21:18 --delay 2 --endMP 300:58996 --enddatetime 2016-09-08T07:35:02 --enforcementcount 0 &gt;&gt;C:\Users\stu\Documents\GitHub\eaglep3-reporting\EC\2016-09-08-refined-times.txt</v>
      </c>
      <c r="AI164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{"issue":{"subject":"","project_id":79,"tracker_id":40,"status_id":1,"priority_id":2,"assigned_to_id":23,"start_date":"2016-09-08","description":"","custom_fields":[{"id":1,"name":"Subdivision","value":"NW"},{"id":4,"name":"Milepost","value":"5.8006"},{"id":17,"name":"Train ID","value":"807-08"},{"id":16,"name":"Locomotive ID","value":"4002"},{"id":130,"name":"Impact","value":""},{"id":150,"name":"Time of Event (Mountain Time)","value":"07:35:02"},{"id":151,"name":"Denver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444</v>
      </c>
      <c r="B165" s="7">
        <v>4001</v>
      </c>
      <c r="C165" s="24" t="s">
        <v>109</v>
      </c>
      <c r="D165" s="24" t="s">
        <v>445</v>
      </c>
      <c r="E165" s="15">
        <v>42621.317696759259</v>
      </c>
      <c r="F165" s="15">
        <v>42621.319733796299</v>
      </c>
      <c r="G165" s="7">
        <v>2</v>
      </c>
      <c r="H165" s="15" t="s">
        <v>446</v>
      </c>
      <c r="I165" s="15">
        <v>42621.330416666664</v>
      </c>
      <c r="J165" s="7">
        <v>0</v>
      </c>
      <c r="K165" s="122" t="str">
        <f t="shared" si="72"/>
        <v>4001/4002</v>
      </c>
      <c r="L165" s="24" t="str">
        <f>VLOOKUP(A165,'Trips&amp;Operators'!$C$1:$E$10000,3,FALSE)</f>
        <v>BRANDNER</v>
      </c>
      <c r="M165" s="6">
        <f t="shared" si="76"/>
        <v>1.0682870364689734E-2</v>
      </c>
      <c r="N165" s="7">
        <f t="shared" si="77"/>
        <v>15.383333325153217</v>
      </c>
      <c r="O165" s="7"/>
      <c r="P165" s="7"/>
      <c r="Q165" s="25"/>
      <c r="R165" s="25"/>
      <c r="S165" s="37">
        <f t="shared" si="78"/>
        <v>1</v>
      </c>
      <c r="T165" s="52" t="str">
        <f t="shared" si="73"/>
        <v>Southbound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06:37:29-0600',mode:absolute,to:'2016-09-08 08:55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5" s="54" t="str">
        <f t="shared" si="80"/>
        <v>N</v>
      </c>
      <c r="X165" s="172">
        <f t="shared" si="88"/>
        <v>1</v>
      </c>
      <c r="Y165" s="69">
        <f t="shared" si="81"/>
        <v>5.8686999999999996</v>
      </c>
      <c r="Z165" s="69">
        <f t="shared" si="82"/>
        <v>6.8500000000000005E-2</v>
      </c>
      <c r="AA165" s="69">
        <f t="shared" si="83"/>
        <v>5.8001999999999994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 t="shared" si="74"/>
        <v>0808-08</v>
      </c>
      <c r="AE165" s="99" t="str">
        <f t="shared" si="84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65" s="96" t="str">
        <f t="shared" si="85"/>
        <v>"C:\Program Files (x86)\AstroGrep\AstroGrep.exe" /spath="%USERPROFILE%\AppData\Local\Temp\OnboardLogs" /stypes="*4001*20160908*" /stext=" 13:.+((SYSTEM_STATE.+slice.+state.+changed )|(ment ac)|(system.+state.+changed )|(\|lc)|(penalty)|(\[timeout)|(PRM\|1\|D)|(kpr)|(kdp))" /e /r /s</v>
      </c>
      <c r="AG165" s="1" t="str">
        <f t="shared" si="75"/>
        <v>NW</v>
      </c>
      <c r="AH165" s="100" t="str">
        <f t="shared" si="86"/>
        <v>"%USERPROFILE%\Documents\GitHub\eaglep3\Utilities\RefineRTDCRunTimes.py" --tripid 808-08 --locoid 4001 --swversion DE.1.0.7.0 --startMP 300:58687 --initTime 2016-09-08T07:37:29 --startdatetime 2016-09-08T07:40:25 --delay 2 --endMP 204:685 --enddatetime 2016-09-08T07:55:48 --enforcementcount 0 &gt;&gt;C:\Users\stu\Documents\GitHub\eaglep3-reporting\EC\2016-09-08-refined-times.txt</v>
      </c>
      <c r="AI165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{"issue":{"subject":"","project_id":79,"tracker_id":40,"status_id":1,"priority_id":2,"assigned_to_id":23,"start_date":"2016-09-08","description":"","custom_fields":[{"id":1,"name":"Subdivision","value":"NW"},{"id":4,"name":"Milepost","value":"5.8002"},{"id":17,"name":"Train ID","value":"808-08"},{"id":16,"name":"Locomotive ID","value":"4001"},{"id":130,"name":"Impact","value":""},{"id":150,"name":"Time of Event (Mountain Time)","value":"07:55:48"},{"id":151,"name":"Denver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447</v>
      </c>
      <c r="B166" s="7">
        <v>4038</v>
      </c>
      <c r="C166" s="24" t="s">
        <v>109</v>
      </c>
      <c r="D166" s="24" t="s">
        <v>436</v>
      </c>
      <c r="E166" s="15">
        <v>42621.310011574074</v>
      </c>
      <c r="F166" s="15">
        <v>42621.327291666668</v>
      </c>
      <c r="G166" s="7">
        <v>1</v>
      </c>
      <c r="H166" s="15" t="s">
        <v>437</v>
      </c>
      <c r="I166" s="15">
        <v>42621.335995370369</v>
      </c>
      <c r="J166" s="7">
        <v>0</v>
      </c>
      <c r="K166" s="122" t="str">
        <f t="shared" si="72"/>
        <v>4037/4038</v>
      </c>
      <c r="L166" s="24" t="str">
        <f>VLOOKUP(A166,'Trips&amp;Operators'!$C$1:$E$10000,3,FALSE)</f>
        <v>YORK</v>
      </c>
      <c r="M166" s="6">
        <f t="shared" si="76"/>
        <v>8.703703701030463E-3</v>
      </c>
      <c r="N166" s="7">
        <f t="shared" si="77"/>
        <v>12.533333329483867</v>
      </c>
      <c r="O166" s="7"/>
      <c r="P166" s="7"/>
      <c r="Q166" s="25"/>
      <c r="R166" s="25"/>
      <c r="S166" s="37">
        <f t="shared" si="78"/>
        <v>1</v>
      </c>
      <c r="T166" s="52" t="str">
        <f t="shared" si="73"/>
        <v>NorthBound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06:26:25-0600',mode:absolute,to:'2016-09-08 09:03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66" s="54" t="str">
        <f t="shared" si="80"/>
        <v>N</v>
      </c>
      <c r="X166" s="172">
        <f t="shared" si="88"/>
        <v>1</v>
      </c>
      <c r="Y166" s="69">
        <f t="shared" si="81"/>
        <v>0.1142</v>
      </c>
      <c r="Z166" s="69">
        <f t="shared" si="82"/>
        <v>5.8943000000000003</v>
      </c>
      <c r="AA166" s="69">
        <f t="shared" si="83"/>
        <v>5.7801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 t="shared" si="74"/>
        <v>0809-08</v>
      </c>
      <c r="AE166" s="99" t="str">
        <f t="shared" si="84"/>
        <v>aws s3 cp s3://rtdc.mdm.uploadarchive/RTDC4038/2016-09-08/ "%USERPROFILE%\AppData\Local\Temp\OnboardLogs"\RTDC4038\2016-09-08 --recursive &amp; "%USERPROFILE%\Documents\GitHub\mrs-test-scripts\Headless Mode &amp; Sideloading\WalkAndUnGZ.bat" "%USERPROFILE%\AppData\Local\Temp\OnboardLogs"\RTDC4038\2016-09-08 &amp; 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</v>
      </c>
      <c r="AF166" s="96" t="str">
        <f t="shared" si="85"/>
        <v>"C:\Program Files (x86)\AstroGrep\AstroGrep.exe" /spath="%USERPROFILE%\AppData\Local\Temp\OnboardLogs" /stypes="*4038*20160908*" /stext=" 14:.+((SYSTEM_STATE.+slice.+state.+changed )|(ment ac)|(system.+state.+changed )|(\|lc)|(penalty)|(\[timeout)|(PRM\|1\|D)|(kpr)|(kdp))" /e /r /s</v>
      </c>
      <c r="AG166" s="1" t="str">
        <f t="shared" si="75"/>
        <v>NW</v>
      </c>
      <c r="AH166" s="100" t="str">
        <f t="shared" si="86"/>
        <v>"%USERPROFILE%\Documents\GitHub\eaglep3\Utilities\RefineRTDCRunTimes.py" --tripid 809-08 --locoid 4038 --swversion DE.1.0.7.0 --startMP 204:1142 --initTime 2016-09-08T07:26:25 --startdatetime 2016-09-08T07:51:18 --delay 1 --endMP 300:58943 --enddatetime 2016-09-08T08:03:50 --enforcementcount 0 &gt;&gt;C:\Users\stu\Documents\GitHub\eaglep3-reporting\EC\2016-09-08-refined-times.txt</v>
      </c>
      <c r="AI166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{"issue":{"subject":"","project_id":79,"tracker_id":40,"status_id":1,"priority_id":2,"assigned_to_id":23,"start_date":"2016-09-08","description":"","custom_fields":[{"id":1,"name":"Subdivision","value":"NW"},{"id":4,"name":"Milepost","value":"5.7801"},{"id":17,"name":"Train ID","value":"809-08"},{"id":16,"name":"Locomotive ID","value":"4038"},{"id":130,"name":"Impact","value":""},{"id":150,"name":"Time of Event (Mountain Time)","value":"08:03:50"},{"id":151,"name":"Denver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448</v>
      </c>
      <c r="B167" s="7">
        <v>4037</v>
      </c>
      <c r="C167" s="24" t="s">
        <v>109</v>
      </c>
      <c r="D167" s="24" t="s">
        <v>449</v>
      </c>
      <c r="E167" s="15">
        <v>42621.337372685186</v>
      </c>
      <c r="F167" s="15">
        <v>42621.339201388888</v>
      </c>
      <c r="G167" s="7">
        <v>0</v>
      </c>
      <c r="H167" s="15" t="s">
        <v>450</v>
      </c>
      <c r="I167" s="15">
        <v>42621.350960648146</v>
      </c>
      <c r="J167" s="7">
        <v>0</v>
      </c>
      <c r="K167" s="122" t="str">
        <f t="shared" si="72"/>
        <v>4037/4038</v>
      </c>
      <c r="L167" s="24" t="str">
        <f>VLOOKUP(A167,'Trips&amp;Operators'!$C$1:$E$10000,3,FALSE)</f>
        <v>YORK</v>
      </c>
      <c r="M167" s="6">
        <f t="shared" si="76"/>
        <v>1.1759259257814847E-2</v>
      </c>
      <c r="N167" s="7">
        <f t="shared" si="77"/>
        <v>16.93333333125338</v>
      </c>
      <c r="O167" s="7"/>
      <c r="P167" s="7"/>
      <c r="Q167" s="25"/>
      <c r="R167" s="25"/>
      <c r="S167" s="37">
        <f t="shared" si="78"/>
        <v>1</v>
      </c>
      <c r="T167" s="52" t="str">
        <f t="shared" si="73"/>
        <v>Southbound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07:05:49-0600',mode:absolute,to:'2016-09-08 09:25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67" s="54" t="str">
        <f t="shared" si="80"/>
        <v>N</v>
      </c>
      <c r="X167" s="172">
        <f t="shared" si="88"/>
        <v>1</v>
      </c>
      <c r="Y167" s="69">
        <f t="shared" si="81"/>
        <v>5.8615000000000004</v>
      </c>
      <c r="Z167" s="69">
        <f t="shared" si="82"/>
        <v>4.82E-2</v>
      </c>
      <c r="AA167" s="69">
        <f t="shared" si="83"/>
        <v>5.8133000000000008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 t="shared" si="74"/>
        <v>0810-08</v>
      </c>
      <c r="AE167" s="99" t="str">
        <f t="shared" si="84"/>
        <v>aws s3 cp s3://rtdc.mdm.uploadarchive/RTDC4037/2016-09-08/ "%USERPROFILE%\AppData\Local\Temp\OnboardLogs"\RTDC4037\2016-09-08 --recursive &amp; "%USERPROFILE%\Documents\GitHub\mrs-test-scripts\Headless Mode &amp; Sideloading\WalkAndUnGZ.bat" "%USERPROFILE%\AppData\Local\Temp\OnboardLogs"\RTDC4037\2016-09-08 &amp; aws s3 cp s3://rtdc.mdm.uploadarchive/RTDC4037/2016-09-09/ "%USERPROFILE%\AppData\Local\Temp\OnboardLogs"\RTDC4037\2016-09-09 --recursive &amp; "%USERPROFILE%\Documents\GitHub\mrs-test-scripts\Headless Mode &amp; Sideloading\WalkAndUnGZ.bat" "%USERPROFILE%\AppData\Local\Temp\OnboardLogs"\RTDC4037\2016-09-09</v>
      </c>
      <c r="AF167" s="96" t="str">
        <f t="shared" si="85"/>
        <v>"C:\Program Files (x86)\AstroGrep\AstroGrep.exe" /spath="%USERPROFILE%\AppData\Local\Temp\OnboardLogs" /stypes="*4037*20160908*" /stext=" 14:.+((SYSTEM_STATE.+slice.+state.+changed )|(ment ac)|(system.+state.+changed )|(\|lc)|(penalty)|(\[timeout)|(PRM\|1\|D)|(kpr)|(kdp))" /e /r /s</v>
      </c>
      <c r="AG167" s="1" t="str">
        <f t="shared" si="75"/>
        <v>NW</v>
      </c>
      <c r="AH167" s="100" t="str">
        <f t="shared" si="86"/>
        <v>"%USERPROFILE%\Documents\GitHub\eaglep3\Utilities\RefineRTDCRunTimes.py" --tripid 810-08 --locoid 4037 --swversion DE.1.0.7.0 --startMP 300:58615 --initTime 2016-09-08T08:05:49 --startdatetime 2016-09-08T08:08:27 --delay 0 --endMP 204:482 --enddatetime 2016-09-08T08:25:23 --enforcementcount 0 &gt;&gt;C:\Users\stu\Documents\GitHub\eaglep3-reporting\EC\2016-09-08-refined-times.txt</v>
      </c>
      <c r="AI167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{"issue":{"subject":"","project_id":79,"tracker_id":40,"status_id":1,"priority_id":2,"assigned_to_id":23,"start_date":"2016-09-08","description":"","custom_fields":[{"id":1,"name":"Subdivision","value":"NW"},{"id":4,"name":"Milepost","value":"5.8133"},{"id":17,"name":"Train ID","value":"810-08"},{"id":16,"name":"Locomotive ID","value":"4037"},{"id":130,"name":"Impact","value":""},{"id":150,"name":"Time of Event (Mountain Time)","value":"08:25:23"},{"id":151,"name":"Denver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451</v>
      </c>
      <c r="B168" s="7">
        <v>4002</v>
      </c>
      <c r="C168" s="24" t="s">
        <v>109</v>
      </c>
      <c r="D168" s="24" t="s">
        <v>452</v>
      </c>
      <c r="E168" s="15">
        <v>42621.341678240744</v>
      </c>
      <c r="F168" s="15">
        <v>42621.348090277781</v>
      </c>
      <c r="G168" s="7">
        <v>1</v>
      </c>
      <c r="H168" s="15" t="s">
        <v>453</v>
      </c>
      <c r="I168" s="15">
        <v>42621.357534722221</v>
      </c>
      <c r="J168" s="7">
        <v>0</v>
      </c>
      <c r="K168" s="122" t="str">
        <f t="shared" si="72"/>
        <v>4001/4002</v>
      </c>
      <c r="L168" s="24" t="str">
        <f>VLOOKUP(A168,'Trips&amp;Operators'!$C$1:$E$10000,3,FALSE)</f>
        <v>BRANDNER</v>
      </c>
      <c r="M168" s="6">
        <f t="shared" si="76"/>
        <v>9.444444440305233E-3</v>
      </c>
      <c r="N168" s="7">
        <f t="shared" si="77"/>
        <v>13.599999994039536</v>
      </c>
      <c r="O168" s="7"/>
      <c r="P168" s="7"/>
      <c r="Q168" s="25"/>
      <c r="R168" s="25"/>
      <c r="S168" s="37">
        <f t="shared" si="78"/>
        <v>1</v>
      </c>
      <c r="T168" s="52" t="str">
        <f t="shared" si="73"/>
        <v>NorthBound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07:12:01-0600',mode:absolute,to:'2016-09-08 09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68" s="54" t="str">
        <f t="shared" si="80"/>
        <v>N</v>
      </c>
      <c r="X168" s="172">
        <f t="shared" si="88"/>
        <v>1</v>
      </c>
      <c r="Y168" s="69">
        <f t="shared" si="81"/>
        <v>9.7100000000000006E-2</v>
      </c>
      <c r="Z168" s="69">
        <f t="shared" si="82"/>
        <v>5.9010999999999996</v>
      </c>
      <c r="AA168" s="69">
        <f t="shared" si="83"/>
        <v>5.8039999999999994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74"/>
        <v>0811-08</v>
      </c>
      <c r="AE168" s="99" t="str">
        <f t="shared" si="84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68" s="96" t="str">
        <f t="shared" si="85"/>
        <v>"C:\Program Files (x86)\AstroGrep\AstroGrep.exe" /spath="%USERPROFILE%\AppData\Local\Temp\OnboardLogs" /stypes="*4002*20160908*" /stext=" 14:.+((SYSTEM_STATE.+slice.+state.+changed )|(ment ac)|(system.+state.+changed )|(\|lc)|(penalty)|(\[timeout)|(PRM\|1\|D)|(kpr)|(kdp))" /e /r /s</v>
      </c>
      <c r="AG168" s="1" t="str">
        <f t="shared" si="75"/>
        <v>NW</v>
      </c>
      <c r="AH168" s="100" t="str">
        <f t="shared" si="86"/>
        <v>"%USERPROFILE%\Documents\GitHub\eaglep3\Utilities\RefineRTDCRunTimes.py" --tripid 811-08 --locoid 4002 --swversion DE.1.0.7.0 --startMP 204:971 --initTime 2016-09-08T08:12:01 --startdatetime 2016-09-08T08:21:15 --delay 1 --endMP 300:59011 --enddatetime 2016-09-08T08:34:51 --enforcementcount 0 &gt;&gt;C:\Users\stu\Documents\GitHub\eaglep3-reporting\EC\2016-09-08-refined-times.txt</v>
      </c>
      <c r="AI168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{"issue":{"subject":"","project_id":79,"tracker_id":40,"status_id":1,"priority_id":2,"assigned_to_id":23,"start_date":"2016-09-08","description":"","custom_fields":[{"id":1,"name":"Subdivision","value":"NW"},{"id":4,"name":"Milepost","value":"5.804"},{"id":17,"name":"Train ID","value":"811-08"},{"id":16,"name":"Locomotive ID","value":"4002"},{"id":130,"name":"Impact","value":""},{"id":150,"name":"Time of Event (Mountain Time)","value":"08:34:51"},{"id":151,"name":"Denver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454</v>
      </c>
      <c r="B169" s="7">
        <v>4001</v>
      </c>
      <c r="C169" s="24" t="s">
        <v>109</v>
      </c>
      <c r="D169" s="24" t="s">
        <v>455</v>
      </c>
      <c r="E169" s="15">
        <v>42621.359594907408</v>
      </c>
      <c r="F169" s="15">
        <v>42621.361446759256</v>
      </c>
      <c r="G169" s="7">
        <v>2</v>
      </c>
      <c r="H169" s="15" t="s">
        <v>456</v>
      </c>
      <c r="I169" s="15">
        <v>42621.371458333335</v>
      </c>
      <c r="J169" s="7">
        <v>0</v>
      </c>
      <c r="K169" s="122" t="str">
        <f t="shared" si="72"/>
        <v>4001/4002</v>
      </c>
      <c r="L169" s="24" t="str">
        <f>VLOOKUP(A169,'Trips&amp;Operators'!$C$1:$E$10000,3,FALSE)</f>
        <v>BRANDNER</v>
      </c>
      <c r="M169" s="6">
        <f t="shared" si="76"/>
        <v>1.0011574078816921E-2</v>
      </c>
      <c r="N169" s="7">
        <f t="shared" si="77"/>
        <v>14.416666673496366</v>
      </c>
      <c r="O169" s="7"/>
      <c r="P169" s="7"/>
      <c r="Q169" s="25"/>
      <c r="R169" s="25"/>
      <c r="S169" s="37">
        <f t="shared" si="78"/>
        <v>1</v>
      </c>
      <c r="T169" s="52" t="str">
        <f t="shared" si="73"/>
        <v>Southbound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07:37:49-0600',mode:absolute,to:'2016-09-08 09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9" s="54" t="str">
        <f t="shared" si="80"/>
        <v>N</v>
      </c>
      <c r="X169" s="172">
        <f t="shared" si="88"/>
        <v>1</v>
      </c>
      <c r="Y169" s="69">
        <f t="shared" si="81"/>
        <v>5.8682999999999996</v>
      </c>
      <c r="Z169" s="69">
        <f t="shared" si="82"/>
        <v>6.8000000000000005E-2</v>
      </c>
      <c r="AA169" s="69">
        <f t="shared" si="83"/>
        <v>5.8003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74"/>
        <v>0812-08</v>
      </c>
      <c r="AE169" s="99" t="str">
        <f t="shared" si="84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69" s="96" t="str">
        <f t="shared" si="85"/>
        <v>"C:\Program Files (x86)\AstroGrep\AstroGrep.exe" /spath="%USERPROFILE%\AppData\Local\Temp\OnboardLogs" /stypes="*4001*20160908*" /stext=" 14:.+((SYSTEM_STATE.+slice.+state.+changed )|(ment ac)|(system.+state.+changed )|(\|lc)|(penalty)|(\[timeout)|(PRM\|1\|D)|(kpr)|(kdp))" /e /r /s</v>
      </c>
      <c r="AG169" s="1" t="str">
        <f t="shared" si="75"/>
        <v>NW</v>
      </c>
      <c r="AH169" s="100" t="str">
        <f t="shared" si="86"/>
        <v>"%USERPROFILE%\Documents\GitHub\eaglep3\Utilities\RefineRTDCRunTimes.py" --tripid 812-08 --locoid 4001 --swversion DE.1.0.7.0 --startMP 300:58683 --initTime 2016-09-08T08:37:49 --startdatetime 2016-09-08T08:40:29 --delay 2 --endMP 204:680 --enddatetime 2016-09-08T08:54:54 --enforcementcount 0 &gt;&gt;C:\Users\stu\Documents\GitHub\eaglep3-reporting\EC\2016-09-08-refined-times.txt</v>
      </c>
      <c r="AI169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{"issue":{"subject":"","project_id":79,"tracker_id":40,"status_id":1,"priority_id":2,"assigned_to_id":23,"start_date":"2016-09-08","description":"","custom_fields":[{"id":1,"name":"Subdivision","value":"NW"},{"id":4,"name":"Milepost","value":"5.8003"},{"id":17,"name":"Train ID","value":"812-08"},{"id":16,"name":"Locomotive ID","value":"4001"},{"id":130,"name":"Impact","value":""},{"id":150,"name":"Time of Event (Mountain Time)","value":"08:54:54"},{"id":151,"name":"Denver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457</v>
      </c>
      <c r="B170" s="7">
        <v>4002</v>
      </c>
      <c r="C170" s="24" t="s">
        <v>109</v>
      </c>
      <c r="D170" s="24" t="s">
        <v>458</v>
      </c>
      <c r="E170" s="15">
        <v>42621.37395833333</v>
      </c>
      <c r="F170" s="15">
        <v>42621.389780092592</v>
      </c>
      <c r="G170" s="7">
        <v>1</v>
      </c>
      <c r="H170" s="15" t="s">
        <v>459</v>
      </c>
      <c r="I170" s="15">
        <v>42621.399317129632</v>
      </c>
      <c r="J170" s="7">
        <v>0</v>
      </c>
      <c r="K170" s="122" t="str">
        <f t="shared" si="72"/>
        <v>4001/4002</v>
      </c>
      <c r="L170" s="24" t="str">
        <f>VLOOKUP(A170,'Trips&amp;Operators'!$C$1:$E$10000,3,FALSE)</f>
        <v>BRANDNER</v>
      </c>
      <c r="M170" s="6">
        <f t="shared" si="76"/>
        <v>9.5370370399905369E-3</v>
      </c>
      <c r="N170" s="7">
        <f t="shared" si="77"/>
        <v>13.733333337586373</v>
      </c>
      <c r="O170" s="7"/>
      <c r="P170" s="7"/>
      <c r="Q170" s="25"/>
      <c r="R170" s="25"/>
      <c r="S170" s="37">
        <f t="shared" si="78"/>
        <v>1</v>
      </c>
      <c r="T170" s="52" t="str">
        <f t="shared" si="73"/>
        <v>NorthBound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07:58:30-0600',mode:absolute,to:'2016-09-08 10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70" s="54" t="str">
        <f t="shared" si="80"/>
        <v>N</v>
      </c>
      <c r="X170" s="172">
        <f t="shared" si="88"/>
        <v>1</v>
      </c>
      <c r="Y170" s="69">
        <f t="shared" si="81"/>
        <v>9.7600000000000006E-2</v>
      </c>
      <c r="Z170" s="69">
        <f t="shared" si="82"/>
        <v>5.8992000000000004</v>
      </c>
      <c r="AA170" s="69">
        <f t="shared" si="83"/>
        <v>5.8016000000000005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74"/>
        <v>0813-08</v>
      </c>
      <c r="AE170" s="99" t="str">
        <f t="shared" si="84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70" s="96" t="str">
        <f t="shared" si="85"/>
        <v>"C:\Program Files (x86)\AstroGrep\AstroGrep.exe" /spath="%USERPROFILE%\AppData\Local\Temp\OnboardLogs" /stypes="*4002*20160908*" /stext=" 15:.+((SYSTEM_STATE.+slice.+state.+changed )|(ment ac)|(system.+state.+changed )|(\|lc)|(penalty)|(\[timeout)|(PRM\|1\|D)|(kpr)|(kdp))" /e /r /s</v>
      </c>
      <c r="AG170" s="1" t="str">
        <f t="shared" si="75"/>
        <v>NW</v>
      </c>
      <c r="AH170" s="100" t="str">
        <f t="shared" si="86"/>
        <v>"%USERPROFILE%\Documents\GitHub\eaglep3\Utilities\RefineRTDCRunTimes.py" --tripid 813-08 --locoid 4002 --swversion DE.1.0.7.0 --startMP 204:976 --initTime 2016-09-08T08:58:30 --startdatetime 2016-09-08T09:21:17 --delay 1 --endMP 300:58992 --enddatetime 2016-09-08T09:35:01 --enforcementcount 0 &gt;&gt;C:\Users\stu\Documents\GitHub\eaglep3-reporting\EC\2016-09-08-refined-times.txt</v>
      </c>
      <c r="AI170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{"issue":{"subject":"","project_id":79,"tracker_id":40,"status_id":1,"priority_id":2,"assigned_to_id":23,"start_date":"2016-09-08","description":"","custom_fields":[{"id":1,"name":"Subdivision","value":"NW"},{"id":4,"name":"Milepost","value":"5.8016"},{"id":17,"name":"Train ID","value":"813-08"},{"id":16,"name":"Locomotive ID","value":"4002"},{"id":130,"name":"Impact","value":""},{"id":150,"name":"Time of Event (Mountain Time)","value":"09:35:01"},{"id":151,"name":"Denver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460</v>
      </c>
      <c r="B171" s="7">
        <v>4001</v>
      </c>
      <c r="C171" s="24" t="s">
        <v>109</v>
      </c>
      <c r="D171" s="24" t="s">
        <v>461</v>
      </c>
      <c r="E171" s="15">
        <v>42621.401134259257</v>
      </c>
      <c r="F171" s="15">
        <v>42621.402870370373</v>
      </c>
      <c r="G171" s="7">
        <v>1</v>
      </c>
      <c r="H171" s="15" t="s">
        <v>462</v>
      </c>
      <c r="I171" s="15">
        <v>42621.413831018515</v>
      </c>
      <c r="J171" s="7">
        <v>0</v>
      </c>
      <c r="K171" s="122" t="str">
        <f t="shared" si="72"/>
        <v>4001/4002</v>
      </c>
      <c r="L171" s="24" t="str">
        <f>VLOOKUP(A171,'Trips&amp;Operators'!$C$1:$E$10000,3,FALSE)</f>
        <v>BRANDNER</v>
      </c>
      <c r="M171" s="6">
        <f t="shared" si="76"/>
        <v>1.0960648141917773E-2</v>
      </c>
      <c r="N171" s="7">
        <f t="shared" si="77"/>
        <v>15.783333324361593</v>
      </c>
      <c r="O171" s="7"/>
      <c r="P171" s="7"/>
      <c r="Q171" s="25"/>
      <c r="R171" s="25"/>
      <c r="S171" s="37">
        <f t="shared" si="78"/>
        <v>1</v>
      </c>
      <c r="T171" s="52" t="str">
        <f t="shared" si="73"/>
        <v>Southbound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08:37:38-0600',mode:absolute,to:'2016-09-08 10:55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71" s="54" t="str">
        <f t="shared" si="80"/>
        <v>N</v>
      </c>
      <c r="X171" s="172">
        <f t="shared" si="88"/>
        <v>1</v>
      </c>
      <c r="Y171" s="69">
        <f t="shared" si="81"/>
        <v>5.8672000000000004</v>
      </c>
      <c r="Z171" s="69">
        <f t="shared" si="82"/>
        <v>6.8900000000000003E-2</v>
      </c>
      <c r="AA171" s="69">
        <f t="shared" si="83"/>
        <v>5.7983000000000002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 t="shared" si="74"/>
        <v>0814-08</v>
      </c>
      <c r="AE171" s="99" t="str">
        <f t="shared" si="84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71" s="96" t="str">
        <f t="shared" si="85"/>
        <v>"C:\Program Files (x86)\AstroGrep\AstroGrep.exe" /spath="%USERPROFILE%\AppData\Local\Temp\OnboardLogs" /stypes="*4001*20160908*" /stext=" 15:.+((SYSTEM_STATE.+slice.+state.+changed )|(ment ac)|(system.+state.+changed )|(\|lc)|(penalty)|(\[timeout)|(PRM\|1\|D)|(kpr)|(kdp))" /e /r /s</v>
      </c>
      <c r="AG171" s="1" t="str">
        <f t="shared" si="75"/>
        <v>NW</v>
      </c>
      <c r="AH171" s="100" t="str">
        <f t="shared" si="86"/>
        <v>"%USERPROFILE%\Documents\GitHub\eaglep3\Utilities\RefineRTDCRunTimes.py" --tripid 814-08 --locoid 4001 --swversion DE.1.0.7.0 --startMP 300:58672 --initTime 2016-09-08T09:37:38 --startdatetime 2016-09-08T09:40:08 --delay 1 --endMP 204:689 --enddatetime 2016-09-08T09:55:55 --enforcementcount 0 &gt;&gt;C:\Users\stu\Documents\GitHub\eaglep3-reporting\EC\2016-09-08-refined-times.txt</v>
      </c>
      <c r="AI171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{"issue":{"subject":"","project_id":79,"tracker_id":40,"status_id":1,"priority_id":2,"assigned_to_id":23,"start_date":"2016-09-08","description":"","custom_fields":[{"id":1,"name":"Subdivision","value":"NW"},{"id":4,"name":"Milepost","value":"5.7983"},{"id":17,"name":"Train ID","value":"814-08"},{"id":16,"name":"Locomotive ID","value":"4001"},{"id":130,"name":"Impact","value":""},{"id":150,"name":"Time of Event (Mountain Time)","value":"09:55:55"},{"id":151,"name":"Denver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x14ac:dyDescent="0.25">
      <c r="A172" s="39" t="s">
        <v>463</v>
      </c>
      <c r="B172" s="7">
        <v>4002</v>
      </c>
      <c r="C172" s="24" t="s">
        <v>109</v>
      </c>
      <c r="D172" s="24" t="s">
        <v>430</v>
      </c>
      <c r="E172" s="15">
        <v>42621.429467592592</v>
      </c>
      <c r="F172" s="15">
        <v>42621.43178240741</v>
      </c>
      <c r="G172" s="7">
        <v>1</v>
      </c>
      <c r="H172" s="15" t="s">
        <v>464</v>
      </c>
      <c r="I172" s="15">
        <v>42621.441296296296</v>
      </c>
      <c r="J172" s="7">
        <v>0</v>
      </c>
      <c r="K172" s="122" t="str">
        <f t="shared" si="72"/>
        <v>4001/4002</v>
      </c>
      <c r="L172" s="24" t="str">
        <f>VLOOKUP(A172,'Trips&amp;Operators'!$C$1:$E$10000,3,FALSE)</f>
        <v>BRANDNER</v>
      </c>
      <c r="M172" s="6">
        <f t="shared" si="76"/>
        <v>9.5138888864312321E-3</v>
      </c>
      <c r="N172" s="7">
        <f t="shared" si="77"/>
        <v>13.699999996460974</v>
      </c>
      <c r="O172" s="7"/>
      <c r="P172" s="7"/>
      <c r="Q172" s="25"/>
      <c r="R172" s="25"/>
      <c r="S172" s="37">
        <f t="shared" si="78"/>
        <v>1</v>
      </c>
      <c r="T172" s="52" t="str">
        <f t="shared" si="73"/>
        <v>NorthBound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09:18:26-0600',mode:absolute,to:'2016-09-08 11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72" s="54" t="str">
        <f t="shared" si="80"/>
        <v>N</v>
      </c>
      <c r="X172" s="172">
        <f t="shared" si="88"/>
        <v>1</v>
      </c>
      <c r="Y172" s="69">
        <f t="shared" si="81"/>
        <v>9.74E-2</v>
      </c>
      <c r="Z172" s="69">
        <f t="shared" si="82"/>
        <v>5.8998999999999997</v>
      </c>
      <c r="AA172" s="69">
        <f t="shared" si="83"/>
        <v>5.8024999999999993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si="74"/>
        <v>0815-08</v>
      </c>
      <c r="AE172" s="99" t="str">
        <f t="shared" si="84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72" s="96" t="str">
        <f t="shared" si="85"/>
        <v>"C:\Program Files (x86)\AstroGrep\AstroGrep.exe" /spath="%USERPROFILE%\AppData\Local\Temp\OnboardLogs" /stypes="*4002*20160908*" /stext=" 16:.+((SYSTEM_STATE.+slice.+state.+changed )|(ment ac)|(system.+state.+changed )|(\|lc)|(penalty)|(\[timeout)|(PRM\|1\|D)|(kpr)|(kdp))" /e /r /s</v>
      </c>
      <c r="AG172" s="1" t="str">
        <f t="shared" si="75"/>
        <v>NW</v>
      </c>
      <c r="AH172" s="100" t="str">
        <f t="shared" si="86"/>
        <v>"%USERPROFILE%\Documents\GitHub\eaglep3\Utilities\RefineRTDCRunTimes.py" --tripid 815-08 --locoid 4002 --swversion DE.1.0.7.0 --startMP 204:974 --initTime 2016-09-08T10:18:26 --startdatetime 2016-09-08T10:21:46 --delay 1 --endMP 300:58999 --enddatetime 2016-09-08T10:35:28 --enforcementcount 0 &gt;&gt;C:\Users\stu\Documents\GitHub\eaglep3-reporting\EC\2016-09-08-refined-times.txt</v>
      </c>
      <c r="AI172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{"issue":{"subject":"","project_id":79,"tracker_id":40,"status_id":1,"priority_id":2,"assigned_to_id":23,"start_date":"2016-09-08","description":"","custom_fields":[{"id":1,"name":"Subdivision","value":"NW"},{"id":4,"name":"Milepost","value":"5.8025"},{"id":17,"name":"Train ID","value":"815-08"},{"id":16,"name":"Locomotive ID","value":"4002"},{"id":130,"name":"Impact","value":""},{"id":150,"name":"Time of Event (Mountain Time)","value":"10:35:28"},{"id":151,"name":"Denver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465</v>
      </c>
      <c r="B173" s="7">
        <v>4001</v>
      </c>
      <c r="C173" s="24" t="s">
        <v>109</v>
      </c>
      <c r="D173" s="24" t="s">
        <v>466</v>
      </c>
      <c r="E173" s="15">
        <v>42621.442812499998</v>
      </c>
      <c r="F173" s="15">
        <v>42621.444652777776</v>
      </c>
      <c r="G173" s="7">
        <v>1</v>
      </c>
      <c r="H173" s="15" t="s">
        <v>446</v>
      </c>
      <c r="I173" s="15">
        <v>42621.456388888888</v>
      </c>
      <c r="J173" s="7">
        <v>0</v>
      </c>
      <c r="K173" s="122" t="str">
        <f t="shared" si="72"/>
        <v>4001/4002</v>
      </c>
      <c r="L173" s="24" t="str">
        <f>VLOOKUP(A173,'Trips&amp;Operators'!$C$1:$E$10000,3,FALSE)</f>
        <v>BRANDNER</v>
      </c>
      <c r="M173" s="6">
        <f t="shared" si="76"/>
        <v>1.17361111115315E-2</v>
      </c>
      <c r="N173" s="7">
        <f t="shared" si="77"/>
        <v>16.90000000060536</v>
      </c>
      <c r="O173" s="7"/>
      <c r="P173" s="7"/>
      <c r="Q173" s="25"/>
      <c r="R173" s="25"/>
      <c r="S173" s="37">
        <f t="shared" si="78"/>
        <v>1</v>
      </c>
      <c r="T173" s="52" t="str">
        <f t="shared" si="73"/>
        <v>Southbound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09:37:39-0600',mode:absolute,to:'2016-09-08 11:57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73" s="54" t="str">
        <f t="shared" si="80"/>
        <v>N</v>
      </c>
      <c r="X173" s="172">
        <f t="shared" si="88"/>
        <v>1</v>
      </c>
      <c r="Y173" s="69">
        <f t="shared" si="81"/>
        <v>5.8677999999999999</v>
      </c>
      <c r="Z173" s="69">
        <f t="shared" si="82"/>
        <v>6.8500000000000005E-2</v>
      </c>
      <c r="AA173" s="69">
        <f t="shared" si="83"/>
        <v>5.7992999999999997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si="74"/>
        <v>0816-08</v>
      </c>
      <c r="AE173" s="99" t="str">
        <f t="shared" si="84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73" s="96" t="str">
        <f t="shared" si="85"/>
        <v>"C:\Program Files (x86)\AstroGrep\AstroGrep.exe" /spath="%USERPROFILE%\AppData\Local\Temp\OnboardLogs" /stypes="*4001*20160908*" /stext=" 16:.+((SYSTEM_STATE.+slice.+state.+changed )|(ment ac)|(system.+state.+changed )|(\|lc)|(penalty)|(\[timeout)|(PRM\|1\|D)|(kpr)|(kdp))" /e /r /s</v>
      </c>
      <c r="AG173" s="1" t="str">
        <f t="shared" si="75"/>
        <v>NW</v>
      </c>
      <c r="AH173" s="100" t="str">
        <f t="shared" si="86"/>
        <v>"%USERPROFILE%\Documents\GitHub\eaglep3\Utilities\RefineRTDCRunTimes.py" --tripid 816-08 --locoid 4001 --swversion DE.1.0.7.0 --startMP 300:58678 --initTime 2016-09-08T10:37:39 --startdatetime 2016-09-08T10:40:18 --delay 1 --endMP 204:685 --enddatetime 2016-09-08T10:57:12 --enforcementcount 0 &gt;&gt;C:\Users\stu\Documents\GitHub\eaglep3-reporting\EC\2016-09-08-refined-times.txt</v>
      </c>
      <c r="AI173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{"issue":{"subject":"","project_id":79,"tracker_id":40,"status_id":1,"priority_id":2,"assigned_to_id":23,"start_date":"2016-09-08","description":"","custom_fields":[{"id":1,"name":"Subdivision","value":"NW"},{"id":4,"name":"Milepost","value":"5.7993"},{"id":17,"name":"Train ID","value":"816-08"},{"id":16,"name":"Locomotive ID","value":"4001"},{"id":130,"name":"Impact","value":""},{"id":150,"name":"Time of Event (Mountain Time)","value":"10:57:12"},{"id":151,"name":"Denver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467</v>
      </c>
      <c r="B174" s="7">
        <v>4002</v>
      </c>
      <c r="C174" s="24" t="s">
        <v>109</v>
      </c>
      <c r="D174" s="24" t="s">
        <v>468</v>
      </c>
      <c r="E174" s="15">
        <v>42621.465624999997</v>
      </c>
      <c r="F174" s="15">
        <v>42621.473124999997</v>
      </c>
      <c r="G174" s="7">
        <v>2</v>
      </c>
      <c r="H174" s="15" t="s">
        <v>453</v>
      </c>
      <c r="I174" s="15">
        <v>42621.483182870368</v>
      </c>
      <c r="J174" s="7">
        <v>0</v>
      </c>
      <c r="K174" s="122" t="str">
        <f t="shared" si="72"/>
        <v>4001/4002</v>
      </c>
      <c r="L174" s="24" t="str">
        <f>VLOOKUP(A174,'Trips&amp;Operators'!$C$1:$E$10000,3,FALSE)</f>
        <v>BRANDNER</v>
      </c>
      <c r="M174" s="6">
        <f t="shared" si="76"/>
        <v>1.0057870371383615E-2</v>
      </c>
      <c r="N174" s="7">
        <f t="shared" si="77"/>
        <v>14.483333334792405</v>
      </c>
      <c r="O174" s="7"/>
      <c r="P174" s="7"/>
      <c r="Q174" s="25"/>
      <c r="R174" s="25"/>
      <c r="S174" s="37">
        <f t="shared" si="78"/>
        <v>1</v>
      </c>
      <c r="T174" s="52" t="str">
        <f t="shared" si="73"/>
        <v>NorthBound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10:10:30-0600',mode:absolute,to:'2016-09-08 12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74" s="54" t="str">
        <f t="shared" si="80"/>
        <v>N</v>
      </c>
      <c r="X174" s="172">
        <f t="shared" si="88"/>
        <v>1</v>
      </c>
      <c r="Y174" s="69">
        <f t="shared" si="81"/>
        <v>9.7900000000000001E-2</v>
      </c>
      <c r="Z174" s="69">
        <f t="shared" si="82"/>
        <v>5.9010999999999996</v>
      </c>
      <c r="AA174" s="69">
        <f t="shared" si="83"/>
        <v>5.8031999999999995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74"/>
        <v>0817-08</v>
      </c>
      <c r="AE174" s="99" t="str">
        <f t="shared" si="84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74" s="96" t="str">
        <f t="shared" si="85"/>
        <v>"C:\Program Files (x86)\AstroGrep\AstroGrep.exe" /spath="%USERPROFILE%\AppData\Local\Temp\OnboardLogs" /stypes="*4002*20160908*" /stext=" 17:.+((SYSTEM_STATE.+slice.+state.+changed )|(ment ac)|(system.+state.+changed )|(\|lc)|(penalty)|(\[timeout)|(PRM\|1\|D)|(kpr)|(kdp))" /e /r /s</v>
      </c>
      <c r="AG174" s="1" t="str">
        <f t="shared" si="75"/>
        <v>NW</v>
      </c>
      <c r="AH174" s="100" t="str">
        <f t="shared" si="86"/>
        <v>"%USERPROFILE%\Documents\GitHub\eaglep3\Utilities\RefineRTDCRunTimes.py" --tripid 817-08 --locoid 4002 --swversion DE.1.0.7.0 --startMP 204:979 --initTime 2016-09-08T11:10:30 --startdatetime 2016-09-08T11:21:18 --delay 2 --endMP 300:59011 --enddatetime 2016-09-08T11:35:47 --enforcementcount 0 &gt;&gt;C:\Users\stu\Documents\GitHub\eaglep3-reporting\EC\2016-09-08-refined-times.txt</v>
      </c>
      <c r="AI174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{"issue":{"subject":"","project_id":79,"tracker_id":40,"status_id":1,"priority_id":2,"assigned_to_id":23,"start_date":"2016-09-08","description":"","custom_fields":[{"id":1,"name":"Subdivision","value":"NW"},{"id":4,"name":"Milepost","value":"5.8032"},{"id":17,"name":"Train ID","value":"817-08"},{"id":16,"name":"Locomotive ID","value":"4002"},{"id":130,"name":"Impact","value":""},{"id":150,"name":"Time of Event (Mountain Time)","value":"11:35:47"},{"id":151,"name":"Denver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469</v>
      </c>
      <c r="B175" s="7">
        <v>4001</v>
      </c>
      <c r="C175" s="24" t="s">
        <v>109</v>
      </c>
      <c r="D175" s="24" t="s">
        <v>445</v>
      </c>
      <c r="E175" s="15">
        <v>42621.484722222223</v>
      </c>
      <c r="F175" s="15">
        <v>42621.486527777779</v>
      </c>
      <c r="G175" s="7">
        <v>2</v>
      </c>
      <c r="H175" s="15" t="s">
        <v>470</v>
      </c>
      <c r="I175" s="15">
        <v>42621.497187499997</v>
      </c>
      <c r="J175" s="7">
        <v>0</v>
      </c>
      <c r="K175" s="122" t="str">
        <f t="shared" si="72"/>
        <v>4001/4002</v>
      </c>
      <c r="L175" s="24" t="str">
        <f>VLOOKUP(A175,'Trips&amp;Operators'!$C$1:$E$10000,3,FALSE)</f>
        <v>BRANDNER</v>
      </c>
      <c r="M175" s="6">
        <f t="shared" si="76"/>
        <v>1.0659722218406387E-2</v>
      </c>
      <c r="N175" s="7">
        <f t="shared" si="77"/>
        <v>15.349999994505197</v>
      </c>
      <c r="O175" s="7"/>
      <c r="P175" s="7"/>
      <c r="Q175" s="25"/>
      <c r="R175" s="25"/>
      <c r="S175" s="37">
        <f t="shared" si="78"/>
        <v>1</v>
      </c>
      <c r="T175" s="52" t="str">
        <f t="shared" si="73"/>
        <v>Southbound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10:38:00-0600',mode:absolute,to:'2016-09-08 12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75" s="54" t="str">
        <f t="shared" si="80"/>
        <v>N</v>
      </c>
      <c r="X175" s="172">
        <f t="shared" si="88"/>
        <v>1</v>
      </c>
      <c r="Y175" s="69">
        <f t="shared" si="81"/>
        <v>5.8686999999999996</v>
      </c>
      <c r="Z175" s="69">
        <f t="shared" si="82"/>
        <v>6.9400000000000003E-2</v>
      </c>
      <c r="AA175" s="69">
        <f t="shared" si="83"/>
        <v>5.7992999999999997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74"/>
        <v>0818-08</v>
      </c>
      <c r="AE175" s="99" t="str">
        <f t="shared" si="84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75" s="96" t="str">
        <f t="shared" si="85"/>
        <v>"C:\Program Files (x86)\AstroGrep\AstroGrep.exe" /spath="%USERPROFILE%\AppData\Local\Temp\OnboardLogs" /stypes="*4001*20160908*" /stext=" 17:.+((SYSTEM_STATE.+slice.+state.+changed )|(ment ac)|(system.+state.+changed )|(\|lc)|(penalty)|(\[timeout)|(PRM\|1\|D)|(kpr)|(kdp))" /e /r /s</v>
      </c>
      <c r="AG175" s="1" t="str">
        <f t="shared" si="75"/>
        <v>NW</v>
      </c>
      <c r="AH175" s="100" t="str">
        <f t="shared" si="86"/>
        <v>"%USERPROFILE%\Documents\GitHub\eaglep3\Utilities\RefineRTDCRunTimes.py" --tripid 818-08 --locoid 4001 --swversion DE.1.0.7.0 --startMP 300:58687 --initTime 2016-09-08T11:38:00 --startdatetime 2016-09-08T11:40:36 --delay 2 --endMP 204:694 --enddatetime 2016-09-08T11:55:57 --enforcementcount 0 &gt;&gt;C:\Users\stu\Documents\GitHub\eaglep3-reporting\EC\2016-09-08-refined-times.txt</v>
      </c>
      <c r="AI175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{"issue":{"subject":"","project_id":79,"tracker_id":40,"status_id":1,"priority_id":2,"assigned_to_id":23,"start_date":"2016-09-08","description":"","custom_fields":[{"id":1,"name":"Subdivision","value":"NW"},{"id":4,"name":"Milepost","value":"5.7993"},{"id":17,"name":"Train ID","value":"818-08"},{"id":16,"name":"Locomotive ID","value":"4001"},{"id":130,"name":"Impact","value":""},{"id":150,"name":"Time of Event (Mountain Time)","value":"11:55:57"},{"id":151,"name":"Denver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471</v>
      </c>
      <c r="B176" s="7">
        <v>4002</v>
      </c>
      <c r="C176" s="24" t="s">
        <v>109</v>
      </c>
      <c r="D176" s="24" t="s">
        <v>472</v>
      </c>
      <c r="E176" s="15">
        <v>42621.504537037035</v>
      </c>
      <c r="F176" s="15">
        <v>42621.514826388891</v>
      </c>
      <c r="G176" s="7">
        <v>2</v>
      </c>
      <c r="H176" s="15" t="s">
        <v>473</v>
      </c>
      <c r="I176" s="15">
        <v>42621.52480324074</v>
      </c>
      <c r="J176" s="7">
        <v>0</v>
      </c>
      <c r="K176" s="122" t="str">
        <f t="shared" si="72"/>
        <v>4001/4002</v>
      </c>
      <c r="L176" s="24" t="str">
        <f>VLOOKUP(A176,'Trips&amp;Operators'!$C$1:$E$10000,3,FALSE)</f>
        <v>BRANDNER</v>
      </c>
      <c r="M176" s="6">
        <f t="shared" si="76"/>
        <v>9.9768518484779634E-3</v>
      </c>
      <c r="N176" s="7">
        <f t="shared" si="77"/>
        <v>14.366666661808267</v>
      </c>
      <c r="O176" s="7"/>
      <c r="P176" s="7"/>
      <c r="Q176" s="25"/>
      <c r="R176" s="25"/>
      <c r="S176" s="37">
        <f t="shared" si="78"/>
        <v>1</v>
      </c>
      <c r="T176" s="52" t="str">
        <f t="shared" si="73"/>
        <v>NorthBound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11:06:32-0600',mode:absolute,to:'2016-09-08 13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76" s="54" t="str">
        <f t="shared" si="80"/>
        <v>N</v>
      </c>
      <c r="X176" s="172">
        <f t="shared" si="88"/>
        <v>1</v>
      </c>
      <c r="Y176" s="69">
        <f t="shared" si="81"/>
        <v>9.8500000000000004E-2</v>
      </c>
      <c r="Z176" s="69">
        <f t="shared" si="82"/>
        <v>5.899</v>
      </c>
      <c r="AA176" s="69">
        <f t="shared" si="83"/>
        <v>5.8005000000000004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74"/>
        <v>0819-08</v>
      </c>
      <c r="AE176" s="99" t="str">
        <f t="shared" si="84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76" s="96" t="str">
        <f t="shared" si="85"/>
        <v>"C:\Program Files (x86)\AstroGrep\AstroGrep.exe" /spath="%USERPROFILE%\AppData\Local\Temp\OnboardLogs" /stypes="*4002*20160908*" /stext=" 18:.+((SYSTEM_STATE.+slice.+state.+changed )|(ment ac)|(system.+state.+changed )|(\|lc)|(penalty)|(\[timeout)|(PRM\|1\|D)|(kpr)|(kdp))" /e /r /s</v>
      </c>
      <c r="AG176" s="1" t="str">
        <f t="shared" si="75"/>
        <v>NW</v>
      </c>
      <c r="AH176" s="100" t="str">
        <f t="shared" si="86"/>
        <v>"%USERPROFILE%\Documents\GitHub\eaglep3\Utilities\RefineRTDCRunTimes.py" --tripid 819-08 --locoid 4002 --swversion DE.1.0.7.0 --startMP 204:985 --initTime 2016-09-08T12:06:32 --startdatetime 2016-09-08T12:21:21 --delay 2 --endMP 300:58990 --enddatetime 2016-09-08T12:35:43 --enforcementcount 0 &gt;&gt;C:\Users\stu\Documents\GitHub\eaglep3-reporting\EC\2016-09-08-refined-times.txt</v>
      </c>
      <c r="AI176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{"issue":{"subject":"","project_id":79,"tracker_id":40,"status_id":1,"priority_id":2,"assigned_to_id":23,"start_date":"2016-09-08","description":"","custom_fields":[{"id":1,"name":"Subdivision","value":"NW"},{"id":4,"name":"Milepost","value":"5.8005"},{"id":17,"name":"Train ID","value":"819-08"},{"id":16,"name":"Locomotive ID","value":"4002"},{"id":130,"name":"Impact","value":""},{"id":150,"name":"Time of Event (Mountain Time)","value":"12:35:43"},{"id":151,"name":"Denver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668</v>
      </c>
      <c r="B177" s="7">
        <v>4001</v>
      </c>
      <c r="C177" s="24" t="s">
        <v>109</v>
      </c>
      <c r="D177" s="24" t="s">
        <v>669</v>
      </c>
      <c r="E177" s="15">
        <v>42621.526875000003</v>
      </c>
      <c r="F177" s="15">
        <v>42621.52888888889</v>
      </c>
      <c r="G177" s="7">
        <v>2</v>
      </c>
      <c r="H177" s="15" t="s">
        <v>670</v>
      </c>
      <c r="I177" s="15">
        <v>42621.538622685184</v>
      </c>
      <c r="J177" s="7">
        <v>0</v>
      </c>
      <c r="K177" s="122" t="str">
        <f t="shared" si="72"/>
        <v>4001/4002</v>
      </c>
      <c r="L177" s="24" t="str">
        <f>VLOOKUP(A177,'Trips&amp;Operators'!$C$1:$E$10000,3,FALSE)</f>
        <v>BRANDNER</v>
      </c>
      <c r="M177" s="6">
        <f t="shared" si="76"/>
        <v>9.7337962943129241E-3</v>
      </c>
      <c r="N177" s="7">
        <f t="shared" si="77"/>
        <v>14.016666663810611</v>
      </c>
      <c r="O177" s="7"/>
      <c r="P177" s="7"/>
      <c r="Q177" s="25"/>
      <c r="R177" s="25"/>
      <c r="S177" s="37">
        <f t="shared" si="78"/>
        <v>1</v>
      </c>
      <c r="T177" s="52" t="str">
        <f t="shared" si="73"/>
        <v>Southbound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11:38:42-0600',mode:absolute,to:'2016-09-08 13:55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77" s="54" t="str">
        <f t="shared" si="80"/>
        <v>N</v>
      </c>
      <c r="X177" s="172">
        <f t="shared" si="88"/>
        <v>1</v>
      </c>
      <c r="Y177" s="69">
        <f t="shared" si="81"/>
        <v>5.867</v>
      </c>
      <c r="Z177" s="69">
        <f t="shared" si="82"/>
        <v>6.7299999999999999E-2</v>
      </c>
      <c r="AA177" s="69">
        <f t="shared" si="83"/>
        <v>5.7996999999999996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74"/>
        <v>0820-08</v>
      </c>
      <c r="AE177" s="99" t="str">
        <f t="shared" si="84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77" s="96" t="str">
        <f t="shared" si="85"/>
        <v>"C:\Program Files (x86)\AstroGrep\AstroGrep.exe" /spath="%USERPROFILE%\AppData\Local\Temp\OnboardLogs" /stypes="*4001*20160908*" /stext=" 18:.+((SYSTEM_STATE.+slice.+state.+changed )|(ment ac)|(system.+state.+changed )|(\|lc)|(penalty)|(\[timeout)|(PRM\|1\|D)|(kpr)|(kdp))" /e /r /s</v>
      </c>
      <c r="AG177" s="1" t="str">
        <f t="shared" si="75"/>
        <v>NW</v>
      </c>
      <c r="AH177" s="100" t="str">
        <f t="shared" si="86"/>
        <v>"%USERPROFILE%\Documents\GitHub\eaglep3\Utilities\RefineRTDCRunTimes.py" --tripid 820-08 --locoid 4001 --swversion DE.1.0.7.0 --startMP 300:58670 --initTime 2016-09-08T12:38:42 --startdatetime 2016-09-08T12:41:36 --delay 2 --endMP 204:673 --enddatetime 2016-09-08T12:55:37 --enforcementcount 0 &gt;&gt;C:\Users\stu\Documents\GitHub\eaglep3-reporting\EC\2016-09-08-refined-times.txt</v>
      </c>
      <c r="AI177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{"issue":{"subject":"","project_id":79,"tracker_id":40,"status_id":1,"priority_id":2,"assigned_to_id":23,"start_date":"2016-09-08","description":"","custom_fields":[{"id":1,"name":"Subdivision","value":"NW"},{"id":4,"name":"Milepost","value":"5.7997"},{"id":17,"name":"Train ID","value":"820-08"},{"id":16,"name":"Locomotive ID","value":"4001"},{"id":130,"name":"Impact","value":""},{"id":150,"name":"Time of Event (Mountain Time)","value":"12:55:37"},{"id":151,"name":"Denver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671</v>
      </c>
      <c r="B178" s="7">
        <v>4002</v>
      </c>
      <c r="C178" s="24" t="s">
        <v>109</v>
      </c>
      <c r="D178" s="24" t="s">
        <v>672</v>
      </c>
      <c r="E178" s="15">
        <v>42621.550902777781</v>
      </c>
      <c r="F178" s="15">
        <v>42621.556574074071</v>
      </c>
      <c r="G178" s="7">
        <v>1</v>
      </c>
      <c r="H178" s="15" t="s">
        <v>673</v>
      </c>
      <c r="I178" s="15">
        <v>42621.566678240742</v>
      </c>
      <c r="J178" s="7">
        <v>0</v>
      </c>
      <c r="K178" s="122" t="str">
        <f t="shared" si="72"/>
        <v>4001/4002</v>
      </c>
      <c r="L178" s="24" t="str">
        <f>VLOOKUP(A178,'Trips&amp;Operators'!$C$1:$E$10000,3,FALSE)</f>
        <v>BERLING</v>
      </c>
      <c r="M178" s="6">
        <f t="shared" si="76"/>
        <v>1.0104166671226267E-2</v>
      </c>
      <c r="N178" s="7">
        <f t="shared" si="77"/>
        <v>14.550000006565824</v>
      </c>
      <c r="O178" s="7"/>
      <c r="P178" s="7"/>
      <c r="Q178" s="25"/>
      <c r="R178" s="25"/>
      <c r="S178" s="37">
        <f t="shared" si="78"/>
        <v>1</v>
      </c>
      <c r="T178" s="52" t="str">
        <f t="shared" si="73"/>
        <v>NorthBound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12:13:18-0600',mode:absolute,to:'2016-09-08 14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78" s="54" t="str">
        <f t="shared" si="80"/>
        <v>N</v>
      </c>
      <c r="X178" s="172">
        <f t="shared" si="88"/>
        <v>1</v>
      </c>
      <c r="Y178" s="69">
        <f t="shared" si="81"/>
        <v>9.7199999999999995E-2</v>
      </c>
      <c r="Z178" s="69">
        <f t="shared" si="82"/>
        <v>5.8982000000000001</v>
      </c>
      <c r="AA178" s="69">
        <f t="shared" si="83"/>
        <v>5.8010000000000002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si="74"/>
        <v>0821-08</v>
      </c>
      <c r="AE178" s="99" t="str">
        <f t="shared" si="84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78" s="96" t="str">
        <f t="shared" si="85"/>
        <v>"C:\Program Files (x86)\AstroGrep\AstroGrep.exe" /spath="%USERPROFILE%\AppData\Local\Temp\OnboardLogs" /stypes="*4002*20160908*" /stext=" 19:.+((SYSTEM_STATE.+slice.+state.+changed )|(ment ac)|(system.+state.+changed )|(\|lc)|(penalty)|(\[timeout)|(PRM\|1\|D)|(kpr)|(kdp))" /e /r /s</v>
      </c>
      <c r="AG178" s="1" t="str">
        <f t="shared" si="75"/>
        <v>NW</v>
      </c>
      <c r="AH178" s="100" t="str">
        <f t="shared" si="86"/>
        <v>"%USERPROFILE%\Documents\GitHub\eaglep3\Utilities\RefineRTDCRunTimes.py" --tripid 821-08 --locoid 4002 --swversion DE.1.0.7.0 --startMP 204:972 --initTime 2016-09-08T13:13:18 --startdatetime 2016-09-08T13:21:28 --delay 1 --endMP 300:58982 --enddatetime 2016-09-08T13:36:01 --enforcementcount 0 &gt;&gt;C:\Users\stu\Documents\GitHub\eaglep3-reporting\EC\2016-09-08-refined-times.txt</v>
      </c>
      <c r="AI178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{"issue":{"subject":"","project_id":79,"tracker_id":40,"status_id":1,"priority_id":2,"assigned_to_id":23,"start_date":"2016-09-08","description":"","custom_fields":[{"id":1,"name":"Subdivision","value":"NW"},{"id":4,"name":"Milepost","value":"5.801"},{"id":17,"name":"Train ID","value":"821-08"},{"id":16,"name":"Locomotive ID","value":"4002"},{"id":130,"name":"Impact","value":""},{"id":150,"name":"Time of Event (Mountain Time)","value":"13:36:01"},{"id":151,"name":"Denver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674</v>
      </c>
      <c r="B179" s="7">
        <v>4001</v>
      </c>
      <c r="C179" s="24" t="s">
        <v>109</v>
      </c>
      <c r="D179" s="24" t="s">
        <v>675</v>
      </c>
      <c r="E179" s="15">
        <v>42621.568055555559</v>
      </c>
      <c r="F179" s="15">
        <v>42621.569432870368</v>
      </c>
      <c r="G179" s="7">
        <v>1</v>
      </c>
      <c r="H179" s="15" t="s">
        <v>676</v>
      </c>
      <c r="I179" s="15">
        <v>42621.580196759256</v>
      </c>
      <c r="J179" s="7">
        <v>0</v>
      </c>
      <c r="K179" s="122" t="str">
        <f t="shared" si="72"/>
        <v>4001/4002</v>
      </c>
      <c r="L179" s="24" t="str">
        <f>VLOOKUP(A179,'Trips&amp;Operators'!$C$1:$E$10000,3,FALSE)</f>
        <v>BEAM</v>
      </c>
      <c r="M179" s="6">
        <f t="shared" si="76"/>
        <v>1.0763888887595385E-2</v>
      </c>
      <c r="N179" s="7">
        <f t="shared" si="77"/>
        <v>15.499999998137355</v>
      </c>
      <c r="O179" s="7"/>
      <c r="P179" s="7"/>
      <c r="Q179" s="25"/>
      <c r="R179" s="25"/>
      <c r="S179" s="37">
        <f t="shared" si="78"/>
        <v>1</v>
      </c>
      <c r="T179" s="52" t="str">
        <f t="shared" si="73"/>
        <v>Southbound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12:38:00-0600',mode:absolute,to:'2016-09-08 14:55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79" s="54" t="str">
        <f t="shared" si="80"/>
        <v>N</v>
      </c>
      <c r="X179" s="172">
        <f t="shared" si="88"/>
        <v>1</v>
      </c>
      <c r="Y179" s="69">
        <f t="shared" si="81"/>
        <v>5.8666</v>
      </c>
      <c r="Z179" s="69">
        <f t="shared" si="82"/>
        <v>7.9399999999999998E-2</v>
      </c>
      <c r="AA179" s="69">
        <f t="shared" si="83"/>
        <v>5.7872000000000003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74"/>
        <v>0822-08</v>
      </c>
      <c r="AE179" s="99" t="str">
        <f t="shared" si="84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79" s="96" t="str">
        <f t="shared" si="85"/>
        <v>"C:\Program Files (x86)\AstroGrep\AstroGrep.exe" /spath="%USERPROFILE%\AppData\Local\Temp\OnboardLogs" /stypes="*4001*20160908*" /stext=" 19:.+((SYSTEM_STATE.+slice.+state.+changed )|(ment ac)|(system.+state.+changed )|(\|lc)|(penalty)|(\[timeout)|(PRM\|1\|D)|(kpr)|(kdp))" /e /r /s</v>
      </c>
      <c r="AG179" s="1" t="str">
        <f t="shared" si="75"/>
        <v>NW</v>
      </c>
      <c r="AH179" s="100" t="str">
        <f t="shared" si="86"/>
        <v>"%USERPROFILE%\Documents\GitHub\eaglep3\Utilities\RefineRTDCRunTimes.py" --tripid 822-08 --locoid 4001 --swversion DE.1.0.7.0 --startMP 300:58666 --initTime 2016-09-08T13:38:00 --startdatetime 2016-09-08T13:39:59 --delay 1 --endMP 204:794 --enddatetime 2016-09-08T13:55:29 --enforcementcount 0 &gt;&gt;C:\Users\stu\Documents\GitHub\eaglep3-reporting\EC\2016-09-08-refined-times.txt</v>
      </c>
      <c r="AI179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{"issue":{"subject":"","project_id":79,"tracker_id":40,"status_id":1,"priority_id":2,"assigned_to_id":23,"start_date":"2016-09-08","description":"","custom_fields":[{"id":1,"name":"Subdivision","value":"NW"},{"id":4,"name":"Milepost","value":"5.7872"},{"id":17,"name":"Train ID","value":"822-08"},{"id":16,"name":"Locomotive ID","value":"4001"},{"id":130,"name":"Impact","value":""},{"id":150,"name":"Time of Event (Mountain Time)","value":"13:55:29"},{"id":151,"name":"Denver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677</v>
      </c>
      <c r="B180" s="7">
        <v>4002</v>
      </c>
      <c r="C180" s="24" t="s">
        <v>109</v>
      </c>
      <c r="D180" s="24" t="s">
        <v>678</v>
      </c>
      <c r="E180" s="15">
        <v>42621.589988425927</v>
      </c>
      <c r="F180" s="15">
        <v>42621.598333333335</v>
      </c>
      <c r="G180" s="7">
        <v>2</v>
      </c>
      <c r="H180" s="15" t="s">
        <v>679</v>
      </c>
      <c r="I180" s="15">
        <v>42621.608935185184</v>
      </c>
      <c r="J180" s="7">
        <v>0</v>
      </c>
      <c r="K180" s="122" t="str">
        <f t="shared" si="72"/>
        <v>4001/4002</v>
      </c>
      <c r="L180" s="24" t="str">
        <f>VLOOKUP(A180,'Trips&amp;Operators'!$C$1:$E$10000,3,FALSE)</f>
        <v>COOPER</v>
      </c>
      <c r="M180" s="6">
        <f t="shared" si="76"/>
        <v>1.060185184906004E-2</v>
      </c>
      <c r="N180" s="7">
        <f t="shared" si="77"/>
        <v>15.266666662646458</v>
      </c>
      <c r="O180" s="7"/>
      <c r="P180" s="7"/>
      <c r="Q180" s="25"/>
      <c r="R180" s="25"/>
      <c r="S180" s="37">
        <f t="shared" si="78"/>
        <v>1</v>
      </c>
      <c r="T180" s="52" t="str">
        <f t="shared" si="73"/>
        <v>NorthBound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13:09:35-0600',mode:absolute,to:'2016-09-08 15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80" s="54" t="str">
        <f t="shared" si="80"/>
        <v>N</v>
      </c>
      <c r="X180" s="172">
        <f t="shared" si="88"/>
        <v>1</v>
      </c>
      <c r="Y180" s="69">
        <f t="shared" si="81"/>
        <v>0.10929999999999999</v>
      </c>
      <c r="Z180" s="69">
        <f t="shared" si="82"/>
        <v>5.8967000000000001</v>
      </c>
      <c r="AA180" s="69">
        <f t="shared" ref="AA180:AA184" si="89">ABS(Z180-Y180)</f>
        <v>5.7873999999999999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74"/>
        <v>0823-08</v>
      </c>
      <c r="AE180" s="99" t="str">
        <f t="shared" si="84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80" s="96" t="str">
        <f t="shared" si="85"/>
        <v>"C:\Program Files (x86)\AstroGrep\AstroGrep.exe" /spath="%USERPROFILE%\AppData\Local\Temp\OnboardLogs" /stypes="*4002*20160908*" /stext=" 20:.+((SYSTEM_STATE.+slice.+state.+changed )|(ment ac)|(system.+state.+changed )|(\|lc)|(penalty)|(\[timeout)|(PRM\|1\|D)|(kpr)|(kdp))" /e /r /s</v>
      </c>
      <c r="AG180" s="1" t="str">
        <f t="shared" si="75"/>
        <v>NW</v>
      </c>
      <c r="AH180" s="100" t="str">
        <f t="shared" si="86"/>
        <v>"%USERPROFILE%\Documents\GitHub\eaglep3\Utilities\RefineRTDCRunTimes.py" --tripid 823-08 --locoid 4002 --swversion DE.1.0.7.0 --startMP 204:1093 --initTime 2016-09-08T14:09:35 --startdatetime 2016-09-08T14:21:36 --delay 2 --endMP 300:58967 --enddatetime 2016-09-08T14:36:52 --enforcementcount 0 &gt;&gt;C:\Users\stu\Documents\GitHub\eaglep3-reporting\EC\2016-09-08-refined-times.txt</v>
      </c>
      <c r="AI180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{"issue":{"subject":"","project_id":79,"tracker_id":40,"status_id":1,"priority_id":2,"assigned_to_id":23,"start_date":"2016-09-08","description":"","custom_fields":[{"id":1,"name":"Subdivision","value":"NW"},{"id":4,"name":"Milepost","value":"5.7874"},{"id":17,"name":"Train ID","value":"823-08"},{"id":16,"name":"Locomotive ID","value":"4002"},{"id":130,"name":"Impact","value":""},{"id":150,"name":"Time of Event (Mountain Time)","value":"14:36:52"},{"id":151,"name":"Denver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s="23" customFormat="1" x14ac:dyDescent="0.25">
      <c r="A181" s="39" t="s">
        <v>680</v>
      </c>
      <c r="B181" s="7">
        <v>4001</v>
      </c>
      <c r="C181" s="24" t="s">
        <v>109</v>
      </c>
      <c r="D181" s="24" t="s">
        <v>681</v>
      </c>
      <c r="E181" s="15">
        <v>42621.610069444447</v>
      </c>
      <c r="F181" s="15">
        <v>42621.611863425926</v>
      </c>
      <c r="G181" s="7">
        <v>1</v>
      </c>
      <c r="H181" s="15" t="s">
        <v>682</v>
      </c>
      <c r="I181" s="15">
        <v>42621.622662037036</v>
      </c>
      <c r="J181" s="7">
        <v>0</v>
      </c>
      <c r="K181" s="122" t="str">
        <f t="shared" si="72"/>
        <v>4001/4002</v>
      </c>
      <c r="L181" s="24" t="str">
        <f>VLOOKUP(A181,'Trips&amp;Operators'!$C$1:$E$10000,3,FALSE)</f>
        <v>COOPER</v>
      </c>
      <c r="M181" s="6">
        <f t="shared" si="76"/>
        <v>1.0798611110658385E-2</v>
      </c>
      <c r="N181" s="7">
        <f t="shared" si="77"/>
        <v>15.549999999348074</v>
      </c>
      <c r="O181" s="7"/>
      <c r="P181" s="7"/>
      <c r="Q181" s="25"/>
      <c r="R181" s="25"/>
      <c r="S181" s="37">
        <f t="shared" si="78"/>
        <v>1</v>
      </c>
      <c r="T181" s="52" t="str">
        <f t="shared" si="73"/>
        <v>Southbound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13:38:30-0600',mode:absolute,to:'2016-09-08 15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81" s="54" t="str">
        <f t="shared" si="80"/>
        <v>N</v>
      </c>
      <c r="X181" s="172">
        <f t="shared" si="88"/>
        <v>1</v>
      </c>
      <c r="Y181" s="69">
        <f t="shared" si="81"/>
        <v>5.8647</v>
      </c>
      <c r="Z181" s="69">
        <f t="shared" si="82"/>
        <v>7.6899999999999996E-2</v>
      </c>
      <c r="AA181" s="69">
        <f t="shared" si="89"/>
        <v>5.7877999999999998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74"/>
        <v>0824-08</v>
      </c>
      <c r="AE181" s="99" t="str">
        <f t="shared" si="84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81" s="96" t="str">
        <f t="shared" si="85"/>
        <v>"C:\Program Files (x86)\AstroGrep\AstroGrep.exe" /spath="%USERPROFILE%\AppData\Local\Temp\OnboardLogs" /stypes="*4001*20160908*" /stext=" 20:.+((SYSTEM_STATE.+slice.+state.+changed )|(ment ac)|(system.+state.+changed )|(\|lc)|(penalty)|(\[timeout)|(PRM\|1\|D)|(kpr)|(kdp))" /e /r /s</v>
      </c>
      <c r="AG181" s="1" t="str">
        <f t="shared" si="75"/>
        <v>NW</v>
      </c>
      <c r="AH181" s="100" t="str">
        <f t="shared" si="86"/>
        <v>"%USERPROFILE%\Documents\GitHub\eaglep3\Utilities\RefineRTDCRunTimes.py" --tripid 824-08 --locoid 4001 --swversion DE.1.0.7.0 --startMP 300:58647 --initTime 2016-09-08T14:38:30 --startdatetime 2016-09-08T14:41:05 --delay 1 --endMP 204:769 --enddatetime 2016-09-08T14:56:38 --enforcementcount 0 &gt;&gt;C:\Users\stu\Documents\GitHub\eaglep3-reporting\EC\2016-09-08-refined-times.txt</v>
      </c>
      <c r="AI181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{"issue":{"subject":"","project_id":79,"tracker_id":40,"status_id":1,"priority_id":2,"assigned_to_id":23,"start_date":"2016-09-08","description":"","custom_fields":[{"id":1,"name":"Subdivision","value":"NW"},{"id":4,"name":"Milepost","value":"5.7878"},{"id":17,"name":"Train ID","value":"824-08"},{"id":16,"name":"Locomotive ID","value":"4001"},{"id":130,"name":"Impact","value":""},{"id":150,"name":"Time of Event (Mountain Time)","value":"14:56:38"},{"id":151,"name":"Denver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485</v>
      </c>
      <c r="B182" s="7">
        <v>4002</v>
      </c>
      <c r="C182" s="24" t="s">
        <v>109</v>
      </c>
      <c r="D182" s="24" t="s">
        <v>683</v>
      </c>
      <c r="E182" s="15">
        <v>42621.625659722224</v>
      </c>
      <c r="F182" s="15">
        <v>42621.639872685184</v>
      </c>
      <c r="G182" s="7">
        <v>1</v>
      </c>
      <c r="H182" s="15" t="s">
        <v>684</v>
      </c>
      <c r="I182" s="15">
        <v>42621.652106481481</v>
      </c>
      <c r="J182" s="7">
        <v>0</v>
      </c>
      <c r="K182" s="122" t="str">
        <f t="shared" si="72"/>
        <v>4001/4002</v>
      </c>
      <c r="L182" s="24" t="str">
        <f>VLOOKUP(A182,'Trips&amp;Operators'!$C$1:$E$10000,3,FALSE)</f>
        <v>COOPER</v>
      </c>
      <c r="M182" s="6">
        <f t="shared" si="76"/>
        <v>1.2233796296641231E-2</v>
      </c>
      <c r="N182" s="7">
        <f t="shared" si="77"/>
        <v>17.616666667163372</v>
      </c>
      <c r="O182" s="7"/>
      <c r="P182" s="7"/>
      <c r="Q182" s="25"/>
      <c r="R182" s="25"/>
      <c r="S182" s="37">
        <f t="shared" si="78"/>
        <v>1</v>
      </c>
      <c r="T182" s="52" t="str">
        <f t="shared" si="73"/>
        <v>NorthBound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14:00:57-0600',mode:absolute,to:'2016-09-08 16:39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82" s="54" t="str">
        <f t="shared" si="80"/>
        <v>N</v>
      </c>
      <c r="X182" s="172">
        <f t="shared" si="88"/>
        <v>1</v>
      </c>
      <c r="Y182" s="69">
        <f t="shared" si="81"/>
        <v>0.1062</v>
      </c>
      <c r="Z182" s="69">
        <f t="shared" si="82"/>
        <v>5.8871000000000002</v>
      </c>
      <c r="AA182" s="69">
        <f t="shared" si="89"/>
        <v>5.7808999999999999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74"/>
        <v>0825-08</v>
      </c>
      <c r="AE182" s="99" t="str">
        <f t="shared" si="84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82" s="96" t="str">
        <f t="shared" si="85"/>
        <v>"C:\Program Files (x86)\AstroGrep\AstroGrep.exe" /spath="%USERPROFILE%\AppData\Local\Temp\OnboardLogs" /stypes="*4002*20160908*" /stext=" 21:.+((SYSTEM_STATE.+slice.+state.+changed )|(ment ac)|(system.+state.+changed )|(\|lc)|(penalty)|(\[timeout)|(PRM\|1\|D)|(kpr)|(kdp))" /e /r /s</v>
      </c>
      <c r="AG182" s="1" t="str">
        <f t="shared" si="75"/>
        <v>NW</v>
      </c>
      <c r="AH182" s="100" t="str">
        <f t="shared" si="86"/>
        <v>"%USERPROFILE%\Documents\GitHub\eaglep3\Utilities\RefineRTDCRunTimes.py" --tripid 825-08 --locoid 4002 --swversion DE.1.0.7.0 --startMP 204:1062 --initTime 2016-09-08T15:00:57 --startdatetime 2016-09-08T15:21:25 --delay 1 --endMP 300:58871 --enddatetime 2016-09-08T15:39:02 --enforcementcount 0 &gt;&gt;C:\Users\stu\Documents\GitHub\eaglep3-reporting\EC\2016-09-08-refined-times.txt</v>
      </c>
      <c r="AI182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{"issue":{"subject":"","project_id":79,"tracker_id":40,"status_id":1,"priority_id":2,"assigned_to_id":23,"start_date":"2016-09-08","description":"","custom_fields":[{"id":1,"name":"Subdivision","value":"NW"},{"id":4,"name":"Milepost","value":"5.7809"},{"id":17,"name":"Train ID","value":"825-08"},{"id":16,"name":"Locomotive ID","value":"4002"},{"id":130,"name":"Impact","value":""},{"id":150,"name":"Time of Event (Mountain Time)","value":"15:39:02"},{"id":151,"name":"Denver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486</v>
      </c>
      <c r="B183" s="7">
        <v>4001</v>
      </c>
      <c r="C183" s="24" t="s">
        <v>109</v>
      </c>
      <c r="D183" s="24" t="s">
        <v>685</v>
      </c>
      <c r="E183" s="15">
        <v>42621.653587962966</v>
      </c>
      <c r="F183" s="15">
        <v>42621.65483796296</v>
      </c>
      <c r="G183" s="7">
        <v>1</v>
      </c>
      <c r="H183" s="15" t="s">
        <v>686</v>
      </c>
      <c r="I183" s="15">
        <v>42621.666724537034</v>
      </c>
      <c r="J183" s="7">
        <v>0</v>
      </c>
      <c r="K183" s="122" t="str">
        <f t="shared" si="72"/>
        <v>4001/4002</v>
      </c>
      <c r="L183" s="24" t="str">
        <f>VLOOKUP(A183,'Trips&amp;Operators'!$C$1:$E$10000,3,FALSE)</f>
        <v>COOPER</v>
      </c>
      <c r="M183" s="6">
        <f t="shared" si="76"/>
        <v>1.1886574073287193E-2</v>
      </c>
      <c r="N183" s="7">
        <f t="shared" si="77"/>
        <v>17.116666665533558</v>
      </c>
      <c r="O183" s="7"/>
      <c r="P183" s="7"/>
      <c r="Q183" s="25"/>
      <c r="R183" s="25"/>
      <c r="S183" s="37">
        <f t="shared" si="78"/>
        <v>1</v>
      </c>
      <c r="T183" s="52" t="str">
        <f t="shared" si="73"/>
        <v>Southbound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14:41:10-0600',mode:absolute,to:'2016-09-08 17:00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83" s="54" t="str">
        <f t="shared" si="80"/>
        <v>N</v>
      </c>
      <c r="X183" s="172">
        <f t="shared" si="88"/>
        <v>1</v>
      </c>
      <c r="Y183" s="69">
        <f t="shared" si="81"/>
        <v>5.8551000000000002</v>
      </c>
      <c r="Z183" s="69">
        <f t="shared" si="82"/>
        <v>7.4800000000000005E-2</v>
      </c>
      <c r="AA183" s="69">
        <f t="shared" si="89"/>
        <v>5.7803000000000004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si="74"/>
        <v>0826-08</v>
      </c>
      <c r="AE183" s="99" t="str">
        <f t="shared" si="84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83" s="96" t="str">
        <f t="shared" si="85"/>
        <v>"C:\Program Files (x86)\AstroGrep\AstroGrep.exe" /spath="%USERPROFILE%\AppData\Local\Temp\OnboardLogs" /stypes="*4001*20160908*" /stext=" 22:.+((SYSTEM_STATE.+slice.+state.+changed )|(ment ac)|(system.+state.+changed )|(\|lc)|(penalty)|(\[timeout)|(PRM\|1\|D)|(kpr)|(kdp))" /e /r /s</v>
      </c>
      <c r="AG183" s="1" t="str">
        <f t="shared" si="75"/>
        <v>NW</v>
      </c>
      <c r="AH183" s="100" t="str">
        <f t="shared" si="86"/>
        <v>"%USERPROFILE%\Documents\GitHub\eaglep3\Utilities\RefineRTDCRunTimes.py" --tripid 826-08 --locoid 4001 --swversion DE.1.0.7.0 --startMP 300:58551 --initTime 2016-09-08T15:41:10 --startdatetime 2016-09-08T15:42:58 --delay 1 --endMP 204:748 --enddatetime 2016-09-08T16:00:05 --enforcementcount 0 &gt;&gt;C:\Users\stu\Documents\GitHub\eaglep3-reporting\EC\2016-09-08-refined-times.txt</v>
      </c>
      <c r="AI183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{"issue":{"subject":"","project_id":79,"tracker_id":40,"status_id":1,"priority_id":2,"assigned_to_id":23,"start_date":"2016-09-08","description":"","custom_fields":[{"id":1,"name":"Subdivision","value":"NW"},{"id":4,"name":"Milepost","value":"5.7803"},{"id":17,"name":"Train ID","value":"826-08"},{"id":16,"name":"Locomotive ID","value":"4001"},{"id":130,"name":"Impact","value":""},{"id":150,"name":"Time of Event (Mountain Time)","value":"16:00:05"},{"id":151,"name":"Denver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687</v>
      </c>
      <c r="B184" s="7">
        <v>4038</v>
      </c>
      <c r="C184" s="24" t="s">
        <v>109</v>
      </c>
      <c r="D184" s="24" t="s">
        <v>688</v>
      </c>
      <c r="E184" s="15">
        <v>42621.653182870374</v>
      </c>
      <c r="F184" s="15">
        <v>42621.661111111112</v>
      </c>
      <c r="G184" s="7">
        <v>3</v>
      </c>
      <c r="H184" s="15" t="s">
        <v>689</v>
      </c>
      <c r="I184" s="15">
        <v>42621.671018518522</v>
      </c>
      <c r="J184" s="7">
        <v>0</v>
      </c>
      <c r="K184" s="122" t="str">
        <f t="shared" si="72"/>
        <v>4037/4038</v>
      </c>
      <c r="L184" s="24" t="str">
        <f>VLOOKUP(A184,'Trips&amp;Operators'!$C$1:$E$10000,3,FALSE)</f>
        <v>HOMIK</v>
      </c>
      <c r="M184" s="6">
        <f t="shared" si="76"/>
        <v>9.9074074096279219E-3</v>
      </c>
      <c r="N184" s="7">
        <f t="shared" si="77"/>
        <v>14.266666669864208</v>
      </c>
      <c r="O184" s="7"/>
      <c r="P184" s="7"/>
      <c r="Q184" s="25"/>
      <c r="R184" s="25"/>
      <c r="S184" s="37">
        <f t="shared" si="78"/>
        <v>1</v>
      </c>
      <c r="T184" s="52" t="str">
        <f t="shared" si="73"/>
        <v>NorthBound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https://search-rtdc-monitor-bjffxe2xuh6vdkpspy63sjmuny.us-east-1.es.amazonaws.com/_plugin/kibana/#/discover/Steve-Slow-Train-Analysis-(2080s-and-2083s)?_g=(refreshInterval:(display:Off,section:0,value:0),time:(from:'2016-09-08 14:40:35-0600',mode:absolute,to:'2016-09-08 17:06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84" s="54" t="str">
        <f t="shared" si="80"/>
        <v>N</v>
      </c>
      <c r="X184" s="172">
        <f t="shared" ref="X184:X191" si="90">VALUE(LEFT(AD184,4))-VALUE(LEFT(AD183,4))</f>
        <v>1</v>
      </c>
      <c r="Y184" s="69">
        <f t="shared" si="81"/>
        <v>0.10349999999999999</v>
      </c>
      <c r="Z184" s="69">
        <f t="shared" si="82"/>
        <v>5.8887999999999998</v>
      </c>
      <c r="AA184" s="69">
        <f t="shared" si="89"/>
        <v>5.7852999999999994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74"/>
        <v>0827-08</v>
      </c>
      <c r="AE184" s="99" t="str">
        <f t="shared" si="84"/>
        <v>aws s3 cp s3://rtdc.mdm.uploadarchive/RTDC4038/2016-09-08/ "%USERPROFILE%\AppData\Local\Temp\OnboardLogs"\RTDC4038\2016-09-08 --recursive &amp; "%USERPROFILE%\Documents\GitHub\mrs-test-scripts\Headless Mode &amp; Sideloading\WalkAndUnGZ.bat" "%USERPROFILE%\AppData\Local\Temp\OnboardLogs"\RTDC4038\2016-09-08 &amp; 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</v>
      </c>
      <c r="AF184" s="96" t="str">
        <f t="shared" si="85"/>
        <v>"C:\Program Files (x86)\AstroGrep\AstroGrep.exe" /spath="%USERPROFILE%\AppData\Local\Temp\OnboardLogs" /stypes="*4038*20160908*" /stext=" 22:.+((SYSTEM_STATE.+slice.+state.+changed )|(ment ac)|(system.+state.+changed )|(\|lc)|(penalty)|(\[timeout)|(PRM\|1\|D)|(kpr)|(kdp))" /e /r /s</v>
      </c>
      <c r="AG184" s="1" t="str">
        <f t="shared" si="75"/>
        <v>NW</v>
      </c>
      <c r="AH184" s="100" t="str">
        <f t="shared" si="86"/>
        <v>"%USERPROFILE%\Documents\GitHub\eaglep3\Utilities\RefineRTDCRunTimes.py" --tripid 827-08 --locoid 4038 --swversion DE.1.0.7.0 --startMP 204:1035 --initTime 2016-09-08T15:40:35 --startdatetime 2016-09-08T15:52:00 --delay 3 --endMP 300:58888 --enddatetime 2016-09-08T16:06:16 --enforcementcount 0 &gt;&gt;C:\Users\stu\Documents\GitHub\eaglep3-reporting\EC\2016-09-08-refined-times.txt</v>
      </c>
      <c r="AI184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{"issue":{"subject":"","project_id":79,"tracker_id":40,"status_id":1,"priority_id":2,"assigned_to_id":23,"start_date":"2016-09-08","description":"","custom_fields":[{"id":1,"name":"Subdivision","value":"NW"},{"id":4,"name":"Milepost","value":"5.7853"},{"id":17,"name":"Train ID","value":"827-08"},{"id":16,"name":"Locomotive ID","value":"4038"},{"id":130,"name":"Impact","value":""},{"id":150,"name":"Time of Event (Mountain Time)","value":"16:06:16"},{"id":151,"name":"Denver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s="23" customFormat="1" x14ac:dyDescent="0.25">
      <c r="A185" s="39" t="s">
        <v>763</v>
      </c>
      <c r="B185" s="7">
        <v>4037</v>
      </c>
      <c r="C185" s="24"/>
      <c r="D185" s="24"/>
      <c r="E185" s="15"/>
      <c r="F185" s="15"/>
      <c r="G185" s="7"/>
      <c r="H185" s="15"/>
      <c r="I185" s="15"/>
      <c r="J185" s="7"/>
      <c r="K185" s="122" t="str">
        <f t="shared" si="72"/>
        <v>4037/4038</v>
      </c>
      <c r="L185" s="24"/>
      <c r="M185" s="6"/>
      <c r="N185" s="7"/>
      <c r="O185" s="7"/>
      <c r="P185" s="7">
        <v>1</v>
      </c>
      <c r="Q185" s="25"/>
      <c r="R185" s="25" t="s">
        <v>761</v>
      </c>
      <c r="S185" s="37"/>
      <c r="T185" s="52" t="str">
        <f t="shared" si="73"/>
        <v>Southbound</v>
      </c>
      <c r="U185" s="167"/>
      <c r="V185" s="106"/>
      <c r="W185" s="54"/>
      <c r="X185" s="172">
        <f t="shared" si="90"/>
        <v>1</v>
      </c>
      <c r="Y185" s="69"/>
      <c r="Z185" s="69"/>
      <c r="AA185" s="69"/>
      <c r="AB185" s="66"/>
      <c r="AC185" s="62"/>
      <c r="AD185" s="63" t="str">
        <f t="shared" si="74"/>
        <v>0828-08</v>
      </c>
      <c r="AE185" s="99"/>
      <c r="AF185" s="96" t="str">
        <f t="shared" si="85"/>
        <v>"C:\Program Files (x86)\AstroGrep\AstroGrep.exe" /spath="%USERPROFILE%\AppData\Local\Temp\OnboardLogs" /stypes="*4037*19000100*" /stext=" 06:.+((SYSTEM_STATE.+slice.+state.+changed )|(ment ac)|(system.+state.+changed )|(\|lc)|(penalty)|(\[timeout)|(PRM\|1\|D)|(kpr)|(kdp))" /e /r /s</v>
      </c>
      <c r="AG185" s="1" t="str">
        <f t="shared" si="75"/>
        <v>NW</v>
      </c>
      <c r="AH185" s="100"/>
      <c r="AI185" s="137"/>
      <c r="AJ185" s="55"/>
      <c r="AK185" s="55"/>
      <c r="AL185" s="55"/>
    </row>
    <row r="186" spans="1:38" x14ac:dyDescent="0.25">
      <c r="A186" s="39" t="s">
        <v>690</v>
      </c>
      <c r="B186" s="7">
        <v>4002</v>
      </c>
      <c r="C186" s="24" t="s">
        <v>109</v>
      </c>
      <c r="D186" s="24" t="s">
        <v>691</v>
      </c>
      <c r="E186" s="15">
        <v>42621.673391203702</v>
      </c>
      <c r="F186" s="15">
        <v>42621.681631944448</v>
      </c>
      <c r="G186" s="7">
        <v>1</v>
      </c>
      <c r="H186" s="15" t="s">
        <v>692</v>
      </c>
      <c r="I186" s="15">
        <v>42621.693495370368</v>
      </c>
      <c r="J186" s="7">
        <v>0</v>
      </c>
      <c r="K186" s="122" t="str">
        <f t="shared" si="72"/>
        <v>4001/4002</v>
      </c>
      <c r="L186" s="24" t="str">
        <f>VLOOKUP(A186,'Trips&amp;Operators'!$C$1:$E$10000,3,FALSE)</f>
        <v>COOPER</v>
      </c>
      <c r="M186" s="6">
        <f>I186-F186</f>
        <v>1.1863425919727888E-2</v>
      </c>
      <c r="N186" s="7">
        <f>24*60*SUM($M186:$M186)</f>
        <v>17.083333324408159</v>
      </c>
      <c r="O186" s="7"/>
      <c r="P186" s="7"/>
      <c r="Q186" s="25"/>
      <c r="R186" s="25"/>
      <c r="S186" s="37">
        <f>SUM(U186:U186)/IF(AG186="EC",12,1)</f>
        <v>1</v>
      </c>
      <c r="T186" s="52" t="str">
        <f t="shared" si="73"/>
        <v>NorthBound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>"https://search-rtdc-monitor-bjffxe2xuh6vdkpspy63sjmuny.us-east-1.es.amazonaws.com/_plugin/kibana/#/discover/Steve-Slow-Train-Analysis-(2080s-and-2083s)?_g=(refreshInterval:(display:Off,section:0,value:0),time:(from:'"&amp;TEXT(E186-1/24,"yyyy-MM-DD hh:mm:ss")&amp;"-0600',mode:absolute,to:'"&amp;TEXT(I186+1/24,"yyyy-MM-DD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186&amp;"%22')),sort:!(Time,asc))"</f>
        <v>https://search-rtdc-monitor-bjffxe2xuh6vdkpspy63sjmuny.us-east-1.es.amazonaws.com/_plugin/kibana/#/discover/Steve-Slow-Train-Analysis-(2080s-and-2083s)?_g=(refreshInterval:(display:Off,section:0,value:0),time:(from:'2016-09-08 15:09:41-0600',mode:absolute,to:'2016-09-08 17:38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86" s="54" t="str">
        <f>IF(AA186&lt;IF(AG186="EC",23,5.65),"Y","N")</f>
        <v>N</v>
      </c>
      <c r="X186" s="172">
        <f t="shared" si="90"/>
        <v>1</v>
      </c>
      <c r="Y186" s="69">
        <f>RIGHT(D186,LEN(D186)-4)/10000</f>
        <v>0.1056</v>
      </c>
      <c r="Z186" s="69">
        <f>RIGHT(H186,LEN(H186)-4)/10000</f>
        <v>5.8959999999999999</v>
      </c>
      <c r="AA186" s="69">
        <f>ABS(Z186-Y186)</f>
        <v>5.7904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74"/>
        <v>0829-08</v>
      </c>
      <c r="AE186" s="99" t="str">
        <f>"aws s3 cp "&amp;s3_bucket&amp;"/RTDC"&amp;B186&amp;"/"&amp;TEXT(F186,"YYYY-MM-DD")&amp;"/ "&amp;search_path&amp;"\RTDC"&amp;B186&amp;"\"&amp;TEXT(F186,"YYYY-MM-DD")&amp;" --recursive &amp; """&amp;walkandungz&amp;""" "&amp;search_path&amp;"\RTDC"&amp;B186&amp;"\"&amp;TEXT(F186,"YYYY-MM-DD")
&amp;" &amp; "&amp;"aws s3 cp "&amp;s3_bucket&amp;"/RTDC"&amp;B186&amp;"/"&amp;TEXT(F186+1,"YYYY-MM-DD")&amp;"/ "&amp;search_path&amp;"\RTDC"&amp;B186&amp;"\"&amp;TEXT(F186+1,"YYYY-MM-DD")&amp;" --recursive &amp; """&amp;walkandungz&amp;""" "&amp;search_path&amp;"\RTDC"&amp;B186&amp;"\"&amp;TEXT(F186+1,"YYYY-MM-DD")</f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86" s="96" t="str">
        <f>astrogrep_path&amp;" /spath="&amp;search_path&amp;" /stypes=""*"&amp;B186&amp;"*"&amp;TEXT(I186-utc_offset/24,"YYYYMMDD")&amp;"*"" /stext="" "&amp;TEXT(I186-utc_offset/24,"HH")&amp;search_regexp&amp;""" /e /r /s"</f>
        <v>"C:\Program Files (x86)\AstroGrep\AstroGrep.exe" /spath="%USERPROFILE%\AppData\Local\Temp\OnboardLogs" /stypes="*4002*20160908*" /stext=" 22:.+((SYSTEM_STATE.+slice.+state.+changed )|(ment ac)|(system.+state.+changed )|(\|lc)|(penalty)|(\[timeout)|(PRM\|1\|D)|(kpr)|(kdp))" /e /r /s</v>
      </c>
      <c r="AG186" s="1" t="str">
        <f t="shared" si="75"/>
        <v>NW</v>
      </c>
      <c r="AH186" s="100" t="str">
        <f t="shared" si="86"/>
        <v>"%USERPROFILE%\Documents\GitHub\eaglep3\Utilities\RefineRTDCRunTimes.py" --tripid 829-08 --locoid 4002 --swversion DE.1.0.7.0 --startMP 204:1056 --initTime 2016-09-08T16:09:41 --startdatetime 2016-09-08T16:21:33 --delay 1 --endMP 300:58960 --enddatetime 2016-09-08T16:38:38 --enforcementcount 0 &gt;&gt;C:\Users\stu\Documents\GitHub\eaglep3-reporting\EC\2016-09-08-refined-times.txt</v>
      </c>
      <c r="AI186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{"issue":{"subject":"","project_id":79,"tracker_id":40,"status_id":1,"priority_id":2,"assigned_to_id":23,"start_date":"2016-09-08","description":"","custom_fields":[{"id":1,"name":"Subdivision","value":"NW"},{"id":4,"name":"Milepost","value":"5.7904"},{"id":17,"name":"Train ID","value":"829-08"},{"id":16,"name":"Locomotive ID","value":"4002"},{"id":130,"name":"Impact","value":""},{"id":150,"name":"Time of Event (Mountain Time)","value":"16:38:38"},{"id":151,"name":"Denver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491</v>
      </c>
      <c r="B187" s="7">
        <v>4001</v>
      </c>
      <c r="C187" s="24" t="s">
        <v>109</v>
      </c>
      <c r="D187" s="24" t="s">
        <v>693</v>
      </c>
      <c r="E187" s="15">
        <v>42621.6950462963</v>
      </c>
      <c r="F187" s="15">
        <v>42621.696250000001</v>
      </c>
      <c r="G187" s="7">
        <v>1</v>
      </c>
      <c r="H187" s="15" t="s">
        <v>694</v>
      </c>
      <c r="I187" s="15">
        <v>42621.706736111111</v>
      </c>
      <c r="J187" s="7">
        <v>0</v>
      </c>
      <c r="K187" s="122" t="str">
        <f t="shared" si="72"/>
        <v>4001/4002</v>
      </c>
      <c r="L187" s="24" t="str">
        <f>VLOOKUP(A187,'Trips&amp;Operators'!$C$1:$E$10000,3,FALSE)</f>
        <v>COOPER</v>
      </c>
      <c r="M187" s="6">
        <f>I187-F187</f>
        <v>1.0486111110367347E-2</v>
      </c>
      <c r="N187" s="7">
        <f>24*60*SUM($M187:$M187)</f>
        <v>15.099999998928979</v>
      </c>
      <c r="O187" s="7"/>
      <c r="P187" s="7"/>
      <c r="Q187" s="25"/>
      <c r="R187" s="25"/>
      <c r="S187" s="37">
        <f>SUM(U187:U187)/IF(AG187="EC",12,1)</f>
        <v>1</v>
      </c>
      <c r="T187" s="52" t="str">
        <f t="shared" si="73"/>
        <v>Southbound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>"https://search-rtdc-monitor-bjffxe2xuh6vdkpspy63sjmuny.us-east-1.es.amazonaws.com/_plugin/kibana/#/discover/Steve-Slow-Train-Analysis-(2080s-and-2083s)?_g=(refreshInterval:(display:Off,section:0,value:0),time:(from:'"&amp;TEXT(E187-1/24,"yyyy-MM-DD hh:mm:ss")&amp;"-0600',mode:absolute,to:'"&amp;TEXT(I187+1/24,"yyyy-MM-DD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187&amp;"%22')),sort:!(Time,asc))"</f>
        <v>https://search-rtdc-monitor-bjffxe2xuh6vdkpspy63sjmuny.us-east-1.es.amazonaws.com/_plugin/kibana/#/discover/Steve-Slow-Train-Analysis-(2080s-and-2083s)?_g=(refreshInterval:(display:Off,section:0,value:0),time:(from:'2016-09-08 15:40:52-0600',mode:absolute,to:'2016-09-08 17:57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87" s="54" t="str">
        <f>IF(AA187&lt;IF(AG187="EC",23,5.65),"Y","N")</f>
        <v>N</v>
      </c>
      <c r="X187" s="172">
        <f t="shared" si="90"/>
        <v>1</v>
      </c>
      <c r="Y187" s="69">
        <f>RIGHT(D187,LEN(D187)-4)/10000</f>
        <v>5.8640999999999996</v>
      </c>
      <c r="Z187" s="69">
        <f>RIGHT(H187,LEN(H187)-4)/10000</f>
        <v>8.5699999999999998E-2</v>
      </c>
      <c r="AA187" s="69">
        <f>ABS(Z187-Y187)</f>
        <v>5.7783999999999995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74"/>
        <v>0830-08</v>
      </c>
      <c r="AE187" s="99" t="str">
        <f>"aws s3 cp "&amp;s3_bucket&amp;"/RTDC"&amp;B187&amp;"/"&amp;TEXT(F187,"YYYY-MM-DD")&amp;"/ "&amp;search_path&amp;"\RTDC"&amp;B187&amp;"\"&amp;TEXT(F187,"YYYY-MM-DD")&amp;" --recursive &amp; """&amp;walkandungz&amp;""" "&amp;search_path&amp;"\RTDC"&amp;B187&amp;"\"&amp;TEXT(F187,"YYYY-MM-DD")
&amp;" &amp; "&amp;"aws s3 cp "&amp;s3_bucket&amp;"/RTDC"&amp;B187&amp;"/"&amp;TEXT(F187+1,"YYYY-MM-DD")&amp;"/ "&amp;search_path&amp;"\RTDC"&amp;B187&amp;"\"&amp;TEXT(F187+1,"YYYY-MM-DD")&amp;" --recursive &amp; """&amp;walkandungz&amp;""" "&amp;search_path&amp;"\RTDC"&amp;B187&amp;"\"&amp;TEXT(F187+1,"YYYY-MM-DD")</f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87" s="96" t="str">
        <f>astrogrep_path&amp;" /spath="&amp;search_path&amp;" /stypes=""*"&amp;B187&amp;"*"&amp;TEXT(I187-utc_offset/24,"YYYYMMDD")&amp;"*"" /stext="" "&amp;TEXT(I187-utc_offset/24,"HH")&amp;search_regexp&amp;""" /e /r /s"</f>
        <v>"C:\Program Files (x86)\AstroGrep\AstroGrep.exe" /spath="%USERPROFILE%\AppData\Local\Temp\OnboardLogs" /stypes="*4001*20160908*" /stext=" 22:.+((SYSTEM_STATE.+slice.+state.+changed )|(ment ac)|(system.+state.+changed )|(\|lc)|(penalty)|(\[timeout)|(PRM\|1\|D)|(kpr)|(kdp))" /e /r /s</v>
      </c>
      <c r="AG187" s="1" t="str">
        <f t="shared" si="75"/>
        <v>NW</v>
      </c>
      <c r="AH187" s="100" t="str">
        <f t="shared" si="86"/>
        <v>"%USERPROFILE%\Documents\GitHub\eaglep3\Utilities\RefineRTDCRunTimes.py" --tripid 830-08 --locoid 4001 --swversion DE.1.0.7.0 --startMP 300:58641 --initTime 2016-09-08T16:40:52 --startdatetime 2016-09-08T16:42:36 --delay 1 --endMP 204:857 --enddatetime 2016-09-08T16:57:42 --enforcementcount 0 &gt;&gt;C:\Users\stu\Documents\GitHub\eaglep3-reporting\EC\2016-09-08-refined-times.txt</v>
      </c>
      <c r="AI187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{"issue":{"subject":"","project_id":79,"tracker_id":40,"status_id":1,"priority_id":2,"assigned_to_id":23,"start_date":"2016-09-08","description":"","custom_fields":[{"id":1,"name":"Subdivision","value":"NW"},{"id":4,"name":"Milepost","value":"5.7784"},{"id":17,"name":"Train ID","value":"830-08"},{"id":16,"name":"Locomotive ID","value":"4001"},{"id":130,"name":"Impact","value":""},{"id":150,"name":"Time of Event (Mountain Time)","value":"16:57:42"},{"id":151,"name":"Denver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695</v>
      </c>
      <c r="B188" s="7">
        <v>4038</v>
      </c>
      <c r="C188" s="24" t="s">
        <v>109</v>
      </c>
      <c r="D188" s="24" t="s">
        <v>696</v>
      </c>
      <c r="E188" s="15">
        <v>42621.688935185186</v>
      </c>
      <c r="F188" s="15">
        <v>42621.702372685184</v>
      </c>
      <c r="G188" s="7">
        <v>1</v>
      </c>
      <c r="H188" s="15" t="s">
        <v>697</v>
      </c>
      <c r="I188" s="15">
        <v>42621.71297453704</v>
      </c>
      <c r="J188" s="7">
        <v>0</v>
      </c>
      <c r="K188" s="122" t="str">
        <f t="shared" si="72"/>
        <v>4037/4038</v>
      </c>
      <c r="L188" s="24" t="str">
        <f>VLOOKUP(A188,'Trips&amp;Operators'!$C$1:$E$10000,3,FALSE)</f>
        <v>HOMIK</v>
      </c>
      <c r="M188" s="6">
        <f>I188-F188</f>
        <v>1.0601851856335998E-2</v>
      </c>
      <c r="N188" s="7">
        <f>24*60*SUM($M188:$M188)</f>
        <v>15.266666673123837</v>
      </c>
      <c r="O188" s="7"/>
      <c r="P188" s="7"/>
      <c r="Q188" s="25"/>
      <c r="R188" s="25"/>
      <c r="S188" s="37">
        <f>SUM(U188:U188)/IF(AG188="EC",12,1)</f>
        <v>1</v>
      </c>
      <c r="T188" s="52" t="str">
        <f t="shared" si="73"/>
        <v>NorthBound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>"https://search-rtdc-monitor-bjffxe2xuh6vdkpspy63sjmuny.us-east-1.es.amazonaws.com/_plugin/kibana/#/discover/Steve-Slow-Train-Analysis-(2080s-and-2083s)?_g=(refreshInterval:(display:Off,section:0,value:0),time:(from:'"&amp;TEXT(E188-1/24,"yyyy-MM-DD hh:mm:ss")&amp;"-0600',mode:absolute,to:'"&amp;TEXT(I188+1/24,"yyyy-MM-DD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188&amp;"%22')),sort:!(Time,asc))"</f>
        <v>https://search-rtdc-monitor-bjffxe2xuh6vdkpspy63sjmuny.us-east-1.es.amazonaws.com/_plugin/kibana/#/discover/Steve-Slow-Train-Analysis-(2080s-and-2083s)?_g=(refreshInterval:(display:Off,section:0,value:0),time:(from:'2016-09-08 15:32:04-0600',mode:absolute,to:'2016-09-08 18:06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88" s="54" t="str">
        <f>IF(AA188&lt;IF(AG188="EC",23,5.65),"Y","N")</f>
        <v>N</v>
      </c>
      <c r="X188" s="172">
        <f t="shared" si="90"/>
        <v>1</v>
      </c>
      <c r="Y188" s="69">
        <f>RIGHT(D188,LEN(D188)-4)/10000</f>
        <v>0.1065</v>
      </c>
      <c r="Z188" s="69">
        <f>RIGHT(H188,LEN(H188)-4)/10000</f>
        <v>5.8897000000000004</v>
      </c>
      <c r="AA188" s="69">
        <f>ABS(Z188-Y188)</f>
        <v>5.7832000000000008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74"/>
        <v>0831-08</v>
      </c>
      <c r="AE188" s="99" t="str">
        <f>"aws s3 cp "&amp;s3_bucket&amp;"/RTDC"&amp;B188&amp;"/"&amp;TEXT(F188,"YYYY-MM-DD")&amp;"/ "&amp;search_path&amp;"\RTDC"&amp;B188&amp;"\"&amp;TEXT(F188,"YYYY-MM-DD")&amp;" --recursive &amp; """&amp;walkandungz&amp;""" "&amp;search_path&amp;"\RTDC"&amp;B188&amp;"\"&amp;TEXT(F188,"YYYY-MM-DD")
&amp;" &amp; "&amp;"aws s3 cp "&amp;s3_bucket&amp;"/RTDC"&amp;B188&amp;"/"&amp;TEXT(F188+1,"YYYY-MM-DD")&amp;"/ "&amp;search_path&amp;"\RTDC"&amp;B188&amp;"\"&amp;TEXT(F188+1,"YYYY-MM-DD")&amp;" --recursive &amp; """&amp;walkandungz&amp;""" "&amp;search_path&amp;"\RTDC"&amp;B188&amp;"\"&amp;TEXT(F188+1,"YYYY-MM-DD")</f>
        <v>aws s3 cp s3://rtdc.mdm.uploadarchive/RTDC4038/2016-09-08/ "%USERPROFILE%\AppData\Local\Temp\OnboardLogs"\RTDC4038\2016-09-08 --recursive &amp; "%USERPROFILE%\Documents\GitHub\mrs-test-scripts\Headless Mode &amp; Sideloading\WalkAndUnGZ.bat" "%USERPROFILE%\AppData\Local\Temp\OnboardLogs"\RTDC4038\2016-09-08 &amp; 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</v>
      </c>
      <c r="AF188" s="96" t="str">
        <f>astrogrep_path&amp;" /spath="&amp;search_path&amp;" /stypes=""*"&amp;B188&amp;"*"&amp;TEXT(I188-utc_offset/24,"YYYYMMDD")&amp;"*"" /stext="" "&amp;TEXT(I188-utc_offset/24,"HH")&amp;search_regexp&amp;""" /e /r /s"</f>
        <v>"C:\Program Files (x86)\AstroGrep\AstroGrep.exe" /spath="%USERPROFILE%\AppData\Local\Temp\OnboardLogs" /stypes="*4038*20160908*" /stext=" 23:.+((SYSTEM_STATE.+slice.+state.+changed )|(ment ac)|(system.+state.+changed )|(\|lc)|(penalty)|(\[timeout)|(PRM\|1\|D)|(kpr)|(kdp))" /e /r /s</v>
      </c>
      <c r="AG188" s="1" t="str">
        <f t="shared" si="75"/>
        <v>NW</v>
      </c>
      <c r="AH188" s="100" t="str">
        <f t="shared" si="86"/>
        <v>"%USERPROFILE%\Documents\GitHub\eaglep3\Utilities\RefineRTDCRunTimes.py" --tripid 831-08 --locoid 4038 --swversion DE.1.0.7.0 --startMP 204:1065 --initTime 2016-09-08T16:32:04 --startdatetime 2016-09-08T16:51:25 --delay 1 --endMP 300:58897 --enddatetime 2016-09-08T17:06:41 --enforcementcount 0 &gt;&gt;C:\Users\stu\Documents\GitHub\eaglep3-reporting\EC\2016-09-08-refined-times.txt</v>
      </c>
      <c r="AI188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{"issue":{"subject":"","project_id":79,"tracker_id":40,"status_id":1,"priority_id":2,"assigned_to_id":23,"start_date":"2016-09-08","description":"","custom_fields":[{"id":1,"name":"Subdivision","value":"NW"},{"id":4,"name":"Milepost","value":"5.7832"},{"id":17,"name":"Train ID","value":"831-08"},{"id":16,"name":"Locomotive ID","value":"4038"},{"id":130,"name":"Impact","value":""},{"id":150,"name":"Time of Event (Mountain Time)","value":"17:06:41"},{"id":151,"name":"Denver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s="23" customFormat="1" x14ac:dyDescent="0.25">
      <c r="A189" s="39" t="s">
        <v>764</v>
      </c>
      <c r="B189" s="7">
        <v>4037</v>
      </c>
      <c r="C189" s="24"/>
      <c r="D189" s="24"/>
      <c r="E189" s="15"/>
      <c r="F189" s="15"/>
      <c r="G189" s="7"/>
      <c r="H189" s="15"/>
      <c r="I189" s="15"/>
      <c r="J189" s="7"/>
      <c r="K189" s="122" t="str">
        <f t="shared" si="72"/>
        <v>4037/4038</v>
      </c>
      <c r="L189" s="24"/>
      <c r="M189" s="6"/>
      <c r="N189" s="7"/>
      <c r="O189" s="7"/>
      <c r="P189" s="7">
        <v>1</v>
      </c>
      <c r="Q189" s="25"/>
      <c r="R189" s="25" t="s">
        <v>761</v>
      </c>
      <c r="S189" s="37"/>
      <c r="T189" s="52" t="str">
        <f t="shared" si="73"/>
        <v>Southbound</v>
      </c>
      <c r="U189" s="167"/>
      <c r="V189" s="106"/>
      <c r="W189" s="54"/>
      <c r="X189" s="172">
        <f t="shared" si="90"/>
        <v>1</v>
      </c>
      <c r="Y189" s="69"/>
      <c r="Z189" s="69"/>
      <c r="AA189" s="69"/>
      <c r="AB189" s="66"/>
      <c r="AC189" s="62"/>
      <c r="AD189" s="63" t="str">
        <f t="shared" si="74"/>
        <v>0832-08</v>
      </c>
      <c r="AE189" s="99"/>
      <c r="AF189" s="96" t="str">
        <f>astrogrep_path&amp;" /spath="&amp;search_path&amp;" /stypes=""*"&amp;B189&amp;"*"&amp;TEXT(I189-utc_offset/24,"YYYYMMDD")&amp;"*"" /stext="" "&amp;TEXT(I189-utc_offset/24,"HH")&amp;search_regexp&amp;""" /e /r /s"</f>
        <v>"C:\Program Files (x86)\AstroGrep\AstroGrep.exe" /spath="%USERPROFILE%\AppData\Local\Temp\OnboardLogs" /stypes="*4037*19000100*" /stext=" 06:.+((SYSTEM_STATE.+slice.+state.+changed )|(ment ac)|(system.+state.+changed )|(\|lc)|(penalty)|(\[timeout)|(PRM\|1\|D)|(kpr)|(kdp))" /e /r /s</v>
      </c>
      <c r="AG189" s="1" t="str">
        <f t="shared" si="75"/>
        <v>NW</v>
      </c>
      <c r="AH189" s="100"/>
      <c r="AI189" s="137"/>
      <c r="AJ189" s="55"/>
      <c r="AK189" s="55"/>
      <c r="AL189" s="55"/>
    </row>
    <row r="190" spans="1:38" x14ac:dyDescent="0.25">
      <c r="A190" s="39" t="s">
        <v>494</v>
      </c>
      <c r="B190" s="7">
        <v>4002</v>
      </c>
      <c r="C190" s="24" t="s">
        <v>109</v>
      </c>
      <c r="D190" s="24" t="s">
        <v>698</v>
      </c>
      <c r="E190" s="15">
        <v>42621.710960648146</v>
      </c>
      <c r="F190" s="15">
        <v>42621.723402777781</v>
      </c>
      <c r="G190" s="7">
        <v>1</v>
      </c>
      <c r="H190" s="15" t="s">
        <v>699</v>
      </c>
      <c r="I190" s="15">
        <v>42621.734432870369</v>
      </c>
      <c r="J190" s="7">
        <v>0</v>
      </c>
      <c r="K190" s="122" t="str">
        <f t="shared" si="72"/>
        <v>4001/4002</v>
      </c>
      <c r="L190" s="24" t="str">
        <f>VLOOKUP(A190,'Trips&amp;Operators'!$C$1:$E$10000,3,FALSE)</f>
        <v>COOPER</v>
      </c>
      <c r="M190" s="6">
        <f t="shared" ref="M190:M218" si="91">I190-F190</f>
        <v>1.1030092588043772E-2</v>
      </c>
      <c r="N190" s="7">
        <f t="shared" ref="N190:N200" si="92">24*60*SUM($M190:$M190)</f>
        <v>15.883333326783031</v>
      </c>
      <c r="O190" s="7"/>
      <c r="P190" s="7"/>
      <c r="Q190" s="25"/>
      <c r="R190" s="25"/>
      <c r="S190" s="37">
        <f t="shared" ref="S190:S218" si="93">SUM(U190:U190)/IF(AG190="EC",12,1)</f>
        <v>1</v>
      </c>
      <c r="T190" s="52" t="str">
        <f t="shared" si="73"/>
        <v>NorthBound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ref="V190:V218" si="94">"https://search-rtdc-monitor-bjffxe2xuh6vdkpspy63sjmuny.us-east-1.es.amazonaws.com/_plugin/kibana/#/discover/Steve-Slow-Train-Analysis-(2080s-and-2083s)?_g=(refreshInterval:(display:Off,section:0,value:0),time:(from:'"&amp;TEXT(E190-1/24,"yyyy-MM-DD hh:mm:ss")&amp;"-0600',mode:absolute,to:'"&amp;TEXT(I190+1/24,"yyyy-MM-DD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https://search-rtdc-monitor-bjffxe2xuh6vdkpspy63sjmuny.us-east-1.es.amazonaws.com/_plugin/kibana/#/discover/Steve-Slow-Train-Analysis-(2080s-and-2083s)?_g=(refreshInterval:(display:Off,section:0,value:0),time:(from:'2016-09-08 16:03:47-0600',mode:absolute,to:'2016-09-08 18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90" s="54" t="str">
        <f t="shared" ref="W190:W218" si="95">IF(AA190&lt;IF(AG190="EC",23,5.65),"Y","N")</f>
        <v>N</v>
      </c>
      <c r="X190" s="172">
        <f t="shared" si="90"/>
        <v>1</v>
      </c>
      <c r="Y190" s="69">
        <f t="shared" ref="Y190:Y218" si="96">RIGHT(D190,LEN(D190)-4)/10000</f>
        <v>0.1149</v>
      </c>
      <c r="Z190" s="69">
        <f t="shared" ref="Z190:Z218" si="97">RIGHT(H190,LEN(H190)-4)/10000</f>
        <v>5.8940999999999999</v>
      </c>
      <c r="AA190" s="69">
        <f t="shared" ref="AA190:AA218" si="98">ABS(Z190-Y190)</f>
        <v>5.7791999999999994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74"/>
        <v>0833-08</v>
      </c>
      <c r="AE190" s="99" t="str">
        <f t="shared" ref="AE190:AE218" si="99">"aws s3 cp "&amp;s3_bucket&amp;"/RTDC"&amp;B190&amp;"/"&amp;TEXT(F190,"YYYY-MM-DD")&amp;"/ "&amp;search_path&amp;"\RTDC"&amp;B190&amp;"\"&amp;TEXT(F190,"YYYY-MM-DD")&amp;" --recursive &amp; """&amp;walkandungz&amp;""" "&amp;search_path&amp;"\RTDC"&amp;B190&amp;"\"&amp;TEXT(F190,"YYYY-MM-DD")
&amp;" &amp; "&amp;"aws s3 cp "&amp;s3_bucket&amp;"/RTDC"&amp;B190&amp;"/"&amp;TEXT(F190+1,"YYYY-MM-DD")&amp;"/ "&amp;search_path&amp;"\RTDC"&amp;B190&amp;"\"&amp;TEXT(F190+1,"YYYY-MM-DD")&amp;" --recursive &amp; """&amp;walkandungz&amp;""" "&amp;search_path&amp;"\RTDC"&amp;B190&amp;"\"&amp;TEXT(F190+1,"YYYY-MM-DD")</f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90" s="96" t="str">
        <f t="shared" ref="AF190:AF218" si="100">astrogrep_path&amp;" /spath="&amp;search_path&amp;" /stypes=""*"&amp;B190&amp;"*"&amp;TEXT(I190-utc_offset/24,"YYYYMMDD")&amp;"*"" /stext="" "&amp;TEXT(I190-utc_offset/24,"HH")&amp;search_regexp&amp;""" /e /r /s"</f>
        <v>"C:\Program Files (x86)\AstroGrep\AstroGrep.exe" /spath="%USERPROFILE%\AppData\Local\Temp\OnboardLogs" /stypes="*4002*20160908*" /stext=" 23:.+((SYSTEM_STATE.+slice.+state.+changed )|(ment ac)|(system.+state.+changed )|(\|lc)|(penalty)|(\[timeout)|(PRM\|1\|D)|(kpr)|(kdp))" /e /r /s</v>
      </c>
      <c r="AG190" s="1" t="str">
        <f t="shared" si="75"/>
        <v>NW</v>
      </c>
      <c r="AH190" s="100" t="str">
        <f t="shared" si="86"/>
        <v>"%USERPROFILE%\Documents\GitHub\eaglep3\Utilities\RefineRTDCRunTimes.py" --tripid 833-08 --locoid 4002 --swversion DE.1.0.7.0 --startMP 204:1149 --initTime 2016-09-08T17:03:47 --startdatetime 2016-09-08T17:21:42 --delay 1 --endMP 300:58941 --enddatetime 2016-09-08T17:37:35 --enforcementcount 0 &gt;&gt;C:\Users\stu\Documents\GitHub\eaglep3-reporting\EC\2016-09-08-refined-times.txt</v>
      </c>
      <c r="AI190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{"issue":{"subject":"","project_id":79,"tracker_id":40,"status_id":1,"priority_id":2,"assigned_to_id":23,"start_date":"2016-09-08","description":"","custom_fields":[{"id":1,"name":"Subdivision","value":"NW"},{"id":4,"name":"Milepost","value":"5.7792"},{"id":17,"name":"Train ID","value":"833-08"},{"id":16,"name":"Locomotive ID","value":"4002"},{"id":130,"name":"Impact","value":""},{"id":150,"name":"Time of Event (Mountain Time)","value":"17:37:35"},{"id":151,"name":"Denver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700</v>
      </c>
      <c r="B191" s="7">
        <v>4001</v>
      </c>
      <c r="C191" s="24" t="s">
        <v>109</v>
      </c>
      <c r="D191" s="24" t="s">
        <v>701</v>
      </c>
      <c r="E191" s="15">
        <v>42621.736006944448</v>
      </c>
      <c r="F191" s="15">
        <v>42621.737164351849</v>
      </c>
      <c r="G191" s="7">
        <v>1</v>
      </c>
      <c r="H191" s="15" t="s">
        <v>702</v>
      </c>
      <c r="I191" s="15">
        <v>42621.749039351853</v>
      </c>
      <c r="J191" s="7">
        <v>0</v>
      </c>
      <c r="K191" s="122" t="str">
        <f t="shared" si="72"/>
        <v>4001/4002</v>
      </c>
      <c r="L191" s="24" t="str">
        <f>VLOOKUP(A191,'Trips&amp;Operators'!$C$1:$E$10000,3,FALSE)</f>
        <v>COOPER</v>
      </c>
      <c r="M191" s="6">
        <f t="shared" si="91"/>
        <v>1.1875000003783498E-2</v>
      </c>
      <c r="N191" s="7">
        <f t="shared" si="92"/>
        <v>17.100000005448237</v>
      </c>
      <c r="O191" s="7"/>
      <c r="P191" s="7"/>
      <c r="Q191" s="25"/>
      <c r="R191" s="25"/>
      <c r="S191" s="37">
        <f t="shared" si="93"/>
        <v>1</v>
      </c>
      <c r="T191" s="52" t="str">
        <f t="shared" si="73"/>
        <v>Southbound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16:39:51-0600',mode:absolute,to:'2016-09-08 18:58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91" s="54" t="str">
        <f t="shared" si="95"/>
        <v>N</v>
      </c>
      <c r="X191" s="172">
        <f t="shared" si="90"/>
        <v>1</v>
      </c>
      <c r="Y191" s="69">
        <f t="shared" si="96"/>
        <v>5.8630000000000004</v>
      </c>
      <c r="Z191" s="69">
        <f t="shared" si="97"/>
        <v>6.3500000000000001E-2</v>
      </c>
      <c r="AA191" s="69">
        <f t="shared" si="98"/>
        <v>5.7995000000000001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74"/>
        <v>0834-08</v>
      </c>
      <c r="AE191" s="99" t="str">
        <f t="shared" si="99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91" s="96" t="str">
        <f t="shared" si="100"/>
        <v>"C:\Program Files (x86)\AstroGrep\AstroGrep.exe" /spath="%USERPROFILE%\AppData\Local\Temp\OnboardLogs" /stypes="*4001*20160908*" /stext=" 23:.+((SYSTEM_STATE.+slice.+state.+changed )|(ment ac)|(system.+state.+changed )|(\|lc)|(penalty)|(\[timeout)|(PRM\|1\|D)|(kpr)|(kdp))" /e /r /s</v>
      </c>
      <c r="AG191" s="1" t="str">
        <f t="shared" si="75"/>
        <v>NW</v>
      </c>
      <c r="AH191" s="100" t="str">
        <f t="shared" si="86"/>
        <v>"%USERPROFILE%\Documents\GitHub\eaglep3\Utilities\RefineRTDCRunTimes.py" --tripid 834-08 --locoid 4001 --swversion DE.1.0.7.0 --startMP 300:58630 --initTime 2016-09-08T17:39:51 --startdatetime 2016-09-08T17:41:31 --delay 1 --endMP 204:635 --enddatetime 2016-09-08T17:58:37 --enforcementcount 0 &gt;&gt;C:\Users\stu\Documents\GitHub\eaglep3-reporting\EC\2016-09-08-refined-times.txt</v>
      </c>
      <c r="AI191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{"issue":{"subject":"","project_id":79,"tracker_id":40,"status_id":1,"priority_id":2,"assigned_to_id":23,"start_date":"2016-09-08","description":"","custom_fields":[{"id":1,"name":"Subdivision","value":"NW"},{"id":4,"name":"Milepost","value":"5.7995"},{"id":17,"name":"Train ID","value":"834-08"},{"id":16,"name":"Locomotive ID","value":"4001"},{"id":130,"name":"Impact","value":""},{"id":150,"name":"Time of Event (Mountain Time)","value":"17:58:37"},{"id":151,"name":"Denver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703</v>
      </c>
      <c r="B192" s="7">
        <v>4038</v>
      </c>
      <c r="C192" s="24" t="s">
        <v>109</v>
      </c>
      <c r="D192" s="24" t="s">
        <v>696</v>
      </c>
      <c r="E192" s="15">
        <v>42621.731990740744</v>
      </c>
      <c r="F192" s="15">
        <v>42621.744166666664</v>
      </c>
      <c r="G192" s="7">
        <v>1</v>
      </c>
      <c r="H192" s="15" t="s">
        <v>704</v>
      </c>
      <c r="I192" s="15">
        <v>42621.754814814813</v>
      </c>
      <c r="J192" s="7">
        <v>0</v>
      </c>
      <c r="K192" s="122" t="str">
        <f t="shared" si="72"/>
        <v>4037/4038</v>
      </c>
      <c r="L192" s="24" t="str">
        <f>VLOOKUP(A192,'Trips&amp;Operators'!$C$1:$E$10000,3,FALSE)</f>
        <v>HOMIK</v>
      </c>
      <c r="M192" s="6">
        <f t="shared" si="91"/>
        <v>1.0648148148902692E-2</v>
      </c>
      <c r="N192" s="7">
        <f t="shared" si="92"/>
        <v>15.333333334419876</v>
      </c>
      <c r="O192" s="7"/>
      <c r="P192" s="7"/>
      <c r="Q192" s="25"/>
      <c r="R192" s="25"/>
      <c r="S192" s="37">
        <f t="shared" si="93"/>
        <v>1</v>
      </c>
      <c r="T192" s="52" t="str">
        <f t="shared" si="73"/>
        <v>NorthBound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16:34:04-0600',mode:absolute,to:'2016-09-08 19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92" s="54" t="str">
        <f t="shared" si="95"/>
        <v>N</v>
      </c>
      <c r="X192" s="172">
        <f t="shared" ref="X192:X198" si="101">VALUE(LEFT(AD192,4))-VALUE(LEFT(AD191,4))</f>
        <v>1</v>
      </c>
      <c r="Y192" s="69">
        <f t="shared" si="96"/>
        <v>0.1065</v>
      </c>
      <c r="Z192" s="69">
        <f t="shared" si="97"/>
        <v>5.8914</v>
      </c>
      <c r="AA192" s="69">
        <f t="shared" si="98"/>
        <v>5.7849000000000004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74"/>
        <v>0835-08</v>
      </c>
      <c r="AE192" s="99" t="str">
        <f t="shared" si="99"/>
        <v>aws s3 cp s3://rtdc.mdm.uploadarchive/RTDC4038/2016-09-08/ "%USERPROFILE%\AppData\Local\Temp\OnboardLogs"\RTDC4038\2016-09-08 --recursive &amp; "%USERPROFILE%\Documents\GitHub\mrs-test-scripts\Headless Mode &amp; Sideloading\WalkAndUnGZ.bat" "%USERPROFILE%\AppData\Local\Temp\OnboardLogs"\RTDC4038\2016-09-08 &amp; 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</v>
      </c>
      <c r="AF192" s="96" t="str">
        <f t="shared" si="100"/>
        <v>"C:\Program Files (x86)\AstroGrep\AstroGrep.exe" /spath="%USERPROFILE%\AppData\Local\Temp\OnboardLogs" /stypes="*4038*20160909*" /stext=" 00:.+((SYSTEM_STATE.+slice.+state.+changed )|(ment ac)|(system.+state.+changed )|(\|lc)|(penalty)|(\[timeout)|(PRM\|1\|D)|(kpr)|(kdp))" /e /r /s</v>
      </c>
      <c r="AG192" s="1" t="str">
        <f t="shared" si="75"/>
        <v>NW</v>
      </c>
      <c r="AH192" s="100" t="str">
        <f t="shared" si="86"/>
        <v>"%USERPROFILE%\Documents\GitHub\eaglep3\Utilities\RefineRTDCRunTimes.py" --tripid 835-08 --locoid 4038 --swversion DE.1.0.7.0 --startMP 204:1065 --initTime 2016-09-08T17:34:04 --startdatetime 2016-09-08T17:51:36 --delay 1 --endMP 300:58914 --enddatetime 2016-09-08T18:06:56 --enforcementcount 0 &gt;&gt;C:\Users\stu\Documents\GitHub\eaglep3-reporting\EC\2016-09-08-refined-times.txt</v>
      </c>
      <c r="AI192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{"issue":{"subject":"","project_id":79,"tracker_id":40,"status_id":1,"priority_id":2,"assigned_to_id":23,"start_date":"2016-09-08","description":"","custom_fields":[{"id":1,"name":"Subdivision","value":"NW"},{"id":4,"name":"Milepost","value":"5.7849"},{"id":17,"name":"Train ID","value":"835-08"},{"id":16,"name":"Locomotive ID","value":"4038"},{"id":130,"name":"Impact","value":""},{"id":150,"name":"Time of Event (Mountain Time)","value":"18:06:56"},{"id":151,"name":"Denver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705</v>
      </c>
      <c r="B193" s="7">
        <v>4037</v>
      </c>
      <c r="C193" s="24" t="s">
        <v>109</v>
      </c>
      <c r="D193" s="24" t="s">
        <v>706</v>
      </c>
      <c r="E193" s="15">
        <v>42621.756168981483</v>
      </c>
      <c r="F193" s="15">
        <v>42621.758703703701</v>
      </c>
      <c r="G193" s="7">
        <v>2</v>
      </c>
      <c r="H193" s="15" t="s">
        <v>707</v>
      </c>
      <c r="I193" s="15">
        <v>42621.768275462964</v>
      </c>
      <c r="J193" s="7">
        <v>0</v>
      </c>
      <c r="K193" s="122" t="str">
        <f t="shared" si="72"/>
        <v>4037/4038</v>
      </c>
      <c r="L193" s="24" t="str">
        <f>VLOOKUP(A193,'Trips&amp;Operators'!$C$1:$E$10000,3,FALSE)</f>
        <v>HOMIK</v>
      </c>
      <c r="M193" s="6">
        <f t="shared" si="91"/>
        <v>9.5717592630535364E-3</v>
      </c>
      <c r="N193" s="7">
        <f t="shared" si="92"/>
        <v>13.783333338797092</v>
      </c>
      <c r="O193" s="7"/>
      <c r="P193" s="7"/>
      <c r="Q193" s="25"/>
      <c r="R193" s="25"/>
      <c r="S193" s="37">
        <f t="shared" si="93"/>
        <v>1</v>
      </c>
      <c r="T193" s="52" t="str">
        <f t="shared" si="73"/>
        <v>Southbound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17:08:53-0600',mode:absolute,to:'2016-09-08 19:26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93" s="54" t="str">
        <f t="shared" si="95"/>
        <v>N</v>
      </c>
      <c r="X193" s="172">
        <f t="shared" si="101"/>
        <v>1</v>
      </c>
      <c r="Y193" s="69">
        <f t="shared" si="96"/>
        <v>5.8592000000000004</v>
      </c>
      <c r="Z193" s="69">
        <f t="shared" si="97"/>
        <v>7.8E-2</v>
      </c>
      <c r="AA193" s="69">
        <f t="shared" si="98"/>
        <v>5.7812000000000001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74"/>
        <v>0836-08</v>
      </c>
      <c r="AE193" s="99" t="str">
        <f t="shared" si="99"/>
        <v>aws s3 cp s3://rtdc.mdm.uploadarchive/RTDC4037/2016-09-08/ "%USERPROFILE%\AppData\Local\Temp\OnboardLogs"\RTDC4037\2016-09-08 --recursive &amp; "%USERPROFILE%\Documents\GitHub\mrs-test-scripts\Headless Mode &amp; Sideloading\WalkAndUnGZ.bat" "%USERPROFILE%\AppData\Local\Temp\OnboardLogs"\RTDC4037\2016-09-08 &amp; aws s3 cp s3://rtdc.mdm.uploadarchive/RTDC4037/2016-09-09/ "%USERPROFILE%\AppData\Local\Temp\OnboardLogs"\RTDC4037\2016-09-09 --recursive &amp; "%USERPROFILE%\Documents\GitHub\mrs-test-scripts\Headless Mode &amp; Sideloading\WalkAndUnGZ.bat" "%USERPROFILE%\AppData\Local\Temp\OnboardLogs"\RTDC4037\2016-09-09</v>
      </c>
      <c r="AF193" s="96" t="str">
        <f t="shared" si="100"/>
        <v>"C:\Program Files (x86)\AstroGrep\AstroGrep.exe" /spath="%USERPROFILE%\AppData\Local\Temp\OnboardLogs" /stypes="*4037*20160909*" /stext=" 00:.+((SYSTEM_STATE.+slice.+state.+changed )|(ment ac)|(system.+state.+changed )|(\|lc)|(penalty)|(\[timeout)|(PRM\|1\|D)|(kpr)|(kdp))" /e /r /s</v>
      </c>
      <c r="AG193" s="1" t="str">
        <f t="shared" si="75"/>
        <v>NW</v>
      </c>
      <c r="AH193" s="100" t="str">
        <f t="shared" si="86"/>
        <v>"%USERPROFILE%\Documents\GitHub\eaglep3\Utilities\RefineRTDCRunTimes.py" --tripid 836-08 --locoid 4037 --swversion DE.1.0.7.0 --startMP 300:58592 --initTime 2016-09-08T18:08:53 --startdatetime 2016-09-08T18:12:32 --delay 2 --endMP 204:780 --enddatetime 2016-09-08T18:26:19 --enforcementcount 0 &gt;&gt;C:\Users\stu\Documents\GitHub\eaglep3-reporting\EC\2016-09-08-refined-times.txt</v>
      </c>
      <c r="AI193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{"issue":{"subject":"","project_id":79,"tracker_id":40,"status_id":1,"priority_id":2,"assigned_to_id":23,"start_date":"2016-09-08","description":"","custom_fields":[{"id":1,"name":"Subdivision","value":"NW"},{"id":4,"name":"Milepost","value":"5.7812"},{"id":17,"name":"Train ID","value":"836-08"},{"id":16,"name":"Locomotive ID","value":"4037"},{"id":130,"name":"Impact","value":""},{"id":150,"name":"Time of Event (Mountain Time)","value":"18:26:19"},{"id":151,"name":"Denver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708</v>
      </c>
      <c r="B194" s="7">
        <v>4002</v>
      </c>
      <c r="C194" s="24" t="s">
        <v>109</v>
      </c>
      <c r="D194" s="24" t="s">
        <v>709</v>
      </c>
      <c r="E194" s="15">
        <v>42621.756909722222</v>
      </c>
      <c r="F194" s="15">
        <v>42621.764884259261</v>
      </c>
      <c r="G194" s="7">
        <v>1</v>
      </c>
      <c r="H194" s="15" t="s">
        <v>710</v>
      </c>
      <c r="I194" s="15">
        <v>42621.775011574071</v>
      </c>
      <c r="J194" s="7">
        <v>0</v>
      </c>
      <c r="K194" s="122" t="str">
        <f t="shared" si="72"/>
        <v>4001/4002</v>
      </c>
      <c r="L194" s="24" t="str">
        <f>VLOOKUP(A194,'Trips&amp;Operators'!$C$1:$E$10000,3,FALSE)</f>
        <v>COOPER</v>
      </c>
      <c r="M194" s="6">
        <f t="shared" si="91"/>
        <v>1.0127314810233656E-2</v>
      </c>
      <c r="N194" s="7">
        <f t="shared" si="92"/>
        <v>14.583333326736465</v>
      </c>
      <c r="O194" s="7"/>
      <c r="P194" s="7"/>
      <c r="Q194" s="25"/>
      <c r="R194" s="25"/>
      <c r="S194" s="37">
        <f t="shared" si="93"/>
        <v>1</v>
      </c>
      <c r="T194" s="52" t="str">
        <f t="shared" si="73"/>
        <v>NorthBound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17:09:57-0600',mode:absolute,to:'2016-09-08 19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94" s="54" t="str">
        <f t="shared" si="95"/>
        <v>N</v>
      </c>
      <c r="X194" s="172">
        <f t="shared" si="101"/>
        <v>1</v>
      </c>
      <c r="Y194" s="69">
        <f t="shared" si="96"/>
        <v>9.4399999999999998E-2</v>
      </c>
      <c r="Z194" s="69">
        <f t="shared" si="97"/>
        <v>5.8936999999999999</v>
      </c>
      <c r="AA194" s="69">
        <f t="shared" si="98"/>
        <v>5.7992999999999997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si="74"/>
        <v>0837-08</v>
      </c>
      <c r="AE194" s="99" t="str">
        <f t="shared" si="99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94" s="96" t="str">
        <f t="shared" si="100"/>
        <v>"C:\Program Files (x86)\AstroGrep\AstroGrep.exe" /spath="%USERPROFILE%\AppData\Local\Temp\OnboardLogs" /stypes="*4002*20160909*" /stext=" 00:.+((SYSTEM_STATE.+slice.+state.+changed )|(ment ac)|(system.+state.+changed )|(\|lc)|(penalty)|(\[timeout)|(PRM\|1\|D)|(kpr)|(kdp))" /e /r /s</v>
      </c>
      <c r="AG194" s="1" t="str">
        <f t="shared" si="75"/>
        <v>NW</v>
      </c>
      <c r="AH194" s="100" t="str">
        <f t="shared" si="86"/>
        <v>"%USERPROFILE%\Documents\GitHub\eaglep3\Utilities\RefineRTDCRunTimes.py" --tripid 837-08 --locoid 4002 --swversion DE.1.0.7.0 --startMP 204:944 --initTime 2016-09-08T18:09:57 --startdatetime 2016-09-08T18:21:26 --delay 1 --endMP 300:58937 --enddatetime 2016-09-08T18:36:01 --enforcementcount 0 &gt;&gt;C:\Users\stu\Documents\GitHub\eaglep3-reporting\EC\2016-09-08-refined-times.txt</v>
      </c>
      <c r="AI194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{"issue":{"subject":"","project_id":79,"tracker_id":40,"status_id":1,"priority_id":2,"assigned_to_id":23,"start_date":"2016-09-08","description":"","custom_fields":[{"id":1,"name":"Subdivision","value":"NW"},{"id":4,"name":"Milepost","value":"5.7993"},{"id":17,"name":"Train ID","value":"837-08"},{"id":16,"name":"Locomotive ID","value":"4002"},{"id":130,"name":"Impact","value":""},{"id":150,"name":"Time of Event (Mountain Time)","value":"18:36:01"},{"id":151,"name":"Denver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711</v>
      </c>
      <c r="B195" s="7">
        <v>4001</v>
      </c>
      <c r="C195" s="24" t="s">
        <v>109</v>
      </c>
      <c r="D195" s="24" t="s">
        <v>449</v>
      </c>
      <c r="E195" s="15">
        <v>42621.776655092595</v>
      </c>
      <c r="F195" s="15">
        <v>42621.777916666666</v>
      </c>
      <c r="G195" s="7">
        <v>1</v>
      </c>
      <c r="H195" s="15" t="s">
        <v>712</v>
      </c>
      <c r="I195" s="15">
        <v>42621.789131944446</v>
      </c>
      <c r="J195" s="7">
        <v>0</v>
      </c>
      <c r="K195" s="122" t="str">
        <f t="shared" si="72"/>
        <v>4001/4002</v>
      </c>
      <c r="L195" s="24" t="str">
        <f>VLOOKUP(A195,'Trips&amp;Operators'!$C$1:$E$10000,3,FALSE)</f>
        <v>COOPER</v>
      </c>
      <c r="M195" s="6">
        <f t="shared" si="91"/>
        <v>1.1215277780138422E-2</v>
      </c>
      <c r="N195" s="7">
        <f t="shared" si="92"/>
        <v>16.150000003399327</v>
      </c>
      <c r="O195" s="7"/>
      <c r="P195" s="7"/>
      <c r="Q195" s="25"/>
      <c r="R195" s="25"/>
      <c r="S195" s="37">
        <f t="shared" si="93"/>
        <v>1</v>
      </c>
      <c r="T195" s="52" t="str">
        <f t="shared" si="73"/>
        <v>Southbound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17:38:23-0600',mode:absolute,to:'2016-09-08 19:56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95" s="54" t="str">
        <f t="shared" si="95"/>
        <v>N</v>
      </c>
      <c r="X195" s="172">
        <f t="shared" si="101"/>
        <v>1</v>
      </c>
      <c r="Y195" s="69">
        <f t="shared" si="96"/>
        <v>5.8615000000000004</v>
      </c>
      <c r="Z195" s="69">
        <f t="shared" si="97"/>
        <v>6.7100000000000007E-2</v>
      </c>
      <c r="AA195" s="69">
        <f t="shared" si="98"/>
        <v>5.7944000000000004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74"/>
        <v>0838-08</v>
      </c>
      <c r="AE195" s="99" t="str">
        <f t="shared" si="99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95" s="96" t="str">
        <f t="shared" si="100"/>
        <v>"C:\Program Files (x86)\AstroGrep\AstroGrep.exe" /spath="%USERPROFILE%\AppData\Local\Temp\OnboardLogs" /stypes="*4001*20160909*" /stext=" 00:.+((SYSTEM_STATE.+slice.+state.+changed )|(ment ac)|(system.+state.+changed )|(\|lc)|(penalty)|(\[timeout)|(PRM\|1\|D)|(kpr)|(kdp))" /e /r /s</v>
      </c>
      <c r="AG195" s="1" t="str">
        <f t="shared" si="75"/>
        <v>NW</v>
      </c>
      <c r="AH195" s="100" t="str">
        <f t="shared" si="86"/>
        <v>"%USERPROFILE%\Documents\GitHub\eaglep3\Utilities\RefineRTDCRunTimes.py" --tripid 838-08 --locoid 4001 --swversion DE.1.0.7.0 --startMP 300:58615 --initTime 2016-09-08T18:38:23 --startdatetime 2016-09-08T18:40:12 --delay 1 --endMP 204:671 --enddatetime 2016-09-08T18:56:21 --enforcementcount 0 &gt;&gt;C:\Users\stu\Documents\GitHub\eaglep3-reporting\EC\2016-09-08-refined-times.txt</v>
      </c>
      <c r="AI195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{"issue":{"subject":"","project_id":79,"tracker_id":40,"status_id":1,"priority_id":2,"assigned_to_id":23,"start_date":"2016-09-08","description":"","custom_fields":[{"id":1,"name":"Subdivision","value":"NW"},{"id":4,"name":"Milepost","value":"5.7944"},{"id":17,"name":"Train ID","value":"838-08"},{"id":16,"name":"Locomotive ID","value":"4001"},{"id":130,"name":"Impact","value":""},{"id":150,"name":"Time of Event (Mountain Time)","value":"18:56:21"},{"id":151,"name":"Denver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713</v>
      </c>
      <c r="B196" s="7">
        <v>4038</v>
      </c>
      <c r="C196" s="24" t="s">
        <v>109</v>
      </c>
      <c r="D196" s="24" t="s">
        <v>714</v>
      </c>
      <c r="E196" s="15">
        <v>42621.774872685186</v>
      </c>
      <c r="F196" s="15">
        <v>42621.78570601852</v>
      </c>
      <c r="G196" s="7">
        <v>1</v>
      </c>
      <c r="H196" s="15" t="s">
        <v>715</v>
      </c>
      <c r="I196" s="15">
        <v>42621.795601851853</v>
      </c>
      <c r="J196" s="7">
        <v>0</v>
      </c>
      <c r="K196" s="122" t="str">
        <f t="shared" si="72"/>
        <v>4037/4038</v>
      </c>
      <c r="L196" s="24" t="str">
        <f>VLOOKUP(A196,'Trips&amp;Operators'!$C$1:$E$10000,3,FALSE)</f>
        <v>HOMIK</v>
      </c>
      <c r="M196" s="6">
        <f t="shared" si="91"/>
        <v>9.8958333328482695E-3</v>
      </c>
      <c r="N196" s="7">
        <f t="shared" si="92"/>
        <v>14.249999999301508</v>
      </c>
      <c r="O196" s="7"/>
      <c r="P196" s="7"/>
      <c r="Q196" s="25"/>
      <c r="R196" s="25"/>
      <c r="S196" s="37">
        <f t="shared" si="93"/>
        <v>1</v>
      </c>
      <c r="T196" s="52" t="str">
        <f t="shared" si="73"/>
        <v>NorthBound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17:35:49-0600',mode:absolute,to:'2016-09-08 20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96" s="54" t="str">
        <f t="shared" si="95"/>
        <v>N</v>
      </c>
      <c r="X196" s="172">
        <f t="shared" si="101"/>
        <v>1</v>
      </c>
      <c r="Y196" s="69">
        <f t="shared" si="96"/>
        <v>0.1074</v>
      </c>
      <c r="Z196" s="69">
        <f t="shared" si="97"/>
        <v>5.8898999999999999</v>
      </c>
      <c r="AA196" s="69">
        <f t="shared" si="98"/>
        <v>5.7824999999999998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74"/>
        <v>0839-08</v>
      </c>
      <c r="AE196" s="99" t="str">
        <f t="shared" si="99"/>
        <v>aws s3 cp s3://rtdc.mdm.uploadarchive/RTDC4038/2016-09-08/ "%USERPROFILE%\AppData\Local\Temp\OnboardLogs"\RTDC4038\2016-09-08 --recursive &amp; "%USERPROFILE%\Documents\GitHub\mrs-test-scripts\Headless Mode &amp; Sideloading\WalkAndUnGZ.bat" "%USERPROFILE%\AppData\Local\Temp\OnboardLogs"\RTDC4038\2016-09-08 &amp; 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</v>
      </c>
      <c r="AF196" s="96" t="str">
        <f t="shared" si="100"/>
        <v>"C:\Program Files (x86)\AstroGrep\AstroGrep.exe" /spath="%USERPROFILE%\AppData\Local\Temp\OnboardLogs" /stypes="*4038*20160909*" /stext=" 01:.+((SYSTEM_STATE.+slice.+state.+changed )|(ment ac)|(system.+state.+changed )|(\|lc)|(penalty)|(\[timeout)|(PRM\|1\|D)|(kpr)|(kdp))" /e /r /s</v>
      </c>
      <c r="AG196" s="1" t="str">
        <f t="shared" si="75"/>
        <v>NW</v>
      </c>
      <c r="AH196" s="100" t="str">
        <f t="shared" si="86"/>
        <v>"%USERPROFILE%\Documents\GitHub\eaglep3\Utilities\RefineRTDCRunTimes.py" --tripid 839-08 --locoid 4038 --swversion DE.1.0.7.0 --startMP 204:1074 --initTime 2016-09-08T18:35:49 --startdatetime 2016-09-08T18:51:25 --delay 1 --endMP 300:58899 --enddatetime 2016-09-08T19:05:40 --enforcementcount 0 &gt;&gt;C:\Users\stu\Documents\GitHub\eaglep3-reporting\EC\2016-09-08-refined-times.txt</v>
      </c>
      <c r="AI196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{"issue":{"subject":"","project_id":79,"tracker_id":40,"status_id":1,"priority_id":2,"assigned_to_id":23,"start_date":"2016-09-08","description":"","custom_fields":[{"id":1,"name":"Subdivision","value":"NW"},{"id":4,"name":"Milepost","value":"5.7825"},{"id":17,"name":"Train ID","value":"839-08"},{"id":16,"name":"Locomotive ID","value":"4038"},{"id":130,"name":"Impact","value":""},{"id":150,"name":"Time of Event (Mountain Time)","value":"19:05:40"},{"id":151,"name":"Denver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503</v>
      </c>
      <c r="B197" s="7">
        <v>4001</v>
      </c>
      <c r="C197" s="24" t="s">
        <v>109</v>
      </c>
      <c r="D197" s="24" t="s">
        <v>427</v>
      </c>
      <c r="E197" s="15">
        <v>42621.818831018521</v>
      </c>
      <c r="F197" s="15">
        <v>42621.820925925924</v>
      </c>
      <c r="G197" s="7">
        <v>1</v>
      </c>
      <c r="H197" s="15" t="s">
        <v>716</v>
      </c>
      <c r="I197" s="15">
        <v>42621.833321759259</v>
      </c>
      <c r="J197" s="7">
        <v>0</v>
      </c>
      <c r="K197" s="122" t="str">
        <f t="shared" si="72"/>
        <v>4001/4002</v>
      </c>
      <c r="L197" s="24" t="str">
        <f>VLOOKUP(A197,'Trips&amp;Operators'!$C$1:$E$10000,3,FALSE)</f>
        <v>COOPER</v>
      </c>
      <c r="M197" s="6">
        <f t="shared" si="91"/>
        <v>1.2395833335176576E-2</v>
      </c>
      <c r="N197" s="7">
        <f t="shared" si="92"/>
        <v>17.850000002654269</v>
      </c>
      <c r="O197" s="7"/>
      <c r="P197" s="7"/>
      <c r="Q197" s="25"/>
      <c r="R197" s="25"/>
      <c r="S197" s="37">
        <f t="shared" si="93"/>
        <v>1</v>
      </c>
      <c r="T197" s="52" t="str">
        <f t="shared" si="73"/>
        <v>Southbound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18:39:07-0600',mode:absolute,to:'2016-09-08 20:59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97" s="54" t="str">
        <f t="shared" si="95"/>
        <v>N</v>
      </c>
      <c r="X197" s="172">
        <f t="shared" si="101"/>
        <v>1</v>
      </c>
      <c r="Y197" s="69">
        <f t="shared" si="96"/>
        <v>5.8623000000000003</v>
      </c>
      <c r="Z197" s="69">
        <f t="shared" si="97"/>
        <v>7.1499999999999994E-2</v>
      </c>
      <c r="AA197" s="69">
        <f t="shared" si="98"/>
        <v>5.7907999999999999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74"/>
        <v>0840-08</v>
      </c>
      <c r="AE197" s="99" t="str">
        <f t="shared" si="99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97" s="96" t="str">
        <f t="shared" si="100"/>
        <v>"C:\Program Files (x86)\AstroGrep\AstroGrep.exe" /spath="%USERPROFILE%\AppData\Local\Temp\OnboardLogs" /stypes="*4001*20160909*" /stext=" 01:.+((SYSTEM_STATE.+slice.+state.+changed )|(ment ac)|(system.+state.+changed )|(\|lc)|(penalty)|(\[timeout)|(PRM\|1\|D)|(kpr)|(kdp))" /e /r /s</v>
      </c>
      <c r="AG197" s="1" t="str">
        <f t="shared" si="75"/>
        <v>NW</v>
      </c>
      <c r="AH197" s="100" t="str">
        <f t="shared" si="86"/>
        <v>"%USERPROFILE%\Documents\GitHub\eaglep3\Utilities\RefineRTDCRunTimes.py" --tripid 840-08 --locoid 4001 --swversion DE.1.0.7.0 --startMP 300:58623 --initTime 2016-09-08T19:39:07 --startdatetime 2016-09-08T19:42:08 --delay 1 --endMP 204:715 --enddatetime 2016-09-08T19:59:59 --enforcementcount 0 &gt;&gt;C:\Users\stu\Documents\GitHub\eaglep3-reporting\EC\2016-09-08-refined-times.txt</v>
      </c>
      <c r="AI197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{"issue":{"subject":"","project_id":79,"tracker_id":40,"status_id":1,"priority_id":2,"assigned_to_id":23,"start_date":"2016-09-08","description":"","custom_fields":[{"id":1,"name":"Subdivision","value":"NW"},{"id":4,"name":"Milepost","value":"5.7908"},{"id":17,"name":"Train ID","value":"840-08"},{"id":16,"name":"Locomotive ID","value":"4001"},{"id":130,"name":"Impact","value":""},{"id":150,"name":"Time of Event (Mountain Time)","value":"19:59:59"},{"id":151,"name":"Denver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501</v>
      </c>
      <c r="B198" s="7">
        <v>4002</v>
      </c>
      <c r="C198" s="24" t="s">
        <v>109</v>
      </c>
      <c r="D198" s="24" t="s">
        <v>717</v>
      </c>
      <c r="E198" s="15">
        <v>42621.79109953704</v>
      </c>
      <c r="F198" s="15">
        <v>42621.806701388887</v>
      </c>
      <c r="G198" s="7">
        <v>1</v>
      </c>
      <c r="H198" s="15" t="s">
        <v>699</v>
      </c>
      <c r="I198" s="15">
        <v>42621.817499999997</v>
      </c>
      <c r="J198" s="7">
        <v>0</v>
      </c>
      <c r="K198" s="122" t="str">
        <f t="shared" si="72"/>
        <v>4001/4002</v>
      </c>
      <c r="L198" s="24" t="str">
        <f>VLOOKUP(A198,'Trips&amp;Operators'!$C$1:$E$10000,3,FALSE)</f>
        <v>COOPER</v>
      </c>
      <c r="M198" s="6">
        <f t="shared" si="91"/>
        <v>1.0798611110658385E-2</v>
      </c>
      <c r="N198" s="7">
        <f t="shared" si="92"/>
        <v>15.549999999348074</v>
      </c>
      <c r="O198" s="7"/>
      <c r="P198" s="7"/>
      <c r="Q198" s="25"/>
      <c r="R198" s="25"/>
      <c r="S198" s="37">
        <f t="shared" si="93"/>
        <v>1</v>
      </c>
      <c r="T198" s="52" t="str">
        <f t="shared" si="73"/>
        <v>NorthBound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17:59:11-0600',mode:absolute,to:'2016-09-08 20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98" s="54" t="str">
        <f t="shared" si="95"/>
        <v>N</v>
      </c>
      <c r="X198" s="172">
        <f t="shared" si="101"/>
        <v>1</v>
      </c>
      <c r="Y198" s="69">
        <f t="shared" si="96"/>
        <v>9.5100000000000004E-2</v>
      </c>
      <c r="Z198" s="69">
        <f t="shared" si="97"/>
        <v>5.8940999999999999</v>
      </c>
      <c r="AA198" s="69">
        <f t="shared" si="98"/>
        <v>5.7989999999999995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74"/>
        <v>0841-08</v>
      </c>
      <c r="AE198" s="99" t="str">
        <f t="shared" si="99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198" s="96" t="str">
        <f t="shared" si="100"/>
        <v>"C:\Program Files (x86)\AstroGrep\AstroGrep.exe" /spath="%USERPROFILE%\AppData\Local\Temp\OnboardLogs" /stypes="*4002*20160909*" /stext=" 01:.+((SYSTEM_STATE.+slice.+state.+changed )|(ment ac)|(system.+state.+changed )|(\|lc)|(penalty)|(\[timeout)|(PRM\|1\|D)|(kpr)|(kdp))" /e /r /s</v>
      </c>
      <c r="AG198" s="1" t="str">
        <f t="shared" si="75"/>
        <v>NW</v>
      </c>
      <c r="AH198" s="100" t="str">
        <f t="shared" si="86"/>
        <v>"%USERPROFILE%\Documents\GitHub\eaglep3\Utilities\RefineRTDCRunTimes.py" --tripid 841-08 --locoid 4002 --swversion DE.1.0.7.0 --startMP 204:951 --initTime 2016-09-08T18:59:11 --startdatetime 2016-09-08T19:21:39 --delay 1 --endMP 300:58941 --enddatetime 2016-09-08T19:37:12 --enforcementcount 0 &gt;&gt;C:\Users\stu\Documents\GitHub\eaglep3-reporting\EC\2016-09-08-refined-times.txt</v>
      </c>
      <c r="AI198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{"issue":{"subject":"","project_id":79,"tracker_id":40,"status_id":1,"priority_id":2,"assigned_to_id":23,"start_date":"2016-09-08","description":"","custom_fields":[{"id":1,"name":"Subdivision","value":"NW"},{"id":4,"name":"Milepost","value":"5.799"},{"id":17,"name":"Train ID","value":"841-08"},{"id":16,"name":"Locomotive ID","value":"4002"},{"id":130,"name":"Impact","value":""},{"id":150,"name":"Time of Event (Mountain Time)","value":"19:37:12"},{"id":151,"name":"Denver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505</v>
      </c>
      <c r="B199" s="7">
        <v>4001</v>
      </c>
      <c r="C199" s="24" t="s">
        <v>109</v>
      </c>
      <c r="D199" s="24" t="s">
        <v>718</v>
      </c>
      <c r="E199" s="15">
        <v>42621.859837962962</v>
      </c>
      <c r="F199" s="15">
        <v>42621.860891203702</v>
      </c>
      <c r="G199" s="7">
        <v>1</v>
      </c>
      <c r="H199" s="15" t="s">
        <v>719</v>
      </c>
      <c r="I199" s="15">
        <v>42621.872187499997</v>
      </c>
      <c r="J199" s="7">
        <v>0</v>
      </c>
      <c r="K199" s="122" t="str">
        <f t="shared" si="72"/>
        <v>4001/4002</v>
      </c>
      <c r="L199" s="24" t="str">
        <f>VLOOKUP(A199,'Trips&amp;Operators'!$C$1:$E$10000,3,FALSE)</f>
        <v>COOPER</v>
      </c>
      <c r="M199" s="6">
        <f t="shared" si="91"/>
        <v>1.1296296295768116E-2</v>
      </c>
      <c r="N199" s="7">
        <f t="shared" si="92"/>
        <v>16.266666665906087</v>
      </c>
      <c r="O199" s="7"/>
      <c r="P199" s="7"/>
      <c r="Q199" s="25"/>
      <c r="R199" s="25"/>
      <c r="S199" s="37">
        <f t="shared" si="93"/>
        <v>1</v>
      </c>
      <c r="T199" s="52" t="str">
        <f t="shared" si="73"/>
        <v>Southbound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19:38:10-0600',mode:absolute,to:'2016-09-08 21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99" s="54" t="str">
        <f t="shared" si="95"/>
        <v>N</v>
      </c>
      <c r="X199" s="172">
        <f t="shared" ref="X199:X205" si="102">VALUE(LEFT(AD199,4))-VALUE(LEFT(AD198,4))</f>
        <v>1</v>
      </c>
      <c r="Y199" s="69">
        <f t="shared" si="96"/>
        <v>5.8635999999999999</v>
      </c>
      <c r="Z199" s="69">
        <f t="shared" si="97"/>
        <v>6.4699999999999994E-2</v>
      </c>
      <c r="AA199" s="69">
        <f t="shared" si="98"/>
        <v>5.7988999999999997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74"/>
        <v>0842-08</v>
      </c>
      <c r="AE199" s="99" t="str">
        <f t="shared" si="99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199" s="96" t="str">
        <f t="shared" si="100"/>
        <v>"C:\Program Files (x86)\AstroGrep\AstroGrep.exe" /spath="%USERPROFILE%\AppData\Local\Temp\OnboardLogs" /stypes="*4001*20160909*" /stext=" 02:.+((SYSTEM_STATE.+slice.+state.+changed )|(ment ac)|(system.+state.+changed )|(\|lc)|(penalty)|(\[timeout)|(PRM\|1\|D)|(kpr)|(kdp))" /e /r /s</v>
      </c>
      <c r="AG199" s="1" t="str">
        <f t="shared" si="75"/>
        <v>NW</v>
      </c>
      <c r="AH199" s="100" t="str">
        <f t="shared" si="86"/>
        <v>"%USERPROFILE%\Documents\GitHub\eaglep3\Utilities\RefineRTDCRunTimes.py" --tripid 842-08 --locoid 4001 --swversion DE.1.0.7.0 --startMP 300:58636 --initTime 2016-09-08T20:38:10 --startdatetime 2016-09-08T20:39:41 --delay 1 --endMP 204:647 --enddatetime 2016-09-08T20:55:57 --enforcementcount 0 &gt;&gt;C:\Users\stu\Documents\GitHub\eaglep3-reporting\EC\2016-09-08-refined-times.txt</v>
      </c>
      <c r="AI199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{"issue":{"subject":"","project_id":79,"tracker_id":40,"status_id":1,"priority_id":2,"assigned_to_id":23,"start_date":"2016-09-08","description":"","custom_fields":[{"id":1,"name":"Subdivision","value":"NW"},{"id":4,"name":"Milepost","value":"5.7989"},{"id":17,"name":"Train ID","value":"842-08"},{"id":16,"name":"Locomotive ID","value":"4001"},{"id":130,"name":"Impact","value":""},{"id":150,"name":"Time of Event (Mountain Time)","value":"20:55:57"},{"id":151,"name":"Denver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720</v>
      </c>
      <c r="B200" s="7">
        <v>4002</v>
      </c>
      <c r="C200" s="24" t="s">
        <v>109</v>
      </c>
      <c r="D200" s="24" t="s">
        <v>721</v>
      </c>
      <c r="E200" s="15">
        <v>42621.843553240738</v>
      </c>
      <c r="F200" s="15">
        <v>42621.848391203705</v>
      </c>
      <c r="G200" s="7">
        <v>1</v>
      </c>
      <c r="H200" s="15" t="s">
        <v>722</v>
      </c>
      <c r="I200" s="15">
        <v>42621.858043981483</v>
      </c>
      <c r="J200" s="7">
        <v>0</v>
      </c>
      <c r="K200" s="122" t="str">
        <f t="shared" si="72"/>
        <v>4001/4002</v>
      </c>
      <c r="L200" s="24" t="str">
        <f>VLOOKUP(A200,'Trips&amp;Operators'!$C$1:$E$10000,3,FALSE)</f>
        <v>COOPER</v>
      </c>
      <c r="M200" s="6">
        <f t="shared" si="91"/>
        <v>9.6527777786832303E-3</v>
      </c>
      <c r="N200" s="7">
        <f t="shared" si="92"/>
        <v>13.900000001303852</v>
      </c>
      <c r="O200" s="7"/>
      <c r="P200" s="7"/>
      <c r="Q200" s="25"/>
      <c r="R200" s="25"/>
      <c r="S200" s="37">
        <f t="shared" si="93"/>
        <v>1</v>
      </c>
      <c r="T200" s="52" t="str">
        <f t="shared" si="73"/>
        <v>NorthBound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19:14:43-0600',mode:absolute,to:'2016-09-08 21:35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00" s="54" t="str">
        <f t="shared" si="95"/>
        <v>N</v>
      </c>
      <c r="X200" s="172">
        <f t="shared" si="102"/>
        <v>1</v>
      </c>
      <c r="Y200" s="69">
        <f t="shared" si="96"/>
        <v>0.1004</v>
      </c>
      <c r="Z200" s="69">
        <f t="shared" si="97"/>
        <v>5.8952</v>
      </c>
      <c r="AA200" s="69">
        <f t="shared" si="98"/>
        <v>5.7948000000000004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74"/>
        <v>0843-08</v>
      </c>
      <c r="AE200" s="99" t="str">
        <f t="shared" si="99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200" s="96" t="str">
        <f t="shared" si="100"/>
        <v>"C:\Program Files (x86)\AstroGrep\AstroGrep.exe" /spath="%USERPROFILE%\AppData\Local\Temp\OnboardLogs" /stypes="*4002*20160909*" /stext=" 02:.+((SYSTEM_STATE.+slice.+state.+changed )|(ment ac)|(system.+state.+changed )|(\|lc)|(penalty)|(\[timeout)|(PRM\|1\|D)|(kpr)|(kdp))" /e /r /s</v>
      </c>
      <c r="AG200" s="1" t="str">
        <f t="shared" si="75"/>
        <v>NW</v>
      </c>
      <c r="AH200" s="100" t="str">
        <f t="shared" si="86"/>
        <v>"%USERPROFILE%\Documents\GitHub\eaglep3\Utilities\RefineRTDCRunTimes.py" --tripid 843-08 --locoid 4002 --swversion DE.1.0.7.0 --startMP 204:1004 --initTime 2016-09-08T20:14:43 --startdatetime 2016-09-08T20:21:41 --delay 1 --endMP 300:58952 --enddatetime 2016-09-08T20:35:35 --enforcementcount 0 &gt;&gt;C:\Users\stu\Documents\GitHub\eaglep3-reporting\EC\2016-09-08-refined-times.txt</v>
      </c>
      <c r="AI200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{"issue":{"subject":"","project_id":79,"tracker_id":40,"status_id":1,"priority_id":2,"assigned_to_id":23,"start_date":"2016-09-08","description":"","custom_fields":[{"id":1,"name":"Subdivision","value":"NW"},{"id":4,"name":"Milepost","value":"5.7948"},{"id":17,"name":"Train ID","value":"843-08"},{"id":16,"name":"Locomotive ID","value":"4002"},{"id":130,"name":"Impact","value":""},{"id":150,"name":"Time of Event (Mountain Time)","value":"20:35:35"},{"id":151,"name":"Denver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756</v>
      </c>
      <c r="B201" s="7">
        <v>4001</v>
      </c>
      <c r="C201" s="24" t="s">
        <v>109</v>
      </c>
      <c r="D201" s="24" t="s">
        <v>721</v>
      </c>
      <c r="E201" s="15">
        <v>42621.843553240738</v>
      </c>
      <c r="F201" s="15">
        <v>42621.902974537035</v>
      </c>
      <c r="G201" s="7">
        <v>1</v>
      </c>
      <c r="H201" s="15" t="s">
        <v>722</v>
      </c>
      <c r="I201" s="15">
        <v>42621.904131944444</v>
      </c>
      <c r="J201" s="7">
        <v>0</v>
      </c>
      <c r="K201" s="122" t="str">
        <f t="shared" si="72"/>
        <v>4001/4002</v>
      </c>
      <c r="L201" s="24" t="str">
        <f>VLOOKUP(A201,'Trips&amp;Operators'!$C$1:$E$10000,3,FALSE)</f>
        <v>HOMIK</v>
      </c>
      <c r="M201" s="6">
        <f t="shared" si="91"/>
        <v>1.157407408754807E-3</v>
      </c>
      <c r="N201" s="7"/>
      <c r="O201" s="7"/>
      <c r="P201" s="7">
        <f>24*60*SUM($M201:$M201)</f>
        <v>1.666666668606922</v>
      </c>
      <c r="Q201" s="25"/>
      <c r="R201" s="25" t="s">
        <v>759</v>
      </c>
      <c r="S201" s="37">
        <f t="shared" si="93"/>
        <v>0</v>
      </c>
      <c r="T201" s="52" t="str">
        <f t="shared" si="73"/>
        <v>Southbound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19:14:43-0600',mode:absolute,to:'2016-09-08 22:41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201" s="54" t="str">
        <f t="shared" si="95"/>
        <v>N</v>
      </c>
      <c r="X201" s="172">
        <f t="shared" si="102"/>
        <v>1</v>
      </c>
      <c r="Y201" s="69">
        <f t="shared" si="96"/>
        <v>0.1004</v>
      </c>
      <c r="Z201" s="69">
        <f t="shared" si="97"/>
        <v>5.8952</v>
      </c>
      <c r="AA201" s="69">
        <f t="shared" si="98"/>
        <v>5.7948000000000004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74"/>
        <v>0844-08</v>
      </c>
      <c r="AE201" s="99" t="str">
        <f t="shared" si="99"/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AF201" s="96" t="str">
        <f t="shared" si="100"/>
        <v>"C:\Program Files (x86)\AstroGrep\AstroGrep.exe" /spath="%USERPROFILE%\AppData\Local\Temp\OnboardLogs" /stypes="*4001*20160909*" /stext=" 03:.+((SYSTEM_STATE.+slice.+state.+changed )|(ment ac)|(system.+state.+changed )|(\|lc)|(penalty)|(\[timeout)|(PRM\|1\|D)|(kpr)|(kdp))" /e /r /s</v>
      </c>
      <c r="AG201" s="1" t="str">
        <f t="shared" si="75"/>
        <v>NW</v>
      </c>
      <c r="AH201" s="100" t="str">
        <f t="shared" ref="AH201" si="103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844-08 --locoid 4001 --swversion DE.1.0.7.0 --startMP 204:1004 --initTime 2016-09-08T20:14:43 --startdatetime 2016-09-08T21:40:17 --delay 1 --endMP 300:58952 --enddatetime 2016-09-08T21:41:57 --enforcementcount 0 &gt;&gt;C:\Users\stu\Documents\GitHub\eaglep3-reporting\EC\2016-09-08-refined-times.txt</v>
      </c>
      <c r="AI201" s="137" t="str">
        <f t="shared" ref="AI201" si="104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AA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failure","project_id":79,"tracker_id":40,"status_id":1,"priority_id":2,"assigned_to_id":23,"start_date":"2016-09-08","description":"","custom_fields":[{"id":1,"name":"Subdivision","value":"NW"},{"id":4,"name":"Milepost","value":"5.7948"},{"id":17,"name":"Train ID","value":"844-08"},{"id":16,"name":"Locomotive ID","value":"4001"},{"id":130,"name":"Impact","value":""},{"id":150,"name":"Time of Event (Mountain Time)","value":"21:41:57"},{"id":151,"name":"Denver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723</v>
      </c>
      <c r="B202" s="7">
        <v>4002</v>
      </c>
      <c r="C202" s="24" t="s">
        <v>109</v>
      </c>
      <c r="D202" s="24" t="s">
        <v>709</v>
      </c>
      <c r="E202" s="15">
        <v>42621.88621527778</v>
      </c>
      <c r="F202" s="15">
        <v>42621.890127314815</v>
      </c>
      <c r="G202" s="7">
        <v>1</v>
      </c>
      <c r="H202" s="15" t="s">
        <v>724</v>
      </c>
      <c r="I202" s="15">
        <v>42621.900868055556</v>
      </c>
      <c r="J202" s="7">
        <v>0</v>
      </c>
      <c r="K202" s="122" t="str">
        <f t="shared" si="72"/>
        <v>4001/4002</v>
      </c>
      <c r="L202" s="24" t="str">
        <f>VLOOKUP(A202,'Trips&amp;Operators'!$C$1:$E$10000,3,FALSE)</f>
        <v>HOMIK</v>
      </c>
      <c r="M202" s="6">
        <f t="shared" si="91"/>
        <v>1.0740740741312038E-2</v>
      </c>
      <c r="N202" s="7">
        <f>24*60*SUM($M202:$M202)</f>
        <v>15.466666667489335</v>
      </c>
      <c r="O202" s="7"/>
      <c r="P202" s="7"/>
      <c r="Q202" s="25"/>
      <c r="R202" s="25"/>
      <c r="S202" s="37">
        <f t="shared" si="93"/>
        <v>1</v>
      </c>
      <c r="T202" s="52" t="str">
        <f t="shared" si="73"/>
        <v>NorthBound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20:16:09-0600',mode:absolute,to:'2016-09-08 22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02" s="54" t="str">
        <f t="shared" si="95"/>
        <v>N</v>
      </c>
      <c r="X202" s="172">
        <f t="shared" si="102"/>
        <v>1</v>
      </c>
      <c r="Y202" s="69">
        <f t="shared" si="96"/>
        <v>9.4399999999999998E-2</v>
      </c>
      <c r="Z202" s="69">
        <f t="shared" si="97"/>
        <v>5.8910999999999998</v>
      </c>
      <c r="AA202" s="69">
        <f t="shared" si="98"/>
        <v>5.7966999999999995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74"/>
        <v>0845-08</v>
      </c>
      <c r="AE202" s="99" t="str">
        <f t="shared" si="99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202" s="96" t="str">
        <f t="shared" si="100"/>
        <v>"C:\Program Files (x86)\AstroGrep\AstroGrep.exe" /spath="%USERPROFILE%\AppData\Local\Temp\OnboardLogs" /stypes="*4002*20160909*" /stext=" 03:.+((SYSTEM_STATE.+slice.+state.+changed )|(ment ac)|(system.+state.+changed )|(\|lc)|(penalty)|(\[timeout)|(PRM\|1\|D)|(kpr)|(kdp))" /e /r /s</v>
      </c>
      <c r="AG202" s="1" t="str">
        <f t="shared" si="75"/>
        <v>NW</v>
      </c>
      <c r="AH202" s="100" t="str">
        <f t="shared" si="86"/>
        <v>"%USERPROFILE%\Documents\GitHub\eaglep3\Utilities\RefineRTDCRunTimes.py" --tripid 845-08 --locoid 4002 --swversion DE.1.0.7.0 --startMP 204:944 --initTime 2016-09-08T21:16:09 --startdatetime 2016-09-08T21:21:47 --delay 1 --endMP 300:58911 --enddatetime 2016-09-08T21:37:15 --enforcementcount 0 &gt;&gt;C:\Users\stu\Documents\GitHub\eaglep3-reporting\EC\2016-09-08-refined-times.txt</v>
      </c>
      <c r="AI202" s="137" t="str">
        <f t="shared" si="87"/>
        <v>echo {"issue":{"subject":"","project_id":79,"tracker_id":40,"status_id":1,"priority_id":2,"assigned_to_id":23,"start_date":"2016-09-08","description":"","custom_fields":[{"id":1,"name":"Subdivision","value":"NW"},{"id":4,"name":"Milepost","value":"5.7967"},{"id":17,"name":"Train ID","value":"845-08"},{"id":16,"name":"Locomotive ID","value":"4002"},{"id":130,"name":"Impact","value":""},{"id":150,"name":"Time of Event (Mountain Time)","value":"21:37:15"},{"id":151,"name":"Denver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s="23" customFormat="1" x14ac:dyDescent="0.25">
      <c r="A203" s="39" t="s">
        <v>757</v>
      </c>
      <c r="B203" s="7">
        <v>4002</v>
      </c>
      <c r="C203" s="24" t="s">
        <v>109</v>
      </c>
      <c r="D203" s="24" t="s">
        <v>709</v>
      </c>
      <c r="E203" s="15">
        <v>42621.88621527778</v>
      </c>
      <c r="F203" s="15">
        <v>42621.927615740744</v>
      </c>
      <c r="G203" s="7">
        <v>1</v>
      </c>
      <c r="H203" s="15" t="s">
        <v>724</v>
      </c>
      <c r="I203" s="15">
        <v>42621.931898148148</v>
      </c>
      <c r="J203" s="7">
        <v>0</v>
      </c>
      <c r="K203" s="122" t="str">
        <f t="shared" si="72"/>
        <v>4001/4002</v>
      </c>
      <c r="L203" s="24" t="str">
        <f>VLOOKUP(A203,'Trips&amp;Operators'!$C$1:$E$10000,3,FALSE)</f>
        <v>HOMIK</v>
      </c>
      <c r="M203" s="6">
        <f t="shared" si="91"/>
        <v>4.2824074043892324E-3</v>
      </c>
      <c r="N203" s="7"/>
      <c r="O203" s="7"/>
      <c r="P203" s="7">
        <f>24*60*SUM($M203:$M203)</f>
        <v>6.1666666623204947</v>
      </c>
      <c r="Q203" s="25"/>
      <c r="R203" s="25" t="s">
        <v>759</v>
      </c>
      <c r="S203" s="37">
        <v>0</v>
      </c>
      <c r="T203" s="52" t="str">
        <f t="shared" si="73"/>
        <v>NorthBound</v>
      </c>
      <c r="U203" s="16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20:16:09-0600',mode:absolute,to:'2016-09-08 23:21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03" s="54" t="str">
        <f t="shared" si="95"/>
        <v>N</v>
      </c>
      <c r="X203" s="172">
        <f t="shared" si="102"/>
        <v>2</v>
      </c>
      <c r="Y203" s="69">
        <f t="shared" si="96"/>
        <v>9.4399999999999998E-2</v>
      </c>
      <c r="Z203" s="69">
        <f t="shared" si="97"/>
        <v>5.8910999999999998</v>
      </c>
      <c r="AA203" s="69">
        <f t="shared" si="98"/>
        <v>5.7966999999999995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 t="shared" si="74"/>
        <v>0847-08</v>
      </c>
      <c r="AE203" s="99" t="str">
        <f t="shared" si="99"/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AF203" s="96" t="str">
        <f t="shared" si="100"/>
        <v>"C:\Program Files (x86)\AstroGrep\AstroGrep.exe" /spath="%USERPROFILE%\AppData\Local\Temp\OnboardLogs" /stypes="*4002*20160909*" /stext=" 04:.+((SYSTEM_STATE.+slice.+state.+changed )|(ment ac)|(system.+state.+changed )|(\|lc)|(penalty)|(\[timeout)|(PRM\|1\|D)|(kpr)|(kdp))" /e /r /s</v>
      </c>
      <c r="AG203" s="1" t="str">
        <f t="shared" si="75"/>
        <v>NW</v>
      </c>
      <c r="AH203" s="100" t="str">
        <f t="shared" ref="AH203" si="105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847-08 --locoid 4002 --swversion DE.1.0.7.0 --startMP 204:944 --initTime 2016-09-08T21:16:09 --startdatetime 2016-09-08T22:15:46 --delay 1 --endMP 300:58911 --enddatetime 2016-09-08T22:21:56 --enforcementcount 0 &gt;&gt;C:\Users\stu\Documents\GitHub\eaglep3-reporting\EC\2016-09-08-refined-times.txt</v>
      </c>
      <c r="AI203" s="137" t="str">
        <f t="shared" ref="AI203" si="106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AA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failure","project_id":79,"tracker_id":40,"status_id":1,"priority_id":2,"assigned_to_id":23,"start_date":"2016-09-08","description":"","custom_fields":[{"id":1,"name":"Subdivision","value":"NW"},{"id":4,"name":"Milepost","value":"5.7967"},{"id":17,"name":"Train ID","value":"847-08"},{"id":16,"name":"Locomotive ID","value":"4002"},{"id":130,"name":"Impact","value":""},{"id":150,"name":"Time of Event (Mountain Time)","value":"22:21:56"},{"id":151,"name":"Denver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648</v>
      </c>
      <c r="B204" s="7">
        <v>4009</v>
      </c>
      <c r="C204" s="24" t="s">
        <v>109</v>
      </c>
      <c r="D204" s="24" t="s">
        <v>649</v>
      </c>
      <c r="E204" s="15">
        <v>42621.782673611109</v>
      </c>
      <c r="F204" s="15">
        <v>25568.958333333332</v>
      </c>
      <c r="G204" s="7">
        <v>2</v>
      </c>
      <c r="H204" s="15" t="s">
        <v>650</v>
      </c>
      <c r="I204" s="15">
        <v>25568.958333333332</v>
      </c>
      <c r="J204" s="7">
        <v>0</v>
      </c>
      <c r="K204" s="122" t="str">
        <f t="shared" si="72"/>
        <v>4009/4010</v>
      </c>
      <c r="L204" s="24" t="str">
        <f>VLOOKUP(A204,'Trips&amp;Operators'!$C$1:$E$10000,3,FALSE)</f>
        <v>MAHAN</v>
      </c>
      <c r="M204" s="6">
        <f t="shared" si="91"/>
        <v>0</v>
      </c>
      <c r="N204" s="7">
        <f t="shared" ref="N204:N218" si="107">24*60*SUM($M204:$M204)</f>
        <v>0</v>
      </c>
      <c r="O204" s="7"/>
      <c r="P204" s="7"/>
      <c r="Q204" s="25"/>
      <c r="R204" s="25"/>
      <c r="S204" s="37">
        <f t="shared" si="93"/>
        <v>1</v>
      </c>
      <c r="T204" s="52" t="str">
        <f t="shared" si="73"/>
        <v>NorthBound</v>
      </c>
      <c r="U204" s="16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17:47:03-0600',mode:absolute,to:'1970-01-01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04" s="54" t="str">
        <f t="shared" si="95"/>
        <v>Y</v>
      </c>
      <c r="X204" s="172">
        <f t="shared" si="102"/>
        <v>-544</v>
      </c>
      <c r="Y204" s="69">
        <f t="shared" si="96"/>
        <v>6.8400000000000002E-2</v>
      </c>
      <c r="Z204" s="69">
        <f t="shared" si="97"/>
        <v>2.331</v>
      </c>
      <c r="AA204" s="69">
        <f t="shared" si="98"/>
        <v>2.2625999999999999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 t="shared" si="74"/>
        <v>0303-08</v>
      </c>
      <c r="AE204" s="99" t="str">
        <f t="shared" si="99"/>
        <v>aws s3 cp s3://rtdc.mdm.uploadarchive/RTDC4009/1969-12-31/ "%USERPROFILE%\AppData\Local\Temp\OnboardLogs"\RTDC4009\1969-12-31 --recursive &amp; "%USERPROFILE%\Documents\GitHub\mrs-test-scripts\Headless Mode &amp; Sideloading\WalkAndUnGZ.bat" "%USERPROFILE%\AppData\Local\Temp\OnboardLogs"\RTDC4009\1969-12-31 &amp; aws s3 cp s3://rtdc.mdm.uploadarchive/RTDC4009/1970-01-01/ "%USERPROFILE%\AppData\Local\Temp\OnboardLogs"\RTDC4009\1970-01-01 --recursive &amp; "%USERPROFILE%\Documents\GitHub\mrs-test-scripts\Headless Mode &amp; Sideloading\WalkAndUnGZ.bat" "%USERPROFILE%\AppData\Local\Temp\OnboardLogs"\RTDC4009\1970-01-01</v>
      </c>
      <c r="AF204" s="96" t="str">
        <f t="shared" si="100"/>
        <v>"C:\Program Files (x86)\AstroGrep\AstroGrep.exe" /spath="%USERPROFILE%\AppData\Local\Temp\OnboardLogs" /stypes="*4009*19700101*" /stext=" 05:.+((SYSTEM_STATE.+slice.+state.+changed )|(ment ac)|(system.+state.+changed )|(\|lc)|(penalty)|(\[timeout)|(PRM\|1\|D)|(kpr)|(kdp))" /e /r /s</v>
      </c>
      <c r="AG204" s="1" t="str">
        <f t="shared" si="75"/>
        <v>Other</v>
      </c>
      <c r="AH204" s="100" t="str">
        <f t="shared" si="86"/>
        <v>"%USERPROFILE%\Documents\GitHub\eaglep3\Utilities\RefineRTDCRunTimes.py" --tripid 303-08 --locoid 4009 --swversion DE.1.0.7.0 --startMP 204:684 --initTime 2016-09-08T18:47:03 --startdatetime 1969-12-31T23:00:00 --delay 2 --endMP 300:23310 --enddatetime 1969-12-31T23:00:00 --enforcementcount 0 &gt;&gt;C:\Users\stu\Documents\GitHub\eaglep3-reporting\EC\2016-09-08-refined-times.txt</v>
      </c>
      <c r="AI204" s="137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{"issue":{"subject":"","project_id":79,"tracker_id":40,"status_id":1,"priority_id":2,"assigned_to_id":23,"start_date":"1969-12-31","description":"","custom_fields":[{"id":1,"name":"Subdivision","value":"Other"},{"id":4,"name":"Milepost","value":"2.2626"},{"id":17,"name":"Train ID","value":"303-08"},{"id":16,"name":"Locomotive ID","value":"4009"},{"id":130,"name":"Impact","value":""},{"id":150,"name":"Time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651</v>
      </c>
      <c r="B205" s="7">
        <v>4011</v>
      </c>
      <c r="C205" s="24" t="s">
        <v>109</v>
      </c>
      <c r="D205" s="24" t="s">
        <v>652</v>
      </c>
      <c r="E205" s="15">
        <v>42621.819386574076</v>
      </c>
      <c r="F205" s="15">
        <v>42621.821122685185</v>
      </c>
      <c r="G205" s="7">
        <v>1</v>
      </c>
      <c r="H205" s="15" t="s">
        <v>653</v>
      </c>
      <c r="I205" s="15">
        <v>42621.826203703706</v>
      </c>
      <c r="J205" s="7">
        <v>0</v>
      </c>
      <c r="K205" s="122" t="str">
        <f t="shared" ref="K205:K218" si="108">IF(ISEVEN(B205),(B205-1)&amp;"/"&amp;B205,B205&amp;"/"&amp;(B205+1))</f>
        <v>4011/4012</v>
      </c>
      <c r="L205" s="24" t="str">
        <f>VLOOKUP(A205,'Trips&amp;Operators'!$C$1:$E$10000,3,FALSE)</f>
        <v>DE LA ROSA</v>
      </c>
      <c r="M205" s="6">
        <f t="shared" si="91"/>
        <v>5.0810185202863067E-3</v>
      </c>
      <c r="N205" s="7">
        <f t="shared" si="107"/>
        <v>7.3166666692122817</v>
      </c>
      <c r="O205" s="7"/>
      <c r="P205" s="7"/>
      <c r="Q205" s="25"/>
      <c r="R205" s="25"/>
      <c r="S205" s="37">
        <f t="shared" si="93"/>
        <v>1</v>
      </c>
      <c r="T205" s="52" t="str">
        <f t="shared" ref="T205:T218" si="109">IF(ISEVEN(LEFT(AD205,4)),"Southbound","NorthBound")</f>
        <v>NorthBound</v>
      </c>
      <c r="U205" s="16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18:39:55-0600',mode:absolute,to:'2016-09-08 20:49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05" s="54" t="str">
        <f t="shared" si="95"/>
        <v>Y</v>
      </c>
      <c r="X205" s="172">
        <f t="shared" si="102"/>
        <v>4</v>
      </c>
      <c r="Y205" s="69">
        <f t="shared" si="96"/>
        <v>4.5999999999999999E-2</v>
      </c>
      <c r="Z205" s="69">
        <f t="shared" si="97"/>
        <v>2.3304</v>
      </c>
      <c r="AA205" s="69">
        <f t="shared" si="98"/>
        <v>2.2844000000000002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 t="shared" ref="AD205:AD218" si="110">IF(LEN(A205)=6,"0"&amp;A205,A205)</f>
        <v>0307-08</v>
      </c>
      <c r="AE205" s="99" t="str">
        <f t="shared" si="99"/>
        <v>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 &amp; 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</v>
      </c>
      <c r="AF205" s="96" t="str">
        <f t="shared" si="100"/>
        <v>"C:\Program Files (x86)\AstroGrep\AstroGrep.exe" /spath="%USERPROFILE%\AppData\Local\Temp\OnboardLogs" /stypes="*4011*20160909*" /stext=" 01:.+((SYSTEM_STATE.+slice.+state.+changed )|(ment ac)|(system.+state.+changed )|(\|lc)|(penalty)|(\[timeout)|(PRM\|1\|D)|(kpr)|(kdp))" /e /r /s</v>
      </c>
      <c r="AG205" s="1" t="str">
        <f t="shared" ref="AG205:AG218" si="111">IFERROR(IF(VALUE(LEFT(AD205,2))&lt;=2,"EC",IF(OR(VALUE(LEFT(AD205,2))=8,VALUE(LEFT(AD205,2))=18),"NW","Other")),"Other")</f>
        <v>Other</v>
      </c>
      <c r="AH205" s="100" t="str">
        <f t="shared" si="86"/>
        <v>"%USERPROFILE%\Documents\GitHub\eaglep3\Utilities\RefineRTDCRunTimes.py" --tripid 307-08 --locoid 4011 --swversion DE.1.0.7.0 --startMP 204:460 --initTime 2016-09-08T19:39:55 --startdatetime 2016-09-08T19:42:25 --delay 1 --endMP 300:23304 --enddatetime 2016-09-08T19:49:44 --enforcementcount 0 &gt;&gt;C:\Users\stu\Documents\GitHub\eaglep3-reporting\EC\2016-09-08-refined-times.txt</v>
      </c>
      <c r="AI205" s="137" t="str">
        <f t="shared" si="87"/>
        <v>echo {"issue":{"subject":"","project_id":79,"tracker_id":40,"status_id":1,"priority_id":2,"assigned_to_id":23,"start_date":"2016-09-08","description":"","custom_fields":[{"id":1,"name":"Subdivision","value":"Other"},{"id":4,"name":"Milepost","value":"2.2844"},{"id":17,"name":"Train ID","value":"307-08"},{"id":16,"name":"Locomotive ID","value":"4011"},{"id":130,"name":"Impact","value":""},{"id":150,"name":"Time of Event (Mountain Time)","value":"19:49:44"},{"id":151,"name":"Denver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654</v>
      </c>
      <c r="B206" s="7">
        <v>4018</v>
      </c>
      <c r="C206" s="24" t="s">
        <v>109</v>
      </c>
      <c r="D206" s="24" t="s">
        <v>290</v>
      </c>
      <c r="E206" s="15">
        <v>42622.033113425925</v>
      </c>
      <c r="F206" s="15">
        <v>42622.141435185185</v>
      </c>
      <c r="G206" s="7">
        <v>1</v>
      </c>
      <c r="H206" s="15" t="s">
        <v>655</v>
      </c>
      <c r="I206" s="15">
        <v>42622.141608796293</v>
      </c>
      <c r="J206" s="7">
        <v>0</v>
      </c>
      <c r="K206" s="122" t="str">
        <f t="shared" si="108"/>
        <v>4017/4018</v>
      </c>
      <c r="L206" s="24" t="str">
        <f>VLOOKUP(A206,'Trips&amp;Operators'!$C$1:$E$10000,3,FALSE)</f>
        <v>DELGADO</v>
      </c>
      <c r="M206" s="6">
        <f t="shared" si="91"/>
        <v>1.7361110803904012E-4</v>
      </c>
      <c r="N206" s="7">
        <f t="shared" si="107"/>
        <v>0.24999999557621777</v>
      </c>
      <c r="O206" s="7"/>
      <c r="P206" s="7"/>
      <c r="Q206" s="25"/>
      <c r="R206" s="25"/>
      <c r="S206" s="37">
        <f t="shared" si="93"/>
        <v>0</v>
      </c>
      <c r="T206" s="52" t="str">
        <f t="shared" si="109"/>
        <v>NorthBound</v>
      </c>
      <c r="U206" s="16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23:47:41-0600',mode:absolute,to:'2016-09-09 04:23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06" s="54" t="str">
        <f t="shared" si="95"/>
        <v>Y</v>
      </c>
      <c r="X206" s="172">
        <f t="shared" ref="X206:X218" si="112">VALUE(LEFT(AD206,4))-VALUE(LEFT(AD205,4))</f>
        <v>2</v>
      </c>
      <c r="Y206" s="69">
        <f t="shared" si="96"/>
        <v>7.3899999999999993E-2</v>
      </c>
      <c r="Z206" s="69">
        <f t="shared" si="97"/>
        <v>7.4099999999999999E-2</v>
      </c>
      <c r="AA206" s="69">
        <f t="shared" si="98"/>
        <v>2.0000000000000573E-4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 t="shared" si="110"/>
        <v>0309-08</v>
      </c>
      <c r="AE206" s="99" t="str">
        <f t="shared" si="99"/>
        <v>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 &amp; aws s3 cp s3://rtdc.mdm.uploadarchive/RTDC4018/2016-09-10/ "%USERPROFILE%\AppData\Local\Temp\OnboardLogs"\RTDC4018\2016-09-10 --recursive &amp; "%USERPROFILE%\Documents\GitHub\mrs-test-scripts\Headless Mode &amp; Sideloading\WalkAndUnGZ.bat" "%USERPROFILE%\AppData\Local\Temp\OnboardLogs"\RTDC4018\2016-09-10</v>
      </c>
      <c r="AF206" s="96" t="str">
        <f t="shared" si="100"/>
        <v>"C:\Program Files (x86)\AstroGrep\AstroGrep.exe" /spath="%USERPROFILE%\AppData\Local\Temp\OnboardLogs" /stypes="*4018*20160909*" /stext=" 09:.+((SYSTEM_STATE.+slice.+state.+changed )|(ment ac)|(system.+state.+changed )|(\|lc)|(penalty)|(\[timeout)|(PRM\|1\|D)|(kpr)|(kdp))" /e /r /s</v>
      </c>
      <c r="AG206" s="1" t="str">
        <f t="shared" si="111"/>
        <v>Other</v>
      </c>
      <c r="AH206" s="100" t="str">
        <f t="shared" si="86"/>
        <v>"%USERPROFILE%\Documents\GitHub\eaglep3\Utilities\RefineRTDCRunTimes.py" --tripid 309-08 --locoid 4018 --swversion DE.1.0.7.0 --startMP 204:739 --initTime 2016-09-09T00:47:41 --startdatetime 2016-09-09T03:23:40 --delay 1 --endMP 204:741 --enddatetime 2016-09-09T03:23:55 --enforcementcount 0 &gt;&gt;C:\Users\stu\Documents\GitHub\eaglep3-reporting\EC\2016-09-08-refined-times.txt</v>
      </c>
      <c r="AI206" s="137" t="str">
        <f t="shared" si="87"/>
        <v>echo {"issue":{"subject":"","project_id":79,"tracker_id":40,"status_id":1,"priority_id":2,"assigned_to_id":23,"start_date":"2016-09-09","description":"","custom_fields":[{"id":1,"name":"Subdivision","value":"Other"},{"id":4,"name":"Milepost","value":"0.000200000000000006"},{"id":17,"name":"Train ID","value":"309-08"},{"id":16,"name":"Locomotive ID","value":"4018"},{"id":130,"name":"Impact","value":""},{"id":150,"name":"Time of Event (Mountain Time)","value":"03:23:55"},{"id":151,"name":"Denver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232</v>
      </c>
      <c r="B207" s="7">
        <v>4051</v>
      </c>
      <c r="C207" s="24" t="s">
        <v>408</v>
      </c>
      <c r="D207" s="24" t="s">
        <v>409</v>
      </c>
      <c r="E207" s="15">
        <v>42621.118784722225</v>
      </c>
      <c r="F207" s="15">
        <v>42621.119826388887</v>
      </c>
      <c r="G207" s="7">
        <v>0</v>
      </c>
      <c r="H207" s="15" t="s">
        <v>410</v>
      </c>
      <c r="I207" s="15">
        <v>42621.134398148148</v>
      </c>
      <c r="J207" s="7">
        <v>0</v>
      </c>
      <c r="K207" s="122" t="str">
        <f t="shared" si="108"/>
        <v>4051/4052</v>
      </c>
      <c r="L207" s="24" t="b">
        <f>VLOOKUP(A207,'Trips&amp;Operators'!$C$1:$E$10000,3,FALSE)</f>
        <v>1</v>
      </c>
      <c r="M207" s="6">
        <f t="shared" si="91"/>
        <v>1.4571759260434192E-2</v>
      </c>
      <c r="N207" s="7">
        <f t="shared" si="107"/>
        <v>20.983333335025236</v>
      </c>
      <c r="O207" s="7"/>
      <c r="P207" s="7"/>
      <c r="Q207" s="25"/>
      <c r="R207" s="25"/>
      <c r="S207" s="37">
        <f t="shared" si="93"/>
        <v>1</v>
      </c>
      <c r="T207" s="52" t="str">
        <f t="shared" si="109"/>
        <v>NorthBound</v>
      </c>
      <c r="U207" s="16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01:51:03-0600',mode:absolute,to:'2016-09-08 04:13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4051%22')),sort:!(Time,asc))</v>
      </c>
      <c r="W207" s="54" t="str">
        <f t="shared" si="95"/>
        <v>N</v>
      </c>
      <c r="X207" s="172">
        <f t="shared" si="112"/>
        <v>2</v>
      </c>
      <c r="Y207" s="69">
        <f t="shared" si="96"/>
        <v>1.0522</v>
      </c>
      <c r="Z207" s="69">
        <f t="shared" si="97"/>
        <v>12.810499999999999</v>
      </c>
      <c r="AA207" s="69">
        <f t="shared" si="98"/>
        <v>11.758299999999998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 t="shared" si="110"/>
        <v>0311-07</v>
      </c>
      <c r="AE207" s="99" t="str">
        <f t="shared" si="99"/>
        <v>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 &amp; aws s3 cp s3://rtdc.mdm.uploadarchive/RTDC4051/2016-09-09/ "%USERPROFILE%\AppData\Local\Temp\OnboardLogs"\RTDC4051\2016-09-09 --recursive &amp; "%USERPROFILE%\Documents\GitHub\mrs-test-scripts\Headless Mode &amp; Sideloading\WalkAndUnGZ.bat" "%USERPROFILE%\AppData\Local\Temp\OnboardLogs"\RTDC4051\2016-09-09</v>
      </c>
      <c r="AF207" s="96" t="str">
        <f t="shared" si="100"/>
        <v>"C:\Program Files (x86)\AstroGrep\AstroGrep.exe" /spath="%USERPROFILE%\AppData\Local\Temp\OnboardLogs" /stypes="*4051*20160908*" /stext=" 09:.+((SYSTEM_STATE.+slice.+state.+changed )|(ment ac)|(system.+state.+changed )|(\|lc)|(penalty)|(\[timeout)|(PRM\|1\|D)|(kpr)|(kdp))" /e /r /s</v>
      </c>
      <c r="AG207" s="1" t="str">
        <f t="shared" si="111"/>
        <v>Other</v>
      </c>
      <c r="AH207" s="100" t="str">
        <f t="shared" si="86"/>
        <v>"%USERPROFILE%\Documents\GitHub\eaglep3\Utilities\RefineRTDCRunTimes.py" --tripid 311-07 --locoid 4051 --swversion DE.1.0.8.0.ENG1 --startMP 204:10522 --initTime 2016-09-08T02:51:03 --startdatetime 2016-09-08T02:52:33 --delay 0 --endMP 204:128105 --enddatetime 2016-09-08T03:13:32 --enforcementcount 0 &gt;&gt;C:\Users\stu\Documents\GitHub\eaglep3-reporting\EC\2016-09-08-refined-times.txt</v>
      </c>
      <c r="AI207" s="137" t="str">
        <f t="shared" si="87"/>
        <v>echo {"issue":{"subject":"","project_id":79,"tracker_id":40,"status_id":1,"priority_id":2,"assigned_to_id":23,"start_date":"2016-09-08","description":"","custom_fields":[{"id":1,"name":"Subdivision","value":"Other"},{"id":4,"name":"Milepost","value":"11.7583"},{"id":17,"name":"Train ID","value":"311-07"},{"id":16,"name":"Locomotive ID","value":"4051"},{"id":130,"name":"Impact","value":""},{"id":150,"name":"Time of Event (Mountain Time)","value":"03:13:32"},{"id":151,"name":"Denver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232</v>
      </c>
      <c r="B208" s="7">
        <v>4051</v>
      </c>
      <c r="C208" s="24" t="s">
        <v>408</v>
      </c>
      <c r="D208" s="24" t="s">
        <v>411</v>
      </c>
      <c r="E208" s="15">
        <v>42621.076782407406</v>
      </c>
      <c r="F208" s="15">
        <v>42621.119826388887</v>
      </c>
      <c r="G208" s="7">
        <v>0</v>
      </c>
      <c r="H208" s="15" t="s">
        <v>412</v>
      </c>
      <c r="I208" s="15">
        <v>42621.134398148148</v>
      </c>
      <c r="J208" s="7">
        <v>0</v>
      </c>
      <c r="K208" s="122" t="str">
        <f t="shared" si="108"/>
        <v>4051/4052</v>
      </c>
      <c r="L208" s="24" t="b">
        <f>VLOOKUP(A208,'Trips&amp;Operators'!$C$1:$E$10000,3,FALSE)</f>
        <v>1</v>
      </c>
      <c r="M208" s="6">
        <f t="shared" si="91"/>
        <v>1.4571759260434192E-2</v>
      </c>
      <c r="N208" s="7">
        <f t="shared" si="107"/>
        <v>20.983333335025236</v>
      </c>
      <c r="O208" s="7"/>
      <c r="P208" s="7"/>
      <c r="Q208" s="25"/>
      <c r="R208" s="25"/>
      <c r="S208" s="37">
        <f t="shared" si="93"/>
        <v>1</v>
      </c>
      <c r="T208" s="52" t="str">
        <f t="shared" si="109"/>
        <v>NorthBound</v>
      </c>
      <c r="U208" s="16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00:50:34-0600',mode:absolute,to:'2016-09-08 04:13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4051%22')),sort:!(Time,asc))</v>
      </c>
      <c r="W208" s="54" t="str">
        <f t="shared" si="95"/>
        <v>N</v>
      </c>
      <c r="X208" s="172">
        <f t="shared" si="112"/>
        <v>0</v>
      </c>
      <c r="Y208" s="69">
        <f t="shared" si="96"/>
        <v>1.0564</v>
      </c>
      <c r="Z208" s="69">
        <f t="shared" si="97"/>
        <v>12.809799999999999</v>
      </c>
      <c r="AA208" s="69">
        <f t="shared" si="98"/>
        <v>11.753399999999999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 t="shared" si="110"/>
        <v>0311-07</v>
      </c>
      <c r="AE208" s="99" t="str">
        <f t="shared" si="99"/>
        <v>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 &amp; aws s3 cp s3://rtdc.mdm.uploadarchive/RTDC4051/2016-09-09/ "%USERPROFILE%\AppData\Local\Temp\OnboardLogs"\RTDC4051\2016-09-09 --recursive &amp; "%USERPROFILE%\Documents\GitHub\mrs-test-scripts\Headless Mode &amp; Sideloading\WalkAndUnGZ.bat" "%USERPROFILE%\AppData\Local\Temp\OnboardLogs"\RTDC4051\2016-09-09</v>
      </c>
      <c r="AF208" s="96" t="str">
        <f t="shared" si="100"/>
        <v>"C:\Program Files (x86)\AstroGrep\AstroGrep.exe" /spath="%USERPROFILE%\AppData\Local\Temp\OnboardLogs" /stypes="*4051*20160908*" /stext=" 09:.+((SYSTEM_STATE.+slice.+state.+changed )|(ment ac)|(system.+state.+changed )|(\|lc)|(penalty)|(\[timeout)|(PRM\|1\|D)|(kpr)|(kdp))" /e /r /s</v>
      </c>
      <c r="AG208" s="1" t="str">
        <f t="shared" si="111"/>
        <v>Other</v>
      </c>
      <c r="AH208" s="100" t="str">
        <f t="shared" si="86"/>
        <v>"%USERPROFILE%\Documents\GitHub\eaglep3\Utilities\RefineRTDCRunTimes.py" --tripid 311-07 --locoid 4051 --swversion DE.1.0.8.0.ENG1 --startMP 204:10564 --initTime 2016-09-08T01:50:34 --startdatetime 2016-09-08T02:52:33 --delay 0 --endMP 204:128098 --enddatetime 2016-09-08T03:13:32 --enforcementcount 0 &gt;&gt;C:\Users\stu\Documents\GitHub\eaglep3-reporting\EC\2016-09-08-refined-times.txt</v>
      </c>
      <c r="AI208" s="137" t="str">
        <f t="shared" si="87"/>
        <v>echo {"issue":{"subject":"","project_id":79,"tracker_id":40,"status_id":1,"priority_id":2,"assigned_to_id":23,"start_date":"2016-09-08","description":"","custom_fields":[{"id":1,"name":"Subdivision","value":"Other"},{"id":4,"name":"Milepost","value":"11.7534"},{"id":17,"name":"Train ID","value":"311-07"},{"id":16,"name":"Locomotive ID","value":"4051"},{"id":130,"name":"Impact","value":""},{"id":150,"name":"Time of Event (Mountain Time)","value":"03:13:32"},{"id":151,"name":"Denver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656</v>
      </c>
      <c r="B209" s="7">
        <v>4016</v>
      </c>
      <c r="C209" s="24" t="s">
        <v>109</v>
      </c>
      <c r="D209" s="24" t="s">
        <v>657</v>
      </c>
      <c r="E209" s="15">
        <v>42622.049537037034</v>
      </c>
      <c r="F209" s="15">
        <v>25568.958333333332</v>
      </c>
      <c r="G209" s="7">
        <v>1</v>
      </c>
      <c r="H209" s="15" t="s">
        <v>658</v>
      </c>
      <c r="I209" s="15">
        <v>25568.958333333332</v>
      </c>
      <c r="J209" s="7">
        <v>0</v>
      </c>
      <c r="K209" s="122" t="str">
        <f t="shared" si="108"/>
        <v>4015/4016</v>
      </c>
      <c r="L209" s="24" t="str">
        <f>VLOOKUP(A209,'Trips&amp;Operators'!$C$1:$E$10000,3,FALSE)</f>
        <v>STAMBAUGH</v>
      </c>
      <c r="M209" s="6">
        <f t="shared" si="91"/>
        <v>0</v>
      </c>
      <c r="N209" s="7">
        <f t="shared" si="107"/>
        <v>0</v>
      </c>
      <c r="O209" s="7"/>
      <c r="P209" s="7"/>
      <c r="Q209" s="25"/>
      <c r="R209" s="25"/>
      <c r="S209" s="37">
        <f t="shared" si="93"/>
        <v>1</v>
      </c>
      <c r="T209" s="52" t="str">
        <f t="shared" si="109"/>
        <v>NorthBound</v>
      </c>
      <c r="U209" s="16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https://search-rtdc-monitor-bjffxe2xuh6vdkpspy63sjmuny.us-east-1.es.amazonaws.com/_plugin/kibana/#/discover/Steve-Slow-Train-Analysis-(2080s-and-2083s)?_g=(refreshInterval:(display:Off,section:0,value:0),time:(from:'2016-09-09 00:11:20-0600',mode:absolute,to:'1970-01-01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09" s="54" t="str">
        <f t="shared" si="95"/>
        <v>Y</v>
      </c>
      <c r="X209" s="172">
        <f t="shared" si="112"/>
        <v>0</v>
      </c>
      <c r="Y209" s="69">
        <f t="shared" si="96"/>
        <v>7.5200000000000003E-2</v>
      </c>
      <c r="Z209" s="69">
        <f t="shared" si="97"/>
        <v>2.3306</v>
      </c>
      <c r="AA209" s="69">
        <f t="shared" si="98"/>
        <v>2.2553999999999998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 t="shared" si="110"/>
        <v>0311-08</v>
      </c>
      <c r="AE209" s="99" t="str">
        <f t="shared" si="99"/>
        <v>aws s3 cp s3://rtdc.mdm.uploadarchive/RTDC4016/1969-12-31/ "%USERPROFILE%\AppData\Local\Temp\OnboardLogs"\RTDC4016\1969-12-31 --recursive &amp; "%USERPROFILE%\Documents\GitHub\mrs-test-scripts\Headless Mode &amp; Sideloading\WalkAndUnGZ.bat" "%USERPROFILE%\AppData\Local\Temp\OnboardLogs"\RTDC4016\1969-12-31 &amp; aws s3 cp s3://rtdc.mdm.uploadarchive/RTDC4016/1970-01-01/ "%USERPROFILE%\AppData\Local\Temp\OnboardLogs"\RTDC4016\1970-01-01 --recursive &amp; "%USERPROFILE%\Documents\GitHub\mrs-test-scripts\Headless Mode &amp; Sideloading\WalkAndUnGZ.bat" "%USERPROFILE%\AppData\Local\Temp\OnboardLogs"\RTDC4016\1970-01-01</v>
      </c>
      <c r="AF209" s="96" t="str">
        <f t="shared" si="100"/>
        <v>"C:\Program Files (x86)\AstroGrep\AstroGrep.exe" /spath="%USERPROFILE%\AppData\Local\Temp\OnboardLogs" /stypes="*4016*19700101*" /stext=" 05:.+((SYSTEM_STATE.+slice.+state.+changed )|(ment ac)|(system.+state.+changed )|(\|lc)|(penalty)|(\[timeout)|(PRM\|1\|D)|(kpr)|(kdp))" /e /r /s</v>
      </c>
      <c r="AG209" s="1" t="str">
        <f t="shared" si="111"/>
        <v>Other</v>
      </c>
      <c r="AH209" s="100" t="str">
        <f t="shared" si="86"/>
        <v>"%USERPROFILE%\Documents\GitHub\eaglep3\Utilities\RefineRTDCRunTimes.py" --tripid 311-08 --locoid 4016 --swversion DE.1.0.7.0 --startMP 204:752 --initTime 2016-09-09T01:11:20 --startdatetime 1969-12-31T23:00:00 --delay 1 --endMP 300:23306 --enddatetime 1969-12-31T23:00:00 --enforcementcount 0 &gt;&gt;C:\Users\stu\Documents\GitHub\eaglep3-reporting\EC\2016-09-08-refined-times.txt</v>
      </c>
      <c r="AI209" s="137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{"issue":{"subject":"","project_id":79,"tracker_id":40,"status_id":1,"priority_id":2,"assigned_to_id":23,"start_date":"1969-12-31","description":"","custom_fields":[{"id":1,"name":"Subdivision","value":"Other"},{"id":4,"name":"Milepost","value":"2.2554"},{"id":17,"name":"Train ID","value":"311-08"},{"id":16,"name":"Locomotive ID","value":"4016"},{"id":130,"name":"Impact","value":""},{"id":150,"name":"Time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234</v>
      </c>
      <c r="B210" s="7">
        <v>4052</v>
      </c>
      <c r="C210" s="24" t="s">
        <v>408</v>
      </c>
      <c r="D210" s="24" t="s">
        <v>413</v>
      </c>
      <c r="E210" s="15">
        <v>42621.100358796299</v>
      </c>
      <c r="F210" s="15">
        <v>42621.137638888889</v>
      </c>
      <c r="G210" s="7">
        <v>0</v>
      </c>
      <c r="H210" s="15" t="s">
        <v>414</v>
      </c>
      <c r="I210" s="15">
        <v>42621.151597222219</v>
      </c>
      <c r="J210" s="7">
        <v>0</v>
      </c>
      <c r="K210" s="122" t="str">
        <f t="shared" si="108"/>
        <v>4051/4052</v>
      </c>
      <c r="L210" s="24" t="b">
        <f>VLOOKUP(A210,'Trips&amp;Operators'!$C$1:$E$10000,3,FALSE)</f>
        <v>1</v>
      </c>
      <c r="M210" s="6">
        <f t="shared" si="91"/>
        <v>1.395833332935581E-2</v>
      </c>
      <c r="N210" s="7">
        <f t="shared" si="107"/>
        <v>20.099999994272366</v>
      </c>
      <c r="O210" s="7"/>
      <c r="P210" s="7"/>
      <c r="Q210" s="25"/>
      <c r="R210" s="25"/>
      <c r="S210" s="37">
        <f t="shared" si="93"/>
        <v>0</v>
      </c>
      <c r="T210" s="52" t="str">
        <f t="shared" si="109"/>
        <v>NorthBound</v>
      </c>
      <c r="U210" s="16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01:24:31-0600',mode:absolute,to:'2016-09-08 04:38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4052%22')),sort:!(Time,asc))</v>
      </c>
      <c r="W210" s="54" t="str">
        <f t="shared" si="95"/>
        <v>N</v>
      </c>
      <c r="X210" s="172">
        <f t="shared" si="112"/>
        <v>2</v>
      </c>
      <c r="Y210" s="69">
        <f t="shared" si="96"/>
        <v>12.7834</v>
      </c>
      <c r="Z210" s="69">
        <f t="shared" si="97"/>
        <v>1.0289999999999999</v>
      </c>
      <c r="AA210" s="69">
        <f t="shared" si="98"/>
        <v>11.7544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 t="shared" si="110"/>
        <v>0313-07</v>
      </c>
      <c r="AE210" s="99" t="str">
        <f t="shared" si="99"/>
        <v>aws s3 cp s3://rtdc.mdm.uploadarchive/RTDC4052/2016-09-08/ "%USERPROFILE%\AppData\Local\Temp\OnboardLogs"\RTDC4052\2016-09-08 --recursive &amp; "%USERPROFILE%\Documents\GitHub\mrs-test-scripts\Headless Mode &amp; Sideloading\WalkAndUnGZ.bat" "%USERPROFILE%\AppData\Local\Temp\OnboardLogs"\RTDC4052\2016-09-08 &amp; aws s3 cp s3://rtdc.mdm.uploadarchive/RTDC4052/2016-09-09/ "%USERPROFILE%\AppData\Local\Temp\OnboardLogs"\RTDC4052\2016-09-09 --recursive &amp; "%USERPROFILE%\Documents\GitHub\mrs-test-scripts\Headless Mode &amp; Sideloading\WalkAndUnGZ.bat" "%USERPROFILE%\AppData\Local\Temp\OnboardLogs"\RTDC4052\2016-09-09</v>
      </c>
      <c r="AF210" s="96" t="str">
        <f t="shared" si="100"/>
        <v>"C:\Program Files (x86)\AstroGrep\AstroGrep.exe" /spath="%USERPROFILE%\AppData\Local\Temp\OnboardLogs" /stypes="*4052*20160908*" /stext=" 09:.+((SYSTEM_STATE.+slice.+state.+changed )|(ment ac)|(system.+state.+changed )|(\|lc)|(penalty)|(\[timeout)|(PRM\|1\|D)|(kpr)|(kdp))" /e /r /s</v>
      </c>
      <c r="AG210" s="1" t="str">
        <f t="shared" si="111"/>
        <v>Other</v>
      </c>
      <c r="AH210" s="100" t="str">
        <f t="shared" si="86"/>
        <v>"%USERPROFILE%\Documents\GitHub\eaglep3\Utilities\RefineRTDCRunTimes.py" --tripid 313-07 --locoid 4052 --swversion DE.1.0.8.0.ENG1 --startMP 204:127834 --initTime 2016-09-08T02:24:31 --startdatetime 2016-09-08T03:18:12 --delay 0 --endMP 204:10290 --enddatetime 2016-09-08T03:38:18 --enforcementcount 0 &gt;&gt;C:\Users\stu\Documents\GitHub\eaglep3-reporting\EC\2016-09-08-refined-times.txt</v>
      </c>
      <c r="AI210" s="137" t="str">
        <f t="shared" si="87"/>
        <v>echo {"issue":{"subject":"","project_id":79,"tracker_id":40,"status_id":1,"priority_id":2,"assigned_to_id":23,"start_date":"2016-09-08","description":"","custom_fields":[{"id":1,"name":"Subdivision","value":"Other"},{"id":4,"name":"Milepost","value":"11.7544"},{"id":17,"name":"Train ID","value":"313-07"},{"id":16,"name":"Locomotive ID","value":"4052"},{"id":130,"name":"Impact","value":""},{"id":150,"name":"Time of Event (Mountain Time)","value":"03:38:18"},{"id":151,"name":"Denver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234</v>
      </c>
      <c r="B211" s="7">
        <v>4052</v>
      </c>
      <c r="C211" s="24" t="s">
        <v>408</v>
      </c>
      <c r="D211" s="24" t="s">
        <v>415</v>
      </c>
      <c r="E211" s="15">
        <v>42621.135937500003</v>
      </c>
      <c r="F211" s="15">
        <v>42621.137638888889</v>
      </c>
      <c r="G211" s="7">
        <v>0</v>
      </c>
      <c r="H211" s="15" t="s">
        <v>416</v>
      </c>
      <c r="I211" s="15">
        <v>42621.151597222219</v>
      </c>
      <c r="J211" s="7">
        <v>0</v>
      </c>
      <c r="K211" s="122" t="str">
        <f t="shared" si="108"/>
        <v>4051/4052</v>
      </c>
      <c r="L211" s="24" t="b">
        <f>VLOOKUP(A211,'Trips&amp;Operators'!$C$1:$E$10000,3,FALSE)</f>
        <v>1</v>
      </c>
      <c r="M211" s="6">
        <f t="shared" si="91"/>
        <v>1.395833332935581E-2</v>
      </c>
      <c r="N211" s="7">
        <f t="shared" si="107"/>
        <v>20.099999994272366</v>
      </c>
      <c r="O211" s="7"/>
      <c r="P211" s="7"/>
      <c r="Q211" s="25"/>
      <c r="R211" s="25"/>
      <c r="S211" s="37">
        <f t="shared" si="93"/>
        <v>0</v>
      </c>
      <c r="T211" s="52" t="str">
        <f t="shared" si="109"/>
        <v>NorthBound</v>
      </c>
      <c r="U211" s="16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02:15:45-0600',mode:absolute,to:'2016-09-08 04:38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4052%22')),sort:!(Time,asc))</v>
      </c>
      <c r="W211" s="54" t="str">
        <f t="shared" si="95"/>
        <v>N</v>
      </c>
      <c r="X211" s="172">
        <f t="shared" si="112"/>
        <v>0</v>
      </c>
      <c r="Y211" s="69">
        <f t="shared" si="96"/>
        <v>12.7842</v>
      </c>
      <c r="Z211" s="69">
        <f t="shared" si="97"/>
        <v>0.87319999999999998</v>
      </c>
      <c r="AA211" s="69">
        <f t="shared" si="98"/>
        <v>11.911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 t="shared" si="110"/>
        <v>0313-07</v>
      </c>
      <c r="AE211" s="99" t="str">
        <f t="shared" si="99"/>
        <v>aws s3 cp s3://rtdc.mdm.uploadarchive/RTDC4052/2016-09-08/ "%USERPROFILE%\AppData\Local\Temp\OnboardLogs"\RTDC4052\2016-09-08 --recursive &amp; "%USERPROFILE%\Documents\GitHub\mrs-test-scripts\Headless Mode &amp; Sideloading\WalkAndUnGZ.bat" "%USERPROFILE%\AppData\Local\Temp\OnboardLogs"\RTDC4052\2016-09-08 &amp; aws s3 cp s3://rtdc.mdm.uploadarchive/RTDC4052/2016-09-09/ "%USERPROFILE%\AppData\Local\Temp\OnboardLogs"\RTDC4052\2016-09-09 --recursive &amp; "%USERPROFILE%\Documents\GitHub\mrs-test-scripts\Headless Mode &amp; Sideloading\WalkAndUnGZ.bat" "%USERPROFILE%\AppData\Local\Temp\OnboardLogs"\RTDC4052\2016-09-09</v>
      </c>
      <c r="AF211" s="96" t="str">
        <f t="shared" si="100"/>
        <v>"C:\Program Files (x86)\AstroGrep\AstroGrep.exe" /spath="%USERPROFILE%\AppData\Local\Temp\OnboardLogs" /stypes="*4052*20160908*" /stext=" 09:.+((SYSTEM_STATE.+slice.+state.+changed )|(ment ac)|(system.+state.+changed )|(\|lc)|(penalty)|(\[timeout)|(PRM\|1\|D)|(kpr)|(kdp))" /e /r /s</v>
      </c>
      <c r="AG211" s="1" t="str">
        <f t="shared" si="111"/>
        <v>Other</v>
      </c>
      <c r="AH211" s="100" t="str">
        <f t="shared" si="86"/>
        <v>"%USERPROFILE%\Documents\GitHub\eaglep3\Utilities\RefineRTDCRunTimes.py" --tripid 313-07 --locoid 4052 --swversion DE.1.0.8.0.ENG1 --startMP 204:127842 --initTime 2016-09-08T03:15:45 --startdatetime 2016-09-08T03:18:12 --delay 0 --endMP 204:8732 --enddatetime 2016-09-08T03:38:18 --enforcementcount 0 &gt;&gt;C:\Users\stu\Documents\GitHub\eaglep3-reporting\EC\2016-09-08-refined-times.txt</v>
      </c>
      <c r="AI211" s="137" t="str">
        <f t="shared" si="87"/>
        <v>echo {"issue":{"subject":"","project_id":79,"tracker_id":40,"status_id":1,"priority_id":2,"assigned_to_id":23,"start_date":"2016-09-08","description":"","custom_fields":[{"id":1,"name":"Subdivision","value":"Other"},{"id":4,"name":"Milepost","value":"11.911"},{"id":17,"name":"Train ID","value":"313-07"},{"id":16,"name":"Locomotive ID","value":"4052"},{"id":130,"name":"Impact","value":""},{"id":150,"name":"Time of Event (Mountain Time)","value":"03:38:18"},{"id":151,"name":"Denver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659</v>
      </c>
      <c r="B212" s="7">
        <v>4031</v>
      </c>
      <c r="C212" s="24" t="s">
        <v>109</v>
      </c>
      <c r="D212" s="24" t="s">
        <v>660</v>
      </c>
      <c r="E212" s="15">
        <v>42622.071608796294</v>
      </c>
      <c r="F212" s="15">
        <v>25568.958333333332</v>
      </c>
      <c r="G212" s="7">
        <v>1</v>
      </c>
      <c r="H212" s="15" t="s">
        <v>658</v>
      </c>
      <c r="I212" s="15">
        <v>25568.958333333332</v>
      </c>
      <c r="J212" s="7">
        <v>0</v>
      </c>
      <c r="K212" s="122" t="str">
        <f t="shared" si="108"/>
        <v>4031/4032</v>
      </c>
      <c r="L212" s="24" t="str">
        <f>VLOOKUP(A212,'Trips&amp;Operators'!$C$1:$E$10000,3,FALSE)</f>
        <v>OUN</v>
      </c>
      <c r="M212" s="6">
        <f t="shared" si="91"/>
        <v>0</v>
      </c>
      <c r="N212" s="7">
        <f t="shared" si="107"/>
        <v>0</v>
      </c>
      <c r="O212" s="7"/>
      <c r="P212" s="7"/>
      <c r="Q212" s="25"/>
      <c r="R212" s="25"/>
      <c r="S212" s="37">
        <f t="shared" si="93"/>
        <v>1</v>
      </c>
      <c r="T212" s="52" t="str">
        <f t="shared" si="109"/>
        <v>NorthBound</v>
      </c>
      <c r="U212" s="16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https://search-rtdc-monitor-bjffxe2xuh6vdkpspy63sjmuny.us-east-1.es.amazonaws.com/_plugin/kibana/#/discover/Steve-Slow-Train-Analysis-(2080s-and-2083s)?_g=(refreshInterval:(display:Off,section:0,value:0),time:(from:'2016-09-09 00:43:07-0600',mode:absolute,to:'1970-01-01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12" s="54" t="str">
        <f t="shared" si="95"/>
        <v>Y</v>
      </c>
      <c r="X212" s="172">
        <f t="shared" si="112"/>
        <v>0</v>
      </c>
      <c r="Y212" s="69">
        <f t="shared" si="96"/>
        <v>7.6600000000000001E-2</v>
      </c>
      <c r="Z212" s="69">
        <f t="shared" si="97"/>
        <v>2.3306</v>
      </c>
      <c r="AA212" s="69">
        <f t="shared" si="98"/>
        <v>2.254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 t="shared" si="110"/>
        <v>0313-08</v>
      </c>
      <c r="AE212" s="99" t="str">
        <f t="shared" si="99"/>
        <v>aws s3 cp s3://rtdc.mdm.uploadarchive/RTDC4031/1969-12-31/ "%USERPROFILE%\AppData\Local\Temp\OnboardLogs"\RTDC4031\1969-12-31 --recursive &amp; "%USERPROFILE%\Documents\GitHub\mrs-test-scripts\Headless Mode &amp; Sideloading\WalkAndUnGZ.bat" "%USERPROFILE%\AppData\Local\Temp\OnboardLogs"\RTDC4031\1969-12-31 &amp; aws s3 cp s3://rtdc.mdm.uploadarchive/RTDC4031/1970-01-01/ "%USERPROFILE%\AppData\Local\Temp\OnboardLogs"\RTDC4031\1970-01-01 --recursive &amp; "%USERPROFILE%\Documents\GitHub\mrs-test-scripts\Headless Mode &amp; Sideloading\WalkAndUnGZ.bat" "%USERPROFILE%\AppData\Local\Temp\OnboardLogs"\RTDC4031\1970-01-01</v>
      </c>
      <c r="AF212" s="96" t="str">
        <f t="shared" si="100"/>
        <v>"C:\Program Files (x86)\AstroGrep\AstroGrep.exe" /spath="%USERPROFILE%\AppData\Local\Temp\OnboardLogs" /stypes="*4031*19700101*" /stext=" 05:.+((SYSTEM_STATE.+slice.+state.+changed )|(ment ac)|(system.+state.+changed )|(\|lc)|(penalty)|(\[timeout)|(PRM\|1\|D)|(kpr)|(kdp))" /e /r /s</v>
      </c>
      <c r="AG212" s="1" t="str">
        <f t="shared" si="111"/>
        <v>Other</v>
      </c>
      <c r="AH212" s="100" t="str">
        <f t="shared" si="86"/>
        <v>"%USERPROFILE%\Documents\GitHub\eaglep3\Utilities\RefineRTDCRunTimes.py" --tripid 313-08 --locoid 4031 --swversion DE.1.0.7.0 --startMP 204:766 --initTime 2016-09-09T01:43:07 --startdatetime 1969-12-31T23:00:00 --delay 1 --endMP 300:23306 --enddatetime 1969-12-31T23:00:00 --enforcementcount 0 &gt;&gt;C:\Users\stu\Documents\GitHub\eaglep3-reporting\EC\2016-09-08-refined-times.txt</v>
      </c>
      <c r="AI212" s="137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{"issue":{"subject":"","project_id":79,"tracker_id":40,"status_id":1,"priority_id":2,"assigned_to_id":23,"start_date":"1969-12-31","description":"","custom_fields":[{"id":1,"name":"Subdivision","value":"Other"},{"id":4,"name":"Milepost","value":"2.254"},{"id":17,"name":"Train ID","value":"313-08"},{"id":16,"name":"Locomotive ID","value":"4031"},{"id":130,"name":"Impact","value":""},{"id":150,"name":"Time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661</v>
      </c>
      <c r="B213" s="7">
        <v>4014</v>
      </c>
      <c r="C213" s="24" t="s">
        <v>109</v>
      </c>
      <c r="D213" s="24" t="s">
        <v>662</v>
      </c>
      <c r="E213" s="15">
        <v>42622.09171296296</v>
      </c>
      <c r="F213" s="15">
        <v>42622.095914351848</v>
      </c>
      <c r="G213" s="7">
        <v>1</v>
      </c>
      <c r="H213" s="15" t="s">
        <v>663</v>
      </c>
      <c r="I213" s="15">
        <v>42622.102824074071</v>
      </c>
      <c r="J213" s="7">
        <v>0</v>
      </c>
      <c r="K213" s="122" t="str">
        <f t="shared" si="108"/>
        <v>4013/4014</v>
      </c>
      <c r="L213" s="24" t="str">
        <f>VLOOKUP(A213,'Trips&amp;Operators'!$C$1:$E$10000,3,FALSE)</f>
        <v>ARVIDSON</v>
      </c>
      <c r="M213" s="6">
        <f t="shared" si="91"/>
        <v>6.9097222221898846E-3</v>
      </c>
      <c r="N213" s="7">
        <f t="shared" si="107"/>
        <v>9.9499999999534339</v>
      </c>
      <c r="O213" s="7"/>
      <c r="P213" s="7"/>
      <c r="Q213" s="25"/>
      <c r="R213" s="25"/>
      <c r="S213" s="37">
        <f t="shared" si="93"/>
        <v>1</v>
      </c>
      <c r="T213" s="52" t="str">
        <f t="shared" si="109"/>
        <v>NorthBound</v>
      </c>
      <c r="U213" s="16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https://search-rtdc-monitor-bjffxe2xuh6vdkpspy63sjmuny.us-east-1.es.amazonaws.com/_plugin/kibana/#/discover/Steve-Slow-Train-Analysis-(2080s-and-2083s)?_g=(refreshInterval:(display:Off,section:0,value:0),time:(from:'2016-09-09 01:12:04-0600',mode:absolute,to:'2016-09-09 03:28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13" s="54" t="str">
        <f t="shared" si="95"/>
        <v>Y</v>
      </c>
      <c r="X213" s="172">
        <f t="shared" si="112"/>
        <v>2</v>
      </c>
      <c r="Y213" s="69">
        <f t="shared" si="96"/>
        <v>7.2800000000000004E-2</v>
      </c>
      <c r="Z213" s="69">
        <f t="shared" si="97"/>
        <v>2.2629000000000001</v>
      </c>
      <c r="AA213" s="69">
        <f t="shared" si="98"/>
        <v>2.1901000000000002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 t="shared" si="110"/>
        <v>0315-08</v>
      </c>
      <c r="AE213" s="99" t="str">
        <f t="shared" si="99"/>
        <v>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 &amp; aws s3 cp s3://rtdc.mdm.uploadarchive/RTDC4014/2016-09-10/ "%USERPROFILE%\AppData\Local\Temp\OnboardLogs"\RTDC4014\2016-09-10 --recursive &amp; "%USERPROFILE%\Documents\GitHub\mrs-test-scripts\Headless Mode &amp; Sideloading\WalkAndUnGZ.bat" "%USERPROFILE%\AppData\Local\Temp\OnboardLogs"\RTDC4014\2016-09-10</v>
      </c>
      <c r="AF213" s="96" t="str">
        <f t="shared" si="100"/>
        <v>"C:\Program Files (x86)\AstroGrep\AstroGrep.exe" /spath="%USERPROFILE%\AppData\Local\Temp\OnboardLogs" /stypes="*4014*20160909*" /stext=" 08:.+((SYSTEM_STATE.+slice.+state.+changed )|(ment ac)|(system.+state.+changed )|(\|lc)|(penalty)|(\[timeout)|(PRM\|1\|D)|(kpr)|(kdp))" /e /r /s</v>
      </c>
      <c r="AG213" s="1" t="str">
        <f t="shared" si="111"/>
        <v>Other</v>
      </c>
      <c r="AH213" s="100" t="str">
        <f t="shared" si="86"/>
        <v>"%USERPROFILE%\Documents\GitHub\eaglep3\Utilities\RefineRTDCRunTimes.py" --tripid 315-08 --locoid 4014 --swversion DE.1.0.7.0 --startMP 204:728 --initTime 2016-09-09T02:12:04 --startdatetime 2016-09-09T02:18:07 --delay 1 --endMP 300:22629 --enddatetime 2016-09-09T02:28:04 --enforcementcount 0 &gt;&gt;C:\Users\stu\Documents\GitHub\eaglep3-reporting\EC\2016-09-08-refined-times.txt</v>
      </c>
      <c r="AI213" s="137" t="str">
        <f t="shared" si="87"/>
        <v>echo {"issue":{"subject":"","project_id":79,"tracker_id":40,"status_id":1,"priority_id":2,"assigned_to_id":23,"start_date":"2016-09-09","description":"","custom_fields":[{"id":1,"name":"Subdivision","value":"Other"},{"id":4,"name":"Milepost","value":"2.1901"},{"id":17,"name":"Train ID","value":"315-08"},{"id":16,"name":"Locomotive ID","value":"4014"},{"id":130,"name":"Impact","value":""},{"id":150,"name":"Time of Event (Mountain Time)","value":"02:28:04"},{"id":151,"name":"Denver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474</v>
      </c>
      <c r="B214" s="7">
        <v>4038</v>
      </c>
      <c r="C214" s="24" t="s">
        <v>109</v>
      </c>
      <c r="D214" s="24" t="s">
        <v>475</v>
      </c>
      <c r="E214" s="15">
        <v>42621.353576388887</v>
      </c>
      <c r="F214" s="15">
        <v>42621.355231481481</v>
      </c>
      <c r="G214" s="7">
        <v>1</v>
      </c>
      <c r="H214" s="15" t="s">
        <v>476</v>
      </c>
      <c r="I214" s="15">
        <v>42621.355381944442</v>
      </c>
      <c r="J214" s="7">
        <v>0</v>
      </c>
      <c r="K214" s="122" t="str">
        <f t="shared" si="108"/>
        <v>4037/4038</v>
      </c>
      <c r="L214" s="24" t="str">
        <f>VLOOKUP(A214,'Trips&amp;Operators'!$C$1:$E$10000,3,FALSE)</f>
        <v>YORK</v>
      </c>
      <c r="M214" s="6">
        <f t="shared" si="91"/>
        <v>1.5046296175569296E-4</v>
      </c>
      <c r="N214" s="7">
        <f t="shared" si="107"/>
        <v>0.21666666492819786</v>
      </c>
      <c r="O214" s="7"/>
      <c r="P214" s="7"/>
      <c r="Q214" s="25"/>
      <c r="R214" s="25"/>
      <c r="S214" s="37">
        <f t="shared" si="93"/>
        <v>0</v>
      </c>
      <c r="T214" s="52" t="str">
        <f t="shared" si="109"/>
        <v>NorthBound</v>
      </c>
      <c r="U214" s="16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07:29:09-0600',mode:absolute,to:'2016-09-08 09:31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214" s="54" t="str">
        <f t="shared" si="95"/>
        <v>Y</v>
      </c>
      <c r="X214" s="172">
        <f t="shared" si="112"/>
        <v>588</v>
      </c>
      <c r="Y214" s="69">
        <f t="shared" si="96"/>
        <v>7.7299999999999994E-2</v>
      </c>
      <c r="Z214" s="69">
        <f t="shared" si="97"/>
        <v>0.11260000000000001</v>
      </c>
      <c r="AA214" s="69">
        <f t="shared" si="98"/>
        <v>3.5300000000000012E-2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 t="shared" si="110"/>
        <v>0903-08</v>
      </c>
      <c r="AE214" s="99" t="str">
        <f t="shared" si="99"/>
        <v>aws s3 cp s3://rtdc.mdm.uploadarchive/RTDC4038/2016-09-08/ "%USERPROFILE%\AppData\Local\Temp\OnboardLogs"\RTDC4038\2016-09-08 --recursive &amp; "%USERPROFILE%\Documents\GitHub\mrs-test-scripts\Headless Mode &amp; Sideloading\WalkAndUnGZ.bat" "%USERPROFILE%\AppData\Local\Temp\OnboardLogs"\RTDC4038\2016-09-08 &amp; 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</v>
      </c>
      <c r="AF214" s="96" t="str">
        <f t="shared" si="100"/>
        <v>"C:\Program Files (x86)\AstroGrep\AstroGrep.exe" /spath="%USERPROFILE%\AppData\Local\Temp\OnboardLogs" /stypes="*4038*20160908*" /stext=" 14:.+((SYSTEM_STATE.+slice.+state.+changed )|(ment ac)|(system.+state.+changed )|(\|lc)|(penalty)|(\[timeout)|(PRM\|1\|D)|(kpr)|(kdp))" /e /r /s</v>
      </c>
      <c r="AG214" s="1" t="str">
        <f t="shared" si="111"/>
        <v>Other</v>
      </c>
      <c r="AH214" s="100" t="str">
        <f t="shared" si="86"/>
        <v>"%USERPROFILE%\Documents\GitHub\eaglep3\Utilities\RefineRTDCRunTimes.py" --tripid 903-08 --locoid 4038 --swversion DE.1.0.7.0 --startMP 204:773 --initTime 2016-09-08T08:29:09 --startdatetime 2016-09-08T08:31:32 --delay 1 --endMP 204:1126 --enddatetime 2016-09-08T08:31:45 --enforcementcount 0 &gt;&gt;C:\Users\stu\Documents\GitHub\eaglep3-reporting\EC\2016-09-08-refined-times.txt</v>
      </c>
      <c r="AI214" s="137" t="str">
        <f t="shared" si="87"/>
        <v>echo {"issue":{"subject":"","project_id":79,"tracker_id":40,"status_id":1,"priority_id":2,"assigned_to_id":23,"start_date":"2016-09-08","description":"","custom_fields":[{"id":1,"name":"Subdivision","value":"Other"},{"id":4,"name":"Milepost","value":"0.0353"},{"id":17,"name":"Train ID","value":"903-08"},{"id":16,"name":"Locomotive ID","value":"4038"},{"id":130,"name":"Impact","value":""},{"id":150,"name":"Time of Event (Mountain Time)","value":"08:31:45"},{"id":151,"name":"Denver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725</v>
      </c>
      <c r="B215" s="7">
        <v>4037</v>
      </c>
      <c r="C215" s="24" t="s">
        <v>109</v>
      </c>
      <c r="D215" s="24" t="s">
        <v>726</v>
      </c>
      <c r="E215" s="15">
        <v>42621.79791666667</v>
      </c>
      <c r="F215" s="15">
        <v>42621.799629629626</v>
      </c>
      <c r="G215" s="7">
        <v>1</v>
      </c>
      <c r="H215" s="15" t="s">
        <v>727</v>
      </c>
      <c r="I215" s="15">
        <v>42621.804189814815</v>
      </c>
      <c r="J215" s="7">
        <v>0</v>
      </c>
      <c r="K215" s="122" t="str">
        <f t="shared" si="108"/>
        <v>4037/4038</v>
      </c>
      <c r="L215" s="24" t="str">
        <f>VLOOKUP(A215,'Trips&amp;Operators'!$C$1:$E$10000,3,FALSE)</f>
        <v>HOMIK</v>
      </c>
      <c r="M215" s="6">
        <f t="shared" si="91"/>
        <v>4.5601851888932288E-3</v>
      </c>
      <c r="N215" s="7">
        <f t="shared" si="107"/>
        <v>6.5666666720062494</v>
      </c>
      <c r="O215" s="7"/>
      <c r="P215" s="7"/>
      <c r="Q215" s="25"/>
      <c r="R215" s="25"/>
      <c r="S215" s="37">
        <f t="shared" si="93"/>
        <v>0</v>
      </c>
      <c r="T215" s="52" t="str">
        <f t="shared" si="109"/>
        <v>Southbound</v>
      </c>
      <c r="U215" s="16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18:09:00-0600',mode:absolute,to:'2016-09-08 20:18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215" s="54" t="str">
        <f t="shared" si="95"/>
        <v>Y</v>
      </c>
      <c r="X215" s="172">
        <f t="shared" si="112"/>
        <v>3</v>
      </c>
      <c r="Y215" s="69">
        <f t="shared" si="96"/>
        <v>5.8582999999999998</v>
      </c>
      <c r="Z215" s="69">
        <f t="shared" si="97"/>
        <v>2.1755</v>
      </c>
      <c r="AA215" s="69">
        <f t="shared" si="98"/>
        <v>3.6827999999999999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 t="shared" si="110"/>
        <v>0906-08</v>
      </c>
      <c r="AE215" s="99" t="str">
        <f t="shared" si="99"/>
        <v>aws s3 cp s3://rtdc.mdm.uploadarchive/RTDC4037/2016-09-08/ "%USERPROFILE%\AppData\Local\Temp\OnboardLogs"\RTDC4037\2016-09-08 --recursive &amp; "%USERPROFILE%\Documents\GitHub\mrs-test-scripts\Headless Mode &amp; Sideloading\WalkAndUnGZ.bat" "%USERPROFILE%\AppData\Local\Temp\OnboardLogs"\RTDC4037\2016-09-08 &amp; aws s3 cp s3://rtdc.mdm.uploadarchive/RTDC4037/2016-09-09/ "%USERPROFILE%\AppData\Local\Temp\OnboardLogs"\RTDC4037\2016-09-09 --recursive &amp; "%USERPROFILE%\Documents\GitHub\mrs-test-scripts\Headless Mode &amp; Sideloading\WalkAndUnGZ.bat" "%USERPROFILE%\AppData\Local\Temp\OnboardLogs"\RTDC4037\2016-09-09</v>
      </c>
      <c r="AF215" s="96" t="str">
        <f t="shared" si="100"/>
        <v>"C:\Program Files (x86)\AstroGrep\AstroGrep.exe" /spath="%USERPROFILE%\AppData\Local\Temp\OnboardLogs" /stypes="*4037*20160909*" /stext=" 01:.+((SYSTEM_STATE.+slice.+state.+changed )|(ment ac)|(system.+state.+changed )|(\|lc)|(penalty)|(\[timeout)|(PRM\|1\|D)|(kpr)|(kdp))" /e /r /s</v>
      </c>
      <c r="AG215" s="1" t="str">
        <f t="shared" si="111"/>
        <v>Other</v>
      </c>
      <c r="AH215" s="100" t="str">
        <f t="shared" si="86"/>
        <v>"%USERPROFILE%\Documents\GitHub\eaglep3\Utilities\RefineRTDCRunTimes.py" --tripid 906-08 --locoid 4037 --swversion DE.1.0.7.0 --startMP 300:58583 --initTime 2016-09-08T19:09:00 --startdatetime 2016-09-08T19:11:28 --delay 1 --endMP 300:21755 --enddatetime 2016-09-08T19:18:02 --enforcementcount 0 &gt;&gt;C:\Users\stu\Documents\GitHub\eaglep3-reporting\EC\2016-09-08-refined-times.txt</v>
      </c>
      <c r="AI215" s="137" t="str">
        <f t="shared" si="87"/>
        <v>echo {"issue":{"subject":"","project_id":79,"tracker_id":40,"status_id":1,"priority_id":2,"assigned_to_id":23,"start_date":"2016-09-08","description":"","custom_fields":[{"id":1,"name":"Subdivision","value":"Other"},{"id":4,"name":"Milepost","value":"3.6828"},{"id":17,"name":"Train ID","value":"906-08"},{"id":16,"name":"Locomotive ID","value":"4037"},{"id":130,"name":"Impact","value":""},{"id":150,"name":"Time of Event (Mountain Time)","value":"19:18:02"},{"id":151,"name":"Denver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417</v>
      </c>
      <c r="B216" s="7">
        <v>4021</v>
      </c>
      <c r="C216" s="24" t="s">
        <v>109</v>
      </c>
      <c r="D216" s="24" t="s">
        <v>418</v>
      </c>
      <c r="E216" s="15">
        <v>42621.433587962965</v>
      </c>
      <c r="F216" s="15">
        <v>42621.436111111114</v>
      </c>
      <c r="G216" s="7">
        <v>3</v>
      </c>
      <c r="H216" s="15" t="s">
        <v>419</v>
      </c>
      <c r="I216" s="15">
        <v>42621.436273148145</v>
      </c>
      <c r="J216" s="7">
        <v>0</v>
      </c>
      <c r="K216" s="122" t="str">
        <f t="shared" si="108"/>
        <v>4021/4022</v>
      </c>
      <c r="L216" s="24" t="str">
        <f>VLOOKUP(A216,'Trips&amp;Operators'!$C$1:$E$10000,3,FALSE)</f>
        <v>BONDS</v>
      </c>
      <c r="M216" s="6">
        <f t="shared" si="91"/>
        <v>1.6203703125938773E-4</v>
      </c>
      <c r="N216" s="7">
        <f t="shared" si="107"/>
        <v>0.23333332501351833</v>
      </c>
      <c r="O216" s="7"/>
      <c r="P216" s="7"/>
      <c r="Q216" s="25"/>
      <c r="R216" s="25"/>
      <c r="S216" s="37">
        <f t="shared" si="93"/>
        <v>0</v>
      </c>
      <c r="T216" s="52" t="e">
        <f t="shared" si="109"/>
        <v>#VALUE!</v>
      </c>
      <c r="U216" s="16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09:24:22-0600',mode:absolute,to:'2016-09-08 11:28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216" s="54" t="str">
        <f t="shared" si="95"/>
        <v>Y</v>
      </c>
      <c r="X216" s="172" t="e">
        <f t="shared" si="112"/>
        <v>#VALUE!</v>
      </c>
      <c r="Y216" s="69">
        <f t="shared" si="96"/>
        <v>2.4613999999999998</v>
      </c>
      <c r="Z216" s="69">
        <f t="shared" si="97"/>
        <v>2.4216000000000002</v>
      </c>
      <c r="AA216" s="69">
        <f t="shared" si="98"/>
        <v>3.9799999999999613E-2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 t="shared" si="110"/>
        <v>50-08</v>
      </c>
      <c r="AE216" s="99" t="str">
        <f t="shared" si="99"/>
        <v>aws s3 cp s3://rtdc.mdm.uploadarchive/RTDC4021/2016-09-08/ "%USERPROFILE%\AppData\Local\Temp\OnboardLogs"\RTDC4021\2016-09-08 --recursive &amp; "%USERPROFILE%\Documents\GitHub\mrs-test-scripts\Headless Mode &amp; Sideloading\WalkAndUnGZ.bat" "%USERPROFILE%\AppData\Local\Temp\OnboardLogs"\RTDC4021\2016-09-08 &amp; aws s3 cp s3://rtdc.mdm.uploadarchive/RTDC4021/2016-09-09/ "%USERPROFILE%\AppData\Local\Temp\OnboardLogs"\RTDC4021\2016-09-09 --recursive &amp; "%USERPROFILE%\Documents\GitHub\mrs-test-scripts\Headless Mode &amp; Sideloading\WalkAndUnGZ.bat" "%USERPROFILE%\AppData\Local\Temp\OnboardLogs"\RTDC4021\2016-09-09</v>
      </c>
      <c r="AF216" s="96" t="str">
        <f t="shared" si="100"/>
        <v>"C:\Program Files (x86)\AstroGrep\AstroGrep.exe" /spath="%USERPROFILE%\AppData\Local\Temp\OnboardLogs" /stypes="*4021*20160908*" /stext=" 16:.+((SYSTEM_STATE.+slice.+state.+changed )|(ment ac)|(system.+state.+changed )|(\|lc)|(penalty)|(\[timeout)|(PRM\|1\|D)|(kpr)|(kdp))" /e /r /s</v>
      </c>
      <c r="AG216" s="1" t="str">
        <f t="shared" si="111"/>
        <v>Other</v>
      </c>
      <c r="AH216" s="100" t="str">
        <f t="shared" si="86"/>
        <v>"%USERPROFILE%\Documents\GitHub\eaglep3\Utilities\RefineRTDCRunTimes.py" --tripid 50-08 --locoid 4021 --swversion DE.1.0.7.0 --startMP 300:24614 --initTime 2016-09-08T10:24:22 --startdatetime 2016-09-08T10:28:00 --delay 3 --endMP 300:24216 --enddatetime 2016-09-08T10:28:14 --enforcementcount 0 &gt;&gt;C:\Users\stu\Documents\GitHub\eaglep3-reporting\EC\2016-09-08-refined-times.txt</v>
      </c>
      <c r="AI216" s="137" t="str">
        <f t="shared" si="87"/>
        <v>echo {"issue":{"subject":"","project_id":79,"tracker_id":40,"status_id":1,"priority_id":2,"assigned_to_id":23,"start_date":"2016-09-08","description":"","custom_fields":[{"id":1,"name":"Subdivision","value":"Other"},{"id":4,"name":"Milepost","value":"0.0397999999999996"},{"id":17,"name":"Train ID","value":"50-08"},{"id":16,"name":"Locomotive ID","value":"4021"},{"id":130,"name":"Impact","value":""},{"id":150,"name":"Time of Event (Mountain Time)","value":"10:28:14"},{"id":151,"name":"Denver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492</v>
      </c>
      <c r="B217" s="7">
        <v>4004</v>
      </c>
      <c r="C217" s="24" t="s">
        <v>109</v>
      </c>
      <c r="D217" s="24" t="s">
        <v>664</v>
      </c>
      <c r="E217" s="15">
        <v>42621.701863425929</v>
      </c>
      <c r="F217" s="15">
        <v>42621.703449074077</v>
      </c>
      <c r="G217" s="7">
        <v>1</v>
      </c>
      <c r="H217" s="15" t="s">
        <v>665</v>
      </c>
      <c r="I217" s="15">
        <v>42621.710138888891</v>
      </c>
      <c r="J217" s="7">
        <v>0</v>
      </c>
      <c r="K217" s="122" t="str">
        <f t="shared" si="108"/>
        <v>4003/4004</v>
      </c>
      <c r="L217" s="24" t="str">
        <f>VLOOKUP(A217,'Trips&amp;Operators'!$C$1:$E$10000,3,FALSE)</f>
        <v>LEVERE</v>
      </c>
      <c r="M217" s="6">
        <f t="shared" si="91"/>
        <v>6.6898148143081926E-3</v>
      </c>
      <c r="N217" s="7">
        <f t="shared" si="107"/>
        <v>9.6333333326037973</v>
      </c>
      <c r="O217" s="7"/>
      <c r="P217" s="7"/>
      <c r="Q217" s="25"/>
      <c r="R217" s="25"/>
      <c r="S217" s="37">
        <f t="shared" si="93"/>
        <v>0</v>
      </c>
      <c r="T217" s="52" t="e">
        <f t="shared" si="109"/>
        <v>#VALUE!</v>
      </c>
      <c r="U217" s="16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15:50:41-0600',mode:absolute,to:'2016-09-08 18:02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217" s="54" t="str">
        <f t="shared" si="95"/>
        <v>Y</v>
      </c>
      <c r="X217" s="172" t="e">
        <f t="shared" si="112"/>
        <v>#VALUE!</v>
      </c>
      <c r="Y217" s="69">
        <f t="shared" si="96"/>
        <v>2.4289999999999998</v>
      </c>
      <c r="Z217" s="69">
        <f t="shared" si="97"/>
        <v>9.7799999999999998E-2</v>
      </c>
      <c r="AA217" s="69">
        <f t="shared" si="98"/>
        <v>2.3311999999999999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 t="shared" si="110"/>
        <v>62-08</v>
      </c>
      <c r="AE217" s="99" t="str">
        <f t="shared" si="99"/>
        <v>aws s3 cp s3://rtdc.mdm.uploadarchive/RTDC4004/2016-09-08/ "%USERPROFILE%\AppData\Local\Temp\OnboardLogs"\RTDC4004\2016-09-08 --recursive &amp; "%USERPROFILE%\Documents\GitHub\mrs-test-scripts\Headless Mode &amp; Sideloading\WalkAndUnGZ.bat" "%USERPROFILE%\AppData\Local\Temp\OnboardLogs"\RTDC4004\2016-09-08 &amp; aws s3 cp s3://rtdc.mdm.uploadarchive/RTDC4004/2016-09-09/ "%USERPROFILE%\AppData\Local\Temp\OnboardLogs"\RTDC4004\2016-09-09 --recursive &amp; "%USERPROFILE%\Documents\GitHub\mrs-test-scripts\Headless Mode &amp; Sideloading\WalkAndUnGZ.bat" "%USERPROFILE%\AppData\Local\Temp\OnboardLogs"\RTDC4004\2016-09-09</v>
      </c>
      <c r="AF217" s="96" t="str">
        <f t="shared" si="100"/>
        <v>"C:\Program Files (x86)\AstroGrep\AstroGrep.exe" /spath="%USERPROFILE%\AppData\Local\Temp\OnboardLogs" /stypes="*4004*20160908*" /stext=" 23:.+((SYSTEM_STATE.+slice.+state.+changed )|(ment ac)|(system.+state.+changed )|(\|lc)|(penalty)|(\[timeout)|(PRM\|1\|D)|(kpr)|(kdp))" /e /r /s</v>
      </c>
      <c r="AG217" s="1" t="str">
        <f t="shared" si="111"/>
        <v>Other</v>
      </c>
      <c r="AH217" s="100" t="str">
        <f t="shared" ref="AH217:AH218" si="113">refinertdcruntimes&amp;" --tripid "&amp;A217&amp;" --locoid "&amp;B217&amp;" --swversion "&amp;C217&amp;" --startMP "&amp;D217&amp;" --initTime "&amp;TEXT(E217,"yyyy-mm-ddTHH:MM:SS")&amp;" --startdatetime "&amp;TEXT(F217,"yyyy-mm-ddTHH:MM:SS")&amp;" --delay "&amp;G217&amp;" --endMP "&amp;H217&amp;" --enddatetime "&amp;TEXT(I217,"yyyy-mm-ddTHH:MM:SS")&amp;" --enforcementcount "&amp;J217&amp;IF(outputrefinedruntimes," &gt;&gt;"&amp;RefinedRTDCRunTimesOutputFile,"")</f>
        <v>"%USERPROFILE%\Documents\GitHub\eaglep3\Utilities\RefineRTDCRunTimes.py" --tripid 62-08 --locoid 4004 --swversion DE.1.0.7.0 --startMP 300:24290 --initTime 2016-09-08T16:50:41 --startdatetime 2016-09-08T16:52:58 --delay 1 --endMP 204:978 --enddatetime 2016-09-08T17:02:36 --enforcementcount 0 &gt;&gt;C:\Users\stu\Documents\GitHub\eaglep3-reporting\EC\2016-09-08-refined-times.txt</v>
      </c>
      <c r="AI217" s="137" t="str">
        <f t="shared" ref="AI217:AI218" si="114">"echo {""issue"":{""subject"":"""&amp;R217&amp;""",""project_id"":79,""tracker_id"":40,""status_id"":"&amp;redmine_status&amp;",""priority_id"":"&amp;redmine_priority&amp;",""assigned_to_id"":"&amp;redmine_assignee&amp;",""start_date"":"""&amp;TEXT(I217,"YYYY-mm-dd")&amp;""",""description"":"""&amp;AJ217&amp;""",""custom_fields"":[{""id"":1,""name"":""Subdivision"",""value"":"""&amp;AG217&amp;"""},{""id"":4,""name"":""Milepost"",""value"":"""&amp;AA217&amp;"""},{""id"":17,""name"":""Train ID"",""value"":"""&amp;A217&amp;"""},{""id"":16,""name"":""Locomotive ID"",""value"":"""&amp;B217&amp;"""},{""id"":130,""name"":""Impact"",""value"":"""&amp;AK217&amp;"""},{""id"":150,""name"":""Time of Event (Mountain Time)"",""value"":"""&amp;TEXT(I217,"hh:mm:ss")&amp;"""},{""id"":151,""name"":""Denver Issue ID"",""value"":"""&amp;"""},{""id"":178,""name"":""Operational Impact"",""value"":"""&amp;redmine_op_impact&amp;"""},{""id"":179,""name"":""Denver Segment Assigned"",""value"":"""&amp;AL217&amp;"""}]}}"&amp;"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{"issue":{"subject":"","project_id":79,"tracker_id":40,"status_id":1,"priority_id":2,"assigned_to_id":23,"start_date":"2016-09-08","description":"","custom_fields":[{"id":1,"name":"Subdivision","value":"Other"},{"id":4,"name":"Milepost","value":"2.3312"},{"id":17,"name":"Train ID","value":"62-08"},{"id":16,"name":"Locomotive ID","value":"4004"},{"id":130,"name":"Impact","value":""},{"id":150,"name":"Time of Event (Mountain Time)","value":"17:02:36"},{"id":151,"name":"Denver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495</v>
      </c>
      <c r="B218" s="7">
        <v>4030</v>
      </c>
      <c r="C218" s="24" t="s">
        <v>109</v>
      </c>
      <c r="D218" s="24" t="s">
        <v>666</v>
      </c>
      <c r="E218" s="15">
        <v>42621.734594907408</v>
      </c>
      <c r="F218" s="15">
        <v>25568.958333333332</v>
      </c>
      <c r="G218" s="7">
        <v>2</v>
      </c>
      <c r="H218" s="15" t="s">
        <v>667</v>
      </c>
      <c r="I218" s="15">
        <v>25568.958333333332</v>
      </c>
      <c r="J218" s="7">
        <v>0</v>
      </c>
      <c r="K218" s="122" t="str">
        <f t="shared" si="108"/>
        <v>4029/4030</v>
      </c>
      <c r="L218" s="24" t="str">
        <f>VLOOKUP(A218,'Trips&amp;Operators'!$C$1:$E$10000,3,FALSE)</f>
        <v>OUN</v>
      </c>
      <c r="M218" s="6">
        <f t="shared" si="91"/>
        <v>0</v>
      </c>
      <c r="N218" s="7">
        <f t="shared" si="107"/>
        <v>0</v>
      </c>
      <c r="O218" s="7"/>
      <c r="P218" s="7"/>
      <c r="Q218" s="25"/>
      <c r="R218" s="25"/>
      <c r="S218" s="37">
        <f t="shared" si="93"/>
        <v>0</v>
      </c>
      <c r="T218" s="52" t="e">
        <f t="shared" si="109"/>
        <v>#VALUE!</v>
      </c>
      <c r="U218" s="16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6" t="str">
        <f t="shared" si="94"/>
        <v>https://search-rtdc-monitor-bjffxe2xuh6vdkpspy63sjmuny.us-east-1.es.amazonaws.com/_plugin/kibana/#/discover/Steve-Slow-Train-Analysis-(2080s-and-2083s)?_g=(refreshInterval:(display:Off,section:0,value:0),time:(from:'2016-09-08 16:37:49-0600',mode:absolute,to:'1970-01-01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218" s="54" t="str">
        <f t="shared" si="95"/>
        <v>Y</v>
      </c>
      <c r="X218" s="172" t="e">
        <f t="shared" si="112"/>
        <v>#VALUE!</v>
      </c>
      <c r="Y218" s="69">
        <f t="shared" si="96"/>
        <v>2.4420999999999999</v>
      </c>
      <c r="Z218" s="69">
        <f t="shared" si="97"/>
        <v>2.3995000000000002</v>
      </c>
      <c r="AA218" s="69">
        <f t="shared" si="98"/>
        <v>4.2599999999999749E-2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 t="shared" si="110"/>
        <v>64-08</v>
      </c>
      <c r="AE218" s="99" t="str">
        <f t="shared" si="99"/>
        <v>aws s3 cp s3://rtdc.mdm.uploadarchive/RTDC4030/1969-12-31/ "%USERPROFILE%\AppData\Local\Temp\OnboardLogs"\RTDC4030\1969-12-31 --recursive &amp; "%USERPROFILE%\Documents\GitHub\mrs-test-scripts\Headless Mode &amp; Sideloading\WalkAndUnGZ.bat" "%USERPROFILE%\AppData\Local\Temp\OnboardLogs"\RTDC4030\1969-12-31 &amp; aws s3 cp s3://rtdc.mdm.uploadarchive/RTDC4030/1970-01-01/ "%USERPROFILE%\AppData\Local\Temp\OnboardLogs"\RTDC4030\1970-01-01 --recursive &amp; "%USERPROFILE%\Documents\GitHub\mrs-test-scripts\Headless Mode &amp; Sideloading\WalkAndUnGZ.bat" "%USERPROFILE%\AppData\Local\Temp\OnboardLogs"\RTDC4030\1970-01-01</v>
      </c>
      <c r="AF218" s="96" t="str">
        <f t="shared" si="100"/>
        <v>"C:\Program Files (x86)\AstroGrep\AstroGrep.exe" /spath="%USERPROFILE%\AppData\Local\Temp\OnboardLogs" /stypes="*4030*19700101*" /stext=" 05:.+((SYSTEM_STATE.+slice.+state.+changed )|(ment ac)|(system.+state.+changed )|(\|lc)|(penalty)|(\[timeout)|(PRM\|1\|D)|(kpr)|(kdp))" /e /r /s</v>
      </c>
      <c r="AG218" s="1" t="str">
        <f t="shared" si="111"/>
        <v>Other</v>
      </c>
      <c r="AH218" s="100" t="str">
        <f t="shared" si="113"/>
        <v>"%USERPROFILE%\Documents\GitHub\eaglep3\Utilities\RefineRTDCRunTimes.py" --tripid 64-08 --locoid 4030 --swversion DE.1.0.7.0 --startMP 300:24421 --initTime 2016-09-08T17:37:49 --startdatetime 1969-12-31T23:00:00 --delay 2 --endMP 300:23995 --enddatetime 1969-12-31T23:00:00 --enforcementcount 0 &gt;&gt;C:\Users\stu\Documents\GitHub\eaglep3-reporting\EC\2016-09-08-refined-times.txt</v>
      </c>
      <c r="AI218" s="137" t="str">
        <f t="shared" si="114"/>
        <v>echo {"issue":{"subject":"","project_id":79,"tracker_id":40,"status_id":1,"priority_id":2,"assigned_to_id":23,"start_date":"1969-12-31","description":"","custom_fields":[{"id":1,"name":"Subdivision","value":"Other"},{"id":4,"name":"Milepost","value":"0.0425999999999997"},{"id":17,"name":"Train ID","value":"64-08"},{"id":16,"name":"Locomotive ID","value":"4030"},{"id":130,"name":"Impact","value":""},{"id":150,"name":"Time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/>
      <c r="B219" s="7"/>
      <c r="C219" s="24"/>
      <c r="D219" s="24"/>
      <c r="E219" s="15"/>
      <c r="F219" s="15"/>
      <c r="G219" s="7"/>
      <c r="H219" s="15"/>
      <c r="I219" s="15"/>
      <c r="J219" s="7"/>
      <c r="K219" s="122"/>
      <c r="L219" s="24"/>
      <c r="M219" s="6"/>
      <c r="N219" s="7"/>
      <c r="O219" s="7"/>
      <c r="P219" s="7"/>
      <c r="Q219" s="25"/>
      <c r="R219" s="25"/>
      <c r="S219" s="37"/>
      <c r="T219" s="52"/>
      <c r="U219" s="167"/>
      <c r="V219" s="106"/>
      <c r="W219" s="54"/>
      <c r="X219" s="172"/>
      <c r="Y219" s="69"/>
      <c r="Z219" s="69"/>
      <c r="AA219" s="69"/>
      <c r="AB219" s="66"/>
      <c r="AC219" s="62"/>
      <c r="AD219" s="63"/>
      <c r="AE219" s="99"/>
      <c r="AF219" s="96"/>
      <c r="AG219" s="1"/>
      <c r="AI219" s="137"/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22"/>
      <c r="L220" s="24"/>
      <c r="M220" s="6"/>
      <c r="N220" s="7"/>
      <c r="O220" s="7"/>
      <c r="P220" s="7"/>
      <c r="Q220" s="25"/>
      <c r="R220" s="25"/>
      <c r="S220" s="37"/>
      <c r="T220" s="52"/>
      <c r="U220" s="167"/>
      <c r="V220" s="106"/>
      <c r="W220" s="54"/>
      <c r="X220" s="172"/>
      <c r="Y220" s="69"/>
      <c r="Z220" s="69"/>
      <c r="AA220" s="69"/>
      <c r="AB220" s="66"/>
      <c r="AC220" s="62"/>
      <c r="AD220" s="63"/>
      <c r="AE220" s="99"/>
      <c r="AF220" s="96"/>
      <c r="AG220" s="1"/>
      <c r="AI220" s="137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22"/>
      <c r="L221" s="24"/>
      <c r="M221" s="6"/>
      <c r="N221" s="7"/>
      <c r="O221" s="7"/>
      <c r="P221" s="7"/>
      <c r="Q221" s="25"/>
      <c r="R221" s="25"/>
      <c r="S221" s="37"/>
      <c r="T221" s="52"/>
      <c r="U221" s="167"/>
      <c r="V221" s="106"/>
      <c r="W221" s="54"/>
      <c r="X221" s="172"/>
      <c r="Y221" s="69"/>
      <c r="Z221" s="69"/>
      <c r="AA221" s="69"/>
      <c r="AB221" s="66"/>
      <c r="AC221" s="62"/>
      <c r="AD221" s="63"/>
      <c r="AE221" s="99"/>
      <c r="AF221" s="96"/>
      <c r="AG221" s="1"/>
      <c r="AI221" s="137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22"/>
      <c r="L222" s="24"/>
      <c r="M222" s="6"/>
      <c r="N222" s="7"/>
      <c r="O222" s="7"/>
      <c r="P222" s="7"/>
      <c r="Q222" s="25"/>
      <c r="R222" s="25"/>
      <c r="S222" s="37"/>
      <c r="T222" s="52"/>
      <c r="U222" s="167"/>
      <c r="V222" s="106"/>
      <c r="W222" s="54"/>
      <c r="X222" s="172"/>
      <c r="Y222" s="69"/>
      <c r="Z222" s="69"/>
      <c r="AA222" s="69"/>
      <c r="AB222" s="66"/>
      <c r="AC222" s="62"/>
      <c r="AD222" s="63"/>
      <c r="AE222" s="99"/>
      <c r="AF222" s="96"/>
      <c r="AG222" s="1"/>
      <c r="AI222" s="137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22"/>
      <c r="L223" s="24"/>
      <c r="M223" s="6"/>
      <c r="N223" s="7"/>
      <c r="O223" s="7"/>
      <c r="P223" s="7"/>
      <c r="Q223" s="25"/>
      <c r="R223" s="25"/>
      <c r="S223" s="37"/>
      <c r="T223" s="52"/>
      <c r="U223" s="167"/>
      <c r="V223" s="106"/>
      <c r="W223" s="54"/>
      <c r="X223" s="172"/>
      <c r="Y223" s="69"/>
      <c r="Z223" s="69"/>
      <c r="AA223" s="69"/>
      <c r="AB223" s="66"/>
      <c r="AC223" s="62"/>
      <c r="AD223" s="63"/>
      <c r="AE223" s="99"/>
      <c r="AF223" s="96"/>
      <c r="AG223" s="1"/>
      <c r="AI223" s="137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22"/>
      <c r="L224" s="24"/>
      <c r="M224" s="6"/>
      <c r="N224" s="7"/>
      <c r="O224" s="7"/>
      <c r="P224" s="7"/>
      <c r="Q224" s="25"/>
      <c r="R224" s="25"/>
      <c r="S224" s="37"/>
      <c r="T224" s="52"/>
      <c r="U224" s="167"/>
      <c r="V224" s="106"/>
      <c r="W224" s="54"/>
      <c r="X224" s="172"/>
      <c r="Y224" s="69"/>
      <c r="Z224" s="69"/>
      <c r="AA224" s="69"/>
      <c r="AB224" s="66"/>
      <c r="AC224" s="62"/>
      <c r="AD224" s="63"/>
      <c r="AE224" s="99"/>
      <c r="AF224" s="96"/>
      <c r="AG224" s="1"/>
      <c r="AI224" s="137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2"/>
      <c r="L225" s="24"/>
      <c r="M225" s="6"/>
      <c r="N225" s="7"/>
      <c r="O225" s="7"/>
      <c r="P225" s="7"/>
      <c r="Q225" s="25"/>
      <c r="R225" s="25"/>
      <c r="S225" s="37"/>
      <c r="T225" s="52"/>
      <c r="U225" s="167"/>
      <c r="V225" s="106"/>
      <c r="W225" s="54"/>
      <c r="X225" s="172"/>
      <c r="Y225" s="69"/>
      <c r="Z225" s="69"/>
      <c r="AA225" s="69"/>
      <c r="AB225" s="66"/>
      <c r="AC225" s="62"/>
      <c r="AD225" s="63"/>
      <c r="AE225" s="99"/>
      <c r="AF225" s="96"/>
      <c r="AG225" s="1"/>
      <c r="AI225" s="137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2"/>
      <c r="L226" s="24"/>
      <c r="M226" s="6"/>
      <c r="N226" s="7"/>
      <c r="O226" s="7"/>
      <c r="P226" s="7"/>
      <c r="Q226" s="25"/>
      <c r="R226" s="25"/>
      <c r="S226" s="37"/>
      <c r="T226" s="52"/>
      <c r="U226" s="167"/>
      <c r="V226" s="106"/>
      <c r="W226" s="54"/>
      <c r="X226" s="172"/>
      <c r="Y226" s="69"/>
      <c r="Z226" s="69"/>
      <c r="AA226" s="69"/>
      <c r="AB226" s="66"/>
      <c r="AC226" s="62"/>
      <c r="AD226" s="63"/>
      <c r="AE226" s="99"/>
      <c r="AF226" s="96"/>
      <c r="AG226" s="1"/>
      <c r="AI226" s="137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2"/>
      <c r="L227" s="24"/>
      <c r="M227" s="6"/>
      <c r="N227" s="7"/>
      <c r="O227" s="7"/>
      <c r="P227" s="7"/>
      <c r="Q227" s="25"/>
      <c r="R227" s="25"/>
      <c r="S227" s="37"/>
      <c r="T227" s="52"/>
      <c r="U227" s="167"/>
      <c r="V227" s="106"/>
      <c r="W227" s="54"/>
      <c r="X227" s="172"/>
      <c r="Y227" s="69"/>
      <c r="Z227" s="69"/>
      <c r="AA227" s="69"/>
      <c r="AB227" s="66"/>
      <c r="AC227" s="62"/>
      <c r="AD227" s="63"/>
      <c r="AE227" s="99"/>
      <c r="AF227" s="96"/>
      <c r="AG227" s="1"/>
      <c r="AI227" s="137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2"/>
      <c r="L228" s="24"/>
      <c r="M228" s="6"/>
      <c r="N228" s="7"/>
      <c r="O228" s="7"/>
      <c r="P228" s="7"/>
      <c r="Q228" s="25"/>
      <c r="R228" s="25"/>
      <c r="S228" s="37"/>
      <c r="T228" s="52"/>
      <c r="U228" s="167"/>
      <c r="V228" s="106"/>
      <c r="W228" s="54"/>
      <c r="X228" s="172"/>
      <c r="Y228" s="69"/>
      <c r="Z228" s="69"/>
      <c r="AA228" s="69"/>
      <c r="AB228" s="66"/>
      <c r="AC228" s="62"/>
      <c r="AD228" s="63"/>
      <c r="AE228" s="99"/>
      <c r="AF228" s="96"/>
      <c r="AG228" s="1"/>
      <c r="AI228" s="137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2"/>
      <c r="L229" s="24"/>
      <c r="M229" s="6"/>
      <c r="N229" s="7"/>
      <c r="O229" s="7"/>
      <c r="P229" s="7"/>
      <c r="Q229" s="25"/>
      <c r="R229" s="25"/>
      <c r="S229" s="37"/>
      <c r="T229" s="52"/>
      <c r="U229" s="167"/>
      <c r="V229" s="106"/>
      <c r="W229" s="54"/>
      <c r="X229" s="172"/>
      <c r="Y229" s="69"/>
      <c r="Z229" s="69"/>
      <c r="AA229" s="69"/>
      <c r="AB229" s="66"/>
      <c r="AC229" s="62"/>
      <c r="AD229" s="63"/>
      <c r="AE229" s="99"/>
      <c r="AF229" s="96"/>
      <c r="AG229" s="1"/>
      <c r="AI229" s="137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2"/>
      <c r="L230" s="24"/>
      <c r="M230" s="6"/>
      <c r="N230" s="7"/>
      <c r="O230" s="7"/>
      <c r="P230" s="7"/>
      <c r="Q230" s="25"/>
      <c r="R230" s="25"/>
      <c r="S230" s="37"/>
      <c r="T230" s="52"/>
      <c r="U230" s="167"/>
      <c r="V230" s="106"/>
      <c r="W230" s="54"/>
      <c r="X230" s="172"/>
      <c r="Y230" s="69"/>
      <c r="Z230" s="69"/>
      <c r="AA230" s="69"/>
      <c r="AB230" s="66"/>
      <c r="AC230" s="62"/>
      <c r="AD230" s="63"/>
      <c r="AE230" s="99"/>
      <c r="AF230" s="96"/>
      <c r="AG230" s="1"/>
      <c r="AI230" s="137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2"/>
      <c r="L231" s="24"/>
      <c r="M231" s="6"/>
      <c r="N231" s="7"/>
      <c r="O231" s="7"/>
      <c r="P231" s="7"/>
      <c r="Q231" s="25"/>
      <c r="R231" s="25"/>
      <c r="S231" s="37"/>
      <c r="T231" s="52"/>
      <c r="U231" s="167"/>
      <c r="V231" s="106"/>
      <c r="W231" s="54"/>
      <c r="X231" s="172"/>
      <c r="Y231" s="69"/>
      <c r="Z231" s="69"/>
      <c r="AA231" s="69"/>
      <c r="AB231" s="66"/>
      <c r="AC231" s="62"/>
      <c r="AD231" s="63"/>
      <c r="AE231" s="99"/>
      <c r="AF231" s="96"/>
      <c r="AG231" s="1"/>
      <c r="AI231" s="137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2"/>
      <c r="L232" s="24"/>
      <c r="M232" s="6"/>
      <c r="N232" s="7"/>
      <c r="O232" s="7"/>
      <c r="P232" s="7"/>
      <c r="Q232" s="25"/>
      <c r="R232" s="25"/>
      <c r="S232" s="37"/>
      <c r="T232" s="52"/>
      <c r="U232" s="167"/>
      <c r="V232" s="106"/>
      <c r="W232" s="54"/>
      <c r="X232" s="172"/>
      <c r="Y232" s="69"/>
      <c r="Z232" s="69"/>
      <c r="AA232" s="69"/>
      <c r="AB232" s="66"/>
      <c r="AC232" s="62"/>
      <c r="AD232" s="63"/>
      <c r="AE232" s="99"/>
      <c r="AF232" s="96"/>
      <c r="AG232" s="1"/>
      <c r="AI232" s="137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2"/>
      <c r="L233" s="24"/>
      <c r="M233" s="6"/>
      <c r="N233" s="7"/>
      <c r="O233" s="7"/>
      <c r="P233" s="7"/>
      <c r="Q233" s="25"/>
      <c r="R233" s="25"/>
      <c r="S233" s="37"/>
      <c r="T233" s="52"/>
      <c r="U233" s="167"/>
      <c r="V233" s="106"/>
      <c r="W233" s="54"/>
      <c r="X233" s="172"/>
      <c r="Y233" s="69"/>
      <c r="Z233" s="69"/>
      <c r="AA233" s="69"/>
      <c r="AB233" s="66"/>
      <c r="AC233" s="62"/>
      <c r="AD233" s="63"/>
      <c r="AE233" s="99"/>
      <c r="AF233" s="96"/>
      <c r="AG233" s="1"/>
      <c r="AI233" s="137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2"/>
      <c r="L234" s="24"/>
      <c r="M234" s="6"/>
      <c r="N234" s="7"/>
      <c r="O234" s="7"/>
      <c r="P234" s="7"/>
      <c r="Q234" s="25"/>
      <c r="R234" s="25"/>
      <c r="S234" s="37"/>
      <c r="T234" s="52"/>
      <c r="U234" s="167"/>
      <c r="V234" s="106"/>
      <c r="W234" s="54"/>
      <c r="X234" s="172"/>
      <c r="Y234" s="69"/>
      <c r="Z234" s="69"/>
      <c r="AA234" s="69"/>
      <c r="AB234" s="66"/>
      <c r="AC234" s="62"/>
      <c r="AD234" s="63"/>
      <c r="AE234" s="99"/>
      <c r="AF234" s="96"/>
      <c r="AG234" s="1"/>
      <c r="AI234" s="137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2"/>
      <c r="L235" s="24"/>
      <c r="M235" s="6"/>
      <c r="N235" s="7"/>
      <c r="O235" s="7"/>
      <c r="P235" s="7"/>
      <c r="Q235" s="25"/>
      <c r="R235" s="25"/>
      <c r="S235" s="37"/>
      <c r="T235" s="52"/>
      <c r="U235" s="167"/>
      <c r="V235" s="106"/>
      <c r="W235" s="54"/>
      <c r="X235" s="172"/>
      <c r="Y235" s="69"/>
      <c r="Z235" s="69"/>
      <c r="AA235" s="69"/>
      <c r="AB235" s="66"/>
      <c r="AC235" s="62"/>
      <c r="AD235" s="63"/>
      <c r="AE235" s="99"/>
      <c r="AF235" s="96"/>
      <c r="AG235" s="1"/>
      <c r="AI235" s="137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2"/>
      <c r="L236" s="24"/>
      <c r="M236" s="6"/>
      <c r="N236" s="7"/>
      <c r="O236" s="7"/>
      <c r="P236" s="7"/>
      <c r="Q236" s="25"/>
      <c r="R236" s="25"/>
      <c r="S236" s="37"/>
      <c r="T236" s="52"/>
      <c r="U236" s="167"/>
      <c r="V236" s="106"/>
      <c r="W236" s="54"/>
      <c r="X236" s="172"/>
      <c r="Y236" s="69"/>
      <c r="Z236" s="69"/>
      <c r="AA236" s="69"/>
      <c r="AB236" s="66"/>
      <c r="AC236" s="62"/>
      <c r="AD236" s="63"/>
      <c r="AE236" s="99"/>
      <c r="AF236" s="96"/>
      <c r="AG236" s="1"/>
      <c r="AI236" s="137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2"/>
      <c r="L237" s="24"/>
      <c r="M237" s="6"/>
      <c r="N237" s="7"/>
      <c r="O237" s="7"/>
      <c r="P237" s="7"/>
      <c r="Q237" s="25"/>
      <c r="R237" s="25"/>
      <c r="S237" s="37"/>
      <c r="T237" s="52"/>
      <c r="U237" s="167"/>
      <c r="V237" s="106"/>
      <c r="W237" s="54"/>
      <c r="X237" s="172"/>
      <c r="Y237" s="69"/>
      <c r="Z237" s="69"/>
      <c r="AA237" s="69"/>
      <c r="AB237" s="66"/>
      <c r="AC237" s="62"/>
      <c r="AD237" s="63"/>
      <c r="AE237" s="99"/>
      <c r="AF237" s="96"/>
      <c r="AG237" s="1"/>
      <c r="AI237" s="137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2"/>
      <c r="L238" s="24"/>
      <c r="M238" s="6"/>
      <c r="N238" s="7"/>
      <c r="O238" s="7"/>
      <c r="P238" s="7"/>
      <c r="Q238" s="25"/>
      <c r="R238" s="25"/>
      <c r="S238" s="37"/>
      <c r="T238" s="52"/>
      <c r="U238" s="167"/>
      <c r="V238" s="106"/>
      <c r="W238" s="54"/>
      <c r="X238" s="172"/>
      <c r="Y238" s="69"/>
      <c r="Z238" s="69"/>
      <c r="AA238" s="69"/>
      <c r="AB238" s="66"/>
      <c r="AC238" s="62"/>
      <c r="AD238" s="63"/>
      <c r="AE238" s="99"/>
      <c r="AF238" s="96"/>
      <c r="AG238" s="1"/>
      <c r="AI238" s="137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2"/>
      <c r="L239" s="24"/>
      <c r="M239" s="6"/>
      <c r="N239" s="7"/>
      <c r="O239" s="7"/>
      <c r="P239" s="7"/>
      <c r="Q239" s="25"/>
      <c r="R239" s="25"/>
      <c r="S239" s="37"/>
      <c r="T239" s="52"/>
      <c r="U239" s="167"/>
      <c r="V239" s="106"/>
      <c r="W239" s="54"/>
      <c r="X239" s="172"/>
      <c r="Y239" s="69"/>
      <c r="Z239" s="69"/>
      <c r="AA239" s="69"/>
      <c r="AB239" s="66"/>
      <c r="AC239" s="62"/>
      <c r="AD239" s="63"/>
      <c r="AE239" s="99"/>
      <c r="AF239" s="96"/>
      <c r="AG239" s="1"/>
      <c r="AI239" s="137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2"/>
      <c r="L240" s="24"/>
      <c r="M240" s="6"/>
      <c r="N240" s="7"/>
      <c r="O240" s="7"/>
      <c r="P240" s="7"/>
      <c r="Q240" s="25"/>
      <c r="R240" s="25"/>
      <c r="S240" s="37"/>
      <c r="T240" s="52"/>
      <c r="U240" s="167"/>
      <c r="V240" s="106"/>
      <c r="W240" s="54"/>
      <c r="X240" s="172"/>
      <c r="Y240" s="69"/>
      <c r="Z240" s="69"/>
      <c r="AA240" s="69"/>
      <c r="AB240" s="66"/>
      <c r="AC240" s="62"/>
      <c r="AD240" s="63"/>
      <c r="AE240" s="99"/>
      <c r="AF240" s="96"/>
      <c r="AG240" s="1"/>
      <c r="AI240" s="137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2"/>
      <c r="L241" s="24"/>
      <c r="M241" s="6"/>
      <c r="N241" s="7"/>
      <c r="O241" s="7"/>
      <c r="P241" s="7"/>
      <c r="Q241" s="25"/>
      <c r="R241" s="25"/>
      <c r="S241" s="37"/>
      <c r="T241" s="52"/>
      <c r="U241" s="167"/>
      <c r="V241" s="106"/>
      <c r="W241" s="54"/>
      <c r="X241" s="172"/>
      <c r="Y241" s="69"/>
      <c r="Z241" s="69"/>
      <c r="AA241" s="69"/>
      <c r="AB241" s="66"/>
      <c r="AC241" s="62"/>
      <c r="AD241" s="63"/>
      <c r="AE241" s="99"/>
      <c r="AF241" s="96"/>
      <c r="AG241" s="1"/>
      <c r="AI241" s="137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2"/>
      <c r="L242" s="24"/>
      <c r="M242" s="6"/>
      <c r="N242" s="7"/>
      <c r="O242" s="7"/>
      <c r="P242" s="7"/>
      <c r="Q242" s="25"/>
      <c r="R242" s="25"/>
      <c r="S242" s="37"/>
      <c r="T242" s="52"/>
      <c r="U242" s="167"/>
      <c r="V242" s="106"/>
      <c r="W242" s="54"/>
      <c r="X242" s="172"/>
      <c r="Y242" s="69"/>
      <c r="Z242" s="69"/>
      <c r="AA242" s="69"/>
      <c r="AB242" s="66"/>
      <c r="AC242" s="62"/>
      <c r="AD242" s="63"/>
      <c r="AE242" s="99"/>
      <c r="AF242" s="96"/>
      <c r="AG242" s="1"/>
      <c r="AI242" s="137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2"/>
      <c r="L243" s="24"/>
      <c r="M243" s="6"/>
      <c r="N243" s="7"/>
      <c r="O243" s="7"/>
      <c r="P243" s="7"/>
      <c r="Q243" s="25"/>
      <c r="R243" s="25"/>
      <c r="S243" s="37"/>
      <c r="T243" s="52"/>
      <c r="U243" s="167"/>
      <c r="V243" s="106"/>
      <c r="W243" s="54"/>
      <c r="X243" s="172"/>
      <c r="Y243" s="69"/>
      <c r="Z243" s="69"/>
      <c r="AA243" s="69"/>
      <c r="AB243" s="66"/>
      <c r="AC243" s="62"/>
      <c r="AD243" s="63"/>
      <c r="AE243" s="99"/>
      <c r="AF243" s="96"/>
      <c r="AG243" s="1"/>
      <c r="AI243" s="137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2"/>
      <c r="L244" s="24"/>
      <c r="M244" s="6"/>
      <c r="N244" s="7"/>
      <c r="O244" s="7"/>
      <c r="P244" s="7"/>
      <c r="Q244" s="25"/>
      <c r="R244" s="25"/>
      <c r="S244" s="37"/>
      <c r="T244" s="52"/>
      <c r="U244" s="167"/>
      <c r="V244" s="106"/>
      <c r="W244" s="54"/>
      <c r="X244" s="172"/>
      <c r="Y244" s="69"/>
      <c r="Z244" s="69"/>
      <c r="AA244" s="69"/>
      <c r="AB244" s="66"/>
      <c r="AC244" s="62"/>
      <c r="AD244" s="63"/>
      <c r="AE244" s="99"/>
      <c r="AF244" s="96"/>
      <c r="AG244" s="1"/>
      <c r="AI244" s="137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2"/>
      <c r="L245" s="24"/>
      <c r="M245" s="6"/>
      <c r="N245" s="7"/>
      <c r="O245" s="7"/>
      <c r="P245" s="7"/>
      <c r="Q245" s="25"/>
      <c r="R245" s="25"/>
      <c r="S245" s="37"/>
      <c r="T245" s="52"/>
      <c r="U245" s="167"/>
      <c r="V245" s="106"/>
      <c r="W245" s="54"/>
      <c r="X245" s="172"/>
      <c r="Y245" s="69"/>
      <c r="Z245" s="69"/>
      <c r="AA245" s="69"/>
      <c r="AB245" s="66"/>
      <c r="AC245" s="62"/>
      <c r="AD245" s="63"/>
      <c r="AE245" s="99"/>
      <c r="AF245" s="96"/>
      <c r="AG245" s="1"/>
      <c r="AI245" s="137"/>
      <c r="AJ245" s="55"/>
      <c r="AK245" s="55"/>
      <c r="AL245" s="55"/>
    </row>
  </sheetData>
  <autoFilter ref="A12:AG245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56" priority="259" operator="equal">
      <formula>"Y"</formula>
    </cfRule>
  </conditionalFormatting>
  <conditionalFormatting sqref="X13:X1048576">
    <cfRule type="cellIs" dxfId="55" priority="242" operator="greaterThan">
      <formula>1</formula>
    </cfRule>
  </conditionalFormatting>
  <conditionalFormatting sqref="X12:X1048576">
    <cfRule type="cellIs" dxfId="54" priority="239" operator="equal">
      <formula>0</formula>
    </cfRule>
  </conditionalFormatting>
  <conditionalFormatting sqref="A13:S245">
    <cfRule type="expression" dxfId="53" priority="235">
      <formula>$O13&gt;0</formula>
    </cfRule>
  </conditionalFormatting>
  <conditionalFormatting sqref="A13:S245">
    <cfRule type="expression" dxfId="52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AK13:AK245</xm:sqref>
        </x14:dataValidation>
        <x14:dataValidation type="list" allowBlank="1" showInputMessage="1" showErrorMessage="1">
          <x14:formula1>
            <xm:f>'Redmine List Values'!$C$2:$C$13</xm:f>
          </x14:formula1>
          <xm:sqref>AL13:AL245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72"/>
  <sheetViews>
    <sheetView tabSelected="1" topLeftCell="A2" workbookViewId="0">
      <selection activeCell="N20" sqref="N20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14" customWidth="1"/>
    <col min="16" max="16" width="30.7109375" customWidth="1"/>
    <col min="17" max="17" width="5" hidden="1" customWidth="1"/>
    <col min="18" max="18" width="5.5703125" style="97" customWidth="1"/>
    <col min="19" max="19" width="4.42578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</cols>
  <sheetData>
    <row r="1" spans="1:28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14"/>
      <c r="R1" s="97"/>
      <c r="S1" s="109"/>
      <c r="T1" s="94"/>
      <c r="V1" s="50"/>
    </row>
    <row r="2" spans="1:28" s="23" customFormat="1" x14ac:dyDescent="0.25">
      <c r="A2" s="8"/>
      <c r="F2" s="2"/>
      <c r="G2" s="2"/>
      <c r="H2" s="2"/>
      <c r="I2" s="2"/>
      <c r="K2" s="2"/>
      <c r="L2" s="151" t="s">
        <v>87</v>
      </c>
      <c r="M2" s="155"/>
      <c r="N2" s="123"/>
      <c r="O2" s="124">
        <f>COUNTIF($O$7:$O$401,"=Y")</f>
        <v>1</v>
      </c>
      <c r="P2" s="125"/>
      <c r="R2" s="97"/>
      <c r="S2" s="109"/>
      <c r="T2" s="94"/>
      <c r="V2" s="50"/>
    </row>
    <row r="3" spans="1:28" s="23" customFormat="1" ht="15.75" thickBot="1" x14ac:dyDescent="0.3">
      <c r="A3" s="8"/>
      <c r="F3" s="2"/>
      <c r="G3" s="2"/>
      <c r="H3" s="2"/>
      <c r="I3" s="2"/>
      <c r="K3" s="2"/>
      <c r="L3" s="152" t="s">
        <v>88</v>
      </c>
      <c r="M3" s="156"/>
      <c r="N3" s="126"/>
      <c r="O3" s="127">
        <f>COUNTA($O$7:$O$401)-O2</f>
        <v>56</v>
      </c>
      <c r="P3" s="125"/>
      <c r="R3" s="97"/>
      <c r="S3" s="109"/>
      <c r="T3" s="94"/>
      <c r="V3" s="50"/>
    </row>
    <row r="4" spans="1:28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14"/>
      <c r="R4" s="97"/>
      <c r="S4" s="109"/>
      <c r="T4" s="94"/>
      <c r="V4" s="50"/>
    </row>
    <row r="5" spans="1:28" s="11" customFormat="1" ht="15" customHeight="1" x14ac:dyDescent="0.25">
      <c r="A5" s="175" t="str">
        <f>"Eagle P3 Braking Events - "&amp;TEXT(Variables!$A$2,"YYYY-mm-dd")</f>
        <v>Eagle P3 Braking Events - 2016-09-08</v>
      </c>
      <c r="B5" s="17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2"/>
      <c r="R5" s="107"/>
      <c r="S5" s="110"/>
      <c r="T5" s="112"/>
      <c r="V5" s="51"/>
    </row>
    <row r="6" spans="1:28" s="150" customFormat="1" ht="69.75" customHeight="1" x14ac:dyDescent="0.2">
      <c r="A6" s="138" t="s">
        <v>38</v>
      </c>
      <c r="B6" s="139" t="s">
        <v>37</v>
      </c>
      <c r="C6" s="139" t="s">
        <v>36</v>
      </c>
      <c r="D6" s="139" t="s">
        <v>35</v>
      </c>
      <c r="E6" s="139" t="s">
        <v>34</v>
      </c>
      <c r="F6" s="140" t="s">
        <v>33</v>
      </c>
      <c r="G6" s="140" t="s">
        <v>32</v>
      </c>
      <c r="H6" s="140" t="s">
        <v>31</v>
      </c>
      <c r="I6" s="140" t="s">
        <v>209</v>
      </c>
      <c r="J6" s="139" t="s">
        <v>30</v>
      </c>
      <c r="K6" s="140" t="s">
        <v>29</v>
      </c>
      <c r="L6" s="153" t="s">
        <v>28</v>
      </c>
      <c r="M6" s="140" t="s">
        <v>210</v>
      </c>
      <c r="N6" s="141" t="s">
        <v>47</v>
      </c>
      <c r="O6" s="142" t="s">
        <v>27</v>
      </c>
      <c r="P6" s="139" t="s">
        <v>24</v>
      </c>
      <c r="Q6" s="143"/>
      <c r="R6" s="144" t="s">
        <v>98</v>
      </c>
      <c r="S6" s="145" t="s">
        <v>61</v>
      </c>
      <c r="T6" s="146" t="s">
        <v>97</v>
      </c>
      <c r="U6" s="139" t="s">
        <v>92</v>
      </c>
      <c r="V6" s="147" t="s">
        <v>93</v>
      </c>
      <c r="W6" s="143" t="s">
        <v>105</v>
      </c>
      <c r="X6" s="143" t="s">
        <v>106</v>
      </c>
      <c r="Y6" s="148" t="s">
        <v>170</v>
      </c>
      <c r="Z6" s="149" t="s">
        <v>171</v>
      </c>
      <c r="AA6" s="149" t="s">
        <v>143</v>
      </c>
      <c r="AB6" s="149" t="s">
        <v>172</v>
      </c>
    </row>
    <row r="7" spans="1:28" s="1" customFormat="1" x14ac:dyDescent="0.25">
      <c r="A7" s="38">
        <v>42621.373113425929</v>
      </c>
      <c r="B7" s="33" t="s">
        <v>191</v>
      </c>
      <c r="C7" s="33" t="s">
        <v>344</v>
      </c>
      <c r="D7" s="33" t="s">
        <v>184</v>
      </c>
      <c r="E7" s="33" t="s">
        <v>178</v>
      </c>
      <c r="F7" s="49">
        <v>0</v>
      </c>
      <c r="G7" s="49">
        <v>107</v>
      </c>
      <c r="H7" s="49">
        <v>33178</v>
      </c>
      <c r="I7" s="49">
        <v>33151</v>
      </c>
      <c r="J7" s="33" t="s">
        <v>177</v>
      </c>
      <c r="K7" s="49">
        <v>33257</v>
      </c>
      <c r="L7" s="154" t="s">
        <v>53</v>
      </c>
      <c r="M7" s="157">
        <f t="shared" ref="M7:M20" si="0">CONVERT((I7-K7)/10000,"mi","ft")*IF(L7="Increasing Mileposts (1)",-1,1)</f>
        <v>-55.968000000000004</v>
      </c>
      <c r="N7" s="92" t="str">
        <f>VLOOKUP(C7,'Trips&amp;Operators'!$C$1:$E$99999,3,FALSE)</f>
        <v>SANTIZO</v>
      </c>
      <c r="O7" s="121" t="s">
        <v>86</v>
      </c>
      <c r="P7" s="10" t="s">
        <v>258</v>
      </c>
      <c r="Q7" s="33"/>
      <c r="R7" s="108" t="str">
        <f>VLOOKUP(C7,'Train Runs'!$A$13:$AE$10008,31,0)</f>
        <v>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 &amp; 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</v>
      </c>
      <c r="S7" s="111" t="str">
        <f>VLOOKUP(C7,'Train Runs'!$A$13:$AE$10008,22,0)</f>
        <v>https://search-rtdc-monitor-bjffxe2xuh6vdkpspy63sjmuny.us-east-1.es.amazonaws.com/_plugin/kibana/#/discover/Steve-Slow-Train-Analysis-(2080s-and-2083s)?_g=(refreshInterval:(display:Off,section:0,value:0),time:(from:'2016-09-08 07:17:20-0600',mode:absolute,to:'2016-09-08 10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7" s="113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/stypes="*4012*201609081*" /stext=" 14:.+((SYSTEM_STATE.+slice.+state.+changed )|(ment ac)|(system.+state.+changed )|(\|lc)|(penalty)|(\[timeout)|(PRM\|1\|D)|(kpr)|(kdp))" /e /r /s</v>
      </c>
      <c r="U7" s="9" t="str">
        <f t="shared" ref="U7:U38" si="2">MID(B7,13,4)</f>
        <v>4012</v>
      </c>
      <c r="V7" s="38">
        <f t="shared" ref="V7:V38" si="3">A7+6/24</f>
        <v>42621.623113425929</v>
      </c>
      <c r="W7" s="52" t="str">
        <f t="shared" ref="W7:W38" si="4">IF(VALUE(LEFT(IF(LEN(C7)=6,"0"&amp;C7,C7),2))&lt;=2,"EC",IF(OR(VALUE(LEFT(IF(LEN(C7)=6,"0"&amp;C7,C7),2))=8,VALUE(LEFT(IF(LEN(C7)=6,"0"&amp;C7,C7),2))=18),"NW","Other"))</f>
        <v>EC</v>
      </c>
      <c r="X7" s="52" t="str">
        <f t="shared" ref="X7:X38" si="5">IF(AND(E7="TRACK WARRANT AUTHORITY",G7&lt;10),"OMIT","KEEP")</f>
        <v>KEEP</v>
      </c>
      <c r="Y7" s="137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arrival","project_id":79,"tracker_id":40,"status_id":1,"priority_id":2,"assigned_to_id":23,"start_date":"2016-09-08","description":"","custom_fields":[{"id":1,"name":"Subdivision","value":"EC"},{"id":4,"name":"Milepost","value":"3.3257"},{"id":17,"name":"Train ID","value":"132-08"},{"id":16,"name":"Locomotive ID","value":"4012"},{"id":130,"name":"Impact","value":""},{"id":150,"name":"Time of Event (Mountain Time)","value":"08:57:17"},{"id":151,"name":"Denver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55"/>
    </row>
    <row r="8" spans="1:28" s="1" customFormat="1" x14ac:dyDescent="0.25">
      <c r="A8" s="38">
        <v>42621.705752314818</v>
      </c>
      <c r="B8" s="33" t="s">
        <v>479</v>
      </c>
      <c r="C8" s="33" t="s">
        <v>490</v>
      </c>
      <c r="D8" s="33" t="s">
        <v>49</v>
      </c>
      <c r="E8" s="33" t="s">
        <v>178</v>
      </c>
      <c r="F8" s="49">
        <v>0</v>
      </c>
      <c r="G8" s="49">
        <v>91</v>
      </c>
      <c r="H8" s="49">
        <v>43211</v>
      </c>
      <c r="I8" s="49">
        <v>43082</v>
      </c>
      <c r="J8" s="33" t="s">
        <v>177</v>
      </c>
      <c r="K8" s="49">
        <v>42961</v>
      </c>
      <c r="L8" s="154" t="s">
        <v>53</v>
      </c>
      <c r="M8" s="157">
        <f t="shared" si="0"/>
        <v>63.887999999999998</v>
      </c>
      <c r="N8" s="92" t="str">
        <f>VLOOKUP(C8,'Trips&amp;Operators'!$C$1:$E$99999,3,FALSE)</f>
        <v>KILLION</v>
      </c>
      <c r="O8" s="121" t="s">
        <v>86</v>
      </c>
      <c r="P8" s="10" t="s">
        <v>765</v>
      </c>
      <c r="Q8" s="33"/>
      <c r="R8" s="108" t="str">
        <f>VLOOKUP(C8,'Train Runs'!$A$13:$AE$10008,31,0)</f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S8" s="111" t="str">
        <f>VLOOKUP(C8,'Train Runs'!$A$13:$AE$10008,22,0)</f>
        <v>https://search-rtdc-monitor-bjffxe2xuh6vdkpspy63sjmuny.us-east-1.es.amazonaws.com/_plugin/kibana/#/discover/Steve-Slow-Train-Analysis-(2080s-and-2083s)?_g=(refreshInterval:(display:Off,section:0,value:0),time:(from:'2016-09-08 15:13:49-0600',mode:absolute,to:'2016-09-08 18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8" s="113" t="str">
        <f t="shared" si="1"/>
        <v>"C:\Program Files (x86)\AstroGrep\AstroGrep.exe" /spath="%USERPROFILE%\AppData\Local\Temp\OnboardLogs" /stypes="*4017*201609082*" /stext=" 22:.+((SYSTEM_STATE.+slice.+state.+changed )|(ment ac)|(system.+state.+changed )|(\|lc)|(penalty)|(\[timeout)|(PRM\|1\|D)|(kpr)|(kdp))" /e /r /s</v>
      </c>
      <c r="U8" s="9" t="str">
        <f t="shared" si="2"/>
        <v>4017</v>
      </c>
      <c r="V8" s="38">
        <f t="shared" si="3"/>
        <v>42621.955752314818</v>
      </c>
      <c r="W8" s="52" t="str">
        <f t="shared" si="4"/>
        <v>EC</v>
      </c>
      <c r="X8" s="52" t="str">
        <f t="shared" si="5"/>
        <v>KEEP</v>
      </c>
      <c r="Y8" s="137" t="str">
        <f t="shared" si="6"/>
        <v>echo {"issue":{"subject":"Form C","project_id":79,"tracker_id":40,"status_id":1,"priority_id":2,"assigned_to_id":23,"start_date":"2016-09-08","description":"","custom_fields":[{"id":1,"name":"Subdivision","value":"EC"},{"id":4,"name":"Milepost","value":"4.2961"},{"id":17,"name":"Train ID","value":"196-08"},{"id":16,"name":"Locomotive ID","value":"4017"},{"id":130,"name":"Impact","value":""},{"id":150,"name":"Time of Event (Mountain Time)","value":"16:56:17"},{"id":151,"name":"Denver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55"/>
    </row>
    <row r="9" spans="1:28" s="1" customFormat="1" x14ac:dyDescent="0.25">
      <c r="A9" s="38">
        <v>42621.197638888887</v>
      </c>
      <c r="B9" s="33" t="s">
        <v>108</v>
      </c>
      <c r="C9" s="33" t="s">
        <v>279</v>
      </c>
      <c r="D9" s="33" t="s">
        <v>49</v>
      </c>
      <c r="E9" s="33" t="s">
        <v>178</v>
      </c>
      <c r="F9" s="49">
        <v>10</v>
      </c>
      <c r="G9" s="49">
        <v>69</v>
      </c>
      <c r="H9" s="49">
        <v>63027</v>
      </c>
      <c r="I9" s="49">
        <v>63069</v>
      </c>
      <c r="J9" s="33" t="s">
        <v>177</v>
      </c>
      <c r="K9" s="49">
        <v>63069</v>
      </c>
      <c r="L9" s="154" t="s">
        <v>52</v>
      </c>
      <c r="M9" s="157">
        <f t="shared" si="0"/>
        <v>0</v>
      </c>
      <c r="N9" s="92" t="str">
        <f>VLOOKUP(C9,'Trips&amp;Operators'!$C$1:$E$99999,3,FALSE)</f>
        <v>STRICKLAND</v>
      </c>
      <c r="O9" s="121" t="s">
        <v>86</v>
      </c>
      <c r="P9" s="10" t="s">
        <v>258</v>
      </c>
      <c r="Q9" s="33"/>
      <c r="R9" s="108" t="str">
        <f>VLOOKUP(C9,'Train Runs'!$A$13:$AE$10008,31,0)</f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S9" s="111" t="str">
        <f>VLOOKUP(C9,'Train Runs'!$A$13:$AE$10008,22,0)</f>
        <v>https://search-rtdc-monitor-bjffxe2xuh6vdkpspy63sjmuny.us-east-1.es.amazonaws.com/_plugin/kibana/#/discover/Steve-Slow-Train-Analysis-(2080s-and-2083s)?_g=(refreshInterval:(display:Off,section:0,value:0),time:(from:'2016-09-08 03:23:42-0600',mode:absolute,to:'2016-09-08 06:09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9" s="113" t="str">
        <f t="shared" si="1"/>
        <v>"C:\Program Files (x86)\AstroGrep\AstroGrep.exe" /spath="%USERPROFILE%\AppData\Local\Temp\OnboardLogs" /stypes="*4014*201609081*" /stext=" 10:.+((SYSTEM_STATE.+slice.+state.+changed )|(ment ac)|(system.+state.+changed )|(\|lc)|(penalty)|(\[timeout)|(PRM\|1\|D)|(kpr)|(kdp))" /e /r /s</v>
      </c>
      <c r="U9" s="9" t="str">
        <f t="shared" si="2"/>
        <v>4014</v>
      </c>
      <c r="V9" s="38">
        <f t="shared" si="3"/>
        <v>42621.447638888887</v>
      </c>
      <c r="W9" s="52" t="str">
        <f t="shared" si="4"/>
        <v>EC</v>
      </c>
      <c r="X9" s="52" t="str">
        <f t="shared" si="5"/>
        <v>KEEP</v>
      </c>
      <c r="Y9" s="137" t="str">
        <f t="shared" si="6"/>
        <v>echo {"issue":{"subject":"Early arrival","project_id":79,"tracker_id":40,"status_id":1,"priority_id":2,"assigned_to_id":23,"start_date":"2016-09-08","description":"","custom_fields":[{"id":1,"name":"Subdivision","value":"EC"},{"id":4,"name":"Milepost","value":"6.3069"},{"id":17,"name":"Train ID","value":"107-08"},{"id":16,"name":"Locomotive ID","value":"4014"},{"id":130,"name":"Impact","value":""},{"id":150,"name":"Time of Event (Mountain Time)","value":"04:44:36"},{"id":151,"name":"Denver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55"/>
    </row>
    <row r="10" spans="1:28" s="1" customFormat="1" x14ac:dyDescent="0.25">
      <c r="A10" s="38">
        <v>42621.270775462966</v>
      </c>
      <c r="B10" s="33" t="s">
        <v>108</v>
      </c>
      <c r="C10" s="33" t="s">
        <v>317</v>
      </c>
      <c r="D10" s="33" t="s">
        <v>49</v>
      </c>
      <c r="E10" s="33" t="s">
        <v>178</v>
      </c>
      <c r="F10" s="49">
        <v>360</v>
      </c>
      <c r="G10" s="49">
        <v>531</v>
      </c>
      <c r="H10" s="49">
        <v>60894</v>
      </c>
      <c r="I10" s="49">
        <v>62532</v>
      </c>
      <c r="J10" s="33" t="s">
        <v>177</v>
      </c>
      <c r="K10" s="49">
        <v>63069</v>
      </c>
      <c r="L10" s="154" t="s">
        <v>52</v>
      </c>
      <c r="M10" s="157">
        <f t="shared" si="0"/>
        <v>283.536</v>
      </c>
      <c r="N10" s="92" t="str">
        <f>VLOOKUP(C10,'Trips&amp;Operators'!$C$1:$E$99999,3,FALSE)</f>
        <v>STRICKLAND</v>
      </c>
      <c r="O10" s="121" t="s">
        <v>86</v>
      </c>
      <c r="P10" s="10" t="s">
        <v>258</v>
      </c>
      <c r="Q10" s="33"/>
      <c r="R10" s="108" t="str">
        <f>VLOOKUP(C10,'Train Runs'!$A$13:$AE$10008,31,0)</f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S10" s="111" t="str">
        <f>VLOOKUP(C10,'Train Runs'!$A$13:$AE$10008,22,0)</f>
        <v>https://search-rtdc-monitor-bjffxe2xuh6vdkpspy63sjmuny.us-east-1.es.amazonaws.com/_plugin/kibana/#/discover/Steve-Slow-Train-Analysis-(2080s-and-2083s)?_g=(refreshInterval:(display:Off,section:0,value:0),time:(from:'2016-09-08 05:11:03-0600',mode:absolute,to:'2016-09-08 08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10" s="113" t="str">
        <f t="shared" si="1"/>
        <v>"C:\Program Files (x86)\AstroGrep\AstroGrep.exe" /spath="%USERPROFILE%\AppData\Local\Temp\OnboardLogs" /stypes="*4014*201609081*" /stext=" 12:.+((SYSTEM_STATE.+slice.+state.+changed )|(ment ac)|(system.+state.+changed )|(\|lc)|(penalty)|(\[timeout)|(PRM\|1\|D)|(kpr)|(kdp))" /e /r /s</v>
      </c>
      <c r="U10" s="9" t="str">
        <f t="shared" si="2"/>
        <v>4014</v>
      </c>
      <c r="V10" s="38">
        <f t="shared" si="3"/>
        <v>42621.520775462966</v>
      </c>
      <c r="W10" s="52" t="str">
        <f t="shared" si="4"/>
        <v>EC</v>
      </c>
      <c r="X10" s="52" t="str">
        <f t="shared" si="5"/>
        <v>KEEP</v>
      </c>
      <c r="Y10" s="137" t="str">
        <f t="shared" si="6"/>
        <v>echo {"issue":{"subject":"Early arrival","project_id":79,"tracker_id":40,"status_id":1,"priority_id":2,"assigned_to_id":23,"start_date":"2016-09-08","description":"","custom_fields":[{"id":1,"name":"Subdivision","value":"EC"},{"id":4,"name":"Milepost","value":"6.3069"},{"id":17,"name":"Train ID","value":"121-08"},{"id":16,"name":"Locomotive ID","value":"4014"},{"id":130,"name":"Impact","value":""},{"id":150,"name":"Time of Event (Mountain Time)","value":"06:29:55"},{"id":151,"name":"Denver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55"/>
    </row>
    <row r="11" spans="1:28" s="1" customFormat="1" x14ac:dyDescent="0.25">
      <c r="A11" s="38">
        <v>42621.596261574072</v>
      </c>
      <c r="B11" s="33" t="s">
        <v>111</v>
      </c>
      <c r="C11" s="33" t="s">
        <v>483</v>
      </c>
      <c r="D11" s="33" t="s">
        <v>49</v>
      </c>
      <c r="E11" s="33" t="s">
        <v>178</v>
      </c>
      <c r="F11" s="49">
        <v>380</v>
      </c>
      <c r="G11" s="49">
        <v>481</v>
      </c>
      <c r="H11" s="49">
        <v>80117</v>
      </c>
      <c r="I11" s="49">
        <v>78401</v>
      </c>
      <c r="J11" s="33" t="s">
        <v>177</v>
      </c>
      <c r="K11" s="49">
        <v>78469</v>
      </c>
      <c r="L11" s="154" t="s">
        <v>53</v>
      </c>
      <c r="M11" s="157">
        <f t="shared" si="0"/>
        <v>-35.904000000000003</v>
      </c>
      <c r="N11" s="92" t="str">
        <f>VLOOKUP(C11,'Trips&amp;Operators'!$C$1:$E$99999,3,FALSE)</f>
        <v>SHOOK</v>
      </c>
      <c r="O11" s="121" t="s">
        <v>86</v>
      </c>
      <c r="P11" s="10" t="s">
        <v>258</v>
      </c>
      <c r="Q11" s="33"/>
      <c r="R11" s="108" t="str">
        <f>VLOOKUP(C11,'Train Runs'!$A$13:$AE$10008,31,0)</f>
        <v>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 &amp; 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</v>
      </c>
      <c r="S11" s="111" t="str">
        <f>VLOOKUP(C11,'Train Runs'!$A$13:$AE$10008,22,0)</f>
        <v>https://search-rtdc-monitor-bjffxe2xuh6vdkpspy63sjmuny.us-east-1.es.amazonaws.com/_plugin/kibana/#/discover/Steve-Slow-Train-Analysis-(2080s-and-2083s)?_g=(refreshInterval:(display:Off,section:0,value:0),time:(from:'2016-09-08 12:48:17-0600',mode:absolute,to:'2016-09-08 15:38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11" s="113" t="str">
        <f t="shared" si="1"/>
        <v>"C:\Program Files (x86)\AstroGrep\AstroGrep.exe" /spath="%USERPROFILE%\AppData\Local\Temp\OnboardLogs" /stypes="*4032*201609082*" /stext=" 20:.+((SYSTEM_STATE.+slice.+state.+changed )|(ment ac)|(system.+state.+changed )|(\|lc)|(penalty)|(\[timeout)|(PRM\|1\|D)|(kpr)|(kdp))" /e /r /s</v>
      </c>
      <c r="U11" s="9" t="str">
        <f t="shared" si="2"/>
        <v>4032</v>
      </c>
      <c r="V11" s="38">
        <f t="shared" si="3"/>
        <v>42621.846261574072</v>
      </c>
      <c r="W11" s="52" t="str">
        <f t="shared" si="4"/>
        <v>EC</v>
      </c>
      <c r="X11" s="52" t="str">
        <f t="shared" si="5"/>
        <v>KEEP</v>
      </c>
      <c r="Y11" s="137" t="str">
        <f t="shared" si="6"/>
        <v>echo {"issue":{"subject":"Early arrival","project_id":79,"tracker_id":40,"status_id":1,"priority_id":2,"assigned_to_id":23,"start_date":"2016-09-08","description":"","custom_fields":[{"id":1,"name":"Subdivision","value":"EC"},{"id":4,"name":"Milepost","value":"7.8469"},{"id":17,"name":"Train ID","value":"176-08"},{"id":16,"name":"Locomotive ID","value":"4032"},{"id":130,"name":"Impact","value":""},{"id":150,"name":"Time of Event (Mountain Time)","value":"14:18:37"},{"id":151,"name":"Denver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55"/>
    </row>
    <row r="12" spans="1:28" s="1" customFormat="1" x14ac:dyDescent="0.25">
      <c r="A12" s="38">
        <v>42621.277303240742</v>
      </c>
      <c r="B12" s="33" t="s">
        <v>108</v>
      </c>
      <c r="C12" s="33" t="s">
        <v>317</v>
      </c>
      <c r="D12" s="33" t="s">
        <v>49</v>
      </c>
      <c r="E12" s="33" t="s">
        <v>178</v>
      </c>
      <c r="F12" s="49">
        <v>770</v>
      </c>
      <c r="G12" s="49">
        <v>831</v>
      </c>
      <c r="H12" s="49">
        <v>106738</v>
      </c>
      <c r="I12" s="49">
        <v>110957</v>
      </c>
      <c r="J12" s="33" t="s">
        <v>177</v>
      </c>
      <c r="K12" s="49">
        <v>108954</v>
      </c>
      <c r="L12" s="154" t="s">
        <v>52</v>
      </c>
      <c r="M12" s="157">
        <f t="shared" si="0"/>
        <v>-1057.5840000000001</v>
      </c>
      <c r="N12" s="92" t="str">
        <f>VLOOKUP(C12,'Trips&amp;Operators'!$C$1:$E$99999,3,FALSE)</f>
        <v>STRICKLAND</v>
      </c>
      <c r="O12" s="121" t="s">
        <v>86</v>
      </c>
      <c r="P12" s="10" t="s">
        <v>258</v>
      </c>
      <c r="Q12" s="33"/>
      <c r="R12" s="108" t="str">
        <f>VLOOKUP(C12,'Train Runs'!$A$13:$AE$10008,31,0)</f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S12" s="111" t="str">
        <f>VLOOKUP(C12,'Train Runs'!$A$13:$AE$10008,22,0)</f>
        <v>https://search-rtdc-monitor-bjffxe2xuh6vdkpspy63sjmuny.us-east-1.es.amazonaws.com/_plugin/kibana/#/discover/Steve-Slow-Train-Analysis-(2080s-and-2083s)?_g=(refreshInterval:(display:Off,section:0,value:0),time:(from:'2016-09-08 05:11:03-0600',mode:absolute,to:'2016-09-08 08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12" s="113" t="str">
        <f t="shared" si="1"/>
        <v>"C:\Program Files (x86)\AstroGrep\AstroGrep.exe" /spath="%USERPROFILE%\AppData\Local\Temp\OnboardLogs" /stypes="*4014*201609081*" /stext=" 12:.+((SYSTEM_STATE.+slice.+state.+changed )|(ment ac)|(system.+state.+changed )|(\|lc)|(penalty)|(\[timeout)|(PRM\|1\|D)|(kpr)|(kdp))" /e /r /s</v>
      </c>
      <c r="U12" s="9" t="str">
        <f t="shared" si="2"/>
        <v>4014</v>
      </c>
      <c r="V12" s="38">
        <f t="shared" si="3"/>
        <v>42621.527303240742</v>
      </c>
      <c r="W12" s="52" t="str">
        <f t="shared" si="4"/>
        <v>EC</v>
      </c>
      <c r="X12" s="52" t="str">
        <f t="shared" si="5"/>
        <v>KEEP</v>
      </c>
      <c r="Y12" s="137" t="str">
        <f t="shared" si="6"/>
        <v>echo {"issue":{"subject":"Early arrival","project_id":79,"tracker_id":40,"status_id":1,"priority_id":2,"assigned_to_id":23,"start_date":"2016-09-08","description":"","custom_fields":[{"id":1,"name":"Subdivision","value":"EC"},{"id":4,"name":"Milepost","value":"10.8954"},{"id":17,"name":"Train ID","value":"121-08"},{"id":16,"name":"Locomotive ID","value":"4014"},{"id":130,"name":"Impact","value":""},{"id":150,"name":"Time of Event (Mountain Time)","value":"06:39:19"},{"id":151,"name":"Denver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55"/>
    </row>
    <row r="13" spans="1:28" s="1" customFormat="1" x14ac:dyDescent="0.25">
      <c r="A13" s="38">
        <v>42621.259456018517</v>
      </c>
      <c r="B13" s="33" t="s">
        <v>479</v>
      </c>
      <c r="C13" s="33" t="s">
        <v>293</v>
      </c>
      <c r="D13" s="33" t="s">
        <v>49</v>
      </c>
      <c r="E13" s="33" t="s">
        <v>178</v>
      </c>
      <c r="F13" s="49">
        <v>0</v>
      </c>
      <c r="G13" s="49">
        <v>286</v>
      </c>
      <c r="H13" s="49">
        <v>109201</v>
      </c>
      <c r="I13" s="49">
        <v>108966</v>
      </c>
      <c r="J13" s="33" t="s">
        <v>177</v>
      </c>
      <c r="K13" s="49">
        <v>109135</v>
      </c>
      <c r="L13" s="154" t="s">
        <v>53</v>
      </c>
      <c r="M13" s="157">
        <f t="shared" si="0"/>
        <v>-89.231999999999985</v>
      </c>
      <c r="N13" s="92" t="str">
        <f>VLOOKUP(C13,'Trips&amp;Operators'!$C$1:$E$99999,3,FALSE)</f>
        <v>STARKS</v>
      </c>
      <c r="O13" s="121" t="s">
        <v>86</v>
      </c>
      <c r="P13" s="10" t="s">
        <v>258</v>
      </c>
      <c r="Q13" s="33"/>
      <c r="R13" s="108" t="str">
        <f>VLOOKUP(C13,'Train Runs'!$A$13:$AE$10008,31,0)</f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S13" s="111" t="str">
        <f>VLOOKUP(C13,'Train Runs'!$A$13:$AE$10008,22,0)</f>
        <v>https://search-rtdc-monitor-bjffxe2xuh6vdkpspy63sjmuny.us-east-1.es.amazonaws.com/_plugin/kibana/#/discover/Steve-Slow-Train-Analysis-(2080s-and-2083s)?_g=(refreshInterval:(display:Off,section:0,value:0),time:(from:'2016-09-08 04:51:13-0600',mode:absolute,to:'2016-09-08 07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13" s="113" t="str">
        <f t="shared" si="1"/>
        <v>"C:\Program Files (x86)\AstroGrep\AstroGrep.exe" /spath="%USERPROFILE%\AppData\Local\Temp\OnboardLogs" /stypes="*4017*201609081*" /stext=" 12:.+((SYSTEM_STATE.+slice.+state.+changed )|(ment ac)|(system.+state.+changed )|(\|lc)|(penalty)|(\[timeout)|(PRM\|1\|D)|(kpr)|(kdp))" /e /r /s</v>
      </c>
      <c r="U13" s="9" t="str">
        <f t="shared" si="2"/>
        <v>4017</v>
      </c>
      <c r="V13" s="38">
        <f t="shared" si="3"/>
        <v>42621.509456018517</v>
      </c>
      <c r="W13" s="52" t="str">
        <f t="shared" si="4"/>
        <v>EC</v>
      </c>
      <c r="X13" s="52" t="str">
        <f t="shared" si="5"/>
        <v>KEEP</v>
      </c>
      <c r="Y13" s="137" t="str">
        <f t="shared" si="6"/>
        <v>echo {"issue":{"subject":"Early arrival","project_id":79,"tracker_id":40,"status_id":1,"priority_id":2,"assigned_to_id":23,"start_date":"2016-09-08","description":"","custom_fields":[{"id":1,"name":"Subdivision","value":"EC"},{"id":4,"name":"Milepost","value":"10.9135"},{"id":17,"name":"Train ID","value":"112-08"},{"id":16,"name":"Locomotive ID","value":"4017"},{"id":130,"name":"Impact","value":""},{"id":150,"name":"Time of Event (Mountain Time)","value":"06:13:37"},{"id":151,"name":"Denver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55"/>
    </row>
    <row r="14" spans="1:28" s="1" customFormat="1" x14ac:dyDescent="0.25">
      <c r="A14" s="38">
        <v>42621.803252314814</v>
      </c>
      <c r="B14" s="33" t="s">
        <v>480</v>
      </c>
      <c r="C14" s="33" t="s">
        <v>500</v>
      </c>
      <c r="D14" s="33" t="s">
        <v>49</v>
      </c>
      <c r="E14" s="33" t="s">
        <v>56</v>
      </c>
      <c r="F14" s="49">
        <v>450</v>
      </c>
      <c r="G14" s="49">
        <v>500</v>
      </c>
      <c r="H14" s="49">
        <v>17178</v>
      </c>
      <c r="I14" s="49">
        <v>13538</v>
      </c>
      <c r="J14" s="33" t="s">
        <v>57</v>
      </c>
      <c r="K14" s="49">
        <v>15167</v>
      </c>
      <c r="L14" s="154" t="s">
        <v>53</v>
      </c>
      <c r="M14" s="157">
        <f t="shared" si="0"/>
        <v>-860.11199999999997</v>
      </c>
      <c r="N14" s="92" t="str">
        <f>VLOOKUP(C14,'Trips&amp;Operators'!$C$1:$E$99999,3,FALSE)</f>
        <v>STAMBAUGH</v>
      </c>
      <c r="O14" s="121" t="s">
        <v>86</v>
      </c>
      <c r="P14" s="10"/>
      <c r="Q14" s="33"/>
      <c r="R14" s="108" t="str">
        <f>VLOOKUP(C14,'Train Runs'!$A$13:$AE$10008,31,0)</f>
        <v>aws s3 cp s3://rtdc.mdm.uploadarchive/RTDC4015/2016-09-08/ "%USERPROFILE%\AppData\Local\Temp\OnboardLogs"\RTDC4015\2016-09-08 --recursive &amp; "%USERPROFILE%\Documents\GitHub\mrs-test-scripts\Headless Mode &amp; Sideloading\WalkAndUnGZ.bat" "%USERPROFILE%\AppData\Local\Temp\OnboardLogs"\RTDC4015\2016-09-08 &amp; 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</v>
      </c>
      <c r="S14" s="111" t="str">
        <f>VLOOKUP(C14,'Train Runs'!$A$13:$AE$10008,22,0)</f>
        <v>https://search-rtdc-monitor-bjffxe2xuh6vdkpspy63sjmuny.us-east-1.es.amazonaws.com/_plugin/kibana/#/discover/Steve-Slow-Train-Analysis-(2080s-and-2083s)?_g=(refreshInterval:(display:Off,section:0,value:0),time:(from:'2016-09-08 17:36:10-0600',mode:absolute,to:'2016-09-08 20:20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14" s="113" t="str">
        <f t="shared" si="1"/>
        <v>"C:\Program Files (x86)\AstroGrep\AstroGrep.exe" /spath="%USERPROFILE%\AppData\Local\Temp\OnboardLogs" /stypes="*4015*201609090*" /stext=" 01:.+((SYSTEM_STATE.+slice.+state.+changed )|(ment ac)|(system.+state.+changed )|(\|lc)|(penalty)|(\[timeout)|(PRM\|1\|D)|(kpr)|(kdp))" /e /r /s</v>
      </c>
      <c r="U14" s="9" t="str">
        <f t="shared" si="2"/>
        <v>4015</v>
      </c>
      <c r="V14" s="38">
        <f t="shared" si="3"/>
        <v>42622.053252314814</v>
      </c>
      <c r="W14" s="52" t="str">
        <f t="shared" si="4"/>
        <v>EC</v>
      </c>
      <c r="X14" s="52" t="str">
        <f t="shared" si="5"/>
        <v>KEEP</v>
      </c>
      <c r="Y14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{"issue":{"subject":"","project_id":79,"tracker_id":40,"status_id":1,"priority_id":2,"assigned_to_id":23,"start_date":"2016-09-08","description":"","custom_fields":[{"id":1,"name":"Subdivision","value":"EC"},{"id":4,"name":"Milepost","value":"1.5167"},{"id":17,"name":"Train ID","value":"214-08"},{"id":16,"name":"Locomotive ID","value":"4015"},{"id":130,"name":"Impact","value":""},{"id":150,"name":"Time of Event (Mountain Time)","value":"19:16:41"},{"id":151,"name":"Denver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55"/>
    </row>
    <row r="15" spans="1:28" s="1" customFormat="1" x14ac:dyDescent="0.25">
      <c r="A15" s="38">
        <v>42621.211655092593</v>
      </c>
      <c r="B15" s="33" t="s">
        <v>478</v>
      </c>
      <c r="C15" s="33" t="s">
        <v>289</v>
      </c>
      <c r="D15" s="33" t="s">
        <v>49</v>
      </c>
      <c r="E15" s="33" t="s">
        <v>56</v>
      </c>
      <c r="F15" s="49">
        <v>400</v>
      </c>
      <c r="G15" s="49">
        <v>515</v>
      </c>
      <c r="H15" s="49">
        <v>17015</v>
      </c>
      <c r="I15" s="49">
        <v>17796</v>
      </c>
      <c r="J15" s="33" t="s">
        <v>57</v>
      </c>
      <c r="K15" s="49">
        <v>17867</v>
      </c>
      <c r="L15" s="154" t="s">
        <v>52</v>
      </c>
      <c r="M15" s="157">
        <f t="shared" si="0"/>
        <v>37.488</v>
      </c>
      <c r="N15" s="92" t="str">
        <f>VLOOKUP(C15,'Trips&amp;Operators'!$C$1:$E$99999,3,FALSE)</f>
        <v>STARKS</v>
      </c>
      <c r="O15" s="121" t="s">
        <v>86</v>
      </c>
      <c r="P15" s="10"/>
      <c r="Q15" s="33"/>
      <c r="R15" s="108" t="str">
        <f>VLOOKUP(C15,'Train Runs'!$A$13:$AE$10008,31,0)</f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S15" s="111" t="str">
        <f>VLOOKUP(C15,'Train Runs'!$A$13:$AE$10008,22,0)</f>
        <v>https://search-rtdc-monitor-bjffxe2xuh6vdkpspy63sjmuny.us-east-1.es.amazonaws.com/_plugin/kibana/#/discover/Steve-Slow-Train-Analysis-(2080s-and-2083s)?_g=(refreshInterval:(display:Off,section:0,value:0),time:(from:'2016-09-08 03:58:49-0600',mode:absolute,to:'2016-09-08 06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15" s="113" t="str">
        <f t="shared" si="1"/>
        <v>"C:\Program Files (x86)\AstroGrep\AstroGrep.exe" /spath="%USERPROFILE%\AppData\Local\Temp\OnboardLogs" /stypes="*4018*201609081*" /stext=" 11:.+((SYSTEM_STATE.+slice.+state.+changed )|(ment ac)|(system.+state.+changed )|(\|lc)|(penalty)|(\[timeout)|(PRM\|1\|D)|(kpr)|(kdp))" /e /r /s</v>
      </c>
      <c r="U15" s="9" t="str">
        <f t="shared" si="2"/>
        <v>4018</v>
      </c>
      <c r="V15" s="38">
        <f t="shared" si="3"/>
        <v>42621.461655092593</v>
      </c>
      <c r="W15" s="52" t="str">
        <f t="shared" si="4"/>
        <v>EC</v>
      </c>
      <c r="X15" s="52" t="str">
        <f t="shared" si="5"/>
        <v>KEEP</v>
      </c>
      <c r="Y15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{"issue":{"subject":"","project_id":79,"tracker_id":40,"status_id":1,"priority_id":2,"assigned_to_id":23,"start_date":"2016-09-08","description":"","custom_fields":[{"id":1,"name":"Subdivision","value":"EC"},{"id":4,"name":"Milepost","value":"1.7867"},{"id":17,"name":"Train ID","value":"111-08"},{"id":16,"name":"Locomotive ID","value":"4018"},{"id":130,"name":"Impact","value":""},{"id":150,"name":"Time of Event (Mountain Time)","value":"05:04:47"},{"id":151,"name":"Denver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55"/>
    </row>
    <row r="16" spans="1:28" s="1" customFormat="1" x14ac:dyDescent="0.25">
      <c r="A16" s="38">
        <v>42621.700833333336</v>
      </c>
      <c r="B16" s="33" t="s">
        <v>108</v>
      </c>
      <c r="C16" s="33" t="s">
        <v>487</v>
      </c>
      <c r="D16" s="33" t="s">
        <v>49</v>
      </c>
      <c r="E16" s="33" t="s">
        <v>56</v>
      </c>
      <c r="F16" s="49">
        <v>400</v>
      </c>
      <c r="G16" s="49">
        <v>505</v>
      </c>
      <c r="H16" s="49">
        <v>16764</v>
      </c>
      <c r="I16" s="49">
        <v>17766</v>
      </c>
      <c r="J16" s="33" t="s">
        <v>57</v>
      </c>
      <c r="K16" s="49">
        <v>17867</v>
      </c>
      <c r="L16" s="154" t="s">
        <v>52</v>
      </c>
      <c r="M16" s="157">
        <f t="shared" si="0"/>
        <v>53.328000000000003</v>
      </c>
      <c r="N16" s="92" t="str">
        <f>VLOOKUP(C16,'Trips&amp;Operators'!$C$1:$E$99999,3,FALSE)</f>
        <v>MOSES</v>
      </c>
      <c r="O16" s="121" t="s">
        <v>86</v>
      </c>
      <c r="P16" s="10"/>
      <c r="Q16" s="33"/>
      <c r="R16" s="108" t="str">
        <f>VLOOKUP(C16,'Train Runs'!$A$13:$AE$10008,31,0)</f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S16" s="111" t="str">
        <f>VLOOKUP(C16,'Train Runs'!$A$13:$AE$10008,22,0)</f>
        <v>https://search-rtdc-monitor-bjffxe2xuh6vdkpspy63sjmuny.us-east-1.es.amazonaws.com/_plugin/kibana/#/discover/Steve-Slow-Train-Analysis-(2080s-and-2083s)?_g=(refreshInterval:(display:Off,section:0,value:0),time:(from:'2016-09-08 15:39:40-0600',mode:absolute,to:'2016-09-08 18:25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16" s="113" t="str">
        <f t="shared" si="1"/>
        <v>"C:\Program Files (x86)\AstroGrep\AstroGrep.exe" /spath="%USERPROFILE%\AppData\Local\Temp\OnboardLogs" /stypes="*4014*201609082*" /stext=" 22:.+((SYSTEM_STATE.+slice.+state.+changed )|(ment ac)|(system.+state.+changed )|(\|lc)|(penalty)|(\[timeout)|(PRM\|1\|D)|(kpr)|(kdp))" /e /r /s</v>
      </c>
      <c r="U16" s="9" t="str">
        <f t="shared" si="2"/>
        <v>4014</v>
      </c>
      <c r="V16" s="38">
        <f t="shared" si="3"/>
        <v>42621.950833333336</v>
      </c>
      <c r="W16" s="52" t="str">
        <f t="shared" si="4"/>
        <v>EC</v>
      </c>
      <c r="X16" s="52" t="str">
        <f t="shared" si="5"/>
        <v>KEEP</v>
      </c>
      <c r="Y16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{"issue":{"subject":"","project_id":79,"tracker_id":40,"status_id":1,"priority_id":2,"assigned_to_id":23,"start_date":"2016-09-08","description":"","custom_fields":[{"id":1,"name":"Subdivision","value":"EC"},{"id":4,"name":"Milepost","value":"1.7867"},{"id":17,"name":"Train ID","value":"205-08"},{"id":16,"name":"Locomotive ID","value":"4014"},{"id":130,"name":"Impact","value":""},{"id":150,"name":"Time of Event (Mountain Time)","value":"16:49:12"},{"id":151,"name":"Denver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55"/>
    </row>
    <row r="17" spans="1:28" s="1" customFormat="1" x14ac:dyDescent="0.25">
      <c r="A17" s="38">
        <v>42621.855023148149</v>
      </c>
      <c r="B17" s="33" t="s">
        <v>479</v>
      </c>
      <c r="C17" s="33" t="s">
        <v>504</v>
      </c>
      <c r="D17" s="33" t="s">
        <v>49</v>
      </c>
      <c r="E17" s="33" t="s">
        <v>56</v>
      </c>
      <c r="F17" s="49">
        <v>300</v>
      </c>
      <c r="G17" s="49">
        <v>383</v>
      </c>
      <c r="H17" s="49">
        <v>22983</v>
      </c>
      <c r="I17" s="49">
        <v>21855</v>
      </c>
      <c r="J17" s="33" t="s">
        <v>57</v>
      </c>
      <c r="K17" s="49">
        <v>21848</v>
      </c>
      <c r="L17" s="154" t="s">
        <v>53</v>
      </c>
      <c r="M17" s="157">
        <f t="shared" si="0"/>
        <v>3.6960000000000002</v>
      </c>
      <c r="N17" s="92" t="str">
        <f>VLOOKUP(C17,'Trips&amp;Operators'!$C$1:$E$99999,3,FALSE)</f>
        <v>DELGADO</v>
      </c>
      <c r="O17" s="121" t="s">
        <v>86</v>
      </c>
      <c r="P17" s="10"/>
      <c r="Q17" s="33"/>
      <c r="R17" s="108" t="str">
        <f>VLOOKUP(C17,'Train Runs'!$A$13:$AE$10008,31,0)</f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S17" s="111" t="str">
        <f>VLOOKUP(C17,'Train Runs'!$A$13:$AE$10008,22,0)</f>
        <v>https://search-rtdc-monitor-bjffxe2xuh6vdkpspy63sjmuny.us-east-1.es.amazonaws.com/_plugin/kibana/#/discover/Steve-Slow-Train-Analysis-(2080s-and-2083s)?_g=(refreshInterval:(display:Off,section:0,value:0),time:(from:'2016-09-08 18:45:42-0600',mode:absolute,to:'2016-09-08 21:38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17" s="113" t="str">
        <f t="shared" si="1"/>
        <v>"C:\Program Files (x86)\AstroGrep\AstroGrep.exe" /spath="%USERPROFILE%\AppData\Local\Temp\OnboardLogs" /stypes="*4017*201609090*" /stext=" 02:.+((SYSTEM_STATE.+slice.+state.+changed )|(ment ac)|(system.+state.+changed )|(\|lc)|(penalty)|(\[timeout)|(PRM\|1\|D)|(kpr)|(kdp))" /e /r /s</v>
      </c>
      <c r="U17" s="9" t="str">
        <f t="shared" si="2"/>
        <v>4017</v>
      </c>
      <c r="V17" s="38">
        <f t="shared" si="3"/>
        <v>42622.105023148149</v>
      </c>
      <c r="W17" s="52" t="str">
        <f t="shared" si="4"/>
        <v>EC</v>
      </c>
      <c r="X17" s="52" t="str">
        <f t="shared" si="5"/>
        <v>KEEP</v>
      </c>
      <c r="Y17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{"issue":{"subject":"","project_id":79,"tracker_id":40,"status_id":1,"priority_id":2,"assigned_to_id":23,"start_date":"2016-09-08","description":"","custom_fields":[{"id":1,"name":"Subdivision","value":"EC"},{"id":4,"name":"Milepost","value":"2.1848"},{"id":17,"name":"Train ID","value":"222-08"},{"id":16,"name":"Locomotive ID","value":"4017"},{"id":130,"name":"Impact","value":""},{"id":150,"name":"Time of Event (Mountain Time)","value":"20:31:14"},{"id":151,"name":"Denver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55"/>
    </row>
    <row r="18" spans="1:28" s="1" customFormat="1" x14ac:dyDescent="0.25">
      <c r="A18" s="38">
        <v>42621.204583333332</v>
      </c>
      <c r="B18" s="33" t="s">
        <v>108</v>
      </c>
      <c r="C18" s="33" t="s">
        <v>279</v>
      </c>
      <c r="D18" s="33" t="s">
        <v>107</v>
      </c>
      <c r="E18" s="33" t="s">
        <v>56</v>
      </c>
      <c r="F18" s="49">
        <v>400</v>
      </c>
      <c r="G18" s="49">
        <v>450</v>
      </c>
      <c r="H18" s="49">
        <v>119776</v>
      </c>
      <c r="I18" s="49">
        <v>121302</v>
      </c>
      <c r="J18" s="33" t="s">
        <v>57</v>
      </c>
      <c r="K18" s="49">
        <v>116838</v>
      </c>
      <c r="L18" s="154" t="s">
        <v>52</v>
      </c>
      <c r="M18" s="157">
        <f t="shared" si="0"/>
        <v>-2356.9920000000002</v>
      </c>
      <c r="N18" s="92" t="str">
        <f>VLOOKUP(C18,'Trips&amp;Operators'!$C$1:$E$99999,3,FALSE)</f>
        <v>STRICKLAND</v>
      </c>
      <c r="O18" s="121" t="s">
        <v>86</v>
      </c>
      <c r="P18" s="10"/>
      <c r="Q18" s="33"/>
      <c r="R18" s="108" t="str">
        <f>VLOOKUP(C18,'Train Runs'!$A$13:$AE$10008,31,0)</f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S18" s="111" t="str">
        <f>VLOOKUP(C18,'Train Runs'!$A$13:$AE$10008,22,0)</f>
        <v>https://search-rtdc-monitor-bjffxe2xuh6vdkpspy63sjmuny.us-east-1.es.amazonaws.com/_plugin/kibana/#/discover/Steve-Slow-Train-Analysis-(2080s-and-2083s)?_g=(refreshInterval:(display:Off,section:0,value:0),time:(from:'2016-09-08 03:23:42-0600',mode:absolute,to:'2016-09-08 06:09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18" s="113" t="str">
        <f t="shared" si="1"/>
        <v>"C:\Program Files (x86)\AstroGrep\AstroGrep.exe" /spath="%USERPROFILE%\AppData\Local\Temp\OnboardLogs" /stypes="*4014*201609081*" /stext=" 10:.+((SYSTEM_STATE.+slice.+state.+changed )|(ment ac)|(system.+state.+changed )|(\|lc)|(penalty)|(\[timeout)|(PRM\|1\|D)|(kpr)|(kdp))" /e /r /s</v>
      </c>
      <c r="U18" s="9" t="str">
        <f t="shared" si="2"/>
        <v>4014</v>
      </c>
      <c r="V18" s="38">
        <f t="shared" si="3"/>
        <v>42621.454583333332</v>
      </c>
      <c r="W18" s="52" t="str">
        <f t="shared" si="4"/>
        <v>EC</v>
      </c>
      <c r="X18" s="52" t="str">
        <f t="shared" si="5"/>
        <v>KEEP</v>
      </c>
      <c r="Y18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{"issue":{"subject":"","project_id":79,"tracker_id":40,"status_id":1,"priority_id":2,"assigned_to_id":23,"start_date":"2016-09-08","description":"","custom_fields":[{"id":1,"name":"Subdivision","value":"EC"},{"id":4,"name":"Milepost","value":"11.6838"},{"id":17,"name":"Train ID","value":"107-08"},{"id":16,"name":"Locomotive ID","value":"4014"},{"id":130,"name":"Impact","value":""},{"id":150,"name":"Time of Event (Mountain Time)","value":"04:54:36"},{"id":151,"name":"Denver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55"/>
    </row>
    <row r="19" spans="1:28" s="1" customFormat="1" x14ac:dyDescent="0.25">
      <c r="A19" s="38">
        <v>42621.278298611112</v>
      </c>
      <c r="B19" s="33" t="s">
        <v>108</v>
      </c>
      <c r="C19" s="33" t="s">
        <v>317</v>
      </c>
      <c r="D19" s="33" t="s">
        <v>49</v>
      </c>
      <c r="E19" s="33" t="s">
        <v>56</v>
      </c>
      <c r="F19" s="49">
        <v>400</v>
      </c>
      <c r="G19" s="49">
        <v>541</v>
      </c>
      <c r="H19" s="49">
        <v>114854</v>
      </c>
      <c r="I19" s="49">
        <v>116741</v>
      </c>
      <c r="J19" s="33" t="s">
        <v>57</v>
      </c>
      <c r="K19" s="49">
        <v>116838</v>
      </c>
      <c r="L19" s="154" t="s">
        <v>52</v>
      </c>
      <c r="M19" s="157">
        <f t="shared" si="0"/>
        <v>51.216000000000001</v>
      </c>
      <c r="N19" s="92" t="str">
        <f>VLOOKUP(C19,'Trips&amp;Operators'!$C$1:$E$99999,3,FALSE)</f>
        <v>STRICKLAND</v>
      </c>
      <c r="O19" s="121" t="s">
        <v>86</v>
      </c>
      <c r="P19" s="10"/>
      <c r="Q19" s="33"/>
      <c r="R19" s="108" t="str">
        <f>VLOOKUP(C19,'Train Runs'!$A$13:$AE$10008,31,0)</f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S19" s="111" t="str">
        <f>VLOOKUP(C19,'Train Runs'!$A$13:$AE$10008,22,0)</f>
        <v>https://search-rtdc-monitor-bjffxe2xuh6vdkpspy63sjmuny.us-east-1.es.amazonaws.com/_plugin/kibana/#/discover/Steve-Slow-Train-Analysis-(2080s-and-2083s)?_g=(refreshInterval:(display:Off,section:0,value:0),time:(from:'2016-09-08 05:11:03-0600',mode:absolute,to:'2016-09-08 08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19" s="113" t="str">
        <f t="shared" si="1"/>
        <v>"C:\Program Files (x86)\AstroGrep\AstroGrep.exe" /spath="%USERPROFILE%\AppData\Local\Temp\OnboardLogs" /stypes="*4014*201609081*" /stext=" 12:.+((SYSTEM_STATE.+slice.+state.+changed )|(ment ac)|(system.+state.+changed )|(\|lc)|(penalty)|(\[timeout)|(PRM\|1\|D)|(kpr)|(kdp))" /e /r /s</v>
      </c>
      <c r="U19" s="9" t="str">
        <f t="shared" si="2"/>
        <v>4014</v>
      </c>
      <c r="V19" s="38">
        <f t="shared" si="3"/>
        <v>42621.528298611112</v>
      </c>
      <c r="W19" s="52" t="str">
        <f t="shared" si="4"/>
        <v>EC</v>
      </c>
      <c r="X19" s="52" t="str">
        <f t="shared" si="5"/>
        <v>KEEP</v>
      </c>
      <c r="Y19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{"issue":{"subject":"","project_id":79,"tracker_id":40,"status_id":1,"priority_id":2,"assigned_to_id":23,"start_date":"2016-09-08","description":"","custom_fields":[{"id":1,"name":"Subdivision","value":"EC"},{"id":4,"name":"Milepost","value":"11.6838"},{"id":17,"name":"Train ID","value":"121-08"},{"id":16,"name":"Locomotive ID","value":"4014"},{"id":130,"name":"Impact","value":""},{"id":150,"name":"Time of Event (Mountain Time)","value":"06:40:45"},{"id":151,"name":"Denver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55"/>
    </row>
    <row r="20" spans="1:28" s="1" customFormat="1" x14ac:dyDescent="0.25">
      <c r="A20" s="38">
        <v>42621.279328703706</v>
      </c>
      <c r="B20" s="33" t="s">
        <v>108</v>
      </c>
      <c r="C20" s="33" t="s">
        <v>317</v>
      </c>
      <c r="D20" s="33" t="s">
        <v>107</v>
      </c>
      <c r="E20" s="33" t="s">
        <v>56</v>
      </c>
      <c r="F20" s="49">
        <v>400</v>
      </c>
      <c r="G20" s="49">
        <v>464</v>
      </c>
      <c r="H20" s="49">
        <v>119757</v>
      </c>
      <c r="I20" s="49">
        <v>121262</v>
      </c>
      <c r="J20" s="33" t="s">
        <v>57</v>
      </c>
      <c r="K20" s="49">
        <v>116838</v>
      </c>
      <c r="L20" s="154" t="s">
        <v>52</v>
      </c>
      <c r="M20" s="157">
        <f t="shared" si="0"/>
        <v>-2335.8719999999998</v>
      </c>
      <c r="N20" s="92" t="str">
        <f>VLOOKUP(C20,'Trips&amp;Operators'!$C$1:$E$99999,3,FALSE)</f>
        <v>STRICKLAND</v>
      </c>
      <c r="O20" s="121" t="s">
        <v>86</v>
      </c>
      <c r="P20" s="10"/>
      <c r="Q20" s="33"/>
      <c r="R20" s="108" t="str">
        <f>VLOOKUP(C20,'Train Runs'!$A$13:$AE$10008,31,0)</f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S20" s="111" t="str">
        <f>VLOOKUP(C20,'Train Runs'!$A$13:$AE$10008,22,0)</f>
        <v>https://search-rtdc-monitor-bjffxe2xuh6vdkpspy63sjmuny.us-east-1.es.amazonaws.com/_plugin/kibana/#/discover/Steve-Slow-Train-Analysis-(2080s-and-2083s)?_g=(refreshInterval:(display:Off,section:0,value:0),time:(from:'2016-09-08 05:11:03-0600',mode:absolute,to:'2016-09-08 08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20" s="113" t="str">
        <f t="shared" si="1"/>
        <v>"C:\Program Files (x86)\AstroGrep\AstroGrep.exe" /spath="%USERPROFILE%\AppData\Local\Temp\OnboardLogs" /stypes="*4014*201609081*" /stext=" 12:.+((SYSTEM_STATE.+slice.+state.+changed )|(ment ac)|(system.+state.+changed )|(\|lc)|(penalty)|(\[timeout)|(PRM\|1\|D)|(kpr)|(kdp))" /e /r /s</v>
      </c>
      <c r="U20" s="9" t="str">
        <f t="shared" si="2"/>
        <v>4014</v>
      </c>
      <c r="V20" s="38">
        <f t="shared" si="3"/>
        <v>42621.529328703706</v>
      </c>
      <c r="W20" s="52" t="str">
        <f t="shared" si="4"/>
        <v>EC</v>
      </c>
      <c r="X20" s="52" t="str">
        <f t="shared" si="5"/>
        <v>KEEP</v>
      </c>
      <c r="Y20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{"issue":{"subject":"","project_id":79,"tracker_id":40,"status_id":1,"priority_id":2,"assigned_to_id":23,"start_date":"2016-09-08","description":"","custom_fields":[{"id":1,"name":"Subdivision","value":"EC"},{"id":4,"name":"Milepost","value":"11.6838"},{"id":17,"name":"Train ID","value":"121-08"},{"id":16,"name":"Locomotive ID","value":"4014"},{"id":130,"name":"Impact","value":""},{"id":150,"name":"Time of Event (Mountain Time)","value":"06:42:14"},{"id":151,"name":"Denver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55"/>
    </row>
    <row r="21" spans="1:28" s="1" customFormat="1" x14ac:dyDescent="0.25">
      <c r="A21" s="38">
        <v>42621.973877314813</v>
      </c>
      <c r="B21" s="33" t="s">
        <v>478</v>
      </c>
      <c r="C21" s="33" t="s">
        <v>507</v>
      </c>
      <c r="D21" s="33" t="s">
        <v>49</v>
      </c>
      <c r="E21" s="33" t="s">
        <v>56</v>
      </c>
      <c r="F21" s="49">
        <v>400</v>
      </c>
      <c r="G21" s="49">
        <v>724</v>
      </c>
      <c r="H21" s="49">
        <v>113118</v>
      </c>
      <c r="I21" s="49">
        <v>115817</v>
      </c>
      <c r="J21" s="33" t="s">
        <v>57</v>
      </c>
      <c r="K21" s="49">
        <v>116838</v>
      </c>
      <c r="L21" s="154" t="s">
        <v>52</v>
      </c>
      <c r="M21" s="157"/>
      <c r="N21" s="92" t="str">
        <f>VLOOKUP(C21,'Trips&amp;Operators'!$C$1:$E$99999,3,FALSE)</f>
        <v>DELGADO</v>
      </c>
      <c r="O21" s="121" t="s">
        <v>86</v>
      </c>
      <c r="P21" s="10"/>
      <c r="Q21" s="33"/>
      <c r="R21" s="108" t="str">
        <f>VLOOKUP(C21,'Train Runs'!$A$13:$AE$10008,31,0)</f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S21" s="111" t="str">
        <f>VLOOKUP(C21,'Train Runs'!$A$13:$AE$10008,22,0)</f>
        <v>https://search-rtdc-monitor-bjffxe2xuh6vdkpspy63sjmuny.us-east-1.es.amazonaws.com/_plugin/kibana/#/discover/Steve-Slow-Train-Analysis-(2080s-and-2083s)?_g=(refreshInterval:(display:Off,section:0,value:0),time:(from:'2016-09-08 21:43:17-0600',mode:absolute,to:'2016-09-09 00:39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21" s="113" t="str">
        <f t="shared" si="1"/>
        <v>"C:\Program Files (x86)\AstroGrep\AstroGrep.exe" /spath="%USERPROFILE%\AppData\Local\Temp\OnboardLogs" /stypes="*4018*201609090*" /stext=" 05:.+((SYSTEM_STATE.+slice.+state.+changed )|(ment ac)|(system.+state.+changed )|(\|lc)|(penalty)|(\[timeout)|(PRM\|1\|D)|(kpr)|(kdp))" /e /r /s</v>
      </c>
      <c r="U21" s="9" t="str">
        <f t="shared" si="2"/>
        <v>4018</v>
      </c>
      <c r="V21" s="38">
        <f t="shared" si="3"/>
        <v>42622.223877314813</v>
      </c>
      <c r="W21" s="52" t="str">
        <f t="shared" si="4"/>
        <v>EC</v>
      </c>
      <c r="X21" s="52" t="str">
        <f t="shared" si="5"/>
        <v>KEEP</v>
      </c>
      <c r="Y21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{"issue":{"subject":"","project_id":79,"tracker_id":40,"status_id":1,"priority_id":2,"assigned_to_id":23,"start_date":"2016-09-08","description":"","custom_fields":[{"id":1,"name":"Subdivision","value":"EC"},{"id":4,"name":"Milepost","value":"11.6838"},{"id":17,"name":"Train ID","value":"237-08"},{"id":16,"name":"Locomotive ID","value":"4018"},{"id":130,"name":"Impact","value":""},{"id":150,"name":"Time of Event (Mountain Time)","value":"23:22:23"},{"id":151,"name":"Denver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55"/>
    </row>
    <row r="22" spans="1:28" x14ac:dyDescent="0.25">
      <c r="A22" s="38">
        <v>42621.303344907406</v>
      </c>
      <c r="B22" s="33" t="s">
        <v>111</v>
      </c>
      <c r="C22" s="33" t="s">
        <v>314</v>
      </c>
      <c r="D22" s="33" t="s">
        <v>49</v>
      </c>
      <c r="E22" s="33" t="s">
        <v>56</v>
      </c>
      <c r="F22" s="49">
        <v>400</v>
      </c>
      <c r="G22" s="49">
        <v>453</v>
      </c>
      <c r="H22" s="49">
        <v>120549</v>
      </c>
      <c r="I22" s="49">
        <v>119312</v>
      </c>
      <c r="J22" s="33" t="s">
        <v>57</v>
      </c>
      <c r="K22" s="49">
        <v>119716</v>
      </c>
      <c r="L22" s="154" t="s">
        <v>53</v>
      </c>
      <c r="M22" s="157">
        <f t="shared" ref="M22:M48" si="7">CONVERT((I22-K22)/10000,"mi","ft")*IF(L22="Increasing Mileposts (1)",-1,1)</f>
        <v>-213.31200000000001</v>
      </c>
      <c r="N22" s="92" t="str">
        <f>VLOOKUP(C22,'Trips&amp;Operators'!$C$1:$E$99999,3,FALSE)</f>
        <v>MALAVE</v>
      </c>
      <c r="O22" s="121" t="s">
        <v>86</v>
      </c>
      <c r="P22" s="10"/>
      <c r="Q22" s="33"/>
      <c r="R22" s="108" t="str">
        <f>VLOOKUP(C22,'Train Runs'!$A$13:$AE$10008,31,0)</f>
        <v>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 &amp; 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</v>
      </c>
      <c r="S22" s="111" t="str">
        <f>VLOOKUP(C22,'Train Runs'!$A$13:$AE$10008,22,0)</f>
        <v>https://search-rtdc-monitor-bjffxe2xuh6vdkpspy63sjmuny.us-east-1.es.amazonaws.com/_plugin/kibana/#/discover/Steve-Slow-Train-Analysis-(2080s-and-2083s)?_g=(refreshInterval:(display:Off,section:0,value:0),time:(from:'2016-09-08 05:51:52-0600',mode:absolute,to:'2016-09-08 08:40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22" s="113" t="str">
        <f t="shared" si="1"/>
        <v>"C:\Program Files (x86)\AstroGrep\AstroGrep.exe" /spath="%USERPROFILE%\AppData\Local\Temp\OnboardLogs" /stypes="*4032*201609081*" /stext=" 13:.+((SYSTEM_STATE.+slice.+state.+changed )|(ment ac)|(system.+state.+changed )|(\|lc)|(penalty)|(\[timeout)|(PRM\|1\|D)|(kpr)|(kdp))" /e /r /s</v>
      </c>
      <c r="U22" s="9" t="str">
        <f t="shared" si="2"/>
        <v>4032</v>
      </c>
      <c r="V22" s="38">
        <f t="shared" si="3"/>
        <v>42621.553344907406</v>
      </c>
      <c r="W22" s="52" t="str">
        <f t="shared" si="4"/>
        <v>EC</v>
      </c>
      <c r="X22" s="52" t="str">
        <f t="shared" si="5"/>
        <v>KEEP</v>
      </c>
      <c r="Y22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{"issue":{"subject":"","project_id":79,"tracker_id":40,"status_id":1,"priority_id":2,"assigned_to_id":23,"start_date":"2016-09-08","description":"","custom_fields":[{"id":1,"name":"Subdivision","value":"EC"},{"id":4,"name":"Milepost","value":"11.9716"},{"id":17,"name":"Train ID","value":"120-08"},{"id":16,"name":"Locomotive ID","value":"4032"},{"id":130,"name":"Impact","value":""},{"id":150,"name":"Time of Event (Mountain Time)","value":"07:16:49"},{"id":151,"name":"Denver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55"/>
    </row>
    <row r="23" spans="1:28" x14ac:dyDescent="0.25">
      <c r="A23" s="38">
        <v>42621.306574074071</v>
      </c>
      <c r="B23" s="33" t="s">
        <v>89</v>
      </c>
      <c r="C23" s="33" t="s">
        <v>320</v>
      </c>
      <c r="D23" s="33" t="s">
        <v>49</v>
      </c>
      <c r="E23" s="33" t="s">
        <v>56</v>
      </c>
      <c r="F23" s="49">
        <v>450</v>
      </c>
      <c r="G23" s="49">
        <v>632</v>
      </c>
      <c r="H23" s="49">
        <v>159283</v>
      </c>
      <c r="I23" s="49">
        <v>157585</v>
      </c>
      <c r="J23" s="33" t="s">
        <v>57</v>
      </c>
      <c r="K23" s="49">
        <v>156300</v>
      </c>
      <c r="L23" s="154" t="s">
        <v>53</v>
      </c>
      <c r="M23" s="157">
        <f t="shared" si="7"/>
        <v>678.48</v>
      </c>
      <c r="N23" s="92" t="str">
        <f>VLOOKUP(C23,'Trips&amp;Operators'!$C$1:$E$99999,3,FALSE)</f>
        <v>STRICKLAND</v>
      </c>
      <c r="O23" s="121" t="s">
        <v>86</v>
      </c>
      <c r="P23" s="10"/>
      <c r="Q23" s="33"/>
      <c r="R23" s="108" t="str">
        <f>VLOOKUP(C23,'Train Runs'!$A$13:$AE$10008,31,0)</f>
        <v>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 &amp; aws s3 cp s3://rtdc.mdm.uploadarchive/RTDC4013/2016-09-09/ "%USERPROFILE%\AppData\Local\Temp\OnboardLogs"\RTDC4013\2016-09-09 --recursive &amp; "%USERPROFILE%\Documents\GitHub\mrs-test-scripts\Headless Mode &amp; Sideloading\WalkAndUnGZ.bat" "%USERPROFILE%\AppData\Local\Temp\OnboardLogs"\RTDC4013\2016-09-09</v>
      </c>
      <c r="S23" s="111" t="str">
        <f>VLOOKUP(C23,'Train Runs'!$A$13:$AE$10008,22,0)</f>
        <v>https://search-rtdc-monitor-bjffxe2xuh6vdkpspy63sjmuny.us-east-1.es.amazonaws.com/_plugin/kibana/#/discover/Steve-Slow-Train-Analysis-(2080s-and-2083s)?_g=(refreshInterval:(display:Off,section:0,value:0),time:(from:'2016-09-08 06:06:40-0600',mode:absolute,to:'2016-09-08 08:53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23" s="113" t="str">
        <f t="shared" si="1"/>
        <v>"C:\Program Files (x86)\AstroGrep\AstroGrep.exe" /spath="%USERPROFILE%\AppData\Local\Temp\OnboardLogs" /stypes="*4013*201609081*" /stext=" 13:.+((SYSTEM_STATE.+slice.+state.+changed )|(ment ac)|(system.+state.+changed )|(\|lc)|(penalty)|(\[timeout)|(PRM\|1\|D)|(kpr)|(kdp))" /e /r /s</v>
      </c>
      <c r="U23" s="9" t="str">
        <f t="shared" si="2"/>
        <v>4013</v>
      </c>
      <c r="V23" s="38">
        <f t="shared" si="3"/>
        <v>42621.556574074071</v>
      </c>
      <c r="W23" s="52" t="str">
        <f t="shared" si="4"/>
        <v>EC</v>
      </c>
      <c r="X23" s="52" t="str">
        <f t="shared" si="5"/>
        <v>KEEP</v>
      </c>
      <c r="Y23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{"issue":{"subject":"","project_id":79,"tracker_id":40,"status_id":1,"priority_id":2,"assigned_to_id":23,"start_date":"2016-09-08","description":"","custom_fields":[{"id":1,"name":"Subdivision","value":"EC"},{"id":4,"name":"Milepost","value":"15.63"},{"id":17,"name":"Train ID","value":"122-08"},{"id":16,"name":"Locomotive ID","value":"4013"},{"id":130,"name":"Impact","value":""},{"id":150,"name":"Time of Event (Mountain Time)","value":"07:21:28"},{"id":151,"name":"Denver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55"/>
    </row>
    <row r="24" spans="1:28" x14ac:dyDescent="0.25">
      <c r="A24" s="38">
        <v>42621.288229166668</v>
      </c>
      <c r="B24" s="33" t="s">
        <v>108</v>
      </c>
      <c r="C24" s="33" t="s">
        <v>317</v>
      </c>
      <c r="D24" s="33" t="s">
        <v>49</v>
      </c>
      <c r="E24" s="33" t="s">
        <v>56</v>
      </c>
      <c r="F24" s="49">
        <v>600</v>
      </c>
      <c r="G24" s="49">
        <v>699</v>
      </c>
      <c r="H24" s="49">
        <v>181799</v>
      </c>
      <c r="I24" s="49">
        <v>184606</v>
      </c>
      <c r="J24" s="33" t="s">
        <v>57</v>
      </c>
      <c r="K24" s="49">
        <v>183829</v>
      </c>
      <c r="L24" s="154" t="s">
        <v>52</v>
      </c>
      <c r="M24" s="157">
        <f t="shared" si="7"/>
        <v>-410.25599999999997</v>
      </c>
      <c r="N24" s="92" t="str">
        <f>VLOOKUP(C24,'Trips&amp;Operators'!$C$1:$E$99999,3,FALSE)</f>
        <v>STRICKLAND</v>
      </c>
      <c r="O24" s="121" t="s">
        <v>86</v>
      </c>
      <c r="P24" s="10"/>
      <c r="Q24" s="33"/>
      <c r="R24" s="108" t="str">
        <f>VLOOKUP(C24,'Train Runs'!$A$13:$AE$10008,31,0)</f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S24" s="111" t="str">
        <f>VLOOKUP(C24,'Train Runs'!$A$13:$AE$10008,22,0)</f>
        <v>https://search-rtdc-monitor-bjffxe2xuh6vdkpspy63sjmuny.us-east-1.es.amazonaws.com/_plugin/kibana/#/discover/Steve-Slow-Train-Analysis-(2080s-and-2083s)?_g=(refreshInterval:(display:Off,section:0,value:0),time:(from:'2016-09-08 05:11:03-0600',mode:absolute,to:'2016-09-08 08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24" s="113" t="str">
        <f t="shared" si="1"/>
        <v>"C:\Program Files (x86)\AstroGrep\AstroGrep.exe" /spath="%USERPROFILE%\AppData\Local\Temp\OnboardLogs" /stypes="*4014*201609081*" /stext=" 12:.+((SYSTEM_STATE.+slice.+state.+changed )|(ment ac)|(system.+state.+changed )|(\|lc)|(penalty)|(\[timeout)|(PRM\|1\|D)|(kpr)|(kdp))" /e /r /s</v>
      </c>
      <c r="U24" s="9" t="str">
        <f t="shared" si="2"/>
        <v>4014</v>
      </c>
      <c r="V24" s="38">
        <f t="shared" si="3"/>
        <v>42621.538229166668</v>
      </c>
      <c r="W24" s="52" t="str">
        <f t="shared" si="4"/>
        <v>EC</v>
      </c>
      <c r="X24" s="52" t="str">
        <f t="shared" si="5"/>
        <v>KEEP</v>
      </c>
      <c r="Y24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{"issue":{"subject":"","project_id":79,"tracker_id":40,"status_id":1,"priority_id":2,"assigned_to_id":23,"start_date":"2016-09-08","description":"","custom_fields":[{"id":1,"name":"Subdivision","value":"EC"},{"id":4,"name":"Milepost","value":"18.3829"},{"id":17,"name":"Train ID","value":"121-08"},{"id":16,"name":"Locomotive ID","value":"4014"},{"id":130,"name":"Impact","value":""},{"id":150,"name":"Time of Event (Mountain Time)","value":"06:55:03"},{"id":151,"name":"Denver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55"/>
    </row>
    <row r="25" spans="1:28" ht="15" customHeight="1" x14ac:dyDescent="0.25">
      <c r="A25" s="38">
        <v>42621.347256944442</v>
      </c>
      <c r="B25" s="33" t="s">
        <v>110</v>
      </c>
      <c r="C25" s="33" t="s">
        <v>347</v>
      </c>
      <c r="D25" s="33" t="s">
        <v>49</v>
      </c>
      <c r="E25" s="33" t="s">
        <v>56</v>
      </c>
      <c r="F25" s="49">
        <v>350</v>
      </c>
      <c r="G25" s="49">
        <v>509</v>
      </c>
      <c r="H25" s="49">
        <v>222993</v>
      </c>
      <c r="I25" s="49">
        <v>224344</v>
      </c>
      <c r="J25" s="33" t="s">
        <v>57</v>
      </c>
      <c r="K25" s="49">
        <v>224578</v>
      </c>
      <c r="L25" s="154" t="s">
        <v>52</v>
      </c>
      <c r="M25" s="157">
        <f t="shared" si="7"/>
        <v>123.55200000000001</v>
      </c>
      <c r="N25" s="92" t="str">
        <f>VLOOKUP(C25,'Trips&amp;Operators'!$C$1:$E$99999,3,FALSE)</f>
        <v>MALAVE</v>
      </c>
      <c r="O25" s="121" t="s">
        <v>86</v>
      </c>
      <c r="P25" s="10"/>
      <c r="Q25" s="33"/>
      <c r="R25" s="108" t="str">
        <f>VLOOKUP(C25,'Train Runs'!$A$13:$AE$10008,31,0)</f>
        <v>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 &amp; 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</v>
      </c>
      <c r="S25" s="111" t="str">
        <f>VLOOKUP(C25,'Train Runs'!$A$13:$AE$10008,22,0)</f>
        <v>https://search-rtdc-monitor-bjffxe2xuh6vdkpspy63sjmuny.us-east-1.es.amazonaws.com/_plugin/kibana/#/discover/Steve-Slow-Train-Analysis-(2080s-and-2083s)?_g=(refreshInterval:(display:Off,section:0,value:0),time:(from:'2016-09-08 06:44:43-0600',mode:absolute,to:'2016-09-08 09:23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25" s="113" t="str">
        <f t="shared" si="1"/>
        <v>"C:\Program Files (x86)\AstroGrep\AstroGrep.exe" /spath="%USERPROFILE%\AppData\Local\Temp\OnboardLogs" /stypes="*4031*201609081*" /stext=" 14:.+((SYSTEM_STATE.+slice.+state.+changed )|(ment ac)|(system.+state.+changed )|(\|lc)|(penalty)|(\[timeout)|(PRM\|1\|D)|(kpr)|(kdp))" /e /r /s</v>
      </c>
      <c r="U25" s="9" t="str">
        <f t="shared" si="2"/>
        <v>4031</v>
      </c>
      <c r="V25" s="38">
        <f t="shared" si="3"/>
        <v>42621.597256944442</v>
      </c>
      <c r="W25" s="52" t="str">
        <f t="shared" si="4"/>
        <v>EC</v>
      </c>
      <c r="X25" s="52" t="str">
        <f t="shared" si="5"/>
        <v>KEEP</v>
      </c>
      <c r="Y25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{"issue":{"subject":"","project_id":79,"tracker_id":40,"status_id":1,"priority_id":2,"assigned_to_id":23,"start_date":"2016-09-08","description":"","custom_fields":[{"id":1,"name":"Subdivision","value":"EC"},{"id":4,"name":"Milepost","value":"22.4578"},{"id":17,"name":"Train ID","value":"133-08"},{"id":16,"name":"Locomotive ID","value":"4031"},{"id":130,"name":"Impact","value":""},{"id":150,"name":"Time of Event (Mountain Time)","value":"08:20:03"},{"id":151,"name":"Denver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55"/>
    </row>
    <row r="26" spans="1:28" x14ac:dyDescent="0.25">
      <c r="A26" s="38">
        <v>42621.291967592595</v>
      </c>
      <c r="B26" s="33" t="s">
        <v>108</v>
      </c>
      <c r="C26" s="33" t="s">
        <v>317</v>
      </c>
      <c r="D26" s="33" t="s">
        <v>49</v>
      </c>
      <c r="E26" s="33" t="s">
        <v>56</v>
      </c>
      <c r="F26" s="49">
        <v>150</v>
      </c>
      <c r="G26" s="49">
        <v>350</v>
      </c>
      <c r="H26" s="49">
        <v>227135</v>
      </c>
      <c r="I26" s="49">
        <v>228267</v>
      </c>
      <c r="J26" s="33" t="s">
        <v>57</v>
      </c>
      <c r="K26" s="49">
        <v>230436</v>
      </c>
      <c r="L26" s="154" t="s">
        <v>52</v>
      </c>
      <c r="M26" s="157">
        <f t="shared" si="7"/>
        <v>1145.232</v>
      </c>
      <c r="N26" s="92" t="str">
        <f>VLOOKUP(C26,'Trips&amp;Operators'!$C$1:$E$99999,3,FALSE)</f>
        <v>STRICKLAND</v>
      </c>
      <c r="O26" s="121" t="s">
        <v>86</v>
      </c>
      <c r="P26" s="10"/>
      <c r="Q26" s="33"/>
      <c r="R26" s="108" t="str">
        <f>VLOOKUP(C26,'Train Runs'!$A$13:$AE$10008,31,0)</f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S26" s="111" t="str">
        <f>VLOOKUP(C26,'Train Runs'!$A$13:$AE$10008,22,0)</f>
        <v>https://search-rtdc-monitor-bjffxe2xuh6vdkpspy63sjmuny.us-east-1.es.amazonaws.com/_plugin/kibana/#/discover/Steve-Slow-Train-Analysis-(2080s-and-2083s)?_g=(refreshInterval:(display:Off,section:0,value:0),time:(from:'2016-09-08 05:11:03-0600',mode:absolute,to:'2016-09-08 08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26" s="113" t="str">
        <f t="shared" si="1"/>
        <v>"C:\Program Files (x86)\AstroGrep\AstroGrep.exe" /spath="%USERPROFILE%\AppData\Local\Temp\OnboardLogs" /stypes="*4014*201609081*" /stext=" 13:.+((SYSTEM_STATE.+slice.+state.+changed )|(ment ac)|(system.+state.+changed )|(\|lc)|(penalty)|(\[timeout)|(PRM\|1\|D)|(kpr)|(kdp))" /e /r /s</v>
      </c>
      <c r="U26" s="9" t="str">
        <f t="shared" si="2"/>
        <v>4014</v>
      </c>
      <c r="V26" s="38">
        <f t="shared" si="3"/>
        <v>42621.541967592595</v>
      </c>
      <c r="W26" s="52" t="str">
        <f t="shared" si="4"/>
        <v>EC</v>
      </c>
      <c r="X26" s="52" t="str">
        <f t="shared" si="5"/>
        <v>KEEP</v>
      </c>
      <c r="Y26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{"issue":{"subject":"","project_id":79,"tracker_id":40,"status_id":1,"priority_id":2,"assigned_to_id":23,"start_date":"2016-09-08","description":"","custom_fields":[{"id":1,"name":"Subdivision","value":"EC"},{"id":4,"name":"Milepost","value":"23.0436"},{"id":17,"name":"Train ID","value":"121-08"},{"id":16,"name":"Locomotive ID","value":"4014"},{"id":130,"name":"Impact","value":""},{"id":150,"name":"Time of Event (Mountain Time)","value":"07:00:26"},{"id":151,"name":"Denver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55"/>
    </row>
    <row r="27" spans="1:28" x14ac:dyDescent="0.25">
      <c r="A27" s="38">
        <v>42621.29247685185</v>
      </c>
      <c r="B27" s="33" t="s">
        <v>108</v>
      </c>
      <c r="C27" s="33" t="s">
        <v>317</v>
      </c>
      <c r="D27" s="33" t="s">
        <v>49</v>
      </c>
      <c r="E27" s="33" t="s">
        <v>56</v>
      </c>
      <c r="F27" s="49">
        <v>150</v>
      </c>
      <c r="G27" s="49">
        <v>212</v>
      </c>
      <c r="H27" s="49">
        <v>228707</v>
      </c>
      <c r="I27" s="49">
        <v>229075</v>
      </c>
      <c r="J27" s="33" t="s">
        <v>57</v>
      </c>
      <c r="K27" s="49">
        <v>230436</v>
      </c>
      <c r="L27" s="154" t="s">
        <v>52</v>
      </c>
      <c r="M27" s="157">
        <f t="shared" si="7"/>
        <v>718.60799999999995</v>
      </c>
      <c r="N27" s="92" t="str">
        <f>VLOOKUP(C27,'Trips&amp;Operators'!$C$1:$E$99999,3,FALSE)</f>
        <v>STRICKLAND</v>
      </c>
      <c r="O27" s="121" t="s">
        <v>86</v>
      </c>
      <c r="P27" s="10"/>
      <c r="Q27" s="33"/>
      <c r="R27" s="108" t="str">
        <f>VLOOKUP(C27,'Train Runs'!$A$13:$AE$10008,31,0)</f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S27" s="111" t="str">
        <f>VLOOKUP(C27,'Train Runs'!$A$13:$AE$10008,22,0)</f>
        <v>https://search-rtdc-monitor-bjffxe2xuh6vdkpspy63sjmuny.us-east-1.es.amazonaws.com/_plugin/kibana/#/discover/Steve-Slow-Train-Analysis-(2080s-and-2083s)?_g=(refreshInterval:(display:Off,section:0,value:0),time:(from:'2016-09-08 05:11:03-0600',mode:absolute,to:'2016-09-08 08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27" s="113" t="str">
        <f t="shared" si="1"/>
        <v>"C:\Program Files (x86)\AstroGrep\AstroGrep.exe" /spath="%USERPROFILE%\AppData\Local\Temp\OnboardLogs" /stypes="*4014*201609081*" /stext=" 13:.+((SYSTEM_STATE.+slice.+state.+changed )|(ment ac)|(system.+state.+changed )|(\|lc)|(penalty)|(\[timeout)|(PRM\|1\|D)|(kpr)|(kdp))" /e /r /s</v>
      </c>
      <c r="U27" s="9" t="str">
        <f t="shared" si="2"/>
        <v>4014</v>
      </c>
      <c r="V27" s="38">
        <f t="shared" si="3"/>
        <v>42621.54247685185</v>
      </c>
      <c r="W27" s="52" t="str">
        <f t="shared" si="4"/>
        <v>EC</v>
      </c>
      <c r="X27" s="52" t="str">
        <f t="shared" si="5"/>
        <v>KEEP</v>
      </c>
      <c r="Y27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{"issue":{"subject":"","project_id":79,"tracker_id":40,"status_id":1,"priority_id":2,"assigned_to_id":23,"start_date":"2016-09-08","description":"","custom_fields":[{"id":1,"name":"Subdivision","value":"EC"},{"id":4,"name":"Milepost","value":"23.0436"},{"id":17,"name":"Train ID","value":"121-08"},{"id":16,"name":"Locomotive ID","value":"4014"},{"id":130,"name":"Impact","value":""},{"id":150,"name":"Time of Event (Mountain Time)","value":"07:01:10"},{"id":151,"name":"Denver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55"/>
    </row>
    <row r="28" spans="1:28" x14ac:dyDescent="0.25">
      <c r="A28" s="38">
        <v>42621.292962962965</v>
      </c>
      <c r="B28" s="33" t="s">
        <v>108</v>
      </c>
      <c r="C28" s="33" t="s">
        <v>317</v>
      </c>
      <c r="D28" s="33" t="s">
        <v>49</v>
      </c>
      <c r="E28" s="33" t="s">
        <v>56</v>
      </c>
      <c r="F28" s="49">
        <v>150</v>
      </c>
      <c r="G28" s="49">
        <v>200</v>
      </c>
      <c r="H28" s="49">
        <v>229465</v>
      </c>
      <c r="I28" s="49">
        <v>229694</v>
      </c>
      <c r="J28" s="33" t="s">
        <v>57</v>
      </c>
      <c r="K28" s="49">
        <v>230436</v>
      </c>
      <c r="L28" s="154" t="s">
        <v>52</v>
      </c>
      <c r="M28" s="157">
        <f t="shared" si="7"/>
        <v>391.77600000000001</v>
      </c>
      <c r="N28" s="92" t="str">
        <f>VLOOKUP(C28,'Trips&amp;Operators'!$C$1:$E$99999,3,FALSE)</f>
        <v>STRICKLAND</v>
      </c>
      <c r="O28" s="121" t="s">
        <v>86</v>
      </c>
      <c r="P28" s="10"/>
      <c r="Q28" s="33"/>
      <c r="R28" s="108" t="str">
        <f>VLOOKUP(C28,'Train Runs'!$A$13:$AE$10008,31,0)</f>
        <v>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 &amp; 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</v>
      </c>
      <c r="S28" s="111" t="str">
        <f>VLOOKUP(C28,'Train Runs'!$A$13:$AE$10008,22,0)</f>
        <v>https://search-rtdc-monitor-bjffxe2xuh6vdkpspy63sjmuny.us-east-1.es.amazonaws.com/_plugin/kibana/#/discover/Steve-Slow-Train-Analysis-(2080s-and-2083s)?_g=(refreshInterval:(display:Off,section:0,value:0),time:(from:'2016-09-08 05:11:03-0600',mode:absolute,to:'2016-09-08 08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28" s="113" t="str">
        <f t="shared" si="1"/>
        <v>"C:\Program Files (x86)\AstroGrep\AstroGrep.exe" /spath="%USERPROFILE%\AppData\Local\Temp\OnboardLogs" /stypes="*4014*201609081*" /stext=" 13:.+((SYSTEM_STATE.+slice.+state.+changed )|(ment ac)|(system.+state.+changed )|(\|lc)|(penalty)|(\[timeout)|(PRM\|1\|D)|(kpr)|(kdp))" /e /r /s</v>
      </c>
      <c r="U28" s="9" t="str">
        <f t="shared" si="2"/>
        <v>4014</v>
      </c>
      <c r="V28" s="38">
        <f t="shared" si="3"/>
        <v>42621.542962962965</v>
      </c>
      <c r="W28" s="52" t="str">
        <f t="shared" si="4"/>
        <v>EC</v>
      </c>
      <c r="X28" s="52" t="str">
        <f t="shared" si="5"/>
        <v>KEEP</v>
      </c>
      <c r="Y28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{"issue":{"subject":"","project_id":79,"tracker_id":40,"status_id":1,"priority_id":2,"assigned_to_id":23,"start_date":"2016-09-08","description":"","custom_fields":[{"id":1,"name":"Subdivision","value":"EC"},{"id":4,"name":"Milepost","value":"23.0436"},{"id":17,"name":"Train ID","value":"121-08"},{"id":16,"name":"Locomotive ID","value":"4014"},{"id":130,"name":"Impact","value":""},{"id":150,"name":"Time of Event (Mountain Time)","value":"07:01:52"},{"id":151,"name":"Denver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55"/>
    </row>
    <row r="29" spans="1:28" x14ac:dyDescent="0.25">
      <c r="A29" s="38">
        <v>42621.764097222222</v>
      </c>
      <c r="B29" s="33" t="s">
        <v>477</v>
      </c>
      <c r="C29" s="33" t="s">
        <v>496</v>
      </c>
      <c r="D29" s="33" t="s">
        <v>49</v>
      </c>
      <c r="E29" s="33" t="s">
        <v>56</v>
      </c>
      <c r="F29" s="49">
        <v>150</v>
      </c>
      <c r="G29" s="49">
        <v>354</v>
      </c>
      <c r="H29" s="49">
        <v>228778</v>
      </c>
      <c r="I29" s="49">
        <v>229572</v>
      </c>
      <c r="J29" s="33" t="s">
        <v>57</v>
      </c>
      <c r="K29" s="49">
        <v>230436</v>
      </c>
      <c r="L29" s="154" t="s">
        <v>52</v>
      </c>
      <c r="M29" s="157">
        <f t="shared" si="7"/>
        <v>456.19200000000001</v>
      </c>
      <c r="N29" s="92" t="str">
        <f>VLOOKUP(C29,'Trips&amp;Operators'!$C$1:$E$99999,3,FALSE)</f>
        <v>STAMBAUGH</v>
      </c>
      <c r="O29" s="121" t="s">
        <v>86</v>
      </c>
      <c r="P29" s="10"/>
      <c r="Q29" s="33"/>
      <c r="R29" s="108" t="str">
        <f>VLOOKUP(C29,'Train Runs'!$A$13:$AE$10008,31,0)</f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S29" s="111" t="str">
        <f>VLOOKUP(C29,'Train Runs'!$A$13:$AE$10008,22,0)</f>
        <v>https://search-rtdc-monitor-bjffxe2xuh6vdkpspy63sjmuny.us-east-1.es.amazonaws.com/_plugin/kibana/#/discover/Steve-Slow-Train-Analysis-(2080s-and-2083s)?_g=(refreshInterval:(display:Off,section:0,value:0),time:(from:'2016-09-08 16:43:44-0600',mode:absolute,to:'2016-09-08 19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29" s="113" t="str">
        <f t="shared" si="1"/>
        <v>"C:\Program Files (x86)\AstroGrep\AstroGrep.exe" /spath="%USERPROFILE%\AppData\Local\Temp\OnboardLogs" /stypes="*4016*201609090*" /stext=" 00:.+((SYSTEM_STATE.+slice.+state.+changed )|(ment ac)|(system.+state.+changed )|(\|lc)|(penalty)|(\[timeout)|(PRM\|1\|D)|(kpr)|(kdp))" /e /r /s</v>
      </c>
      <c r="U29" s="9" t="str">
        <f t="shared" si="2"/>
        <v>4016</v>
      </c>
      <c r="V29" s="38">
        <f t="shared" si="3"/>
        <v>42622.014097222222</v>
      </c>
      <c r="W29" s="52" t="str">
        <f t="shared" si="4"/>
        <v>EC</v>
      </c>
      <c r="X29" s="52" t="str">
        <f t="shared" si="5"/>
        <v>KEEP</v>
      </c>
      <c r="Y29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{"issue":{"subject":"","project_id":79,"tracker_id":40,"status_id":1,"priority_id":2,"assigned_to_id":23,"start_date":"2016-09-08","description":"","custom_fields":[{"id":1,"name":"Subdivision","value":"EC"},{"id":4,"name":"Milepost","value":"23.0436"},{"id":17,"name":"Train ID","value":"213-08"},{"id":16,"name":"Locomotive ID","value":"4016"},{"id":130,"name":"Impact","value":""},{"id":150,"name":"Time of Event (Mountain Time)","value":"18:20:18"},{"id":151,"name":"Denver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55"/>
    </row>
    <row r="30" spans="1:28" x14ac:dyDescent="0.25">
      <c r="A30" s="38">
        <v>42621.456631944442</v>
      </c>
      <c r="B30" s="33" t="s">
        <v>202</v>
      </c>
      <c r="C30" s="33" t="s">
        <v>388</v>
      </c>
      <c r="D30" s="33" t="s">
        <v>107</v>
      </c>
      <c r="E30" s="33" t="s">
        <v>56</v>
      </c>
      <c r="F30" s="49">
        <v>150</v>
      </c>
      <c r="G30" s="49">
        <v>216</v>
      </c>
      <c r="H30" s="49">
        <v>232356</v>
      </c>
      <c r="I30" s="49">
        <v>232130</v>
      </c>
      <c r="J30" s="33" t="s">
        <v>57</v>
      </c>
      <c r="K30" s="49">
        <v>233492</v>
      </c>
      <c r="L30" s="154" t="s">
        <v>53</v>
      </c>
      <c r="M30" s="157">
        <f t="shared" si="7"/>
        <v>-719.13599999999997</v>
      </c>
      <c r="N30" s="92" t="str">
        <f>VLOOKUP(C30,'Trips&amp;Operators'!$C$1:$E$99999,3,FALSE)</f>
        <v>BREITSCH</v>
      </c>
      <c r="O30" s="121" t="s">
        <v>86</v>
      </c>
      <c r="P30" s="10"/>
      <c r="Q30" s="33"/>
      <c r="R30" s="108" t="str">
        <f>VLOOKUP(C30,'Train Runs'!$A$13:$AE$10008,31,0)</f>
        <v>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 &amp; 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</v>
      </c>
      <c r="S30" s="111" t="str">
        <f>VLOOKUP(C30,'Train Runs'!$A$13:$AE$10008,22,0)</f>
        <v>https://search-rtdc-monitor-bjffxe2xuh6vdkpspy63sjmuny.us-east-1.es.amazonaws.com/_plugin/kibana/#/discover/Steve-Slow-Train-Analysis-(2080s-and-2083s)?_g=(refreshInterval:(display:Off,section:0,value:0),time:(from:'2016-09-08 09:41:25-0600',mode:absolute,to:'2016-09-08 12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30" s="113" t="str">
        <f t="shared" si="1"/>
        <v>"C:\Program Files (x86)\AstroGrep\AstroGrep.exe" /spath="%USERPROFILE%\AppData\Local\Temp\OnboardLogs" /stypes="*4010*201609081*" /stext=" 16:.+((SYSTEM_STATE.+slice.+state.+changed )|(ment ac)|(system.+state.+changed )|(\|lc)|(penalty)|(\[timeout)|(PRM\|1\|D)|(kpr)|(kdp))" /e /r /s</v>
      </c>
      <c r="U30" s="9" t="str">
        <f t="shared" si="2"/>
        <v>4010</v>
      </c>
      <c r="V30" s="38">
        <f t="shared" si="3"/>
        <v>42621.706631944442</v>
      </c>
      <c r="W30" s="52" t="str">
        <f t="shared" si="4"/>
        <v>EC</v>
      </c>
      <c r="X30" s="52" t="str">
        <f t="shared" si="5"/>
        <v>KEEP</v>
      </c>
      <c r="Y30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{"issue":{"subject":"","project_id":79,"tracker_id":40,"status_id":1,"priority_id":2,"assigned_to_id":23,"start_date":"2016-09-08","description":"","custom_fields":[{"id":1,"name":"Subdivision","value":"EC"},{"id":4,"name":"Milepost","value":"23.3492"},{"id":17,"name":"Train ID","value":"152-08"},{"id":16,"name":"Locomotive ID","value":"4010"},{"id":130,"name":"Impact","value":""},{"id":150,"name":"Time of Event (Mountain Time)","value":"10:57:33"},{"id":151,"name":"Denver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55"/>
    </row>
    <row r="31" spans="1:28" x14ac:dyDescent="0.25">
      <c r="A31" s="38">
        <v>42621.278067129628</v>
      </c>
      <c r="B31" s="33" t="s">
        <v>480</v>
      </c>
      <c r="C31" s="33" t="s">
        <v>304</v>
      </c>
      <c r="D31" s="33" t="s">
        <v>49</v>
      </c>
      <c r="E31" s="33" t="s">
        <v>54</v>
      </c>
      <c r="F31" s="49">
        <v>0</v>
      </c>
      <c r="G31" s="49">
        <v>68</v>
      </c>
      <c r="H31" s="49">
        <v>127936</v>
      </c>
      <c r="I31" s="49">
        <v>127871</v>
      </c>
      <c r="J31" s="33" t="s">
        <v>55</v>
      </c>
      <c r="K31" s="49">
        <v>127587</v>
      </c>
      <c r="L31" s="154" t="s">
        <v>53</v>
      </c>
      <c r="M31" s="157">
        <f t="shared" si="7"/>
        <v>149.952</v>
      </c>
      <c r="N31" s="92" t="str">
        <f>VLOOKUP(C31,'Trips&amp;Operators'!$C$1:$E$99999,3,FALSE)</f>
        <v>BRANNON</v>
      </c>
      <c r="O31" s="121" t="s">
        <v>86</v>
      </c>
      <c r="P31" s="10" t="s">
        <v>256</v>
      </c>
      <c r="Q31" s="33"/>
      <c r="R31" s="108" t="str">
        <f>VLOOKUP(C31,'Train Runs'!$A$13:$AE$10008,31,0)</f>
        <v>aws s3 cp s3://rtdc.mdm.uploadarchive/RTDC4015/2016-09-08/ "%USERPROFILE%\AppData\Local\Temp\OnboardLogs"\RTDC4015\2016-09-08 --recursive &amp; "%USERPROFILE%\Documents\GitHub\mrs-test-scripts\Headless Mode &amp; Sideloading\WalkAndUnGZ.bat" "%USERPROFILE%\AppData\Local\Temp\OnboardLogs"\RTDC4015\2016-09-08 &amp; 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</v>
      </c>
      <c r="S31" s="111" t="str">
        <f>VLOOKUP(C31,'Train Runs'!$A$13:$AE$10008,22,0)</f>
        <v>https://search-rtdc-monitor-bjffxe2xuh6vdkpspy63sjmuny.us-east-1.es.amazonaws.com/_plugin/kibana/#/discover/Steve-Slow-Train-Analysis-(2080s-and-2083s)?_g=(refreshInterval:(display:Off,section:0,value:0),time:(from:'2016-09-08 05:09:34-0600',mode:absolute,to:'2016-09-08 08:09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31" s="113" t="str">
        <f t="shared" si="1"/>
        <v>"C:\Program Files (x86)\AstroGrep\AstroGrep.exe" /spath="%USERPROFILE%\AppData\Local\Temp\OnboardLogs" /stypes="*4015*201609081*" /stext=" 12:.+((SYSTEM_STATE.+slice.+state.+changed )|(ment ac)|(system.+state.+changed )|(\|lc)|(penalty)|(\[timeout)|(PRM\|1\|D)|(kpr)|(kdp))" /e /r /s</v>
      </c>
      <c r="U31" s="9" t="str">
        <f t="shared" si="2"/>
        <v>4015</v>
      </c>
      <c r="V31" s="38">
        <f t="shared" si="3"/>
        <v>42621.528067129628</v>
      </c>
      <c r="W31" s="52" t="str">
        <f t="shared" si="4"/>
        <v>EC</v>
      </c>
      <c r="X31" s="52" t="str">
        <f t="shared" si="5"/>
        <v>KEEP</v>
      </c>
      <c r="Y31" s="137" t="str">
        <f t="shared" si="6"/>
        <v>echo {"issue":{"subject":"40th 4S STOP, cleared shortly","project_id":79,"tracker_id":40,"status_id":1,"priority_id":2,"assigned_to_id":23,"start_date":"2016-09-08","description":"","custom_fields":[{"id":1,"name":"Subdivision","value":"EC"},{"id":4,"name":"Milepost","value":"12.7587"},{"id":17,"name":"Train ID","value":"116-08"},{"id":16,"name":"Locomotive ID","value":"4015"},{"id":130,"name":"Impact","value":""},{"id":150,"name":"Time of Event (Mountain Time)","value":"06:40:25"},{"id":151,"name":"Denver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55"/>
    </row>
    <row r="32" spans="1:28" ht="15" customHeight="1" x14ac:dyDescent="0.25">
      <c r="A32" s="38">
        <v>42621.329953703702</v>
      </c>
      <c r="B32" s="33" t="s">
        <v>479</v>
      </c>
      <c r="C32" s="33" t="s">
        <v>330</v>
      </c>
      <c r="D32" s="33" t="s">
        <v>49</v>
      </c>
      <c r="E32" s="33" t="s">
        <v>54</v>
      </c>
      <c r="F32" s="49">
        <v>0</v>
      </c>
      <c r="G32" s="49">
        <v>430</v>
      </c>
      <c r="H32" s="49">
        <v>130578</v>
      </c>
      <c r="I32" s="49">
        <v>129257</v>
      </c>
      <c r="J32" s="33" t="s">
        <v>55</v>
      </c>
      <c r="K32" s="49">
        <v>127587</v>
      </c>
      <c r="L32" s="154" t="s">
        <v>53</v>
      </c>
      <c r="M32" s="157">
        <f t="shared" si="7"/>
        <v>881.76</v>
      </c>
      <c r="N32" s="92" t="str">
        <f>VLOOKUP(C32,'Trips&amp;Operators'!$C$1:$E$99999,3,FALSE)</f>
        <v>STARKS</v>
      </c>
      <c r="O32" s="121" t="s">
        <v>86</v>
      </c>
      <c r="P32" s="10" t="s">
        <v>256</v>
      </c>
      <c r="Q32" s="33"/>
      <c r="R32" s="108" t="str">
        <f>VLOOKUP(C32,'Train Runs'!$A$13:$AE$10008,31,0)</f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S32" s="111" t="str">
        <f>VLOOKUP(C32,'Train Runs'!$A$13:$AE$10008,22,0)</f>
        <v>https://search-rtdc-monitor-bjffxe2xuh6vdkpspy63sjmuny.us-east-1.es.amazonaws.com/_plugin/kibana/#/discover/Steve-Slow-Train-Analysis-(2080s-and-2083s)?_g=(refreshInterval:(display:Off,section:0,value:0),time:(from:'2016-09-08 06:37:10-0600',mode:absolute,to:'2016-09-08 09:25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32" s="113" t="str">
        <f t="shared" si="1"/>
        <v>"C:\Program Files (x86)\AstroGrep\AstroGrep.exe" /spath="%USERPROFILE%\AppData\Local\Temp\OnboardLogs" /stypes="*4017*201609081*" /stext=" 13:.+((SYSTEM_STATE.+slice.+state.+changed )|(ment ac)|(system.+state.+changed )|(\|lc)|(penalty)|(\[timeout)|(PRM\|1\|D)|(kpr)|(kdp))" /e /r /s</v>
      </c>
      <c r="U32" s="9" t="str">
        <f t="shared" si="2"/>
        <v>4017</v>
      </c>
      <c r="V32" s="38">
        <f t="shared" si="3"/>
        <v>42621.579953703702</v>
      </c>
      <c r="W32" s="52" t="str">
        <f t="shared" si="4"/>
        <v>EC</v>
      </c>
      <c r="X32" s="52" t="str">
        <f t="shared" si="5"/>
        <v>KEEP</v>
      </c>
      <c r="Y32" s="137" t="str">
        <f t="shared" si="6"/>
        <v>echo {"issue":{"subject":"40th 4S STOP, cleared shortly","project_id":79,"tracker_id":40,"status_id":1,"priority_id":2,"assigned_to_id":23,"start_date":"2016-09-08","description":"","custom_fields":[{"id":1,"name":"Subdivision","value":"EC"},{"id":4,"name":"Milepost","value":"12.7587"},{"id":17,"name":"Train ID","value":"126-08"},{"id":16,"name":"Locomotive ID","value":"4017"},{"id":130,"name":"Impact","value":""},{"id":150,"name":"Time of Event (Mountain Time)","value":"07:55:08"},{"id":151,"name":"Denver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55"/>
    </row>
    <row r="33" spans="1:28" x14ac:dyDescent="0.25">
      <c r="A33" s="38">
        <v>42621.728692129633</v>
      </c>
      <c r="B33" s="33" t="s">
        <v>191</v>
      </c>
      <c r="C33" s="33" t="s">
        <v>493</v>
      </c>
      <c r="D33" s="33" t="s">
        <v>49</v>
      </c>
      <c r="E33" s="33" t="s">
        <v>54</v>
      </c>
      <c r="F33" s="49">
        <v>0</v>
      </c>
      <c r="G33" s="49">
        <v>72</v>
      </c>
      <c r="H33" s="49">
        <v>127881</v>
      </c>
      <c r="I33" s="49">
        <v>127835</v>
      </c>
      <c r="J33" s="33" t="s">
        <v>55</v>
      </c>
      <c r="K33" s="49">
        <v>127587</v>
      </c>
      <c r="L33" s="154" t="s">
        <v>53</v>
      </c>
      <c r="M33" s="157">
        <f t="shared" si="7"/>
        <v>130.94399999999999</v>
      </c>
      <c r="N33" s="92" t="str">
        <f>VLOOKUP(C33,'Trips&amp;Operators'!$C$1:$E$99999,3,FALSE)</f>
        <v>BONDS</v>
      </c>
      <c r="O33" s="121" t="s">
        <v>86</v>
      </c>
      <c r="P33" s="10" t="s">
        <v>256</v>
      </c>
      <c r="Q33" s="33"/>
      <c r="R33" s="108" t="str">
        <f>VLOOKUP(C33,'Train Runs'!$A$13:$AE$10008,31,0)</f>
        <v>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 &amp; 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</v>
      </c>
      <c r="S33" s="111" t="str">
        <f>VLOOKUP(C33,'Train Runs'!$A$13:$AE$10008,22,0)</f>
        <v>https://search-rtdc-monitor-bjffxe2xuh6vdkpspy63sjmuny.us-east-1.es.amazonaws.com/_plugin/kibana/#/discover/Steve-Slow-Train-Analysis-(2080s-and-2083s)?_g=(refreshInterval:(display:Off,section:0,value:0),time:(from:'2016-09-08 15:59:27-0600',mode:absolute,to:'2016-09-08 18:54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33" s="113" t="str">
        <f t="shared" si="1"/>
        <v>"C:\Program Files (x86)\AstroGrep\AstroGrep.exe" /spath="%USERPROFILE%\AppData\Local\Temp\OnboardLogs" /stypes="*4012*201609082*" /stext=" 23:.+((SYSTEM_STATE.+slice.+state.+changed )|(ment ac)|(system.+state.+changed )|(\|lc)|(penalty)|(\[timeout)|(PRM\|1\|D)|(kpr)|(kdp))" /e /r /s</v>
      </c>
      <c r="U33" s="9" t="str">
        <f t="shared" si="2"/>
        <v>4012</v>
      </c>
      <c r="V33" s="38">
        <f t="shared" si="3"/>
        <v>42621.978692129633</v>
      </c>
      <c r="W33" s="52" t="str">
        <f t="shared" si="4"/>
        <v>EC</v>
      </c>
      <c r="X33" s="52" t="str">
        <f t="shared" si="5"/>
        <v>KEEP</v>
      </c>
      <c r="Y33" s="137" t="str">
        <f t="shared" si="6"/>
        <v>echo {"issue":{"subject":"40th 4S STOP, cleared shortly","project_id":79,"tracker_id":40,"status_id":1,"priority_id":2,"assigned_to_id":23,"start_date":"2016-09-08","description":"","custom_fields":[{"id":1,"name":"Subdivision","value":"EC"},{"id":4,"name":"Milepost","value":"12.7587"},{"id":17,"name":"Train ID","value":"202-08"},{"id":16,"name":"Locomotive ID","value":"4012"},{"id":130,"name":"Impact","value":""},{"id":150,"name":"Time of Event (Mountain Time)","value":"17:29:19"},{"id":151,"name":"Denver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55"/>
    </row>
    <row r="34" spans="1:28" ht="15" customHeight="1" x14ac:dyDescent="0.25">
      <c r="A34" s="38">
        <v>42621.230509259258</v>
      </c>
      <c r="B34" s="33" t="s">
        <v>89</v>
      </c>
      <c r="C34" s="33" t="s">
        <v>281</v>
      </c>
      <c r="D34" s="33" t="s">
        <v>49</v>
      </c>
      <c r="E34" s="33" t="s">
        <v>54</v>
      </c>
      <c r="F34" s="49">
        <v>0</v>
      </c>
      <c r="G34" s="49">
        <v>436</v>
      </c>
      <c r="H34" s="49">
        <v>194765</v>
      </c>
      <c r="I34" s="49">
        <v>193614</v>
      </c>
      <c r="J34" s="33" t="s">
        <v>55</v>
      </c>
      <c r="K34" s="49">
        <v>191723</v>
      </c>
      <c r="L34" s="154" t="s">
        <v>53</v>
      </c>
      <c r="M34" s="157">
        <f t="shared" si="7"/>
        <v>998.44799999999998</v>
      </c>
      <c r="N34" s="92" t="str">
        <f>VLOOKUP(C34,'Trips&amp;Operators'!$C$1:$E$99999,3,FALSE)</f>
        <v>STRICKLAND</v>
      </c>
      <c r="O34" s="121" t="s">
        <v>86</v>
      </c>
      <c r="P34" s="10" t="s">
        <v>257</v>
      </c>
      <c r="Q34" s="33"/>
      <c r="R34" s="108" t="str">
        <f>VLOOKUP(C34,'Train Runs'!$A$13:$AE$10008,31,0)</f>
        <v>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 &amp; aws s3 cp s3://rtdc.mdm.uploadarchive/RTDC4013/2016-09-09/ "%USERPROFILE%\AppData\Local\Temp\OnboardLogs"\RTDC4013\2016-09-09 --recursive &amp; "%USERPROFILE%\Documents\GitHub\mrs-test-scripts\Headless Mode &amp; Sideloading\WalkAndUnGZ.bat" "%USERPROFILE%\AppData\Local\Temp\OnboardLogs"\RTDC4013\2016-09-09</v>
      </c>
      <c r="S34" s="111" t="str">
        <f>VLOOKUP(C34,'Train Runs'!$A$13:$AE$10008,22,0)</f>
        <v>https://search-rtdc-monitor-bjffxe2xuh6vdkpspy63sjmuny.us-east-1.es.amazonaws.com/_plugin/kibana/#/discover/Steve-Slow-Train-Analysis-(2080s-and-2083s)?_g=(refreshInterval:(display:Off,section:0,value:0),time:(from:'2016-09-08 04:23:35-0600',mode:absolute,to:'2016-09-08 07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34" s="113" t="str">
        <f t="shared" si="1"/>
        <v>"C:\Program Files (x86)\AstroGrep\AstroGrep.exe" /spath="%USERPROFILE%\AppData\Local\Temp\OnboardLogs" /stypes="*4013*201609081*" /stext=" 11:.+((SYSTEM_STATE.+slice.+state.+changed )|(ment ac)|(system.+state.+changed )|(\|lc)|(penalty)|(\[timeout)|(PRM\|1\|D)|(kpr)|(kdp))" /e /r /s</v>
      </c>
      <c r="U34" s="9" t="str">
        <f t="shared" si="2"/>
        <v>4013</v>
      </c>
      <c r="V34" s="38">
        <f t="shared" si="3"/>
        <v>42621.480509259258</v>
      </c>
      <c r="W34" s="52" t="str">
        <f t="shared" si="4"/>
        <v>EC</v>
      </c>
      <c r="X34" s="52" t="str">
        <f t="shared" si="5"/>
        <v>KEEP</v>
      </c>
      <c r="Y34" s="137" t="str">
        <f t="shared" si="6"/>
        <v>echo {"issue":{"subject":"Pena 4S STOP, cleared shortly","project_id":79,"tracker_id":40,"status_id":1,"priority_id":2,"assigned_to_id":23,"start_date":"2016-09-08","description":"","custom_fields":[{"id":1,"name":"Subdivision","value":"EC"},{"id":4,"name":"Milepost","value":"19.1723"},{"id":17,"name":"Train ID","value":"108-08"},{"id":16,"name":"Locomotive ID","value":"4013"},{"id":130,"name":"Impact","value":""},{"id":150,"name":"Time of Event (Mountain Time)","value":"05:31:56"},{"id":151,"name":"Denver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55"/>
    </row>
    <row r="35" spans="1:28" x14ac:dyDescent="0.25">
      <c r="A35" s="38">
        <v>42621.315208333333</v>
      </c>
      <c r="B35" s="33" t="s">
        <v>191</v>
      </c>
      <c r="C35" s="33" t="s">
        <v>309</v>
      </c>
      <c r="D35" s="33" t="s">
        <v>49</v>
      </c>
      <c r="E35" s="33" t="s">
        <v>50</v>
      </c>
      <c r="F35" s="49">
        <v>0</v>
      </c>
      <c r="G35" s="49">
        <v>76</v>
      </c>
      <c r="H35" s="49">
        <v>282</v>
      </c>
      <c r="I35" s="49">
        <v>189</v>
      </c>
      <c r="J35" s="33" t="s">
        <v>51</v>
      </c>
      <c r="K35" s="49">
        <v>1</v>
      </c>
      <c r="L35" s="154" t="s">
        <v>53</v>
      </c>
      <c r="M35" s="157">
        <f t="shared" si="7"/>
        <v>99.263999999999996</v>
      </c>
      <c r="N35" s="92" t="str">
        <f>VLOOKUP(C35,'Trips&amp;Operators'!$C$1:$E$99999,3,FALSE)</f>
        <v>SANTIZO</v>
      </c>
      <c r="O35" s="121" t="s">
        <v>86</v>
      </c>
      <c r="P35" s="10"/>
      <c r="Q35" s="33"/>
      <c r="R35" s="108" t="str">
        <f>VLOOKUP(C35,'Train Runs'!$A$13:$AE$10008,31,0)</f>
        <v>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 &amp; 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</v>
      </c>
      <c r="S35" s="111" t="str">
        <f>VLOOKUP(C35,'Train Runs'!$A$13:$AE$10008,22,0)</f>
        <v>https://search-rtdc-monitor-bjffxe2xuh6vdkpspy63sjmuny.us-east-1.es.amazonaws.com/_plugin/kibana/#/discover/Steve-Slow-Train-Analysis-(2080s-and-2083s)?_g=(refreshInterval:(display:Off,section:0,value:0),time:(from:'2016-09-08 05:23:33-0600',mode:absolute,to:'2016-09-08 08:33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35" s="113" t="str">
        <f t="shared" si="1"/>
        <v>"C:\Program Files (x86)\AstroGrep\AstroGrep.exe" /spath="%USERPROFILE%\AppData\Local\Temp\OnboardLogs" /stypes="*4012*201609081*" /stext=" 13:.+((SYSTEM_STATE.+slice.+state.+changed )|(ment ac)|(system.+state.+changed )|(\|lc)|(penalty)|(\[timeout)|(PRM\|1\|D)|(kpr)|(kdp))" /e /r /s</v>
      </c>
      <c r="U35" s="9" t="str">
        <f t="shared" si="2"/>
        <v>4012</v>
      </c>
      <c r="V35" s="38">
        <f t="shared" si="3"/>
        <v>42621.565208333333</v>
      </c>
      <c r="W35" s="52" t="str">
        <f t="shared" si="4"/>
        <v>EC</v>
      </c>
      <c r="X35" s="52" t="str">
        <f t="shared" si="5"/>
        <v>KEEP</v>
      </c>
      <c r="Y35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{"issue":{"subject":"","project_id":79,"tracker_id":40,"status_id":1,"priority_id":2,"assigned_to_id":23,"start_date":"2016-09-08","description":"","custom_fields":[{"id":1,"name":"Subdivision","value":"EC"},{"id":4,"name":"Milepost","value":"0.0001"},{"id":17,"name":"Train ID","value":"118-08"},{"id":16,"name":"Locomotive ID","value":"4012"},{"id":130,"name":"Impact","value":""},{"id":150,"name":"Time of Event (Mountain Time)","value":"07:33:54"},{"id":151,"name":"Denver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55"/>
    </row>
    <row r="36" spans="1:28" x14ac:dyDescent="0.25">
      <c r="A36" s="38">
        <v>42621.350810185184</v>
      </c>
      <c r="B36" s="33" t="s">
        <v>479</v>
      </c>
      <c r="C36" s="33" t="s">
        <v>330</v>
      </c>
      <c r="D36" s="33" t="s">
        <v>49</v>
      </c>
      <c r="E36" s="33" t="s">
        <v>50</v>
      </c>
      <c r="F36" s="49">
        <v>0</v>
      </c>
      <c r="G36" s="49">
        <v>49</v>
      </c>
      <c r="H36" s="49">
        <v>163</v>
      </c>
      <c r="I36" s="49">
        <v>119</v>
      </c>
      <c r="J36" s="33" t="s">
        <v>51</v>
      </c>
      <c r="K36" s="49">
        <v>1</v>
      </c>
      <c r="L36" s="154" t="s">
        <v>53</v>
      </c>
      <c r="M36" s="157">
        <f t="shared" si="7"/>
        <v>62.304000000000002</v>
      </c>
      <c r="N36" s="92" t="str">
        <f>VLOOKUP(C36,'Trips&amp;Operators'!$C$1:$E$99999,3,FALSE)</f>
        <v>STARKS</v>
      </c>
      <c r="O36" s="121" t="s">
        <v>86</v>
      </c>
      <c r="P36" s="10"/>
      <c r="Q36" s="33"/>
      <c r="R36" s="108" t="str">
        <f>VLOOKUP(C36,'Train Runs'!$A$13:$AE$10008,31,0)</f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S36" s="111" t="str">
        <f>VLOOKUP(C36,'Train Runs'!$A$13:$AE$10008,22,0)</f>
        <v>https://search-rtdc-monitor-bjffxe2xuh6vdkpspy63sjmuny.us-east-1.es.amazonaws.com/_plugin/kibana/#/discover/Steve-Slow-Train-Analysis-(2080s-and-2083s)?_g=(refreshInterval:(display:Off,section:0,value:0),time:(from:'2016-09-08 06:37:10-0600',mode:absolute,to:'2016-09-08 09:25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36" s="113" t="str">
        <f t="shared" si="1"/>
        <v>"C:\Program Files (x86)\AstroGrep\AstroGrep.exe" /spath="%USERPROFILE%\AppData\Local\Temp\OnboardLogs" /stypes="*4017*201609081*" /stext=" 14:.+((SYSTEM_STATE.+slice.+state.+changed )|(ment ac)|(system.+state.+changed )|(\|lc)|(penalty)|(\[timeout)|(PRM\|1\|D)|(kpr)|(kdp))" /e /r /s</v>
      </c>
      <c r="U36" s="9" t="str">
        <f t="shared" si="2"/>
        <v>4017</v>
      </c>
      <c r="V36" s="38">
        <f t="shared" si="3"/>
        <v>42621.600810185184</v>
      </c>
      <c r="W36" s="52" t="str">
        <f t="shared" si="4"/>
        <v>EC</v>
      </c>
      <c r="X36" s="52" t="str">
        <f t="shared" si="5"/>
        <v>KEEP</v>
      </c>
      <c r="Y36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{"issue":{"subject":"","project_id":79,"tracker_id":40,"status_id":1,"priority_id":2,"assigned_to_id":23,"start_date":"2016-09-08","description":"","custom_fields":[{"id":1,"name":"Subdivision","value":"EC"},{"id":4,"name":"Milepost","value":"0.0001"},{"id":17,"name":"Train ID","value":"126-08"},{"id":16,"name":"Locomotive ID","value":"4017"},{"id":130,"name":"Impact","value":""},{"id":150,"name":"Time of Event (Mountain Time)","value":"08:25:10"},{"id":151,"name":"Denver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55"/>
    </row>
    <row r="37" spans="1:28" x14ac:dyDescent="0.25">
      <c r="A37" s="38">
        <v>42621.358148148145</v>
      </c>
      <c r="B37" s="33" t="s">
        <v>181</v>
      </c>
      <c r="C37" s="33" t="s">
        <v>335</v>
      </c>
      <c r="D37" s="33" t="s">
        <v>49</v>
      </c>
      <c r="E37" s="33" t="s">
        <v>50</v>
      </c>
      <c r="F37" s="49">
        <v>0</v>
      </c>
      <c r="G37" s="49">
        <v>42</v>
      </c>
      <c r="H37" s="49">
        <v>141</v>
      </c>
      <c r="I37" s="49">
        <v>118</v>
      </c>
      <c r="J37" s="33" t="s">
        <v>51</v>
      </c>
      <c r="K37" s="49">
        <v>1</v>
      </c>
      <c r="L37" s="154" t="s">
        <v>53</v>
      </c>
      <c r="M37" s="157">
        <f t="shared" si="7"/>
        <v>61.776000000000003</v>
      </c>
      <c r="N37" s="92" t="str">
        <f>VLOOKUP(C37,'Trips&amp;Operators'!$C$1:$E$99999,3,FALSE)</f>
        <v>MAELZER</v>
      </c>
      <c r="O37" s="121" t="s">
        <v>86</v>
      </c>
      <c r="P37" s="10"/>
      <c r="Q37" s="33"/>
      <c r="R37" s="108" t="str">
        <f>VLOOKUP(C37,'Train Runs'!$A$13:$AE$10008,31,0)</f>
        <v>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 &amp; aws s3 cp s3://rtdc.mdm.uploadarchive/RTDC4043/2016-09-09/ "%USERPROFILE%\AppData\Local\Temp\OnboardLogs"\RTDC4043\2016-09-09 --recursive &amp; "%USERPROFILE%\Documents\GitHub\mrs-test-scripts\Headless Mode &amp; Sideloading\WalkAndUnGZ.bat" "%USERPROFILE%\AppData\Local\Temp\OnboardLogs"\RTDC4043\2016-09-09</v>
      </c>
      <c r="S37" s="111" t="str">
        <f>VLOOKUP(C37,'Train Runs'!$A$13:$AE$10008,22,0)</f>
        <v>https://search-rtdc-monitor-bjffxe2xuh6vdkpspy63sjmuny.us-east-1.es.amazonaws.com/_plugin/kibana/#/discover/Steve-Slow-Train-Analysis-(2080s-and-2083s)?_g=(refreshInterval:(display:Off,section:0,value:0),time:(from:'2016-09-08 06:50:53-0600',mode:absolute,to:'2016-09-08 09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37" s="113" t="str">
        <f t="shared" si="1"/>
        <v>"C:\Program Files (x86)\AstroGrep\AstroGrep.exe" /spath="%USERPROFILE%\AppData\Local\Temp\OnboardLogs" /stypes="*4043*201609081*" /stext=" 14:.+((SYSTEM_STATE.+slice.+state.+changed )|(ment ac)|(system.+state.+changed )|(\|lc)|(penalty)|(\[timeout)|(PRM\|1\|D)|(kpr)|(kdp))" /e /r /s</v>
      </c>
      <c r="U37" s="9" t="str">
        <f t="shared" si="2"/>
        <v>4043</v>
      </c>
      <c r="V37" s="38">
        <f t="shared" si="3"/>
        <v>42621.608148148145</v>
      </c>
      <c r="W37" s="52" t="str">
        <f t="shared" si="4"/>
        <v>EC</v>
      </c>
      <c r="X37" s="52" t="str">
        <f t="shared" si="5"/>
        <v>KEEP</v>
      </c>
      <c r="Y37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{"issue":{"subject":"","project_id":79,"tracker_id":40,"status_id":1,"priority_id":2,"assigned_to_id":23,"start_date":"2016-09-08","description":"","custom_fields":[{"id":1,"name":"Subdivision","value":"EC"},{"id":4,"name":"Milepost","value":"0.0001"},{"id":17,"name":"Train ID","value":"128-08"},{"id":16,"name":"Locomotive ID","value":"4043"},{"id":130,"name":"Impact","value":""},{"id":150,"name":"Time of Event (Mountain Time)","value":"08:35:44"},{"id":151,"name":"Denver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55"/>
    </row>
    <row r="38" spans="1:28" ht="15" customHeight="1" x14ac:dyDescent="0.25">
      <c r="A38" s="38">
        <v>42621.45003472222</v>
      </c>
      <c r="B38" s="33" t="s">
        <v>191</v>
      </c>
      <c r="C38" s="33" t="s">
        <v>374</v>
      </c>
      <c r="D38" s="33" t="s">
        <v>49</v>
      </c>
      <c r="E38" s="33" t="s">
        <v>50</v>
      </c>
      <c r="F38" s="49">
        <v>0</v>
      </c>
      <c r="G38" s="49">
        <v>34</v>
      </c>
      <c r="H38" s="49">
        <v>87</v>
      </c>
      <c r="I38" s="49">
        <v>70</v>
      </c>
      <c r="J38" s="33" t="s">
        <v>51</v>
      </c>
      <c r="K38" s="49">
        <v>1</v>
      </c>
      <c r="L38" s="154" t="s">
        <v>53</v>
      </c>
      <c r="M38" s="157">
        <f t="shared" si="7"/>
        <v>36.432000000000002</v>
      </c>
      <c r="N38" s="92" t="str">
        <f>VLOOKUP(C38,'Trips&amp;Operators'!$C$1:$E$99999,3,FALSE)</f>
        <v>SANTIZO</v>
      </c>
      <c r="O38" s="121" t="s">
        <v>86</v>
      </c>
      <c r="P38" s="10"/>
      <c r="Q38" s="33"/>
      <c r="R38" s="108" t="str">
        <f>VLOOKUP(C38,'Train Runs'!$A$13:$AE$10008,31,0)</f>
        <v>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 &amp; 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</v>
      </c>
      <c r="S38" s="111" t="str">
        <f>VLOOKUP(C38,'Train Runs'!$A$13:$AE$10008,22,0)</f>
        <v>https://search-rtdc-monitor-bjffxe2xuh6vdkpspy63sjmuny.us-east-1.es.amazonaws.com/_plugin/kibana/#/discover/Steve-Slow-Train-Analysis-(2080s-and-2083s)?_g=(refreshInterval:(display:Off,section:0,value:0),time:(from:'2016-09-08 08:53:02-0600',mode:absolute,to:'2016-09-08 11:48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38" s="113" t="str">
        <f t="shared" si="1"/>
        <v>"C:\Program Files (x86)\AstroGrep\AstroGrep.exe" /spath="%USERPROFILE%\AppData\Local\Temp\OnboardLogs" /stypes="*4012*201609081*" /stext=" 16:.+((SYSTEM_STATE.+slice.+state.+changed )|(ment ac)|(system.+state.+changed )|(\|lc)|(penalty)|(\[timeout)|(PRM\|1\|D)|(kpr)|(kdp))" /e /r /s</v>
      </c>
      <c r="U38" s="9" t="str">
        <f t="shared" si="2"/>
        <v>4012</v>
      </c>
      <c r="V38" s="38">
        <f t="shared" si="3"/>
        <v>42621.70003472222</v>
      </c>
      <c r="W38" s="52" t="str">
        <f t="shared" si="4"/>
        <v>EC</v>
      </c>
      <c r="X38" s="52" t="str">
        <f t="shared" si="5"/>
        <v>KEEP</v>
      </c>
      <c r="Y38" s="137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{"issue":{"subject":"","project_id":79,"tracker_id":40,"status_id":1,"priority_id":2,"assigned_to_id":23,"start_date":"2016-09-08","description":"","custom_fields":[{"id":1,"name":"Subdivision","value":"EC"},{"id":4,"name":"Milepost","value":"0.0001"},{"id":17,"name":"Train ID","value":"146-08"},{"id":16,"name":"Locomotive ID","value":"4012"},{"id":130,"name":"Impact","value":""},{"id":150,"name":"Time of Event (Mountain Time)","value":"10:48:03"},{"id":151,"name":"Denver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55"/>
    </row>
    <row r="39" spans="1:28" x14ac:dyDescent="0.25">
      <c r="A39" s="38">
        <v>42621.70239583333</v>
      </c>
      <c r="B39" s="33" t="s">
        <v>202</v>
      </c>
      <c r="C39" s="33" t="s">
        <v>488</v>
      </c>
      <c r="D39" s="33" t="s">
        <v>49</v>
      </c>
      <c r="E39" s="33" t="s">
        <v>50</v>
      </c>
      <c r="F39" s="49">
        <v>0</v>
      </c>
      <c r="G39" s="49">
        <v>146</v>
      </c>
      <c r="H39" s="49">
        <v>608</v>
      </c>
      <c r="I39" s="49">
        <v>438</v>
      </c>
      <c r="J39" s="33" t="s">
        <v>51</v>
      </c>
      <c r="K39" s="49">
        <v>1</v>
      </c>
      <c r="L39" s="154" t="s">
        <v>53</v>
      </c>
      <c r="M39" s="157">
        <f t="shared" si="7"/>
        <v>230.73599999999999</v>
      </c>
      <c r="N39" s="92" t="str">
        <f>VLOOKUP(C39,'Trips&amp;Operators'!$C$1:$E$99999,3,FALSE)</f>
        <v>MAHAN</v>
      </c>
      <c r="O39" s="121" t="s">
        <v>86</v>
      </c>
      <c r="P39" s="10"/>
      <c r="Q39" s="33"/>
      <c r="R39" s="108" t="str">
        <f>VLOOKUP(C39,'Train Runs'!$A$13:$AE$10008,31,0)</f>
        <v>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 &amp; 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</v>
      </c>
      <c r="S39" s="111" t="str">
        <f>VLOOKUP(C39,'Train Runs'!$A$13:$AE$10008,22,0)</f>
        <v>https://search-rtdc-monitor-bjffxe2xuh6vdkpspy63sjmuny.us-east-1.es.amazonaws.com/_plugin/kibana/#/discover/Steve-Slow-Train-Analysis-(2080s-and-2083s)?_g=(refreshInterval:(display:Off,section:0,value:0),time:(from:'2016-09-08 15:01:57-0600',mode:absolute,to:'2016-09-08 17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39" s="113" t="str">
        <f t="shared" ref="T39:T63" si="8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/stypes="*4010*201609082*" /stext=" 22:.+((SYSTEM_STATE.+slice.+state.+changed )|(ment ac)|(system.+state.+changed )|(\|lc)|(penalty)|(\[timeout)|(PRM\|1\|D)|(kpr)|(kdp))" /e /r /s</v>
      </c>
      <c r="U39" s="9" t="str">
        <f t="shared" ref="U39:U63" si="9">MID(B39,13,4)</f>
        <v>4010</v>
      </c>
      <c r="V39" s="38">
        <f t="shared" ref="V39:V63" si="10">A39+6/24</f>
        <v>42621.95239583333</v>
      </c>
      <c r="W39" s="52" t="str">
        <f t="shared" ref="W39:W63" si="11">IF(VALUE(LEFT(IF(LEN(C39)=6,"0"&amp;C39,C39),2))&lt;=2,"EC",IF(OR(VALUE(LEFT(IF(LEN(C39)=6,"0"&amp;C39,C39),2))=8,VALUE(LEFT(IF(LEN(C39)=6,"0"&amp;C39,C39),2))=18),"NW","Other"))</f>
        <v>EC</v>
      </c>
      <c r="X39" s="52" t="str">
        <f t="shared" ref="X39:X63" si="12">IF(AND(E39="TRACK WARRANT AUTHORITY",G39&lt;10),"OMIT","KEEP")</f>
        <v>KEEP</v>
      </c>
      <c r="Y39" s="137" t="str">
        <f t="shared" ref="Y39:Y63" si="13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{"issue":{"subject":"","project_id":79,"tracker_id":40,"status_id":1,"priority_id":2,"assigned_to_id":23,"start_date":"2016-09-08","description":"","custom_fields":[{"id":1,"name":"Subdivision","value":"EC"},{"id":4,"name":"Milepost","value":"0.0001"},{"id":17,"name":"Train ID","value":"194-08"},{"id":16,"name":"Locomotive ID","value":"4010"},{"id":130,"name":"Impact","value":""},{"id":150,"name":"Time of Event (Mountain Time)","value":"16:51:27"},{"id":151,"name":"Denver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55"/>
    </row>
    <row r="40" spans="1:28" x14ac:dyDescent="0.25">
      <c r="A40" s="38">
        <v>42621.702905092592</v>
      </c>
      <c r="B40" s="33" t="s">
        <v>202</v>
      </c>
      <c r="C40" s="33" t="s">
        <v>488</v>
      </c>
      <c r="D40" s="33" t="s">
        <v>49</v>
      </c>
      <c r="E40" s="33" t="s">
        <v>50</v>
      </c>
      <c r="F40" s="49">
        <v>0</v>
      </c>
      <c r="G40" s="49">
        <v>56</v>
      </c>
      <c r="H40" s="49">
        <v>216</v>
      </c>
      <c r="I40" s="49">
        <v>169</v>
      </c>
      <c r="J40" s="33" t="s">
        <v>51</v>
      </c>
      <c r="K40" s="49">
        <v>1</v>
      </c>
      <c r="L40" s="154" t="s">
        <v>53</v>
      </c>
      <c r="M40" s="157">
        <f t="shared" si="7"/>
        <v>88.703999999999994</v>
      </c>
      <c r="N40" s="92" t="str">
        <f>VLOOKUP(C40,'Trips&amp;Operators'!$C$1:$E$99999,3,FALSE)</f>
        <v>MAHAN</v>
      </c>
      <c r="O40" s="121" t="s">
        <v>86</v>
      </c>
      <c r="P40" s="10"/>
      <c r="Q40" s="33"/>
      <c r="R40" s="108" t="str">
        <f>VLOOKUP(C40,'Train Runs'!$A$13:$AE$10008,31,0)</f>
        <v>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 &amp; 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</v>
      </c>
      <c r="S40" s="111" t="str">
        <f>VLOOKUP(C40,'Train Runs'!$A$13:$AE$10008,22,0)</f>
        <v>https://search-rtdc-monitor-bjffxe2xuh6vdkpspy63sjmuny.us-east-1.es.amazonaws.com/_plugin/kibana/#/discover/Steve-Slow-Train-Analysis-(2080s-and-2083s)?_g=(refreshInterval:(display:Off,section:0,value:0),time:(from:'2016-09-08 15:01:57-0600',mode:absolute,to:'2016-09-08 17:51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40" s="113" t="str">
        <f t="shared" si="8"/>
        <v>"C:\Program Files (x86)\AstroGrep\AstroGrep.exe" /spath="%USERPROFILE%\AppData\Local\Temp\OnboardLogs" /stypes="*4010*201609082*" /stext=" 22:.+((SYSTEM_STATE.+slice.+state.+changed )|(ment ac)|(system.+state.+changed )|(\|lc)|(penalty)|(\[timeout)|(PRM\|1\|D)|(kpr)|(kdp))" /e /r /s</v>
      </c>
      <c r="U40" s="9" t="str">
        <f t="shared" si="9"/>
        <v>4010</v>
      </c>
      <c r="V40" s="38">
        <f t="shared" si="10"/>
        <v>42621.952905092592</v>
      </c>
      <c r="W40" s="52" t="str">
        <f t="shared" si="11"/>
        <v>EC</v>
      </c>
      <c r="X40" s="52" t="str">
        <f t="shared" si="12"/>
        <v>KEEP</v>
      </c>
      <c r="Y40" s="137" t="str">
        <f t="shared" si="13"/>
        <v>echo {"issue":{"subject":"","project_id":79,"tracker_id":40,"status_id":1,"priority_id":2,"assigned_to_id":23,"start_date":"2016-09-08","description":"","custom_fields":[{"id":1,"name":"Subdivision","value":"EC"},{"id":4,"name":"Milepost","value":"0.0001"},{"id":17,"name":"Train ID","value":"194-08"},{"id":16,"name":"Locomotive ID","value":"4010"},{"id":130,"name":"Impact","value":""},{"id":150,"name":"Time of Event (Mountain Time)","value":"16:52:11"},{"id":151,"name":"Denver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55"/>
    </row>
    <row r="41" spans="1:28" x14ac:dyDescent="0.25">
      <c r="A41" s="38">
        <v>42621.714282407411</v>
      </c>
      <c r="B41" s="33" t="s">
        <v>479</v>
      </c>
      <c r="C41" s="33" t="s">
        <v>490</v>
      </c>
      <c r="D41" s="33" t="s">
        <v>49</v>
      </c>
      <c r="E41" s="33" t="s">
        <v>50</v>
      </c>
      <c r="F41" s="49">
        <v>0</v>
      </c>
      <c r="G41" s="49">
        <v>58</v>
      </c>
      <c r="H41" s="49">
        <v>203</v>
      </c>
      <c r="I41" s="49">
        <v>118</v>
      </c>
      <c r="J41" s="33" t="s">
        <v>51</v>
      </c>
      <c r="K41" s="49">
        <v>1</v>
      </c>
      <c r="L41" s="154" t="s">
        <v>53</v>
      </c>
      <c r="M41" s="157">
        <f t="shared" si="7"/>
        <v>61.776000000000003</v>
      </c>
      <c r="N41" s="92" t="str">
        <f>VLOOKUP(C41,'Trips&amp;Operators'!$C$1:$E$99999,3,FALSE)</f>
        <v>KILLION</v>
      </c>
      <c r="O41" s="121" t="s">
        <v>86</v>
      </c>
      <c r="P41" s="10"/>
      <c r="Q41" s="33"/>
      <c r="R41" s="108" t="str">
        <f>VLOOKUP(C41,'Train Runs'!$A$13:$AE$10008,31,0)</f>
        <v>aws s3 cp s3://rtdc.mdm.uploadarchive/RTDC4017/2016-09-08/ "%USERPROFILE%\AppData\Local\Temp\OnboardLogs"\RTDC4017\2016-09-08 --recursive &amp; "%USERPROFILE%\Documents\GitHub\mrs-test-scripts\Headless Mode &amp; Sideloading\WalkAndUnGZ.bat" "%USERPROFILE%\AppData\Local\Temp\OnboardLogs"\RTDC4017\2016-09-08 &amp; 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</v>
      </c>
      <c r="S41" s="111" t="str">
        <f>VLOOKUP(C41,'Train Runs'!$A$13:$AE$10008,22,0)</f>
        <v>https://search-rtdc-monitor-bjffxe2xuh6vdkpspy63sjmuny.us-east-1.es.amazonaws.com/_plugin/kibana/#/discover/Steve-Slow-Train-Analysis-(2080s-and-2083s)?_g=(refreshInterval:(display:Off,section:0,value:0),time:(from:'2016-09-08 15:13:49-0600',mode:absolute,to:'2016-09-08 18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41" s="113" t="str">
        <f t="shared" si="8"/>
        <v>"C:\Program Files (x86)\AstroGrep\AstroGrep.exe" /spath="%USERPROFILE%\AppData\Local\Temp\OnboardLogs" /stypes="*4017*201609082*" /stext=" 23:.+((SYSTEM_STATE.+slice.+state.+changed )|(ment ac)|(system.+state.+changed )|(\|lc)|(penalty)|(\[timeout)|(PRM\|1\|D)|(kpr)|(kdp))" /e /r /s</v>
      </c>
      <c r="U41" s="9" t="str">
        <f t="shared" si="9"/>
        <v>4017</v>
      </c>
      <c r="V41" s="38">
        <f t="shared" si="10"/>
        <v>42621.964282407411</v>
      </c>
      <c r="W41" s="52" t="str">
        <f t="shared" si="11"/>
        <v>EC</v>
      </c>
      <c r="X41" s="52" t="str">
        <f t="shared" si="12"/>
        <v>KEEP</v>
      </c>
      <c r="Y41" s="137" t="str">
        <f t="shared" si="13"/>
        <v>echo {"issue":{"subject":"","project_id":79,"tracker_id":40,"status_id":1,"priority_id":2,"assigned_to_id":23,"start_date":"2016-09-08","description":"","custom_fields":[{"id":1,"name":"Subdivision","value":"EC"},{"id":4,"name":"Milepost","value":"0.0001"},{"id":17,"name":"Train ID","value":"196-08"},{"id":16,"name":"Locomotive ID","value":"4017"},{"id":130,"name":"Impact","value":""},{"id":150,"name":"Time of Event (Mountain Time)","value":"17:08:34"},{"id":151,"name":"Denver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55"/>
    </row>
    <row r="42" spans="1:28" x14ac:dyDescent="0.25">
      <c r="A42" s="38">
        <v>42621.768090277779</v>
      </c>
      <c r="B42" s="33" t="s">
        <v>89</v>
      </c>
      <c r="C42" s="33" t="s">
        <v>497</v>
      </c>
      <c r="D42" s="33" t="s">
        <v>49</v>
      </c>
      <c r="E42" s="33" t="s">
        <v>50</v>
      </c>
      <c r="F42" s="49">
        <v>0</v>
      </c>
      <c r="G42" s="49">
        <v>53</v>
      </c>
      <c r="H42" s="49">
        <v>185</v>
      </c>
      <c r="I42" s="49">
        <v>147</v>
      </c>
      <c r="J42" s="33" t="s">
        <v>51</v>
      </c>
      <c r="K42" s="49">
        <v>1</v>
      </c>
      <c r="L42" s="154" t="s">
        <v>53</v>
      </c>
      <c r="M42" s="157">
        <f t="shared" si="7"/>
        <v>77.087999999999994</v>
      </c>
      <c r="N42" s="92" t="str">
        <f>VLOOKUP(C42,'Trips&amp;Operators'!$C$1:$E$99999,3,FALSE)</f>
        <v>MOSES</v>
      </c>
      <c r="O42" s="121" t="s">
        <v>86</v>
      </c>
      <c r="P42" s="10"/>
      <c r="Q42" s="33"/>
      <c r="R42" s="108" t="str">
        <f>VLOOKUP(C42,'Train Runs'!$A$13:$AE$10008,31,0)</f>
        <v>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 &amp; aws s3 cp s3://rtdc.mdm.uploadarchive/RTDC4013/2016-09-09/ "%USERPROFILE%\AppData\Local\Temp\OnboardLogs"\RTDC4013\2016-09-09 --recursive &amp; "%USERPROFILE%\Documents\GitHub\mrs-test-scripts\Headless Mode &amp; Sideloading\WalkAndUnGZ.bat" "%USERPROFILE%\AppData\Local\Temp\OnboardLogs"\RTDC4013\2016-09-09</v>
      </c>
      <c r="S42" s="111" t="str">
        <f>VLOOKUP(C42,'Train Runs'!$A$13:$AE$10008,22,0)</f>
        <v>https://search-rtdc-monitor-bjffxe2xuh6vdkpspy63sjmuny.us-east-1.es.amazonaws.com/_plugin/kibana/#/discover/Steve-Slow-Train-Analysis-(2080s-and-2083s)?_g=(refreshInterval:(display:Off,section:0,value:0),time:(from:'2016-09-08 16:36:20-0600',mode:absolute,to:'2016-09-08 19:26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42" s="113" t="str">
        <f t="shared" si="8"/>
        <v>"C:\Program Files (x86)\AstroGrep\AstroGrep.exe" /spath="%USERPROFILE%\AppData\Local\Temp\OnboardLogs" /stypes="*4013*201609090*" /stext=" 00:.+((SYSTEM_STATE.+slice.+state.+changed )|(ment ac)|(system.+state.+changed )|(\|lc)|(penalty)|(\[timeout)|(PRM\|1\|D)|(kpr)|(kdp))" /e /r /s</v>
      </c>
      <c r="U42" s="9" t="str">
        <f t="shared" si="9"/>
        <v>4013</v>
      </c>
      <c r="V42" s="38">
        <f t="shared" si="10"/>
        <v>42622.018090277779</v>
      </c>
      <c r="W42" s="52" t="str">
        <f t="shared" si="11"/>
        <v>EC</v>
      </c>
      <c r="X42" s="52" t="str">
        <f t="shared" si="12"/>
        <v>KEEP</v>
      </c>
      <c r="Y42" s="137" t="str">
        <f t="shared" si="13"/>
        <v>echo {"issue":{"subject":"","project_id":79,"tracker_id":40,"status_id":1,"priority_id":2,"assigned_to_id":23,"start_date":"2016-09-08","description":"","custom_fields":[{"id":1,"name":"Subdivision","value":"EC"},{"id":4,"name":"Milepost","value":"0.0001"},{"id":17,"name":"Train ID","value":"206-08"},{"id":16,"name":"Locomotive ID","value":"4013"},{"id":130,"name":"Impact","value":""},{"id":150,"name":"Time of Event (Mountain Time)","value":"18:26:03"},{"id":151,"name":"Denver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55"/>
    </row>
    <row r="43" spans="1:28" x14ac:dyDescent="0.25">
      <c r="A43" s="38">
        <v>42621.796770833331</v>
      </c>
      <c r="B43" s="33" t="s">
        <v>498</v>
      </c>
      <c r="C43" s="33" t="s">
        <v>499</v>
      </c>
      <c r="D43" s="33" t="s">
        <v>49</v>
      </c>
      <c r="E43" s="33" t="s">
        <v>50</v>
      </c>
      <c r="F43" s="49">
        <v>0</v>
      </c>
      <c r="G43" s="49">
        <v>87</v>
      </c>
      <c r="H43" s="49">
        <v>1175</v>
      </c>
      <c r="I43" s="49">
        <v>1041</v>
      </c>
      <c r="J43" s="33" t="s">
        <v>51</v>
      </c>
      <c r="K43" s="49">
        <v>839</v>
      </c>
      <c r="L43" s="154" t="s">
        <v>53</v>
      </c>
      <c r="M43" s="157">
        <f t="shared" si="7"/>
        <v>106.65600000000001</v>
      </c>
      <c r="N43" s="92" t="str">
        <f>VLOOKUP(C43,'Trips&amp;Operators'!$C$1:$E$99999,3,FALSE)</f>
        <v>KILLION</v>
      </c>
      <c r="O43" s="121" t="s">
        <v>86</v>
      </c>
      <c r="P43" s="10"/>
      <c r="Q43" s="33"/>
      <c r="R43" s="108" t="str">
        <f>VLOOKUP(C43,'Train Runs'!$A$13:$AE$10008,31,0)</f>
        <v>aws s3 cp s3://rtdc.mdm.uploadarchive/RTDC4039/2016-09-08/ "%USERPROFILE%\AppData\Local\Temp\OnboardLogs"\RTDC4039\2016-09-08 --recursive &amp; "%USERPROFILE%\Documents\GitHub\mrs-test-scripts\Headless Mode &amp; Sideloading\WalkAndUnGZ.bat" "%USERPROFILE%\AppData\Local\Temp\OnboardLogs"\RTDC4039\2016-09-08 &amp; aws s3 cp s3://rtdc.mdm.uploadarchive/RTDC4039/2016-09-09/ "%USERPROFILE%\AppData\Local\Temp\OnboardLogs"\RTDC4039\2016-09-09 --recursive &amp; "%USERPROFILE%\Documents\GitHub\mrs-test-scripts\Headless Mode &amp; Sideloading\WalkAndUnGZ.bat" "%USERPROFILE%\AppData\Local\Temp\OnboardLogs"\RTDC4039\2016-09-09</v>
      </c>
      <c r="S43" s="111" t="str">
        <f>VLOOKUP(C43,'Train Runs'!$A$13:$AE$10008,22,0)</f>
        <v>https://search-rtdc-monitor-bjffxe2xuh6vdkpspy63sjmuny.us-east-1.es.amazonaws.com/_plugin/kibana/#/discover/Steve-Slow-Train-Analysis-(2080s-and-2083s)?_g=(refreshInterval:(display:Off,section:0,value:0),time:(from:'2016-09-08 17:14:46-0600',mode:absolute,to:'2016-09-08 20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43" s="113" t="str">
        <f t="shared" si="8"/>
        <v>"C:\Program Files (x86)\AstroGrep\AstroGrep.exe" /spath="%USERPROFILE%\AppData\Local\Temp\OnboardLogs" /stypes="*4039*201609090*" /stext=" 01:.+((SYSTEM_STATE.+slice.+state.+changed )|(ment ac)|(system.+state.+changed )|(\|lc)|(penalty)|(\[timeout)|(PRM\|1\|D)|(kpr)|(kdp))" /e /r /s</v>
      </c>
      <c r="U43" s="9" t="str">
        <f t="shared" si="9"/>
        <v>4039</v>
      </c>
      <c r="V43" s="38">
        <f t="shared" si="10"/>
        <v>42622.046770833331</v>
      </c>
      <c r="W43" s="52" t="str">
        <f t="shared" si="11"/>
        <v>EC</v>
      </c>
      <c r="X43" s="52" t="str">
        <f t="shared" si="12"/>
        <v>KEEP</v>
      </c>
      <c r="Y43" s="137" t="str">
        <f t="shared" si="13"/>
        <v>echo {"issue":{"subject":"","project_id":79,"tracker_id":40,"status_id":1,"priority_id":2,"assigned_to_id":23,"start_date":"2016-09-08","description":"","custom_fields":[{"id":1,"name":"Subdivision","value":"EC"},{"id":4,"name":"Milepost","value":"0.0839"},{"id":17,"name":"Train ID","value":"212-08"},{"id":16,"name":"Locomotive ID","value":"4039"},{"id":130,"name":"Impact","value":""},{"id":150,"name":"Time of Event (Mountain Time)","value":"19:07:21"},{"id":151,"name":"Denver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55"/>
    </row>
    <row r="44" spans="1:28" x14ac:dyDescent="0.25">
      <c r="A44" s="38">
        <v>42621.797291666669</v>
      </c>
      <c r="B44" s="33" t="s">
        <v>498</v>
      </c>
      <c r="C44" s="33" t="s">
        <v>499</v>
      </c>
      <c r="D44" s="33" t="s">
        <v>49</v>
      </c>
      <c r="E44" s="33" t="s">
        <v>50</v>
      </c>
      <c r="F44" s="49">
        <v>0</v>
      </c>
      <c r="G44" s="49">
        <v>38</v>
      </c>
      <c r="H44" s="49">
        <v>960</v>
      </c>
      <c r="I44" s="49">
        <v>920</v>
      </c>
      <c r="J44" s="33" t="s">
        <v>51</v>
      </c>
      <c r="K44" s="49">
        <v>839</v>
      </c>
      <c r="L44" s="154" t="s">
        <v>53</v>
      </c>
      <c r="M44" s="157">
        <f t="shared" si="7"/>
        <v>42.768000000000001</v>
      </c>
      <c r="N44" s="92" t="str">
        <f>VLOOKUP(C44,'Trips&amp;Operators'!$C$1:$E$99999,3,FALSE)</f>
        <v>KILLION</v>
      </c>
      <c r="O44" s="121" t="s">
        <v>86</v>
      </c>
      <c r="P44" s="10"/>
      <c r="Q44" s="33"/>
      <c r="R44" s="108" t="str">
        <f>VLOOKUP(C44,'Train Runs'!$A$13:$AE$10008,31,0)</f>
        <v>aws s3 cp s3://rtdc.mdm.uploadarchive/RTDC4039/2016-09-08/ "%USERPROFILE%\AppData\Local\Temp\OnboardLogs"\RTDC4039\2016-09-08 --recursive &amp; "%USERPROFILE%\Documents\GitHub\mrs-test-scripts\Headless Mode &amp; Sideloading\WalkAndUnGZ.bat" "%USERPROFILE%\AppData\Local\Temp\OnboardLogs"\RTDC4039\2016-09-08 &amp; aws s3 cp s3://rtdc.mdm.uploadarchive/RTDC4039/2016-09-09/ "%USERPROFILE%\AppData\Local\Temp\OnboardLogs"\RTDC4039\2016-09-09 --recursive &amp; "%USERPROFILE%\Documents\GitHub\mrs-test-scripts\Headless Mode &amp; Sideloading\WalkAndUnGZ.bat" "%USERPROFILE%\AppData\Local\Temp\OnboardLogs"\RTDC4039\2016-09-09</v>
      </c>
      <c r="S44" s="111" t="str">
        <f>VLOOKUP(C44,'Train Runs'!$A$13:$AE$10008,22,0)</f>
        <v>https://search-rtdc-monitor-bjffxe2xuh6vdkpspy63sjmuny.us-east-1.es.amazonaws.com/_plugin/kibana/#/discover/Steve-Slow-Train-Analysis-(2080s-and-2083s)?_g=(refreshInterval:(display:Off,section:0,value:0),time:(from:'2016-09-08 17:14:46-0600',mode:absolute,to:'2016-09-08 20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44" s="113" t="str">
        <f t="shared" si="8"/>
        <v>"C:\Program Files (x86)\AstroGrep\AstroGrep.exe" /spath="%USERPROFILE%\AppData\Local\Temp\OnboardLogs" /stypes="*4039*201609090*" /stext=" 01:.+((SYSTEM_STATE.+slice.+state.+changed )|(ment ac)|(system.+state.+changed )|(\|lc)|(penalty)|(\[timeout)|(PRM\|1\|D)|(kpr)|(kdp))" /e /r /s</v>
      </c>
      <c r="U44" s="9" t="str">
        <f t="shared" si="9"/>
        <v>4039</v>
      </c>
      <c r="V44" s="38">
        <f t="shared" si="10"/>
        <v>42622.047291666669</v>
      </c>
      <c r="W44" s="52" t="str">
        <f t="shared" si="11"/>
        <v>EC</v>
      </c>
      <c r="X44" s="52" t="str">
        <f t="shared" si="12"/>
        <v>KEEP</v>
      </c>
      <c r="Y44" s="137" t="str">
        <f t="shared" si="13"/>
        <v>echo {"issue":{"subject":"","project_id":79,"tracker_id":40,"status_id":1,"priority_id":2,"assigned_to_id":23,"start_date":"2016-09-08","description":"","custom_fields":[{"id":1,"name":"Subdivision","value":"EC"},{"id":4,"name":"Milepost","value":"0.0839"},{"id":17,"name":"Train ID","value":"212-08"},{"id":16,"name":"Locomotive ID","value":"4039"},{"id":130,"name":"Impact","value":""},{"id":150,"name":"Time of Event (Mountain Time)","value":"19:08:06"},{"id":151,"name":"Denver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55"/>
    </row>
    <row r="45" spans="1:28" x14ac:dyDescent="0.25">
      <c r="A45" s="38">
        <v>42621.181747685187</v>
      </c>
      <c r="B45" s="33" t="s">
        <v>477</v>
      </c>
      <c r="C45" s="33" t="s">
        <v>267</v>
      </c>
      <c r="D45" s="33" t="s">
        <v>49</v>
      </c>
      <c r="E45" s="33" t="s">
        <v>50</v>
      </c>
      <c r="F45" s="49">
        <v>0</v>
      </c>
      <c r="G45" s="49">
        <v>42</v>
      </c>
      <c r="H45" s="49">
        <v>233298</v>
      </c>
      <c r="I45" s="49">
        <v>233344</v>
      </c>
      <c r="J45" s="33" t="s">
        <v>51</v>
      </c>
      <c r="K45" s="49">
        <v>233491</v>
      </c>
      <c r="L45" s="154" t="s">
        <v>52</v>
      </c>
      <c r="M45" s="157">
        <f t="shared" si="7"/>
        <v>77.616</v>
      </c>
      <c r="N45" s="92" t="str">
        <f>VLOOKUP(C45,'Trips&amp;Operators'!$C$1:$E$99999,3,FALSE)</f>
        <v>SANTIZO</v>
      </c>
      <c r="O45" s="121" t="s">
        <v>86</v>
      </c>
      <c r="P45" s="10"/>
      <c r="Q45" s="33"/>
      <c r="R45" s="108" t="str">
        <f>VLOOKUP(C45,'Train Runs'!$A$13:$AE$10008,31,0)</f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S45" s="111" t="str">
        <f>VLOOKUP(C45,'Train Runs'!$A$13:$AE$10008,22,0)</f>
        <v>https://search-rtdc-monitor-bjffxe2xuh6vdkpspy63sjmuny.us-east-1.es.amazonaws.com/_plugin/kibana/#/discover/Steve-Slow-Train-Analysis-(2080s-and-2083s)?_g=(refreshInterval:(display:Off,section:0,value:0),time:(from:'2016-09-08 02:35:42-0600',mode:absolute,to:'2016-09-08 05:21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45" s="113" t="str">
        <f t="shared" si="8"/>
        <v>"C:\Program Files (x86)\AstroGrep\AstroGrep.exe" /spath="%USERPROFILE%\AppData\Local\Temp\OnboardLogs" /stypes="*4016*201609081*" /stext=" 10:.+((SYSTEM_STATE.+slice.+state.+changed )|(ment ac)|(system.+state.+changed )|(\|lc)|(penalty)|(\[timeout)|(PRM\|1\|D)|(kpr)|(kdp))" /e /r /s</v>
      </c>
      <c r="U45" s="9" t="str">
        <f t="shared" si="9"/>
        <v>4016</v>
      </c>
      <c r="V45" s="38">
        <f t="shared" si="10"/>
        <v>42621.431747685187</v>
      </c>
      <c r="W45" s="52" t="str">
        <f t="shared" si="11"/>
        <v>EC</v>
      </c>
      <c r="X45" s="52" t="str">
        <f t="shared" si="12"/>
        <v>KEEP</v>
      </c>
      <c r="Y45" s="137" t="str">
        <f t="shared" si="13"/>
        <v>echo {"issue":{"subject":"","project_id":79,"tracker_id":40,"status_id":1,"priority_id":2,"assigned_to_id":23,"start_date":"2016-09-08","description":"","custom_fields":[{"id":1,"name":"Subdivision","value":"EC"},{"id":4,"name":"Milepost","value":"23.3491"},{"id":17,"name":"Train ID","value":"103-08"},{"id":16,"name":"Locomotive ID","value":"4016"},{"id":130,"name":"Impact","value":""},{"id":150,"name":"Time of Event (Mountain Time)","value":"04:21:43"},{"id":151,"name":"Denver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55"/>
    </row>
    <row r="46" spans="1:28" x14ac:dyDescent="0.25">
      <c r="A46" s="38">
        <v>42621.640659722223</v>
      </c>
      <c r="B46" s="33" t="s">
        <v>110</v>
      </c>
      <c r="C46" s="33" t="s">
        <v>484</v>
      </c>
      <c r="D46" s="33" t="s">
        <v>49</v>
      </c>
      <c r="E46" s="33" t="s">
        <v>50</v>
      </c>
      <c r="F46" s="49">
        <v>0</v>
      </c>
      <c r="G46" s="49">
        <v>26</v>
      </c>
      <c r="H46" s="49">
        <v>233410</v>
      </c>
      <c r="I46" s="49">
        <v>233414</v>
      </c>
      <c r="J46" s="33" t="s">
        <v>51</v>
      </c>
      <c r="K46" s="49">
        <v>233491</v>
      </c>
      <c r="L46" s="154" t="s">
        <v>52</v>
      </c>
      <c r="M46" s="157">
        <f t="shared" si="7"/>
        <v>40.655999999999999</v>
      </c>
      <c r="N46" s="92" t="str">
        <f>VLOOKUP(C46,'Trips&amp;Operators'!$C$1:$E$99999,3,FALSE)</f>
        <v>SHOOK</v>
      </c>
      <c r="O46" s="121" t="s">
        <v>86</v>
      </c>
      <c r="P46" s="10"/>
      <c r="Q46" s="33"/>
      <c r="R46" s="108" t="str">
        <f>VLOOKUP(C46,'Train Runs'!$A$13:$AE$10008,31,0)</f>
        <v>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 &amp; 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</v>
      </c>
      <c r="S46" s="111" t="str">
        <f>VLOOKUP(C46,'Train Runs'!$A$13:$AE$10008,22,0)</f>
        <v>https://search-rtdc-monitor-bjffxe2xuh6vdkpspy63sjmuny.us-east-1.es.amazonaws.com/_plugin/kibana/#/discover/Steve-Slow-Train-Analysis-(2080s-and-2083s)?_g=(refreshInterval:(display:Off,section:0,value:0),time:(from:'2016-09-08 13:40:32-0600',mode:absolute,to:'2016-09-08 16:22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46" s="113" t="str">
        <f t="shared" si="8"/>
        <v>"C:\Program Files (x86)\AstroGrep\AstroGrep.exe" /spath="%USERPROFILE%\AppData\Local\Temp\OnboardLogs" /stypes="*4031*201609082*" /stext=" 21:.+((SYSTEM_STATE.+slice.+state.+changed )|(ment ac)|(system.+state.+changed )|(\|lc)|(penalty)|(\[timeout)|(PRM\|1\|D)|(kpr)|(kdp))" /e /r /s</v>
      </c>
      <c r="U46" s="9" t="str">
        <f t="shared" si="9"/>
        <v>4031</v>
      </c>
      <c r="V46" s="38">
        <f t="shared" si="10"/>
        <v>42621.890659722223</v>
      </c>
      <c r="W46" s="52" t="str">
        <f t="shared" si="11"/>
        <v>EC</v>
      </c>
      <c r="X46" s="52" t="str">
        <f t="shared" si="12"/>
        <v>KEEP</v>
      </c>
      <c r="Y46" s="137" t="str">
        <f t="shared" si="13"/>
        <v>echo {"issue":{"subject":"","project_id":79,"tracker_id":40,"status_id":1,"priority_id":2,"assigned_to_id":23,"start_date":"2016-09-08","description":"","custom_fields":[{"id":1,"name":"Subdivision","value":"EC"},{"id":4,"name":"Milepost","value":"23.3491"},{"id":17,"name":"Train ID","value":"189-08"},{"id":16,"name":"Locomotive ID","value":"4031"},{"id":130,"name":"Impact","value":""},{"id":150,"name":"Time of Event (Mountain Time)","value":"15:22:33"},{"id":151,"name":"Denver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55"/>
    </row>
    <row r="47" spans="1:28" x14ac:dyDescent="0.25">
      <c r="A47" s="38">
        <v>42621.702928240738</v>
      </c>
      <c r="B47" s="33" t="s">
        <v>180</v>
      </c>
      <c r="C47" s="33" t="s">
        <v>489</v>
      </c>
      <c r="D47" s="33" t="s">
        <v>49</v>
      </c>
      <c r="E47" s="33" t="s">
        <v>50</v>
      </c>
      <c r="F47" s="49">
        <v>0</v>
      </c>
      <c r="G47" s="49">
        <v>50</v>
      </c>
      <c r="H47" s="49">
        <v>233321</v>
      </c>
      <c r="I47" s="49">
        <v>233359</v>
      </c>
      <c r="J47" s="33" t="s">
        <v>51</v>
      </c>
      <c r="K47" s="49">
        <v>233491</v>
      </c>
      <c r="L47" s="154" t="s">
        <v>52</v>
      </c>
      <c r="M47" s="157">
        <f t="shared" si="7"/>
        <v>69.695999999999998</v>
      </c>
      <c r="N47" s="92" t="str">
        <f>VLOOKUP(C47,'Trips&amp;Operators'!$C$1:$E$99999,3,FALSE)</f>
        <v>BONDS</v>
      </c>
      <c r="O47" s="121" t="s">
        <v>86</v>
      </c>
      <c r="P47" s="10"/>
      <c r="Q47" s="33"/>
      <c r="R47" s="108" t="str">
        <f>VLOOKUP(C47,'Train Runs'!$A$13:$AE$10008,31,0)</f>
        <v>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 &amp; 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</v>
      </c>
      <c r="S47" s="111" t="str">
        <f>VLOOKUP(C47,'Train Runs'!$A$13:$AE$10008,22,0)</f>
        <v>https://search-rtdc-monitor-bjffxe2xuh6vdkpspy63sjmuny.us-east-1.es.amazonaws.com/_plugin/kibana/#/discover/Steve-Slow-Train-Analysis-(2080s-and-2083s)?_g=(refreshInterval:(display:Off,section:0,value:0),time:(from:'2016-09-08 15:10:07-0600',mode:absolute,to:'2016-09-08 17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47" s="113" t="str">
        <f t="shared" si="8"/>
        <v>"C:\Program Files (x86)\AstroGrep\AstroGrep.exe" /spath="%USERPROFILE%\AppData\Local\Temp\OnboardLogs" /stypes="*4011*201609082*" /stext=" 22:.+((SYSTEM_STATE.+slice.+state.+changed )|(ment ac)|(system.+state.+changed )|(\|lc)|(penalty)|(\[timeout)|(PRM\|1\|D)|(kpr)|(kdp))" /e /r /s</v>
      </c>
      <c r="U47" s="9" t="str">
        <f t="shared" si="9"/>
        <v>4011</v>
      </c>
      <c r="V47" s="38">
        <f t="shared" si="10"/>
        <v>42621.952928240738</v>
      </c>
      <c r="W47" s="52" t="str">
        <f t="shared" si="11"/>
        <v>EC</v>
      </c>
      <c r="X47" s="52" t="str">
        <f t="shared" si="12"/>
        <v>KEEP</v>
      </c>
      <c r="Y47" s="137" t="str">
        <f t="shared" si="13"/>
        <v>echo {"issue":{"subject":"","project_id":79,"tracker_id":40,"status_id":1,"priority_id":2,"assigned_to_id":23,"start_date":"2016-09-08","description":"","custom_fields":[{"id":1,"name":"Subdivision","value":"EC"},{"id":4,"name":"Milepost","value":"23.3491"},{"id":17,"name":"Train ID","value":"201-08"},{"id":16,"name":"Locomotive ID","value":"4011"},{"id":130,"name":"Impact","value":""},{"id":150,"name":"Time of Event (Mountain Time)","value":"16:52:13"},{"id":151,"name":"Denver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55"/>
    </row>
    <row r="48" spans="1:28" x14ac:dyDescent="0.25">
      <c r="A48" s="38">
        <v>42621.765555555554</v>
      </c>
      <c r="B48" s="33" t="s">
        <v>477</v>
      </c>
      <c r="C48" s="33" t="s">
        <v>496</v>
      </c>
      <c r="D48" s="33" t="s">
        <v>49</v>
      </c>
      <c r="E48" s="33" t="s">
        <v>50</v>
      </c>
      <c r="F48" s="49">
        <v>0</v>
      </c>
      <c r="G48" s="49">
        <v>43</v>
      </c>
      <c r="H48" s="49">
        <v>233376</v>
      </c>
      <c r="I48" s="49">
        <v>233406</v>
      </c>
      <c r="J48" s="33" t="s">
        <v>51</v>
      </c>
      <c r="K48" s="49">
        <v>233491</v>
      </c>
      <c r="L48" s="154" t="s">
        <v>52</v>
      </c>
      <c r="M48" s="157">
        <f t="shared" si="7"/>
        <v>44.88</v>
      </c>
      <c r="N48" s="92" t="str">
        <f>VLOOKUP(C48,'Trips&amp;Operators'!$C$1:$E$99999,3,FALSE)</f>
        <v>STAMBAUGH</v>
      </c>
      <c r="O48" s="121" t="s">
        <v>86</v>
      </c>
      <c r="P48" s="10"/>
      <c r="Q48" s="33"/>
      <c r="R48" s="108" t="str">
        <f>VLOOKUP(C48,'Train Runs'!$A$13:$AE$10008,31,0)</f>
        <v>aws s3 cp s3://rtdc.mdm.uploadarchive/RTDC4016/2016-09-08/ "%USERPROFILE%\AppData\Local\Temp\OnboardLogs"\RTDC4016\2016-09-08 --recursive &amp; "%USERPROFILE%\Documents\GitHub\mrs-test-scripts\Headless Mode &amp; Sideloading\WalkAndUnGZ.bat" "%USERPROFILE%\AppData\Local\Temp\OnboardLogs"\RTDC4016\2016-09-08 &amp; 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</v>
      </c>
      <c r="S48" s="111" t="str">
        <f>VLOOKUP(C48,'Train Runs'!$A$13:$AE$10008,22,0)</f>
        <v>https://search-rtdc-monitor-bjffxe2xuh6vdkpspy63sjmuny.us-east-1.es.amazonaws.com/_plugin/kibana/#/discover/Steve-Slow-Train-Analysis-(2080s-and-2083s)?_g=(refreshInterval:(display:Off,section:0,value:0),time:(from:'2016-09-08 16:43:44-0600',mode:absolute,to:'2016-09-08 19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48" s="113" t="str">
        <f t="shared" si="8"/>
        <v>"C:\Program Files (x86)\AstroGrep\AstroGrep.exe" /spath="%USERPROFILE%\AppData\Local\Temp\OnboardLogs" /stypes="*4016*201609090*" /stext=" 00:.+((SYSTEM_STATE.+slice.+state.+changed )|(ment ac)|(system.+state.+changed )|(\|lc)|(penalty)|(\[timeout)|(PRM\|1\|D)|(kpr)|(kdp))" /e /r /s</v>
      </c>
      <c r="U48" s="9" t="str">
        <f t="shared" si="9"/>
        <v>4016</v>
      </c>
      <c r="V48" s="38">
        <f t="shared" si="10"/>
        <v>42622.015555555554</v>
      </c>
      <c r="W48" s="52" t="str">
        <f t="shared" si="11"/>
        <v>EC</v>
      </c>
      <c r="X48" s="52" t="str">
        <f t="shared" si="12"/>
        <v>KEEP</v>
      </c>
      <c r="Y48" s="137" t="str">
        <f t="shared" si="13"/>
        <v>echo {"issue":{"subject":"","project_id":79,"tracker_id":40,"status_id":1,"priority_id":2,"assigned_to_id":23,"start_date":"2016-09-08","description":"","custom_fields":[{"id":1,"name":"Subdivision","value":"EC"},{"id":4,"name":"Milepost","value":"23.3491"},{"id":17,"name":"Train ID","value":"213-08"},{"id":16,"name":"Locomotive ID","value":"4016"},{"id":130,"name":"Impact","value":""},{"id":150,"name":"Time of Event (Mountain Time)","value":"18:22:24"},{"id":151,"name":"Denver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55"/>
    </row>
    <row r="49" spans="1:28" x14ac:dyDescent="0.25">
      <c r="A49" s="38">
        <v>42621.902129629627</v>
      </c>
      <c r="B49" s="33" t="s">
        <v>478</v>
      </c>
      <c r="C49" s="33" t="s">
        <v>506</v>
      </c>
      <c r="D49" s="33" t="s">
        <v>49</v>
      </c>
      <c r="E49" s="33" t="s">
        <v>50</v>
      </c>
      <c r="F49" s="49">
        <v>0</v>
      </c>
      <c r="G49" s="49">
        <v>151</v>
      </c>
      <c r="H49" s="49">
        <v>232775</v>
      </c>
      <c r="I49" s="49">
        <v>232913</v>
      </c>
      <c r="J49" s="33" t="s">
        <v>51</v>
      </c>
      <c r="K49" s="49">
        <v>233491</v>
      </c>
      <c r="L49" s="154" t="s">
        <v>52</v>
      </c>
      <c r="M49" s="157"/>
      <c r="N49" s="92" t="str">
        <f>VLOOKUP(C49,'Trips&amp;Operators'!$C$1:$E$99999,3,FALSE)</f>
        <v>DELGADO</v>
      </c>
      <c r="O49" s="121" t="s">
        <v>86</v>
      </c>
      <c r="P49" s="10"/>
      <c r="Q49" s="33"/>
      <c r="R49" s="108" t="str">
        <f>VLOOKUP(C49,'Train Runs'!$A$13:$AE$10008,31,0)</f>
        <v>aws s3 cp s3://rtdc.mdm.uploadarchive/RTDC4018/2016-09-08/ "%USERPROFILE%\AppData\Local\Temp\OnboardLogs"\RTDC4018\2016-09-08 --recursive &amp; "%USERPROFILE%\Documents\GitHub\mrs-test-scripts\Headless Mode &amp; Sideloading\WalkAndUnGZ.bat" "%USERPROFILE%\AppData\Local\Temp\OnboardLogs"\RTDC4018\2016-09-08 &amp; 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</v>
      </c>
      <c r="S49" s="111" t="str">
        <f>VLOOKUP(C49,'Train Runs'!$A$13:$AE$10008,22,0)</f>
        <v>https://search-rtdc-monitor-bjffxe2xuh6vdkpspy63sjmuny.us-east-1.es.amazonaws.com/_plugin/kibana/#/discover/Steve-Slow-Train-Analysis-(2080s-and-2083s)?_g=(refreshInterval:(display:Off,section:0,value:0),time:(from:'2016-09-08 19:51:23-0600',mode:absolute,to:'2016-09-08 22:39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49" s="113" t="str">
        <f t="shared" si="8"/>
        <v>"C:\Program Files (x86)\AstroGrep\AstroGrep.exe" /spath="%USERPROFILE%\AppData\Local\Temp\OnboardLogs" /stypes="*4018*201609090*" /stext=" 03:.+((SYSTEM_STATE.+slice.+state.+changed )|(ment ac)|(system.+state.+changed )|(\|lc)|(penalty)|(\[timeout)|(PRM\|1\|D)|(kpr)|(kdp))" /e /r /s</v>
      </c>
      <c r="U49" s="9" t="str">
        <f t="shared" si="9"/>
        <v>4018</v>
      </c>
      <c r="V49" s="38">
        <f t="shared" si="10"/>
        <v>42622.152129629627</v>
      </c>
      <c r="W49" s="52" t="str">
        <f t="shared" si="11"/>
        <v>EC</v>
      </c>
      <c r="X49" s="52" t="str">
        <f t="shared" si="12"/>
        <v>KEEP</v>
      </c>
      <c r="Y49" s="137" t="str">
        <f t="shared" si="13"/>
        <v>echo {"issue":{"subject":"","project_id":79,"tracker_id":40,"status_id":1,"priority_id":2,"assigned_to_id":23,"start_date":"2016-09-08","description":"","custom_fields":[{"id":1,"name":"Subdivision","value":"EC"},{"id":4,"name":"Milepost","value":"23.3491"},{"id":17,"name":"Train ID","value":"229-08"},{"id":16,"name":"Locomotive ID","value":"4018"},{"id":130,"name":"Impact","value":""},{"id":150,"name":"Time of Event (Mountain Time)","value":"21:39:04"},{"id":151,"name":"Denver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55"/>
    </row>
    <row r="50" spans="1:28" x14ac:dyDescent="0.25">
      <c r="A50" s="38">
        <v>42621.731689814813</v>
      </c>
      <c r="B50" s="33" t="s">
        <v>135</v>
      </c>
      <c r="C50" s="33" t="s">
        <v>494</v>
      </c>
      <c r="D50" s="33" t="s">
        <v>49</v>
      </c>
      <c r="E50" s="33" t="s">
        <v>56</v>
      </c>
      <c r="F50" s="49">
        <v>150</v>
      </c>
      <c r="G50" s="49">
        <v>308</v>
      </c>
      <c r="H50" s="49">
        <v>55943</v>
      </c>
      <c r="I50" s="49">
        <v>56691</v>
      </c>
      <c r="J50" s="33" t="s">
        <v>57</v>
      </c>
      <c r="K50" s="49">
        <v>57008</v>
      </c>
      <c r="L50" s="154" t="s">
        <v>52</v>
      </c>
      <c r="M50" s="157">
        <f t="shared" ref="M50:M63" si="14">CONVERT((I50-K50)/10000,"mi","ft")*IF(L50="Increasing Mileposts (1)",-1,1)</f>
        <v>167.376</v>
      </c>
      <c r="N50" s="92" t="str">
        <f>VLOOKUP(C50,'Trips&amp;Operators'!$C$1:$E$99999,3,FALSE)</f>
        <v>COOPER</v>
      </c>
      <c r="O50" s="121" t="s">
        <v>86</v>
      </c>
      <c r="P50" s="10"/>
      <c r="Q50" s="33"/>
      <c r="R50" s="108" t="str">
        <f>VLOOKUP(C50,'Train Runs'!$A$13:$AE$10008,31,0)</f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S50" s="111" t="str">
        <f>VLOOKUP(C50,'Train Runs'!$A$13:$AE$10008,22,0)</f>
        <v>https://search-rtdc-monitor-bjffxe2xuh6vdkpspy63sjmuny.us-east-1.es.amazonaws.com/_plugin/kibana/#/discover/Steve-Slow-Train-Analysis-(2080s-and-2083s)?_g=(refreshInterval:(display:Off,section:0,value:0),time:(from:'2016-09-08 16:03:47-0600',mode:absolute,to:'2016-09-08 18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50" s="113" t="str">
        <f t="shared" si="8"/>
        <v>"C:\Program Files (x86)\AstroGrep\AstroGrep.exe" /spath="%USERPROFILE%\AppData\Local\Temp\OnboardLogs" /stypes="*4002*201609082*" /stext=" 23:.+((SYSTEM_STATE.+slice.+state.+changed )|(ment ac)|(system.+state.+changed )|(\|lc)|(penalty)|(\[timeout)|(PRM\|1\|D)|(kpr)|(kdp))" /e /r /s</v>
      </c>
      <c r="U50" s="9" t="str">
        <f t="shared" si="9"/>
        <v>4002</v>
      </c>
      <c r="V50" s="38">
        <f t="shared" si="10"/>
        <v>42621.981689814813</v>
      </c>
      <c r="W50" s="52" t="str">
        <f t="shared" si="11"/>
        <v>NW</v>
      </c>
      <c r="X50" s="52" t="str">
        <f t="shared" si="12"/>
        <v>KEEP</v>
      </c>
      <c r="Y50" s="137" t="str">
        <f t="shared" si="13"/>
        <v>echo {"issue":{"subject":"","project_id":79,"tracker_id":40,"status_id":1,"priority_id":2,"assigned_to_id":23,"start_date":"2016-09-08","description":"","custom_fields":[{"id":1,"name":"Subdivision","value":"NW"},{"id":4,"name":"Milepost","value":"5.7008"},{"id":17,"name":"Train ID","value":"833-08"},{"id":16,"name":"Locomotive ID","value":"4002"},{"id":130,"name":"Impact","value":""},{"id":150,"name":"Time of Event (Mountain Time)","value":"17:33:38"},{"id":151,"name":"Denver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55"/>
    </row>
    <row r="51" spans="1:28" x14ac:dyDescent="0.25">
      <c r="A51" s="38">
        <v>42621.822268518517</v>
      </c>
      <c r="B51" s="33" t="s">
        <v>182</v>
      </c>
      <c r="C51" s="33" t="s">
        <v>503</v>
      </c>
      <c r="D51" s="33" t="s">
        <v>107</v>
      </c>
      <c r="E51" s="33" t="s">
        <v>56</v>
      </c>
      <c r="F51" s="49">
        <v>150</v>
      </c>
      <c r="G51" s="49">
        <v>209</v>
      </c>
      <c r="H51" s="49">
        <v>56838</v>
      </c>
      <c r="I51" s="49">
        <v>56391</v>
      </c>
      <c r="J51" s="33" t="s">
        <v>57</v>
      </c>
      <c r="K51" s="49">
        <v>59050</v>
      </c>
      <c r="L51" s="154" t="s">
        <v>53</v>
      </c>
      <c r="M51" s="157">
        <f t="shared" si="14"/>
        <v>-1403.9520000000002</v>
      </c>
      <c r="N51" s="92" t="str">
        <f>VLOOKUP(C51,'Trips&amp;Operators'!$C$1:$E$99999,3,FALSE)</f>
        <v>COOPER</v>
      </c>
      <c r="O51" s="121" t="s">
        <v>86</v>
      </c>
      <c r="P51" s="10"/>
      <c r="Q51" s="33"/>
      <c r="R51" s="108" t="str">
        <f>VLOOKUP(C51,'Train Runs'!$A$13:$AE$10008,31,0)</f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S51" s="111" t="str">
        <f>VLOOKUP(C51,'Train Runs'!$A$13:$AE$10008,22,0)</f>
        <v>https://search-rtdc-monitor-bjffxe2xuh6vdkpspy63sjmuny.us-east-1.es.amazonaws.com/_plugin/kibana/#/discover/Steve-Slow-Train-Analysis-(2080s-and-2083s)?_g=(refreshInterval:(display:Off,section:0,value:0),time:(from:'2016-09-08 18:39:07-0600',mode:absolute,to:'2016-09-08 20:59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51" s="113" t="str">
        <f t="shared" si="8"/>
        <v>"C:\Program Files (x86)\AstroGrep\AstroGrep.exe" /spath="%USERPROFILE%\AppData\Local\Temp\OnboardLogs" /stypes="*4001*201609090*" /stext=" 01:.+((SYSTEM_STATE.+slice.+state.+changed )|(ment ac)|(system.+state.+changed )|(\|lc)|(penalty)|(\[timeout)|(PRM\|1\|D)|(kpr)|(kdp))" /e /r /s</v>
      </c>
      <c r="U51" s="9" t="str">
        <f t="shared" si="9"/>
        <v>4001</v>
      </c>
      <c r="V51" s="38">
        <f t="shared" si="10"/>
        <v>42622.072268518517</v>
      </c>
      <c r="W51" s="52" t="str">
        <f t="shared" si="11"/>
        <v>NW</v>
      </c>
      <c r="X51" s="52" t="str">
        <f t="shared" si="12"/>
        <v>KEEP</v>
      </c>
      <c r="Y51" s="137" t="str">
        <f t="shared" si="13"/>
        <v>echo {"issue":{"subject":"","project_id":79,"tracker_id":40,"status_id":1,"priority_id":2,"assigned_to_id":23,"start_date":"2016-09-08","description":"","custom_fields":[{"id":1,"name":"Subdivision","value":"NW"},{"id":4,"name":"Milepost","value":"5.905"},{"id":17,"name":"Train ID","value":"840-08"},{"id":16,"name":"Locomotive ID","value":"4001"},{"id":130,"name":"Impact","value":""},{"id":150,"name":"Time of Event (Mountain Time)","value":"19:44:04"},{"id":151,"name":"Denver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5"/>
      <c r="AA51" s="55"/>
      <c r="AB51" s="55"/>
    </row>
    <row r="52" spans="1:28" x14ac:dyDescent="0.25">
      <c r="A52" s="38">
        <v>42621.345370370371</v>
      </c>
      <c r="B52" s="33" t="s">
        <v>481</v>
      </c>
      <c r="C52" s="33" t="s">
        <v>448</v>
      </c>
      <c r="D52" s="33" t="s">
        <v>49</v>
      </c>
      <c r="E52" s="33" t="s">
        <v>54</v>
      </c>
      <c r="F52" s="49">
        <v>0</v>
      </c>
      <c r="G52" s="49">
        <v>533</v>
      </c>
      <c r="H52" s="49">
        <v>33432</v>
      </c>
      <c r="I52" s="49">
        <v>31387</v>
      </c>
      <c r="J52" s="33" t="s">
        <v>55</v>
      </c>
      <c r="K52" s="49">
        <v>33261</v>
      </c>
      <c r="L52" s="154" t="s">
        <v>53</v>
      </c>
      <c r="M52" s="157">
        <f t="shared" si="14"/>
        <v>-989.47199999999998</v>
      </c>
      <c r="N52" s="92" t="str">
        <f>VLOOKUP(C52,'Trips&amp;Operators'!$C$1:$E$99999,3,FALSE)</f>
        <v>YORK</v>
      </c>
      <c r="O52" s="121" t="s">
        <v>185</v>
      </c>
      <c r="P52" s="10" t="s">
        <v>200</v>
      </c>
      <c r="Q52" s="33"/>
      <c r="R52" s="108" t="str">
        <f>VLOOKUP(C52,'Train Runs'!$A$13:$AE$10008,31,0)</f>
        <v>aws s3 cp s3://rtdc.mdm.uploadarchive/RTDC4037/2016-09-08/ "%USERPROFILE%\AppData\Local\Temp\OnboardLogs"\RTDC4037\2016-09-08 --recursive &amp; "%USERPROFILE%\Documents\GitHub\mrs-test-scripts\Headless Mode &amp; Sideloading\WalkAndUnGZ.bat" "%USERPROFILE%\AppData\Local\Temp\OnboardLogs"\RTDC4037\2016-09-08 &amp; aws s3 cp s3://rtdc.mdm.uploadarchive/RTDC4037/2016-09-09/ "%USERPROFILE%\AppData\Local\Temp\OnboardLogs"\RTDC4037\2016-09-09 --recursive &amp; "%USERPROFILE%\Documents\GitHub\mrs-test-scripts\Headless Mode &amp; Sideloading\WalkAndUnGZ.bat" "%USERPROFILE%\AppData\Local\Temp\OnboardLogs"\RTDC4037\2016-09-09</v>
      </c>
      <c r="S52" s="111" t="str">
        <f>VLOOKUP(C52,'Train Runs'!$A$13:$AE$10008,22,0)</f>
        <v>https://search-rtdc-monitor-bjffxe2xuh6vdkpspy63sjmuny.us-east-1.es.amazonaws.com/_plugin/kibana/#/discover/Steve-Slow-Train-Analysis-(2080s-and-2083s)?_g=(refreshInterval:(display:Off,section:0,value:0),time:(from:'2016-09-08 07:05:49-0600',mode:absolute,to:'2016-09-08 09:25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52" s="113" t="str">
        <f t="shared" si="8"/>
        <v>"C:\Program Files (x86)\AstroGrep\AstroGrep.exe" /spath="%USERPROFILE%\AppData\Local\Temp\OnboardLogs" /stypes="*4037*201609081*" /stext=" 14:.+((SYSTEM_STATE.+slice.+state.+changed )|(ment ac)|(system.+state.+changed )|(\|lc)|(penalty)|(\[timeout)|(PRM\|1\|D)|(kpr)|(kdp))" /e /r /s</v>
      </c>
      <c r="U52" s="9" t="str">
        <f t="shared" si="9"/>
        <v>4037</v>
      </c>
      <c r="V52" s="38">
        <f t="shared" si="10"/>
        <v>42621.595370370371</v>
      </c>
      <c r="W52" s="52" t="str">
        <f t="shared" si="11"/>
        <v>NW</v>
      </c>
      <c r="X52" s="52" t="str">
        <f t="shared" si="12"/>
        <v>KEEP</v>
      </c>
      <c r="Y52" s="137" t="str">
        <f t="shared" si="13"/>
        <v>echo {"issue":{"subject":"Wi-MAX outage","project_id":79,"tracker_id":40,"status_id":1,"priority_id":2,"assigned_to_id":23,"start_date":"2016-09-08","description":"","custom_fields":[{"id":1,"name":"Subdivision","value":"NW"},{"id":4,"name":"Milepost","value":"3.3261"},{"id":17,"name":"Train ID","value":"810-08"},{"id":16,"name":"Locomotive ID","value":"4037"},{"id":130,"name":"Impact","value":""},{"id":150,"name":"Time of Event (Mountain Time)","value":"08:17:20"},{"id":151,"name":"Denver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5"/>
      <c r="AA52" s="55"/>
      <c r="AB52" s="55"/>
    </row>
    <row r="53" spans="1:28" x14ac:dyDescent="0.25">
      <c r="A53" s="38">
        <v>42621.64576388889</v>
      </c>
      <c r="B53" s="33" t="s">
        <v>135</v>
      </c>
      <c r="C53" s="33" t="s">
        <v>485</v>
      </c>
      <c r="D53" s="33" t="s">
        <v>49</v>
      </c>
      <c r="E53" s="33" t="s">
        <v>54</v>
      </c>
      <c r="F53" s="49">
        <v>0</v>
      </c>
      <c r="G53" s="49">
        <v>252</v>
      </c>
      <c r="H53" s="49">
        <v>33370</v>
      </c>
      <c r="I53" s="49">
        <v>33934</v>
      </c>
      <c r="J53" s="33" t="s">
        <v>55</v>
      </c>
      <c r="K53" s="49">
        <v>34583</v>
      </c>
      <c r="L53" s="154" t="s">
        <v>52</v>
      </c>
      <c r="M53" s="157">
        <f t="shared" si="14"/>
        <v>342.67200000000003</v>
      </c>
      <c r="N53" s="92" t="str">
        <f>VLOOKUP(C53,'Trips&amp;Operators'!$C$1:$E$99999,3,FALSE)</f>
        <v>COOPER</v>
      </c>
      <c r="O53" s="121" t="s">
        <v>86</v>
      </c>
      <c r="P53" s="10" t="s">
        <v>766</v>
      </c>
      <c r="Q53" s="33"/>
      <c r="R53" s="108" t="str">
        <f>VLOOKUP(C53,'Train Runs'!$A$13:$AE$10008,31,0)</f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S53" s="111" t="str">
        <f>VLOOKUP(C53,'Train Runs'!$A$13:$AE$10008,22,0)</f>
        <v>https://search-rtdc-monitor-bjffxe2xuh6vdkpspy63sjmuny.us-east-1.es.amazonaws.com/_plugin/kibana/#/discover/Steve-Slow-Train-Analysis-(2080s-and-2083s)?_g=(refreshInterval:(display:Off,section:0,value:0),time:(from:'2016-09-08 14:00:57-0600',mode:absolute,to:'2016-09-08 16:39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53" s="113" t="str">
        <f t="shared" si="8"/>
        <v>"C:\Program Files (x86)\AstroGrep\AstroGrep.exe" /spath="%USERPROFILE%\AppData\Local\Temp\OnboardLogs" /stypes="*4002*201609082*" /stext=" 21:.+((SYSTEM_STATE.+slice.+state.+changed )|(ment ac)|(system.+state.+changed )|(\|lc)|(penalty)|(\[timeout)|(PRM\|1\|D)|(kpr)|(kdp))" /e /r /s</v>
      </c>
      <c r="U53" s="9" t="str">
        <f t="shared" si="9"/>
        <v>4002</v>
      </c>
      <c r="V53" s="38">
        <f t="shared" si="10"/>
        <v>42621.89576388889</v>
      </c>
      <c r="W53" s="52" t="str">
        <f t="shared" si="11"/>
        <v>NW</v>
      </c>
      <c r="X53" s="52" t="str">
        <f t="shared" si="12"/>
        <v>KEEP</v>
      </c>
      <c r="Y53" s="137" t="str">
        <f t="shared" si="13"/>
        <v>echo {"issue":{"subject":"Overspeed","project_id":79,"tracker_id":40,"status_id":1,"priority_id":2,"assigned_to_id":23,"start_date":"2016-09-08","description":"","custom_fields":[{"id":1,"name":"Subdivision","value":"NW"},{"id":4,"name":"Milepost","value":"3.4583"},{"id":17,"name":"Train ID","value":"825-08"},{"id":16,"name":"Locomotive ID","value":"4002"},{"id":130,"name":"Impact","value":""},{"id":150,"name":"Time of Event (Mountain Time)","value":"15:29:54"},{"id":151,"name":"Denver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5"/>
      <c r="AA53" s="55"/>
      <c r="AB53" s="55"/>
    </row>
    <row r="54" spans="1:28" x14ac:dyDescent="0.25">
      <c r="A54" s="38">
        <v>42621.809583333335</v>
      </c>
      <c r="B54" s="33" t="s">
        <v>135</v>
      </c>
      <c r="C54" s="33" t="s">
        <v>501</v>
      </c>
      <c r="D54" s="33" t="s">
        <v>107</v>
      </c>
      <c r="E54" s="33" t="s">
        <v>502</v>
      </c>
      <c r="F54" s="49">
        <v>100</v>
      </c>
      <c r="G54" s="49">
        <v>152</v>
      </c>
      <c r="H54" s="49">
        <v>11215</v>
      </c>
      <c r="I54" s="49">
        <v>11402</v>
      </c>
      <c r="J54" s="33" t="s">
        <v>177</v>
      </c>
      <c r="K54" s="49">
        <v>10701</v>
      </c>
      <c r="L54" s="154" t="s">
        <v>52</v>
      </c>
      <c r="M54" s="157">
        <f t="shared" si="14"/>
        <v>-370.12799999999999</v>
      </c>
      <c r="N54" s="92" t="str">
        <f>VLOOKUP(C54,'Trips&amp;Operators'!$C$1:$E$99999,3,FALSE)</f>
        <v>COOPER</v>
      </c>
      <c r="O54" s="121" t="s">
        <v>86</v>
      </c>
      <c r="P54" s="10"/>
      <c r="Q54" s="33"/>
      <c r="R54" s="108" t="str">
        <f>VLOOKUP(C54,'Train Runs'!$A$13:$AE$10008,31,0)</f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S54" s="111" t="str">
        <f>VLOOKUP(C54,'Train Runs'!$A$13:$AE$10008,22,0)</f>
        <v>https://search-rtdc-monitor-bjffxe2xuh6vdkpspy63sjmuny.us-east-1.es.amazonaws.com/_plugin/kibana/#/discover/Steve-Slow-Train-Analysis-(2080s-and-2083s)?_g=(refreshInterval:(display:Off,section:0,value:0),time:(from:'2016-09-08 17:59:11-0600',mode:absolute,to:'2016-09-08 20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54" s="113" t="str">
        <f t="shared" si="8"/>
        <v>"C:\Program Files (x86)\AstroGrep\AstroGrep.exe" /spath="%USERPROFILE%\AppData\Local\Temp\OnboardLogs" /stypes="*4002*201609090*" /stext=" 01:.+((SYSTEM_STATE.+slice.+state.+changed )|(ment ac)|(system.+state.+changed )|(\|lc)|(penalty)|(\[timeout)|(PRM\|1\|D)|(kpr)|(kdp))" /e /r /s</v>
      </c>
      <c r="U54" s="9" t="str">
        <f t="shared" si="9"/>
        <v>4002</v>
      </c>
      <c r="V54" s="38">
        <f t="shared" si="10"/>
        <v>42622.059583333335</v>
      </c>
      <c r="W54" s="52" t="str">
        <f t="shared" si="11"/>
        <v>NW</v>
      </c>
      <c r="X54" s="52" t="str">
        <f t="shared" si="12"/>
        <v>KEEP</v>
      </c>
      <c r="Y54" s="137" t="str">
        <f t="shared" si="13"/>
        <v>echo {"issue":{"subject":"","project_id":79,"tracker_id":40,"status_id":1,"priority_id":2,"assigned_to_id":23,"start_date":"2016-09-08","description":"","custom_fields":[{"id":1,"name":"Subdivision","value":"NW"},{"id":4,"name":"Milepost","value":"1.0701"},{"id":17,"name":"Train ID","value":"841-08"},{"id":16,"name":"Locomotive ID","value":"4002"},{"id":130,"name":"Impact","value":""},{"id":150,"name":"Time of Event (Mountain Time)","value":"19:25:48"},{"id":151,"name":"Denver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5"/>
      <c r="AA54" s="55"/>
      <c r="AB54" s="55"/>
    </row>
    <row r="55" spans="1:28" x14ac:dyDescent="0.25">
      <c r="A55" s="38">
        <v>42621.869143518517</v>
      </c>
      <c r="B55" s="33" t="s">
        <v>182</v>
      </c>
      <c r="C55" s="33" t="s">
        <v>505</v>
      </c>
      <c r="D55" s="33" t="s">
        <v>107</v>
      </c>
      <c r="E55" s="33" t="s">
        <v>502</v>
      </c>
      <c r="F55" s="49">
        <v>100</v>
      </c>
      <c r="G55" s="49">
        <v>157</v>
      </c>
      <c r="H55" s="49">
        <v>10720</v>
      </c>
      <c r="I55" s="49">
        <v>10346</v>
      </c>
      <c r="J55" s="33" t="s">
        <v>177</v>
      </c>
      <c r="K55" s="49">
        <v>11000</v>
      </c>
      <c r="L55" s="154" t="s">
        <v>53</v>
      </c>
      <c r="M55" s="157">
        <f t="shared" si="14"/>
        <v>-345.31200000000001</v>
      </c>
      <c r="N55" s="92" t="str">
        <f>VLOOKUP(C55,'Trips&amp;Operators'!$C$1:$E$99999,3,FALSE)</f>
        <v>COOPER</v>
      </c>
      <c r="O55" s="121" t="s">
        <v>86</v>
      </c>
      <c r="P55" s="10"/>
      <c r="Q55" s="33"/>
      <c r="R55" s="108" t="str">
        <f>VLOOKUP(C55,'Train Runs'!$A$13:$AE$10008,31,0)</f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S55" s="111" t="str">
        <f>VLOOKUP(C55,'Train Runs'!$A$13:$AE$10008,22,0)</f>
        <v>https://search-rtdc-monitor-bjffxe2xuh6vdkpspy63sjmuny.us-east-1.es.amazonaws.com/_plugin/kibana/#/discover/Steve-Slow-Train-Analysis-(2080s-and-2083s)?_g=(refreshInterval:(display:Off,section:0,value:0),time:(from:'2016-09-08 19:38:10-0600',mode:absolute,to:'2016-09-08 21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55" s="113" t="str">
        <f t="shared" si="8"/>
        <v>"C:\Program Files (x86)\AstroGrep\AstroGrep.exe" /spath="%USERPROFILE%\AppData\Local\Temp\OnboardLogs" /stypes="*4001*201609090*" /stext=" 02:.+((SYSTEM_STATE.+slice.+state.+changed )|(ment ac)|(system.+state.+changed )|(\|lc)|(penalty)|(\[timeout)|(PRM\|1\|D)|(kpr)|(kdp))" /e /r /s</v>
      </c>
      <c r="U55" s="9" t="str">
        <f t="shared" si="9"/>
        <v>4001</v>
      </c>
      <c r="V55" s="38">
        <f t="shared" si="10"/>
        <v>42622.119143518517</v>
      </c>
      <c r="W55" s="52" t="str">
        <f t="shared" si="11"/>
        <v>NW</v>
      </c>
      <c r="X55" s="52" t="str">
        <f t="shared" si="12"/>
        <v>KEEP</v>
      </c>
      <c r="Y55" s="137" t="str">
        <f t="shared" si="13"/>
        <v>echo {"issue":{"subject":"","project_id":79,"tracker_id":40,"status_id":1,"priority_id":2,"assigned_to_id":23,"start_date":"2016-09-08","description":"","custom_fields":[{"id":1,"name":"Subdivision","value":"NW"},{"id":4,"name":"Milepost","value":"1.1"},{"id":17,"name":"Train ID","value":"842-08"},{"id":16,"name":"Locomotive ID","value":"4001"},{"id":130,"name":"Impact","value":""},{"id":150,"name":"Time of Event (Mountain Time)","value":"20:51:34"},{"id":151,"name":"Denver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5"/>
      <c r="AA55" s="55"/>
      <c r="AB55" s="55"/>
    </row>
    <row r="56" spans="1:28" x14ac:dyDescent="0.25">
      <c r="A56" s="38">
        <v>42621.666724537034</v>
      </c>
      <c r="B56" s="33" t="s">
        <v>182</v>
      </c>
      <c r="C56" s="33" t="s">
        <v>486</v>
      </c>
      <c r="D56" s="33" t="s">
        <v>49</v>
      </c>
      <c r="E56" s="33" t="s">
        <v>50</v>
      </c>
      <c r="F56" s="49">
        <v>0</v>
      </c>
      <c r="G56" s="49">
        <v>55</v>
      </c>
      <c r="H56" s="49">
        <v>755</v>
      </c>
      <c r="I56" s="49">
        <v>727</v>
      </c>
      <c r="J56" s="33" t="s">
        <v>51</v>
      </c>
      <c r="K56" s="49">
        <v>575</v>
      </c>
      <c r="L56" s="154" t="s">
        <v>53</v>
      </c>
      <c r="M56" s="157">
        <f t="shared" si="14"/>
        <v>80.256</v>
      </c>
      <c r="N56" s="92" t="str">
        <f>VLOOKUP(C56,'Trips&amp;Operators'!$C$1:$E$99999,3,FALSE)</f>
        <v>COOPER</v>
      </c>
      <c r="O56" s="121" t="s">
        <v>86</v>
      </c>
      <c r="P56" s="10"/>
      <c r="Q56" s="33"/>
      <c r="R56" s="108" t="str">
        <f>VLOOKUP(C56,'Train Runs'!$A$13:$AE$10008,31,0)</f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S56" s="111" t="str">
        <f>VLOOKUP(C56,'Train Runs'!$A$13:$AE$10008,22,0)</f>
        <v>https://search-rtdc-monitor-bjffxe2xuh6vdkpspy63sjmuny.us-east-1.es.amazonaws.com/_plugin/kibana/#/discover/Steve-Slow-Train-Analysis-(2080s-and-2083s)?_g=(refreshInterval:(display:Off,section:0,value:0),time:(from:'2016-09-08 14:41:10-0600',mode:absolute,to:'2016-09-08 17:00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56" s="113" t="str">
        <f t="shared" si="8"/>
        <v>"C:\Program Files (x86)\AstroGrep\AstroGrep.exe" /spath="%USERPROFILE%\AppData\Local\Temp\OnboardLogs" /stypes="*4001*201609082*" /stext=" 22:.+((SYSTEM_STATE.+slice.+state.+changed )|(ment ac)|(system.+state.+changed )|(\|lc)|(penalty)|(\[timeout)|(PRM\|1\|D)|(kpr)|(kdp))" /e /r /s</v>
      </c>
      <c r="U56" s="9" t="str">
        <f t="shared" si="9"/>
        <v>4001</v>
      </c>
      <c r="V56" s="38">
        <f t="shared" si="10"/>
        <v>42621.916724537034</v>
      </c>
      <c r="W56" s="52" t="str">
        <f t="shared" si="11"/>
        <v>NW</v>
      </c>
      <c r="X56" s="52" t="str">
        <f t="shared" si="12"/>
        <v>KEEP</v>
      </c>
      <c r="Y56" s="137" t="str">
        <f t="shared" si="13"/>
        <v>echo {"issue":{"subject":"","project_id":79,"tracker_id":40,"status_id":1,"priority_id":2,"assigned_to_id":23,"start_date":"2016-09-08","description":"","custom_fields":[{"id":1,"name":"Subdivision","value":"NW"},{"id":4,"name":"Milepost","value":"0.0575"},{"id":17,"name":"Train ID","value":"826-08"},{"id":16,"name":"Locomotive ID","value":"4001"},{"id":130,"name":"Impact","value":""},{"id":150,"name":"Time of Event (Mountain Time)","value":"16:00:05"},{"id":151,"name":"Denver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5"/>
      <c r="AA56" s="55"/>
      <c r="AB56" s="55"/>
    </row>
    <row r="57" spans="1:28" x14ac:dyDescent="0.25">
      <c r="A57" s="38">
        <v>42621.706736111111</v>
      </c>
      <c r="B57" s="33" t="s">
        <v>182</v>
      </c>
      <c r="C57" s="33" t="s">
        <v>491</v>
      </c>
      <c r="D57" s="33" t="s">
        <v>49</v>
      </c>
      <c r="E57" s="33" t="s">
        <v>50</v>
      </c>
      <c r="F57" s="49">
        <v>0</v>
      </c>
      <c r="G57" s="49">
        <v>90</v>
      </c>
      <c r="H57" s="49">
        <v>913</v>
      </c>
      <c r="I57" s="49">
        <v>827</v>
      </c>
      <c r="J57" s="33" t="s">
        <v>51</v>
      </c>
      <c r="K57" s="49">
        <v>575</v>
      </c>
      <c r="L57" s="154" t="s">
        <v>53</v>
      </c>
      <c r="M57" s="157">
        <f t="shared" si="14"/>
        <v>133.05600000000001</v>
      </c>
      <c r="N57" s="92" t="str">
        <f>VLOOKUP(C57,'Trips&amp;Operators'!$C$1:$E$99999,3,FALSE)</f>
        <v>COOPER</v>
      </c>
      <c r="O57" s="121" t="s">
        <v>86</v>
      </c>
      <c r="P57" s="10"/>
      <c r="Q57" s="33"/>
      <c r="R57" s="108" t="str">
        <f>VLOOKUP(C57,'Train Runs'!$A$13:$AE$10008,31,0)</f>
        <v>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 &amp; aws s3 cp s3://rtdc.mdm.uploadarchive/RTDC4001/2016-09-09/ "%USERPROFILE%\AppData\Local\Temp\OnboardLogs"\RTDC4001\2016-09-09 --recursive &amp; "%USERPROFILE%\Documents\GitHub\mrs-test-scripts\Headless Mode &amp; Sideloading\WalkAndUnGZ.bat" "%USERPROFILE%\AppData\Local\Temp\OnboardLogs"\RTDC4001\2016-09-09</v>
      </c>
      <c r="S57" s="111" t="str">
        <f>VLOOKUP(C57,'Train Runs'!$A$13:$AE$10008,22,0)</f>
        <v>https://search-rtdc-monitor-bjffxe2xuh6vdkpspy63sjmuny.us-east-1.es.amazonaws.com/_plugin/kibana/#/discover/Steve-Slow-Train-Analysis-(2080s-and-2083s)?_g=(refreshInterval:(display:Off,section:0,value:0),time:(from:'2016-09-08 15:40:52-0600',mode:absolute,to:'2016-09-08 17:57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57" s="113" t="str">
        <f t="shared" si="8"/>
        <v>"C:\Program Files (x86)\AstroGrep\AstroGrep.exe" /spath="%USERPROFILE%\AppData\Local\Temp\OnboardLogs" /stypes="*4001*201609082*" /stext=" 22:.+((SYSTEM_STATE.+slice.+state.+changed )|(ment ac)|(system.+state.+changed )|(\|lc)|(penalty)|(\[timeout)|(PRM\|1\|D)|(kpr)|(kdp))" /e /r /s</v>
      </c>
      <c r="U57" s="9" t="str">
        <f t="shared" si="9"/>
        <v>4001</v>
      </c>
      <c r="V57" s="38">
        <f t="shared" si="10"/>
        <v>42621.956736111111</v>
      </c>
      <c r="W57" s="52" t="str">
        <f t="shared" si="11"/>
        <v>NW</v>
      </c>
      <c r="X57" s="52" t="str">
        <f t="shared" si="12"/>
        <v>KEEP</v>
      </c>
      <c r="Y57" s="137" t="str">
        <f t="shared" si="13"/>
        <v>echo {"issue":{"subject":"","project_id":79,"tracker_id":40,"status_id":1,"priority_id":2,"assigned_to_id":23,"start_date":"2016-09-08","description":"","custom_fields":[{"id":1,"name":"Subdivision","value":"NW"},{"id":4,"name":"Milepost","value":"0.0575"},{"id":17,"name":"Train ID","value":"830-08"},{"id":16,"name":"Locomotive ID","value":"4001"},{"id":130,"name":"Impact","value":""},{"id":150,"name":"Time of Event (Mountain Time)","value":"16:57:42"},{"id":151,"name":"Denver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5"/>
      <c r="AA57" s="55"/>
      <c r="AB57" s="55"/>
    </row>
    <row r="58" spans="1:28" x14ac:dyDescent="0.25">
      <c r="A58" s="38">
        <v>42621.315983796296</v>
      </c>
      <c r="B58" s="33" t="s">
        <v>135</v>
      </c>
      <c r="C58" s="33" t="s">
        <v>441</v>
      </c>
      <c r="D58" s="33" t="s">
        <v>49</v>
      </c>
      <c r="E58" s="33" t="s">
        <v>50</v>
      </c>
      <c r="F58" s="49">
        <v>0</v>
      </c>
      <c r="G58" s="49">
        <v>13</v>
      </c>
      <c r="H58" s="49">
        <v>59024</v>
      </c>
      <c r="I58" s="49">
        <v>59028</v>
      </c>
      <c r="J58" s="33" t="s">
        <v>51</v>
      </c>
      <c r="K58" s="49">
        <v>59058</v>
      </c>
      <c r="L58" s="154" t="s">
        <v>52</v>
      </c>
      <c r="M58" s="157">
        <f t="shared" si="14"/>
        <v>15.84</v>
      </c>
      <c r="N58" s="92" t="str">
        <f>VLOOKUP(C58,'Trips&amp;Operators'!$C$1:$E$99999,3,FALSE)</f>
        <v>BRANDNER</v>
      </c>
      <c r="O58" s="121" t="s">
        <v>86</v>
      </c>
      <c r="P58" s="10"/>
      <c r="Q58" s="33"/>
      <c r="R58" s="108" t="str">
        <f>VLOOKUP(C58,'Train Runs'!$A$13:$AE$10008,31,0)</f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S58" s="111" t="str">
        <f>VLOOKUP(C58,'Train Runs'!$A$13:$AE$10008,22,0)</f>
        <v>https://search-rtdc-monitor-bjffxe2xuh6vdkpspy63sjmuny.us-east-1.es.amazonaws.com/_plugin/kibana/#/discover/Steve-Slow-Train-Analysis-(2080s-and-2083s)?_g=(refreshInterval:(display:Off,section:0,value:0),time:(from:'2016-09-08 06:17:03-0600',mode:absolute,to:'2016-09-08 08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58" s="113" t="str">
        <f t="shared" si="8"/>
        <v>"C:\Program Files (x86)\AstroGrep\AstroGrep.exe" /spath="%USERPROFILE%\AppData\Local\Temp\OnboardLogs" /stypes="*4002*201609081*" /stext=" 13:.+((SYSTEM_STATE.+slice.+state.+changed )|(ment ac)|(system.+state.+changed )|(\|lc)|(penalty)|(\[timeout)|(PRM\|1\|D)|(kpr)|(kdp))" /e /r /s</v>
      </c>
      <c r="U58" s="9" t="str">
        <f t="shared" si="9"/>
        <v>4002</v>
      </c>
      <c r="V58" s="38">
        <f t="shared" si="10"/>
        <v>42621.565983796296</v>
      </c>
      <c r="W58" s="52" t="str">
        <f t="shared" si="11"/>
        <v>NW</v>
      </c>
      <c r="X58" s="52" t="str">
        <f t="shared" si="12"/>
        <v>KEEP</v>
      </c>
      <c r="Y58" s="137" t="str">
        <f t="shared" si="13"/>
        <v>echo {"issue":{"subject":"","project_id":79,"tracker_id":40,"status_id":1,"priority_id":2,"assigned_to_id":23,"start_date":"2016-09-08","description":"","custom_fields":[{"id":1,"name":"Subdivision","value":"NW"},{"id":4,"name":"Milepost","value":"5.9058"},{"id":17,"name":"Train ID","value":"807-08"},{"id":16,"name":"Locomotive ID","value":"4002"},{"id":130,"name":"Impact","value":""},{"id":150,"name":"Time of Event (Mountain Time)","value":"07:35:01"},{"id":151,"name":"Denver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5"/>
      <c r="AA58" s="55"/>
      <c r="AB58" s="55"/>
    </row>
    <row r="59" spans="1:28" x14ac:dyDescent="0.25">
      <c r="A59" s="38">
        <v>42621.3359837963</v>
      </c>
      <c r="B59" s="33" t="s">
        <v>132</v>
      </c>
      <c r="C59" s="33" t="s">
        <v>447</v>
      </c>
      <c r="D59" s="33" t="s">
        <v>49</v>
      </c>
      <c r="E59" s="33" t="s">
        <v>50</v>
      </c>
      <c r="F59" s="49">
        <v>0</v>
      </c>
      <c r="G59" s="49">
        <v>45</v>
      </c>
      <c r="H59" s="49">
        <v>58943</v>
      </c>
      <c r="I59" s="49">
        <v>58975</v>
      </c>
      <c r="J59" s="33" t="s">
        <v>51</v>
      </c>
      <c r="K59" s="49">
        <v>59058</v>
      </c>
      <c r="L59" s="154" t="s">
        <v>52</v>
      </c>
      <c r="M59" s="157">
        <f t="shared" si="14"/>
        <v>43.823999999999998</v>
      </c>
      <c r="N59" s="92" t="str">
        <f>VLOOKUP(C59,'Trips&amp;Operators'!$C$1:$E$99999,3,FALSE)</f>
        <v>YORK</v>
      </c>
      <c r="O59" s="121" t="s">
        <v>86</v>
      </c>
      <c r="P59" s="10"/>
      <c r="Q59" s="33"/>
      <c r="R59" s="108" t="str">
        <f>VLOOKUP(C59,'Train Runs'!$A$13:$AE$10008,31,0)</f>
        <v>aws s3 cp s3://rtdc.mdm.uploadarchive/RTDC4038/2016-09-08/ "%USERPROFILE%\AppData\Local\Temp\OnboardLogs"\RTDC4038\2016-09-08 --recursive &amp; "%USERPROFILE%\Documents\GitHub\mrs-test-scripts\Headless Mode &amp; Sideloading\WalkAndUnGZ.bat" "%USERPROFILE%\AppData\Local\Temp\OnboardLogs"\RTDC4038\2016-09-08 &amp; 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</v>
      </c>
      <c r="S59" s="111" t="str">
        <f>VLOOKUP(C59,'Train Runs'!$A$13:$AE$10008,22,0)</f>
        <v>https://search-rtdc-monitor-bjffxe2xuh6vdkpspy63sjmuny.us-east-1.es.amazonaws.com/_plugin/kibana/#/discover/Steve-Slow-Train-Analysis-(2080s-and-2083s)?_g=(refreshInterval:(display:Off,section:0,value:0),time:(from:'2016-09-08 06:26:25-0600',mode:absolute,to:'2016-09-08 09:03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T59" s="113" t="str">
        <f t="shared" si="8"/>
        <v>"C:\Program Files (x86)\AstroGrep\AstroGrep.exe" /spath="%USERPROFILE%\AppData\Local\Temp\OnboardLogs" /stypes="*4038*201609081*" /stext=" 14:.+((SYSTEM_STATE.+slice.+state.+changed )|(ment ac)|(system.+state.+changed )|(\|lc)|(penalty)|(\[timeout)|(PRM\|1\|D)|(kpr)|(kdp))" /e /r /s</v>
      </c>
      <c r="U59" s="9" t="str">
        <f t="shared" si="9"/>
        <v>4038</v>
      </c>
      <c r="V59" s="38">
        <f t="shared" si="10"/>
        <v>42621.5859837963</v>
      </c>
      <c r="W59" s="52" t="str">
        <f t="shared" si="11"/>
        <v>NW</v>
      </c>
      <c r="X59" s="52" t="str">
        <f t="shared" si="12"/>
        <v>KEEP</v>
      </c>
      <c r="Y59" s="137" t="str">
        <f t="shared" si="13"/>
        <v>echo {"issue":{"subject":"","project_id":79,"tracker_id":40,"status_id":1,"priority_id":2,"assigned_to_id":23,"start_date":"2016-09-08","description":"","custom_fields":[{"id":1,"name":"Subdivision","value":"NW"},{"id":4,"name":"Milepost","value":"5.9058"},{"id":17,"name":"Train ID","value":"809-08"},{"id":16,"name":"Locomotive ID","value":"4038"},{"id":130,"name":"Impact","value":""},{"id":150,"name":"Time of Event (Mountain Time)","value":"08:03:49"},{"id":151,"name":"Denver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5"/>
      <c r="AA59" s="55"/>
      <c r="AB59" s="55"/>
    </row>
    <row r="60" spans="1:28" x14ac:dyDescent="0.25">
      <c r="A60" s="38">
        <v>42621.441284722219</v>
      </c>
      <c r="B60" s="33" t="s">
        <v>135</v>
      </c>
      <c r="C60" s="33" t="s">
        <v>463</v>
      </c>
      <c r="D60" s="33" t="s">
        <v>49</v>
      </c>
      <c r="E60" s="33" t="s">
        <v>50</v>
      </c>
      <c r="F60" s="49">
        <v>0</v>
      </c>
      <c r="G60" s="49">
        <v>12</v>
      </c>
      <c r="H60" s="49">
        <v>59026</v>
      </c>
      <c r="I60" s="49">
        <v>59030</v>
      </c>
      <c r="J60" s="33" t="s">
        <v>51</v>
      </c>
      <c r="K60" s="49">
        <v>59058</v>
      </c>
      <c r="L60" s="154" t="s">
        <v>52</v>
      </c>
      <c r="M60" s="157">
        <f t="shared" si="14"/>
        <v>14.784000000000001</v>
      </c>
      <c r="N60" s="92" t="str">
        <f>VLOOKUP(C60,'Trips&amp;Operators'!$C$1:$E$99999,3,FALSE)</f>
        <v>BRANDNER</v>
      </c>
      <c r="O60" s="121" t="s">
        <v>86</v>
      </c>
      <c r="P60" s="10"/>
      <c r="Q60" s="33"/>
      <c r="R60" s="108" t="str">
        <f>VLOOKUP(C60,'Train Runs'!$A$13:$AE$10008,31,0)</f>
        <v>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 &amp; aws s3 cp s3://rtdc.mdm.uploadarchive/RTDC4002/2016-09-09/ "%USERPROFILE%\AppData\Local\Temp\OnboardLogs"\RTDC4002\2016-09-09 --recursive &amp; "%USERPROFILE%\Documents\GitHub\mrs-test-scripts\Headless Mode &amp; Sideloading\WalkAndUnGZ.bat" "%USERPROFILE%\AppData\Local\Temp\OnboardLogs"\RTDC4002\2016-09-09</v>
      </c>
      <c r="S60" s="111" t="str">
        <f>VLOOKUP(C60,'Train Runs'!$A$13:$AE$10008,22,0)</f>
        <v>https://search-rtdc-monitor-bjffxe2xuh6vdkpspy63sjmuny.us-east-1.es.amazonaws.com/_plugin/kibana/#/discover/Steve-Slow-Train-Analysis-(2080s-and-2083s)?_g=(refreshInterval:(display:Off,section:0,value:0),time:(from:'2016-09-08 09:18:26-0600',mode:absolute,to:'2016-09-08 11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60" s="113" t="str">
        <f t="shared" si="8"/>
        <v>"C:\Program Files (x86)\AstroGrep\AstroGrep.exe" /spath="%USERPROFILE%\AppData\Local\Temp\OnboardLogs" /stypes="*4002*201609081*" /stext=" 16:.+((SYSTEM_STATE.+slice.+state.+changed )|(ment ac)|(system.+state.+changed )|(\|lc)|(penalty)|(\[timeout)|(PRM\|1\|D)|(kpr)|(kdp))" /e /r /s</v>
      </c>
      <c r="U60" s="9" t="str">
        <f t="shared" si="9"/>
        <v>4002</v>
      </c>
      <c r="V60" s="38">
        <f t="shared" si="10"/>
        <v>42621.691284722219</v>
      </c>
      <c r="W60" s="52" t="str">
        <f t="shared" si="11"/>
        <v>NW</v>
      </c>
      <c r="X60" s="52" t="str">
        <f t="shared" si="12"/>
        <v>KEEP</v>
      </c>
      <c r="Y60" s="137" t="str">
        <f t="shared" si="13"/>
        <v>echo {"issue":{"subject":"","project_id":79,"tracker_id":40,"status_id":1,"priority_id":2,"assigned_to_id":23,"start_date":"2016-09-08","description":"","custom_fields":[{"id":1,"name":"Subdivision","value":"NW"},{"id":4,"name":"Milepost","value":"5.9058"},{"id":17,"name":"Train ID","value":"815-08"},{"id":16,"name":"Locomotive ID","value":"4002"},{"id":130,"name":"Impact","value":""},{"id":150,"name":"Time of Event (Mountain Time)","value":"10:35:27"},{"id":151,"name":"Denver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5"/>
      <c r="AA60" s="55"/>
      <c r="AB60" s="55"/>
    </row>
    <row r="61" spans="1:28" x14ac:dyDescent="0.25">
      <c r="A61" s="38">
        <v>42621.436273148145</v>
      </c>
      <c r="B61" s="33" t="s">
        <v>482</v>
      </c>
      <c r="C61" s="33" t="s">
        <v>417</v>
      </c>
      <c r="D61" s="33" t="s">
        <v>49</v>
      </c>
      <c r="E61" s="33" t="s">
        <v>54</v>
      </c>
      <c r="F61" s="49">
        <v>0</v>
      </c>
      <c r="G61" s="49">
        <v>83</v>
      </c>
      <c r="H61" s="49">
        <v>24309</v>
      </c>
      <c r="I61" s="49">
        <v>24184</v>
      </c>
      <c r="J61" s="33" t="s">
        <v>55</v>
      </c>
      <c r="K61" s="49">
        <v>24235</v>
      </c>
      <c r="L61" s="154" t="s">
        <v>53</v>
      </c>
      <c r="M61" s="157">
        <f t="shared" si="14"/>
        <v>-26.928000000000001</v>
      </c>
      <c r="N61" s="92" t="str">
        <f>VLOOKUP(C61,'Trips&amp;Operators'!$C$1:$E$99999,3,FALSE)</f>
        <v>BONDS</v>
      </c>
      <c r="O61" s="121" t="s">
        <v>86</v>
      </c>
      <c r="P61" s="10"/>
      <c r="Q61" s="33"/>
      <c r="R61" s="108" t="str">
        <f>VLOOKUP(C61,'Train Runs'!$A$13:$AE$10008,31,0)</f>
        <v>aws s3 cp s3://rtdc.mdm.uploadarchive/RTDC4021/2016-09-08/ "%USERPROFILE%\AppData\Local\Temp\OnboardLogs"\RTDC4021\2016-09-08 --recursive &amp; "%USERPROFILE%\Documents\GitHub\mrs-test-scripts\Headless Mode &amp; Sideloading\WalkAndUnGZ.bat" "%USERPROFILE%\AppData\Local\Temp\OnboardLogs"\RTDC4021\2016-09-08 &amp; aws s3 cp s3://rtdc.mdm.uploadarchive/RTDC4021/2016-09-09/ "%USERPROFILE%\AppData\Local\Temp\OnboardLogs"\RTDC4021\2016-09-09 --recursive &amp; "%USERPROFILE%\Documents\GitHub\mrs-test-scripts\Headless Mode &amp; Sideloading\WalkAndUnGZ.bat" "%USERPROFILE%\AppData\Local\Temp\OnboardLogs"\RTDC4021\2016-09-09</v>
      </c>
      <c r="S61" s="111" t="str">
        <f>VLOOKUP(C61,'Train Runs'!$A$13:$AE$10008,22,0)</f>
        <v>https://search-rtdc-monitor-bjffxe2xuh6vdkpspy63sjmuny.us-east-1.es.amazonaws.com/_plugin/kibana/#/discover/Steve-Slow-Train-Analysis-(2080s-and-2083s)?_g=(refreshInterval:(display:Off,section:0,value:0),time:(from:'2016-09-08 09:24:22-0600',mode:absolute,to:'2016-09-08 11:28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T61" s="113" t="str">
        <f t="shared" si="8"/>
        <v>"C:\Program Files (x86)\AstroGrep\AstroGrep.exe" /spath="%USERPROFILE%\AppData\Local\Temp\OnboardLogs" /stypes="*4021*201609081*" /stext=" 16:.+((SYSTEM_STATE.+slice.+state.+changed )|(ment ac)|(system.+state.+changed )|(\|lc)|(penalty)|(\[timeout)|(PRM\|1\|D)|(kpr)|(kdp))" /e /r /s</v>
      </c>
      <c r="U61" s="9" t="str">
        <f t="shared" si="9"/>
        <v>4021</v>
      </c>
      <c r="V61" s="38">
        <f t="shared" si="10"/>
        <v>42621.686273148145</v>
      </c>
      <c r="W61" s="52" t="str">
        <f t="shared" si="11"/>
        <v>Other</v>
      </c>
      <c r="X61" s="52" t="str">
        <f t="shared" si="12"/>
        <v>KEEP</v>
      </c>
      <c r="Y61" s="137" t="str">
        <f t="shared" si="13"/>
        <v>echo {"issue":{"subject":"","project_id":79,"tracker_id":40,"status_id":1,"priority_id":2,"assigned_to_id":23,"start_date":"2016-09-08","description":"","custom_fields":[{"id":1,"name":"Subdivision","value":"Other"},{"id":4,"name":"Milepost","value":"2.4235"},{"id":17,"name":"Train ID","value":"50-08"},{"id":16,"name":"Locomotive ID","value":"4021"},{"id":130,"name":"Impact","value":""},{"id":150,"name":"Time of Event (Mountain Time)","value":"10:28:14"},{"id":151,"name":"Denver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55"/>
      <c r="AA61" s="55"/>
      <c r="AB61" s="55"/>
    </row>
    <row r="62" spans="1:28" x14ac:dyDescent="0.25">
      <c r="A62" s="38">
        <v>42621.736805555556</v>
      </c>
      <c r="B62" s="33" t="s">
        <v>90</v>
      </c>
      <c r="C62" s="33" t="s">
        <v>495</v>
      </c>
      <c r="D62" s="33" t="s">
        <v>107</v>
      </c>
      <c r="E62" s="33" t="s">
        <v>54</v>
      </c>
      <c r="F62" s="49">
        <v>0</v>
      </c>
      <c r="G62" s="49">
        <v>90</v>
      </c>
      <c r="H62" s="49">
        <v>24101</v>
      </c>
      <c r="I62" s="49">
        <v>23970</v>
      </c>
      <c r="J62" s="33" t="s">
        <v>55</v>
      </c>
      <c r="K62" s="49">
        <v>24235</v>
      </c>
      <c r="L62" s="154" t="s">
        <v>53</v>
      </c>
      <c r="M62" s="157">
        <f t="shared" si="14"/>
        <v>-139.91999999999999</v>
      </c>
      <c r="N62" s="92" t="str">
        <f>VLOOKUP(C62,'Trips&amp;Operators'!$C$1:$E$99999,3,FALSE)</f>
        <v>OUN</v>
      </c>
      <c r="O62" s="121" t="s">
        <v>86</v>
      </c>
      <c r="P62" s="10"/>
      <c r="Q62" s="33"/>
      <c r="R62" s="108" t="str">
        <f>VLOOKUP(C62,'Train Runs'!$A$13:$AE$10008,31,0)</f>
        <v>aws s3 cp s3://rtdc.mdm.uploadarchive/RTDC4030/1969-12-31/ "%USERPROFILE%\AppData\Local\Temp\OnboardLogs"\RTDC4030\1969-12-31 --recursive &amp; "%USERPROFILE%\Documents\GitHub\mrs-test-scripts\Headless Mode &amp; Sideloading\WalkAndUnGZ.bat" "%USERPROFILE%\AppData\Local\Temp\OnboardLogs"\RTDC4030\1969-12-31 &amp; aws s3 cp s3://rtdc.mdm.uploadarchive/RTDC4030/1970-01-01/ "%USERPROFILE%\AppData\Local\Temp\OnboardLogs"\RTDC4030\1970-01-01 --recursive &amp; "%USERPROFILE%\Documents\GitHub\mrs-test-scripts\Headless Mode &amp; Sideloading\WalkAndUnGZ.bat" "%USERPROFILE%\AppData\Local\Temp\OnboardLogs"\RTDC4030\1970-01-01</v>
      </c>
      <c r="S62" s="111" t="str">
        <f>VLOOKUP(C62,'Train Runs'!$A$13:$AE$10008,22,0)</f>
        <v>https://search-rtdc-monitor-bjffxe2xuh6vdkpspy63sjmuny.us-east-1.es.amazonaws.com/_plugin/kibana/#/discover/Steve-Slow-Train-Analysis-(2080s-and-2083s)?_g=(refreshInterval:(display:Off,section:0,value:0),time:(from:'2016-09-08 16:37:49-0600',mode:absolute,to:'1970-01-01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62" s="113" t="str">
        <f t="shared" si="8"/>
        <v>"C:\Program Files (x86)\AstroGrep\AstroGrep.exe" /spath="%USERPROFILE%\AppData\Local\Temp\OnboardLogs" /stypes="*4030*201609082*" /stext=" 23:.+((SYSTEM_STATE.+slice.+state.+changed )|(ment ac)|(system.+state.+changed )|(\|lc)|(penalty)|(\[timeout)|(PRM\|1\|D)|(kpr)|(kdp))" /e /r /s</v>
      </c>
      <c r="U62" s="9" t="str">
        <f t="shared" si="9"/>
        <v>4030</v>
      </c>
      <c r="V62" s="38">
        <f t="shared" si="10"/>
        <v>42621.986805555556</v>
      </c>
      <c r="W62" s="52" t="str">
        <f t="shared" si="11"/>
        <v>Other</v>
      </c>
      <c r="X62" s="52" t="str">
        <f t="shared" si="12"/>
        <v>KEEP</v>
      </c>
      <c r="Y62" s="137" t="str">
        <f t="shared" si="13"/>
        <v>echo {"issue":{"subject":"","project_id":79,"tracker_id":40,"status_id":1,"priority_id":2,"assigned_to_id":23,"start_date":"2016-09-08","description":"","custom_fields":[{"id":1,"name":"Subdivision","value":"Other"},{"id":4,"name":"Milepost","value":"2.4235"},{"id":17,"name":"Train ID","value":"64-08"},{"id":16,"name":"Locomotive ID","value":"4030"},{"id":130,"name":"Impact","value":""},{"id":150,"name":"Time of Event (Mountain Time)","value":"17:41:00"},{"id":151,"name":"Denver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55"/>
      <c r="AA62" s="55"/>
      <c r="AB62" s="55"/>
    </row>
    <row r="63" spans="1:28" x14ac:dyDescent="0.25">
      <c r="A63" s="38">
        <v>42621.710127314815</v>
      </c>
      <c r="B63" s="33" t="s">
        <v>137</v>
      </c>
      <c r="C63" s="33" t="s">
        <v>492</v>
      </c>
      <c r="D63" s="33" t="s">
        <v>49</v>
      </c>
      <c r="E63" s="33" t="s">
        <v>50</v>
      </c>
      <c r="F63" s="49">
        <v>0</v>
      </c>
      <c r="G63" s="49">
        <v>49</v>
      </c>
      <c r="H63" s="49">
        <v>978</v>
      </c>
      <c r="I63" s="49">
        <v>947</v>
      </c>
      <c r="J63" s="33" t="s">
        <v>51</v>
      </c>
      <c r="K63" s="49">
        <v>826</v>
      </c>
      <c r="L63" s="154" t="s">
        <v>53</v>
      </c>
      <c r="M63" s="157">
        <f t="shared" si="14"/>
        <v>63.887999999999998</v>
      </c>
      <c r="N63" s="92" t="str">
        <f>VLOOKUP(C63,'Trips&amp;Operators'!$C$1:$E$99999,3,FALSE)</f>
        <v>LEVERE</v>
      </c>
      <c r="O63" s="121" t="s">
        <v>86</v>
      </c>
      <c r="P63" s="10"/>
      <c r="Q63" s="33"/>
      <c r="R63" s="108" t="str">
        <f>VLOOKUP(C63,'Train Runs'!$A$13:$AE$10008,31,0)</f>
        <v>aws s3 cp s3://rtdc.mdm.uploadarchive/RTDC4004/2016-09-08/ "%USERPROFILE%\AppData\Local\Temp\OnboardLogs"\RTDC4004\2016-09-08 --recursive &amp; "%USERPROFILE%\Documents\GitHub\mrs-test-scripts\Headless Mode &amp; Sideloading\WalkAndUnGZ.bat" "%USERPROFILE%\AppData\Local\Temp\OnboardLogs"\RTDC4004\2016-09-08 &amp; aws s3 cp s3://rtdc.mdm.uploadarchive/RTDC4004/2016-09-09/ "%USERPROFILE%\AppData\Local\Temp\OnboardLogs"\RTDC4004\2016-09-09 --recursive &amp; "%USERPROFILE%\Documents\GitHub\mrs-test-scripts\Headless Mode &amp; Sideloading\WalkAndUnGZ.bat" "%USERPROFILE%\AppData\Local\Temp\OnboardLogs"\RTDC4004\2016-09-09</v>
      </c>
      <c r="S63" s="111" t="str">
        <f>VLOOKUP(C63,'Train Runs'!$A$13:$AE$10008,22,0)</f>
        <v>https://search-rtdc-monitor-bjffxe2xuh6vdkpspy63sjmuny.us-east-1.es.amazonaws.com/_plugin/kibana/#/discover/Steve-Slow-Train-Analysis-(2080s-and-2083s)?_g=(refreshInterval:(display:Off,section:0,value:0),time:(from:'2016-09-08 15:50:41-0600',mode:absolute,to:'2016-09-08 18:02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63" s="113" t="str">
        <f t="shared" si="8"/>
        <v>"C:\Program Files (x86)\AstroGrep\AstroGrep.exe" /spath="%USERPROFILE%\AppData\Local\Temp\OnboardLogs" /stypes="*4004*201609082*" /stext=" 23:.+((SYSTEM_STATE.+slice.+state.+changed )|(ment ac)|(system.+state.+changed )|(\|lc)|(penalty)|(\[timeout)|(PRM\|1\|D)|(kpr)|(kdp))" /e /r /s</v>
      </c>
      <c r="U63" s="9" t="str">
        <f t="shared" si="9"/>
        <v>4004</v>
      </c>
      <c r="V63" s="38">
        <f t="shared" si="10"/>
        <v>42621.960127314815</v>
      </c>
      <c r="W63" s="52" t="str">
        <f t="shared" si="11"/>
        <v>Other</v>
      </c>
      <c r="X63" s="52" t="str">
        <f t="shared" si="12"/>
        <v>KEEP</v>
      </c>
      <c r="Y63" s="137" t="str">
        <f t="shared" si="13"/>
        <v>echo {"issue":{"subject":"","project_id":79,"tracker_id":40,"status_id":1,"priority_id":2,"assigned_to_id":23,"start_date":"2016-09-08","description":"","custom_fields":[{"id":1,"name":"Subdivision","value":"Other"},{"id":4,"name":"Milepost","value":"0.0826"},{"id":17,"name":"Train ID","value":"62-08"},{"id":16,"name":"Locomotive ID","value":"4004"},{"id":130,"name":"Impact","value":""},{"id":150,"name":"Time of Event (Mountain Time)","value":"17:02:35"},{"id":151,"name":"Denver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55"/>
      <c r="AA63" s="55"/>
      <c r="AB63" s="55"/>
    </row>
    <row r="64" spans="1:28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54"/>
      <c r="M64" s="157"/>
      <c r="N64" s="92"/>
      <c r="O64" s="121"/>
      <c r="P64" s="10"/>
      <c r="Q64" s="33"/>
      <c r="R64" s="108"/>
      <c r="S64" s="111"/>
      <c r="T64" s="113"/>
      <c r="U64" s="9"/>
      <c r="V64" s="38"/>
      <c r="W64" s="52"/>
      <c r="X64" s="52"/>
      <c r="Y64" s="137"/>
      <c r="Z64" s="55"/>
      <c r="AA64" s="55"/>
      <c r="AB64" s="55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54"/>
      <c r="M65" s="157"/>
      <c r="N65" s="92"/>
      <c r="O65" s="121"/>
      <c r="P65" s="10"/>
      <c r="Q65" s="33"/>
      <c r="R65" s="108"/>
      <c r="S65" s="111"/>
      <c r="T65" s="113"/>
      <c r="U65" s="9"/>
      <c r="V65" s="38"/>
      <c r="W65" s="52"/>
      <c r="X65" s="52"/>
      <c r="Y65" s="137"/>
      <c r="Z65" s="55"/>
      <c r="AA65" s="55"/>
      <c r="AB65" s="55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54"/>
      <c r="M66" s="157"/>
      <c r="N66" s="92"/>
      <c r="O66" s="121"/>
      <c r="P66" s="10"/>
      <c r="Q66" s="33"/>
      <c r="R66" s="108"/>
      <c r="S66" s="111"/>
      <c r="T66" s="113"/>
      <c r="U66" s="9"/>
      <c r="V66" s="38"/>
      <c r="W66" s="52"/>
      <c r="X66" s="52"/>
      <c r="Y66" s="137"/>
      <c r="Z66" s="55"/>
      <c r="AA66" s="55"/>
      <c r="AB66" s="55"/>
    </row>
    <row r="67" spans="1:28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54"/>
      <c r="M67" s="157"/>
      <c r="N67" s="92"/>
      <c r="O67" s="121"/>
      <c r="P67" s="10"/>
      <c r="Q67" s="33"/>
      <c r="R67" s="108"/>
      <c r="S67" s="111"/>
      <c r="T67" s="113"/>
      <c r="U67" s="9"/>
      <c r="V67" s="38"/>
      <c r="W67" s="52"/>
      <c r="X67" s="52"/>
      <c r="Y67" s="137"/>
      <c r="Z67" s="55"/>
      <c r="AA67" s="55"/>
      <c r="AB67" s="55"/>
    </row>
    <row r="68" spans="1:28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54"/>
      <c r="M68" s="157"/>
      <c r="N68" s="92"/>
      <c r="O68" s="121"/>
      <c r="P68" s="10"/>
      <c r="Q68" s="33"/>
      <c r="R68" s="108"/>
      <c r="S68" s="111"/>
      <c r="T68" s="113"/>
      <c r="U68" s="9"/>
      <c r="V68" s="38"/>
      <c r="W68" s="52"/>
      <c r="X68" s="52"/>
      <c r="Y68" s="137"/>
      <c r="Z68" s="55"/>
      <c r="AA68" s="55"/>
      <c r="AB68" s="55"/>
    </row>
    <row r="69" spans="1:28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54"/>
      <c r="M69" s="157"/>
      <c r="N69" s="92"/>
      <c r="O69" s="121"/>
      <c r="P69" s="10"/>
      <c r="Q69" s="33"/>
      <c r="R69" s="108"/>
      <c r="S69" s="111"/>
      <c r="T69" s="113"/>
      <c r="U69" s="9"/>
      <c r="V69" s="38"/>
      <c r="W69" s="52"/>
      <c r="X69" s="52"/>
      <c r="Y69" s="137"/>
      <c r="Z69" s="55"/>
      <c r="AA69" s="55"/>
      <c r="AB69" s="55"/>
    </row>
    <row r="70" spans="1:28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54"/>
      <c r="M70" s="157"/>
      <c r="N70" s="92"/>
      <c r="O70" s="121"/>
      <c r="P70" s="10"/>
      <c r="Q70" s="33"/>
      <c r="R70" s="108"/>
      <c r="S70" s="111"/>
      <c r="T70" s="113"/>
      <c r="U70" s="9"/>
      <c r="V70" s="38"/>
      <c r="W70" s="52"/>
      <c r="X70" s="52"/>
      <c r="Y70" s="137"/>
      <c r="Z70" s="55"/>
      <c r="AA70" s="55"/>
      <c r="AB70" s="55"/>
    </row>
    <row r="71" spans="1:28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54"/>
      <c r="M71" s="157"/>
      <c r="N71" s="92"/>
      <c r="O71" s="121"/>
      <c r="P71" s="10"/>
      <c r="Q71" s="33"/>
      <c r="R71" s="108"/>
      <c r="S71" s="111"/>
      <c r="T71" s="113"/>
      <c r="U71" s="9"/>
      <c r="V71" s="38"/>
      <c r="W71" s="52"/>
      <c r="X71" s="52"/>
      <c r="Y71" s="137"/>
      <c r="Z71" s="55"/>
      <c r="AA71" s="55"/>
      <c r="AB71" s="55"/>
    </row>
    <row r="72" spans="1:28" x14ac:dyDescent="0.25">
      <c r="B72" s="23"/>
      <c r="C72" s="23"/>
      <c r="D72" s="23"/>
      <c r="E72" s="23"/>
      <c r="J72" s="23"/>
    </row>
  </sheetData>
  <autoFilter ref="A6:AB67"/>
  <sortState ref="A7:X83">
    <sortCondition ref="W7:W83"/>
    <sortCondition ref="E7:E83"/>
    <sortCondition ref="K7:K83"/>
    <sortCondition ref="C7:C83"/>
    <sortCondition ref="F7:F83"/>
  </sortState>
  <mergeCells count="1">
    <mergeCell ref="A5:O5"/>
  </mergeCells>
  <conditionalFormatting sqref="O6:P6 R6 O7:O1048576">
    <cfRule type="cellIs" dxfId="50" priority="14" operator="equal">
      <formula>"Y"</formula>
    </cfRule>
  </conditionalFormatting>
  <conditionalFormatting sqref="A7:P71">
    <cfRule type="expression" dxfId="49" priority="7">
      <formula>$O7="Y"</formula>
    </cfRule>
  </conditionalFormatting>
  <conditionalFormatting sqref="O2:O3">
    <cfRule type="cellIs" dxfId="48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AB7:AB52</xm:sqref>
        </x14:dataValidation>
        <x14:dataValidation type="list" allowBlank="1" showInputMessage="1" showErrorMessage="1">
          <x14:formula1>
            <xm:f>'Redmine List Values'!$A$2:$A$7</xm:f>
          </x14:formula1>
          <xm:sqref>AA7:AA52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57"/>
  <sheetViews>
    <sheetView workbookViewId="0">
      <selection activeCell="I4" sqref="I4"/>
    </sheetView>
  </sheetViews>
  <sheetFormatPr defaultRowHeight="15" x14ac:dyDescent="0.25"/>
  <cols>
    <col min="1" max="1" width="9.140625" style="165"/>
    <col min="2" max="2" width="9.140625" style="2" customWidth="1"/>
    <col min="3" max="3" width="8" style="120" bestFit="1" customWidth="1"/>
    <col min="4" max="4" width="9.85546875" style="116" bestFit="1" customWidth="1"/>
    <col min="5" max="5" width="45.140625" bestFit="1" customWidth="1"/>
    <col min="6" max="6" width="18.140625" customWidth="1"/>
    <col min="7" max="7" width="17" customWidth="1"/>
    <col min="8" max="8" width="14.140625" customWidth="1"/>
    <col min="9" max="10" width="9.140625" customWidth="1"/>
  </cols>
  <sheetData>
    <row r="1" spans="1:11" s="23" customFormat="1" x14ac:dyDescent="0.25">
      <c r="A1" s="165"/>
      <c r="B1" s="176" t="str">
        <f>"Trips that did not appear in PTC Data "&amp;TEXT(Variables!$A$2,"YYYY-mm-dd")</f>
        <v>Trips that did not appear in PTC Data 2016-09-08</v>
      </c>
      <c r="C1" s="176"/>
      <c r="D1" s="176"/>
      <c r="E1" s="176"/>
      <c r="F1" s="176"/>
    </row>
    <row r="2" spans="1:11" s="26" customFormat="1" ht="45" x14ac:dyDescent="0.25">
      <c r="A2" s="174" t="s">
        <v>179</v>
      </c>
      <c r="B2" s="128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117</v>
      </c>
    </row>
    <row r="3" spans="1:11" x14ac:dyDescent="0.25">
      <c r="B3" s="2" t="str">
        <f>A3&amp;"-"&amp;IF(DAY(Variables!$A$2)&lt;10,0,"")&amp;DAY(Variables!$A$2)</f>
        <v>-08</v>
      </c>
      <c r="C3" s="119"/>
      <c r="D3" s="11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-08%22)),sort:!(Time,asc))</v>
      </c>
      <c r="J3" s="23"/>
      <c r="K3" s="23"/>
    </row>
    <row r="4" spans="1:11" x14ac:dyDescent="0.25">
      <c r="C4" s="114"/>
      <c r="D4" s="114"/>
      <c r="I4" s="23"/>
      <c r="J4" s="23"/>
      <c r="K4" s="23"/>
    </row>
    <row r="5" spans="1:11" x14ac:dyDescent="0.25">
      <c r="C5" s="114"/>
      <c r="D5" s="114"/>
      <c r="I5" s="23"/>
      <c r="J5" s="23"/>
      <c r="K5" s="23"/>
    </row>
    <row r="6" spans="1:11" x14ac:dyDescent="0.25">
      <c r="C6" s="114"/>
      <c r="D6" s="114"/>
      <c r="I6" s="23"/>
      <c r="J6" s="23"/>
      <c r="K6" s="23"/>
    </row>
    <row r="7" spans="1:11" x14ac:dyDescent="0.25">
      <c r="C7" s="114"/>
      <c r="D7" s="114"/>
      <c r="I7" s="23"/>
      <c r="J7" s="23"/>
      <c r="K7" s="23"/>
    </row>
    <row r="8" spans="1:11" x14ac:dyDescent="0.25">
      <c r="C8" s="114"/>
      <c r="D8" s="114"/>
      <c r="I8" s="23"/>
      <c r="J8" s="23"/>
      <c r="K8" s="23"/>
    </row>
    <row r="9" spans="1:11" x14ac:dyDescent="0.25">
      <c r="C9" s="114"/>
      <c r="D9" s="114"/>
      <c r="I9" s="23"/>
      <c r="J9" s="23"/>
      <c r="K9" s="23"/>
    </row>
    <row r="10" spans="1:11" x14ac:dyDescent="0.25">
      <c r="C10" s="114"/>
      <c r="D10" s="114"/>
      <c r="I10" s="23"/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C35" s="114"/>
      <c r="D35" s="114"/>
      <c r="I35" s="23"/>
      <c r="J35" s="23"/>
      <c r="K35" s="23"/>
    </row>
    <row r="36" spans="3:11" x14ac:dyDescent="0.25">
      <c r="C36" s="114"/>
      <c r="D36" s="114"/>
      <c r="I36" s="23"/>
      <c r="J36" s="23"/>
      <c r="K36" s="23"/>
    </row>
    <row r="37" spans="3:11" x14ac:dyDescent="0.25">
      <c r="C37" s="114"/>
      <c r="D37" s="114"/>
      <c r="I37" s="23"/>
      <c r="J37" s="23"/>
      <c r="K37" s="23"/>
    </row>
    <row r="38" spans="3:11" x14ac:dyDescent="0.25">
      <c r="C38" s="114"/>
      <c r="D38" s="114"/>
      <c r="I38" s="23"/>
      <c r="J38" s="23"/>
      <c r="K38" s="23"/>
    </row>
    <row r="39" spans="3:11" x14ac:dyDescent="0.25">
      <c r="C39" s="114"/>
      <c r="D39" s="114"/>
      <c r="I39" s="23"/>
      <c r="J39" s="23"/>
      <c r="K39" s="23"/>
    </row>
    <row r="40" spans="3:11" x14ac:dyDescent="0.25">
      <c r="C40" s="114"/>
      <c r="D40" s="114"/>
      <c r="I40" s="23"/>
      <c r="J40" s="23"/>
      <c r="K40" s="23"/>
    </row>
    <row r="41" spans="3:11" x14ac:dyDescent="0.25">
      <c r="C41" s="114"/>
      <c r="D41" s="114"/>
      <c r="I41" s="23"/>
      <c r="J41" s="23"/>
      <c r="K41" s="23"/>
    </row>
    <row r="42" spans="3:11" x14ac:dyDescent="0.25">
      <c r="C42" s="114"/>
      <c r="D42" s="114"/>
      <c r="I42" s="23"/>
      <c r="J42" s="23"/>
      <c r="K42" s="23"/>
    </row>
    <row r="43" spans="3:11" x14ac:dyDescent="0.25">
      <c r="C43" s="114"/>
      <c r="D43" s="114"/>
      <c r="I43" s="23"/>
      <c r="J43" s="23"/>
      <c r="K43" s="23"/>
    </row>
    <row r="44" spans="3:11" x14ac:dyDescent="0.25">
      <c r="C44" s="114"/>
      <c r="D44" s="114"/>
      <c r="I44" s="23"/>
      <c r="J44" s="23"/>
      <c r="K44" s="23"/>
    </row>
    <row r="45" spans="3:11" x14ac:dyDescent="0.25">
      <c r="C45" s="114"/>
      <c r="D45" s="114"/>
      <c r="I45" s="23"/>
      <c r="J45" s="23"/>
      <c r="K45" s="23"/>
    </row>
    <row r="46" spans="3:11" x14ac:dyDescent="0.25">
      <c r="C46" s="114"/>
      <c r="D46" s="114"/>
      <c r="I46" s="23"/>
      <c r="J46" s="23"/>
      <c r="K46" s="23"/>
    </row>
    <row r="47" spans="3:11" x14ac:dyDescent="0.25">
      <c r="C47" s="114"/>
      <c r="D47" s="114"/>
      <c r="I47" s="23"/>
      <c r="J47" s="23"/>
      <c r="K47" s="23"/>
    </row>
    <row r="48" spans="3:11" x14ac:dyDescent="0.25">
      <c r="C48" s="114"/>
      <c r="D48" s="114"/>
      <c r="I48" s="23"/>
      <c r="J48" s="23"/>
      <c r="K48" s="23"/>
    </row>
    <row r="49" spans="3:11" x14ac:dyDescent="0.25">
      <c r="C49" s="114"/>
      <c r="D49" s="114"/>
      <c r="I49" s="23"/>
      <c r="J49" s="23"/>
      <c r="K49" s="23"/>
    </row>
    <row r="50" spans="3:11" x14ac:dyDescent="0.25">
      <c r="C50" s="114"/>
      <c r="D50" s="114"/>
      <c r="I50" s="23"/>
      <c r="J50" s="23"/>
      <c r="K50" s="23"/>
    </row>
    <row r="51" spans="3:11" x14ac:dyDescent="0.25">
      <c r="C51" s="114"/>
      <c r="D51" s="114"/>
      <c r="I51" s="23"/>
      <c r="J51" s="23"/>
      <c r="K51" s="23"/>
    </row>
    <row r="52" spans="3:11" x14ac:dyDescent="0.25">
      <c r="C52" s="114"/>
      <c r="D52" s="114"/>
      <c r="I52" s="23"/>
      <c r="J52" s="23"/>
      <c r="K52" s="23"/>
    </row>
    <row r="53" spans="3:11" x14ac:dyDescent="0.25">
      <c r="C53" s="114"/>
      <c r="D53" s="114"/>
      <c r="I53" s="23"/>
      <c r="J53" s="23"/>
      <c r="K53" s="23"/>
    </row>
    <row r="54" spans="3:11" x14ac:dyDescent="0.25">
      <c r="C54" s="114"/>
      <c r="D54" s="114"/>
      <c r="I54" s="23"/>
      <c r="J54" s="23"/>
      <c r="K54" s="23"/>
    </row>
    <row r="55" spans="3:11" x14ac:dyDescent="0.25">
      <c r="C55" s="114"/>
      <c r="D55" s="114"/>
      <c r="I55" s="23"/>
      <c r="J55" s="23"/>
      <c r="K55" s="23"/>
    </row>
    <row r="56" spans="3:11" x14ac:dyDescent="0.25">
      <c r="C56" s="114"/>
      <c r="D56" s="114"/>
      <c r="I56" s="23"/>
      <c r="J56" s="23"/>
      <c r="K56" s="23"/>
    </row>
    <row r="57" spans="3:11" x14ac:dyDescent="0.25">
      <c r="I57" s="23"/>
      <c r="J57" s="23"/>
      <c r="K57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196</v>
      </c>
      <c r="B1" s="23" t="s">
        <v>197</v>
      </c>
      <c r="C1" s="23" t="s">
        <v>0</v>
      </c>
      <c r="D1" s="23" t="s">
        <v>198</v>
      </c>
      <c r="E1" s="23" t="s">
        <v>199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42621.032002314816</v>
      </c>
      <c r="B2" s="23" t="s">
        <v>134</v>
      </c>
      <c r="C2" s="23" t="s">
        <v>230</v>
      </c>
      <c r="D2" s="23">
        <v>2260000</v>
      </c>
      <c r="E2" s="23" t="s">
        <v>138</v>
      </c>
      <c r="F2" s="23" t="str">
        <f t="shared" ref="F2:F65" si="0">B2</f>
        <v>rtdc.l.rtdc.4009:itc</v>
      </c>
      <c r="G2" s="8">
        <f t="shared" ref="G2:G65" si="1">A2</f>
        <v>42621.032002314816</v>
      </c>
    </row>
    <row r="3" spans="1:7" x14ac:dyDescent="0.25">
      <c r="A3" s="8">
        <v>42621.036562499998</v>
      </c>
      <c r="B3" s="23" t="s">
        <v>192</v>
      </c>
      <c r="C3" s="23" t="s">
        <v>232</v>
      </c>
      <c r="D3" s="23">
        <v>630000</v>
      </c>
      <c r="E3" s="23" t="b">
        <v>1</v>
      </c>
      <c r="F3" s="23" t="str">
        <f t="shared" si="0"/>
        <v>rtdc.l.rtdc.4051:itc</v>
      </c>
      <c r="G3" s="8">
        <f t="shared" si="1"/>
        <v>42621.036562499998</v>
      </c>
    </row>
    <row r="4" spans="1:7" x14ac:dyDescent="0.25">
      <c r="A4" s="8">
        <v>42621.049062500002</v>
      </c>
      <c r="B4" s="23" t="s">
        <v>187</v>
      </c>
      <c r="C4" s="23" t="s">
        <v>228</v>
      </c>
      <c r="D4" s="23">
        <v>2000000</v>
      </c>
      <c r="E4" s="23" t="s">
        <v>127</v>
      </c>
      <c r="F4" s="23" t="str">
        <f t="shared" si="0"/>
        <v>rtdc.l.rtdc.4025:itc</v>
      </c>
      <c r="G4" s="8">
        <f t="shared" si="1"/>
        <v>42621.049062500002</v>
      </c>
    </row>
    <row r="5" spans="1:7" x14ac:dyDescent="0.25">
      <c r="A5" s="8">
        <v>42621.055185185185</v>
      </c>
      <c r="B5" s="23" t="s">
        <v>201</v>
      </c>
      <c r="C5" s="23" t="s">
        <v>233</v>
      </c>
      <c r="D5" s="23">
        <v>1290000</v>
      </c>
      <c r="E5" s="23" t="s">
        <v>190</v>
      </c>
      <c r="F5" s="23" t="str">
        <f t="shared" si="0"/>
        <v>rtdc.l.rtdc.4041:itc</v>
      </c>
      <c r="G5" s="8">
        <f t="shared" si="1"/>
        <v>42621.055185185185</v>
      </c>
    </row>
    <row r="6" spans="1:7" x14ac:dyDescent="0.25">
      <c r="A6" s="8">
        <v>42621.056435185186</v>
      </c>
      <c r="B6" s="23" t="s">
        <v>195</v>
      </c>
      <c r="C6" s="23" t="s">
        <v>234</v>
      </c>
      <c r="D6" s="23">
        <v>630000</v>
      </c>
      <c r="E6" s="23" t="b">
        <v>1</v>
      </c>
      <c r="F6" s="23" t="str">
        <f t="shared" si="0"/>
        <v>rtdc.l.rtdc.4052:itc</v>
      </c>
      <c r="G6" s="8">
        <f t="shared" si="1"/>
        <v>42621.056435185186</v>
      </c>
    </row>
    <row r="7" spans="1:7" x14ac:dyDescent="0.25">
      <c r="A7" s="8">
        <v>42621.076898148145</v>
      </c>
      <c r="B7" s="23" t="s">
        <v>192</v>
      </c>
      <c r="C7" s="23" t="s">
        <v>232</v>
      </c>
      <c r="D7" s="23">
        <v>630000</v>
      </c>
      <c r="E7" s="23" t="b">
        <v>1</v>
      </c>
      <c r="F7" s="23" t="str">
        <f t="shared" si="0"/>
        <v>rtdc.l.rtdc.4051:itc</v>
      </c>
      <c r="G7" s="8">
        <f t="shared" si="1"/>
        <v>42621.076898148145</v>
      </c>
    </row>
    <row r="8" spans="1:7" x14ac:dyDescent="0.25">
      <c r="A8" s="8">
        <v>42621.091458333336</v>
      </c>
      <c r="B8" s="23" t="s">
        <v>213</v>
      </c>
      <c r="C8" s="23" t="s">
        <v>235</v>
      </c>
      <c r="D8" s="23">
        <v>1290000</v>
      </c>
      <c r="E8" s="23" t="s">
        <v>190</v>
      </c>
      <c r="F8" s="23" t="str">
        <f t="shared" si="0"/>
        <v>rtdc.l.rtdc.4046:itc</v>
      </c>
      <c r="G8" s="8">
        <f t="shared" si="1"/>
        <v>42621.091458333336</v>
      </c>
    </row>
    <row r="9" spans="1:7" ht="15.75" thickBot="1" x14ac:dyDescent="0.3">
      <c r="A9" s="27">
        <v>42621.100474537037</v>
      </c>
      <c r="B9" s="23" t="s">
        <v>195</v>
      </c>
      <c r="C9" s="23" t="s">
        <v>234</v>
      </c>
      <c r="D9" s="23">
        <v>630000</v>
      </c>
      <c r="E9" s="23" t="b">
        <v>1</v>
      </c>
      <c r="F9" s="23" t="str">
        <f t="shared" si="0"/>
        <v>rtdc.l.rtdc.4052:itc</v>
      </c>
      <c r="G9" s="8">
        <f t="shared" si="1"/>
        <v>42621.100474537037</v>
      </c>
    </row>
    <row r="10" spans="1:7" x14ac:dyDescent="0.25">
      <c r="A10" s="8">
        <v>42621.118900462963</v>
      </c>
      <c r="B10" s="23" t="s">
        <v>192</v>
      </c>
      <c r="C10" s="23" t="s">
        <v>232</v>
      </c>
      <c r="D10" s="23">
        <v>630000</v>
      </c>
      <c r="E10" s="23" t="b">
        <v>1</v>
      </c>
      <c r="F10" s="23" t="str">
        <f t="shared" si="0"/>
        <v>rtdc.l.rtdc.4051:itc</v>
      </c>
      <c r="G10" s="8">
        <f t="shared" si="1"/>
        <v>42621.118900462963</v>
      </c>
    </row>
    <row r="11" spans="1:7" x14ac:dyDescent="0.25">
      <c r="A11" s="8">
        <v>42621.133125</v>
      </c>
      <c r="B11" s="23" t="s">
        <v>478</v>
      </c>
      <c r="C11" s="23" t="s">
        <v>261</v>
      </c>
      <c r="D11" s="23">
        <v>2010000</v>
      </c>
      <c r="E11" s="23" t="s">
        <v>211</v>
      </c>
      <c r="F11" s="23" t="str">
        <f t="shared" si="0"/>
        <v>rtdc.l.rtdc.4018:itc</v>
      </c>
      <c r="G11" s="8">
        <f t="shared" si="1"/>
        <v>42621.133125</v>
      </c>
    </row>
    <row r="12" spans="1:7" x14ac:dyDescent="0.25">
      <c r="A12" s="8">
        <v>42621.136053240742</v>
      </c>
      <c r="B12" s="23" t="s">
        <v>195</v>
      </c>
      <c r="C12" s="23" t="s">
        <v>234</v>
      </c>
      <c r="D12" s="23">
        <v>630000</v>
      </c>
      <c r="E12" s="23" t="b">
        <v>1</v>
      </c>
      <c r="F12" s="23" t="str">
        <f t="shared" si="0"/>
        <v>rtdc.l.rtdc.4052:itc</v>
      </c>
      <c r="G12" s="8">
        <f t="shared" si="1"/>
        <v>42621.136053240742</v>
      </c>
    </row>
    <row r="13" spans="1:7" x14ac:dyDescent="0.25">
      <c r="A13" s="8">
        <v>42621.150312500002</v>
      </c>
      <c r="B13" s="23" t="s">
        <v>477</v>
      </c>
      <c r="C13" s="23" t="s">
        <v>267</v>
      </c>
      <c r="D13" s="23">
        <v>1360000</v>
      </c>
      <c r="E13" s="23" t="s">
        <v>203</v>
      </c>
      <c r="F13" s="23" t="str">
        <f t="shared" si="0"/>
        <v>rtdc.l.rtdc.4016:itc</v>
      </c>
      <c r="G13" s="8">
        <f t="shared" si="1"/>
        <v>42621.150312500002</v>
      </c>
    </row>
    <row r="14" spans="1:7" x14ac:dyDescent="0.25">
      <c r="A14" s="8">
        <v>42621.169675925928</v>
      </c>
      <c r="B14" s="23" t="s">
        <v>181</v>
      </c>
      <c r="C14" s="23" t="s">
        <v>264</v>
      </c>
      <c r="D14" s="23">
        <v>2010000</v>
      </c>
      <c r="E14" s="23" t="s">
        <v>211</v>
      </c>
      <c r="F14" s="23" t="str">
        <f t="shared" si="0"/>
        <v>rtdc.l.rtdc.4043:itc</v>
      </c>
      <c r="G14" s="8">
        <f t="shared" si="1"/>
        <v>42621.169675925928</v>
      </c>
    </row>
    <row r="15" spans="1:7" x14ac:dyDescent="0.25">
      <c r="A15" s="8">
        <v>42621.175312500003</v>
      </c>
      <c r="B15" s="23" t="s">
        <v>110</v>
      </c>
      <c r="C15" s="23" t="s">
        <v>273</v>
      </c>
      <c r="D15" s="23">
        <v>1310000</v>
      </c>
      <c r="E15" s="23" t="s">
        <v>731</v>
      </c>
      <c r="F15" s="23" t="str">
        <f t="shared" si="0"/>
        <v>rtdc.l.rtdc.4031:itc</v>
      </c>
      <c r="G15" s="8">
        <f t="shared" si="1"/>
        <v>42621.175312500003</v>
      </c>
    </row>
    <row r="16" spans="1:7" x14ac:dyDescent="0.25">
      <c r="A16" s="8">
        <v>42621.183958333335</v>
      </c>
      <c r="B16" s="23" t="s">
        <v>108</v>
      </c>
      <c r="C16" s="23" t="s">
        <v>279</v>
      </c>
      <c r="D16" s="23">
        <v>1760000</v>
      </c>
      <c r="E16" s="23" t="s">
        <v>215</v>
      </c>
      <c r="F16" s="23" t="str">
        <f t="shared" si="0"/>
        <v>rtdc.l.rtdc.4014:itc</v>
      </c>
      <c r="G16" s="8">
        <f t="shared" si="1"/>
        <v>42621.183958333335</v>
      </c>
    </row>
    <row r="17" spans="1:7" x14ac:dyDescent="0.25">
      <c r="A17" s="8">
        <v>42621.184270833335</v>
      </c>
      <c r="B17" s="23" t="s">
        <v>191</v>
      </c>
      <c r="C17" s="23" t="s">
        <v>270</v>
      </c>
      <c r="D17" s="23">
        <v>1360000</v>
      </c>
      <c r="E17" s="23" t="s">
        <v>203</v>
      </c>
      <c r="F17" s="23" t="str">
        <f t="shared" si="0"/>
        <v>rtdc.l.rtdc.4012:itc</v>
      </c>
      <c r="G17" s="8">
        <f t="shared" si="1"/>
        <v>42621.184270833335</v>
      </c>
    </row>
    <row r="18" spans="1:7" x14ac:dyDescent="0.25">
      <c r="A18" s="8">
        <v>42621.195069444446</v>
      </c>
      <c r="B18" s="23" t="s">
        <v>134</v>
      </c>
      <c r="C18" s="23" t="s">
        <v>284</v>
      </c>
      <c r="D18" s="23">
        <v>2340000</v>
      </c>
      <c r="E18" s="23" t="s">
        <v>732</v>
      </c>
      <c r="F18" s="23" t="str">
        <f t="shared" si="0"/>
        <v>rtdc.l.rtdc.4009:itc</v>
      </c>
      <c r="G18" s="8">
        <f t="shared" si="1"/>
        <v>42621.195069444446</v>
      </c>
    </row>
    <row r="19" spans="1:7" x14ac:dyDescent="0.25">
      <c r="A19" s="8">
        <v>42621.204479166663</v>
      </c>
      <c r="B19" s="23" t="s">
        <v>478</v>
      </c>
      <c r="C19" s="23" t="s">
        <v>289</v>
      </c>
      <c r="D19" s="23">
        <v>1110000</v>
      </c>
      <c r="E19" s="23" t="s">
        <v>188</v>
      </c>
      <c r="F19" s="23" t="str">
        <f t="shared" si="0"/>
        <v>rtdc.l.rtdc.4018:itc</v>
      </c>
      <c r="G19" s="8">
        <f t="shared" si="1"/>
        <v>42621.204479166663</v>
      </c>
    </row>
    <row r="20" spans="1:7" x14ac:dyDescent="0.25">
      <c r="A20" s="8">
        <v>42621.208171296297</v>
      </c>
      <c r="B20" s="23" t="s">
        <v>478</v>
      </c>
      <c r="C20" s="23" t="s">
        <v>289</v>
      </c>
      <c r="D20" s="23">
        <v>1110000</v>
      </c>
      <c r="E20" s="23" t="s">
        <v>188</v>
      </c>
      <c r="F20" s="23" t="str">
        <f t="shared" si="0"/>
        <v>rtdc.l.rtdc.4018:itc</v>
      </c>
      <c r="G20" s="8">
        <f t="shared" si="1"/>
        <v>42621.208171296297</v>
      </c>
    </row>
    <row r="21" spans="1:7" x14ac:dyDescent="0.25">
      <c r="A21" s="8">
        <v>42621.209131944444</v>
      </c>
      <c r="B21" s="23" t="s">
        <v>481</v>
      </c>
      <c r="C21" s="23" t="s">
        <v>420</v>
      </c>
      <c r="D21" s="23">
        <v>1830000</v>
      </c>
      <c r="E21" s="23" t="s">
        <v>733</v>
      </c>
      <c r="F21" s="23" t="str">
        <f t="shared" si="0"/>
        <v>rtdc.l.rtdc.4037:itc</v>
      </c>
      <c r="G21" s="8">
        <f t="shared" si="1"/>
        <v>42621.209131944444</v>
      </c>
    </row>
    <row r="22" spans="1:7" x14ac:dyDescent="0.25">
      <c r="A22" s="29">
        <v>42621.212951388887</v>
      </c>
      <c r="B22" s="23" t="s">
        <v>183</v>
      </c>
      <c r="C22" s="23" t="s">
        <v>296</v>
      </c>
      <c r="D22" s="23">
        <v>2010000</v>
      </c>
      <c r="E22" s="23" t="s">
        <v>211</v>
      </c>
      <c r="F22" s="23" t="str">
        <f t="shared" si="0"/>
        <v>rtdc.l.rtdc.4044:itc</v>
      </c>
      <c r="G22" s="8">
        <f t="shared" si="1"/>
        <v>42621.212951388887</v>
      </c>
    </row>
    <row r="23" spans="1:7" x14ac:dyDescent="0.25">
      <c r="A23" s="8">
        <v>42621.215821759259</v>
      </c>
      <c r="B23" s="23" t="s">
        <v>498</v>
      </c>
      <c r="C23" s="23" t="s">
        <v>276</v>
      </c>
      <c r="D23" s="23">
        <v>1310000</v>
      </c>
      <c r="E23" s="23" t="s">
        <v>731</v>
      </c>
      <c r="F23" s="23" t="str">
        <f t="shared" si="0"/>
        <v>rtdc.l.rtdc.4039:itc</v>
      </c>
      <c r="G23" s="8">
        <f t="shared" si="1"/>
        <v>42621.215821759259</v>
      </c>
    </row>
    <row r="24" spans="1:7" x14ac:dyDescent="0.25">
      <c r="A24" s="8">
        <v>42621.225208333337</v>
      </c>
      <c r="B24" s="23" t="s">
        <v>89</v>
      </c>
      <c r="C24" s="23" t="s">
        <v>281</v>
      </c>
      <c r="D24" s="23">
        <v>1760000</v>
      </c>
      <c r="E24" s="23" t="s">
        <v>215</v>
      </c>
      <c r="F24" s="23" t="str">
        <f t="shared" si="0"/>
        <v>rtdc.l.rtdc.4013:itc</v>
      </c>
      <c r="G24" s="8">
        <f t="shared" si="1"/>
        <v>42621.225208333337</v>
      </c>
    </row>
    <row r="25" spans="1:7" x14ac:dyDescent="0.25">
      <c r="A25" s="8">
        <v>42621.225740740738</v>
      </c>
      <c r="B25" s="23" t="s">
        <v>477</v>
      </c>
      <c r="C25" s="23" t="s">
        <v>301</v>
      </c>
      <c r="D25" s="23">
        <v>1190000</v>
      </c>
      <c r="E25" s="23" t="s">
        <v>193</v>
      </c>
      <c r="F25" s="23" t="str">
        <f t="shared" si="0"/>
        <v>rtdc.l.rtdc.4016:itc</v>
      </c>
      <c r="G25" s="8">
        <f t="shared" si="1"/>
        <v>42621.225740740738</v>
      </c>
    </row>
    <row r="26" spans="1:7" x14ac:dyDescent="0.25">
      <c r="A26" s="8">
        <v>42621.226678240739</v>
      </c>
      <c r="B26" s="23" t="s">
        <v>180</v>
      </c>
      <c r="C26" s="23" t="s">
        <v>307</v>
      </c>
      <c r="D26" s="23">
        <v>1360000</v>
      </c>
      <c r="E26" s="23" t="s">
        <v>203</v>
      </c>
      <c r="F26" s="23" t="str">
        <f t="shared" si="0"/>
        <v>rtdc.l.rtdc.4011:itc</v>
      </c>
      <c r="G26" s="8">
        <f t="shared" si="1"/>
        <v>42621.226678240739</v>
      </c>
    </row>
    <row r="27" spans="1:7" x14ac:dyDescent="0.25">
      <c r="A27" s="8">
        <v>42621.227326388886</v>
      </c>
      <c r="B27" s="23" t="s">
        <v>132</v>
      </c>
      <c r="C27" s="23" t="s">
        <v>423</v>
      </c>
      <c r="D27" s="23">
        <v>1830000</v>
      </c>
      <c r="E27" s="23" t="s">
        <v>733</v>
      </c>
      <c r="F27" s="23" t="str">
        <f t="shared" si="0"/>
        <v>rtdc.l.rtdc.4038:itc</v>
      </c>
      <c r="G27" s="8">
        <f t="shared" si="1"/>
        <v>42621.227326388886</v>
      </c>
    </row>
    <row r="28" spans="1:7" x14ac:dyDescent="0.25">
      <c r="A28" s="8">
        <v>42621.236435185187</v>
      </c>
      <c r="B28" s="23" t="s">
        <v>202</v>
      </c>
      <c r="C28" s="23" t="s">
        <v>286</v>
      </c>
      <c r="D28" s="23">
        <v>2340000</v>
      </c>
      <c r="E28" s="23" t="s">
        <v>732</v>
      </c>
      <c r="F28" s="23" t="str">
        <f t="shared" si="0"/>
        <v>rtdc.l.rtdc.4010:itc</v>
      </c>
      <c r="G28" s="8">
        <f t="shared" si="1"/>
        <v>42621.236435185187</v>
      </c>
    </row>
    <row r="29" spans="1:7" x14ac:dyDescent="0.25">
      <c r="A29" s="8">
        <v>42621.245115740741</v>
      </c>
      <c r="B29" s="23" t="s">
        <v>479</v>
      </c>
      <c r="C29" s="23" t="s">
        <v>293</v>
      </c>
      <c r="D29" s="23">
        <v>1110000</v>
      </c>
      <c r="E29" s="23" t="s">
        <v>188</v>
      </c>
      <c r="F29" s="23" t="str">
        <f t="shared" si="0"/>
        <v>rtdc.l.rtdc.4017:itc</v>
      </c>
      <c r="G29" s="8">
        <f t="shared" si="1"/>
        <v>42621.245115740741</v>
      </c>
    </row>
    <row r="30" spans="1:7" x14ac:dyDescent="0.25">
      <c r="A30" s="8">
        <v>42621.247499999998</v>
      </c>
      <c r="B30" s="23" t="s">
        <v>110</v>
      </c>
      <c r="C30" s="23" t="s">
        <v>311</v>
      </c>
      <c r="D30" s="23">
        <v>1310000</v>
      </c>
      <c r="E30" s="23" t="s">
        <v>731</v>
      </c>
      <c r="F30" s="23" t="str">
        <f t="shared" si="0"/>
        <v>rtdc.l.rtdc.4031:itc</v>
      </c>
      <c r="G30" s="8">
        <f t="shared" si="1"/>
        <v>42621.247499999998</v>
      </c>
    </row>
    <row r="31" spans="1:7" x14ac:dyDescent="0.25">
      <c r="A31" s="8">
        <v>42621.248171296298</v>
      </c>
      <c r="B31" s="23" t="s">
        <v>110</v>
      </c>
      <c r="C31" s="23" t="s">
        <v>311</v>
      </c>
      <c r="D31" s="23">
        <v>1310000</v>
      </c>
      <c r="E31" s="23" t="s">
        <v>731</v>
      </c>
      <c r="F31" s="23" t="str">
        <f t="shared" si="0"/>
        <v>rtdc.l.rtdc.4031:itc</v>
      </c>
      <c r="G31" s="8">
        <f t="shared" si="1"/>
        <v>42621.248171296298</v>
      </c>
    </row>
    <row r="32" spans="1:7" x14ac:dyDescent="0.25">
      <c r="A32" s="8">
        <v>42621.255729166667</v>
      </c>
      <c r="B32" s="23" t="s">
        <v>481</v>
      </c>
      <c r="C32" s="23" t="s">
        <v>426</v>
      </c>
      <c r="D32" s="23">
        <v>1830000</v>
      </c>
      <c r="E32" s="23" t="s">
        <v>733</v>
      </c>
      <c r="F32" s="23" t="str">
        <f t="shared" si="0"/>
        <v>rtdc.l.rtdc.4037:itc</v>
      </c>
      <c r="G32" s="8">
        <f t="shared" si="1"/>
        <v>42621.255729166667</v>
      </c>
    </row>
    <row r="33" spans="1:7" x14ac:dyDescent="0.25">
      <c r="A33" s="8">
        <v>42621.257268518515</v>
      </c>
      <c r="B33" s="23" t="s">
        <v>480</v>
      </c>
      <c r="C33" s="23" t="s">
        <v>304</v>
      </c>
      <c r="D33" s="23">
        <v>1190000</v>
      </c>
      <c r="E33" s="23" t="s">
        <v>193</v>
      </c>
      <c r="F33" s="23" t="str">
        <f t="shared" si="0"/>
        <v>rtdc.l.rtdc.4015:itc</v>
      </c>
      <c r="G33" s="8">
        <f t="shared" si="1"/>
        <v>42621.257268518515</v>
      </c>
    </row>
    <row r="34" spans="1:7" x14ac:dyDescent="0.25">
      <c r="A34" s="8">
        <v>42621.258842592593</v>
      </c>
      <c r="B34" s="23" t="s">
        <v>108</v>
      </c>
      <c r="C34" s="23" t="s">
        <v>317</v>
      </c>
      <c r="D34" s="23">
        <v>1760000</v>
      </c>
      <c r="E34" s="23" t="s">
        <v>215</v>
      </c>
      <c r="F34" s="23" t="str">
        <f t="shared" si="0"/>
        <v>rtdc.l.rtdc.4014:itc</v>
      </c>
      <c r="G34" s="8">
        <f t="shared" si="1"/>
        <v>42621.258842592593</v>
      </c>
    </row>
    <row r="35" spans="1:7" x14ac:dyDescent="0.25">
      <c r="A35" s="8">
        <v>42621.261770833335</v>
      </c>
      <c r="B35" s="23" t="s">
        <v>135</v>
      </c>
      <c r="C35" s="23" t="s">
        <v>429</v>
      </c>
      <c r="D35" s="23">
        <v>2360000</v>
      </c>
      <c r="E35" s="23" t="s">
        <v>734</v>
      </c>
      <c r="F35" s="23" t="str">
        <f t="shared" si="0"/>
        <v>rtdc.l.rtdc.4002:itc</v>
      </c>
      <c r="G35" s="8">
        <f t="shared" si="1"/>
        <v>42621.261770833335</v>
      </c>
    </row>
    <row r="36" spans="1:7" x14ac:dyDescent="0.25">
      <c r="A36" s="8">
        <v>42621.263020833336</v>
      </c>
      <c r="B36" s="23" t="s">
        <v>135</v>
      </c>
      <c r="C36" s="23" t="s">
        <v>429</v>
      </c>
      <c r="D36" s="23">
        <v>2360000</v>
      </c>
      <c r="E36" s="23" t="s">
        <v>734</v>
      </c>
      <c r="F36" s="23" t="str">
        <f t="shared" si="0"/>
        <v>rtdc.l.rtdc.4002:itc</v>
      </c>
      <c r="G36" s="8">
        <f t="shared" si="1"/>
        <v>42621.263020833336</v>
      </c>
    </row>
    <row r="37" spans="1:7" x14ac:dyDescent="0.25">
      <c r="A37" s="8">
        <v>42621.266655092593</v>
      </c>
      <c r="B37" s="23" t="s">
        <v>191</v>
      </c>
      <c r="C37" s="23" t="s">
        <v>309</v>
      </c>
      <c r="D37" s="23">
        <v>1360000</v>
      </c>
      <c r="E37" s="23" t="s">
        <v>203</v>
      </c>
      <c r="F37" s="23" t="str">
        <f t="shared" si="0"/>
        <v>rtdc.l.rtdc.4012:itc</v>
      </c>
      <c r="G37" s="8">
        <f t="shared" si="1"/>
        <v>42621.266655092593</v>
      </c>
    </row>
    <row r="38" spans="1:7" x14ac:dyDescent="0.25">
      <c r="A38" s="8">
        <v>42621.266932870371</v>
      </c>
      <c r="B38" s="23" t="s">
        <v>134</v>
      </c>
      <c r="C38" s="23" t="s">
        <v>323</v>
      </c>
      <c r="D38" s="23">
        <v>2340000</v>
      </c>
      <c r="E38" s="23" t="s">
        <v>732</v>
      </c>
      <c r="F38" s="23" t="str">
        <f t="shared" si="0"/>
        <v>rtdc.l.rtdc.4009:itc</v>
      </c>
      <c r="G38" s="8">
        <f t="shared" si="1"/>
        <v>42621.266932870371</v>
      </c>
    </row>
    <row r="39" spans="1:7" x14ac:dyDescent="0.25">
      <c r="A39" s="8">
        <v>42621.268854166665</v>
      </c>
      <c r="B39" s="23" t="s">
        <v>181</v>
      </c>
      <c r="C39" s="23" t="s">
        <v>299</v>
      </c>
      <c r="D39" s="23">
        <v>2010000</v>
      </c>
      <c r="E39" s="23" t="s">
        <v>211</v>
      </c>
      <c r="F39" s="23" t="str">
        <f t="shared" si="0"/>
        <v>rtdc.l.rtdc.4043:itc</v>
      </c>
      <c r="G39" s="8">
        <f t="shared" si="1"/>
        <v>42621.268854166665</v>
      </c>
    </row>
    <row r="40" spans="1:7" x14ac:dyDescent="0.25">
      <c r="A40" s="8">
        <v>42621.269525462965</v>
      </c>
      <c r="B40" s="28" t="s">
        <v>132</v>
      </c>
      <c r="C40" s="23" t="s">
        <v>435</v>
      </c>
      <c r="D40" s="23">
        <v>1830000</v>
      </c>
      <c r="E40" s="23" t="s">
        <v>733</v>
      </c>
      <c r="F40" s="23" t="str">
        <f t="shared" si="0"/>
        <v>rtdc.l.rtdc.4038:itc</v>
      </c>
      <c r="G40" s="8">
        <f t="shared" si="1"/>
        <v>42621.269525462965</v>
      </c>
    </row>
    <row r="41" spans="1:7" x14ac:dyDescent="0.25">
      <c r="A41" s="8">
        <v>42621.278055555558</v>
      </c>
      <c r="B41" s="23" t="s">
        <v>182</v>
      </c>
      <c r="C41" s="23" t="s">
        <v>432</v>
      </c>
      <c r="D41" s="23">
        <v>2360000</v>
      </c>
      <c r="E41" s="23" t="s">
        <v>734</v>
      </c>
      <c r="F41" s="23" t="str">
        <f t="shared" si="0"/>
        <v>rtdc.l.rtdc.4001:itc</v>
      </c>
      <c r="G41" s="8">
        <f t="shared" si="1"/>
        <v>42621.278055555558</v>
      </c>
    </row>
    <row r="42" spans="1:7" x14ac:dyDescent="0.25">
      <c r="A42" s="8">
        <v>42621.278449074074</v>
      </c>
      <c r="B42" s="23" t="s">
        <v>478</v>
      </c>
      <c r="C42" s="23" t="s">
        <v>328</v>
      </c>
      <c r="D42" s="23">
        <v>1110000</v>
      </c>
      <c r="E42" s="23" t="s">
        <v>188</v>
      </c>
      <c r="F42" s="23" t="str">
        <f t="shared" si="0"/>
        <v>rtdc.l.rtdc.4018:itc</v>
      </c>
      <c r="G42" s="8">
        <f t="shared" si="1"/>
        <v>42621.278449074074</v>
      </c>
    </row>
    <row r="43" spans="1:7" x14ac:dyDescent="0.25">
      <c r="A43" s="8">
        <v>42621.286597222221</v>
      </c>
      <c r="B43" s="23" t="s">
        <v>111</v>
      </c>
      <c r="C43" s="23" t="s">
        <v>314</v>
      </c>
      <c r="D43" s="23">
        <v>1310000</v>
      </c>
      <c r="E43" s="23" t="s">
        <v>731</v>
      </c>
      <c r="F43" s="23" t="str">
        <f t="shared" si="0"/>
        <v>rtdc.l.rtdc.4032:itc</v>
      </c>
      <c r="G43" s="8">
        <f t="shared" si="1"/>
        <v>42621.286597222221</v>
      </c>
    </row>
    <row r="44" spans="1:7" x14ac:dyDescent="0.25">
      <c r="A44" s="8">
        <v>42621.289027777777</v>
      </c>
      <c r="B44" s="23" t="s">
        <v>183</v>
      </c>
      <c r="C44" s="23" t="s">
        <v>332</v>
      </c>
      <c r="D44" s="23">
        <v>2010000</v>
      </c>
      <c r="E44" s="23" t="s">
        <v>211</v>
      </c>
      <c r="F44" s="23" t="str">
        <f t="shared" si="0"/>
        <v>rtdc.l.rtdc.4044:itc</v>
      </c>
      <c r="G44" s="8">
        <f t="shared" si="1"/>
        <v>42621.289027777777</v>
      </c>
    </row>
    <row r="45" spans="1:7" x14ac:dyDescent="0.25">
      <c r="A45" s="8">
        <v>42621.296377314815</v>
      </c>
      <c r="B45" s="23" t="s">
        <v>481</v>
      </c>
      <c r="C45" s="23" t="s">
        <v>438</v>
      </c>
      <c r="D45" s="23">
        <v>1830000</v>
      </c>
      <c r="E45" s="23" t="s">
        <v>733</v>
      </c>
      <c r="F45" s="23" t="str">
        <f t="shared" si="0"/>
        <v>rtdc.l.rtdc.4037:itc</v>
      </c>
      <c r="G45" s="8">
        <f t="shared" si="1"/>
        <v>42621.296377314815</v>
      </c>
    </row>
    <row r="46" spans="1:7" x14ac:dyDescent="0.25">
      <c r="A46" s="8">
        <v>42621.296805555554</v>
      </c>
      <c r="B46" s="23" t="s">
        <v>89</v>
      </c>
      <c r="C46" s="23" t="s">
        <v>320</v>
      </c>
      <c r="D46" s="23">
        <v>1760000</v>
      </c>
      <c r="E46" s="23" t="s">
        <v>215</v>
      </c>
      <c r="F46" s="23" t="str">
        <f t="shared" si="0"/>
        <v>rtdc.l.rtdc.4013:itc</v>
      </c>
      <c r="G46" s="8">
        <f t="shared" si="1"/>
        <v>42621.296805555554</v>
      </c>
    </row>
    <row r="47" spans="1:7" x14ac:dyDescent="0.25">
      <c r="A47" s="8">
        <v>42621.30127314815</v>
      </c>
      <c r="B47" s="23" t="s">
        <v>477</v>
      </c>
      <c r="C47" s="23" t="s">
        <v>337</v>
      </c>
      <c r="D47" s="23">
        <v>1190000</v>
      </c>
      <c r="E47" s="23" t="s">
        <v>193</v>
      </c>
      <c r="F47" s="23" t="str">
        <f t="shared" si="0"/>
        <v>rtdc.l.rtdc.4016:itc</v>
      </c>
      <c r="G47" s="8">
        <f t="shared" si="1"/>
        <v>42621.30127314815</v>
      </c>
    </row>
    <row r="48" spans="1:7" x14ac:dyDescent="0.25">
      <c r="A48" s="8">
        <v>42621.30431712963</v>
      </c>
      <c r="B48" s="23" t="s">
        <v>135</v>
      </c>
      <c r="C48" s="23" t="s">
        <v>441</v>
      </c>
      <c r="D48" s="23">
        <v>2360000</v>
      </c>
      <c r="E48" s="23" t="s">
        <v>734</v>
      </c>
      <c r="F48" s="23" t="str">
        <f t="shared" si="0"/>
        <v>rtdc.l.rtdc.4002:itc</v>
      </c>
      <c r="G48" s="8">
        <f t="shared" si="1"/>
        <v>42621.30431712963</v>
      </c>
    </row>
    <row r="49" spans="1:7" x14ac:dyDescent="0.25">
      <c r="A49" s="8">
        <v>42621.307534722226</v>
      </c>
      <c r="B49" s="23" t="s">
        <v>202</v>
      </c>
      <c r="C49" s="23" t="s">
        <v>326</v>
      </c>
      <c r="D49" s="23">
        <v>2340000</v>
      </c>
      <c r="E49" s="23" t="s">
        <v>732</v>
      </c>
      <c r="F49" s="23" t="str">
        <f t="shared" si="0"/>
        <v>rtdc.l.rtdc.4010:itc</v>
      </c>
      <c r="G49" s="8">
        <f t="shared" si="1"/>
        <v>42621.307534722226</v>
      </c>
    </row>
    <row r="50" spans="1:7" x14ac:dyDescent="0.25">
      <c r="A50" s="8">
        <v>42621.310358796298</v>
      </c>
      <c r="B50" s="23" t="s">
        <v>132</v>
      </c>
      <c r="C50" s="23" t="s">
        <v>447</v>
      </c>
      <c r="D50" s="23">
        <v>1830000</v>
      </c>
      <c r="E50" s="23" t="s">
        <v>733</v>
      </c>
      <c r="F50" s="23" t="str">
        <f t="shared" si="0"/>
        <v>rtdc.l.rtdc.4038:itc</v>
      </c>
      <c r="G50" s="8">
        <f t="shared" si="1"/>
        <v>42621.310358796298</v>
      </c>
    </row>
    <row r="51" spans="1:7" x14ac:dyDescent="0.25">
      <c r="A51" s="8">
        <v>42621.317152777781</v>
      </c>
      <c r="B51" s="23" t="s">
        <v>180</v>
      </c>
      <c r="C51" s="23" t="s">
        <v>342</v>
      </c>
      <c r="D51" s="23">
        <v>1360000</v>
      </c>
      <c r="E51" s="23" t="s">
        <v>203</v>
      </c>
      <c r="F51" s="23" t="str">
        <f t="shared" si="0"/>
        <v>rtdc.l.rtdc.4011:itc</v>
      </c>
      <c r="G51" s="8">
        <f t="shared" si="1"/>
        <v>42621.317152777781</v>
      </c>
    </row>
    <row r="52" spans="1:7" x14ac:dyDescent="0.25">
      <c r="A52" s="8">
        <v>42621.318090277775</v>
      </c>
      <c r="B52" s="23" t="s">
        <v>479</v>
      </c>
      <c r="C52" s="23" t="s">
        <v>330</v>
      </c>
      <c r="D52" s="23">
        <v>1110000</v>
      </c>
      <c r="E52" s="23" t="s">
        <v>188</v>
      </c>
      <c r="F52" s="23" t="str">
        <f t="shared" si="0"/>
        <v>rtdc.l.rtdc.4017:itc</v>
      </c>
      <c r="G52" s="8">
        <f t="shared" si="1"/>
        <v>42621.318090277775</v>
      </c>
    </row>
    <row r="53" spans="1:7" x14ac:dyDescent="0.25">
      <c r="A53" s="8">
        <v>42621.318344907406</v>
      </c>
      <c r="B53" s="23" t="s">
        <v>182</v>
      </c>
      <c r="C53" s="23" t="s">
        <v>444</v>
      </c>
      <c r="D53" s="23">
        <v>2360000</v>
      </c>
      <c r="E53" s="23" t="s">
        <v>734</v>
      </c>
      <c r="F53" s="23" t="str">
        <f t="shared" si="0"/>
        <v>rtdc.l.rtdc.4001:itc</v>
      </c>
      <c r="G53" s="8">
        <f t="shared" si="1"/>
        <v>42621.318344907406</v>
      </c>
    </row>
    <row r="54" spans="1:7" x14ac:dyDescent="0.25">
      <c r="A54" s="8">
        <v>42621.323113425926</v>
      </c>
      <c r="B54" s="23" t="s">
        <v>110</v>
      </c>
      <c r="C54" s="23" t="s">
        <v>347</v>
      </c>
      <c r="D54" s="23">
        <v>1310000</v>
      </c>
      <c r="E54" s="23" t="s">
        <v>731</v>
      </c>
      <c r="F54" s="23" t="str">
        <f t="shared" si="0"/>
        <v>rtdc.l.rtdc.4031:itc</v>
      </c>
      <c r="G54" s="8">
        <f t="shared" si="1"/>
        <v>42621.323113425926</v>
      </c>
    </row>
    <row r="55" spans="1:7" x14ac:dyDescent="0.25">
      <c r="A55" s="8">
        <v>42621.327337962961</v>
      </c>
      <c r="B55" s="23" t="s">
        <v>181</v>
      </c>
      <c r="C55" s="23" t="s">
        <v>335</v>
      </c>
      <c r="D55" s="23">
        <v>2010000</v>
      </c>
      <c r="E55" s="23" t="s">
        <v>211</v>
      </c>
      <c r="F55" s="23" t="str">
        <f t="shared" si="0"/>
        <v>rtdc.l.rtdc.4043:itc</v>
      </c>
      <c r="G55" s="8">
        <f t="shared" si="1"/>
        <v>42621.327337962961</v>
      </c>
    </row>
    <row r="56" spans="1:7" x14ac:dyDescent="0.25">
      <c r="A56" s="8">
        <v>42621.334386574075</v>
      </c>
      <c r="B56" s="23" t="s">
        <v>480</v>
      </c>
      <c r="C56" s="23" t="s">
        <v>340</v>
      </c>
      <c r="D56" s="23">
        <v>1190000</v>
      </c>
      <c r="E56" s="23" t="s">
        <v>193</v>
      </c>
      <c r="F56" s="23" t="str">
        <f t="shared" si="0"/>
        <v>rtdc.l.rtdc.4015:itc</v>
      </c>
      <c r="G56" s="8">
        <f t="shared" si="1"/>
        <v>42621.334386574075</v>
      </c>
    </row>
    <row r="57" spans="1:7" x14ac:dyDescent="0.25">
      <c r="A57" s="8">
        <v>42621.337696759256</v>
      </c>
      <c r="B57" s="23" t="s">
        <v>481</v>
      </c>
      <c r="C57" s="23" t="s">
        <v>448</v>
      </c>
      <c r="D57" s="23">
        <v>1830000</v>
      </c>
      <c r="E57" s="23" t="s">
        <v>733</v>
      </c>
      <c r="F57" s="23" t="str">
        <f t="shared" si="0"/>
        <v>rtdc.l.rtdc.4037:itc</v>
      </c>
      <c r="G57" s="8">
        <f t="shared" si="1"/>
        <v>42621.337696759256</v>
      </c>
    </row>
    <row r="58" spans="1:7" x14ac:dyDescent="0.25">
      <c r="A58" s="8">
        <v>42621.341990740744</v>
      </c>
      <c r="B58" s="23" t="s">
        <v>134</v>
      </c>
      <c r="C58" s="23" t="s">
        <v>355</v>
      </c>
      <c r="D58" s="23">
        <v>2340000</v>
      </c>
      <c r="E58" s="23" t="s">
        <v>732</v>
      </c>
      <c r="F58" s="23" t="str">
        <f t="shared" si="0"/>
        <v>rtdc.l.rtdc.4009:itc</v>
      </c>
      <c r="G58" s="8">
        <f t="shared" si="1"/>
        <v>42621.341990740744</v>
      </c>
    </row>
    <row r="59" spans="1:7" x14ac:dyDescent="0.25">
      <c r="A59" s="8">
        <v>42621.342372685183</v>
      </c>
      <c r="B59" s="23" t="s">
        <v>135</v>
      </c>
      <c r="C59" s="23" t="s">
        <v>451</v>
      </c>
      <c r="D59" s="23">
        <v>2360000</v>
      </c>
      <c r="E59" s="23" t="s">
        <v>734</v>
      </c>
      <c r="F59" s="23" t="str">
        <f t="shared" si="0"/>
        <v>rtdc.l.rtdc.4002:itc</v>
      </c>
      <c r="G59" s="8">
        <f t="shared" si="1"/>
        <v>42621.342372685183</v>
      </c>
    </row>
    <row r="60" spans="1:7" x14ac:dyDescent="0.25">
      <c r="A60" s="8">
        <v>42621.345775462964</v>
      </c>
      <c r="B60" s="23" t="s">
        <v>191</v>
      </c>
      <c r="C60" s="23" t="s">
        <v>344</v>
      </c>
      <c r="D60" s="23">
        <v>1360000</v>
      </c>
      <c r="E60" s="23" t="s">
        <v>203</v>
      </c>
      <c r="F60" s="23" t="str">
        <f t="shared" si="0"/>
        <v>rtdc.l.rtdc.4012:itc</v>
      </c>
      <c r="G60" s="8">
        <f t="shared" si="1"/>
        <v>42621.345775462964</v>
      </c>
    </row>
    <row r="61" spans="1:7" x14ac:dyDescent="0.25">
      <c r="A61" s="8">
        <v>42621.353437500002</v>
      </c>
      <c r="B61" s="23" t="s">
        <v>478</v>
      </c>
      <c r="C61" s="23" t="s">
        <v>359</v>
      </c>
      <c r="D61" s="23">
        <v>1110000</v>
      </c>
      <c r="E61" s="23" t="s">
        <v>188</v>
      </c>
      <c r="F61" s="23" t="str">
        <f t="shared" si="0"/>
        <v>rtdc.l.rtdc.4018:itc</v>
      </c>
      <c r="G61" s="8">
        <f t="shared" si="1"/>
        <v>42621.353437500002</v>
      </c>
    </row>
    <row r="62" spans="1:7" x14ac:dyDescent="0.25">
      <c r="A62" s="8">
        <v>42621.353900462964</v>
      </c>
      <c r="B62" s="23" t="s">
        <v>132</v>
      </c>
      <c r="C62" s="23" t="s">
        <v>474</v>
      </c>
      <c r="D62" s="23">
        <v>1830000</v>
      </c>
      <c r="E62" s="23" t="s">
        <v>733</v>
      </c>
      <c r="F62" s="23" t="str">
        <f t="shared" si="0"/>
        <v>rtdc.l.rtdc.4038:itc</v>
      </c>
      <c r="G62" s="8">
        <f t="shared" si="1"/>
        <v>42621.353900462964</v>
      </c>
    </row>
    <row r="63" spans="1:7" x14ac:dyDescent="0.25">
      <c r="A63" s="8">
        <v>42621.360219907408</v>
      </c>
      <c r="B63" s="23" t="s">
        <v>182</v>
      </c>
      <c r="C63" s="23" t="s">
        <v>454</v>
      </c>
      <c r="D63" s="23">
        <v>2360000</v>
      </c>
      <c r="E63" s="23" t="s">
        <v>734</v>
      </c>
      <c r="F63" s="23" t="str">
        <f t="shared" si="0"/>
        <v>rtdc.l.rtdc.4001:itc</v>
      </c>
      <c r="G63" s="8">
        <f t="shared" si="1"/>
        <v>42621.360219907408</v>
      </c>
    </row>
    <row r="64" spans="1:7" x14ac:dyDescent="0.25">
      <c r="A64" s="29">
        <v>42621.360462962963</v>
      </c>
      <c r="B64" s="23" t="s">
        <v>111</v>
      </c>
      <c r="C64" s="23" t="s">
        <v>350</v>
      </c>
      <c r="D64" s="23">
        <v>1310000</v>
      </c>
      <c r="E64" s="23" t="s">
        <v>731</v>
      </c>
      <c r="F64" s="23" t="str">
        <f t="shared" si="0"/>
        <v>rtdc.l.rtdc.4032:itc</v>
      </c>
      <c r="G64" s="8">
        <f t="shared" si="1"/>
        <v>42621.360462962963</v>
      </c>
    </row>
    <row r="65" spans="1:7" x14ac:dyDescent="0.25">
      <c r="A65" s="8">
        <v>42621.370219907411</v>
      </c>
      <c r="B65" s="23" t="s">
        <v>89</v>
      </c>
      <c r="C65" s="23" t="s">
        <v>353</v>
      </c>
      <c r="D65" s="23">
        <v>1240000</v>
      </c>
      <c r="E65" s="23" t="s">
        <v>735</v>
      </c>
      <c r="F65" s="23" t="str">
        <f t="shared" si="0"/>
        <v>rtdc.l.rtdc.4013:itc</v>
      </c>
      <c r="G65" s="8">
        <f t="shared" si="1"/>
        <v>42621.370219907411</v>
      </c>
    </row>
    <row r="66" spans="1:7" x14ac:dyDescent="0.25">
      <c r="A66" s="8">
        <v>42621.371539351851</v>
      </c>
      <c r="B66" s="23" t="s">
        <v>477</v>
      </c>
      <c r="C66" s="23" t="s">
        <v>367</v>
      </c>
      <c r="D66" s="23">
        <v>1190000</v>
      </c>
      <c r="E66" s="23" t="s">
        <v>193</v>
      </c>
      <c r="F66" s="23" t="str">
        <f t="shared" ref="F66:F129" si="2">B66</f>
        <v>rtdc.l.rtdc.4016:itc</v>
      </c>
      <c r="G66" s="8">
        <f t="shared" ref="G66:G129" si="3">A66</f>
        <v>42621.371539351851</v>
      </c>
    </row>
    <row r="67" spans="1:7" x14ac:dyDescent="0.25">
      <c r="A67" s="8">
        <v>42621.374722222223</v>
      </c>
      <c r="B67" s="23" t="s">
        <v>135</v>
      </c>
      <c r="C67" s="23" t="s">
        <v>457</v>
      </c>
      <c r="D67" s="23">
        <v>2360000</v>
      </c>
      <c r="E67" s="23" t="s">
        <v>734</v>
      </c>
      <c r="F67" s="23" t="str">
        <f t="shared" si="2"/>
        <v>rtdc.l.rtdc.4002:itc</v>
      </c>
      <c r="G67" s="8">
        <f t="shared" si="3"/>
        <v>42621.374722222223</v>
      </c>
    </row>
    <row r="68" spans="1:7" x14ac:dyDescent="0.25">
      <c r="A68" s="8">
        <v>42621.377071759256</v>
      </c>
      <c r="B68" s="23" t="s">
        <v>202</v>
      </c>
      <c r="C68" s="23" t="s">
        <v>358</v>
      </c>
      <c r="D68" s="23">
        <v>2340000</v>
      </c>
      <c r="E68" s="23" t="s">
        <v>732</v>
      </c>
      <c r="F68" s="23" t="str">
        <f t="shared" si="2"/>
        <v>rtdc.l.rtdc.4010:itc</v>
      </c>
      <c r="G68" s="8">
        <f t="shared" si="3"/>
        <v>42621.377071759256</v>
      </c>
    </row>
    <row r="69" spans="1:7" x14ac:dyDescent="0.25">
      <c r="A69" s="8">
        <v>42621.381493055553</v>
      </c>
      <c r="B69" s="23" t="s">
        <v>180</v>
      </c>
      <c r="C69" s="23" t="s">
        <v>371</v>
      </c>
      <c r="D69" s="23">
        <v>1360000</v>
      </c>
      <c r="E69" s="23" t="s">
        <v>203</v>
      </c>
      <c r="F69" s="23" t="str">
        <f t="shared" si="2"/>
        <v>rtdc.l.rtdc.4011:itc</v>
      </c>
      <c r="G69" s="8">
        <f t="shared" si="3"/>
        <v>42621.381493055553</v>
      </c>
    </row>
    <row r="70" spans="1:7" x14ac:dyDescent="0.25">
      <c r="A70" s="8">
        <v>42621.391365740739</v>
      </c>
      <c r="B70" s="23" t="s">
        <v>479</v>
      </c>
      <c r="C70" s="23" t="s">
        <v>362</v>
      </c>
      <c r="D70" s="23">
        <v>1110000</v>
      </c>
      <c r="E70" s="23" t="s">
        <v>188</v>
      </c>
      <c r="F70" s="23" t="str">
        <f t="shared" si="2"/>
        <v>rtdc.l.rtdc.4017:itc</v>
      </c>
      <c r="G70" s="8">
        <f t="shared" si="3"/>
        <v>42621.391365740739</v>
      </c>
    </row>
    <row r="71" spans="1:7" x14ac:dyDescent="0.25">
      <c r="A71" s="8">
        <v>42621.394965277781</v>
      </c>
      <c r="B71" s="23" t="s">
        <v>110</v>
      </c>
      <c r="C71" s="23" t="s">
        <v>377</v>
      </c>
      <c r="D71" s="23">
        <v>1310000</v>
      </c>
      <c r="E71" s="23" t="s">
        <v>731</v>
      </c>
      <c r="F71" s="23" t="str">
        <f t="shared" si="2"/>
        <v>rtdc.l.rtdc.4031:itc</v>
      </c>
      <c r="G71" s="8">
        <f t="shared" si="3"/>
        <v>42621.394965277781</v>
      </c>
    </row>
    <row r="72" spans="1:7" x14ac:dyDescent="0.25">
      <c r="A72" s="8">
        <v>42621.397615740738</v>
      </c>
      <c r="B72" s="23" t="s">
        <v>181</v>
      </c>
      <c r="C72" s="23" t="s">
        <v>365</v>
      </c>
      <c r="D72" s="23">
        <v>2010000</v>
      </c>
      <c r="E72" s="23" t="s">
        <v>211</v>
      </c>
      <c r="F72" s="23" t="str">
        <f t="shared" si="2"/>
        <v>rtdc.l.rtdc.4043:itc</v>
      </c>
      <c r="G72" s="8">
        <f t="shared" si="3"/>
        <v>42621.397615740738</v>
      </c>
    </row>
    <row r="73" spans="1:7" x14ac:dyDescent="0.25">
      <c r="A73" s="8">
        <v>42621.401678240742</v>
      </c>
      <c r="B73" s="23" t="s">
        <v>182</v>
      </c>
      <c r="C73" s="23" t="s">
        <v>460</v>
      </c>
      <c r="D73" s="23">
        <v>2360000</v>
      </c>
      <c r="E73" s="23" t="s">
        <v>734</v>
      </c>
      <c r="F73" s="23" t="str">
        <f t="shared" si="2"/>
        <v>rtdc.l.rtdc.4001:itc</v>
      </c>
      <c r="G73" s="8">
        <f t="shared" si="3"/>
        <v>42621.401678240742</v>
      </c>
    </row>
    <row r="74" spans="1:7" x14ac:dyDescent="0.25">
      <c r="A74" s="8">
        <v>42621.403865740744</v>
      </c>
      <c r="B74" s="23" t="s">
        <v>108</v>
      </c>
      <c r="C74" s="23" t="s">
        <v>383</v>
      </c>
      <c r="D74" s="23">
        <v>1240000</v>
      </c>
      <c r="E74" s="23" t="s">
        <v>735</v>
      </c>
      <c r="F74" s="23" t="str">
        <f t="shared" si="2"/>
        <v>rtdc.l.rtdc.4014:itc</v>
      </c>
      <c r="G74" s="8">
        <f t="shared" si="3"/>
        <v>42621.403865740744</v>
      </c>
    </row>
    <row r="75" spans="1:7" x14ac:dyDescent="0.25">
      <c r="A75" s="8">
        <v>42621.40662037037</v>
      </c>
      <c r="B75" s="23" t="s">
        <v>480</v>
      </c>
      <c r="C75" s="23" t="s">
        <v>369</v>
      </c>
      <c r="D75" s="23">
        <v>1190000</v>
      </c>
      <c r="E75" s="23" t="s">
        <v>193</v>
      </c>
      <c r="F75" s="23" t="str">
        <f t="shared" si="2"/>
        <v>rtdc.l.rtdc.4015:itc</v>
      </c>
      <c r="G75" s="8">
        <f t="shared" si="3"/>
        <v>42621.40662037037</v>
      </c>
    </row>
    <row r="76" spans="1:7" x14ac:dyDescent="0.25">
      <c r="A76" s="8">
        <v>42621.412118055552</v>
      </c>
      <c r="B76" s="23" t="s">
        <v>191</v>
      </c>
      <c r="C76" s="23" t="s">
        <v>374</v>
      </c>
      <c r="D76" s="23">
        <v>1360000</v>
      </c>
      <c r="E76" s="23" t="s">
        <v>203</v>
      </c>
      <c r="F76" s="23" t="str">
        <f t="shared" si="2"/>
        <v>rtdc.l.rtdc.4012:itc</v>
      </c>
      <c r="G76" s="8">
        <f t="shared" si="3"/>
        <v>42621.412118055552</v>
      </c>
    </row>
    <row r="77" spans="1:7" x14ac:dyDescent="0.25">
      <c r="A77" s="8">
        <v>42621.414849537039</v>
      </c>
      <c r="B77" s="23" t="s">
        <v>134</v>
      </c>
      <c r="C77" s="23" t="s">
        <v>736</v>
      </c>
      <c r="D77" s="23">
        <v>2340000</v>
      </c>
      <c r="E77" s="23" t="s">
        <v>732</v>
      </c>
      <c r="F77" s="23" t="str">
        <f t="shared" si="2"/>
        <v>rtdc.l.rtdc.4009:itc</v>
      </c>
      <c r="G77" s="8">
        <f t="shared" si="3"/>
        <v>42621.414849537039</v>
      </c>
    </row>
    <row r="78" spans="1:7" x14ac:dyDescent="0.25">
      <c r="A78" s="8">
        <v>42621.424351851849</v>
      </c>
      <c r="B78" s="23" t="s">
        <v>478</v>
      </c>
      <c r="C78" s="23" t="s">
        <v>390</v>
      </c>
      <c r="D78" s="23">
        <v>1110000</v>
      </c>
      <c r="E78" s="23" t="s">
        <v>188</v>
      </c>
      <c r="F78" s="23" t="str">
        <f t="shared" si="2"/>
        <v>rtdc.l.rtdc.4018:itc</v>
      </c>
      <c r="G78" s="8">
        <f t="shared" si="3"/>
        <v>42621.424351851849</v>
      </c>
    </row>
    <row r="79" spans="1:7" x14ac:dyDescent="0.25">
      <c r="A79" s="8">
        <v>42621.429988425924</v>
      </c>
      <c r="B79" s="23" t="s">
        <v>135</v>
      </c>
      <c r="C79" s="23" t="s">
        <v>463</v>
      </c>
      <c r="D79" s="23">
        <v>2360000</v>
      </c>
      <c r="E79" s="23" t="s">
        <v>734</v>
      </c>
      <c r="F79" s="23" t="str">
        <f t="shared" si="2"/>
        <v>rtdc.l.rtdc.4002:itc</v>
      </c>
      <c r="G79" s="8">
        <f t="shared" si="3"/>
        <v>42621.429988425924</v>
      </c>
    </row>
    <row r="80" spans="1:7" x14ac:dyDescent="0.25">
      <c r="A80" s="8">
        <v>42621.432916666665</v>
      </c>
      <c r="B80" s="23" t="s">
        <v>111</v>
      </c>
      <c r="C80" s="23" t="s">
        <v>380</v>
      </c>
      <c r="D80" s="23">
        <v>1310000</v>
      </c>
      <c r="E80" s="23" t="s">
        <v>731</v>
      </c>
      <c r="F80" s="23" t="str">
        <f t="shared" si="2"/>
        <v>rtdc.l.rtdc.4032:itc</v>
      </c>
      <c r="G80" s="8">
        <f t="shared" si="3"/>
        <v>42621.432916666665</v>
      </c>
    </row>
    <row r="81" spans="1:7" x14ac:dyDescent="0.25">
      <c r="A81" s="8">
        <v>42621.433715277781</v>
      </c>
      <c r="B81" s="23" t="s">
        <v>89</v>
      </c>
      <c r="C81" s="23" t="s">
        <v>386</v>
      </c>
      <c r="D81" s="23">
        <v>1240000</v>
      </c>
      <c r="E81" s="23" t="s">
        <v>735</v>
      </c>
      <c r="F81" s="23" t="str">
        <f t="shared" si="2"/>
        <v>rtdc.l.rtdc.4013:itc</v>
      </c>
      <c r="G81" s="8">
        <f t="shared" si="3"/>
        <v>42621.433715277781</v>
      </c>
    </row>
    <row r="82" spans="1:7" x14ac:dyDescent="0.25">
      <c r="A82" s="8">
        <v>42621.433935185189</v>
      </c>
      <c r="B82" s="23" t="s">
        <v>183</v>
      </c>
      <c r="C82" s="23" t="s">
        <v>393</v>
      </c>
      <c r="D82" s="23">
        <v>2250000</v>
      </c>
      <c r="E82" s="23" t="s">
        <v>205</v>
      </c>
      <c r="F82" s="23" t="str">
        <f t="shared" si="2"/>
        <v>rtdc.l.rtdc.4044:itc</v>
      </c>
      <c r="G82" s="8">
        <f t="shared" si="3"/>
        <v>42621.433935185189</v>
      </c>
    </row>
    <row r="83" spans="1:7" x14ac:dyDescent="0.25">
      <c r="A83" s="8">
        <v>42621.434212962966</v>
      </c>
      <c r="B83" s="23" t="s">
        <v>482</v>
      </c>
      <c r="C83" s="23" t="s">
        <v>417</v>
      </c>
      <c r="D83" s="23">
        <v>940000</v>
      </c>
      <c r="E83" s="23" t="s">
        <v>737</v>
      </c>
      <c r="F83" s="23" t="str">
        <f t="shared" si="2"/>
        <v>rtdc.l.rtdc.4021:itc</v>
      </c>
      <c r="G83" s="8">
        <f t="shared" si="3"/>
        <v>42621.434212962966</v>
      </c>
    </row>
    <row r="84" spans="1:7" x14ac:dyDescent="0.25">
      <c r="A84" s="8">
        <v>42621.443472222221</v>
      </c>
      <c r="B84" s="23" t="s">
        <v>182</v>
      </c>
      <c r="C84" s="23" t="s">
        <v>465</v>
      </c>
      <c r="D84" s="23">
        <v>2360000</v>
      </c>
      <c r="E84" s="23" t="s">
        <v>734</v>
      </c>
      <c r="F84" s="23" t="str">
        <f t="shared" si="2"/>
        <v>rtdc.l.rtdc.4001:itc</v>
      </c>
      <c r="G84" s="8">
        <f t="shared" si="3"/>
        <v>42621.443472222221</v>
      </c>
    </row>
    <row r="85" spans="1:7" x14ac:dyDescent="0.25">
      <c r="A85" s="8">
        <v>42621.444699074076</v>
      </c>
      <c r="B85" s="23" t="s">
        <v>477</v>
      </c>
      <c r="C85" s="23" t="s">
        <v>396</v>
      </c>
      <c r="D85" s="23">
        <v>1190000</v>
      </c>
      <c r="E85" s="23" t="s">
        <v>193</v>
      </c>
      <c r="F85" s="23" t="str">
        <f t="shared" si="2"/>
        <v>rtdc.l.rtdc.4016:itc</v>
      </c>
      <c r="G85" s="8">
        <f t="shared" si="3"/>
        <v>42621.444699074076</v>
      </c>
    </row>
    <row r="86" spans="1:7" x14ac:dyDescent="0.25">
      <c r="A86" s="8">
        <v>42621.446192129632</v>
      </c>
      <c r="B86" s="23" t="s">
        <v>202</v>
      </c>
      <c r="C86" s="23" t="s">
        <v>388</v>
      </c>
      <c r="D86" s="23">
        <v>2340000</v>
      </c>
      <c r="E86" s="23" t="s">
        <v>732</v>
      </c>
      <c r="F86" s="23" t="str">
        <f t="shared" si="2"/>
        <v>rtdc.l.rtdc.4010:itc</v>
      </c>
      <c r="G86" s="8">
        <f t="shared" si="3"/>
        <v>42621.446192129632</v>
      </c>
    </row>
    <row r="87" spans="1:7" x14ac:dyDescent="0.25">
      <c r="A87" s="8">
        <v>42621.454652777778</v>
      </c>
      <c r="B87" s="23" t="s">
        <v>180</v>
      </c>
      <c r="C87" s="23" t="s">
        <v>400</v>
      </c>
      <c r="D87" s="23">
        <v>940000</v>
      </c>
      <c r="E87" s="23" t="s">
        <v>737</v>
      </c>
      <c r="F87" s="23" t="str">
        <f t="shared" si="2"/>
        <v>rtdc.l.rtdc.4011:itc</v>
      </c>
      <c r="G87" s="8">
        <f t="shared" si="3"/>
        <v>42621.454652777778</v>
      </c>
    </row>
    <row r="88" spans="1:7" x14ac:dyDescent="0.25">
      <c r="A88" s="8">
        <v>42621.460081018522</v>
      </c>
      <c r="B88" s="23" t="s">
        <v>477</v>
      </c>
      <c r="C88" s="23" t="s">
        <v>396</v>
      </c>
      <c r="D88" s="23">
        <v>1190000</v>
      </c>
      <c r="E88" s="23" t="s">
        <v>193</v>
      </c>
      <c r="F88" s="23" t="str">
        <f t="shared" si="2"/>
        <v>rtdc.l.rtdc.4016:itc</v>
      </c>
      <c r="G88" s="8">
        <f t="shared" si="3"/>
        <v>42621.460081018522</v>
      </c>
    </row>
    <row r="89" spans="1:7" x14ac:dyDescent="0.25">
      <c r="A89" s="8">
        <v>42621.464178240742</v>
      </c>
      <c r="B89" s="23" t="s">
        <v>479</v>
      </c>
      <c r="C89" s="23" t="s">
        <v>391</v>
      </c>
      <c r="D89" s="23">
        <v>1110000</v>
      </c>
      <c r="E89" s="23" t="s">
        <v>188</v>
      </c>
      <c r="F89" s="23" t="str">
        <f t="shared" si="2"/>
        <v>rtdc.l.rtdc.4017:itc</v>
      </c>
      <c r="G89" s="8">
        <f t="shared" si="3"/>
        <v>42621.464178240742</v>
      </c>
    </row>
    <row r="90" spans="1:7" x14ac:dyDescent="0.25">
      <c r="A90" s="8">
        <v>42621.465219907404</v>
      </c>
      <c r="B90" s="23" t="s">
        <v>110</v>
      </c>
      <c r="C90" s="23" t="s">
        <v>403</v>
      </c>
      <c r="D90" s="23">
        <v>2020000</v>
      </c>
      <c r="E90" s="23" t="s">
        <v>738</v>
      </c>
      <c r="F90" s="23" t="str">
        <f t="shared" si="2"/>
        <v>rtdc.l.rtdc.4031:itc</v>
      </c>
      <c r="G90" s="8">
        <f t="shared" si="3"/>
        <v>42621.465219907404</v>
      </c>
    </row>
    <row r="91" spans="1:7" x14ac:dyDescent="0.25">
      <c r="A91" s="8">
        <v>42621.466284722221</v>
      </c>
      <c r="B91" s="23" t="s">
        <v>135</v>
      </c>
      <c r="C91" s="23" t="s">
        <v>467</v>
      </c>
      <c r="D91" s="23">
        <v>2360000</v>
      </c>
      <c r="E91" s="23" t="s">
        <v>734</v>
      </c>
      <c r="F91" s="23" t="str">
        <f t="shared" si="2"/>
        <v>rtdc.l.rtdc.4002:itc</v>
      </c>
      <c r="G91" s="8">
        <f t="shared" si="3"/>
        <v>42621.466284722221</v>
      </c>
    </row>
    <row r="92" spans="1:7" x14ac:dyDescent="0.25">
      <c r="A92" s="8">
        <v>42621.470636574071</v>
      </c>
      <c r="B92" s="23" t="s">
        <v>207</v>
      </c>
      <c r="C92" s="23" t="s">
        <v>739</v>
      </c>
      <c r="D92" s="23">
        <v>1360000</v>
      </c>
      <c r="E92" s="23" t="s">
        <v>203</v>
      </c>
      <c r="F92" s="23" t="str">
        <f t="shared" si="2"/>
        <v>rtdc.l.rtdc.4022:itc</v>
      </c>
      <c r="G92" s="8">
        <f t="shared" si="3"/>
        <v>42621.470636574071</v>
      </c>
    </row>
    <row r="93" spans="1:7" x14ac:dyDescent="0.25">
      <c r="A93" s="8">
        <v>42621.471608796295</v>
      </c>
      <c r="B93" s="23" t="s">
        <v>181</v>
      </c>
      <c r="C93" s="23" t="s">
        <v>395</v>
      </c>
      <c r="D93" s="23">
        <v>2250000</v>
      </c>
      <c r="E93" s="23" t="s">
        <v>205</v>
      </c>
      <c r="F93" s="23" t="str">
        <f t="shared" si="2"/>
        <v>rtdc.l.rtdc.4043:itc</v>
      </c>
      <c r="G93" s="8">
        <f t="shared" si="3"/>
        <v>42621.471608796295</v>
      </c>
    </row>
    <row r="94" spans="1:7" x14ac:dyDescent="0.25">
      <c r="A94" s="8">
        <v>42621.477592592593</v>
      </c>
      <c r="B94" s="23" t="s">
        <v>480</v>
      </c>
      <c r="C94" s="23" t="s">
        <v>399</v>
      </c>
      <c r="D94" s="23">
        <v>1190000</v>
      </c>
      <c r="E94" s="23" t="s">
        <v>193</v>
      </c>
      <c r="F94" s="23" t="str">
        <f t="shared" si="2"/>
        <v>rtdc.l.rtdc.4015:itc</v>
      </c>
      <c r="G94" s="8">
        <f t="shared" si="3"/>
        <v>42621.477592592593</v>
      </c>
    </row>
    <row r="95" spans="1:7" x14ac:dyDescent="0.25">
      <c r="A95" s="8">
        <v>42621.478518518517</v>
      </c>
      <c r="B95" s="23" t="s">
        <v>108</v>
      </c>
      <c r="C95" s="23" t="s">
        <v>259</v>
      </c>
      <c r="D95" s="23">
        <v>2040000</v>
      </c>
      <c r="E95" s="23" t="s">
        <v>218</v>
      </c>
      <c r="F95" s="23" t="str">
        <f t="shared" si="2"/>
        <v>rtdc.l.rtdc.4014:itc</v>
      </c>
      <c r="G95" s="8">
        <f t="shared" si="3"/>
        <v>42621.478518518517</v>
      </c>
    </row>
    <row r="96" spans="1:7" x14ac:dyDescent="0.25">
      <c r="A96" s="8">
        <v>42621.485497685186</v>
      </c>
      <c r="B96" s="23" t="s">
        <v>182</v>
      </c>
      <c r="C96" s="23" t="s">
        <v>469</v>
      </c>
      <c r="D96" s="23">
        <v>2360000</v>
      </c>
      <c r="E96" s="23" t="s">
        <v>734</v>
      </c>
      <c r="F96" s="23" t="str">
        <f t="shared" si="2"/>
        <v>rtdc.l.rtdc.4001:itc</v>
      </c>
      <c r="G96" s="8">
        <f t="shared" si="3"/>
        <v>42621.485497685186</v>
      </c>
    </row>
    <row r="97" spans="1:7" x14ac:dyDescent="0.25">
      <c r="A97" s="8">
        <v>42621.487546296295</v>
      </c>
      <c r="B97" s="23" t="s">
        <v>134</v>
      </c>
      <c r="C97" s="23" t="s">
        <v>740</v>
      </c>
      <c r="D97" s="23">
        <v>2280000</v>
      </c>
      <c r="E97" s="23" t="s">
        <v>216</v>
      </c>
      <c r="F97" s="23" t="str">
        <f t="shared" si="2"/>
        <v>rtdc.l.rtdc.4009:itc</v>
      </c>
      <c r="G97" s="8">
        <f t="shared" si="3"/>
        <v>42621.487546296295</v>
      </c>
    </row>
    <row r="98" spans="1:7" x14ac:dyDescent="0.25">
      <c r="A98" s="8">
        <v>42621.488946759258</v>
      </c>
      <c r="B98" s="23" t="s">
        <v>134</v>
      </c>
      <c r="C98" s="23" t="s">
        <v>740</v>
      </c>
      <c r="D98" s="23">
        <v>2280000</v>
      </c>
      <c r="E98" s="23" t="s">
        <v>216</v>
      </c>
      <c r="F98" s="23" t="str">
        <f t="shared" si="2"/>
        <v>rtdc.l.rtdc.4009:itc</v>
      </c>
      <c r="G98" s="8">
        <f t="shared" si="3"/>
        <v>42621.488946759258</v>
      </c>
    </row>
    <row r="99" spans="1:7" x14ac:dyDescent="0.25">
      <c r="A99" s="8">
        <v>42621.489571759259</v>
      </c>
      <c r="B99" s="23" t="s">
        <v>191</v>
      </c>
      <c r="C99" s="23" t="s">
        <v>402</v>
      </c>
      <c r="D99" s="23">
        <v>940000</v>
      </c>
      <c r="E99" s="23" t="s">
        <v>737</v>
      </c>
      <c r="F99" s="23" t="str">
        <f t="shared" si="2"/>
        <v>rtdc.l.rtdc.4012:itc</v>
      </c>
      <c r="G99" s="8">
        <f t="shared" si="3"/>
        <v>42621.489571759259</v>
      </c>
    </row>
    <row r="100" spans="1:7" x14ac:dyDescent="0.25">
      <c r="A100" s="8">
        <v>42621.489745370367</v>
      </c>
      <c r="B100" s="23" t="s">
        <v>221</v>
      </c>
      <c r="C100" s="23" t="s">
        <v>741</v>
      </c>
      <c r="D100" s="23">
        <v>900000</v>
      </c>
      <c r="E100" s="23" t="s">
        <v>194</v>
      </c>
      <c r="F100" s="23" t="str">
        <f t="shared" si="2"/>
        <v>rtdc.l.rtdc.4003:itc</v>
      </c>
      <c r="G100" s="8">
        <f t="shared" si="3"/>
        <v>42621.489745370367</v>
      </c>
    </row>
    <row r="101" spans="1:7" x14ac:dyDescent="0.25">
      <c r="A101" s="8">
        <v>42621.490266203706</v>
      </c>
      <c r="B101" s="23" t="s">
        <v>221</v>
      </c>
      <c r="C101" s="23" t="s">
        <v>741</v>
      </c>
      <c r="D101" s="23">
        <v>900000</v>
      </c>
      <c r="E101" s="23" t="s">
        <v>194</v>
      </c>
      <c r="F101" s="23" t="str">
        <f t="shared" si="2"/>
        <v>rtdc.l.rtdc.4003:itc</v>
      </c>
      <c r="G101" s="8">
        <f t="shared" si="3"/>
        <v>42621.490266203706</v>
      </c>
    </row>
    <row r="102" spans="1:7" x14ac:dyDescent="0.25">
      <c r="A102" s="8">
        <v>42621.491574074076</v>
      </c>
      <c r="B102" s="23" t="s">
        <v>221</v>
      </c>
      <c r="C102" s="23" t="s">
        <v>741</v>
      </c>
      <c r="D102" s="23">
        <v>900000</v>
      </c>
      <c r="E102" s="23" t="s">
        <v>194</v>
      </c>
      <c r="F102" s="23" t="str">
        <f t="shared" si="2"/>
        <v>rtdc.l.rtdc.4003:itc</v>
      </c>
      <c r="G102" s="8">
        <f t="shared" si="3"/>
        <v>42621.491574074076</v>
      </c>
    </row>
    <row r="103" spans="1:7" x14ac:dyDescent="0.25">
      <c r="A103" s="8">
        <v>42621.495266203703</v>
      </c>
      <c r="B103" s="23" t="s">
        <v>478</v>
      </c>
      <c r="C103" s="23" t="s">
        <v>260</v>
      </c>
      <c r="D103" s="23">
        <v>2030000</v>
      </c>
      <c r="E103" s="23" t="s">
        <v>186</v>
      </c>
      <c r="F103" s="23" t="str">
        <f t="shared" si="2"/>
        <v>rtdc.l.rtdc.4018:itc</v>
      </c>
      <c r="G103" s="8">
        <f t="shared" si="3"/>
        <v>42621.495266203703</v>
      </c>
    </row>
    <row r="104" spans="1:7" x14ac:dyDescent="0.25">
      <c r="A104" s="8">
        <v>42621.498298611114</v>
      </c>
      <c r="B104" s="23" t="s">
        <v>134</v>
      </c>
      <c r="C104" s="23" t="s">
        <v>740</v>
      </c>
      <c r="D104" s="23">
        <v>2280000</v>
      </c>
      <c r="E104" s="23" t="s">
        <v>216</v>
      </c>
      <c r="F104" s="23" t="str">
        <f t="shared" si="2"/>
        <v>rtdc.l.rtdc.4009:itc</v>
      </c>
      <c r="G104" s="8">
        <f t="shared" si="3"/>
        <v>42621.498298611114</v>
      </c>
    </row>
    <row r="105" spans="1:7" x14ac:dyDescent="0.25">
      <c r="A105" s="8">
        <v>42621.502372685187</v>
      </c>
      <c r="B105" s="23" t="s">
        <v>111</v>
      </c>
      <c r="C105" s="23" t="s">
        <v>508</v>
      </c>
      <c r="D105" s="23">
        <v>2020000</v>
      </c>
      <c r="E105" s="23" t="s">
        <v>738</v>
      </c>
      <c r="F105" s="23" t="str">
        <f t="shared" si="2"/>
        <v>rtdc.l.rtdc.4032:itc</v>
      </c>
      <c r="G105" s="8">
        <f t="shared" si="3"/>
        <v>42621.502372685187</v>
      </c>
    </row>
    <row r="106" spans="1:7" x14ac:dyDescent="0.25">
      <c r="A106" s="8">
        <v>42621.505162037036</v>
      </c>
      <c r="B106" s="23" t="s">
        <v>135</v>
      </c>
      <c r="C106" s="23" t="s">
        <v>471</v>
      </c>
      <c r="D106" s="23">
        <v>2360000</v>
      </c>
      <c r="E106" s="23" t="s">
        <v>734</v>
      </c>
      <c r="F106" s="23" t="str">
        <f t="shared" si="2"/>
        <v>rtdc.l.rtdc.4002:itc</v>
      </c>
      <c r="G106" s="8">
        <f t="shared" si="3"/>
        <v>42621.505162037036</v>
      </c>
    </row>
    <row r="107" spans="1:7" x14ac:dyDescent="0.25">
      <c r="A107" s="8">
        <v>42621.507974537039</v>
      </c>
      <c r="B107" s="23" t="s">
        <v>183</v>
      </c>
      <c r="C107" s="23" t="s">
        <v>742</v>
      </c>
      <c r="D107" s="23">
        <v>1820000</v>
      </c>
      <c r="E107" s="23" t="s">
        <v>743</v>
      </c>
      <c r="F107" s="23" t="str">
        <f t="shared" si="2"/>
        <v>rtdc.l.rtdc.4044:itc</v>
      </c>
      <c r="G107" s="8">
        <f t="shared" si="3"/>
        <v>42621.507974537039</v>
      </c>
    </row>
    <row r="108" spans="1:7" x14ac:dyDescent="0.25">
      <c r="A108" s="8">
        <v>42621.509722222225</v>
      </c>
      <c r="B108" s="23" t="s">
        <v>183</v>
      </c>
      <c r="C108" s="23" t="s">
        <v>742</v>
      </c>
      <c r="D108" s="23">
        <v>1820000</v>
      </c>
      <c r="E108" s="23" t="s">
        <v>743</v>
      </c>
      <c r="F108" s="23" t="str">
        <f t="shared" si="2"/>
        <v>rtdc.l.rtdc.4044:itc</v>
      </c>
      <c r="G108" s="8">
        <f t="shared" si="3"/>
        <v>42621.509722222225</v>
      </c>
    </row>
    <row r="109" spans="1:7" x14ac:dyDescent="0.25">
      <c r="A109" s="8">
        <v>42621.511192129627</v>
      </c>
      <c r="B109" s="23" t="s">
        <v>183</v>
      </c>
      <c r="C109" s="23" t="s">
        <v>742</v>
      </c>
      <c r="D109" s="23">
        <v>1820000</v>
      </c>
      <c r="E109" s="23" t="s">
        <v>743</v>
      </c>
      <c r="F109" s="23" t="str">
        <f t="shared" si="2"/>
        <v>rtdc.l.rtdc.4044:itc</v>
      </c>
      <c r="G109" s="8">
        <f t="shared" si="3"/>
        <v>42621.511192129627</v>
      </c>
    </row>
    <row r="110" spans="1:7" x14ac:dyDescent="0.25">
      <c r="A110" s="8">
        <v>42621.515636574077</v>
      </c>
      <c r="B110" s="23" t="s">
        <v>89</v>
      </c>
      <c r="C110" s="23" t="s">
        <v>511</v>
      </c>
      <c r="D110" s="23">
        <v>2040000</v>
      </c>
      <c r="E110" s="23" t="s">
        <v>218</v>
      </c>
      <c r="F110" s="23" t="str">
        <f t="shared" si="2"/>
        <v>rtdc.l.rtdc.4013:itc</v>
      </c>
      <c r="G110" s="8">
        <f t="shared" si="3"/>
        <v>42621.515636574077</v>
      </c>
    </row>
    <row r="111" spans="1:7" x14ac:dyDescent="0.25">
      <c r="A111" s="8">
        <v>42621.51871527778</v>
      </c>
      <c r="B111" s="23" t="s">
        <v>477</v>
      </c>
      <c r="C111" s="23" t="s">
        <v>744</v>
      </c>
      <c r="D111" s="23">
        <v>1780000</v>
      </c>
      <c r="E111" s="23" t="s">
        <v>217</v>
      </c>
      <c r="F111" s="23" t="str">
        <f t="shared" si="2"/>
        <v>rtdc.l.rtdc.4016:itc</v>
      </c>
      <c r="G111" s="8">
        <f t="shared" si="3"/>
        <v>42621.51871527778</v>
      </c>
    </row>
    <row r="112" spans="1:7" x14ac:dyDescent="0.25">
      <c r="A112" s="8">
        <v>42621.519525462965</v>
      </c>
      <c r="B112" s="23" t="s">
        <v>183</v>
      </c>
      <c r="C112" s="23" t="s">
        <v>742</v>
      </c>
      <c r="D112" s="23">
        <v>1820000</v>
      </c>
      <c r="E112" s="23" t="s">
        <v>743</v>
      </c>
      <c r="F112" s="23" t="str">
        <f t="shared" si="2"/>
        <v>rtdc.l.rtdc.4044:itc</v>
      </c>
      <c r="G112" s="8">
        <f t="shared" si="3"/>
        <v>42621.519525462965</v>
      </c>
    </row>
    <row r="113" spans="1:7" x14ac:dyDescent="0.25">
      <c r="A113" s="8">
        <v>42621.522152777776</v>
      </c>
      <c r="B113" s="23" t="s">
        <v>202</v>
      </c>
      <c r="C113" s="23" t="s">
        <v>745</v>
      </c>
      <c r="D113" s="23">
        <v>2280000</v>
      </c>
      <c r="E113" s="23" t="s">
        <v>216</v>
      </c>
      <c r="F113" s="23" t="str">
        <f t="shared" si="2"/>
        <v>rtdc.l.rtdc.4010:itc</v>
      </c>
      <c r="G113" s="8">
        <f t="shared" si="3"/>
        <v>42621.522152777776</v>
      </c>
    </row>
    <row r="114" spans="1:7" x14ac:dyDescent="0.25">
      <c r="A114" s="8">
        <v>42621.523078703707</v>
      </c>
      <c r="B114" s="23" t="s">
        <v>183</v>
      </c>
      <c r="C114" s="23" t="s">
        <v>742</v>
      </c>
      <c r="D114" s="23">
        <v>1820000</v>
      </c>
      <c r="E114" s="23" t="s">
        <v>743</v>
      </c>
      <c r="F114" s="23" t="str">
        <f t="shared" si="2"/>
        <v>rtdc.l.rtdc.4044:itc</v>
      </c>
      <c r="G114" s="8">
        <f t="shared" si="3"/>
        <v>42621.523078703707</v>
      </c>
    </row>
    <row r="115" spans="1:7" x14ac:dyDescent="0.25">
      <c r="A115" s="8">
        <v>42621.525879629633</v>
      </c>
      <c r="B115" s="23" t="s">
        <v>202</v>
      </c>
      <c r="C115" s="23" t="s">
        <v>745</v>
      </c>
      <c r="D115" s="23">
        <v>2280000</v>
      </c>
      <c r="E115" s="23" t="s">
        <v>216</v>
      </c>
      <c r="F115" s="23" t="str">
        <f t="shared" si="2"/>
        <v>rtdc.l.rtdc.4010:itc</v>
      </c>
      <c r="G115" s="8">
        <f t="shared" si="3"/>
        <v>42621.525879629633</v>
      </c>
    </row>
    <row r="116" spans="1:7" x14ac:dyDescent="0.25">
      <c r="A116" s="8">
        <v>42621.52715277778</v>
      </c>
      <c r="B116" s="23" t="s">
        <v>180</v>
      </c>
      <c r="C116" s="23" t="s">
        <v>516</v>
      </c>
      <c r="D116" s="23">
        <v>940000</v>
      </c>
      <c r="E116" s="23" t="s">
        <v>737</v>
      </c>
      <c r="F116" s="23" t="str">
        <f t="shared" si="2"/>
        <v>rtdc.l.rtdc.4011:itc</v>
      </c>
      <c r="G116" s="8">
        <f t="shared" si="3"/>
        <v>42621.52715277778</v>
      </c>
    </row>
    <row r="117" spans="1:7" x14ac:dyDescent="0.25">
      <c r="A117" s="8">
        <v>42621.527465277781</v>
      </c>
      <c r="B117" s="23" t="s">
        <v>182</v>
      </c>
      <c r="C117" s="23" t="s">
        <v>668</v>
      </c>
      <c r="D117" s="23">
        <v>2360000</v>
      </c>
      <c r="E117" s="23" t="s">
        <v>734</v>
      </c>
      <c r="F117" s="23" t="str">
        <f t="shared" si="2"/>
        <v>rtdc.l.rtdc.4001:itc</v>
      </c>
      <c r="G117" s="8">
        <f t="shared" si="3"/>
        <v>42621.527465277781</v>
      </c>
    </row>
    <row r="118" spans="1:7" x14ac:dyDescent="0.25">
      <c r="A118" s="8">
        <v>42621.531157407408</v>
      </c>
      <c r="B118" s="23" t="s">
        <v>479</v>
      </c>
      <c r="C118" s="23" t="s">
        <v>513</v>
      </c>
      <c r="D118" s="23">
        <v>2030000</v>
      </c>
      <c r="E118" s="23" t="s">
        <v>186</v>
      </c>
      <c r="F118" s="23" t="str">
        <f t="shared" si="2"/>
        <v>rtdc.l.rtdc.4017:itc</v>
      </c>
      <c r="G118" s="8">
        <f t="shared" si="3"/>
        <v>42621.531157407408</v>
      </c>
    </row>
    <row r="119" spans="1:7" x14ac:dyDescent="0.25">
      <c r="A119" s="8">
        <v>42621.537731481483</v>
      </c>
      <c r="B119" s="23" t="s">
        <v>110</v>
      </c>
      <c r="C119" s="23" t="s">
        <v>520</v>
      </c>
      <c r="D119" s="23">
        <v>2020000</v>
      </c>
      <c r="E119" s="23" t="s">
        <v>738</v>
      </c>
      <c r="F119" s="23" t="str">
        <f t="shared" si="2"/>
        <v>rtdc.l.rtdc.4031:itc</v>
      </c>
      <c r="G119" s="8">
        <f t="shared" si="3"/>
        <v>42621.537731481483</v>
      </c>
    </row>
    <row r="120" spans="1:7" x14ac:dyDescent="0.25">
      <c r="A120" s="8">
        <v>42621.546886574077</v>
      </c>
      <c r="B120" s="23" t="s">
        <v>181</v>
      </c>
      <c r="C120" s="23" t="s">
        <v>746</v>
      </c>
      <c r="D120" s="23">
        <v>1820000</v>
      </c>
      <c r="E120" s="23" t="s">
        <v>743</v>
      </c>
      <c r="F120" s="23" t="str">
        <f t="shared" si="2"/>
        <v>rtdc.l.rtdc.4043:itc</v>
      </c>
      <c r="G120" s="8">
        <f t="shared" si="3"/>
        <v>42621.546886574077</v>
      </c>
    </row>
    <row r="121" spans="1:7" x14ac:dyDescent="0.25">
      <c r="A121" s="8">
        <v>42621.549328703702</v>
      </c>
      <c r="B121" s="23" t="s">
        <v>135</v>
      </c>
      <c r="C121" s="23" t="s">
        <v>671</v>
      </c>
      <c r="D121" s="23">
        <v>2350000</v>
      </c>
      <c r="E121" s="23" t="s">
        <v>747</v>
      </c>
      <c r="F121" s="23" t="str">
        <f t="shared" si="2"/>
        <v>rtdc.l.rtdc.4002:itc</v>
      </c>
      <c r="G121" s="8">
        <f t="shared" si="3"/>
        <v>42621.549328703702</v>
      </c>
    </row>
    <row r="122" spans="1:7" x14ac:dyDescent="0.25">
      <c r="A122" s="8">
        <v>42621.550543981481</v>
      </c>
      <c r="B122" s="28" t="s">
        <v>181</v>
      </c>
      <c r="C122" s="23" t="s">
        <v>746</v>
      </c>
      <c r="D122" s="23">
        <v>1820000</v>
      </c>
      <c r="E122" s="23" t="s">
        <v>743</v>
      </c>
      <c r="F122" s="23" t="str">
        <f t="shared" si="2"/>
        <v>rtdc.l.rtdc.4043:itc</v>
      </c>
      <c r="G122" s="8">
        <f t="shared" si="3"/>
        <v>42621.550543981481</v>
      </c>
    </row>
    <row r="123" spans="1:7" x14ac:dyDescent="0.25">
      <c r="A123" s="8">
        <v>42621.550717592596</v>
      </c>
      <c r="B123" s="23" t="s">
        <v>108</v>
      </c>
      <c r="C123" s="23" t="s">
        <v>523</v>
      </c>
      <c r="D123" s="23">
        <v>2040000</v>
      </c>
      <c r="E123" s="23" t="s">
        <v>218</v>
      </c>
      <c r="F123" s="23" t="str">
        <f t="shared" si="2"/>
        <v>rtdc.l.rtdc.4014:itc</v>
      </c>
      <c r="G123" s="8">
        <f t="shared" si="3"/>
        <v>42621.550717592596</v>
      </c>
    </row>
    <row r="124" spans="1:7" x14ac:dyDescent="0.25">
      <c r="A124" s="8">
        <v>42621.551516203705</v>
      </c>
      <c r="B124" s="23" t="s">
        <v>135</v>
      </c>
      <c r="C124" s="23" t="s">
        <v>671</v>
      </c>
      <c r="D124" s="23">
        <v>1340000</v>
      </c>
      <c r="E124" s="23" t="s">
        <v>212</v>
      </c>
      <c r="F124" s="23" t="str">
        <f t="shared" si="2"/>
        <v>rtdc.l.rtdc.4002:itc</v>
      </c>
      <c r="G124" s="8">
        <f t="shared" si="3"/>
        <v>42621.551516203705</v>
      </c>
    </row>
    <row r="125" spans="1:7" x14ac:dyDescent="0.25">
      <c r="A125" s="8">
        <v>42621.552581018521</v>
      </c>
      <c r="B125" s="23" t="s">
        <v>480</v>
      </c>
      <c r="C125" s="23" t="s">
        <v>515</v>
      </c>
      <c r="D125" s="23">
        <v>1780000</v>
      </c>
      <c r="E125" s="23" t="s">
        <v>217</v>
      </c>
      <c r="F125" s="23" t="str">
        <f t="shared" si="2"/>
        <v>rtdc.l.rtdc.4015:itc</v>
      </c>
      <c r="G125" s="8">
        <f t="shared" si="3"/>
        <v>42621.552581018521</v>
      </c>
    </row>
    <row r="126" spans="1:7" x14ac:dyDescent="0.25">
      <c r="A126" s="8">
        <v>42621.561921296299</v>
      </c>
      <c r="B126" s="23" t="s">
        <v>191</v>
      </c>
      <c r="C126" s="23" t="s">
        <v>519</v>
      </c>
      <c r="D126" s="23">
        <v>940000</v>
      </c>
      <c r="E126" s="23" t="s">
        <v>737</v>
      </c>
      <c r="F126" s="23" t="str">
        <f t="shared" si="2"/>
        <v>rtdc.l.rtdc.4012:itc</v>
      </c>
      <c r="G126" s="8">
        <f t="shared" si="3"/>
        <v>42621.561921296299</v>
      </c>
    </row>
    <row r="127" spans="1:7" x14ac:dyDescent="0.25">
      <c r="A127" s="8">
        <v>42621.561990740738</v>
      </c>
      <c r="B127" s="23" t="s">
        <v>134</v>
      </c>
      <c r="C127" s="23" t="s">
        <v>526</v>
      </c>
      <c r="D127" s="23">
        <v>2280000</v>
      </c>
      <c r="E127" s="23" t="s">
        <v>216</v>
      </c>
      <c r="F127" s="23" t="str">
        <f t="shared" si="2"/>
        <v>rtdc.l.rtdc.4009:itc</v>
      </c>
      <c r="G127" s="8">
        <f t="shared" si="3"/>
        <v>42621.561990740738</v>
      </c>
    </row>
    <row r="128" spans="1:7" x14ac:dyDescent="0.25">
      <c r="A128" s="8">
        <v>42621.568518518521</v>
      </c>
      <c r="B128" s="23" t="s">
        <v>182</v>
      </c>
      <c r="C128" s="23" t="s">
        <v>674</v>
      </c>
      <c r="D128" s="23">
        <v>1340000</v>
      </c>
      <c r="E128" s="23" t="s">
        <v>212</v>
      </c>
      <c r="F128" s="23" t="str">
        <f t="shared" si="2"/>
        <v>rtdc.l.rtdc.4001:itc</v>
      </c>
      <c r="G128" s="8">
        <f t="shared" si="3"/>
        <v>42621.568518518521</v>
      </c>
    </row>
    <row r="129" spans="1:7" x14ac:dyDescent="0.25">
      <c r="A129" s="8">
        <v>42621.569791666669</v>
      </c>
      <c r="B129" s="23" t="s">
        <v>478</v>
      </c>
      <c r="C129" s="23" t="s">
        <v>529</v>
      </c>
      <c r="D129" s="23">
        <v>2030000</v>
      </c>
      <c r="E129" s="23" t="s">
        <v>186</v>
      </c>
      <c r="F129" s="23" t="str">
        <f t="shared" si="2"/>
        <v>rtdc.l.rtdc.4018:itc</v>
      </c>
      <c r="G129" s="8">
        <f t="shared" si="3"/>
        <v>42621.569791666669</v>
      </c>
    </row>
    <row r="130" spans="1:7" x14ac:dyDescent="0.25">
      <c r="A130" s="8">
        <v>42621.575798611113</v>
      </c>
      <c r="B130" s="23" t="s">
        <v>111</v>
      </c>
      <c r="C130" s="23" t="s">
        <v>483</v>
      </c>
      <c r="D130" s="23">
        <v>2020000</v>
      </c>
      <c r="E130" s="23" t="s">
        <v>738</v>
      </c>
      <c r="F130" s="23" t="str">
        <f t="shared" ref="F130:F193" si="4">B130</f>
        <v>rtdc.l.rtdc.4032:itc</v>
      </c>
      <c r="G130" s="8">
        <f t="shared" ref="G130:G193" si="5">A130</f>
        <v>42621.575798611113</v>
      </c>
    </row>
    <row r="131" spans="1:7" x14ac:dyDescent="0.25">
      <c r="A131" s="8">
        <v>42621.580312500002</v>
      </c>
      <c r="B131" s="23" t="s">
        <v>748</v>
      </c>
      <c r="C131" s="23" t="s">
        <v>532</v>
      </c>
      <c r="D131" s="23">
        <v>1820000</v>
      </c>
      <c r="E131" s="23" t="s">
        <v>743</v>
      </c>
      <c r="F131" s="23" t="str">
        <f t="shared" si="4"/>
        <v>rtdc.l.rtdc.4040:itc</v>
      </c>
      <c r="G131" s="8">
        <f t="shared" si="5"/>
        <v>42621.580312500002</v>
      </c>
    </row>
    <row r="132" spans="1:7" x14ac:dyDescent="0.25">
      <c r="A132" s="8">
        <v>42621.589513888888</v>
      </c>
      <c r="B132" s="23" t="s">
        <v>89</v>
      </c>
      <c r="C132" s="23" t="s">
        <v>524</v>
      </c>
      <c r="D132" s="23">
        <v>2040000</v>
      </c>
      <c r="E132" s="23" t="s">
        <v>218</v>
      </c>
      <c r="F132" s="23" t="str">
        <f t="shared" si="4"/>
        <v>rtdc.l.rtdc.4013:itc</v>
      </c>
      <c r="G132" s="8">
        <f t="shared" si="5"/>
        <v>42621.589513888888</v>
      </c>
    </row>
    <row r="133" spans="1:7" x14ac:dyDescent="0.25">
      <c r="A133" s="8">
        <v>42621.590983796297</v>
      </c>
      <c r="B133" s="23" t="s">
        <v>135</v>
      </c>
      <c r="C133" s="23" t="s">
        <v>677</v>
      </c>
      <c r="D133" s="23">
        <v>1170000</v>
      </c>
      <c r="E133" s="23" t="s">
        <v>749</v>
      </c>
      <c r="F133" s="23" t="str">
        <f t="shared" si="4"/>
        <v>rtdc.l.rtdc.4002:itc</v>
      </c>
      <c r="G133" s="8">
        <f t="shared" si="5"/>
        <v>42621.590983796297</v>
      </c>
    </row>
    <row r="134" spans="1:7" x14ac:dyDescent="0.25">
      <c r="A134" s="8">
        <v>42621.59101851852</v>
      </c>
      <c r="B134" s="23" t="s">
        <v>477</v>
      </c>
      <c r="C134" s="23" t="s">
        <v>535</v>
      </c>
      <c r="D134" s="23">
        <v>1780000</v>
      </c>
      <c r="E134" s="23" t="s">
        <v>217</v>
      </c>
      <c r="F134" s="23" t="str">
        <f t="shared" si="4"/>
        <v>rtdc.l.rtdc.4016:itc</v>
      </c>
      <c r="G134" s="8">
        <f t="shared" si="5"/>
        <v>42621.59101851852</v>
      </c>
    </row>
    <row r="135" spans="1:7" x14ac:dyDescent="0.25">
      <c r="A135" s="8">
        <v>42621.595462962963</v>
      </c>
      <c r="B135" s="23" t="s">
        <v>202</v>
      </c>
      <c r="C135" s="23" t="s">
        <v>528</v>
      </c>
      <c r="D135" s="23">
        <v>2280000</v>
      </c>
      <c r="E135" s="23" t="s">
        <v>216</v>
      </c>
      <c r="F135" s="23" t="str">
        <f t="shared" si="4"/>
        <v>rtdc.l.rtdc.4010:itc</v>
      </c>
      <c r="G135" s="8">
        <f t="shared" si="5"/>
        <v>42621.595462962963</v>
      </c>
    </row>
    <row r="136" spans="1:7" x14ac:dyDescent="0.25">
      <c r="A136" s="8">
        <v>42621.601527777777</v>
      </c>
      <c r="B136" s="23" t="s">
        <v>180</v>
      </c>
      <c r="C136" s="23" t="s">
        <v>540</v>
      </c>
      <c r="D136" s="23">
        <v>940000</v>
      </c>
      <c r="E136" s="23" t="s">
        <v>737</v>
      </c>
      <c r="F136" s="23" t="str">
        <f t="shared" si="4"/>
        <v>rtdc.l.rtdc.4011:itc</v>
      </c>
      <c r="G136" s="8">
        <f t="shared" si="5"/>
        <v>42621.601527777777</v>
      </c>
    </row>
    <row r="137" spans="1:7" x14ac:dyDescent="0.25">
      <c r="A137" s="8">
        <v>42621.603958333333</v>
      </c>
      <c r="B137" s="23" t="s">
        <v>479</v>
      </c>
      <c r="C137" s="23" t="s">
        <v>531</v>
      </c>
      <c r="D137" s="23">
        <v>2030000</v>
      </c>
      <c r="E137" s="23" t="s">
        <v>186</v>
      </c>
      <c r="F137" s="23" t="str">
        <f t="shared" si="4"/>
        <v>rtdc.l.rtdc.4017:itc</v>
      </c>
      <c r="G137" s="8">
        <f t="shared" si="5"/>
        <v>42621.603958333333</v>
      </c>
    </row>
    <row r="138" spans="1:7" x14ac:dyDescent="0.25">
      <c r="A138" s="8">
        <v>42621.61074074074</v>
      </c>
      <c r="B138" s="23" t="s">
        <v>182</v>
      </c>
      <c r="C138" s="23" t="s">
        <v>680</v>
      </c>
      <c r="D138" s="23">
        <v>1170000</v>
      </c>
      <c r="E138" s="23" t="s">
        <v>749</v>
      </c>
      <c r="F138" s="23" t="str">
        <f t="shared" si="4"/>
        <v>rtdc.l.rtdc.4001:itc</v>
      </c>
      <c r="G138" s="8">
        <f t="shared" si="5"/>
        <v>42621.61074074074</v>
      </c>
    </row>
    <row r="139" spans="1:7" x14ac:dyDescent="0.25">
      <c r="A139" s="8">
        <v>42621.612523148149</v>
      </c>
      <c r="B139" s="23" t="s">
        <v>110</v>
      </c>
      <c r="C139" s="23" t="s">
        <v>484</v>
      </c>
      <c r="D139" s="23">
        <v>2020000</v>
      </c>
      <c r="E139" s="23" t="s">
        <v>738</v>
      </c>
      <c r="F139" s="23" t="str">
        <f t="shared" si="4"/>
        <v>rtdc.l.rtdc.4031:itc</v>
      </c>
      <c r="G139" s="8">
        <f t="shared" si="5"/>
        <v>42621.612523148149</v>
      </c>
    </row>
    <row r="140" spans="1:7" x14ac:dyDescent="0.25">
      <c r="A140" s="8">
        <v>42621.619710648149</v>
      </c>
      <c r="B140" s="23" t="s">
        <v>498</v>
      </c>
      <c r="C140" s="23" t="s">
        <v>534</v>
      </c>
      <c r="D140" s="23">
        <v>1820000</v>
      </c>
      <c r="E140" s="23" t="s">
        <v>743</v>
      </c>
      <c r="F140" s="23" t="str">
        <f t="shared" si="4"/>
        <v>rtdc.l.rtdc.4039:itc</v>
      </c>
      <c r="G140" s="8">
        <f t="shared" si="5"/>
        <v>42621.619710648149</v>
      </c>
    </row>
    <row r="141" spans="1:7" x14ac:dyDescent="0.25">
      <c r="A141" s="8">
        <v>42621.625231481485</v>
      </c>
      <c r="B141" s="23" t="s">
        <v>108</v>
      </c>
      <c r="C141" s="23" t="s">
        <v>548</v>
      </c>
      <c r="D141" s="23">
        <v>2040000</v>
      </c>
      <c r="E141" s="23" t="s">
        <v>218</v>
      </c>
      <c r="F141" s="23" t="str">
        <f t="shared" si="4"/>
        <v>rtdc.l.rtdc.4014:itc</v>
      </c>
      <c r="G141" s="8">
        <f t="shared" si="5"/>
        <v>42621.625231481485</v>
      </c>
    </row>
    <row r="142" spans="1:7" x14ac:dyDescent="0.25">
      <c r="A142" s="8">
        <v>42621.626087962963</v>
      </c>
      <c r="B142" s="23" t="s">
        <v>135</v>
      </c>
      <c r="C142" s="23" t="s">
        <v>485</v>
      </c>
      <c r="D142" s="23">
        <v>1170000</v>
      </c>
      <c r="E142" s="23" t="s">
        <v>749</v>
      </c>
      <c r="F142" s="23" t="str">
        <f t="shared" si="4"/>
        <v>rtdc.l.rtdc.4002:itc</v>
      </c>
      <c r="G142" s="8">
        <f t="shared" si="5"/>
        <v>42621.626087962963</v>
      </c>
    </row>
    <row r="143" spans="1:7" x14ac:dyDescent="0.25">
      <c r="A143" s="8">
        <v>42621.628125000003</v>
      </c>
      <c r="B143" s="23" t="s">
        <v>480</v>
      </c>
      <c r="C143" s="23" t="s">
        <v>537</v>
      </c>
      <c r="D143" s="23">
        <v>1780000</v>
      </c>
      <c r="E143" s="23" t="s">
        <v>217</v>
      </c>
      <c r="F143" s="23" t="str">
        <f t="shared" si="4"/>
        <v>rtdc.l.rtdc.4015:itc</v>
      </c>
      <c r="G143" s="8">
        <f t="shared" si="5"/>
        <v>42621.628125000003</v>
      </c>
    </row>
    <row r="144" spans="1:7" x14ac:dyDescent="0.25">
      <c r="A144" s="8">
        <v>42621.635509259257</v>
      </c>
      <c r="B144" s="23" t="s">
        <v>134</v>
      </c>
      <c r="C144" s="23" t="s">
        <v>552</v>
      </c>
      <c r="D144" s="23">
        <v>2280000</v>
      </c>
      <c r="E144" s="23" t="s">
        <v>216</v>
      </c>
      <c r="F144" s="23" t="str">
        <f t="shared" si="4"/>
        <v>rtdc.l.rtdc.4009:itc</v>
      </c>
      <c r="G144" s="8">
        <f t="shared" si="5"/>
        <v>42621.635509259257</v>
      </c>
    </row>
    <row r="145" spans="1:7" x14ac:dyDescent="0.25">
      <c r="A145" s="8">
        <v>42621.635613425926</v>
      </c>
      <c r="B145" s="23" t="s">
        <v>191</v>
      </c>
      <c r="C145" s="23" t="s">
        <v>542</v>
      </c>
      <c r="D145" s="23">
        <v>940000</v>
      </c>
      <c r="E145" s="23" t="s">
        <v>737</v>
      </c>
      <c r="F145" s="23" t="str">
        <f t="shared" si="4"/>
        <v>rtdc.l.rtdc.4012:itc</v>
      </c>
      <c r="G145" s="8">
        <f t="shared" si="5"/>
        <v>42621.635613425926</v>
      </c>
    </row>
    <row r="146" spans="1:7" x14ac:dyDescent="0.25">
      <c r="A146" s="8">
        <v>42621.642905092594</v>
      </c>
      <c r="B146" s="23" t="s">
        <v>478</v>
      </c>
      <c r="C146" s="23" t="s">
        <v>555</v>
      </c>
      <c r="D146" s="23">
        <v>2030000</v>
      </c>
      <c r="E146" s="23" t="s">
        <v>186</v>
      </c>
      <c r="F146" s="23" t="str">
        <f t="shared" si="4"/>
        <v>rtdc.l.rtdc.4018:itc</v>
      </c>
      <c r="G146" s="8">
        <f t="shared" si="5"/>
        <v>42621.642905092594</v>
      </c>
    </row>
    <row r="147" spans="1:7" x14ac:dyDescent="0.25">
      <c r="A147" s="8">
        <v>42621.647002314814</v>
      </c>
      <c r="B147" s="23" t="s">
        <v>111</v>
      </c>
      <c r="C147" s="23" t="s">
        <v>545</v>
      </c>
      <c r="D147" s="23">
        <v>2020000</v>
      </c>
      <c r="E147" s="23" t="s">
        <v>738</v>
      </c>
      <c r="F147" s="23" t="str">
        <f t="shared" si="4"/>
        <v>rtdc.l.rtdc.4032:itc</v>
      </c>
      <c r="G147" s="8">
        <f t="shared" si="5"/>
        <v>42621.647002314814</v>
      </c>
    </row>
    <row r="148" spans="1:7" x14ac:dyDescent="0.25">
      <c r="A148" s="8">
        <v>42621.653194444443</v>
      </c>
      <c r="B148" s="23" t="s">
        <v>748</v>
      </c>
      <c r="C148" s="23" t="s">
        <v>557</v>
      </c>
      <c r="D148" s="23">
        <v>1820000</v>
      </c>
      <c r="E148" s="23" t="s">
        <v>743</v>
      </c>
      <c r="F148" s="23" t="str">
        <f t="shared" si="4"/>
        <v>rtdc.l.rtdc.4040:itc</v>
      </c>
      <c r="G148" s="8">
        <f t="shared" si="5"/>
        <v>42621.653194444443</v>
      </c>
    </row>
    <row r="149" spans="1:7" x14ac:dyDescent="0.25">
      <c r="A149" s="8">
        <v>42621.653993055559</v>
      </c>
      <c r="B149" s="23" t="s">
        <v>182</v>
      </c>
      <c r="C149" s="23" t="s">
        <v>486</v>
      </c>
      <c r="D149" s="23">
        <v>1170000</v>
      </c>
      <c r="E149" s="23" t="s">
        <v>749</v>
      </c>
      <c r="F149" s="23" t="str">
        <f t="shared" si="4"/>
        <v>rtdc.l.rtdc.4001:itc</v>
      </c>
      <c r="G149" s="8">
        <f t="shared" si="5"/>
        <v>42621.653993055559</v>
      </c>
    </row>
    <row r="150" spans="1:7" x14ac:dyDescent="0.25">
      <c r="A150" s="8">
        <v>42621.654999999999</v>
      </c>
      <c r="B150" s="23" t="s">
        <v>132</v>
      </c>
      <c r="C150" s="23" t="s">
        <v>687</v>
      </c>
      <c r="D150" s="23">
        <v>730000</v>
      </c>
      <c r="E150" s="23" t="s">
        <v>750</v>
      </c>
      <c r="F150" s="23" t="str">
        <f t="shared" si="4"/>
        <v>rtdc.l.rtdc.4038:itc</v>
      </c>
      <c r="G150" s="8">
        <f t="shared" si="5"/>
        <v>42621.654999999999</v>
      </c>
    </row>
    <row r="151" spans="1:7" x14ac:dyDescent="0.25">
      <c r="A151" s="8">
        <v>42621.661504629628</v>
      </c>
      <c r="B151" s="23" t="s">
        <v>89</v>
      </c>
      <c r="C151" s="23" t="s">
        <v>551</v>
      </c>
      <c r="D151" s="23">
        <v>2040000</v>
      </c>
      <c r="E151" s="23" t="s">
        <v>218</v>
      </c>
      <c r="F151" s="23" t="str">
        <f t="shared" si="4"/>
        <v>rtdc.l.rtdc.4013:itc</v>
      </c>
      <c r="G151" s="8">
        <f t="shared" si="5"/>
        <v>42621.661504629628</v>
      </c>
    </row>
    <row r="152" spans="1:7" x14ac:dyDescent="0.25">
      <c r="A152" s="8">
        <v>42621.665254629632</v>
      </c>
      <c r="B152" s="23" t="s">
        <v>477</v>
      </c>
      <c r="C152" s="23" t="s">
        <v>561</v>
      </c>
      <c r="D152" s="23">
        <v>1780000</v>
      </c>
      <c r="E152" s="23" t="s">
        <v>217</v>
      </c>
      <c r="F152" s="23" t="str">
        <f t="shared" si="4"/>
        <v>rtdc.l.rtdc.4016:itc</v>
      </c>
      <c r="G152" s="8">
        <f t="shared" si="5"/>
        <v>42621.665254629632</v>
      </c>
    </row>
    <row r="153" spans="1:7" x14ac:dyDescent="0.25">
      <c r="A153" s="8">
        <v>42621.668333333335</v>
      </c>
      <c r="B153" s="23" t="s">
        <v>202</v>
      </c>
      <c r="C153" s="23" t="s">
        <v>488</v>
      </c>
      <c r="D153" s="23">
        <v>2280000</v>
      </c>
      <c r="E153" s="23" t="s">
        <v>216</v>
      </c>
      <c r="F153" s="23" t="str">
        <f t="shared" si="4"/>
        <v>rtdc.l.rtdc.4010:itc</v>
      </c>
      <c r="G153" s="8">
        <f t="shared" si="5"/>
        <v>42621.668333333335</v>
      </c>
    </row>
    <row r="154" spans="1:7" x14ac:dyDescent="0.25">
      <c r="A154" s="8">
        <v>42621.674074074072</v>
      </c>
      <c r="B154" s="23" t="s">
        <v>180</v>
      </c>
      <c r="C154" s="23" t="s">
        <v>489</v>
      </c>
      <c r="D154" s="23">
        <v>940000</v>
      </c>
      <c r="E154" s="23" t="s">
        <v>737</v>
      </c>
      <c r="F154" s="23" t="str">
        <f t="shared" si="4"/>
        <v>rtdc.l.rtdc.4011:itc</v>
      </c>
      <c r="G154" s="8">
        <f t="shared" si="5"/>
        <v>42621.674074074072</v>
      </c>
    </row>
    <row r="155" spans="1:7" x14ac:dyDescent="0.25">
      <c r="A155" s="8">
        <v>42621.674155092594</v>
      </c>
      <c r="B155" s="23" t="s">
        <v>135</v>
      </c>
      <c r="C155" s="23" t="s">
        <v>690</v>
      </c>
      <c r="D155" s="23">
        <v>1170000</v>
      </c>
      <c r="E155" s="23" t="s">
        <v>749</v>
      </c>
      <c r="F155" s="23" t="str">
        <f t="shared" si="4"/>
        <v>rtdc.l.rtdc.4002:itc</v>
      </c>
      <c r="G155" s="8">
        <f t="shared" si="5"/>
        <v>42621.674155092594</v>
      </c>
    </row>
    <row r="156" spans="1:7" x14ac:dyDescent="0.25">
      <c r="A156" s="8">
        <v>42621.676678240743</v>
      </c>
      <c r="B156" s="23" t="s">
        <v>479</v>
      </c>
      <c r="C156" s="23" t="s">
        <v>490</v>
      </c>
      <c r="D156" s="23">
        <v>2030000</v>
      </c>
      <c r="E156" s="23" t="s">
        <v>186</v>
      </c>
      <c r="F156" s="23" t="str">
        <f t="shared" si="4"/>
        <v>rtdc.l.rtdc.4017:itc</v>
      </c>
      <c r="G156" s="8">
        <f t="shared" si="5"/>
        <v>42621.676678240743</v>
      </c>
    </row>
    <row r="157" spans="1:7" x14ac:dyDescent="0.25">
      <c r="A157" s="8">
        <v>42621.683599537035</v>
      </c>
      <c r="B157" s="23" t="s">
        <v>110</v>
      </c>
      <c r="C157" s="23" t="s">
        <v>566</v>
      </c>
      <c r="D157" s="23">
        <v>2020000</v>
      </c>
      <c r="E157" s="23" t="s">
        <v>738</v>
      </c>
      <c r="F157" s="23" t="str">
        <f t="shared" si="4"/>
        <v>rtdc.l.rtdc.4031:itc</v>
      </c>
      <c r="G157" s="8">
        <f t="shared" si="5"/>
        <v>42621.683599537035</v>
      </c>
    </row>
    <row r="158" spans="1:7" x14ac:dyDescent="0.25">
      <c r="A158" s="8">
        <v>42621.689375000002</v>
      </c>
      <c r="B158" s="23" t="s">
        <v>132</v>
      </c>
      <c r="C158" s="23" t="s">
        <v>695</v>
      </c>
      <c r="D158" s="23">
        <v>730000</v>
      </c>
      <c r="E158" s="23" t="s">
        <v>750</v>
      </c>
      <c r="F158" s="23" t="str">
        <f t="shared" si="4"/>
        <v>rtdc.l.rtdc.4038:itc</v>
      </c>
      <c r="G158" s="8">
        <f t="shared" si="5"/>
        <v>42621.689375000002</v>
      </c>
    </row>
    <row r="159" spans="1:7" x14ac:dyDescent="0.25">
      <c r="A159" s="8">
        <v>42621.692395833335</v>
      </c>
      <c r="B159" s="23" t="s">
        <v>498</v>
      </c>
      <c r="C159" s="23" t="s">
        <v>559</v>
      </c>
      <c r="D159" s="23">
        <v>1820000</v>
      </c>
      <c r="E159" s="23" t="s">
        <v>743</v>
      </c>
      <c r="F159" s="23" t="str">
        <f t="shared" si="4"/>
        <v>rtdc.l.rtdc.4039:itc</v>
      </c>
      <c r="G159" s="8">
        <f t="shared" si="5"/>
        <v>42621.692395833335</v>
      </c>
    </row>
    <row r="160" spans="1:7" x14ac:dyDescent="0.25">
      <c r="A160" s="8">
        <v>42621.694756944446</v>
      </c>
      <c r="B160" s="23" t="s">
        <v>108</v>
      </c>
      <c r="C160" s="23" t="s">
        <v>487</v>
      </c>
      <c r="D160" s="23">
        <v>2040000</v>
      </c>
      <c r="E160" s="23" t="s">
        <v>218</v>
      </c>
      <c r="F160" s="23" t="str">
        <f t="shared" si="4"/>
        <v>rtdc.l.rtdc.4014:itc</v>
      </c>
      <c r="G160" s="8">
        <f t="shared" si="5"/>
        <v>42621.694756944446</v>
      </c>
    </row>
    <row r="161" spans="1:7" x14ac:dyDescent="0.25">
      <c r="A161" s="8">
        <v>42621.695509259262</v>
      </c>
      <c r="B161" s="23" t="s">
        <v>182</v>
      </c>
      <c r="C161" s="23" t="s">
        <v>491</v>
      </c>
      <c r="D161" s="23">
        <v>1170000</v>
      </c>
      <c r="E161" s="23" t="s">
        <v>749</v>
      </c>
      <c r="F161" s="23" t="str">
        <f t="shared" si="4"/>
        <v>rtdc.l.rtdc.4001:itc</v>
      </c>
      <c r="G161" s="8">
        <f t="shared" si="5"/>
        <v>42621.695509259262</v>
      </c>
    </row>
    <row r="162" spans="1:7" x14ac:dyDescent="0.25">
      <c r="A162" s="8">
        <v>42621.701539351852</v>
      </c>
      <c r="B162" s="23" t="s">
        <v>480</v>
      </c>
      <c r="C162" s="23" t="s">
        <v>562</v>
      </c>
      <c r="D162" s="23">
        <v>1780000</v>
      </c>
      <c r="E162" s="23" t="s">
        <v>217</v>
      </c>
      <c r="F162" s="23" t="str">
        <f t="shared" si="4"/>
        <v>rtdc.l.rtdc.4015:itc</v>
      </c>
      <c r="G162" s="8">
        <f t="shared" si="5"/>
        <v>42621.701539351852</v>
      </c>
    </row>
    <row r="163" spans="1:7" x14ac:dyDescent="0.25">
      <c r="A163" s="8">
        <v>42621.702407407407</v>
      </c>
      <c r="B163" s="23" t="s">
        <v>137</v>
      </c>
      <c r="C163" s="23" t="s">
        <v>492</v>
      </c>
      <c r="D163" s="23">
        <v>1180000</v>
      </c>
      <c r="E163" s="23" t="s">
        <v>219</v>
      </c>
      <c r="F163" s="23" t="str">
        <f t="shared" si="4"/>
        <v>rtdc.l.rtdc.4004:itc</v>
      </c>
      <c r="G163" s="8">
        <f t="shared" si="5"/>
        <v>42621.702407407407</v>
      </c>
    </row>
    <row r="164" spans="1:7" x14ac:dyDescent="0.25">
      <c r="A164" s="8">
        <v>42621.705972222226</v>
      </c>
      <c r="B164" s="23" t="s">
        <v>134</v>
      </c>
      <c r="C164" s="23" t="s">
        <v>573</v>
      </c>
      <c r="D164" s="23">
        <v>2280000</v>
      </c>
      <c r="E164" s="23" t="s">
        <v>216</v>
      </c>
      <c r="F164" s="23" t="str">
        <f t="shared" si="4"/>
        <v>rtdc.l.rtdc.4009:itc</v>
      </c>
      <c r="G164" s="8">
        <f t="shared" si="5"/>
        <v>42621.705972222226</v>
      </c>
    </row>
    <row r="165" spans="1:7" x14ac:dyDescent="0.25">
      <c r="A165" s="8">
        <v>42621.708402777775</v>
      </c>
      <c r="B165" s="23" t="s">
        <v>191</v>
      </c>
      <c r="C165" s="23" t="s">
        <v>493</v>
      </c>
      <c r="D165" s="23">
        <v>940000</v>
      </c>
      <c r="E165" s="23" t="s">
        <v>737</v>
      </c>
      <c r="F165" s="23" t="str">
        <f t="shared" si="4"/>
        <v>rtdc.l.rtdc.4012:itc</v>
      </c>
      <c r="G165" s="8">
        <f t="shared" si="5"/>
        <v>42621.708402777775</v>
      </c>
    </row>
    <row r="166" spans="1:7" x14ac:dyDescent="0.25">
      <c r="A166" s="8">
        <v>42621.711770833332</v>
      </c>
      <c r="B166" s="23" t="s">
        <v>135</v>
      </c>
      <c r="C166" s="23" t="s">
        <v>494</v>
      </c>
      <c r="D166" s="23">
        <v>1170000</v>
      </c>
      <c r="E166" s="23" t="s">
        <v>749</v>
      </c>
      <c r="F166" s="23" t="str">
        <f t="shared" si="4"/>
        <v>rtdc.l.rtdc.4002:itc</v>
      </c>
      <c r="G166" s="8">
        <f t="shared" si="5"/>
        <v>42621.711770833332</v>
      </c>
    </row>
    <row r="167" spans="1:7" x14ac:dyDescent="0.25">
      <c r="A167" s="8">
        <v>42621.718622685185</v>
      </c>
      <c r="B167" s="23" t="s">
        <v>478</v>
      </c>
      <c r="C167" s="23" t="s">
        <v>578</v>
      </c>
      <c r="D167" s="23">
        <v>2370000</v>
      </c>
      <c r="E167" s="23" t="s">
        <v>751</v>
      </c>
      <c r="F167" s="23" t="str">
        <f t="shared" si="4"/>
        <v>rtdc.l.rtdc.4018:itc</v>
      </c>
      <c r="G167" s="8">
        <f t="shared" si="5"/>
        <v>42621.718622685185</v>
      </c>
    </row>
    <row r="168" spans="1:7" x14ac:dyDescent="0.25">
      <c r="A168" s="8">
        <v>42621.721203703702</v>
      </c>
      <c r="B168" s="23" t="s">
        <v>111</v>
      </c>
      <c r="C168" s="23" t="s">
        <v>569</v>
      </c>
      <c r="D168" s="23">
        <v>2020000</v>
      </c>
      <c r="E168" s="23" t="s">
        <v>738</v>
      </c>
      <c r="F168" s="23" t="str">
        <f t="shared" si="4"/>
        <v>rtdc.l.rtdc.4032:itc</v>
      </c>
      <c r="G168" s="8">
        <f t="shared" si="5"/>
        <v>42621.721203703702</v>
      </c>
    </row>
    <row r="169" spans="1:7" x14ac:dyDescent="0.25">
      <c r="A169" s="8">
        <v>42621.726805555554</v>
      </c>
      <c r="B169" s="23" t="s">
        <v>748</v>
      </c>
      <c r="C169" s="23" t="s">
        <v>581</v>
      </c>
      <c r="D169" s="23">
        <v>2030000</v>
      </c>
      <c r="E169" s="23" t="s">
        <v>186</v>
      </c>
      <c r="F169" s="23" t="str">
        <f t="shared" si="4"/>
        <v>rtdc.l.rtdc.4040:itc</v>
      </c>
      <c r="G169" s="8">
        <f t="shared" si="5"/>
        <v>42621.726805555554</v>
      </c>
    </row>
    <row r="170" spans="1:7" x14ac:dyDescent="0.25">
      <c r="A170" s="8">
        <v>42621.732442129629</v>
      </c>
      <c r="B170" s="23" t="s">
        <v>132</v>
      </c>
      <c r="C170" s="23" t="s">
        <v>703</v>
      </c>
      <c r="D170" s="23">
        <v>730000</v>
      </c>
      <c r="E170" s="23" t="s">
        <v>750</v>
      </c>
      <c r="F170" s="23" t="str">
        <f t="shared" si="4"/>
        <v>rtdc.l.rtdc.4038:itc</v>
      </c>
      <c r="G170" s="8">
        <f t="shared" si="5"/>
        <v>42621.732442129629</v>
      </c>
    </row>
    <row r="171" spans="1:7" x14ac:dyDescent="0.25">
      <c r="A171" s="8">
        <v>42621.734097222223</v>
      </c>
      <c r="B171" s="23" t="s">
        <v>89</v>
      </c>
      <c r="C171" s="23" t="s">
        <v>497</v>
      </c>
      <c r="D171" s="23">
        <v>2040000</v>
      </c>
      <c r="E171" s="23" t="s">
        <v>218</v>
      </c>
      <c r="F171" s="23" t="str">
        <f t="shared" si="4"/>
        <v>rtdc.l.rtdc.4013:itc</v>
      </c>
      <c r="G171" s="8">
        <f t="shared" si="5"/>
        <v>42621.734097222223</v>
      </c>
    </row>
    <row r="172" spans="1:7" x14ac:dyDescent="0.25">
      <c r="A172" s="8">
        <v>42621.73541666667</v>
      </c>
      <c r="B172" s="23" t="s">
        <v>90</v>
      </c>
      <c r="C172" s="23" t="s">
        <v>495</v>
      </c>
      <c r="D172" s="23">
        <v>2110000</v>
      </c>
      <c r="E172" s="23" t="s">
        <v>752</v>
      </c>
      <c r="F172" s="23" t="str">
        <f t="shared" si="4"/>
        <v>rtdc.l.rtdc.4030:itc</v>
      </c>
      <c r="G172" s="8">
        <f t="shared" si="5"/>
        <v>42621.73541666667</v>
      </c>
    </row>
    <row r="173" spans="1:7" x14ac:dyDescent="0.25">
      <c r="A173" s="8">
        <v>42621.736377314817</v>
      </c>
      <c r="B173" s="23" t="s">
        <v>182</v>
      </c>
      <c r="C173" s="23" t="s">
        <v>700</v>
      </c>
      <c r="D173" s="23">
        <v>1170000</v>
      </c>
      <c r="E173" s="23" t="s">
        <v>749</v>
      </c>
      <c r="F173" s="23" t="str">
        <f t="shared" si="4"/>
        <v>rtdc.l.rtdc.4001:itc</v>
      </c>
      <c r="G173" s="8">
        <f t="shared" si="5"/>
        <v>42621.736377314817</v>
      </c>
    </row>
    <row r="174" spans="1:7" x14ac:dyDescent="0.25">
      <c r="A174" s="8">
        <v>42621.739421296297</v>
      </c>
      <c r="B174" s="23" t="s">
        <v>477</v>
      </c>
      <c r="C174" s="23" t="s">
        <v>496</v>
      </c>
      <c r="D174" s="23">
        <v>2000000</v>
      </c>
      <c r="E174" s="23" t="s">
        <v>127</v>
      </c>
      <c r="F174" s="23" t="str">
        <f t="shared" si="4"/>
        <v>rtdc.l.rtdc.4016:itc</v>
      </c>
      <c r="G174" s="8">
        <f t="shared" si="5"/>
        <v>42621.739421296297</v>
      </c>
    </row>
    <row r="175" spans="1:7" x14ac:dyDescent="0.25">
      <c r="A175" s="8">
        <v>42621.740949074076</v>
      </c>
      <c r="B175" s="23" t="s">
        <v>202</v>
      </c>
      <c r="C175" s="23" t="s">
        <v>576</v>
      </c>
      <c r="D175" s="23">
        <v>2280000</v>
      </c>
      <c r="E175" s="23" t="s">
        <v>216</v>
      </c>
      <c r="F175" s="23" t="str">
        <f t="shared" si="4"/>
        <v>rtdc.l.rtdc.4010:itc</v>
      </c>
      <c r="G175" s="8">
        <f t="shared" si="5"/>
        <v>42621.740949074076</v>
      </c>
    </row>
    <row r="176" spans="1:7" x14ac:dyDescent="0.25">
      <c r="A176" s="8">
        <v>42621.743275462963</v>
      </c>
      <c r="B176" s="23" t="s">
        <v>90</v>
      </c>
      <c r="C176" s="23" t="s">
        <v>495</v>
      </c>
      <c r="D176" s="23">
        <v>2110000</v>
      </c>
      <c r="E176" s="23" t="s">
        <v>752</v>
      </c>
      <c r="F176" s="23" t="str">
        <f t="shared" si="4"/>
        <v>rtdc.l.rtdc.4030:itc</v>
      </c>
      <c r="G176" s="8">
        <f t="shared" si="5"/>
        <v>42621.743275462963</v>
      </c>
    </row>
    <row r="177" spans="1:7" x14ac:dyDescent="0.25">
      <c r="A177" s="8">
        <v>42621.748622685183</v>
      </c>
      <c r="B177" s="23" t="s">
        <v>180</v>
      </c>
      <c r="C177" s="23" t="s">
        <v>588</v>
      </c>
      <c r="D177" s="23">
        <v>1780000</v>
      </c>
      <c r="E177" s="23" t="s">
        <v>217</v>
      </c>
      <c r="F177" s="23" t="str">
        <f t="shared" si="4"/>
        <v>rtdc.l.rtdc.4011:itc</v>
      </c>
      <c r="G177" s="8">
        <f t="shared" si="5"/>
        <v>42621.748622685183</v>
      </c>
    </row>
    <row r="178" spans="1:7" x14ac:dyDescent="0.25">
      <c r="A178" s="8">
        <v>42621.748657407406</v>
      </c>
      <c r="B178" s="23" t="s">
        <v>214</v>
      </c>
      <c r="C178" s="23" t="s">
        <v>753</v>
      </c>
      <c r="D178" s="23">
        <v>1480000</v>
      </c>
      <c r="E178" s="23" t="s">
        <v>206</v>
      </c>
      <c r="F178" s="23" t="str">
        <f t="shared" si="4"/>
        <v>rtdc.l.rtdc.4045:itc</v>
      </c>
      <c r="G178" s="8">
        <f t="shared" si="5"/>
        <v>42621.748657407406</v>
      </c>
    </row>
    <row r="179" spans="1:7" x14ac:dyDescent="0.25">
      <c r="A179" s="8">
        <v>42621.753009259257</v>
      </c>
      <c r="B179" s="23" t="s">
        <v>479</v>
      </c>
      <c r="C179" s="23" t="s">
        <v>579</v>
      </c>
      <c r="D179" s="23">
        <v>2370000</v>
      </c>
      <c r="E179" s="23" t="s">
        <v>751</v>
      </c>
      <c r="F179" s="23" t="str">
        <f t="shared" si="4"/>
        <v>rtdc.l.rtdc.4017:itc</v>
      </c>
      <c r="G179" s="8">
        <f t="shared" si="5"/>
        <v>42621.753009259257</v>
      </c>
    </row>
    <row r="180" spans="1:7" x14ac:dyDescent="0.25">
      <c r="A180" s="8">
        <v>42621.756736111114</v>
      </c>
      <c r="B180" s="23" t="s">
        <v>481</v>
      </c>
      <c r="C180" s="23" t="s">
        <v>705</v>
      </c>
      <c r="D180" s="23">
        <v>730000</v>
      </c>
      <c r="E180" s="23" t="s">
        <v>750</v>
      </c>
      <c r="F180" s="23" t="str">
        <f t="shared" si="4"/>
        <v>rtdc.l.rtdc.4037:itc</v>
      </c>
      <c r="G180" s="8">
        <f t="shared" si="5"/>
        <v>42621.756736111114</v>
      </c>
    </row>
    <row r="181" spans="1:7" x14ac:dyDescent="0.25">
      <c r="A181" s="8">
        <v>42621.7575</v>
      </c>
      <c r="B181" s="23" t="s">
        <v>135</v>
      </c>
      <c r="C181" s="23" t="s">
        <v>708</v>
      </c>
      <c r="D181" s="23">
        <v>1170000</v>
      </c>
      <c r="E181" s="23" t="s">
        <v>749</v>
      </c>
      <c r="F181" s="23" t="str">
        <f t="shared" si="4"/>
        <v>rtdc.l.rtdc.4002:itc</v>
      </c>
      <c r="G181" s="8">
        <f t="shared" si="5"/>
        <v>42621.7575</v>
      </c>
    </row>
    <row r="182" spans="1:7" x14ac:dyDescent="0.25">
      <c r="A182" s="8">
        <v>42621.760740740741</v>
      </c>
      <c r="B182" s="23" t="s">
        <v>498</v>
      </c>
      <c r="C182" s="23" t="s">
        <v>499</v>
      </c>
      <c r="D182" s="23">
        <v>2030000</v>
      </c>
      <c r="E182" s="23" t="s">
        <v>186</v>
      </c>
      <c r="F182" s="23" t="str">
        <f t="shared" si="4"/>
        <v>rtdc.l.rtdc.4039:itc</v>
      </c>
      <c r="G182" s="8">
        <f t="shared" si="5"/>
        <v>42621.760740740741</v>
      </c>
    </row>
    <row r="183" spans="1:7" x14ac:dyDescent="0.25">
      <c r="A183" s="8">
        <v>42621.762928240743</v>
      </c>
      <c r="B183" s="23" t="s">
        <v>110</v>
      </c>
      <c r="C183" s="23" t="s">
        <v>592</v>
      </c>
      <c r="D183" s="23">
        <v>2110000</v>
      </c>
      <c r="E183" s="23" t="s">
        <v>752</v>
      </c>
      <c r="F183" s="23" t="str">
        <f t="shared" si="4"/>
        <v>rtdc.l.rtdc.4031:itc</v>
      </c>
      <c r="G183" s="8">
        <f t="shared" si="5"/>
        <v>42621.762928240743</v>
      </c>
    </row>
    <row r="184" spans="1:7" x14ac:dyDescent="0.25">
      <c r="A184" s="8">
        <v>42621.768078703702</v>
      </c>
      <c r="B184" s="23" t="s">
        <v>183</v>
      </c>
      <c r="C184" s="23" t="s">
        <v>754</v>
      </c>
      <c r="D184" s="23">
        <v>940000</v>
      </c>
      <c r="E184" s="23" t="s">
        <v>737</v>
      </c>
      <c r="F184" s="23" t="str">
        <f t="shared" si="4"/>
        <v>rtdc.l.rtdc.4044:itc</v>
      </c>
      <c r="G184" s="8">
        <f t="shared" si="5"/>
        <v>42621.768078703702</v>
      </c>
    </row>
    <row r="185" spans="1:7" x14ac:dyDescent="0.25">
      <c r="A185" s="8">
        <v>42621.770381944443</v>
      </c>
      <c r="B185" s="23" t="s">
        <v>108</v>
      </c>
      <c r="C185" s="23" t="s">
        <v>595</v>
      </c>
      <c r="D185" s="23">
        <v>2260000</v>
      </c>
      <c r="E185" s="23" t="s">
        <v>138</v>
      </c>
      <c r="F185" s="23" t="str">
        <f t="shared" si="4"/>
        <v>rtdc.l.rtdc.4014:itc</v>
      </c>
      <c r="G185" s="8">
        <f t="shared" si="5"/>
        <v>42621.770381944443</v>
      </c>
    </row>
    <row r="186" spans="1:7" x14ac:dyDescent="0.25">
      <c r="A186" s="8">
        <v>42621.775381944448</v>
      </c>
      <c r="B186" s="23" t="s">
        <v>132</v>
      </c>
      <c r="C186" s="23" t="s">
        <v>713</v>
      </c>
      <c r="D186" s="23">
        <v>730000</v>
      </c>
      <c r="E186" s="23" t="s">
        <v>750</v>
      </c>
      <c r="F186" s="23" t="str">
        <f t="shared" si="4"/>
        <v>rtdc.l.rtdc.4038:itc</v>
      </c>
      <c r="G186" s="8">
        <f t="shared" si="5"/>
        <v>42621.775381944448</v>
      </c>
    </row>
    <row r="187" spans="1:7" x14ac:dyDescent="0.25">
      <c r="A187" s="8">
        <v>42621.775717592594</v>
      </c>
      <c r="B187" s="23" t="s">
        <v>480</v>
      </c>
      <c r="C187" s="23" t="s">
        <v>500</v>
      </c>
      <c r="D187" s="23">
        <v>2000000</v>
      </c>
      <c r="E187" s="23" t="s">
        <v>127</v>
      </c>
      <c r="F187" s="23" t="str">
        <f t="shared" si="4"/>
        <v>rtdc.l.rtdc.4015:itc</v>
      </c>
      <c r="G187" s="8">
        <f t="shared" si="5"/>
        <v>42621.775717592594</v>
      </c>
    </row>
    <row r="188" spans="1:7" x14ac:dyDescent="0.25">
      <c r="A188" s="8">
        <v>42621.777083333334</v>
      </c>
      <c r="B188" s="23" t="s">
        <v>182</v>
      </c>
      <c r="C188" s="23" t="s">
        <v>711</v>
      </c>
      <c r="D188" s="23">
        <v>1170000</v>
      </c>
      <c r="E188" s="23" t="s">
        <v>749</v>
      </c>
      <c r="F188" s="23" t="str">
        <f t="shared" si="4"/>
        <v>rtdc.l.rtdc.4001:itc</v>
      </c>
      <c r="G188" s="8">
        <f t="shared" si="5"/>
        <v>42621.777083333334</v>
      </c>
    </row>
    <row r="189" spans="1:7" x14ac:dyDescent="0.25">
      <c r="A189" s="8">
        <v>42621.783807870372</v>
      </c>
      <c r="B189" s="23" t="s">
        <v>134</v>
      </c>
      <c r="C189" s="23" t="s">
        <v>648</v>
      </c>
      <c r="D189" s="23">
        <v>2280000</v>
      </c>
      <c r="E189" s="23" t="s">
        <v>216</v>
      </c>
      <c r="F189" s="23" t="str">
        <f t="shared" si="4"/>
        <v>rtdc.l.rtdc.4009:itc</v>
      </c>
      <c r="G189" s="8">
        <f t="shared" si="5"/>
        <v>42621.783807870372</v>
      </c>
    </row>
    <row r="190" spans="1:7" x14ac:dyDescent="0.25">
      <c r="A190" s="8">
        <v>42621.78634259259</v>
      </c>
      <c r="B190" s="23" t="s">
        <v>191</v>
      </c>
      <c r="C190" s="23" t="s">
        <v>590</v>
      </c>
      <c r="D190" s="23">
        <v>1780000</v>
      </c>
      <c r="E190" s="23" t="s">
        <v>217</v>
      </c>
      <c r="F190" s="23" t="str">
        <f t="shared" si="4"/>
        <v>rtdc.l.rtdc.4012:itc</v>
      </c>
      <c r="G190" s="8">
        <f t="shared" si="5"/>
        <v>42621.78634259259</v>
      </c>
    </row>
    <row r="191" spans="1:7" x14ac:dyDescent="0.25">
      <c r="A191" s="8">
        <v>42621.78733796296</v>
      </c>
      <c r="B191" s="23" t="s">
        <v>478</v>
      </c>
      <c r="C191" s="23" t="s">
        <v>598</v>
      </c>
      <c r="D191" s="23">
        <v>2370000</v>
      </c>
      <c r="E191" s="23" t="s">
        <v>751</v>
      </c>
      <c r="F191" s="23" t="str">
        <f t="shared" si="4"/>
        <v>rtdc.l.rtdc.4018:itc</v>
      </c>
      <c r="G191" s="8">
        <f t="shared" si="5"/>
        <v>42621.78733796296</v>
      </c>
    </row>
    <row r="192" spans="1:7" x14ac:dyDescent="0.25">
      <c r="A192" s="8">
        <v>42621.791805555556</v>
      </c>
      <c r="B192" s="23" t="s">
        <v>135</v>
      </c>
      <c r="C192" s="23" t="s">
        <v>501</v>
      </c>
      <c r="D192" s="23">
        <v>1170000</v>
      </c>
      <c r="E192" s="23" t="s">
        <v>749</v>
      </c>
      <c r="F192" s="23" t="str">
        <f t="shared" si="4"/>
        <v>rtdc.l.rtdc.4002:itc</v>
      </c>
      <c r="G192" s="8">
        <f t="shared" si="5"/>
        <v>42621.791805555556</v>
      </c>
    </row>
    <row r="193" spans="1:7" x14ac:dyDescent="0.25">
      <c r="A193" s="8">
        <v>42621.794687499998</v>
      </c>
      <c r="B193" s="23" t="s">
        <v>111</v>
      </c>
      <c r="C193" s="23" t="s">
        <v>594</v>
      </c>
      <c r="D193" s="23">
        <v>2110000</v>
      </c>
      <c r="E193" s="23" t="s">
        <v>752</v>
      </c>
      <c r="F193" s="23" t="str">
        <f t="shared" si="4"/>
        <v>rtdc.l.rtdc.4032:itc</v>
      </c>
      <c r="G193" s="8">
        <f t="shared" si="5"/>
        <v>42621.794687499998</v>
      </c>
    </row>
    <row r="194" spans="1:7" x14ac:dyDescent="0.25">
      <c r="A194" s="8">
        <v>42621.798460648148</v>
      </c>
      <c r="B194" s="23" t="s">
        <v>481</v>
      </c>
      <c r="C194" s="23" t="s">
        <v>725</v>
      </c>
      <c r="D194" s="23">
        <v>730000</v>
      </c>
      <c r="E194" s="23" t="s">
        <v>750</v>
      </c>
      <c r="F194" s="23" t="str">
        <f t="shared" ref="F194:F235" si="6">B194</f>
        <v>rtdc.l.rtdc.4037:itc</v>
      </c>
      <c r="G194" s="8">
        <f t="shared" ref="G194:G235" si="7">A194</f>
        <v>42621.798460648148</v>
      </c>
    </row>
    <row r="195" spans="1:7" x14ac:dyDescent="0.25">
      <c r="A195" s="8">
        <v>42621.800057870372</v>
      </c>
      <c r="B195" s="23" t="s">
        <v>748</v>
      </c>
      <c r="C195" s="23" t="s">
        <v>755</v>
      </c>
      <c r="D195" s="23">
        <v>2030000</v>
      </c>
      <c r="E195" s="23" t="s">
        <v>186</v>
      </c>
      <c r="F195" s="23" t="str">
        <f t="shared" si="6"/>
        <v>rtdc.l.rtdc.4040:itc</v>
      </c>
      <c r="G195" s="8">
        <f t="shared" si="7"/>
        <v>42621.800057870372</v>
      </c>
    </row>
    <row r="196" spans="1:7" x14ac:dyDescent="0.25">
      <c r="A196" s="8">
        <v>42621.805625000001</v>
      </c>
      <c r="B196" s="23" t="s">
        <v>89</v>
      </c>
      <c r="C196" s="23" t="s">
        <v>597</v>
      </c>
      <c r="D196" s="23">
        <v>2260000</v>
      </c>
      <c r="E196" s="23" t="s">
        <v>138</v>
      </c>
      <c r="F196" s="23" t="str">
        <f t="shared" si="6"/>
        <v>rtdc.l.rtdc.4013:itc</v>
      </c>
      <c r="G196" s="8">
        <f t="shared" si="7"/>
        <v>42621.805625000001</v>
      </c>
    </row>
    <row r="197" spans="1:7" x14ac:dyDescent="0.25">
      <c r="A197" s="8">
        <v>42621.808564814812</v>
      </c>
      <c r="B197" s="23" t="s">
        <v>477</v>
      </c>
      <c r="C197" s="23" t="s">
        <v>601</v>
      </c>
      <c r="D197" s="23">
        <v>2000000</v>
      </c>
      <c r="E197" s="23" t="s">
        <v>127</v>
      </c>
      <c r="F197" s="23" t="str">
        <f t="shared" si="6"/>
        <v>rtdc.l.rtdc.4016:itc</v>
      </c>
      <c r="G197" s="8">
        <f t="shared" si="7"/>
        <v>42621.808564814812</v>
      </c>
    </row>
    <row r="198" spans="1:7" x14ac:dyDescent="0.25">
      <c r="A198" s="8">
        <v>42621.819363425922</v>
      </c>
      <c r="B198" s="23" t="s">
        <v>182</v>
      </c>
      <c r="C198" s="23" t="s">
        <v>503</v>
      </c>
      <c r="D198" s="23">
        <v>1170000</v>
      </c>
      <c r="E198" s="23" t="s">
        <v>749</v>
      </c>
      <c r="F198" s="23" t="str">
        <f t="shared" si="6"/>
        <v>rtdc.l.rtdc.4001:itc</v>
      </c>
      <c r="G198" s="8">
        <f t="shared" si="7"/>
        <v>42621.819363425922</v>
      </c>
    </row>
    <row r="199" spans="1:7" x14ac:dyDescent="0.25">
      <c r="A199" s="8">
        <v>42621.820185185185</v>
      </c>
      <c r="B199" s="23" t="s">
        <v>180</v>
      </c>
      <c r="C199" s="23" t="s">
        <v>651</v>
      </c>
      <c r="D199" s="23">
        <v>1780000</v>
      </c>
      <c r="E199" s="23" t="s">
        <v>217</v>
      </c>
      <c r="F199" s="23" t="str">
        <f t="shared" si="6"/>
        <v>rtdc.l.rtdc.4011:itc</v>
      </c>
      <c r="G199" s="8">
        <f t="shared" si="7"/>
        <v>42621.820185185185</v>
      </c>
    </row>
    <row r="200" spans="1:7" x14ac:dyDescent="0.25">
      <c r="A200" s="8">
        <v>42621.823993055557</v>
      </c>
      <c r="B200" s="23" t="s">
        <v>479</v>
      </c>
      <c r="C200" s="23" t="s">
        <v>504</v>
      </c>
      <c r="D200" s="23">
        <v>2370000</v>
      </c>
      <c r="E200" s="23" t="s">
        <v>751</v>
      </c>
      <c r="F200" s="23" t="str">
        <f t="shared" si="6"/>
        <v>rtdc.l.rtdc.4017:itc</v>
      </c>
      <c r="G200" s="8">
        <f t="shared" si="7"/>
        <v>42621.823993055557</v>
      </c>
    </row>
    <row r="201" spans="1:7" x14ac:dyDescent="0.25">
      <c r="A201" s="8">
        <v>42621.830925925926</v>
      </c>
      <c r="B201" s="23" t="s">
        <v>110</v>
      </c>
      <c r="C201" s="23" t="s">
        <v>605</v>
      </c>
      <c r="D201" s="23">
        <v>2110000</v>
      </c>
      <c r="E201" s="23" t="s">
        <v>752</v>
      </c>
      <c r="F201" s="23" t="str">
        <f t="shared" si="6"/>
        <v>rtdc.l.rtdc.4031:itc</v>
      </c>
      <c r="G201" s="8">
        <f t="shared" si="7"/>
        <v>42621.830925925926</v>
      </c>
    </row>
    <row r="202" spans="1:7" x14ac:dyDescent="0.25">
      <c r="A202" s="29">
        <v>42621.844166666669</v>
      </c>
      <c r="B202" s="23" t="s">
        <v>135</v>
      </c>
      <c r="C202" s="23" t="s">
        <v>720</v>
      </c>
      <c r="D202" s="23">
        <v>1170000</v>
      </c>
      <c r="E202" s="23" t="s">
        <v>749</v>
      </c>
      <c r="F202" s="23" t="str">
        <f t="shared" si="6"/>
        <v>rtdc.l.rtdc.4002:itc</v>
      </c>
      <c r="G202" s="8">
        <f t="shared" si="7"/>
        <v>42621.844166666669</v>
      </c>
    </row>
    <row r="203" spans="1:7" x14ac:dyDescent="0.25">
      <c r="A203" s="8">
        <v>42621.848715277774</v>
      </c>
      <c r="B203" s="23" t="s">
        <v>480</v>
      </c>
      <c r="C203" s="23" t="s">
        <v>602</v>
      </c>
      <c r="D203" s="23">
        <v>2000000</v>
      </c>
      <c r="E203" s="23" t="s">
        <v>127</v>
      </c>
      <c r="F203" s="23" t="str">
        <f t="shared" si="6"/>
        <v>rtdc.l.rtdc.4015:itc</v>
      </c>
      <c r="G203" s="8">
        <f t="shared" si="7"/>
        <v>42621.848715277774</v>
      </c>
    </row>
    <row r="204" spans="1:7" x14ac:dyDescent="0.25">
      <c r="A204" s="8">
        <v>42621.850069444445</v>
      </c>
      <c r="B204" s="23" t="s">
        <v>108</v>
      </c>
      <c r="C204" s="23" t="s">
        <v>608</v>
      </c>
      <c r="D204" s="23">
        <v>2260000</v>
      </c>
      <c r="E204" s="23" t="s">
        <v>138</v>
      </c>
      <c r="F204" s="23" t="str">
        <f t="shared" si="6"/>
        <v>rtdc.l.rtdc.4014:itc</v>
      </c>
      <c r="G204" s="8">
        <f t="shared" si="7"/>
        <v>42621.850069444445</v>
      </c>
    </row>
    <row r="205" spans="1:7" x14ac:dyDescent="0.25">
      <c r="A205" s="8">
        <v>42621.860208333332</v>
      </c>
      <c r="B205" s="23" t="s">
        <v>182</v>
      </c>
      <c r="C205" s="23" t="s">
        <v>505</v>
      </c>
      <c r="D205" s="23">
        <v>1170000</v>
      </c>
      <c r="E205" s="23" t="s">
        <v>749</v>
      </c>
      <c r="F205" s="23" t="str">
        <f t="shared" si="6"/>
        <v>rtdc.l.rtdc.4001:itc</v>
      </c>
      <c r="G205" s="8">
        <f t="shared" si="7"/>
        <v>42621.860208333332</v>
      </c>
    </row>
    <row r="206" spans="1:7" x14ac:dyDescent="0.25">
      <c r="A206" s="8">
        <v>42621.868888888886</v>
      </c>
      <c r="B206" s="23" t="s">
        <v>111</v>
      </c>
      <c r="C206" s="23" t="s">
        <v>606</v>
      </c>
      <c r="D206" s="23">
        <v>2110000</v>
      </c>
      <c r="E206" s="23" t="s">
        <v>752</v>
      </c>
      <c r="F206" s="23" t="str">
        <f t="shared" si="6"/>
        <v>rtdc.l.rtdc.4032:itc</v>
      </c>
      <c r="G206" s="8">
        <f t="shared" si="7"/>
        <v>42621.868888888886</v>
      </c>
    </row>
    <row r="207" spans="1:7" x14ac:dyDescent="0.25">
      <c r="A207" s="8">
        <v>42621.869895833333</v>
      </c>
      <c r="B207" s="23" t="s">
        <v>478</v>
      </c>
      <c r="C207" s="23" t="s">
        <v>506</v>
      </c>
      <c r="D207" s="23">
        <v>2370000</v>
      </c>
      <c r="E207" s="23" t="s">
        <v>751</v>
      </c>
      <c r="F207" s="23" t="str">
        <f t="shared" si="6"/>
        <v>rtdc.l.rtdc.4018:itc</v>
      </c>
      <c r="G207" s="8">
        <f t="shared" si="7"/>
        <v>42621.869895833333</v>
      </c>
    </row>
    <row r="208" spans="1:7" x14ac:dyDescent="0.25">
      <c r="A208" s="8">
        <v>42621.881643518522</v>
      </c>
      <c r="B208" s="23" t="s">
        <v>477</v>
      </c>
      <c r="C208" s="23" t="s">
        <v>613</v>
      </c>
      <c r="D208" s="23">
        <v>2000000</v>
      </c>
      <c r="E208" s="23" t="s">
        <v>127</v>
      </c>
      <c r="F208" s="23" t="str">
        <f t="shared" si="6"/>
        <v>rtdc.l.rtdc.4016:itc</v>
      </c>
      <c r="G208" s="8">
        <f t="shared" si="7"/>
        <v>42621.881643518522</v>
      </c>
    </row>
    <row r="209" spans="1:7" x14ac:dyDescent="0.25">
      <c r="A209" s="8">
        <v>42621.886782407404</v>
      </c>
      <c r="B209" s="23" t="s">
        <v>135</v>
      </c>
      <c r="C209" s="23" t="s">
        <v>723</v>
      </c>
      <c r="D209" s="23">
        <v>730000</v>
      </c>
      <c r="E209" s="23" t="s">
        <v>750</v>
      </c>
      <c r="F209" s="23" t="str">
        <f t="shared" si="6"/>
        <v>rtdc.l.rtdc.4002:itc</v>
      </c>
      <c r="G209" s="8">
        <f t="shared" si="7"/>
        <v>42621.886782407404</v>
      </c>
    </row>
    <row r="210" spans="1:7" x14ac:dyDescent="0.25">
      <c r="A210" s="8">
        <v>42621.89025462963</v>
      </c>
      <c r="B210" s="23" t="s">
        <v>89</v>
      </c>
      <c r="C210" s="23" t="s">
        <v>609</v>
      </c>
      <c r="D210" s="23">
        <v>2260000</v>
      </c>
      <c r="E210" s="23" t="s">
        <v>138</v>
      </c>
      <c r="F210" s="23" t="str">
        <f t="shared" si="6"/>
        <v>rtdc.l.rtdc.4013:itc</v>
      </c>
      <c r="G210" s="8">
        <f t="shared" si="7"/>
        <v>42621.89025462963</v>
      </c>
    </row>
    <row r="211" spans="1:7" x14ac:dyDescent="0.25">
      <c r="A211" s="8">
        <v>42621.902974537035</v>
      </c>
      <c r="B211" s="23" t="s">
        <v>182</v>
      </c>
      <c r="C211" s="23" t="s">
        <v>756</v>
      </c>
      <c r="D211" s="23">
        <v>730000</v>
      </c>
      <c r="E211" s="23" t="s">
        <v>750</v>
      </c>
      <c r="F211" s="23" t="str">
        <f t="shared" si="6"/>
        <v>rtdc.l.rtdc.4001:itc</v>
      </c>
      <c r="G211" s="8">
        <f t="shared" si="7"/>
        <v>42621.902974537035</v>
      </c>
    </row>
    <row r="212" spans="1:7" x14ac:dyDescent="0.25">
      <c r="A212" s="8">
        <v>42621.90898148148</v>
      </c>
      <c r="B212" s="23" t="s">
        <v>479</v>
      </c>
      <c r="C212" s="23" t="s">
        <v>611</v>
      </c>
      <c r="D212" s="23">
        <v>2370000</v>
      </c>
      <c r="E212" s="23" t="s">
        <v>751</v>
      </c>
      <c r="F212" s="23" t="str">
        <f t="shared" si="6"/>
        <v>rtdc.l.rtdc.4017:itc</v>
      </c>
      <c r="G212" s="8">
        <f t="shared" si="7"/>
        <v>42621.90898148148</v>
      </c>
    </row>
    <row r="213" spans="1:7" x14ac:dyDescent="0.25">
      <c r="A213" s="8">
        <v>42621.910069444442</v>
      </c>
      <c r="B213" s="23" t="s">
        <v>110</v>
      </c>
      <c r="C213" s="23" t="s">
        <v>619</v>
      </c>
      <c r="D213" s="23">
        <v>2110000</v>
      </c>
      <c r="E213" s="23" t="s">
        <v>752</v>
      </c>
      <c r="F213" s="23" t="str">
        <f t="shared" si="6"/>
        <v>rtdc.l.rtdc.4031:itc</v>
      </c>
      <c r="G213" s="8">
        <f t="shared" si="7"/>
        <v>42621.910069444442</v>
      </c>
    </row>
    <row r="214" spans="1:7" x14ac:dyDescent="0.25">
      <c r="A214" s="8">
        <v>42621.927719907406</v>
      </c>
      <c r="B214" s="23" t="s">
        <v>135</v>
      </c>
      <c r="C214" s="23" t="s">
        <v>757</v>
      </c>
      <c r="D214" s="23">
        <v>730000</v>
      </c>
      <c r="E214" s="23" t="s">
        <v>750</v>
      </c>
      <c r="F214" s="23" t="str">
        <f t="shared" si="6"/>
        <v>rtdc.l.rtdc.4002:itc</v>
      </c>
      <c r="G214" s="8">
        <f t="shared" si="7"/>
        <v>42621.927719907406</v>
      </c>
    </row>
    <row r="215" spans="1:7" x14ac:dyDescent="0.25">
      <c r="A215" s="8">
        <v>42621.928622685184</v>
      </c>
      <c r="B215" s="23" t="s">
        <v>135</v>
      </c>
      <c r="C215" s="23" t="s">
        <v>757</v>
      </c>
      <c r="D215" s="23">
        <v>730000</v>
      </c>
      <c r="E215" s="23" t="s">
        <v>750</v>
      </c>
      <c r="F215" s="23" t="str">
        <f t="shared" si="6"/>
        <v>rtdc.l.rtdc.4002:itc</v>
      </c>
      <c r="G215" s="8">
        <f t="shared" si="7"/>
        <v>42621.928622685184</v>
      </c>
    </row>
    <row r="216" spans="1:7" x14ac:dyDescent="0.25">
      <c r="A216" s="8">
        <v>42621.92863425926</v>
      </c>
      <c r="B216" s="23" t="s">
        <v>108</v>
      </c>
      <c r="C216" s="23" t="s">
        <v>624</v>
      </c>
      <c r="D216" s="23">
        <v>1480000</v>
      </c>
      <c r="E216" s="23" t="s">
        <v>206</v>
      </c>
      <c r="F216" s="23" t="str">
        <f t="shared" si="6"/>
        <v>rtdc.l.rtdc.4014:itc</v>
      </c>
      <c r="G216" s="8">
        <f t="shared" si="7"/>
        <v>42621.92863425926</v>
      </c>
    </row>
    <row r="217" spans="1:7" x14ac:dyDescent="0.25">
      <c r="A217" s="8">
        <v>42621.93173611111</v>
      </c>
      <c r="B217" s="23" t="s">
        <v>135</v>
      </c>
      <c r="C217" s="23" t="s">
        <v>757</v>
      </c>
      <c r="D217" s="23">
        <v>730000</v>
      </c>
      <c r="E217" s="23" t="s">
        <v>750</v>
      </c>
      <c r="F217" s="23" t="str">
        <f t="shared" si="6"/>
        <v>rtdc.l.rtdc.4002:itc</v>
      </c>
      <c r="G217" s="8">
        <f t="shared" si="7"/>
        <v>42621.93173611111</v>
      </c>
    </row>
    <row r="218" spans="1:7" x14ac:dyDescent="0.25">
      <c r="A218" s="8">
        <v>42621.932511574072</v>
      </c>
      <c r="B218" s="23" t="s">
        <v>480</v>
      </c>
      <c r="C218" s="23" t="s">
        <v>616</v>
      </c>
      <c r="D218" s="23">
        <v>2000000</v>
      </c>
      <c r="E218" s="23" t="s">
        <v>127</v>
      </c>
      <c r="F218" s="23" t="str">
        <f t="shared" si="6"/>
        <v>rtdc.l.rtdc.4015:itc</v>
      </c>
      <c r="G218" s="8">
        <f t="shared" si="7"/>
        <v>42621.932511574072</v>
      </c>
    </row>
    <row r="219" spans="1:7" x14ac:dyDescent="0.25">
      <c r="A219" s="8">
        <v>42621.947094907409</v>
      </c>
      <c r="B219" s="23" t="s">
        <v>478</v>
      </c>
      <c r="C219" s="23" t="s">
        <v>507</v>
      </c>
      <c r="D219" s="23">
        <v>2370000</v>
      </c>
      <c r="E219" s="23" t="s">
        <v>751</v>
      </c>
      <c r="F219" s="23" t="str">
        <f t="shared" si="6"/>
        <v>rtdc.l.rtdc.4018:itc</v>
      </c>
      <c r="G219" s="8">
        <f t="shared" si="7"/>
        <v>42621.947094907409</v>
      </c>
    </row>
    <row r="220" spans="1:7" x14ac:dyDescent="0.25">
      <c r="A220" s="8">
        <v>42621.951493055552</v>
      </c>
      <c r="B220" s="23" t="s">
        <v>758</v>
      </c>
      <c r="C220" s="23" t="s">
        <v>622</v>
      </c>
      <c r="D220" s="23">
        <v>2110000</v>
      </c>
      <c r="E220" s="23" t="s">
        <v>752</v>
      </c>
      <c r="F220" s="23" t="str">
        <f t="shared" si="6"/>
        <v>rtdc.l.rtdc.4028:itc</v>
      </c>
      <c r="G220" s="8">
        <f t="shared" si="7"/>
        <v>42621.951493055552</v>
      </c>
    </row>
    <row r="221" spans="1:7" x14ac:dyDescent="0.25">
      <c r="A221" s="8">
        <v>42621.952326388891</v>
      </c>
      <c r="B221" s="23" t="s">
        <v>758</v>
      </c>
      <c r="C221" s="23" t="s">
        <v>622</v>
      </c>
      <c r="D221" s="23">
        <v>2110000</v>
      </c>
      <c r="E221" s="23" t="s">
        <v>752</v>
      </c>
      <c r="F221" s="23" t="str">
        <f t="shared" si="6"/>
        <v>rtdc.l.rtdc.4028:itc</v>
      </c>
      <c r="G221" s="8">
        <f t="shared" si="7"/>
        <v>42621.952326388891</v>
      </c>
    </row>
    <row r="222" spans="1:7" x14ac:dyDescent="0.25">
      <c r="A222" s="8">
        <v>42621.953634259262</v>
      </c>
      <c r="B222" s="23" t="s">
        <v>758</v>
      </c>
      <c r="C222" s="23" t="s">
        <v>622</v>
      </c>
      <c r="D222" s="23">
        <v>2110000</v>
      </c>
      <c r="E222" s="23" t="s">
        <v>752</v>
      </c>
      <c r="F222" s="23" t="str">
        <f t="shared" si="6"/>
        <v>rtdc.l.rtdc.4028:itc</v>
      </c>
      <c r="G222" s="8">
        <f t="shared" si="7"/>
        <v>42621.953634259262</v>
      </c>
    </row>
    <row r="223" spans="1:7" x14ac:dyDescent="0.25">
      <c r="A223" s="8">
        <v>42621.966249999998</v>
      </c>
      <c r="B223" s="23" t="s">
        <v>477</v>
      </c>
      <c r="C223" s="23" t="s">
        <v>633</v>
      </c>
      <c r="D223" s="23">
        <v>2000000</v>
      </c>
      <c r="E223" s="23" t="s">
        <v>127</v>
      </c>
      <c r="F223" s="23" t="str">
        <f t="shared" si="6"/>
        <v>rtdc.l.rtdc.4016:itc</v>
      </c>
      <c r="G223" s="8">
        <f t="shared" si="7"/>
        <v>42621.966249999998</v>
      </c>
    </row>
    <row r="224" spans="1:7" x14ac:dyDescent="0.25">
      <c r="A224" s="8">
        <v>42621.971550925926</v>
      </c>
      <c r="B224" t="s">
        <v>90</v>
      </c>
      <c r="C224" t="s">
        <v>626</v>
      </c>
      <c r="D224">
        <v>1480000</v>
      </c>
      <c r="E224" t="s">
        <v>206</v>
      </c>
      <c r="F224" s="23" t="str">
        <f t="shared" si="6"/>
        <v>rtdc.l.rtdc.4030:itc</v>
      </c>
      <c r="G224" s="8">
        <f t="shared" si="7"/>
        <v>42621.971550925926</v>
      </c>
    </row>
    <row r="225" spans="1:7" x14ac:dyDescent="0.25">
      <c r="A225" s="8">
        <v>42621.991898148146</v>
      </c>
      <c r="B225" t="s">
        <v>110</v>
      </c>
      <c r="C225" t="s">
        <v>638</v>
      </c>
      <c r="D225">
        <v>2110000</v>
      </c>
      <c r="E225" t="s">
        <v>752</v>
      </c>
      <c r="F225" s="23" t="str">
        <f t="shared" si="6"/>
        <v>rtdc.l.rtdc.4031:itc</v>
      </c>
      <c r="G225" s="8">
        <f t="shared" si="7"/>
        <v>42621.991898148146</v>
      </c>
    </row>
    <row r="226" spans="1:7" x14ac:dyDescent="0.25">
      <c r="A226" s="8">
        <v>42621.992511574077</v>
      </c>
      <c r="B226" t="s">
        <v>110</v>
      </c>
      <c r="C226" t="s">
        <v>638</v>
      </c>
      <c r="D226">
        <v>2110000</v>
      </c>
      <c r="E226" t="s">
        <v>752</v>
      </c>
      <c r="F226" s="23" t="str">
        <f t="shared" si="6"/>
        <v>rtdc.l.rtdc.4031:itc</v>
      </c>
      <c r="G226" s="8">
        <f t="shared" si="7"/>
        <v>42621.992511574077</v>
      </c>
    </row>
    <row r="227" spans="1:7" x14ac:dyDescent="0.25">
      <c r="A227" s="8">
        <v>42621.993402777778</v>
      </c>
      <c r="B227" t="s">
        <v>173</v>
      </c>
      <c r="C227" t="s">
        <v>631</v>
      </c>
      <c r="D227">
        <v>2370000</v>
      </c>
      <c r="E227" t="s">
        <v>751</v>
      </c>
      <c r="F227" s="23" t="str">
        <f t="shared" si="6"/>
        <v>rtdc.l.rtdc.4019:itc</v>
      </c>
      <c r="G227" s="8">
        <f t="shared" si="7"/>
        <v>42621.993402777778</v>
      </c>
    </row>
    <row r="228" spans="1:7" x14ac:dyDescent="0.25">
      <c r="A228" s="8">
        <v>42621.993483796294</v>
      </c>
      <c r="B228" t="s">
        <v>110</v>
      </c>
      <c r="C228" t="s">
        <v>638</v>
      </c>
      <c r="D228">
        <v>2110000</v>
      </c>
      <c r="E228" t="s">
        <v>752</v>
      </c>
      <c r="F228" s="23" t="str">
        <f t="shared" si="6"/>
        <v>rtdc.l.rtdc.4031:itc</v>
      </c>
      <c r="G228" s="8">
        <f t="shared" si="7"/>
        <v>42621.993483796294</v>
      </c>
    </row>
    <row r="229" spans="1:7" x14ac:dyDescent="0.25">
      <c r="A229" s="8">
        <v>42622.014363425929</v>
      </c>
      <c r="B229" t="s">
        <v>189</v>
      </c>
      <c r="C229" t="s">
        <v>635</v>
      </c>
      <c r="D229">
        <v>2000000</v>
      </c>
      <c r="E229" t="s">
        <v>127</v>
      </c>
      <c r="F229" s="23" t="str">
        <f t="shared" si="6"/>
        <v>rtdc.l.rtdc.4026:itc</v>
      </c>
      <c r="G229" s="8">
        <f t="shared" si="7"/>
        <v>42622.014363425929</v>
      </c>
    </row>
    <row r="230" spans="1:7" x14ac:dyDescent="0.25">
      <c r="A230" s="8">
        <v>42622.016435185185</v>
      </c>
      <c r="B230" t="s">
        <v>108</v>
      </c>
      <c r="C230" t="s">
        <v>643</v>
      </c>
      <c r="D230">
        <v>2260000</v>
      </c>
      <c r="E230" t="s">
        <v>138</v>
      </c>
      <c r="F230" s="23" t="str">
        <f t="shared" si="6"/>
        <v>rtdc.l.rtdc.4014:itc</v>
      </c>
      <c r="G230" s="8">
        <f t="shared" si="7"/>
        <v>42622.016435185185</v>
      </c>
    </row>
    <row r="231" spans="1:7" x14ac:dyDescent="0.25">
      <c r="A231" s="8">
        <v>42622.033784722225</v>
      </c>
      <c r="B231" t="s">
        <v>478</v>
      </c>
      <c r="C231" t="s">
        <v>654</v>
      </c>
      <c r="D231">
        <v>2370000</v>
      </c>
      <c r="E231" t="s">
        <v>751</v>
      </c>
      <c r="F231" s="23" t="str">
        <f t="shared" si="6"/>
        <v>rtdc.l.rtdc.4018:itc</v>
      </c>
      <c r="G231" s="8">
        <f t="shared" si="7"/>
        <v>42622.033784722225</v>
      </c>
    </row>
    <row r="232" spans="1:7" x14ac:dyDescent="0.25">
      <c r="A232" s="8">
        <v>42622.036238425928</v>
      </c>
      <c r="B232" t="s">
        <v>758</v>
      </c>
      <c r="C232" t="s">
        <v>641</v>
      </c>
      <c r="D232">
        <v>2110000</v>
      </c>
      <c r="E232" t="s">
        <v>752</v>
      </c>
      <c r="F232" s="23" t="str">
        <f t="shared" si="6"/>
        <v>rtdc.l.rtdc.4028:itc</v>
      </c>
      <c r="G232" s="8">
        <f t="shared" si="7"/>
        <v>42622.036238425928</v>
      </c>
    </row>
    <row r="233" spans="1:7" x14ac:dyDescent="0.25">
      <c r="A233" s="8">
        <v>42622.037129629629</v>
      </c>
      <c r="B233" t="s">
        <v>758</v>
      </c>
      <c r="C233" t="s">
        <v>641</v>
      </c>
      <c r="D233">
        <v>2110000</v>
      </c>
      <c r="E233" t="s">
        <v>752</v>
      </c>
      <c r="F233" s="23" t="str">
        <f t="shared" si="6"/>
        <v>rtdc.l.rtdc.4028:itc</v>
      </c>
      <c r="G233" s="8">
        <f t="shared" si="7"/>
        <v>42622.037129629629</v>
      </c>
    </row>
    <row r="234" spans="1:7" x14ac:dyDescent="0.25">
      <c r="A234" s="8">
        <v>42622.049895833334</v>
      </c>
      <c r="B234" t="s">
        <v>477</v>
      </c>
      <c r="C234" t="s">
        <v>656</v>
      </c>
      <c r="D234">
        <v>2000000</v>
      </c>
      <c r="E234" t="s">
        <v>127</v>
      </c>
      <c r="F234" s="23" t="str">
        <f t="shared" si="6"/>
        <v>rtdc.l.rtdc.4016:itc</v>
      </c>
      <c r="G234" s="8">
        <f t="shared" si="7"/>
        <v>42622.049895833334</v>
      </c>
    </row>
    <row r="235" spans="1:7" x14ac:dyDescent="0.25">
      <c r="A235" s="8">
        <v>42622.057581018518</v>
      </c>
      <c r="B235" t="s">
        <v>90</v>
      </c>
      <c r="C235" t="s">
        <v>645</v>
      </c>
      <c r="D235">
        <v>2260000</v>
      </c>
      <c r="E235" t="s">
        <v>138</v>
      </c>
      <c r="F235" s="23" t="str">
        <f t="shared" si="6"/>
        <v>rtdc.l.rtdc.4030:itc</v>
      </c>
      <c r="G235" s="8">
        <f t="shared" si="7"/>
        <v>42622.057581018518</v>
      </c>
    </row>
    <row r="236" spans="1:7" x14ac:dyDescent="0.25">
      <c r="A236" s="8">
        <v>42622.071087962962</v>
      </c>
      <c r="B236" t="s">
        <v>110</v>
      </c>
      <c r="C236" t="s">
        <v>659</v>
      </c>
      <c r="D236">
        <v>2110000</v>
      </c>
      <c r="E236" t="s">
        <v>752</v>
      </c>
      <c r="F236" s="23" t="str">
        <f t="shared" ref="F236:F265" si="8">B236</f>
        <v>rtdc.l.rtdc.4031:itc</v>
      </c>
      <c r="G236" s="8">
        <f t="shared" ref="G236:G265" si="9">A236</f>
        <v>42622.071087962962</v>
      </c>
    </row>
    <row r="237" spans="1:7" x14ac:dyDescent="0.25">
      <c r="A237" s="8">
        <v>42622.072187500002</v>
      </c>
      <c r="B237" t="s">
        <v>110</v>
      </c>
      <c r="C237" t="s">
        <v>659</v>
      </c>
      <c r="D237">
        <v>2110000</v>
      </c>
      <c r="E237" t="s">
        <v>752</v>
      </c>
      <c r="F237" s="23" t="str">
        <f t="shared" si="8"/>
        <v>rtdc.l.rtdc.4031:itc</v>
      </c>
      <c r="G237" s="8">
        <f t="shared" si="9"/>
        <v>42622.072187500002</v>
      </c>
    </row>
    <row r="238" spans="1:7" x14ac:dyDescent="0.25">
      <c r="A238" s="8">
        <v>42622.09233796296</v>
      </c>
      <c r="B238" t="s">
        <v>108</v>
      </c>
      <c r="C238" t="s">
        <v>661</v>
      </c>
      <c r="D238">
        <v>2260000</v>
      </c>
      <c r="E238" t="s">
        <v>138</v>
      </c>
      <c r="F238" s="23" t="str">
        <f t="shared" si="8"/>
        <v>rtdc.l.rtdc.4014:itc</v>
      </c>
      <c r="G238" s="8">
        <f t="shared" si="9"/>
        <v>42622.09233796296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173</v>
      </c>
      <c r="C240" t="s">
        <v>222</v>
      </c>
      <c r="D240">
        <v>1300000</v>
      </c>
      <c r="E240" t="s">
        <v>126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134</v>
      </c>
      <c r="C241" t="s">
        <v>223</v>
      </c>
      <c r="D241">
        <v>2260000</v>
      </c>
      <c r="E241" t="s">
        <v>138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201</v>
      </c>
      <c r="C242" t="s">
        <v>224</v>
      </c>
      <c r="D242">
        <v>1200000</v>
      </c>
      <c r="E242" t="s">
        <v>220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187</v>
      </c>
      <c r="C243" t="s">
        <v>225</v>
      </c>
      <c r="D243">
        <v>2000000</v>
      </c>
      <c r="E243" t="s">
        <v>127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174</v>
      </c>
      <c r="C244" t="s">
        <v>226</v>
      </c>
      <c r="D244">
        <v>1300000</v>
      </c>
      <c r="E244" t="s">
        <v>126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202</v>
      </c>
      <c r="C245" t="s">
        <v>227</v>
      </c>
      <c r="D245">
        <v>2260000</v>
      </c>
      <c r="E245" t="s">
        <v>138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189</v>
      </c>
      <c r="C246" t="s">
        <v>228</v>
      </c>
      <c r="D246">
        <v>2000000</v>
      </c>
      <c r="E246" t="s">
        <v>127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204</v>
      </c>
      <c r="C247" t="s">
        <v>229</v>
      </c>
      <c r="D247">
        <v>1290000</v>
      </c>
      <c r="E247" t="s">
        <v>190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134</v>
      </c>
      <c r="C248" t="s">
        <v>230</v>
      </c>
      <c r="D248">
        <v>2260000</v>
      </c>
      <c r="E248" t="s">
        <v>138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134</v>
      </c>
      <c r="C249" t="s">
        <v>230</v>
      </c>
      <c r="D249">
        <v>2260000</v>
      </c>
      <c r="E249" t="s">
        <v>138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173</v>
      </c>
      <c r="C250" t="s">
        <v>231</v>
      </c>
      <c r="D250">
        <v>1300000</v>
      </c>
      <c r="E250" t="s">
        <v>126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134</v>
      </c>
      <c r="C251" t="s">
        <v>230</v>
      </c>
      <c r="D251">
        <v>2260000</v>
      </c>
      <c r="E251" t="s">
        <v>138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192</v>
      </c>
      <c r="C252" t="s">
        <v>232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187</v>
      </c>
      <c r="C253" t="s">
        <v>228</v>
      </c>
      <c r="D253">
        <v>2000000</v>
      </c>
      <c r="E253" t="s">
        <v>127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201</v>
      </c>
      <c r="C254" t="s">
        <v>233</v>
      </c>
      <c r="D254">
        <v>1290000</v>
      </c>
      <c r="E254" t="s">
        <v>190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195</v>
      </c>
      <c r="C255" t="s">
        <v>234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192</v>
      </c>
      <c r="C256" t="s">
        <v>232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213</v>
      </c>
      <c r="C257" t="s">
        <v>235</v>
      </c>
      <c r="D257">
        <v>1290000</v>
      </c>
      <c r="E257" t="s">
        <v>190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195</v>
      </c>
      <c r="C258" t="s">
        <v>234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/>
  </sheetPr>
  <dimension ref="A1:Q33"/>
  <sheetViews>
    <sheetView zoomScaleNormal="100" workbookViewId="0">
      <selection sqref="A1:P33"/>
    </sheetView>
  </sheetViews>
  <sheetFormatPr defaultRowHeight="15" x14ac:dyDescent="0.25"/>
  <cols>
    <col min="1" max="1" width="22.5703125" style="158" customWidth="1"/>
    <col min="2" max="2" width="8.140625" style="158" bestFit="1" customWidth="1"/>
    <col min="3" max="3" width="12.28515625" style="158" bestFit="1" customWidth="1"/>
    <col min="4" max="4" width="18.28515625" style="158" bestFit="1" customWidth="1"/>
    <col min="5" max="5" width="9.5703125" style="158" bestFit="1" customWidth="1"/>
    <col min="6" max="6" width="9" style="158" bestFit="1" customWidth="1"/>
    <col min="7" max="7" width="8.5703125" style="158" bestFit="1" customWidth="1"/>
    <col min="8" max="8" width="13.7109375" style="158" bestFit="1" customWidth="1"/>
    <col min="9" max="9" width="20.85546875" style="158" bestFit="1" customWidth="1"/>
    <col min="10" max="10" width="8.7109375" style="158" bestFit="1" customWidth="1"/>
    <col min="11" max="13" width="11" style="158" bestFit="1" customWidth="1"/>
    <col min="14" max="14" width="12.140625" style="158" bestFit="1" customWidth="1"/>
    <col min="15" max="15" width="14.5703125" style="158" bestFit="1" customWidth="1"/>
    <col min="16" max="16" width="16.42578125" style="158" bestFit="1" customWidth="1"/>
    <col min="17" max="17" width="9.140625" style="158"/>
    <col min="18" max="16384" width="9.140625" style="115"/>
  </cols>
  <sheetData>
    <row r="1" spans="1:17" s="160" customFormat="1" x14ac:dyDescent="0.25">
      <c r="A1" s="159" t="s">
        <v>244</v>
      </c>
      <c r="B1" s="159" t="s">
        <v>247</v>
      </c>
      <c r="C1" s="159" t="s">
        <v>240</v>
      </c>
      <c r="D1" s="159" t="s">
        <v>728</v>
      </c>
      <c r="E1" s="159" t="s">
        <v>241</v>
      </c>
      <c r="F1" s="159" t="s">
        <v>239</v>
      </c>
      <c r="G1" s="159" t="s">
        <v>237</v>
      </c>
      <c r="H1" s="159" t="s">
        <v>250</v>
      </c>
      <c r="I1" s="159" t="s">
        <v>251</v>
      </c>
      <c r="J1" s="159" t="s">
        <v>245</v>
      </c>
      <c r="K1" s="159" t="s">
        <v>243</v>
      </c>
      <c r="L1" s="159" t="s">
        <v>238</v>
      </c>
      <c r="M1" s="159" t="s">
        <v>248</v>
      </c>
      <c r="N1" s="159" t="s">
        <v>242</v>
      </c>
      <c r="O1" s="159" t="s">
        <v>249</v>
      </c>
      <c r="P1" s="159" t="s">
        <v>246</v>
      </c>
      <c r="Q1" s="159"/>
    </row>
    <row r="2" spans="1:17" x14ac:dyDescent="0.25">
      <c r="A2" s="158">
        <v>65.040000000000006</v>
      </c>
      <c r="B2" s="158">
        <v>0.16</v>
      </c>
      <c r="C2" s="158">
        <v>39.869999999999997</v>
      </c>
      <c r="D2" s="173">
        <v>42621</v>
      </c>
      <c r="E2" s="158">
        <v>0.4</v>
      </c>
      <c r="F2" s="158" t="s">
        <v>253</v>
      </c>
      <c r="G2" s="158">
        <v>280.62</v>
      </c>
      <c r="H2" s="158">
        <v>0</v>
      </c>
      <c r="I2" s="158">
        <v>0</v>
      </c>
      <c r="J2" s="158">
        <v>1014.51</v>
      </c>
      <c r="K2" s="158" t="s">
        <v>254</v>
      </c>
      <c r="L2" s="158">
        <v>65.040000000000006</v>
      </c>
      <c r="M2" s="158">
        <v>1473314400</v>
      </c>
      <c r="N2" s="158">
        <v>8.9</v>
      </c>
      <c r="O2" s="158">
        <v>333</v>
      </c>
      <c r="P2" s="158">
        <v>2.41</v>
      </c>
    </row>
    <row r="3" spans="1:17" x14ac:dyDescent="0.25">
      <c r="A3" s="158">
        <v>63.35</v>
      </c>
      <c r="B3" s="158">
        <v>0.12</v>
      </c>
      <c r="C3" s="158">
        <v>40.270000000000003</v>
      </c>
      <c r="D3" s="173">
        <v>42621.041666666664</v>
      </c>
      <c r="E3" s="158">
        <v>0.43</v>
      </c>
      <c r="F3" s="158" t="s">
        <v>253</v>
      </c>
      <c r="G3" s="158">
        <v>279.91000000000003</v>
      </c>
      <c r="H3" s="158">
        <v>0</v>
      </c>
      <c r="I3" s="158">
        <v>0</v>
      </c>
      <c r="J3" s="158">
        <v>1015.02</v>
      </c>
      <c r="K3" s="158" t="s">
        <v>254</v>
      </c>
      <c r="L3" s="158">
        <v>63.35</v>
      </c>
      <c r="M3" s="158">
        <v>1473318000</v>
      </c>
      <c r="N3" s="158">
        <v>9.06</v>
      </c>
      <c r="O3" s="158">
        <v>318</v>
      </c>
      <c r="P3" s="158">
        <v>2.21</v>
      </c>
    </row>
    <row r="4" spans="1:17" x14ac:dyDescent="0.25">
      <c r="A4" s="158">
        <v>60.47</v>
      </c>
      <c r="B4" s="158">
        <v>0.09</v>
      </c>
      <c r="C4" s="158">
        <v>40.06</v>
      </c>
      <c r="D4" s="173">
        <v>42621.083333333336</v>
      </c>
      <c r="E4" s="158">
        <v>0.47</v>
      </c>
      <c r="F4" s="158" t="s">
        <v>253</v>
      </c>
      <c r="G4" s="158">
        <v>279.2</v>
      </c>
      <c r="H4" s="158">
        <v>0</v>
      </c>
      <c r="I4" s="158">
        <v>0</v>
      </c>
      <c r="J4" s="158">
        <v>1015.5</v>
      </c>
      <c r="K4" s="158" t="s">
        <v>254</v>
      </c>
      <c r="L4" s="158">
        <v>60.47</v>
      </c>
      <c r="M4" s="158">
        <v>1473321600</v>
      </c>
      <c r="N4" s="158">
        <v>9.1</v>
      </c>
      <c r="O4" s="158">
        <v>271</v>
      </c>
      <c r="P4" s="158">
        <v>1.59</v>
      </c>
    </row>
    <row r="5" spans="1:17" x14ac:dyDescent="0.25">
      <c r="A5" s="158">
        <v>59.25</v>
      </c>
      <c r="B5" s="158">
        <v>0.08</v>
      </c>
      <c r="C5" s="158">
        <v>40.659999999999997</v>
      </c>
      <c r="D5" s="173">
        <v>42621.125</v>
      </c>
      <c r="E5" s="158">
        <v>0.5</v>
      </c>
      <c r="F5" s="158" t="s">
        <v>253</v>
      </c>
      <c r="G5" s="158">
        <v>278.49</v>
      </c>
      <c r="H5" s="158">
        <v>0</v>
      </c>
      <c r="I5" s="158">
        <v>0</v>
      </c>
      <c r="J5" s="158">
        <v>1015.97</v>
      </c>
      <c r="K5" s="158" t="s">
        <v>254</v>
      </c>
      <c r="L5" s="158">
        <v>59.25</v>
      </c>
      <c r="M5" s="158">
        <v>1473325200</v>
      </c>
      <c r="N5" s="158">
        <v>9.09</v>
      </c>
      <c r="O5" s="158">
        <v>238</v>
      </c>
      <c r="P5" s="158">
        <v>2.21</v>
      </c>
    </row>
    <row r="6" spans="1:17" x14ac:dyDescent="0.25">
      <c r="A6" s="158">
        <v>57.65</v>
      </c>
      <c r="B6" s="158">
        <v>0.05</v>
      </c>
      <c r="C6" s="158">
        <v>39.270000000000003</v>
      </c>
      <c r="D6" s="173">
        <v>42621.166666666664</v>
      </c>
      <c r="E6" s="158">
        <v>0.5</v>
      </c>
      <c r="F6" s="158" t="s">
        <v>253</v>
      </c>
      <c r="G6" s="158">
        <v>277.85000000000002</v>
      </c>
      <c r="H6" s="158">
        <v>0</v>
      </c>
      <c r="I6" s="158">
        <v>0</v>
      </c>
      <c r="J6" s="158">
        <v>1016.32</v>
      </c>
      <c r="K6" s="158" t="s">
        <v>254</v>
      </c>
      <c r="L6" s="158">
        <v>57.65</v>
      </c>
      <c r="M6" s="158">
        <v>1473328800</v>
      </c>
      <c r="N6" s="158">
        <v>9.16</v>
      </c>
      <c r="O6" s="158">
        <v>240</v>
      </c>
      <c r="P6" s="158">
        <v>2.42</v>
      </c>
    </row>
    <row r="7" spans="1:17" x14ac:dyDescent="0.25">
      <c r="A7" s="158">
        <v>55.84</v>
      </c>
      <c r="B7" s="158">
        <v>0.08</v>
      </c>
      <c r="C7" s="158">
        <v>38.270000000000003</v>
      </c>
      <c r="D7" s="173">
        <v>42621.208333333336</v>
      </c>
      <c r="E7" s="158">
        <v>0.52</v>
      </c>
      <c r="F7" s="158" t="s">
        <v>253</v>
      </c>
      <c r="G7" s="158">
        <v>277.27</v>
      </c>
      <c r="H7" s="158">
        <v>0</v>
      </c>
      <c r="I7" s="158">
        <v>0</v>
      </c>
      <c r="J7" s="158">
        <v>1016.59</v>
      </c>
      <c r="K7" s="158" t="s">
        <v>254</v>
      </c>
      <c r="L7" s="158">
        <v>55.84</v>
      </c>
      <c r="M7" s="158">
        <v>1473332400</v>
      </c>
      <c r="N7" s="158">
        <v>8.84</v>
      </c>
      <c r="O7" s="158">
        <v>252</v>
      </c>
      <c r="P7" s="158">
        <v>1.88</v>
      </c>
    </row>
    <row r="8" spans="1:17" x14ac:dyDescent="0.25">
      <c r="A8" s="158">
        <v>54.92</v>
      </c>
      <c r="B8" s="158">
        <v>7.0000000000000007E-2</v>
      </c>
      <c r="C8" s="158">
        <v>37.56</v>
      </c>
      <c r="D8" s="173">
        <v>42621.25</v>
      </c>
      <c r="E8" s="158">
        <v>0.52</v>
      </c>
      <c r="F8" s="158" t="s">
        <v>253</v>
      </c>
      <c r="G8" s="158">
        <v>276.89</v>
      </c>
      <c r="H8" s="158">
        <v>0</v>
      </c>
      <c r="I8" s="158">
        <v>0</v>
      </c>
      <c r="J8" s="158">
        <v>1016.61</v>
      </c>
      <c r="K8" s="158" t="s">
        <v>254</v>
      </c>
      <c r="L8" s="158">
        <v>54.92</v>
      </c>
      <c r="M8" s="158">
        <v>1473336000</v>
      </c>
      <c r="N8" s="158">
        <v>8.3699999999999992</v>
      </c>
      <c r="O8" s="158">
        <v>239</v>
      </c>
      <c r="P8" s="158">
        <v>2.75</v>
      </c>
    </row>
    <row r="9" spans="1:17" x14ac:dyDescent="0.25">
      <c r="A9" s="158">
        <v>55.37</v>
      </c>
      <c r="B9" s="158">
        <v>7.0000000000000007E-2</v>
      </c>
      <c r="C9" s="158">
        <v>37.51</v>
      </c>
      <c r="D9" s="173">
        <v>42621.291666666664</v>
      </c>
      <c r="E9" s="158">
        <v>0.51</v>
      </c>
      <c r="F9" s="158" t="s">
        <v>729</v>
      </c>
      <c r="G9" s="158">
        <v>276.82</v>
      </c>
      <c r="H9" s="158">
        <v>0</v>
      </c>
      <c r="I9" s="158">
        <v>0</v>
      </c>
      <c r="J9" s="158">
        <v>1016.2</v>
      </c>
      <c r="K9" s="158" t="s">
        <v>254</v>
      </c>
      <c r="L9" s="158">
        <v>55.37</v>
      </c>
      <c r="M9" s="158">
        <v>1473339600</v>
      </c>
      <c r="N9" s="158">
        <v>7.99</v>
      </c>
      <c r="O9" s="158">
        <v>233</v>
      </c>
      <c r="P9" s="158">
        <v>2.25</v>
      </c>
    </row>
    <row r="10" spans="1:17" x14ac:dyDescent="0.25">
      <c r="A10" s="158">
        <v>59.49</v>
      </c>
      <c r="B10" s="158">
        <v>0.08</v>
      </c>
      <c r="C10" s="158">
        <v>38.07</v>
      </c>
      <c r="D10" s="173">
        <v>42621.333333333336</v>
      </c>
      <c r="E10" s="158">
        <v>0.45</v>
      </c>
      <c r="F10" s="158" t="s">
        <v>729</v>
      </c>
      <c r="G10" s="158">
        <v>276.95</v>
      </c>
      <c r="H10" s="158">
        <v>0</v>
      </c>
      <c r="I10" s="158">
        <v>0</v>
      </c>
      <c r="J10" s="158">
        <v>1015.54</v>
      </c>
      <c r="K10" s="158" t="s">
        <v>254</v>
      </c>
      <c r="L10" s="158">
        <v>59.49</v>
      </c>
      <c r="M10" s="158">
        <v>1473343200</v>
      </c>
      <c r="N10" s="158">
        <v>7.85</v>
      </c>
      <c r="O10" s="158">
        <v>241</v>
      </c>
      <c r="P10" s="158">
        <v>1.76</v>
      </c>
    </row>
    <row r="11" spans="1:17" x14ac:dyDescent="0.25">
      <c r="A11" s="158">
        <v>66.17</v>
      </c>
      <c r="B11" s="158">
        <v>0.11</v>
      </c>
      <c r="C11" s="158">
        <v>38.6</v>
      </c>
      <c r="D11" s="173">
        <v>42621.375</v>
      </c>
      <c r="E11" s="158">
        <v>0.36</v>
      </c>
      <c r="F11" s="158" t="s">
        <v>729</v>
      </c>
      <c r="G11" s="158">
        <v>277.04000000000002</v>
      </c>
      <c r="H11" s="158">
        <v>0</v>
      </c>
      <c r="I11" s="158">
        <v>0</v>
      </c>
      <c r="J11" s="158">
        <v>1014.83</v>
      </c>
      <c r="K11" s="158" t="s">
        <v>254</v>
      </c>
      <c r="L11" s="158">
        <v>66.17</v>
      </c>
      <c r="M11" s="158">
        <v>1473346800</v>
      </c>
      <c r="N11" s="158">
        <v>7.78</v>
      </c>
      <c r="O11" s="158">
        <v>198</v>
      </c>
      <c r="P11" s="158">
        <v>1.39</v>
      </c>
    </row>
    <row r="12" spans="1:17" x14ac:dyDescent="0.25">
      <c r="A12" s="158">
        <v>71.709999999999994</v>
      </c>
      <c r="B12" s="158">
        <v>0.13</v>
      </c>
      <c r="C12" s="158">
        <v>39.72</v>
      </c>
      <c r="D12" s="173">
        <v>42621.416666666664</v>
      </c>
      <c r="E12" s="158">
        <v>0.31</v>
      </c>
      <c r="F12" s="158" t="s">
        <v>729</v>
      </c>
      <c r="G12" s="158">
        <v>277</v>
      </c>
      <c r="H12" s="158">
        <v>0</v>
      </c>
      <c r="I12" s="158">
        <v>0</v>
      </c>
      <c r="J12" s="158">
        <v>1013.91</v>
      </c>
      <c r="K12" s="158" t="s">
        <v>254</v>
      </c>
      <c r="L12" s="158">
        <v>71.709999999999994</v>
      </c>
      <c r="M12" s="158">
        <v>1473350400</v>
      </c>
      <c r="N12" s="158">
        <v>7.81</v>
      </c>
      <c r="O12" s="158">
        <v>190</v>
      </c>
      <c r="P12" s="158">
        <v>0.95</v>
      </c>
    </row>
    <row r="13" spans="1:17" x14ac:dyDescent="0.25">
      <c r="A13" s="158">
        <v>76.48</v>
      </c>
      <c r="B13" s="158">
        <v>0.17</v>
      </c>
      <c r="C13" s="158">
        <v>37.92</v>
      </c>
      <c r="D13" s="173">
        <v>42621.458333333336</v>
      </c>
      <c r="E13" s="158">
        <v>0.25</v>
      </c>
      <c r="F13" s="158" t="s">
        <v>729</v>
      </c>
      <c r="G13" s="158">
        <v>276.93</v>
      </c>
      <c r="H13" s="158">
        <v>0</v>
      </c>
      <c r="I13" s="158">
        <v>0</v>
      </c>
      <c r="J13" s="158">
        <v>1012.88</v>
      </c>
      <c r="K13" s="158" t="s">
        <v>254</v>
      </c>
      <c r="L13" s="158">
        <v>76.48</v>
      </c>
      <c r="M13" s="158">
        <v>1473354000</v>
      </c>
      <c r="N13" s="158">
        <v>4.87</v>
      </c>
      <c r="O13" s="158">
        <v>145</v>
      </c>
      <c r="P13" s="158">
        <v>1.63</v>
      </c>
    </row>
    <row r="14" spans="1:17" x14ac:dyDescent="0.25">
      <c r="A14" s="158">
        <v>79.510000000000005</v>
      </c>
      <c r="B14" s="158">
        <v>0.17</v>
      </c>
      <c r="C14" s="158">
        <v>34.590000000000003</v>
      </c>
      <c r="D14" s="173">
        <v>42621.5</v>
      </c>
      <c r="E14" s="158">
        <v>0.18</v>
      </c>
      <c r="F14" s="158" t="s">
        <v>729</v>
      </c>
      <c r="G14" s="158">
        <v>276.89</v>
      </c>
      <c r="H14" s="158">
        <v>0</v>
      </c>
      <c r="I14" s="158">
        <v>0</v>
      </c>
      <c r="J14" s="158">
        <v>1011.88</v>
      </c>
      <c r="K14" s="158" t="s">
        <v>254</v>
      </c>
      <c r="L14" s="158">
        <v>81.569999999999993</v>
      </c>
      <c r="M14" s="158">
        <v>1473357600</v>
      </c>
      <c r="N14" s="158">
        <v>4.8499999999999996</v>
      </c>
      <c r="O14" s="158">
        <v>103</v>
      </c>
      <c r="P14" s="158">
        <v>1.76</v>
      </c>
    </row>
    <row r="15" spans="1:17" x14ac:dyDescent="0.25">
      <c r="A15" s="158">
        <v>81.489999999999995</v>
      </c>
      <c r="B15" s="158">
        <v>0.21</v>
      </c>
      <c r="C15" s="158">
        <v>31.43</v>
      </c>
      <c r="D15" s="173">
        <v>42621.541666666664</v>
      </c>
      <c r="E15" s="158">
        <v>0.15</v>
      </c>
      <c r="F15" s="158" t="s">
        <v>729</v>
      </c>
      <c r="G15" s="158">
        <v>276.86</v>
      </c>
      <c r="H15" s="158">
        <v>0</v>
      </c>
      <c r="I15" s="158">
        <v>0</v>
      </c>
      <c r="J15" s="158">
        <v>1010.98</v>
      </c>
      <c r="K15" s="158" t="s">
        <v>254</v>
      </c>
      <c r="L15" s="158">
        <v>84.5</v>
      </c>
      <c r="M15" s="158">
        <v>1473361200</v>
      </c>
      <c r="N15" s="158">
        <v>4.92</v>
      </c>
      <c r="O15" s="158">
        <v>95</v>
      </c>
      <c r="P15" s="158">
        <v>2.67</v>
      </c>
    </row>
    <row r="16" spans="1:17" x14ac:dyDescent="0.25">
      <c r="A16" s="158">
        <v>83.15</v>
      </c>
      <c r="B16" s="158">
        <v>0.23</v>
      </c>
      <c r="C16" s="158">
        <v>30.63</v>
      </c>
      <c r="D16" s="173">
        <v>42621.583333333336</v>
      </c>
      <c r="E16" s="158">
        <v>0.13</v>
      </c>
      <c r="F16" s="158" t="s">
        <v>729</v>
      </c>
      <c r="G16" s="158">
        <v>276.86</v>
      </c>
      <c r="H16" s="158">
        <v>0</v>
      </c>
      <c r="I16" s="158">
        <v>0</v>
      </c>
      <c r="J16" s="158">
        <v>1010.09</v>
      </c>
      <c r="K16" s="158" t="s">
        <v>254</v>
      </c>
      <c r="L16" s="158">
        <v>86.65</v>
      </c>
      <c r="M16" s="158">
        <v>1473364800</v>
      </c>
      <c r="N16" s="158">
        <v>4.97</v>
      </c>
      <c r="O16" s="158">
        <v>94</v>
      </c>
      <c r="P16" s="158">
        <v>1.85</v>
      </c>
    </row>
    <row r="17" spans="1:16" x14ac:dyDescent="0.25">
      <c r="A17" s="158">
        <v>83.8</v>
      </c>
      <c r="B17" s="158">
        <v>0.27</v>
      </c>
      <c r="C17" s="158">
        <v>30.04</v>
      </c>
      <c r="D17" s="173">
        <v>42621.625</v>
      </c>
      <c r="E17" s="158">
        <v>0.13</v>
      </c>
      <c r="F17" s="158" t="s">
        <v>252</v>
      </c>
      <c r="G17" s="158">
        <v>276.98</v>
      </c>
      <c r="H17" s="158">
        <v>0</v>
      </c>
      <c r="I17" s="158">
        <v>0</v>
      </c>
      <c r="J17" s="158">
        <v>1009.24</v>
      </c>
      <c r="K17" s="158" t="s">
        <v>236</v>
      </c>
      <c r="L17" s="158">
        <v>87.53</v>
      </c>
      <c r="M17" s="158">
        <v>1473368400</v>
      </c>
      <c r="N17" s="158">
        <v>5.12</v>
      </c>
      <c r="O17" s="158">
        <v>93</v>
      </c>
      <c r="P17" s="158">
        <v>1.78</v>
      </c>
    </row>
    <row r="18" spans="1:16" x14ac:dyDescent="0.25">
      <c r="A18" s="158">
        <v>84.09</v>
      </c>
      <c r="B18" s="158">
        <v>0.27</v>
      </c>
      <c r="C18" s="158">
        <v>30.68</v>
      </c>
      <c r="D18" s="173">
        <v>42621.666666666664</v>
      </c>
      <c r="E18" s="158">
        <v>0.13</v>
      </c>
      <c r="F18" s="158" t="s">
        <v>252</v>
      </c>
      <c r="G18" s="158">
        <v>277.23</v>
      </c>
      <c r="H18" s="158">
        <v>0</v>
      </c>
      <c r="I18" s="158">
        <v>0</v>
      </c>
      <c r="J18" s="158">
        <v>1008.35</v>
      </c>
      <c r="K18" s="158" t="s">
        <v>236</v>
      </c>
      <c r="L18" s="158">
        <v>87.84</v>
      </c>
      <c r="M18" s="158">
        <v>1473372000</v>
      </c>
      <c r="N18" s="158">
        <v>5.42</v>
      </c>
      <c r="O18" s="158">
        <v>94</v>
      </c>
      <c r="P18" s="158">
        <v>1.34</v>
      </c>
    </row>
    <row r="19" spans="1:16" x14ac:dyDescent="0.25">
      <c r="A19" s="158">
        <v>83.39</v>
      </c>
      <c r="B19" s="158">
        <v>0.26</v>
      </c>
      <c r="C19" s="158">
        <v>30.97</v>
      </c>
      <c r="D19" s="173">
        <v>42621.708333333336</v>
      </c>
      <c r="E19" s="158">
        <v>0.13</v>
      </c>
      <c r="F19" s="158" t="s">
        <v>252</v>
      </c>
      <c r="G19" s="158">
        <v>277.60000000000002</v>
      </c>
      <c r="H19" s="158">
        <v>0</v>
      </c>
      <c r="I19" s="158">
        <v>0</v>
      </c>
      <c r="J19" s="158">
        <v>1007.61</v>
      </c>
      <c r="K19" s="158" t="s">
        <v>236</v>
      </c>
      <c r="L19" s="158">
        <v>86.95</v>
      </c>
      <c r="M19" s="158">
        <v>1473375600</v>
      </c>
      <c r="N19" s="158">
        <v>5.76</v>
      </c>
      <c r="O19" s="158">
        <v>166</v>
      </c>
      <c r="P19" s="158">
        <v>1.4</v>
      </c>
    </row>
    <row r="20" spans="1:16" x14ac:dyDescent="0.25">
      <c r="A20" s="158">
        <v>81.319999999999993</v>
      </c>
      <c r="B20" s="158">
        <v>0.19</v>
      </c>
      <c r="C20" s="158">
        <v>30.45</v>
      </c>
      <c r="D20" s="173">
        <v>42621.75</v>
      </c>
      <c r="E20" s="158">
        <v>0.14000000000000001</v>
      </c>
      <c r="F20" s="158" t="s">
        <v>729</v>
      </c>
      <c r="G20" s="158">
        <v>278.19</v>
      </c>
      <c r="H20" s="158">
        <v>0</v>
      </c>
      <c r="I20" s="158">
        <v>0</v>
      </c>
      <c r="J20" s="158">
        <v>1007.35</v>
      </c>
      <c r="K20" s="158" t="s">
        <v>254</v>
      </c>
      <c r="L20" s="158">
        <v>84.27</v>
      </c>
      <c r="M20" s="158">
        <v>1473379200</v>
      </c>
      <c r="N20" s="158">
        <v>6.72</v>
      </c>
      <c r="O20" s="158">
        <v>161</v>
      </c>
      <c r="P20" s="158">
        <v>2.0499999999999998</v>
      </c>
    </row>
    <row r="21" spans="1:16" x14ac:dyDescent="0.25">
      <c r="A21" s="158">
        <v>79.010000000000005</v>
      </c>
      <c r="B21" s="158">
        <v>0.03</v>
      </c>
      <c r="C21" s="158">
        <v>31.19</v>
      </c>
      <c r="D21" s="173">
        <v>42621.791666666664</v>
      </c>
      <c r="E21" s="158">
        <v>0.16</v>
      </c>
      <c r="F21" s="158" t="s">
        <v>729</v>
      </c>
      <c r="G21" s="158">
        <v>279.18</v>
      </c>
      <c r="H21" s="158">
        <v>0</v>
      </c>
      <c r="I21" s="158">
        <v>0</v>
      </c>
      <c r="J21" s="158">
        <v>1007.39</v>
      </c>
      <c r="K21" s="158" t="s">
        <v>254</v>
      </c>
      <c r="L21" s="158">
        <v>80.94</v>
      </c>
      <c r="M21" s="158">
        <v>1473382800</v>
      </c>
      <c r="N21" s="158">
        <v>7.75</v>
      </c>
      <c r="O21" s="158">
        <v>183</v>
      </c>
      <c r="P21" s="158">
        <v>2.27</v>
      </c>
    </row>
    <row r="22" spans="1:16" x14ac:dyDescent="0.25">
      <c r="A22" s="158">
        <v>75.05</v>
      </c>
      <c r="B22" s="158">
        <v>0.05</v>
      </c>
      <c r="C22" s="158">
        <v>34.979999999999997</v>
      </c>
      <c r="D22" s="173">
        <v>42621.833333333336</v>
      </c>
      <c r="E22" s="158">
        <v>0.23</v>
      </c>
      <c r="F22" s="158" t="s">
        <v>253</v>
      </c>
      <c r="G22" s="158">
        <v>280.38</v>
      </c>
      <c r="H22" s="158">
        <v>0</v>
      </c>
      <c r="I22" s="158">
        <v>0</v>
      </c>
      <c r="J22" s="158">
        <v>1008.1</v>
      </c>
      <c r="K22" s="158" t="s">
        <v>254</v>
      </c>
      <c r="L22" s="158">
        <v>75.05</v>
      </c>
      <c r="M22" s="158">
        <v>1473386400</v>
      </c>
      <c r="N22" s="158">
        <v>8.35</v>
      </c>
      <c r="O22" s="158">
        <v>229</v>
      </c>
      <c r="P22" s="158">
        <v>2.3199999999999998</v>
      </c>
    </row>
    <row r="23" spans="1:16" x14ac:dyDescent="0.25">
      <c r="A23" s="158">
        <v>71.31</v>
      </c>
      <c r="B23" s="158">
        <v>0.04</v>
      </c>
      <c r="C23" s="158">
        <v>36.29</v>
      </c>
      <c r="D23" s="173">
        <v>42621.875</v>
      </c>
      <c r="E23" s="158">
        <v>0.28000000000000003</v>
      </c>
      <c r="F23" s="158" t="s">
        <v>253</v>
      </c>
      <c r="G23" s="158">
        <v>281.39</v>
      </c>
      <c r="H23" s="158">
        <v>0</v>
      </c>
      <c r="I23" s="158">
        <v>0</v>
      </c>
      <c r="J23" s="158">
        <v>1008.94</v>
      </c>
      <c r="K23" s="158" t="s">
        <v>254</v>
      </c>
      <c r="L23" s="158">
        <v>71.31</v>
      </c>
      <c r="M23" s="158">
        <v>1473390000</v>
      </c>
      <c r="N23" s="158">
        <v>8.89</v>
      </c>
      <c r="O23" s="158">
        <v>224</v>
      </c>
      <c r="P23" s="158">
        <v>2.97</v>
      </c>
    </row>
    <row r="24" spans="1:16" x14ac:dyDescent="0.25">
      <c r="A24" s="158">
        <v>68.61</v>
      </c>
      <c r="B24" s="158">
        <v>0.04</v>
      </c>
      <c r="C24" s="158">
        <v>36.770000000000003</v>
      </c>
      <c r="D24" s="173">
        <v>42621.916666666664</v>
      </c>
      <c r="E24" s="158">
        <v>0.31</v>
      </c>
      <c r="F24" s="158" t="s">
        <v>253</v>
      </c>
      <c r="G24" s="158">
        <v>282.04000000000002</v>
      </c>
      <c r="H24" s="158">
        <v>0</v>
      </c>
      <c r="I24" s="158">
        <v>0</v>
      </c>
      <c r="J24" s="158">
        <v>1009.59</v>
      </c>
      <c r="K24" s="158" t="s">
        <v>254</v>
      </c>
      <c r="L24" s="158">
        <v>68.61</v>
      </c>
      <c r="M24" s="158">
        <v>1473393600</v>
      </c>
      <c r="N24" s="158">
        <v>9.16</v>
      </c>
      <c r="O24" s="158">
        <v>251</v>
      </c>
      <c r="P24" s="158">
        <v>2.88</v>
      </c>
    </row>
    <row r="25" spans="1:16" x14ac:dyDescent="0.25">
      <c r="A25" s="158">
        <v>66.8</v>
      </c>
      <c r="B25" s="158">
        <v>0.04</v>
      </c>
      <c r="C25" s="158">
        <v>37.159999999999997</v>
      </c>
      <c r="D25" s="173">
        <v>42621.958333333336</v>
      </c>
      <c r="E25" s="158">
        <v>0.34</v>
      </c>
      <c r="F25" s="158" t="s">
        <v>253</v>
      </c>
      <c r="G25" s="158">
        <v>282.5</v>
      </c>
      <c r="H25" s="158">
        <v>0</v>
      </c>
      <c r="I25" s="158">
        <v>0</v>
      </c>
      <c r="J25" s="158">
        <v>1010.21</v>
      </c>
      <c r="K25" s="158" t="s">
        <v>254</v>
      </c>
      <c r="L25" s="158">
        <v>66.8</v>
      </c>
      <c r="M25" s="158">
        <v>1473397200</v>
      </c>
      <c r="N25" s="158">
        <v>9.2799999999999994</v>
      </c>
      <c r="O25" s="158">
        <v>267</v>
      </c>
      <c r="P25" s="158">
        <v>3.14</v>
      </c>
    </row>
    <row r="26" spans="1:16" x14ac:dyDescent="0.25">
      <c r="A26" s="158">
        <v>64.98</v>
      </c>
      <c r="B26" s="158">
        <v>0.04</v>
      </c>
      <c r="C26" s="158">
        <v>36.700000000000003</v>
      </c>
      <c r="D26" s="173">
        <v>42622</v>
      </c>
      <c r="E26" s="158">
        <v>0.35</v>
      </c>
      <c r="F26" s="158" t="s">
        <v>253</v>
      </c>
      <c r="G26" s="158">
        <v>284.82</v>
      </c>
      <c r="H26" s="158">
        <v>0</v>
      </c>
      <c r="I26" s="158">
        <v>0</v>
      </c>
      <c r="J26" s="158">
        <v>1011.52</v>
      </c>
      <c r="K26" s="158" t="s">
        <v>254</v>
      </c>
      <c r="L26" s="158">
        <v>64.98</v>
      </c>
      <c r="M26" s="158">
        <v>1473400800</v>
      </c>
      <c r="N26" s="158">
        <v>9.34</v>
      </c>
      <c r="O26" s="158">
        <v>256</v>
      </c>
      <c r="P26" s="158">
        <v>3.34</v>
      </c>
    </row>
    <row r="27" spans="1:16" x14ac:dyDescent="0.25">
      <c r="A27" s="158">
        <v>62.56</v>
      </c>
      <c r="B27" s="158">
        <v>0.04</v>
      </c>
      <c r="C27" s="158">
        <v>34.64</v>
      </c>
      <c r="D27" s="173">
        <v>42622.041666666664</v>
      </c>
      <c r="E27" s="158">
        <v>0.35</v>
      </c>
      <c r="F27" s="158" t="s">
        <v>253</v>
      </c>
      <c r="G27" s="158">
        <v>284.89</v>
      </c>
      <c r="H27" s="158">
        <v>0</v>
      </c>
      <c r="I27" s="158">
        <v>0</v>
      </c>
      <c r="J27" s="158">
        <v>1012.13</v>
      </c>
      <c r="K27" s="158" t="s">
        <v>254</v>
      </c>
      <c r="L27" s="158">
        <v>62.56</v>
      </c>
      <c r="M27" s="158">
        <v>1473404400</v>
      </c>
      <c r="N27" s="158">
        <v>9.41</v>
      </c>
      <c r="O27" s="158">
        <v>246</v>
      </c>
      <c r="P27" s="158">
        <v>3.35</v>
      </c>
    </row>
    <row r="28" spans="1:16" x14ac:dyDescent="0.25">
      <c r="A28" s="158">
        <v>60.25</v>
      </c>
      <c r="B28" s="158">
        <v>7.0000000000000007E-2</v>
      </c>
      <c r="C28" s="158">
        <v>33.5</v>
      </c>
      <c r="D28" s="173">
        <v>42622.083333333336</v>
      </c>
      <c r="E28" s="158">
        <v>0.36</v>
      </c>
      <c r="F28" s="158" t="s">
        <v>253</v>
      </c>
      <c r="G28" s="158">
        <v>284.95</v>
      </c>
      <c r="H28" s="158">
        <v>0</v>
      </c>
      <c r="I28" s="158">
        <v>0</v>
      </c>
      <c r="J28" s="158">
        <v>1012.77</v>
      </c>
      <c r="K28" s="158" t="s">
        <v>254</v>
      </c>
      <c r="L28" s="158">
        <v>60.25</v>
      </c>
      <c r="M28" s="158">
        <v>1473408000</v>
      </c>
      <c r="N28" s="158">
        <v>9.43</v>
      </c>
      <c r="O28" s="158">
        <v>242</v>
      </c>
      <c r="P28" s="158">
        <v>2.0099999999999998</v>
      </c>
    </row>
    <row r="29" spans="1:16" x14ac:dyDescent="0.25">
      <c r="A29" s="158">
        <v>58.32</v>
      </c>
      <c r="B29" s="158">
        <v>0</v>
      </c>
      <c r="C29" s="158">
        <v>34.520000000000003</v>
      </c>
      <c r="D29" s="173">
        <v>42622.125</v>
      </c>
      <c r="E29" s="158">
        <v>0.41</v>
      </c>
      <c r="F29" s="158" t="s">
        <v>253</v>
      </c>
      <c r="G29" s="158">
        <v>285.02</v>
      </c>
      <c r="H29" s="158">
        <v>0</v>
      </c>
      <c r="I29" s="158">
        <v>0</v>
      </c>
      <c r="J29" s="158">
        <v>1013.54</v>
      </c>
      <c r="K29" s="158" t="s">
        <v>254</v>
      </c>
      <c r="L29" s="158">
        <v>58.32</v>
      </c>
      <c r="M29" s="158">
        <v>1473411600</v>
      </c>
      <c r="N29" s="158">
        <v>9.4</v>
      </c>
      <c r="O29" s="158">
        <v>229</v>
      </c>
      <c r="P29" s="158">
        <v>1.66</v>
      </c>
    </row>
    <row r="31" spans="1:16" x14ac:dyDescent="0.25">
      <c r="A31" s="158" t="s">
        <v>730</v>
      </c>
    </row>
    <row r="33" spans="1:1" x14ac:dyDescent="0.25">
      <c r="A33" s="158" t="s">
        <v>255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112</v>
      </c>
      <c r="D1" s="74" t="s">
        <v>113</v>
      </c>
      <c r="J1" s="34" t="s">
        <v>114</v>
      </c>
      <c r="K1" s="34" t="s">
        <v>72</v>
      </c>
      <c r="L1" s="34" t="s">
        <v>73</v>
      </c>
      <c r="O1" s="77" t="s">
        <v>115</v>
      </c>
    </row>
    <row r="2" spans="1:16" ht="15.75" thickBot="1" x14ac:dyDescent="0.3">
      <c r="A2" s="14">
        <v>42621</v>
      </c>
      <c r="B2" s="4"/>
      <c r="C2" s="75">
        <v>50</v>
      </c>
      <c r="D2" s="76">
        <v>25</v>
      </c>
      <c r="F2" t="s">
        <v>128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116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129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130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131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94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95</v>
      </c>
      <c r="K19" s="36"/>
      <c r="L19" s="36"/>
      <c r="M19" s="70" t="s">
        <v>125</v>
      </c>
    </row>
    <row r="20" spans="10:13" x14ac:dyDescent="0.25">
      <c r="J20" t="s">
        <v>96</v>
      </c>
      <c r="M20" s="70" t="s">
        <v>136</v>
      </c>
    </row>
    <row r="21" spans="10:13" x14ac:dyDescent="0.25">
      <c r="J21" s="23" t="s">
        <v>99</v>
      </c>
      <c r="K21" s="23" t="s">
        <v>100</v>
      </c>
      <c r="M21" s="70" t="s">
        <v>100</v>
      </c>
    </row>
    <row r="22" spans="10:13" x14ac:dyDescent="0.25">
      <c r="J22" s="23" t="s">
        <v>101</v>
      </c>
      <c r="K22" s="23" t="s">
        <v>102</v>
      </c>
      <c r="M22" s="70" t="s">
        <v>124</v>
      </c>
    </row>
    <row r="23" spans="10:13" x14ac:dyDescent="0.25">
      <c r="J23" s="31" t="s">
        <v>104</v>
      </c>
      <c r="K23" s="23"/>
      <c r="M23" s="114">
        <v>-6</v>
      </c>
    </row>
    <row r="24" spans="10:13" x14ac:dyDescent="0.25">
      <c r="J24" s="23" t="s">
        <v>121</v>
      </c>
      <c r="K24" s="23"/>
      <c r="M24" s="70" t="s">
        <v>123</v>
      </c>
    </row>
    <row r="25" spans="10:13" x14ac:dyDescent="0.25">
      <c r="J25" t="s">
        <v>175</v>
      </c>
      <c r="M25" s="70" t="b">
        <v>1</v>
      </c>
    </row>
    <row r="26" spans="10:13" x14ac:dyDescent="0.25">
      <c r="J26" t="s">
        <v>176</v>
      </c>
      <c r="M26" s="70" t="str">
        <f>"C:\Users\stu\Documents\GitHub\eaglep3-reporting\EC\"&amp;TEXT(A2,"yyyy-mm-dd")&amp;"-refined-times.txt"</f>
        <v>C:\Users\stu\Documents\GitHub\eaglep3-reporting\EC\2016-09-08-refined-times.txt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31" bestFit="1" customWidth="1"/>
    <col min="2" max="7" width="9.140625" style="131"/>
    <col min="8" max="8" width="17.7109375" style="131" bestFit="1" customWidth="1"/>
    <col min="9" max="9" width="9.140625" style="133"/>
    <col min="10" max="16384" width="9.140625" style="131"/>
  </cols>
  <sheetData>
    <row r="1" spans="1:11" x14ac:dyDescent="0.25">
      <c r="A1" s="130" t="s">
        <v>143</v>
      </c>
      <c r="B1" s="130" t="s">
        <v>144</v>
      </c>
      <c r="C1" s="131" t="s">
        <v>145</v>
      </c>
      <c r="H1" t="s">
        <v>139</v>
      </c>
      <c r="I1" s="132" t="s">
        <v>141</v>
      </c>
      <c r="J1"/>
    </row>
    <row r="2" spans="1:11" x14ac:dyDescent="0.25">
      <c r="A2" s="131" t="s">
        <v>146</v>
      </c>
      <c r="B2" s="131" t="s">
        <v>147</v>
      </c>
      <c r="C2" s="131" t="s">
        <v>148</v>
      </c>
      <c r="H2" t="s">
        <v>140</v>
      </c>
      <c r="I2" s="114" t="s">
        <v>142</v>
      </c>
      <c r="J2"/>
    </row>
    <row r="3" spans="1:11" x14ac:dyDescent="0.25">
      <c r="A3" s="131" t="s">
        <v>149</v>
      </c>
      <c r="B3" s="131" t="s">
        <v>150</v>
      </c>
      <c r="C3" s="131" t="s">
        <v>151</v>
      </c>
      <c r="H3" t="s">
        <v>166</v>
      </c>
      <c r="I3" s="114">
        <v>1</v>
      </c>
      <c r="J3"/>
      <c r="K3" s="70"/>
    </row>
    <row r="4" spans="1:11" x14ac:dyDescent="0.25">
      <c r="A4" s="131" t="s">
        <v>152</v>
      </c>
      <c r="C4" s="131" t="s">
        <v>153</v>
      </c>
      <c r="H4" t="s">
        <v>167</v>
      </c>
      <c r="I4" s="114">
        <v>2</v>
      </c>
      <c r="J4"/>
      <c r="K4" s="70"/>
    </row>
    <row r="5" spans="1:11" x14ac:dyDescent="0.25">
      <c r="A5" s="131" t="s">
        <v>154</v>
      </c>
      <c r="C5" s="131" t="s">
        <v>155</v>
      </c>
      <c r="H5" t="s">
        <v>168</v>
      </c>
      <c r="I5" s="114">
        <v>23</v>
      </c>
      <c r="J5"/>
      <c r="K5" s="70"/>
    </row>
    <row r="6" spans="1:11" x14ac:dyDescent="0.25">
      <c r="A6" s="131" t="s">
        <v>156</v>
      </c>
      <c r="C6" s="131" t="s">
        <v>157</v>
      </c>
      <c r="H6" s="134" t="s">
        <v>169</v>
      </c>
      <c r="I6" s="135" t="s">
        <v>147</v>
      </c>
    </row>
    <row r="7" spans="1:11" x14ac:dyDescent="0.25">
      <c r="A7" s="131" t="s">
        <v>158</v>
      </c>
      <c r="C7" s="131" t="s">
        <v>159</v>
      </c>
    </row>
    <row r="8" spans="1:11" x14ac:dyDescent="0.25">
      <c r="C8" s="131" t="s">
        <v>160</v>
      </c>
    </row>
    <row r="9" spans="1:11" x14ac:dyDescent="0.25">
      <c r="C9" s="131" t="s">
        <v>161</v>
      </c>
    </row>
    <row r="10" spans="1:11" x14ac:dyDescent="0.25">
      <c r="C10" s="131" t="s">
        <v>162</v>
      </c>
    </row>
    <row r="11" spans="1:11" x14ac:dyDescent="0.25">
      <c r="C11" s="131" t="s">
        <v>163</v>
      </c>
    </row>
    <row r="12" spans="1:11" x14ac:dyDescent="0.25">
      <c r="C12" s="131" t="s">
        <v>164</v>
      </c>
    </row>
    <row r="13" spans="1:11" x14ac:dyDescent="0.25">
      <c r="C13" s="131" t="s">
        <v>165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2016-09-09T15:55:37Z</dcterms:modified>
</cp:coreProperties>
</file>