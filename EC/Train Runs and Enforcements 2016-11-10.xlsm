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Runs'!$A$12:$AG$260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6" l="1"/>
  <c r="H4" i="6" s="1"/>
  <c r="K4" i="6"/>
  <c r="G4" i="6" l="1"/>
  <c r="J4" i="6"/>
  <c r="F4" i="6"/>
  <c r="I4" i="6"/>
  <c r="K33" i="1"/>
  <c r="L33" i="1"/>
  <c r="M33" i="1"/>
  <c r="P33" i="1" s="1"/>
  <c r="V33" i="1"/>
  <c r="AA33" i="1"/>
  <c r="AB33" i="1"/>
  <c r="AC33" i="1"/>
  <c r="AD33" i="1"/>
  <c r="T33" i="1" s="1"/>
  <c r="AE33" i="1"/>
  <c r="AF33" i="1"/>
  <c r="AH33" i="1"/>
  <c r="B3" i="6"/>
  <c r="F3" i="6" s="1"/>
  <c r="K3" i="6"/>
  <c r="B5" i="6"/>
  <c r="F5" i="6" s="1"/>
  <c r="K5" i="6"/>
  <c r="B6" i="6"/>
  <c r="G6" i="6" s="1"/>
  <c r="F6" i="6"/>
  <c r="K6" i="6"/>
  <c r="B7" i="6"/>
  <c r="H7" i="6" s="1"/>
  <c r="K7" i="6"/>
  <c r="B8" i="6"/>
  <c r="F8" i="6" s="1"/>
  <c r="G8" i="6"/>
  <c r="K8" i="6"/>
  <c r="B9" i="6"/>
  <c r="F9" i="6" s="1"/>
  <c r="K9" i="6"/>
  <c r="B10" i="6"/>
  <c r="G10" i="6" s="1"/>
  <c r="K10" i="6"/>
  <c r="B11" i="6"/>
  <c r="H11" i="6" s="1"/>
  <c r="I11" i="6"/>
  <c r="K11" i="6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T16" i="1"/>
  <c r="V16" i="1"/>
  <c r="S9" i="3" s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S41" i="3" s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A21" i="1" s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S17" i="3" s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A25" i="1" s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R43" i="3" s="1"/>
  <c r="AF28" i="1"/>
  <c r="AH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4" i="1"/>
  <c r="L34" i="1"/>
  <c r="M34" i="1"/>
  <c r="N34" i="1" s="1"/>
  <c r="V34" i="1"/>
  <c r="S36" i="3" s="1"/>
  <c r="Y34" i="1"/>
  <c r="Z34" i="1"/>
  <c r="AB34" i="1"/>
  <c r="AC34" i="1"/>
  <c r="AD34" i="1"/>
  <c r="T34" i="1" s="1"/>
  <c r="AE34" i="1"/>
  <c r="R36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21" i="3" s="1"/>
  <c r="AF37" i="1"/>
  <c r="AH37" i="1"/>
  <c r="K38" i="1"/>
  <c r="L38" i="1"/>
  <c r="M38" i="1"/>
  <c r="N38" i="1" s="1"/>
  <c r="V38" i="1"/>
  <c r="S44" i="3" s="1"/>
  <c r="Y38" i="1"/>
  <c r="Z38" i="1"/>
  <c r="AB38" i="1"/>
  <c r="AC38" i="1"/>
  <c r="AD38" i="1"/>
  <c r="T38" i="1" s="1"/>
  <c r="AE38" i="1"/>
  <c r="R37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S39" i="3" s="1"/>
  <c r="Y40" i="1"/>
  <c r="Z40" i="1"/>
  <c r="AA40" i="1" s="1"/>
  <c r="AB40" i="1"/>
  <c r="AC40" i="1"/>
  <c r="AD40" i="1"/>
  <c r="T40" i="1" s="1"/>
  <c r="AE40" i="1"/>
  <c r="R39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T50" i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R10" i="3" s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R18" i="3" s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V60" i="1"/>
  <c r="Y60" i="1"/>
  <c r="Z60" i="1"/>
  <c r="AA60" i="1" s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V65" i="1"/>
  <c r="Y65" i="1"/>
  <c r="Z65" i="1"/>
  <c r="AB65" i="1"/>
  <c r="AC65" i="1"/>
  <c r="AD65" i="1"/>
  <c r="T65" i="1" s="1"/>
  <c r="AE65" i="1"/>
  <c r="R28" i="3" s="1"/>
  <c r="AF65" i="1"/>
  <c r="AH65" i="1"/>
  <c r="K66" i="1"/>
  <c r="L66" i="1"/>
  <c r="M66" i="1"/>
  <c r="V66" i="1"/>
  <c r="Y66" i="1"/>
  <c r="Z66" i="1"/>
  <c r="AB66" i="1"/>
  <c r="AC66" i="1"/>
  <c r="AD66" i="1"/>
  <c r="AE66" i="1"/>
  <c r="AF66" i="1"/>
  <c r="AH66" i="1"/>
  <c r="K67" i="1"/>
  <c r="L67" i="1"/>
  <c r="M67" i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V69" i="1"/>
  <c r="Y69" i="1"/>
  <c r="Z69" i="1"/>
  <c r="AB69" i="1"/>
  <c r="AC69" i="1"/>
  <c r="AD69" i="1"/>
  <c r="T69" i="1" s="1"/>
  <c r="AE69" i="1"/>
  <c r="R7" i="3" s="1"/>
  <c r="AF69" i="1"/>
  <c r="AH69" i="1"/>
  <c r="K70" i="1"/>
  <c r="L70" i="1"/>
  <c r="M70" i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R14" i="3" s="1"/>
  <c r="AF72" i="1"/>
  <c r="AH72" i="1"/>
  <c r="K73" i="1"/>
  <c r="L73" i="1"/>
  <c r="M73" i="1"/>
  <c r="V73" i="1"/>
  <c r="S25" i="3" s="1"/>
  <c r="Y73" i="1"/>
  <c r="Z73" i="1"/>
  <c r="AB73" i="1"/>
  <c r="AC73" i="1"/>
  <c r="AD73" i="1"/>
  <c r="T73" i="1" s="1"/>
  <c r="AE73" i="1"/>
  <c r="AF73" i="1"/>
  <c r="AH73" i="1"/>
  <c r="K74" i="1"/>
  <c r="L74" i="1"/>
  <c r="M74" i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V77" i="1"/>
  <c r="S12" i="3" s="1"/>
  <c r="Y77" i="1"/>
  <c r="Z77" i="1"/>
  <c r="AB77" i="1"/>
  <c r="AC77" i="1"/>
  <c r="AD77" i="1"/>
  <c r="AE77" i="1"/>
  <c r="R26" i="3" s="1"/>
  <c r="AF77" i="1"/>
  <c r="AH77" i="1"/>
  <c r="K78" i="1"/>
  <c r="L78" i="1"/>
  <c r="M78" i="1"/>
  <c r="V78" i="1"/>
  <c r="Y78" i="1"/>
  <c r="Z78" i="1"/>
  <c r="AB78" i="1"/>
  <c r="AC78" i="1"/>
  <c r="AD78" i="1"/>
  <c r="X78" i="1" s="1"/>
  <c r="AE78" i="1"/>
  <c r="AF78" i="1"/>
  <c r="AH78" i="1"/>
  <c r="K79" i="1"/>
  <c r="L79" i="1"/>
  <c r="M79" i="1"/>
  <c r="V79" i="1"/>
  <c r="Y79" i="1"/>
  <c r="Z79" i="1"/>
  <c r="AB79" i="1"/>
  <c r="AC79" i="1"/>
  <c r="AD79" i="1"/>
  <c r="AE79" i="1"/>
  <c r="AF79" i="1"/>
  <c r="AH79" i="1"/>
  <c r="K80" i="1"/>
  <c r="L80" i="1"/>
  <c r="M80" i="1"/>
  <c r="V80" i="1"/>
  <c r="S27" i="3" s="1"/>
  <c r="Y80" i="1"/>
  <c r="Z80" i="1"/>
  <c r="AB80" i="1"/>
  <c r="AC80" i="1"/>
  <c r="AD80" i="1"/>
  <c r="X80" i="1" s="1"/>
  <c r="AE80" i="1"/>
  <c r="R27" i="3" s="1"/>
  <c r="AF80" i="1"/>
  <c r="AH80" i="1"/>
  <c r="K81" i="1"/>
  <c r="L81" i="1"/>
  <c r="M81" i="1"/>
  <c r="V81" i="1"/>
  <c r="Y81" i="1"/>
  <c r="Z81" i="1"/>
  <c r="AB81" i="1"/>
  <c r="AC81" i="1"/>
  <c r="AD81" i="1"/>
  <c r="X81" i="1" s="1"/>
  <c r="AE81" i="1"/>
  <c r="AF81" i="1"/>
  <c r="AH81" i="1"/>
  <c r="K82" i="1"/>
  <c r="L82" i="1"/>
  <c r="M82" i="1"/>
  <c r="V82" i="1"/>
  <c r="Y82" i="1"/>
  <c r="Z82" i="1"/>
  <c r="AB82" i="1"/>
  <c r="AC82" i="1"/>
  <c r="AD82" i="1"/>
  <c r="X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V85" i="1"/>
  <c r="S31" i="3" s="1"/>
  <c r="Y85" i="1"/>
  <c r="Z85" i="1"/>
  <c r="AB85" i="1"/>
  <c r="AC85" i="1"/>
  <c r="AD85" i="1"/>
  <c r="T85" i="1" s="1"/>
  <c r="AE85" i="1"/>
  <c r="R31" i="3" s="1"/>
  <c r="AF85" i="1"/>
  <c r="AH85" i="1"/>
  <c r="K86" i="1"/>
  <c r="L86" i="1"/>
  <c r="M86" i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V91" i="1"/>
  <c r="Y91" i="1"/>
  <c r="Z91" i="1"/>
  <c r="AA91" i="1" s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A92" i="1" s="1"/>
  <c r="AB92" i="1"/>
  <c r="AC92" i="1"/>
  <c r="AD92" i="1"/>
  <c r="AG92" i="1" s="1"/>
  <c r="AE92" i="1"/>
  <c r="AF92" i="1"/>
  <c r="AH92" i="1"/>
  <c r="K93" i="1"/>
  <c r="L93" i="1"/>
  <c r="M93" i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S46" i="3" s="1"/>
  <c r="Y95" i="1"/>
  <c r="Z95" i="1"/>
  <c r="AB95" i="1"/>
  <c r="AC95" i="1"/>
  <c r="AD95" i="1"/>
  <c r="T95" i="1" s="1"/>
  <c r="AE95" i="1"/>
  <c r="R46" i="3" s="1"/>
  <c r="AF95" i="1"/>
  <c r="AH95" i="1"/>
  <c r="K96" i="1"/>
  <c r="L96" i="1"/>
  <c r="M96" i="1"/>
  <c r="N96" i="1" s="1"/>
  <c r="V96" i="1"/>
  <c r="S19" i="3" s="1"/>
  <c r="Y96" i="1"/>
  <c r="Z96" i="1"/>
  <c r="AB96" i="1"/>
  <c r="AC96" i="1"/>
  <c r="AD96" i="1"/>
  <c r="T96" i="1" s="1"/>
  <c r="AE96" i="1"/>
  <c r="R19" i="3" s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S22" i="3" s="1"/>
  <c r="Y121" i="1"/>
  <c r="Z121" i="1"/>
  <c r="AB121" i="1"/>
  <c r="AC121" i="1"/>
  <c r="AD121" i="1"/>
  <c r="T121" i="1" s="1"/>
  <c r="AE121" i="1"/>
  <c r="R22" i="3" s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X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K132" i="1"/>
  <c r="L132" i="1"/>
  <c r="M132" i="1"/>
  <c r="N132" i="1" s="1"/>
  <c r="V132" i="1"/>
  <c r="S11" i="3" s="1"/>
  <c r="Y132" i="1"/>
  <c r="Z132" i="1"/>
  <c r="AB132" i="1"/>
  <c r="AC132" i="1"/>
  <c r="AD132" i="1"/>
  <c r="X132" i="1" s="1"/>
  <c r="AE132" i="1"/>
  <c r="R11" i="3" s="1"/>
  <c r="AF132" i="1"/>
  <c r="AH132" i="1"/>
  <c r="K133" i="1"/>
  <c r="L133" i="1"/>
  <c r="M133" i="1"/>
  <c r="N133" i="1" s="1"/>
  <c r="V133" i="1"/>
  <c r="S47" i="3" s="1"/>
  <c r="Y133" i="1"/>
  <c r="Z133" i="1"/>
  <c r="AB133" i="1"/>
  <c r="AC133" i="1"/>
  <c r="AD133" i="1"/>
  <c r="T133" i="1" s="1"/>
  <c r="AE133" i="1"/>
  <c r="R47" i="3" s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S23" i="3" s="1"/>
  <c r="Y142" i="1"/>
  <c r="Z142" i="1"/>
  <c r="AB142" i="1"/>
  <c r="AC142" i="1"/>
  <c r="AD142" i="1"/>
  <c r="T142" i="1" s="1"/>
  <c r="AE142" i="1"/>
  <c r="R23" i="3" s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S20" i="3" s="1"/>
  <c r="Y144" i="1"/>
  <c r="Z144" i="1"/>
  <c r="AB144" i="1"/>
  <c r="AC144" i="1"/>
  <c r="AD144" i="1"/>
  <c r="AG144" i="1" s="1"/>
  <c r="AE144" i="1"/>
  <c r="R20" i="3" s="1"/>
  <c r="AF144" i="1"/>
  <c r="AH144" i="1"/>
  <c r="K145" i="1"/>
  <c r="L145" i="1"/>
  <c r="M145" i="1"/>
  <c r="N145" i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R8" i="3" s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S24" i="3" s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S13" i="3" s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S67" i="3" s="1"/>
  <c r="Y213" i="1"/>
  <c r="Z213" i="1"/>
  <c r="AB213" i="1"/>
  <c r="AC213" i="1"/>
  <c r="AD213" i="1"/>
  <c r="T213" i="1" s="1"/>
  <c r="AE213" i="1"/>
  <c r="R67" i="3" s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K217" i="1"/>
  <c r="L217" i="1"/>
  <c r="M217" i="1"/>
  <c r="N217" i="1" s="1"/>
  <c r="Y217" i="1"/>
  <c r="Z217" i="1"/>
  <c r="AB217" i="1"/>
  <c r="AC217" i="1"/>
  <c r="AD217" i="1"/>
  <c r="T217" i="1" s="1"/>
  <c r="AE217" i="1"/>
  <c r="AF217" i="1"/>
  <c r="AH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2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5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6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7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8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R63" i="3" s="1"/>
  <c r="AF230" i="1"/>
  <c r="AH179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80" i="1"/>
  <c r="K232" i="1"/>
  <c r="L232" i="1"/>
  <c r="M232" i="1"/>
  <c r="N232" i="1" s="1"/>
  <c r="V232" i="1"/>
  <c r="S61" i="3" s="1"/>
  <c r="Y232" i="1"/>
  <c r="Z232" i="1"/>
  <c r="AB232" i="1"/>
  <c r="AC232" i="1"/>
  <c r="AD232" i="1"/>
  <c r="T232" i="1" s="1"/>
  <c r="AE232" i="1"/>
  <c r="R61" i="3" s="1"/>
  <c r="AF232" i="1"/>
  <c r="AH181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82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3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4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5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8" i="1"/>
  <c r="K167" i="1"/>
  <c r="L167" i="1"/>
  <c r="M167" i="1"/>
  <c r="N167" i="1" s="1"/>
  <c r="V167" i="1"/>
  <c r="S59" i="3" s="1"/>
  <c r="Y167" i="1"/>
  <c r="Z167" i="1"/>
  <c r="AB167" i="1"/>
  <c r="AC167" i="1"/>
  <c r="AD167" i="1"/>
  <c r="T167" i="1" s="1"/>
  <c r="AE167" i="1"/>
  <c r="AF167" i="1"/>
  <c r="AH189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90" i="1"/>
  <c r="K169" i="1"/>
  <c r="L169" i="1"/>
  <c r="M169" i="1"/>
  <c r="N169" i="1" s="1"/>
  <c r="V169" i="1"/>
  <c r="S50" i="3" s="1"/>
  <c r="Y169" i="1"/>
  <c r="Z169" i="1"/>
  <c r="AA169" i="1" s="1"/>
  <c r="AB169" i="1"/>
  <c r="AC169" i="1"/>
  <c r="AD169" i="1"/>
  <c r="AG169" i="1" s="1"/>
  <c r="AE169" i="1"/>
  <c r="AF169" i="1"/>
  <c r="AH19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3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6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97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9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1" i="1"/>
  <c r="K181" i="1"/>
  <c r="L181" i="1"/>
  <c r="M181" i="1"/>
  <c r="N181" i="1" s="1"/>
  <c r="V181" i="1"/>
  <c r="S54" i="3" s="1"/>
  <c r="Y181" i="1"/>
  <c r="Z181" i="1"/>
  <c r="AB181" i="1"/>
  <c r="AC181" i="1"/>
  <c r="AD181" i="1"/>
  <c r="T181" i="1" s="1"/>
  <c r="AE181" i="1"/>
  <c r="AF181" i="1"/>
  <c r="AH20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4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5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R51" i="3" s="1"/>
  <c r="AF185" i="1"/>
  <c r="AH20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8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1" i="1"/>
  <c r="K191" i="1"/>
  <c r="L191" i="1"/>
  <c r="M191" i="1"/>
  <c r="N191" i="1" s="1"/>
  <c r="V191" i="1"/>
  <c r="S53" i="3" s="1"/>
  <c r="Y191" i="1"/>
  <c r="Z191" i="1"/>
  <c r="AB191" i="1"/>
  <c r="AC191" i="1"/>
  <c r="AD191" i="1"/>
  <c r="T191" i="1" s="1"/>
  <c r="AE191" i="1"/>
  <c r="R53" i="3" s="1"/>
  <c r="AF191" i="1"/>
  <c r="AH212" i="1"/>
  <c r="K192" i="1"/>
  <c r="L192" i="1"/>
  <c r="M192" i="1"/>
  <c r="V192" i="1"/>
  <c r="S56" i="3" s="1"/>
  <c r="Y192" i="1"/>
  <c r="Z192" i="1"/>
  <c r="AB192" i="1"/>
  <c r="AC192" i="1"/>
  <c r="AD192" i="1"/>
  <c r="AE192" i="1"/>
  <c r="R58" i="3" s="1"/>
  <c r="AF192" i="1"/>
  <c r="AH213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214" i="1"/>
  <c r="AH21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6" i="1"/>
  <c r="K195" i="1"/>
  <c r="L195" i="1"/>
  <c r="M195" i="1"/>
  <c r="N195" i="1" s="1"/>
  <c r="V195" i="1"/>
  <c r="S52" i="3" s="1"/>
  <c r="Y195" i="1"/>
  <c r="Z195" i="1"/>
  <c r="AB195" i="1"/>
  <c r="AC195" i="1"/>
  <c r="AD195" i="1"/>
  <c r="X195" i="1" s="1"/>
  <c r="AE195" i="1"/>
  <c r="R52" i="3" s="1"/>
  <c r="AF195" i="1"/>
  <c r="AH21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0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21" i="1"/>
  <c r="K200" i="1"/>
  <c r="L200" i="1"/>
  <c r="M200" i="1"/>
  <c r="N200" i="1" s="1"/>
  <c r="V200" i="1"/>
  <c r="S49" i="3" s="1"/>
  <c r="Y200" i="1"/>
  <c r="Z200" i="1"/>
  <c r="AB200" i="1"/>
  <c r="AC200" i="1"/>
  <c r="AD200" i="1"/>
  <c r="X200" i="1" s="1"/>
  <c r="AE200" i="1"/>
  <c r="R49" i="3" s="1"/>
  <c r="AF200" i="1"/>
  <c r="AH22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4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25" i="1"/>
  <c r="K204" i="1"/>
  <c r="L204" i="1"/>
  <c r="M204" i="1"/>
  <c r="N204" i="1" s="1"/>
  <c r="V204" i="1"/>
  <c r="S57" i="3" s="1"/>
  <c r="Y204" i="1"/>
  <c r="Z204" i="1"/>
  <c r="AB204" i="1"/>
  <c r="AC204" i="1"/>
  <c r="AD204" i="1"/>
  <c r="T204" i="1" s="1"/>
  <c r="AE204" i="1"/>
  <c r="AF204" i="1"/>
  <c r="AH22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9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230" i="1"/>
  <c r="K209" i="1"/>
  <c r="L209" i="1"/>
  <c r="M209" i="1"/>
  <c r="N209" i="1" s="1"/>
  <c r="V209" i="1"/>
  <c r="S60" i="3" s="1"/>
  <c r="Y209" i="1"/>
  <c r="Z209" i="1"/>
  <c r="AB209" i="1"/>
  <c r="AC209" i="1"/>
  <c r="AD209" i="1"/>
  <c r="T209" i="1" s="1"/>
  <c r="AE209" i="1"/>
  <c r="R60" i="3" s="1"/>
  <c r="AF209" i="1"/>
  <c r="AH23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3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3" i="1"/>
  <c r="K223" i="1"/>
  <c r="L223" i="1"/>
  <c r="M223" i="1"/>
  <c r="N223" i="1" s="1"/>
  <c r="V223" i="1"/>
  <c r="S65" i="3" s="1"/>
  <c r="Y223" i="1"/>
  <c r="Z223" i="1"/>
  <c r="AB223" i="1"/>
  <c r="AC223" i="1"/>
  <c r="AD223" i="1"/>
  <c r="T223" i="1" s="1"/>
  <c r="AE223" i="1"/>
  <c r="R65" i="3" s="1"/>
  <c r="AF223" i="1"/>
  <c r="AH234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5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6" i="1"/>
  <c r="M67" i="3"/>
  <c r="N67" i="3"/>
  <c r="U67" i="3"/>
  <c r="T67" i="3" s="1"/>
  <c r="V67" i="3"/>
  <c r="W67" i="3"/>
  <c r="X67" i="3"/>
  <c r="AC67" i="3"/>
  <c r="M9" i="3"/>
  <c r="N9" i="3"/>
  <c r="R9" i="3"/>
  <c r="U9" i="3"/>
  <c r="T9" i="3" s="1"/>
  <c r="V9" i="3"/>
  <c r="W9" i="3"/>
  <c r="Y9" i="3" s="1"/>
  <c r="X9" i="3"/>
  <c r="AC9" i="3"/>
  <c r="M15" i="3"/>
  <c r="N15" i="3"/>
  <c r="R15" i="3"/>
  <c r="U15" i="3"/>
  <c r="AC15" i="3" s="1"/>
  <c r="V15" i="3"/>
  <c r="W15" i="3"/>
  <c r="X15" i="3"/>
  <c r="M40" i="3"/>
  <c r="N40" i="3"/>
  <c r="R40" i="3"/>
  <c r="U40" i="3"/>
  <c r="T40" i="3" s="1"/>
  <c r="V40" i="3"/>
  <c r="W40" i="3"/>
  <c r="Y40" i="3" s="1"/>
  <c r="X40" i="3"/>
  <c r="M41" i="3"/>
  <c r="N41" i="3"/>
  <c r="R41" i="3"/>
  <c r="U41" i="3"/>
  <c r="T41" i="3" s="1"/>
  <c r="V41" i="3"/>
  <c r="W41" i="3"/>
  <c r="Y41" i="3" s="1"/>
  <c r="X41" i="3"/>
  <c r="M59" i="3"/>
  <c r="N59" i="3"/>
  <c r="R59" i="3"/>
  <c r="U59" i="3"/>
  <c r="T59" i="3" s="1"/>
  <c r="V59" i="3"/>
  <c r="W59" i="3"/>
  <c r="X59" i="3"/>
  <c r="AC59" i="3"/>
  <c r="M17" i="3"/>
  <c r="N17" i="3"/>
  <c r="R17" i="3"/>
  <c r="U17" i="3"/>
  <c r="AC17" i="3" s="1"/>
  <c r="V17" i="3"/>
  <c r="W17" i="3"/>
  <c r="X17" i="3"/>
  <c r="M42" i="3"/>
  <c r="N42" i="3"/>
  <c r="R42" i="3"/>
  <c r="U42" i="3"/>
  <c r="T42" i="3" s="1"/>
  <c r="V42" i="3"/>
  <c r="W42" i="3"/>
  <c r="X42" i="3"/>
  <c r="M50" i="3"/>
  <c r="N50" i="3"/>
  <c r="R50" i="3"/>
  <c r="U50" i="3"/>
  <c r="T50" i="3" s="1"/>
  <c r="V50" i="3"/>
  <c r="W50" i="3"/>
  <c r="X50" i="3"/>
  <c r="AC50" i="3"/>
  <c r="M43" i="3"/>
  <c r="N43" i="3"/>
  <c r="S43" i="3"/>
  <c r="U43" i="3"/>
  <c r="T43" i="3" s="1"/>
  <c r="V43" i="3"/>
  <c r="W43" i="3"/>
  <c r="X43" i="3"/>
  <c r="AC43" i="3"/>
  <c r="M21" i="3"/>
  <c r="N21" i="3"/>
  <c r="S21" i="3"/>
  <c r="U21" i="3"/>
  <c r="AC21" i="3" s="1"/>
  <c r="V21" i="3"/>
  <c r="W21" i="3"/>
  <c r="X21" i="3"/>
  <c r="M36" i="3"/>
  <c r="N36" i="3"/>
  <c r="U36" i="3"/>
  <c r="T36" i="3" s="1"/>
  <c r="V36" i="3"/>
  <c r="W36" i="3"/>
  <c r="X36" i="3"/>
  <c r="M37" i="3"/>
  <c r="N37" i="3"/>
  <c r="U37" i="3"/>
  <c r="T37" i="3" s="1"/>
  <c r="V37" i="3"/>
  <c r="W37" i="3"/>
  <c r="X37" i="3"/>
  <c r="M38" i="3"/>
  <c r="N38" i="3"/>
  <c r="U38" i="3"/>
  <c r="T38" i="3" s="1"/>
  <c r="V38" i="3"/>
  <c r="W38" i="3"/>
  <c r="X38" i="3"/>
  <c r="AC38" i="3"/>
  <c r="M48" i="3"/>
  <c r="N48" i="3"/>
  <c r="U48" i="3"/>
  <c r="AC48" i="3" s="1"/>
  <c r="V48" i="3"/>
  <c r="W48" i="3"/>
  <c r="X48" i="3"/>
  <c r="M16" i="3"/>
  <c r="N16" i="3"/>
  <c r="S16" i="3"/>
  <c r="U16" i="3"/>
  <c r="T16" i="3" s="1"/>
  <c r="V16" i="3"/>
  <c r="W16" i="3"/>
  <c r="X16" i="3"/>
  <c r="M44" i="3"/>
  <c r="N44" i="3"/>
  <c r="U44" i="3"/>
  <c r="T44" i="3" s="1"/>
  <c r="V44" i="3"/>
  <c r="W44" i="3"/>
  <c r="X44" i="3"/>
  <c r="AC44" i="3"/>
  <c r="M39" i="3"/>
  <c r="N39" i="3"/>
  <c r="U39" i="3"/>
  <c r="AC39" i="3" s="1"/>
  <c r="V39" i="3"/>
  <c r="W39" i="3"/>
  <c r="X39" i="3"/>
  <c r="M65" i="3"/>
  <c r="N65" i="3"/>
  <c r="U65" i="3"/>
  <c r="AC65" i="3" s="1"/>
  <c r="V65" i="3"/>
  <c r="W65" i="3"/>
  <c r="X65" i="3"/>
  <c r="M18" i="3"/>
  <c r="N18" i="3"/>
  <c r="S18" i="3"/>
  <c r="U18" i="3"/>
  <c r="T18" i="3" s="1"/>
  <c r="V18" i="3"/>
  <c r="W18" i="3"/>
  <c r="Y18" i="3" s="1"/>
  <c r="X18" i="3"/>
  <c r="M28" i="3"/>
  <c r="N28" i="3"/>
  <c r="S28" i="3"/>
  <c r="U28" i="3"/>
  <c r="T28" i="3" s="1"/>
  <c r="V28" i="3"/>
  <c r="W28" i="3"/>
  <c r="Y28" i="3" s="1"/>
  <c r="X28" i="3"/>
  <c r="M10" i="3"/>
  <c r="N10" i="3"/>
  <c r="S10" i="3"/>
  <c r="U10" i="3"/>
  <c r="T10" i="3" s="1"/>
  <c r="V10" i="3"/>
  <c r="W10" i="3"/>
  <c r="X10" i="3"/>
  <c r="AC10" i="3"/>
  <c r="M64" i="3"/>
  <c r="N64" i="3"/>
  <c r="R64" i="3"/>
  <c r="S64" i="3"/>
  <c r="U64" i="3"/>
  <c r="AC64" i="3" s="1"/>
  <c r="V64" i="3"/>
  <c r="W64" i="3"/>
  <c r="X64" i="3"/>
  <c r="M7" i="3"/>
  <c r="N7" i="3"/>
  <c r="S7" i="3"/>
  <c r="U7" i="3"/>
  <c r="T7" i="3" s="1"/>
  <c r="V7" i="3"/>
  <c r="W7" i="3"/>
  <c r="X7" i="3"/>
  <c r="M45" i="3"/>
  <c r="N45" i="3"/>
  <c r="S45" i="3"/>
  <c r="U45" i="3"/>
  <c r="T45" i="3" s="1"/>
  <c r="V45" i="3"/>
  <c r="W45" i="3"/>
  <c r="X45" i="3"/>
  <c r="AC45" i="3"/>
  <c r="M25" i="3"/>
  <c r="N25" i="3"/>
  <c r="R25" i="3"/>
  <c r="U25" i="3"/>
  <c r="T25" i="3" s="1"/>
  <c r="V25" i="3"/>
  <c r="W25" i="3"/>
  <c r="X25" i="3"/>
  <c r="AC25" i="3"/>
  <c r="M33" i="3"/>
  <c r="N33" i="3"/>
  <c r="R33" i="3"/>
  <c r="S33" i="3"/>
  <c r="U33" i="3"/>
  <c r="AC33" i="3" s="1"/>
  <c r="V33" i="3"/>
  <c r="W33" i="3"/>
  <c r="X33" i="3"/>
  <c r="M29" i="3"/>
  <c r="N29" i="3"/>
  <c r="R29" i="3"/>
  <c r="U29" i="3"/>
  <c r="AC29" i="3" s="1"/>
  <c r="V29" i="3"/>
  <c r="W29" i="3"/>
  <c r="X29" i="3"/>
  <c r="M26" i="3"/>
  <c r="N26" i="3"/>
  <c r="U26" i="3"/>
  <c r="T26" i="3" s="1"/>
  <c r="V26" i="3"/>
  <c r="W26" i="3"/>
  <c r="X26" i="3"/>
  <c r="M30" i="3"/>
  <c r="N30" i="3"/>
  <c r="U30" i="3"/>
  <c r="T30" i="3" s="1"/>
  <c r="V30" i="3"/>
  <c r="W30" i="3"/>
  <c r="X30" i="3"/>
  <c r="AC30" i="3"/>
  <c r="M61" i="3"/>
  <c r="N61" i="3"/>
  <c r="U61" i="3"/>
  <c r="AC61" i="3" s="1"/>
  <c r="V61" i="3"/>
  <c r="W61" i="3"/>
  <c r="X61" i="3"/>
  <c r="M54" i="3"/>
  <c r="N54" i="3"/>
  <c r="R54" i="3"/>
  <c r="U54" i="3"/>
  <c r="AC54" i="3" s="1"/>
  <c r="V54" i="3"/>
  <c r="W54" i="3"/>
  <c r="X54" i="3"/>
  <c r="M12" i="3"/>
  <c r="N12" i="3"/>
  <c r="U12" i="3"/>
  <c r="T12" i="3" s="1"/>
  <c r="V12" i="3"/>
  <c r="W12" i="3"/>
  <c r="X12" i="3"/>
  <c r="AC12" i="3"/>
  <c r="M66" i="3"/>
  <c r="N66" i="3"/>
  <c r="R66" i="3"/>
  <c r="U66" i="3"/>
  <c r="T66" i="3" s="1"/>
  <c r="V66" i="3"/>
  <c r="W66" i="3"/>
  <c r="X66" i="3"/>
  <c r="AC66" i="3"/>
  <c r="M27" i="3"/>
  <c r="N27" i="3"/>
  <c r="U27" i="3"/>
  <c r="AC27" i="3" s="1"/>
  <c r="V27" i="3"/>
  <c r="W27" i="3"/>
  <c r="X27" i="3"/>
  <c r="M62" i="3"/>
  <c r="N62" i="3"/>
  <c r="R62" i="3"/>
  <c r="U62" i="3"/>
  <c r="T62" i="3" s="1"/>
  <c r="V62" i="3"/>
  <c r="W62" i="3"/>
  <c r="Y62" i="3" s="1"/>
  <c r="X62" i="3"/>
  <c r="M14" i="3"/>
  <c r="N14" i="3"/>
  <c r="S14" i="3"/>
  <c r="U14" i="3"/>
  <c r="T14" i="3" s="1"/>
  <c r="V14" i="3"/>
  <c r="W14" i="3"/>
  <c r="Y14" i="3" s="1"/>
  <c r="X14" i="3"/>
  <c r="M34" i="3"/>
  <c r="N34" i="3"/>
  <c r="U34" i="3"/>
  <c r="T34" i="3" s="1"/>
  <c r="V34" i="3"/>
  <c r="W34" i="3"/>
  <c r="X34" i="3"/>
  <c r="AC34" i="3"/>
  <c r="M31" i="3"/>
  <c r="N31" i="3"/>
  <c r="U31" i="3"/>
  <c r="AC31" i="3" s="1"/>
  <c r="V31" i="3"/>
  <c r="W31" i="3"/>
  <c r="X31" i="3"/>
  <c r="M32" i="3"/>
  <c r="N32" i="3"/>
  <c r="U32" i="3"/>
  <c r="AC32" i="3" s="1"/>
  <c r="V32" i="3"/>
  <c r="W32" i="3"/>
  <c r="X32" i="3"/>
  <c r="M35" i="3"/>
  <c r="N35" i="3"/>
  <c r="U35" i="3"/>
  <c r="T35" i="3" s="1"/>
  <c r="V35" i="3"/>
  <c r="W35" i="3"/>
  <c r="X35" i="3"/>
  <c r="M51" i="3"/>
  <c r="N51" i="3"/>
  <c r="S51" i="3"/>
  <c r="U51" i="3"/>
  <c r="T51" i="3" s="1"/>
  <c r="V51" i="3"/>
  <c r="W51" i="3"/>
  <c r="Y51" i="3" s="1"/>
  <c r="X51" i="3"/>
  <c r="AC51" i="3"/>
  <c r="M19" i="3"/>
  <c r="N19" i="3"/>
  <c r="U19" i="3"/>
  <c r="AC19" i="3" s="1"/>
  <c r="V19" i="3"/>
  <c r="W19" i="3"/>
  <c r="X19" i="3"/>
  <c r="M46" i="3"/>
  <c r="N46" i="3"/>
  <c r="U46" i="3"/>
  <c r="T46" i="3" s="1"/>
  <c r="V46" i="3"/>
  <c r="W46" i="3"/>
  <c r="X46" i="3"/>
  <c r="M53" i="3"/>
  <c r="N53" i="3"/>
  <c r="U53" i="3"/>
  <c r="T53" i="3" s="1"/>
  <c r="V53" i="3"/>
  <c r="W53" i="3"/>
  <c r="Y53" i="3" s="1"/>
  <c r="X53" i="3"/>
  <c r="M55" i="3"/>
  <c r="N55" i="3"/>
  <c r="S55" i="3"/>
  <c r="U55" i="3"/>
  <c r="T55" i="3" s="1"/>
  <c r="V55" i="3"/>
  <c r="W55" i="3"/>
  <c r="X55" i="3"/>
  <c r="M56" i="3"/>
  <c r="N56" i="3"/>
  <c r="U56" i="3"/>
  <c r="AC56" i="3" s="1"/>
  <c r="V56" i="3"/>
  <c r="W56" i="3"/>
  <c r="X56" i="3"/>
  <c r="M58" i="3"/>
  <c r="N58" i="3"/>
  <c r="U58" i="3"/>
  <c r="T58" i="3" s="1"/>
  <c r="V58" i="3"/>
  <c r="W58" i="3"/>
  <c r="X58" i="3"/>
  <c r="M63" i="3"/>
  <c r="N63" i="3"/>
  <c r="S63" i="3"/>
  <c r="U63" i="3"/>
  <c r="T63" i="3" s="1"/>
  <c r="V63" i="3"/>
  <c r="W63" i="3"/>
  <c r="X63" i="3"/>
  <c r="M52" i="3"/>
  <c r="N52" i="3"/>
  <c r="U52" i="3"/>
  <c r="T52" i="3" s="1"/>
  <c r="V52" i="3"/>
  <c r="W52" i="3"/>
  <c r="X52" i="3"/>
  <c r="AC52" i="3"/>
  <c r="M22" i="3"/>
  <c r="N22" i="3"/>
  <c r="U22" i="3"/>
  <c r="AC22" i="3" s="1"/>
  <c r="V22" i="3"/>
  <c r="W22" i="3"/>
  <c r="X22" i="3"/>
  <c r="M11" i="3"/>
  <c r="N11" i="3"/>
  <c r="U11" i="3"/>
  <c r="AC11" i="3" s="1"/>
  <c r="V11" i="3"/>
  <c r="W11" i="3"/>
  <c r="X11" i="3"/>
  <c r="M49" i="3"/>
  <c r="N49" i="3"/>
  <c r="U49" i="3"/>
  <c r="T49" i="3" s="1"/>
  <c r="V49" i="3"/>
  <c r="W49" i="3"/>
  <c r="X49" i="3"/>
  <c r="M47" i="3"/>
  <c r="N47" i="3"/>
  <c r="U47" i="3"/>
  <c r="T47" i="3" s="1"/>
  <c r="V47" i="3"/>
  <c r="W47" i="3"/>
  <c r="X47" i="3"/>
  <c r="AC47" i="3"/>
  <c r="M57" i="3"/>
  <c r="N57" i="3"/>
  <c r="R57" i="3"/>
  <c r="U57" i="3"/>
  <c r="AC57" i="3" s="1"/>
  <c r="V57" i="3"/>
  <c r="W57" i="3"/>
  <c r="X57" i="3"/>
  <c r="M23" i="3"/>
  <c r="N23" i="3"/>
  <c r="U23" i="3"/>
  <c r="T23" i="3" s="1"/>
  <c r="V23" i="3"/>
  <c r="W23" i="3"/>
  <c r="X23" i="3"/>
  <c r="M20" i="3"/>
  <c r="N20" i="3"/>
  <c r="U20" i="3"/>
  <c r="T20" i="3" s="1"/>
  <c r="V20" i="3"/>
  <c r="W20" i="3"/>
  <c r="X20" i="3"/>
  <c r="AC20" i="3"/>
  <c r="M60" i="3"/>
  <c r="N60" i="3"/>
  <c r="U60" i="3"/>
  <c r="T60" i="3" s="1"/>
  <c r="V60" i="3"/>
  <c r="W60" i="3"/>
  <c r="X60" i="3"/>
  <c r="AC60" i="3"/>
  <c r="M8" i="3"/>
  <c r="N8" i="3"/>
  <c r="S8" i="3"/>
  <c r="U8" i="3"/>
  <c r="AC8" i="3" s="1"/>
  <c r="V8" i="3"/>
  <c r="W8" i="3"/>
  <c r="X8" i="3"/>
  <c r="M24" i="3"/>
  <c r="N24" i="3"/>
  <c r="R24" i="3"/>
  <c r="U24" i="3"/>
  <c r="AC24" i="3" s="1"/>
  <c r="V24" i="3"/>
  <c r="W24" i="3"/>
  <c r="X24" i="3"/>
  <c r="Y24" i="3"/>
  <c r="M13" i="3"/>
  <c r="N13" i="3"/>
  <c r="R13" i="3"/>
  <c r="U13" i="3"/>
  <c r="T13" i="3" s="1"/>
  <c r="V13" i="3"/>
  <c r="W13" i="3"/>
  <c r="X13" i="3"/>
  <c r="R34" i="3" l="1"/>
  <c r="S37" i="3"/>
  <c r="S58" i="3"/>
  <c r="R30" i="3"/>
  <c r="S48" i="3"/>
  <c r="S38" i="3"/>
  <c r="S42" i="3"/>
  <c r="AG189" i="1"/>
  <c r="X189" i="1"/>
  <c r="R45" i="3"/>
  <c r="AA189" i="1"/>
  <c r="AG183" i="1"/>
  <c r="R12" i="3"/>
  <c r="W92" i="1"/>
  <c r="W91" i="1"/>
  <c r="AG106" i="1"/>
  <c r="F10" i="6"/>
  <c r="I7" i="6"/>
  <c r="G3" i="6"/>
  <c r="R44" i="3"/>
  <c r="R16" i="3"/>
  <c r="R48" i="3"/>
  <c r="X222" i="1"/>
  <c r="AA198" i="1"/>
  <c r="AA197" i="1"/>
  <c r="AA195" i="1"/>
  <c r="AA194" i="1"/>
  <c r="X184" i="1"/>
  <c r="AA168" i="1"/>
  <c r="W168" i="1" s="1"/>
  <c r="AA167" i="1"/>
  <c r="AG217" i="1"/>
  <c r="X215" i="1"/>
  <c r="X128" i="1"/>
  <c r="AA84" i="1"/>
  <c r="AA83" i="1"/>
  <c r="W83" i="1" s="1"/>
  <c r="AA76" i="1"/>
  <c r="AA51" i="1"/>
  <c r="W51" i="1" s="1"/>
  <c r="AG42" i="1"/>
  <c r="U42" i="1" s="1"/>
  <c r="S42" i="1" s="1"/>
  <c r="Y29" i="3"/>
  <c r="R38" i="3"/>
  <c r="Y37" i="3"/>
  <c r="Y36" i="3"/>
  <c r="T197" i="1"/>
  <c r="X197" i="1"/>
  <c r="T196" i="1"/>
  <c r="X196" i="1"/>
  <c r="T194" i="1"/>
  <c r="X194" i="1"/>
  <c r="AA234" i="1"/>
  <c r="AA219" i="1"/>
  <c r="W219" i="1" s="1"/>
  <c r="T58" i="1"/>
  <c r="AG181" i="1"/>
  <c r="AA162" i="1"/>
  <c r="AA161" i="1"/>
  <c r="W161" i="1" s="1"/>
  <c r="P77" i="1"/>
  <c r="T75" i="1"/>
  <c r="AA17" i="1"/>
  <c r="P90" i="1"/>
  <c r="P85" i="1"/>
  <c r="AA231" i="1"/>
  <c r="AG140" i="1"/>
  <c r="U140" i="1" s="1"/>
  <c r="S140" i="1" s="1"/>
  <c r="Y13" i="3"/>
  <c r="Y49" i="3"/>
  <c r="Y11" i="3"/>
  <c r="S34" i="3"/>
  <c r="S30" i="3"/>
  <c r="S26" i="3"/>
  <c r="AA223" i="1"/>
  <c r="AA208" i="1"/>
  <c r="AG198" i="1"/>
  <c r="AI198" i="1" s="1"/>
  <c r="AA181" i="1"/>
  <c r="AA173" i="1"/>
  <c r="W173" i="1" s="1"/>
  <c r="AA235" i="1"/>
  <c r="AI226" i="1"/>
  <c r="AG162" i="1"/>
  <c r="U162" i="1" s="1"/>
  <c r="S162" i="1" s="1"/>
  <c r="AA144" i="1"/>
  <c r="W144" i="1" s="1"/>
  <c r="P69" i="1"/>
  <c r="P65" i="1"/>
  <c r="P93" i="1"/>
  <c r="Y26" i="3"/>
  <c r="AA204" i="1"/>
  <c r="AA156" i="1"/>
  <c r="W156" i="1" s="1"/>
  <c r="AI84" i="1"/>
  <c r="AG82" i="1"/>
  <c r="T81" i="1"/>
  <c r="T80" i="1"/>
  <c r="AG79" i="1"/>
  <c r="AI79" i="1" s="1"/>
  <c r="X79" i="1"/>
  <c r="AA72" i="1"/>
  <c r="P59" i="1"/>
  <c r="AI52" i="1"/>
  <c r="AA52" i="1"/>
  <c r="AG31" i="1"/>
  <c r="U31" i="1" s="1"/>
  <c r="S31" i="1" s="1"/>
  <c r="AG119" i="1"/>
  <c r="AI119" i="1" s="1"/>
  <c r="AA112" i="1"/>
  <c r="AA90" i="1"/>
  <c r="AA85" i="1"/>
  <c r="P80" i="1"/>
  <c r="AG17" i="1"/>
  <c r="AI17" i="1" s="1"/>
  <c r="G11" i="6"/>
  <c r="J10" i="6"/>
  <c r="I8" i="6"/>
  <c r="G7" i="6"/>
  <c r="J6" i="6"/>
  <c r="I3" i="6"/>
  <c r="J11" i="6"/>
  <c r="F11" i="6"/>
  <c r="I10" i="6"/>
  <c r="I9" i="6"/>
  <c r="H8" i="6"/>
  <c r="J7" i="6"/>
  <c r="F7" i="6"/>
  <c r="I6" i="6"/>
  <c r="I5" i="6"/>
  <c r="H3" i="6"/>
  <c r="T57" i="3"/>
  <c r="Y58" i="3"/>
  <c r="Y56" i="3"/>
  <c r="R56" i="3"/>
  <c r="R55" i="3"/>
  <c r="S62" i="3"/>
  <c r="S66" i="3"/>
  <c r="Y45" i="3"/>
  <c r="Y7" i="3"/>
  <c r="Y64" i="3"/>
  <c r="Y43" i="3"/>
  <c r="S40" i="3"/>
  <c r="S15" i="3"/>
  <c r="X223" i="1"/>
  <c r="X204" i="1"/>
  <c r="T188" i="1"/>
  <c r="T164" i="1"/>
  <c r="U164" i="1" s="1"/>
  <c r="S164" i="1" s="1"/>
  <c r="AG230" i="1"/>
  <c r="AI230" i="1" s="1"/>
  <c r="X230" i="1"/>
  <c r="T226" i="1"/>
  <c r="T214" i="1"/>
  <c r="AA211" i="1"/>
  <c r="W211" i="1" s="1"/>
  <c r="U106" i="1"/>
  <c r="AA88" i="1"/>
  <c r="P73" i="1"/>
  <c r="AA68" i="1"/>
  <c r="AG37" i="1"/>
  <c r="AG21" i="1"/>
  <c r="AI21" i="1" s="1"/>
  <c r="P62" i="1"/>
  <c r="Y63" i="3"/>
  <c r="Y20" i="3"/>
  <c r="Y23" i="3"/>
  <c r="Y57" i="3"/>
  <c r="Y46" i="3"/>
  <c r="Y66" i="3"/>
  <c r="Y44" i="3"/>
  <c r="Y16" i="3"/>
  <c r="Y48" i="3"/>
  <c r="AA224" i="1"/>
  <c r="AA196" i="1"/>
  <c r="AA188" i="1"/>
  <c r="W188" i="1" s="1"/>
  <c r="AI183" i="1"/>
  <c r="AA179" i="1"/>
  <c r="AA178" i="1"/>
  <c r="AA177" i="1"/>
  <c r="AA175" i="1"/>
  <c r="AA174" i="1"/>
  <c r="AA165" i="1"/>
  <c r="AA164" i="1"/>
  <c r="W164" i="1" s="1"/>
  <c r="T159" i="1"/>
  <c r="U159" i="1" s="1"/>
  <c r="S159" i="1" s="1"/>
  <c r="AA154" i="1"/>
  <c r="AA153" i="1"/>
  <c r="W153" i="1" s="1"/>
  <c r="AA152" i="1"/>
  <c r="W152" i="1" s="1"/>
  <c r="T151" i="1"/>
  <c r="AA148" i="1"/>
  <c r="W148" i="1" s="1"/>
  <c r="AA146" i="1"/>
  <c r="AA145" i="1"/>
  <c r="AG143" i="1"/>
  <c r="U143" i="1" s="1"/>
  <c r="S143" i="1" s="1"/>
  <c r="AG134" i="1"/>
  <c r="U134" i="1" s="1"/>
  <c r="S134" i="1" s="1"/>
  <c r="AA122" i="1"/>
  <c r="AA120" i="1"/>
  <c r="AG114" i="1"/>
  <c r="U114" i="1" s="1"/>
  <c r="S114" i="1" s="1"/>
  <c r="AA110" i="1"/>
  <c r="AA109" i="1"/>
  <c r="AA108" i="1"/>
  <c r="AA100" i="1"/>
  <c r="AG96" i="1"/>
  <c r="U96" i="1" s="1"/>
  <c r="S96" i="1" s="1"/>
  <c r="X96" i="1"/>
  <c r="AA95" i="1"/>
  <c r="AG80" i="1"/>
  <c r="U80" i="1" s="1"/>
  <c r="AA73" i="1"/>
  <c r="AG70" i="1"/>
  <c r="AA56" i="1"/>
  <c r="AG54" i="1"/>
  <c r="AG44" i="1"/>
  <c r="U44" i="1" s="1"/>
  <c r="S44" i="1" s="1"/>
  <c r="AA38" i="1"/>
  <c r="AG23" i="1"/>
  <c r="X21" i="1"/>
  <c r="AA14" i="1"/>
  <c r="AC63" i="3"/>
  <c r="AC35" i="3"/>
  <c r="T64" i="3"/>
  <c r="AA202" i="1"/>
  <c r="AA201" i="1"/>
  <c r="AA200" i="1"/>
  <c r="AG154" i="1"/>
  <c r="X152" i="1"/>
  <c r="AG100" i="1"/>
  <c r="AI100" i="1" s="1"/>
  <c r="X100" i="1"/>
  <c r="AG95" i="1"/>
  <c r="AI92" i="1"/>
  <c r="AA89" i="1"/>
  <c r="AA64" i="1"/>
  <c r="X55" i="1"/>
  <c r="AI51" i="1"/>
  <c r="AG46" i="1"/>
  <c r="U46" i="1" s="1"/>
  <c r="S46" i="1" s="1"/>
  <c r="X46" i="1"/>
  <c r="AG38" i="1"/>
  <c r="AI38" i="1" s="1"/>
  <c r="AG33" i="1"/>
  <c r="U33" i="1" s="1"/>
  <c r="S33" i="1" s="1"/>
  <c r="X34" i="1"/>
  <c r="X33" i="1"/>
  <c r="H9" i="6"/>
  <c r="H5" i="6"/>
  <c r="H10" i="6"/>
  <c r="G9" i="6"/>
  <c r="J8" i="6"/>
  <c r="H6" i="6"/>
  <c r="G5" i="6"/>
  <c r="J3" i="6"/>
  <c r="J9" i="6"/>
  <c r="J5" i="6"/>
  <c r="AA93" i="1"/>
  <c r="S35" i="3"/>
  <c r="S32" i="3"/>
  <c r="R35" i="3"/>
  <c r="R32" i="3"/>
  <c r="AA77" i="1"/>
  <c r="S29" i="3"/>
  <c r="AA75" i="1"/>
  <c r="W75" i="1" s="1"/>
  <c r="X71" i="1"/>
  <c r="AA65" i="1"/>
  <c r="AA63" i="1"/>
  <c r="AA225" i="1"/>
  <c r="AA222" i="1"/>
  <c r="AG210" i="1"/>
  <c r="AI210" i="1" s="1"/>
  <c r="X207" i="1"/>
  <c r="AA206" i="1"/>
  <c r="W206" i="1" s="1"/>
  <c r="AA205" i="1"/>
  <c r="AA203" i="1"/>
  <c r="T195" i="1"/>
  <c r="X192" i="1"/>
  <c r="AA191" i="1"/>
  <c r="AA190" i="1"/>
  <c r="X181" i="1"/>
  <c r="AA180" i="1"/>
  <c r="AA227" i="1"/>
  <c r="W227" i="1" s="1"/>
  <c r="X140" i="1"/>
  <c r="AA139" i="1"/>
  <c r="T139" i="1"/>
  <c r="AA130" i="1"/>
  <c r="AA129" i="1"/>
  <c r="AA126" i="1"/>
  <c r="AA125" i="1"/>
  <c r="AA118" i="1"/>
  <c r="AA117" i="1"/>
  <c r="AA116" i="1"/>
  <c r="X112" i="1"/>
  <c r="AA111" i="1"/>
  <c r="X104" i="1"/>
  <c r="AA103" i="1"/>
  <c r="T63" i="1"/>
  <c r="T59" i="1"/>
  <c r="U59" i="1" s="1"/>
  <c r="AA57" i="1"/>
  <c r="W52" i="1"/>
  <c r="AA49" i="1"/>
  <c r="AA35" i="1"/>
  <c r="AA34" i="1"/>
  <c r="X29" i="1"/>
  <c r="AA28" i="1"/>
  <c r="AA147" i="1"/>
  <c r="AG87" i="1"/>
  <c r="U87" i="1" s="1"/>
  <c r="AA80" i="1"/>
  <c r="W80" i="1" s="1"/>
  <c r="AA59" i="1"/>
  <c r="W59" i="1" s="1"/>
  <c r="AA48" i="1"/>
  <c r="W48" i="1" s="1"/>
  <c r="AA27" i="1"/>
  <c r="AA26" i="1"/>
  <c r="AA20" i="1"/>
  <c r="T20" i="1"/>
  <c r="X17" i="1"/>
  <c r="AA16" i="1"/>
  <c r="W16" i="1" s="1"/>
  <c r="AA210" i="1"/>
  <c r="AA209" i="1"/>
  <c r="AG206" i="1"/>
  <c r="AI206" i="1" s="1"/>
  <c r="AG191" i="1"/>
  <c r="AI191" i="1" s="1"/>
  <c r="AA187" i="1"/>
  <c r="AA186" i="1"/>
  <c r="AA185" i="1"/>
  <c r="AG180" i="1"/>
  <c r="U180" i="1" s="1"/>
  <c r="S180" i="1" s="1"/>
  <c r="AG165" i="1"/>
  <c r="U165" i="1" s="1"/>
  <c r="S165" i="1" s="1"/>
  <c r="X165" i="1"/>
  <c r="AA163" i="1"/>
  <c r="AA155" i="1"/>
  <c r="W154" i="1"/>
  <c r="AG151" i="1"/>
  <c r="AG139" i="1"/>
  <c r="AG130" i="1"/>
  <c r="U130" i="1" s="1"/>
  <c r="S130" i="1" s="1"/>
  <c r="T127" i="1"/>
  <c r="AG120" i="1"/>
  <c r="AI120" i="1" s="1"/>
  <c r="AG111" i="1"/>
  <c r="AI111" i="1" s="1"/>
  <c r="AG103" i="1"/>
  <c r="AG99" i="1"/>
  <c r="U99" i="1" s="1"/>
  <c r="S99" i="1" s="1"/>
  <c r="U95" i="1"/>
  <c r="S95" i="1" s="1"/>
  <c r="AA70" i="1"/>
  <c r="AG68" i="1"/>
  <c r="AI68" i="1" s="1"/>
  <c r="AA66" i="1"/>
  <c r="AG28" i="1"/>
  <c r="AI28" i="1" s="1"/>
  <c r="T222" i="1"/>
  <c r="T203" i="1"/>
  <c r="AA193" i="1"/>
  <c r="AA172" i="1"/>
  <c r="W172" i="1" s="1"/>
  <c r="AA171" i="1"/>
  <c r="AA170" i="1"/>
  <c r="AA166" i="1"/>
  <c r="AA233" i="1"/>
  <c r="AA232" i="1"/>
  <c r="AA230" i="1"/>
  <c r="W230" i="1" s="1"/>
  <c r="AA228" i="1"/>
  <c r="AA218" i="1"/>
  <c r="AA217" i="1"/>
  <c r="W217" i="1" s="1"/>
  <c r="AA216" i="1"/>
  <c r="W216" i="1" s="1"/>
  <c r="AA215" i="1"/>
  <c r="W215" i="1" s="1"/>
  <c r="AG214" i="1"/>
  <c r="AI214" i="1" s="1"/>
  <c r="AA160" i="1"/>
  <c r="AG146" i="1"/>
  <c r="U146" i="1" s="1"/>
  <c r="S146" i="1" s="1"/>
  <c r="AA140" i="1"/>
  <c r="W140" i="1" s="1"/>
  <c r="AA137" i="1"/>
  <c r="X136" i="1"/>
  <c r="AA134" i="1"/>
  <c r="AA133" i="1"/>
  <c r="AA132" i="1"/>
  <c r="AA127" i="1"/>
  <c r="AG122" i="1"/>
  <c r="U122" i="1" s="1"/>
  <c r="S122" i="1" s="1"/>
  <c r="X120" i="1"/>
  <c r="AA119" i="1"/>
  <c r="AG112" i="1"/>
  <c r="AI112" i="1" s="1"/>
  <c r="AG104" i="1"/>
  <c r="AI104" i="1" s="1"/>
  <c r="AA96" i="1"/>
  <c r="W96" i="1" s="1"/>
  <c r="AG88" i="1"/>
  <c r="W88" i="1" s="1"/>
  <c r="X88" i="1"/>
  <c r="AA87" i="1"/>
  <c r="AA81" i="1"/>
  <c r="AA78" i="1"/>
  <c r="T74" i="1"/>
  <c r="U74" i="1" s="1"/>
  <c r="AA61" i="1"/>
  <c r="AG45" i="1"/>
  <c r="U45" i="1" s="1"/>
  <c r="S45" i="1" s="1"/>
  <c r="X45" i="1"/>
  <c r="AG40" i="1"/>
  <c r="X38" i="1"/>
  <c r="AA37" i="1"/>
  <c r="W37" i="1" s="1"/>
  <c r="AG29" i="1"/>
  <c r="AI29" i="1" s="1"/>
  <c r="AG20" i="1"/>
  <c r="AA19" i="1"/>
  <c r="AA18" i="1"/>
  <c r="AI234" i="1"/>
  <c r="AG223" i="1"/>
  <c r="U223" i="1" s="1"/>
  <c r="S223" i="1" s="1"/>
  <c r="AG222" i="1"/>
  <c r="AI222" i="1" s="1"/>
  <c r="AA207" i="1"/>
  <c r="T207" i="1"/>
  <c r="AG204" i="1"/>
  <c r="U204" i="1" s="1"/>
  <c r="S204" i="1" s="1"/>
  <c r="AG203" i="1"/>
  <c r="U203" i="1" s="1"/>
  <c r="S203" i="1" s="1"/>
  <c r="AA199" i="1"/>
  <c r="T199" i="1"/>
  <c r="AG196" i="1"/>
  <c r="AG195" i="1"/>
  <c r="W195" i="1" s="1"/>
  <c r="AA192" i="1"/>
  <c r="T192" i="1"/>
  <c r="U189" i="1"/>
  <c r="S189" i="1" s="1"/>
  <c r="X188" i="1"/>
  <c r="AA184" i="1"/>
  <c r="T184" i="1"/>
  <c r="U181" i="1"/>
  <c r="S181" i="1" s="1"/>
  <c r="X180" i="1"/>
  <c r="AA176" i="1"/>
  <c r="T176" i="1"/>
  <c r="X173" i="1"/>
  <c r="T172" i="1"/>
  <c r="U172" i="1" s="1"/>
  <c r="S172" i="1" s="1"/>
  <c r="X169" i="1"/>
  <c r="T168" i="1"/>
  <c r="AA236" i="1"/>
  <c r="X234" i="1"/>
  <c r="T233" i="1"/>
  <c r="U233" i="1" s="1"/>
  <c r="S233" i="1" s="1"/>
  <c r="AA221" i="1"/>
  <c r="AA220" i="1"/>
  <c r="X219" i="1"/>
  <c r="AG218" i="1"/>
  <c r="AI218" i="1" s="1"/>
  <c r="X218" i="1"/>
  <c r="AA214" i="1"/>
  <c r="AG213" i="1"/>
  <c r="U213" i="1" s="1"/>
  <c r="S213" i="1" s="1"/>
  <c r="T211" i="1"/>
  <c r="U211" i="1" s="1"/>
  <c r="S211" i="1" s="1"/>
  <c r="T163" i="1"/>
  <c r="AA158" i="1"/>
  <c r="AA157" i="1"/>
  <c r="W157" i="1" s="1"/>
  <c r="X156" i="1"/>
  <c r="AG155" i="1"/>
  <c r="U155" i="1" s="1"/>
  <c r="S155" i="1" s="1"/>
  <c r="X155" i="1"/>
  <c r="AA151" i="1"/>
  <c r="AG150" i="1"/>
  <c r="U150" i="1" s="1"/>
  <c r="S150" i="1" s="1"/>
  <c r="T148" i="1"/>
  <c r="U148" i="1" s="1"/>
  <c r="S148" i="1" s="1"/>
  <c r="T147" i="1"/>
  <c r="AA142" i="1"/>
  <c r="AA141" i="1"/>
  <c r="W141" i="1" s="1"/>
  <c r="AG136" i="1"/>
  <c r="W136" i="1" s="1"/>
  <c r="AG135" i="1"/>
  <c r="U135" i="1" s="1"/>
  <c r="X135" i="1"/>
  <c r="AA131" i="1"/>
  <c r="T131" i="1"/>
  <c r="AG128" i="1"/>
  <c r="W128" i="1" s="1"/>
  <c r="AG127" i="1"/>
  <c r="AA124" i="1"/>
  <c r="AG123" i="1"/>
  <c r="U123" i="1" s="1"/>
  <c r="S123" i="1" s="1"/>
  <c r="X123" i="1"/>
  <c r="X116" i="1"/>
  <c r="AG116" i="1"/>
  <c r="U100" i="1"/>
  <c r="S100" i="1" s="1"/>
  <c r="AI96" i="1"/>
  <c r="W84" i="1"/>
  <c r="AA46" i="1"/>
  <c r="W46" i="1" s="1"/>
  <c r="X32" i="1"/>
  <c r="AG32" i="1"/>
  <c r="AI32" i="1" s="1"/>
  <c r="T32" i="1"/>
  <c r="T193" i="1"/>
  <c r="T185" i="1"/>
  <c r="T177" i="1"/>
  <c r="W169" i="1"/>
  <c r="W234" i="1"/>
  <c r="W233" i="1"/>
  <c r="T227" i="1"/>
  <c r="U227" i="1" s="1"/>
  <c r="S227" i="1" s="1"/>
  <c r="T160" i="1"/>
  <c r="U160" i="1" s="1"/>
  <c r="S160" i="1" s="1"/>
  <c r="T144" i="1"/>
  <c r="U144" i="1" s="1"/>
  <c r="S144" i="1" s="1"/>
  <c r="T132" i="1"/>
  <c r="X115" i="1"/>
  <c r="AG115" i="1"/>
  <c r="AI115" i="1" s="1"/>
  <c r="T115" i="1"/>
  <c r="X108" i="1"/>
  <c r="AG108" i="1"/>
  <c r="AG67" i="1"/>
  <c r="AI67" i="1" s="1"/>
  <c r="X67" i="1"/>
  <c r="T67" i="1"/>
  <c r="AA42" i="1"/>
  <c r="T200" i="1"/>
  <c r="W223" i="1"/>
  <c r="AG208" i="1"/>
  <c r="AI208" i="1" s="1"/>
  <c r="AG207" i="1"/>
  <c r="W204" i="1"/>
  <c r="AG200" i="1"/>
  <c r="AG199" i="1"/>
  <c r="W196" i="1"/>
  <c r="AG193" i="1"/>
  <c r="U193" i="1" s="1"/>
  <c r="S193" i="1" s="1"/>
  <c r="AG192" i="1"/>
  <c r="AG185" i="1"/>
  <c r="W185" i="1" s="1"/>
  <c r="AG184" i="1"/>
  <c r="AG177" i="1"/>
  <c r="AG176" i="1"/>
  <c r="AI176" i="1" s="1"/>
  <c r="T173" i="1"/>
  <c r="U173" i="1" s="1"/>
  <c r="S173" i="1" s="1"/>
  <c r="T169" i="1"/>
  <c r="U169" i="1" s="1"/>
  <c r="S169" i="1" s="1"/>
  <c r="T234" i="1"/>
  <c r="U234" i="1" s="1"/>
  <c r="S234" i="1" s="1"/>
  <c r="AA226" i="1"/>
  <c r="W226" i="1" s="1"/>
  <c r="AG221" i="1"/>
  <c r="U221" i="1" s="1"/>
  <c r="S221" i="1" s="1"/>
  <c r="T219" i="1"/>
  <c r="U219" i="1" s="1"/>
  <c r="S219" i="1" s="1"/>
  <c r="AA213" i="1"/>
  <c r="AA212" i="1"/>
  <c r="W212" i="1" s="1"/>
  <c r="X211" i="1"/>
  <c r="AG163" i="1"/>
  <c r="AA159" i="1"/>
  <c r="W159" i="1" s="1"/>
  <c r="AG158" i="1"/>
  <c r="T156" i="1"/>
  <c r="AA150" i="1"/>
  <c r="AA149" i="1"/>
  <c r="W149" i="1" s="1"/>
  <c r="X148" i="1"/>
  <c r="AG147" i="1"/>
  <c r="AI147" i="1" s="1"/>
  <c r="AA143" i="1"/>
  <c r="AG142" i="1"/>
  <c r="U142" i="1" s="1"/>
  <c r="S142" i="1" s="1"/>
  <c r="AA138" i="1"/>
  <c r="AA135" i="1"/>
  <c r="AG132" i="1"/>
  <c r="AG131" i="1"/>
  <c r="AG124" i="1"/>
  <c r="X107" i="1"/>
  <c r="AG107" i="1"/>
  <c r="AI107" i="1" s="1"/>
  <c r="T107" i="1"/>
  <c r="AG102" i="1"/>
  <c r="AI102" i="1" s="1"/>
  <c r="X103" i="1"/>
  <c r="AA79" i="1"/>
  <c r="T66" i="1"/>
  <c r="AG66" i="1"/>
  <c r="AI66" i="1" s="1"/>
  <c r="T64" i="1"/>
  <c r="AG64" i="1"/>
  <c r="AI46" i="1"/>
  <c r="AG25" i="1"/>
  <c r="W25" i="1" s="1"/>
  <c r="X25" i="1"/>
  <c r="T208" i="1"/>
  <c r="AG202" i="1"/>
  <c r="AI202" i="1" s="1"/>
  <c r="AG194" i="1"/>
  <c r="AI194" i="1" s="1"/>
  <c r="AG187" i="1"/>
  <c r="AI187" i="1" s="1"/>
  <c r="AA183" i="1"/>
  <c r="W183" i="1" s="1"/>
  <c r="AA182" i="1"/>
  <c r="AG179" i="1"/>
  <c r="AI179" i="1" s="1"/>
  <c r="X227" i="1"/>
  <c r="X226" i="1"/>
  <c r="U217" i="1"/>
  <c r="T215" i="1"/>
  <c r="X160" i="1"/>
  <c r="X159" i="1"/>
  <c r="U154" i="1"/>
  <c r="S154" i="1" s="1"/>
  <c r="T152" i="1"/>
  <c r="U152" i="1" s="1"/>
  <c r="S152" i="1" s="1"/>
  <c r="X144" i="1"/>
  <c r="X143" i="1"/>
  <c r="AG126" i="1"/>
  <c r="U126" i="1" s="1"/>
  <c r="S126" i="1" s="1"/>
  <c r="T124" i="1"/>
  <c r="T108" i="1"/>
  <c r="T78" i="1"/>
  <c r="AG78" i="1"/>
  <c r="AI78" i="1" s="1"/>
  <c r="T76" i="1"/>
  <c r="AG76" i="1"/>
  <c r="AA47" i="1"/>
  <c r="X41" i="1"/>
  <c r="AG41" i="1"/>
  <c r="AI41" i="1" s="1"/>
  <c r="X42" i="1"/>
  <c r="T41" i="1"/>
  <c r="AG34" i="1"/>
  <c r="W34" i="1" s="1"/>
  <c r="X24" i="1"/>
  <c r="AG24" i="1"/>
  <c r="T24" i="1"/>
  <c r="T15" i="1"/>
  <c r="X16" i="1"/>
  <c r="AG15" i="1"/>
  <c r="AA123" i="1"/>
  <c r="U119" i="1"/>
  <c r="S119" i="1" s="1"/>
  <c r="X119" i="1"/>
  <c r="AA115" i="1"/>
  <c r="U112" i="1"/>
  <c r="S112" i="1" s="1"/>
  <c r="U111" i="1"/>
  <c r="S111" i="1" s="1"/>
  <c r="X111" i="1"/>
  <c r="AA107" i="1"/>
  <c r="U103" i="1"/>
  <c r="S103" i="1" s="1"/>
  <c r="AA102" i="1"/>
  <c r="AA101" i="1"/>
  <c r="AA98" i="1"/>
  <c r="AA97" i="1"/>
  <c r="AA94" i="1"/>
  <c r="W94" i="1" s="1"/>
  <c r="X92" i="1"/>
  <c r="T91" i="1"/>
  <c r="U91" i="1" s="1"/>
  <c r="AA86" i="1"/>
  <c r="W86" i="1" s="1"/>
  <c r="X84" i="1"/>
  <c r="T83" i="1"/>
  <c r="U83" i="1" s="1"/>
  <c r="S83" i="1" s="1"/>
  <c r="AG72" i="1"/>
  <c r="AA69" i="1"/>
  <c r="AA67" i="1"/>
  <c r="T62" i="1"/>
  <c r="U62" i="1" s="1"/>
  <c r="X59" i="1"/>
  <c r="AG56" i="1"/>
  <c r="W56" i="1" s="1"/>
  <c r="AA54" i="1"/>
  <c r="AA53" i="1"/>
  <c r="X51" i="1"/>
  <c r="X50" i="1"/>
  <c r="AA43" i="1"/>
  <c r="AA41" i="1"/>
  <c r="U38" i="1"/>
  <c r="S38" i="1" s="1"/>
  <c r="X37" i="1"/>
  <c r="AA32" i="1"/>
  <c r="U29" i="1"/>
  <c r="S29" i="1" s="1"/>
  <c r="X28" i="1"/>
  <c r="AA24" i="1"/>
  <c r="U23" i="1"/>
  <c r="S23" i="1" s="1"/>
  <c r="U20" i="1"/>
  <c r="S20" i="1" s="1"/>
  <c r="T92" i="1"/>
  <c r="U92" i="1" s="1"/>
  <c r="S92" i="1" s="1"/>
  <c r="T84" i="1"/>
  <c r="U84" i="1" s="1"/>
  <c r="S84" i="1" s="1"/>
  <c r="AA82" i="1"/>
  <c r="AA74" i="1"/>
  <c r="W74" i="1" s="1"/>
  <c r="AA62" i="1"/>
  <c r="W62" i="1" s="1"/>
  <c r="T51" i="1"/>
  <c r="U51" i="1" s="1"/>
  <c r="S51" i="1" s="1"/>
  <c r="AA121" i="1"/>
  <c r="AG118" i="1"/>
  <c r="U118" i="1" s="1"/>
  <c r="S118" i="1" s="1"/>
  <c r="AA114" i="1"/>
  <c r="AA113" i="1"/>
  <c r="AG110" i="1"/>
  <c r="U110" i="1" s="1"/>
  <c r="S110" i="1" s="1"/>
  <c r="AA106" i="1"/>
  <c r="W106" i="1" s="1"/>
  <c r="AA105" i="1"/>
  <c r="AA99" i="1"/>
  <c r="W87" i="1"/>
  <c r="X75" i="1"/>
  <c r="AA71" i="1"/>
  <c r="W71" i="1" s="1"/>
  <c r="T71" i="1"/>
  <c r="X63" i="1"/>
  <c r="AG60" i="1"/>
  <c r="AI60" i="1" s="1"/>
  <c r="AA58" i="1"/>
  <c r="W58" i="1" s="1"/>
  <c r="AA55" i="1"/>
  <c r="T55" i="1"/>
  <c r="U55" i="1" s="1"/>
  <c r="S55" i="1" s="1"/>
  <c r="AA50" i="1"/>
  <c r="W50" i="1" s="1"/>
  <c r="AG49" i="1"/>
  <c r="X49" i="1"/>
  <c r="AA45" i="1"/>
  <c r="AA44" i="1"/>
  <c r="W40" i="1"/>
  <c r="AA39" i="1"/>
  <c r="AG36" i="1"/>
  <c r="U36" i="1" s="1"/>
  <c r="S36" i="1" s="1"/>
  <c r="AA31" i="1"/>
  <c r="AA30" i="1"/>
  <c r="AG27" i="1"/>
  <c r="U27" i="1" s="1"/>
  <c r="AA22" i="1"/>
  <c r="AG19" i="1"/>
  <c r="U19" i="1" s="1"/>
  <c r="U16" i="1"/>
  <c r="U222" i="1"/>
  <c r="S222" i="1" s="1"/>
  <c r="U195" i="1"/>
  <c r="S195" i="1" s="1"/>
  <c r="U188" i="1"/>
  <c r="S188" i="1" s="1"/>
  <c r="U176" i="1"/>
  <c r="S176" i="1" s="1"/>
  <c r="U168" i="1"/>
  <c r="S168" i="1" s="1"/>
  <c r="T229" i="1"/>
  <c r="X229" i="1"/>
  <c r="W220" i="1"/>
  <c r="AI164" i="1"/>
  <c r="AI161" i="1"/>
  <c r="W160" i="1"/>
  <c r="AI148" i="1"/>
  <c r="AI145" i="1"/>
  <c r="AG225" i="1"/>
  <c r="AI225" i="1" s="1"/>
  <c r="U194" i="1"/>
  <c r="S194" i="1" s="1"/>
  <c r="U183" i="1"/>
  <c r="S183" i="1" s="1"/>
  <c r="U179" i="1"/>
  <c r="S179" i="1" s="1"/>
  <c r="AG175" i="1"/>
  <c r="X172" i="1"/>
  <c r="AG171" i="1"/>
  <c r="AI171" i="1" s="1"/>
  <c r="X168" i="1"/>
  <c r="AG167" i="1"/>
  <c r="W167" i="1" s="1"/>
  <c r="X164" i="1"/>
  <c r="AG236" i="1"/>
  <c r="X233" i="1"/>
  <c r="AG232" i="1"/>
  <c r="AI232" i="1" s="1"/>
  <c r="AG229" i="1"/>
  <c r="AI173" i="1"/>
  <c r="AI160" i="1"/>
  <c r="AI157" i="1"/>
  <c r="AI144" i="1"/>
  <c r="AI141" i="1"/>
  <c r="X225" i="1"/>
  <c r="AG224" i="1"/>
  <c r="AI233" i="1"/>
  <c r="X210" i="1"/>
  <c r="AG209" i="1"/>
  <c r="AI229" i="1"/>
  <c r="X206" i="1"/>
  <c r="AG205" i="1"/>
  <c r="AI205" i="1" s="1"/>
  <c r="X202" i="1"/>
  <c r="AG201" i="1"/>
  <c r="AI201" i="1" s="1"/>
  <c r="X198" i="1"/>
  <c r="AG197" i="1"/>
  <c r="AI197" i="1" s="1"/>
  <c r="AI217" i="1"/>
  <c r="X191" i="1"/>
  <c r="AG190" i="1"/>
  <c r="W190" i="1" s="1"/>
  <c r="AI209" i="1"/>
  <c r="X187" i="1"/>
  <c r="AG186" i="1"/>
  <c r="AI186" i="1" s="1"/>
  <c r="X183" i="1"/>
  <c r="AG182" i="1"/>
  <c r="AI182" i="1" s="1"/>
  <c r="X179" i="1"/>
  <c r="AG178" i="1"/>
  <c r="X175" i="1"/>
  <c r="AG174" i="1"/>
  <c r="AI174" i="1" s="1"/>
  <c r="X171" i="1"/>
  <c r="AG170" i="1"/>
  <c r="AI190" i="1"/>
  <c r="X167" i="1"/>
  <c r="AG166" i="1"/>
  <c r="AI166" i="1" s="1"/>
  <c r="X236" i="1"/>
  <c r="AG235" i="1"/>
  <c r="X232" i="1"/>
  <c r="AG231" i="1"/>
  <c r="W231" i="1" s="1"/>
  <c r="AI172" i="1"/>
  <c r="AI169" i="1"/>
  <c r="U158" i="1"/>
  <c r="S158" i="1" s="1"/>
  <c r="AI156" i="1"/>
  <c r="U156" i="1"/>
  <c r="S156" i="1" s="1"/>
  <c r="AI153" i="1"/>
  <c r="X224" i="1"/>
  <c r="X209" i="1"/>
  <c r="X205" i="1"/>
  <c r="AI224" i="1"/>
  <c r="X201" i="1"/>
  <c r="AI220" i="1"/>
  <c r="AI216" i="1"/>
  <c r="AI212" i="1"/>
  <c r="X190" i="1"/>
  <c r="X186" i="1"/>
  <c r="X182" i="1"/>
  <c r="X178" i="1"/>
  <c r="X174" i="1"/>
  <c r="X170" i="1"/>
  <c r="X166" i="1"/>
  <c r="X235" i="1"/>
  <c r="X231" i="1"/>
  <c r="AA229" i="1"/>
  <c r="AG228" i="1"/>
  <c r="AI228" i="1" s="1"/>
  <c r="T228" i="1"/>
  <c r="X228" i="1"/>
  <c r="AI168" i="1"/>
  <c r="U215" i="1"/>
  <c r="S215" i="1" s="1"/>
  <c r="AI165" i="1"/>
  <c r="AI152" i="1"/>
  <c r="AI149" i="1"/>
  <c r="W145" i="1"/>
  <c r="X220" i="1"/>
  <c r="T220" i="1"/>
  <c r="U220" i="1" s="1"/>
  <c r="S220" i="1" s="1"/>
  <c r="S217" i="1"/>
  <c r="X216" i="1"/>
  <c r="T216" i="1"/>
  <c r="U216" i="1" s="1"/>
  <c r="S216" i="1" s="1"/>
  <c r="X212" i="1"/>
  <c r="T212" i="1"/>
  <c r="U212" i="1" s="1"/>
  <c r="S212" i="1" s="1"/>
  <c r="AI162" i="1"/>
  <c r="X161" i="1"/>
  <c r="T161" i="1"/>
  <c r="U161" i="1" s="1"/>
  <c r="S161" i="1" s="1"/>
  <c r="AI158" i="1"/>
  <c r="X157" i="1"/>
  <c r="T157" i="1"/>
  <c r="U157" i="1" s="1"/>
  <c r="S157" i="1" s="1"/>
  <c r="AI154" i="1"/>
  <c r="X153" i="1"/>
  <c r="T153" i="1"/>
  <c r="U153" i="1" s="1"/>
  <c r="S153" i="1" s="1"/>
  <c r="X149" i="1"/>
  <c r="T149" i="1"/>
  <c r="U149" i="1" s="1"/>
  <c r="S149" i="1" s="1"/>
  <c r="AI146" i="1"/>
  <c r="X145" i="1"/>
  <c r="T145" i="1"/>
  <c r="U145" i="1" s="1"/>
  <c r="S145" i="1" s="1"/>
  <c r="X141" i="1"/>
  <c r="T141" i="1"/>
  <c r="U141" i="1" s="1"/>
  <c r="S141" i="1" s="1"/>
  <c r="T137" i="1"/>
  <c r="X137" i="1"/>
  <c r="AG137" i="1"/>
  <c r="W98" i="1"/>
  <c r="U226" i="1"/>
  <c r="S226" i="1" s="1"/>
  <c r="U147" i="1"/>
  <c r="S147" i="1" s="1"/>
  <c r="W139" i="1"/>
  <c r="W138" i="1"/>
  <c r="AI98" i="1"/>
  <c r="AI94" i="1"/>
  <c r="AI86" i="1"/>
  <c r="T138" i="1"/>
  <c r="U138" i="1" s="1"/>
  <c r="S138" i="1" s="1"/>
  <c r="X138" i="1"/>
  <c r="W90" i="1"/>
  <c r="AI175" i="1"/>
  <c r="X221" i="1"/>
  <c r="X217" i="1"/>
  <c r="AI167" i="1"/>
  <c r="X213" i="1"/>
  <c r="X162" i="1"/>
  <c r="AI159" i="1"/>
  <c r="X158" i="1"/>
  <c r="AI155" i="1"/>
  <c r="X154" i="1"/>
  <c r="X150" i="1"/>
  <c r="X146" i="1"/>
  <c r="X142" i="1"/>
  <c r="AI139" i="1"/>
  <c r="AI138" i="1"/>
  <c r="AI90" i="1"/>
  <c r="AI82" i="1"/>
  <c r="AI135" i="1"/>
  <c r="S135" i="1"/>
  <c r="X134" i="1"/>
  <c r="AG133" i="1"/>
  <c r="X130" i="1"/>
  <c r="AG129" i="1"/>
  <c r="W129" i="1" s="1"/>
  <c r="X126" i="1"/>
  <c r="AG125" i="1"/>
  <c r="X122" i="1"/>
  <c r="AG121" i="1"/>
  <c r="X118" i="1"/>
  <c r="AG117" i="1"/>
  <c r="X114" i="1"/>
  <c r="AG113" i="1"/>
  <c r="X110" i="1"/>
  <c r="AG109" i="1"/>
  <c r="X106" i="1"/>
  <c r="AG105" i="1"/>
  <c r="AI103" i="1"/>
  <c r="X102" i="1"/>
  <c r="T102" i="1"/>
  <c r="AG101" i="1"/>
  <c r="W101" i="1" s="1"/>
  <c r="X98" i="1"/>
  <c r="T98" i="1"/>
  <c r="U98" i="1" s="1"/>
  <c r="S98" i="1" s="1"/>
  <c r="AG97" i="1"/>
  <c r="AI95" i="1"/>
  <c r="X94" i="1"/>
  <c r="T94" i="1"/>
  <c r="U94" i="1" s="1"/>
  <c r="AG93" i="1"/>
  <c r="AI91" i="1"/>
  <c r="X90" i="1"/>
  <c r="T90" i="1"/>
  <c r="U90" i="1" s="1"/>
  <c r="S90" i="1" s="1"/>
  <c r="AG89" i="1"/>
  <c r="X86" i="1"/>
  <c r="T86" i="1"/>
  <c r="U86" i="1" s="1"/>
  <c r="AG85" i="1"/>
  <c r="W85" i="1" s="1"/>
  <c r="AI83" i="1"/>
  <c r="T82" i="1"/>
  <c r="U82" i="1" s="1"/>
  <c r="AG81" i="1"/>
  <c r="T79" i="1"/>
  <c r="T77" i="1"/>
  <c r="X77" i="1"/>
  <c r="AG77" i="1"/>
  <c r="W77" i="1" s="1"/>
  <c r="AI71" i="1"/>
  <c r="U71" i="1"/>
  <c r="AI55" i="1"/>
  <c r="X133" i="1"/>
  <c r="AI130" i="1"/>
  <c r="X129" i="1"/>
  <c r="X125" i="1"/>
  <c r="AI122" i="1"/>
  <c r="X121" i="1"/>
  <c r="X117" i="1"/>
  <c r="X113" i="1"/>
  <c r="X109" i="1"/>
  <c r="AI106" i="1"/>
  <c r="S106" i="1"/>
  <c r="X105" i="1"/>
  <c r="X101" i="1"/>
  <c r="X97" i="1"/>
  <c r="X93" i="1"/>
  <c r="X89" i="1"/>
  <c r="X85" i="1"/>
  <c r="U68" i="1"/>
  <c r="S68" i="1" s="1"/>
  <c r="W63" i="1"/>
  <c r="AI75" i="1"/>
  <c r="U75" i="1"/>
  <c r="AI63" i="1"/>
  <c r="U63" i="1"/>
  <c r="X99" i="1"/>
  <c r="X95" i="1"/>
  <c r="X91" i="1"/>
  <c r="X87" i="1"/>
  <c r="X83" i="1"/>
  <c r="AI74" i="1"/>
  <c r="AI59" i="1"/>
  <c r="W55" i="1"/>
  <c r="X76" i="1"/>
  <c r="X72" i="1"/>
  <c r="X68" i="1"/>
  <c r="X64" i="1"/>
  <c r="X60" i="1"/>
  <c r="X56" i="1"/>
  <c r="AI48" i="1"/>
  <c r="AI45" i="1"/>
  <c r="T43" i="1"/>
  <c r="X43" i="1"/>
  <c r="AG43" i="1"/>
  <c r="AA36" i="1"/>
  <c r="S27" i="1"/>
  <c r="AI27" i="1"/>
  <c r="T26" i="1"/>
  <c r="X26" i="1"/>
  <c r="AG26" i="1"/>
  <c r="AI23" i="1"/>
  <c r="T22" i="1"/>
  <c r="X22" i="1"/>
  <c r="AG22" i="1"/>
  <c r="AA15" i="1"/>
  <c r="U58" i="1"/>
  <c r="S58" i="1" s="1"/>
  <c r="U54" i="1"/>
  <c r="S54" i="1" s="1"/>
  <c r="U50" i="1"/>
  <c r="S50" i="1" s="1"/>
  <c r="T48" i="1"/>
  <c r="U48" i="1" s="1"/>
  <c r="S48" i="1" s="1"/>
  <c r="X48" i="1"/>
  <c r="AI40" i="1"/>
  <c r="T39" i="1"/>
  <c r="X39" i="1"/>
  <c r="AG39" i="1"/>
  <c r="W39" i="1" s="1"/>
  <c r="T18" i="1"/>
  <c r="X18" i="1"/>
  <c r="AG18" i="1"/>
  <c r="X74" i="1"/>
  <c r="AG73" i="1"/>
  <c r="X70" i="1"/>
  <c r="AG69" i="1"/>
  <c r="W69" i="1" s="1"/>
  <c r="X66" i="1"/>
  <c r="AG65" i="1"/>
  <c r="X62" i="1"/>
  <c r="AG61" i="1"/>
  <c r="W61" i="1" s="1"/>
  <c r="X58" i="1"/>
  <c r="AG57" i="1"/>
  <c r="X54" i="1"/>
  <c r="AG53" i="1"/>
  <c r="W53" i="1" s="1"/>
  <c r="T52" i="1"/>
  <c r="U52" i="1" s="1"/>
  <c r="S52" i="1" s="1"/>
  <c r="X52" i="1"/>
  <c r="U40" i="1"/>
  <c r="S40" i="1" s="1"/>
  <c r="AI36" i="1"/>
  <c r="T35" i="1"/>
  <c r="X35" i="1"/>
  <c r="AG35" i="1"/>
  <c r="AA23" i="1"/>
  <c r="W23" i="1" s="1"/>
  <c r="T14" i="1"/>
  <c r="AG14" i="1"/>
  <c r="X73" i="1"/>
  <c r="X69" i="1"/>
  <c r="X65" i="1"/>
  <c r="AI62" i="1"/>
  <c r="X61" i="1"/>
  <c r="AI58" i="1"/>
  <c r="X57" i="1"/>
  <c r="AI54" i="1"/>
  <c r="X53" i="1"/>
  <c r="AI50" i="1"/>
  <c r="T47" i="1"/>
  <c r="X47" i="1"/>
  <c r="AG47" i="1"/>
  <c r="U37" i="1"/>
  <c r="S37" i="1" s="1"/>
  <c r="AI31" i="1"/>
  <c r="T30" i="1"/>
  <c r="X30" i="1"/>
  <c r="AG30" i="1"/>
  <c r="X44" i="1"/>
  <c r="X40" i="1"/>
  <c r="AI37" i="1"/>
  <c r="X36" i="1"/>
  <c r="X31" i="1"/>
  <c r="X27" i="1"/>
  <c r="X23" i="1"/>
  <c r="AI20" i="1"/>
  <c r="X19" i="1"/>
  <c r="AI16" i="1"/>
  <c r="S16" i="1"/>
  <c r="X15" i="1"/>
  <c r="AC55" i="3"/>
  <c r="T61" i="3"/>
  <c r="T39" i="3"/>
  <c r="Y52" i="3"/>
  <c r="T31" i="3"/>
  <c r="Y12" i="3"/>
  <c r="Y54" i="3"/>
  <c r="Y61" i="3"/>
  <c r="Y39" i="3"/>
  <c r="T17" i="3"/>
  <c r="Y67" i="3"/>
  <c r="Y60" i="3"/>
  <c r="T56" i="3"/>
  <c r="Y35" i="3"/>
  <c r="Y32" i="3"/>
  <c r="Y31" i="3"/>
  <c r="Y25" i="3"/>
  <c r="T48" i="3"/>
  <c r="Y50" i="3"/>
  <c r="Y42" i="3"/>
  <c r="Y17" i="3"/>
  <c r="AC13" i="3"/>
  <c r="Y8" i="3"/>
  <c r="Y47" i="3"/>
  <c r="AC49" i="3"/>
  <c r="Y22" i="3"/>
  <c r="Y55" i="3"/>
  <c r="AC53" i="3"/>
  <c r="Y19" i="3"/>
  <c r="Y34" i="3"/>
  <c r="AC14" i="3"/>
  <c r="Y27" i="3"/>
  <c r="Y30" i="3"/>
  <c r="AC26" i="3"/>
  <c r="Y33" i="3"/>
  <c r="Y10" i="3"/>
  <c r="AC28" i="3"/>
  <c r="Y65" i="3"/>
  <c r="Y38" i="3"/>
  <c r="AC37" i="3"/>
  <c r="Y21" i="3"/>
  <c r="Y59" i="3"/>
  <c r="AC41" i="3"/>
  <c r="Y15" i="3"/>
  <c r="T8" i="3"/>
  <c r="T22" i="3"/>
  <c r="T19" i="3"/>
  <c r="T27" i="3"/>
  <c r="T33" i="3"/>
  <c r="T65" i="3"/>
  <c r="T21" i="3"/>
  <c r="T15" i="3"/>
  <c r="T24" i="3"/>
  <c r="T11" i="3"/>
  <c r="T32" i="3"/>
  <c r="T54" i="3"/>
  <c r="T29" i="3"/>
  <c r="AC23" i="3"/>
  <c r="AC58" i="3"/>
  <c r="AC46" i="3"/>
  <c r="AC62" i="3"/>
  <c r="AC7" i="3"/>
  <c r="AC18" i="3"/>
  <c r="AC16" i="3"/>
  <c r="AC36" i="3"/>
  <c r="AC42" i="3"/>
  <c r="AC40" i="3"/>
  <c r="U207" i="1" l="1"/>
  <c r="S207" i="1" s="1"/>
  <c r="W181" i="1"/>
  <c r="W189" i="1"/>
  <c r="U192" i="1"/>
  <c r="S192" i="1" s="1"/>
  <c r="W162" i="1"/>
  <c r="AI42" i="1"/>
  <c r="W42" i="1"/>
  <c r="AI19" i="1"/>
  <c r="S19" i="1"/>
  <c r="W79" i="1"/>
  <c r="AI123" i="1"/>
  <c r="U17" i="1"/>
  <c r="S17" i="1" s="1"/>
  <c r="W107" i="1"/>
  <c r="AI118" i="1"/>
  <c r="AI88" i="1"/>
  <c r="U131" i="1"/>
  <c r="S131" i="1" s="1"/>
  <c r="U218" i="1"/>
  <c r="S218" i="1" s="1"/>
  <c r="AI142" i="1"/>
  <c r="W49" i="1"/>
  <c r="W115" i="1"/>
  <c r="U24" i="1"/>
  <c r="S24" i="1" s="1"/>
  <c r="AI140" i="1"/>
  <c r="U196" i="1"/>
  <c r="S196" i="1" s="1"/>
  <c r="W203" i="1"/>
  <c r="W95" i="1"/>
  <c r="W73" i="1"/>
  <c r="AI44" i="1"/>
  <c r="AI134" i="1"/>
  <c r="W43" i="1"/>
  <c r="AI110" i="1"/>
  <c r="W44" i="1"/>
  <c r="U200" i="1"/>
  <c r="S200" i="1" s="1"/>
  <c r="U199" i="1"/>
  <c r="S199" i="1" s="1"/>
  <c r="W119" i="1"/>
  <c r="W130" i="1"/>
  <c r="W191" i="1"/>
  <c r="W222" i="1"/>
  <c r="W38" i="1"/>
  <c r="W70" i="1"/>
  <c r="W122" i="1"/>
  <c r="W146" i="1"/>
  <c r="U32" i="1"/>
  <c r="S32" i="1" s="1"/>
  <c r="W99" i="1"/>
  <c r="W150" i="1"/>
  <c r="U127" i="1"/>
  <c r="S127" i="1" s="1"/>
  <c r="W134" i="1"/>
  <c r="W26" i="1"/>
  <c r="W22" i="1"/>
  <c r="U102" i="1"/>
  <c r="S102" i="1" s="1"/>
  <c r="AI127" i="1"/>
  <c r="AI131" i="1"/>
  <c r="W229" i="1"/>
  <c r="AI200" i="1"/>
  <c r="W170" i="1"/>
  <c r="AI213" i="1"/>
  <c r="U198" i="1"/>
  <c r="S198" i="1" s="1"/>
  <c r="W82" i="1"/>
  <c r="U21" i="1"/>
  <c r="S21" i="1" s="1"/>
  <c r="U28" i="1"/>
  <c r="S28" i="1" s="1"/>
  <c r="U104" i="1"/>
  <c r="S104" i="1" s="1"/>
  <c r="W123" i="1"/>
  <c r="U88" i="1"/>
  <c r="S88" i="1" s="1"/>
  <c r="AI80" i="1"/>
  <c r="W127" i="1"/>
  <c r="W214" i="1"/>
  <c r="W100" i="1"/>
  <c r="U214" i="1"/>
  <c r="S214" i="1" s="1"/>
  <c r="W65" i="1"/>
  <c r="U230" i="1"/>
  <c r="S230" i="1" s="1"/>
  <c r="AI221" i="1"/>
  <c r="U210" i="1"/>
  <c r="S210" i="1" s="1"/>
  <c r="U187" i="1"/>
  <c r="S187" i="1" s="1"/>
  <c r="U202" i="1"/>
  <c r="S202" i="1" s="1"/>
  <c r="W114" i="1"/>
  <c r="U15" i="1"/>
  <c r="S15" i="1" s="1"/>
  <c r="W213" i="1"/>
  <c r="W155" i="1"/>
  <c r="U151" i="1"/>
  <c r="S151" i="1" s="1"/>
  <c r="U66" i="1"/>
  <c r="W36" i="1"/>
  <c r="AI114" i="1"/>
  <c r="U79" i="1"/>
  <c r="AI87" i="1"/>
  <c r="W121" i="1"/>
  <c r="AI143" i="1"/>
  <c r="W137" i="1"/>
  <c r="AI170" i="1"/>
  <c r="AI204" i="1"/>
  <c r="W175" i="1"/>
  <c r="U191" i="1"/>
  <c r="S191" i="1" s="1"/>
  <c r="U206" i="1"/>
  <c r="S206" i="1" s="1"/>
  <c r="W31" i="1"/>
  <c r="W54" i="1"/>
  <c r="W67" i="1"/>
  <c r="W102" i="1"/>
  <c r="W198" i="1"/>
  <c r="W64" i="1"/>
  <c r="W143" i="1"/>
  <c r="W163" i="1"/>
  <c r="U184" i="1"/>
  <c r="S184" i="1" s="1"/>
  <c r="W116" i="1"/>
  <c r="W66" i="1"/>
  <c r="W165" i="1"/>
  <c r="W17" i="1"/>
  <c r="W15" i="1"/>
  <c r="U78" i="1"/>
  <c r="W125" i="1"/>
  <c r="U163" i="1"/>
  <c r="S163" i="1" s="1"/>
  <c r="AI150" i="1"/>
  <c r="W201" i="1"/>
  <c r="W45" i="1"/>
  <c r="U120" i="1"/>
  <c r="S120" i="1" s="1"/>
  <c r="U67" i="1"/>
  <c r="W33" i="1"/>
  <c r="S62" i="1"/>
  <c r="AI49" i="1"/>
  <c r="AI126" i="1"/>
  <c r="AI151" i="1"/>
  <c r="W32" i="1"/>
  <c r="W218" i="1"/>
  <c r="U177" i="1"/>
  <c r="S177" i="1" s="1"/>
  <c r="W108" i="1"/>
  <c r="U139" i="1"/>
  <c r="S139" i="1" s="1"/>
  <c r="AI33" i="1"/>
  <c r="AI24" i="1"/>
  <c r="AI70" i="1"/>
  <c r="AI15" i="1"/>
  <c r="U70" i="1"/>
  <c r="AI99" i="1"/>
  <c r="W133" i="1"/>
  <c r="AI163" i="1"/>
  <c r="W205" i="1"/>
  <c r="U107" i="1"/>
  <c r="S107" i="1" s="1"/>
  <c r="W147" i="1"/>
  <c r="W151" i="1"/>
  <c r="W210" i="1"/>
  <c r="W21" i="1"/>
  <c r="W93" i="1"/>
  <c r="U60" i="1"/>
  <c r="S59" i="1" s="1"/>
  <c r="U41" i="1"/>
  <c r="S41" i="1" s="1"/>
  <c r="W135" i="1"/>
  <c r="W20" i="1"/>
  <c r="W28" i="1"/>
  <c r="W111" i="1"/>
  <c r="W180" i="1"/>
  <c r="W118" i="1"/>
  <c r="W68" i="1"/>
  <c r="W104" i="1"/>
  <c r="W103" i="1"/>
  <c r="W29" i="1"/>
  <c r="W112" i="1"/>
  <c r="W120" i="1"/>
  <c r="U76" i="1"/>
  <c r="S76" i="1" s="1"/>
  <c r="AI76" i="1"/>
  <c r="W76" i="1"/>
  <c r="U124" i="1"/>
  <c r="S124" i="1" s="1"/>
  <c r="AI124" i="1"/>
  <c r="U132" i="1"/>
  <c r="S132" i="1" s="1"/>
  <c r="AI132" i="1"/>
  <c r="U208" i="1"/>
  <c r="S208" i="1" s="1"/>
  <c r="U115" i="1"/>
  <c r="S115" i="1" s="1"/>
  <c r="W187" i="1"/>
  <c r="U128" i="1"/>
  <c r="S128" i="1" s="1"/>
  <c r="AI128" i="1"/>
  <c r="W158" i="1"/>
  <c r="W41" i="1"/>
  <c r="U72" i="1"/>
  <c r="S72" i="1" s="1"/>
  <c r="AI72" i="1"/>
  <c r="U108" i="1"/>
  <c r="S108" i="1" s="1"/>
  <c r="AI108" i="1"/>
  <c r="W110" i="1"/>
  <c r="U136" i="1"/>
  <c r="S136" i="1" s="1"/>
  <c r="AI136" i="1"/>
  <c r="W221" i="1"/>
  <c r="W202" i="1"/>
  <c r="W200" i="1"/>
  <c r="U49" i="1"/>
  <c r="S49" i="1" s="1"/>
  <c r="W72" i="1"/>
  <c r="W24" i="1"/>
  <c r="W19" i="1"/>
  <c r="W27" i="1"/>
  <c r="W78" i="1"/>
  <c r="U185" i="1"/>
  <c r="S185" i="1" s="1"/>
  <c r="W126" i="1"/>
  <c r="W179" i="1"/>
  <c r="W194" i="1"/>
  <c r="U116" i="1"/>
  <c r="S116" i="1" s="1"/>
  <c r="AI116" i="1"/>
  <c r="W124" i="1"/>
  <c r="W131" i="1"/>
  <c r="W176" i="1"/>
  <c r="W184" i="1"/>
  <c r="W192" i="1"/>
  <c r="W199" i="1"/>
  <c r="W207" i="1"/>
  <c r="W132" i="1"/>
  <c r="W193" i="1"/>
  <c r="U56" i="1"/>
  <c r="S56" i="1" s="1"/>
  <c r="AI56" i="1"/>
  <c r="U34" i="1"/>
  <c r="S34" i="1" s="1"/>
  <c r="AI34" i="1"/>
  <c r="U25" i="1"/>
  <c r="S25" i="1" s="1"/>
  <c r="AI25" i="1"/>
  <c r="U64" i="1"/>
  <c r="S64" i="1" s="1"/>
  <c r="AI64" i="1"/>
  <c r="W60" i="1"/>
  <c r="W142" i="1"/>
  <c r="W208" i="1"/>
  <c r="W177" i="1"/>
  <c r="AI81" i="1"/>
  <c r="U81" i="1"/>
  <c r="S80" i="1" s="1"/>
  <c r="AI97" i="1"/>
  <c r="U97" i="1"/>
  <c r="S97" i="1" s="1"/>
  <c r="U228" i="1"/>
  <c r="S228" i="1" s="1"/>
  <c r="AI177" i="1"/>
  <c r="U166" i="1"/>
  <c r="S166" i="1" s="1"/>
  <c r="AI188" i="1"/>
  <c r="U182" i="1"/>
  <c r="S182" i="1" s="1"/>
  <c r="AI203" i="1"/>
  <c r="U197" i="1"/>
  <c r="S197" i="1" s="1"/>
  <c r="AI219" i="1"/>
  <c r="U224" i="1"/>
  <c r="S224" i="1" s="1"/>
  <c r="AI235" i="1"/>
  <c r="AI236" i="1"/>
  <c r="U225" i="1"/>
  <c r="S225" i="1" s="1"/>
  <c r="AI30" i="1"/>
  <c r="U30" i="1"/>
  <c r="S30" i="1" s="1"/>
  <c r="W30" i="1"/>
  <c r="U57" i="1"/>
  <c r="S57" i="1" s="1"/>
  <c r="AI57" i="1"/>
  <c r="U65" i="1"/>
  <c r="S65" i="1" s="1"/>
  <c r="AI65" i="1"/>
  <c r="U73" i="1"/>
  <c r="S73" i="1" s="1"/>
  <c r="AI73" i="1"/>
  <c r="AI26" i="1"/>
  <c r="U26" i="1"/>
  <c r="S26" i="1" s="1"/>
  <c r="AI43" i="1"/>
  <c r="U43" i="1"/>
  <c r="S43" i="1" s="1"/>
  <c r="AI85" i="1"/>
  <c r="U85" i="1"/>
  <c r="S85" i="1" s="1"/>
  <c r="AI101" i="1"/>
  <c r="U101" i="1"/>
  <c r="S101" i="1" s="1"/>
  <c r="W228" i="1"/>
  <c r="U235" i="1"/>
  <c r="S235" i="1" s="1"/>
  <c r="AI184" i="1"/>
  <c r="U178" i="1"/>
  <c r="S178" i="1" s="1"/>
  <c r="AI199" i="1"/>
  <c r="AI215" i="1"/>
  <c r="U209" i="1"/>
  <c r="S209" i="1" s="1"/>
  <c r="AI231" i="1"/>
  <c r="AI185" i="1"/>
  <c r="U236" i="1"/>
  <c r="S236" i="1" s="1"/>
  <c r="AI193" i="1"/>
  <c r="U171" i="1"/>
  <c r="S171" i="1" s="1"/>
  <c r="W235" i="1"/>
  <c r="AI18" i="1"/>
  <c r="U18" i="1"/>
  <c r="S18" i="1" s="1"/>
  <c r="W18" i="1"/>
  <c r="U77" i="1"/>
  <c r="AI77" i="1"/>
  <c r="AI89" i="1"/>
  <c r="U89" i="1"/>
  <c r="S89" i="1" s="1"/>
  <c r="AI105" i="1"/>
  <c r="U105" i="1"/>
  <c r="S105" i="1" s="1"/>
  <c r="AI109" i="1"/>
  <c r="U109" i="1"/>
  <c r="S109" i="1" s="1"/>
  <c r="AI113" i="1"/>
  <c r="U113" i="1"/>
  <c r="S113" i="1" s="1"/>
  <c r="AI117" i="1"/>
  <c r="U117" i="1"/>
  <c r="S117" i="1" s="1"/>
  <c r="AI121" i="1"/>
  <c r="U121" i="1"/>
  <c r="S121" i="1" s="1"/>
  <c r="AI125" i="1"/>
  <c r="U125" i="1"/>
  <c r="S125" i="1" s="1"/>
  <c r="AI129" i="1"/>
  <c r="U129" i="1"/>
  <c r="S129" i="1" s="1"/>
  <c r="AI133" i="1"/>
  <c r="U133" i="1"/>
  <c r="S133" i="1" s="1"/>
  <c r="W81" i="1"/>
  <c r="W89" i="1"/>
  <c r="W105" i="1"/>
  <c r="W109" i="1"/>
  <c r="W97" i="1"/>
  <c r="AI137" i="1"/>
  <c r="U137" i="1"/>
  <c r="S137" i="1" s="1"/>
  <c r="U231" i="1"/>
  <c r="S231" i="1" s="1"/>
  <c r="AI180" i="1"/>
  <c r="U174" i="1"/>
  <c r="S174" i="1" s="1"/>
  <c r="AI195" i="1"/>
  <c r="U190" i="1"/>
  <c r="S190" i="1" s="1"/>
  <c r="AI211" i="1"/>
  <c r="U205" i="1"/>
  <c r="S205" i="1"/>
  <c r="AI227" i="1"/>
  <c r="AI178" i="1"/>
  <c r="U229" i="1"/>
  <c r="S229" i="1" s="1"/>
  <c r="W166" i="1"/>
  <c r="W182" i="1"/>
  <c r="W197" i="1"/>
  <c r="W224" i="1"/>
  <c r="W209" i="1"/>
  <c r="W171" i="1"/>
  <c r="W225" i="1"/>
  <c r="U47" i="1"/>
  <c r="S47" i="1" s="1"/>
  <c r="AI47" i="1"/>
  <c r="W47" i="1"/>
  <c r="AI35" i="1"/>
  <c r="U35" i="1"/>
  <c r="S35" i="1" s="1"/>
  <c r="W35" i="1"/>
  <c r="AI14" i="1"/>
  <c r="U14" i="1"/>
  <c r="S14" i="1" s="1"/>
  <c r="U53" i="1"/>
  <c r="S53" i="1" s="1"/>
  <c r="AI53" i="1"/>
  <c r="U61" i="1"/>
  <c r="S61" i="1" s="1"/>
  <c r="AI61" i="1"/>
  <c r="U69" i="1"/>
  <c r="S69" i="1" s="1"/>
  <c r="AI69" i="1"/>
  <c r="W14" i="1"/>
  <c r="AI39" i="1"/>
  <c r="U39" i="1"/>
  <c r="S39" i="1" s="1"/>
  <c r="AI22" i="1"/>
  <c r="U22" i="1"/>
  <c r="S22" i="1" s="1"/>
  <c r="W57" i="1"/>
  <c r="AI93" i="1"/>
  <c r="U93" i="1"/>
  <c r="S93" i="1" s="1"/>
  <c r="W113" i="1"/>
  <c r="W117" i="1"/>
  <c r="U170" i="1"/>
  <c r="S170" i="1" s="1"/>
  <c r="AI192" i="1"/>
  <c r="U186" i="1"/>
  <c r="S186" i="1" s="1"/>
  <c r="AI207" i="1"/>
  <c r="U201" i="1"/>
  <c r="S201" i="1" s="1"/>
  <c r="AI223" i="1"/>
  <c r="AI181" i="1"/>
  <c r="U232" i="1"/>
  <c r="S232" i="1" s="1"/>
  <c r="AI189" i="1"/>
  <c r="U167" i="1"/>
  <c r="S167" i="1" s="1"/>
  <c r="AI196" i="1"/>
  <c r="U175" i="1"/>
  <c r="S175" i="1" s="1"/>
  <c r="W178" i="1"/>
  <c r="W232" i="1"/>
  <c r="W174" i="1"/>
  <c r="W186" i="1"/>
  <c r="W236" i="1"/>
  <c r="S77" i="1" l="1"/>
  <c r="V13" i="1"/>
  <c r="Z13" i="1" l="1"/>
  <c r="Y13" i="1"/>
  <c r="M30" i="5" l="1"/>
  <c r="M29" i="5"/>
  <c r="M28" i="5"/>
  <c r="M27" i="5"/>
  <c r="AE13" i="1" l="1"/>
  <c r="AD13" i="1"/>
  <c r="X14" i="1" s="1"/>
  <c r="AC13" i="1"/>
  <c r="AB13" i="1"/>
  <c r="M13" i="1"/>
  <c r="N13" i="1" s="1"/>
  <c r="L13" i="1"/>
  <c r="K13" i="1"/>
  <c r="AA13" i="1" l="1"/>
  <c r="AG13" i="1"/>
  <c r="AI13" i="1" s="1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<sst xmlns="http://schemas.openxmlformats.org/spreadsheetml/2006/main" count="2501" uniqueCount="822">
  <si>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</si>
  <si>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</si>
  <si>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</si>
  <si>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</si>
  <si>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</si>
  <si>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</si>
  <si>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</si>
  <si>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</si>
  <si>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</si>
  <si>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</si>
  <si>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</si>
  <si>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</si>
  <si>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</si>
  <si>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</si>
  <si>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</si>
  <si>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</si>
  <si>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</si>
  <si>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</si>
  <si>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</si>
  <si>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</si>
  <si>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</si>
  <si>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</si>
  <si>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</si>
  <si>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</si>
  <si>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</si>
  <si>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</si>
  <si>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</si>
  <si>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</si>
  <si>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</si>
  <si>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</si>
  <si>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</si>
  <si>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</si>
  <si>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</si>
  <si>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</si>
  <si>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</si>
  <si>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</si>
  <si>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</si>
  <si>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</si>
  <si>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</si>
  <si>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</si>
  <si>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</si>
  <si>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</si>
  <si>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</si>
  <si>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</si>
  <si>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</si>
  <si>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</si>
  <si>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</si>
  <si>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</si>
  <si>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</si>
  <si>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</si>
  <si>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</si>
  <si>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</si>
  <si>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</si>
  <si>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</si>
  <si>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</si>
  <si>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</si>
  <si>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</si>
  <si>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</si>
  <si>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</si>
  <si>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</si>
  <si>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</si>
  <si>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</si>
  <si>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</si>
  <si>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</si>
  <si>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</si>
  <si>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</si>
  <si>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</si>
  <si>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</si>
  <si>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</si>
  <si>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</si>
  <si>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</si>
  <si>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</si>
  <si>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</si>
  <si>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</si>
  <si>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</si>
  <si>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</si>
  <si>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</si>
  <si>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</si>
  <si>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</si>
  <si>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</si>
  <si>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</si>
  <si>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</si>
  <si>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</si>
  <si>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</si>
  <si>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</si>
  <si>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</si>
  <si>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</si>
  <si>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</si>
  <si>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</si>
  <si>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</si>
  <si>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</si>
  <si>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</si>
  <si>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</si>
  <si>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</si>
  <si>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</si>
  <si>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</si>
  <si>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</si>
  <si>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</si>
  <si>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</si>
  <si>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</si>
  <si>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</si>
  <si>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</si>
  <si>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</si>
  <si>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</si>
  <si>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</si>
  <si>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</si>
  <si>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</si>
  <si>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</si>
  <si>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</si>
  <si>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</si>
  <si>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</si>
  <si>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</si>
  <si>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</si>
  <si>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</si>
  <si>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</si>
  <si>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</si>
  <si>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</si>
  <si>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</si>
  <si>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</si>
  <si>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</si>
  <si>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</si>
  <si>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</si>
  <si>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</si>
  <si>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</si>
  <si>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</si>
  <si>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</si>
  <si>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</si>
  <si>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</si>
  <si>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</si>
  <si>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</si>
  <si>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</si>
  <si>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</si>
  <si>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</si>
  <si>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</si>
  <si>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</si>
  <si>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</si>
  <si>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</si>
  <si>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</si>
  <si>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</si>
  <si>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</si>
  <si>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</si>
  <si>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</si>
  <si>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</si>
  <si>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</si>
  <si>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</si>
  <si>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</si>
  <si>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</si>
  <si>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</si>
  <si>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</si>
  <si>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</si>
  <si>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</si>
  <si>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</si>
  <si>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</si>
  <si>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</si>
  <si>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</si>
  <si>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</si>
  <si>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</si>
  <si>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</si>
  <si>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</si>
  <si>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</si>
  <si>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</si>
  <si>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</si>
  <si>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</si>
  <si>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</si>
  <si>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</si>
  <si>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</si>
  <si>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</si>
  <si>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</si>
  <si>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</si>
  <si>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</si>
  <si>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</si>
  <si>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</si>
  <si>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</si>
  <si>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</si>
  <si>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</si>
  <si>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</si>
  <si>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</si>
  <si>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</si>
  <si>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</si>
  <si>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</si>
  <si>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</si>
  <si>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</si>
  <si>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</si>
  <si>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</si>
  <si>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</si>
  <si>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</si>
  <si>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</si>
  <si>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</si>
  <si>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</si>
  <si>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</si>
  <si>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</si>
  <si>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</si>
  <si>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</si>
  <si>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</si>
  <si>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</si>
  <si>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</si>
  <si>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</si>
  <si>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204:145</t>
  </si>
  <si>
    <t>204:149</t>
  </si>
  <si>
    <t>204:143</t>
  </si>
  <si>
    <t>204:447</t>
  </si>
  <si>
    <t>204:453</t>
  </si>
  <si>
    <t>204:455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</si>
  <si>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</si>
  <si>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</si>
  <si>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</si>
  <si>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</si>
  <si>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</si>
  <si>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</si>
  <si>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</si>
  <si>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</si>
  <si>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</si>
  <si>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</si>
  <si>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</si>
  <si>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</si>
  <si>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</si>
  <si>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</si>
  <si>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</si>
  <si>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</si>
  <si>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</si>
  <si>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</si>
  <si>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</si>
  <si>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</si>
  <si>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204:161</t>
  </si>
  <si>
    <t>204:464</t>
  </si>
  <si>
    <t>204:233301</t>
  </si>
  <si>
    <t>DE.1.0.8.0</t>
  </si>
  <si>
    <t>rtdc.l.rtdc.4040:itc</t>
  </si>
  <si>
    <t>204:458</t>
  </si>
  <si>
    <t>partly-cloudy-night</t>
  </si>
  <si>
    <t>Partly Cloudy</t>
  </si>
  <si>
    <t>204:233289</t>
  </si>
  <si>
    <t>204:158</t>
  </si>
  <si>
    <t>CRAYTON</t>
  </si>
  <si>
    <t>rtdc.l.rtdc.4003:itc</t>
  </si>
  <si>
    <t>clear-night</t>
  </si>
  <si>
    <t>Clear</t>
  </si>
  <si>
    <t>rtdc.l.rtdc.4039:itc</t>
  </si>
  <si>
    <t>rtdc.l.rtdc.4032:itc</t>
  </si>
  <si>
    <t>Y</t>
  </si>
  <si>
    <t>rtdc.l.rtdc.4004:itc</t>
  </si>
  <si>
    <t>JOHNSON</t>
  </si>
  <si>
    <t>204:233298</t>
  </si>
  <si>
    <t>204:232982</t>
  </si>
  <si>
    <t>204:233312</t>
  </si>
  <si>
    <t>Human Factors</t>
  </si>
  <si>
    <t>rtdc.l.rtdc.4041:itc</t>
  </si>
  <si>
    <t>rtdc.l.rtdc.4042:itc</t>
  </si>
  <si>
    <t>STAMBAUGH</t>
  </si>
  <si>
    <t>204:469</t>
  </si>
  <si>
    <t>204:233306</t>
  </si>
  <si>
    <t>204:232991</t>
  </si>
  <si>
    <t>rtdc.l.rtdc.4031:itc</t>
  </si>
  <si>
    <t>rtdc.l.rtdc.4025:itc</t>
  </si>
  <si>
    <t>clear-day</t>
  </si>
  <si>
    <t>204:232994</t>
  </si>
  <si>
    <t>rtdc.l.rtdc.4012:itc</t>
  </si>
  <si>
    <t>204:160</t>
  </si>
  <si>
    <t>204:150</t>
  </si>
  <si>
    <t>204:139</t>
  </si>
  <si>
    <t>204:437</t>
  </si>
  <si>
    <t>rtdc.l.rtdc.4045:itc</t>
  </si>
  <si>
    <t>rtdc.l.rtdc.4046:itc</t>
  </si>
  <si>
    <t>204:233002</t>
  </si>
  <si>
    <t>204:467</t>
  </si>
  <si>
    <t>204:232990</t>
  </si>
  <si>
    <t>204:233317</t>
  </si>
  <si>
    <t>204:440</t>
  </si>
  <si>
    <t>204:477</t>
  </si>
  <si>
    <t>204:169</t>
  </si>
  <si>
    <t>204:233321</t>
  </si>
  <si>
    <t>204:232979</t>
  </si>
  <si>
    <t>rtdc.l.rtdc.4001:itc</t>
  </si>
  <si>
    <t>rtdc.l.rtdc.4002:itc</t>
  </si>
  <si>
    <t>RICHARDSON</t>
  </si>
  <si>
    <t>PERKINS</t>
  </si>
  <si>
    <t>MACDONALD</t>
  </si>
  <si>
    <t>BADERTSCHER</t>
  </si>
  <si>
    <t>MAGEE</t>
  </si>
  <si>
    <t>YANAI</t>
  </si>
  <si>
    <t>204:774</t>
  </si>
  <si>
    <t>204:232978</t>
  </si>
  <si>
    <t>204:233319</t>
  </si>
  <si>
    <t>204:232992</t>
  </si>
  <si>
    <t>204:478</t>
  </si>
  <si>
    <t>204:233293</t>
  </si>
  <si>
    <t>204:165</t>
  </si>
  <si>
    <t>204:677</t>
  </si>
  <si>
    <t>300:58624</t>
  </si>
  <si>
    <t>Wi-MAX data drop</t>
  </si>
  <si>
    <t>rtdc.l.rtdc.4016:itc</t>
  </si>
  <si>
    <t>rtdc.l.rtdc.4027:itc</t>
  </si>
  <si>
    <t>Track device (7)</t>
  </si>
  <si>
    <t>rtdc.l.rtdc.4015:itc</t>
  </si>
  <si>
    <t>rtdc.l.rtdc.4043:itc</t>
  </si>
  <si>
    <t>rtdc.l.rtdc.4028:itc</t>
  </si>
  <si>
    <t>SPECTOR</t>
  </si>
  <si>
    <t>GRASTON</t>
  </si>
  <si>
    <t>204:233299</t>
  </si>
  <si>
    <t>204:232975</t>
  </si>
  <si>
    <t>204:233302</t>
  </si>
  <si>
    <t>204:438</t>
  </si>
  <si>
    <t>204:233059</t>
  </si>
  <si>
    <t>204:232981</t>
  </si>
  <si>
    <t>204:232973</t>
  </si>
  <si>
    <t>204:233309</t>
  </si>
  <si>
    <t>204:174</t>
  </si>
  <si>
    <t>204:446</t>
  </si>
  <si>
    <t>204:1000</t>
  </si>
  <si>
    <t>300:58611</t>
  </si>
  <si>
    <t>300:58630</t>
  </si>
  <si>
    <t>204:692</t>
  </si>
  <si>
    <t>300:58628</t>
  </si>
  <si>
    <t>204:691</t>
  </si>
  <si>
    <t>204:687</t>
  </si>
  <si>
    <t>:.+((SYSTEM_STATE.+slice.+state.+changed )|(ment ac)|(system.+state.+changed )|(\[timeout)|(PRM\|1\|D)|(kpr)|(kdp)|(\|lc)|(penalty))</t>
  </si>
  <si>
    <t>Onboard in-route failure</t>
  </si>
  <si>
    <t>rtdc.l.rtdc.4026:itc</t>
  </si>
  <si>
    <t>rtdc.l.rtdc.4010:itc</t>
  </si>
  <si>
    <t>rtdc.l.rtdc.4022:itc</t>
  </si>
  <si>
    <t>SWITCH UNKNOWN</t>
  </si>
  <si>
    <t>rtdc.l.rtdc.4021:itc</t>
  </si>
  <si>
    <t>TEMPORARY SPEED RESTRICTION</t>
  </si>
  <si>
    <t>MAELZER</t>
  </si>
  <si>
    <t>STARKS</t>
  </si>
  <si>
    <t>BONDS</t>
  </si>
  <si>
    <t>BERLING</t>
  </si>
  <si>
    <t>MOSES</t>
  </si>
  <si>
    <t>YOUNG</t>
  </si>
  <si>
    <t>BROWN</t>
  </si>
  <si>
    <t>HOLCOMB</t>
  </si>
  <si>
    <t>238-09</t>
  </si>
  <si>
    <t>241-09</t>
  </si>
  <si>
    <t>240-09</t>
  </si>
  <si>
    <t>243-09</t>
  </si>
  <si>
    <t>309-09</t>
  </si>
  <si>
    <t>242-09</t>
  </si>
  <si>
    <t>311-09</t>
  </si>
  <si>
    <t>244-09</t>
  </si>
  <si>
    <t>313-09</t>
  </si>
  <si>
    <t>204:708</t>
  </si>
  <si>
    <t>204:136</t>
  </si>
  <si>
    <t>204:233347</t>
  </si>
  <si>
    <t>204:473</t>
  </si>
  <si>
    <t>204:233303</t>
  </si>
  <si>
    <t>204:233304</t>
  </si>
  <si>
    <t>204:233310</t>
  </si>
  <si>
    <t>204:232993</t>
  </si>
  <si>
    <t>204:232998</t>
  </si>
  <si>
    <t>204:233305</t>
  </si>
  <si>
    <t>204:233327</t>
  </si>
  <si>
    <t>204:233324</t>
  </si>
  <si>
    <t>204:176</t>
  </si>
  <si>
    <t>204:442</t>
  </si>
  <si>
    <t>204:471</t>
  </si>
  <si>
    <t>204:480</t>
  </si>
  <si>
    <t>204:233013</t>
  </si>
  <si>
    <t>204:232996</t>
  </si>
  <si>
    <t>204:233287</t>
  </si>
  <si>
    <t>204:424</t>
  </si>
  <si>
    <t>204:233331</t>
  </si>
  <si>
    <t>204:134</t>
  </si>
  <si>
    <t>204:343</t>
  </si>
  <si>
    <t>204:1016</t>
  </si>
  <si>
    <t>300:58937</t>
  </si>
  <si>
    <t>204:979</t>
  </si>
  <si>
    <t>204:685</t>
  </si>
  <si>
    <t>300:58619</t>
  </si>
  <si>
    <t>204:675</t>
  </si>
  <si>
    <t>300:58988</t>
  </si>
  <si>
    <t>300:58673</t>
  </si>
  <si>
    <t>204:957</t>
  </si>
  <si>
    <t>300:58668</t>
  </si>
  <si>
    <t>204:992</t>
  </si>
  <si>
    <t>300:58975</t>
  </si>
  <si>
    <t>300:58941</t>
  </si>
  <si>
    <t>See title</t>
  </si>
  <si>
    <t>Form C</t>
  </si>
  <si>
    <t>40th 4S STOP, cleared afterward</t>
  </si>
  <si>
    <t>304-10</t>
  </si>
  <si>
    <t>104-10</t>
  </si>
  <si>
    <t>rtdc.l.rtdc.4054:itc</t>
  </si>
  <si>
    <t>106-10</t>
  </si>
  <si>
    <t>803-10</t>
  </si>
  <si>
    <t>112-10</t>
  </si>
  <si>
    <t>805-10</t>
  </si>
  <si>
    <t>rtdc.l.rtdc.4008:itc</t>
  </si>
  <si>
    <t>116-10</t>
  </si>
  <si>
    <t>125-10</t>
  </si>
  <si>
    <t>122-10</t>
  </si>
  <si>
    <t>126-10</t>
  </si>
  <si>
    <t>128-10</t>
  </si>
  <si>
    <t>903-10</t>
  </si>
  <si>
    <t>rtdc.l.rtdc.4007:itc</t>
  </si>
  <si>
    <t>145-10</t>
  </si>
  <si>
    <t>rtdc.l.rtdc.4053:itc</t>
  </si>
  <si>
    <t>151-10</t>
  </si>
  <si>
    <t>144-10</t>
  </si>
  <si>
    <t>50-10</t>
  </si>
  <si>
    <t>153-10</t>
  </si>
  <si>
    <t>Reactive Warning (1)</t>
  </si>
  <si>
    <t>155-10</t>
  </si>
  <si>
    <t>157-10</t>
  </si>
  <si>
    <t>60-10</t>
  </si>
  <si>
    <t>817-10</t>
  </si>
  <si>
    <t>161-10</t>
  </si>
  <si>
    <t>154-10</t>
  </si>
  <si>
    <t>rtdc.l.rtdc.4038:itc</t>
  </si>
  <si>
    <t>165-10</t>
  </si>
  <si>
    <t>821-10</t>
  </si>
  <si>
    <t>173-10</t>
  </si>
  <si>
    <t>172-10</t>
  </si>
  <si>
    <t>827-10</t>
  </si>
  <si>
    <t>828-10</t>
  </si>
  <si>
    <t>56-10</t>
  </si>
  <si>
    <t>831-10</t>
  </si>
  <si>
    <t>202-10</t>
  </si>
  <si>
    <t>213-10</t>
  </si>
  <si>
    <t>836-10</t>
  </si>
  <si>
    <t>214-10</t>
  </si>
  <si>
    <t>840-10</t>
  </si>
  <si>
    <t>223-10</t>
  </si>
  <si>
    <t>225-10</t>
  </si>
  <si>
    <t>845-10</t>
  </si>
  <si>
    <t>232-10</t>
  </si>
  <si>
    <t>236-10</t>
  </si>
  <si>
    <t>239-10</t>
  </si>
  <si>
    <t>302-10</t>
  </si>
  <si>
    <t>101-10</t>
  </si>
  <si>
    <t>306-10</t>
  </si>
  <si>
    <t>ISHMAEL</t>
  </si>
  <si>
    <t>103-10</t>
  </si>
  <si>
    <t>102-10</t>
  </si>
  <si>
    <t>105-10</t>
  </si>
  <si>
    <t>308-10</t>
  </si>
  <si>
    <t>107-10</t>
  </si>
  <si>
    <t>310-10</t>
  </si>
  <si>
    <t>109-10</t>
  </si>
  <si>
    <t>111-10</t>
  </si>
  <si>
    <t>113-10</t>
  </si>
  <si>
    <t>800-10</t>
  </si>
  <si>
    <t>OUN</t>
  </si>
  <si>
    <t>108-10</t>
  </si>
  <si>
    <t>115-10</t>
  </si>
  <si>
    <t>117-10</t>
  </si>
  <si>
    <t>110-10</t>
  </si>
  <si>
    <t>801-10</t>
  </si>
  <si>
    <t>114-10</t>
  </si>
  <si>
    <t>119-10</t>
  </si>
  <si>
    <t>902-10</t>
  </si>
  <si>
    <t>802-10</t>
  </si>
  <si>
    <t>121-10</t>
  </si>
  <si>
    <t>123-10</t>
  </si>
  <si>
    <t>804-10</t>
  </si>
  <si>
    <t>118-10</t>
  </si>
  <si>
    <t>rtdc.l.rtdc.4037:itc</t>
  </si>
  <si>
    <t>120-10</t>
  </si>
  <si>
    <t>127-10</t>
  </si>
  <si>
    <t>806-10</t>
  </si>
  <si>
    <t>129-10</t>
  </si>
  <si>
    <t>807-10</t>
  </si>
  <si>
    <t>131-10</t>
  </si>
  <si>
    <t>124-10</t>
  </si>
  <si>
    <t>808-10</t>
  </si>
  <si>
    <t>809-10</t>
  </si>
  <si>
    <t>133-10</t>
  </si>
  <si>
    <t>135-10</t>
  </si>
  <si>
    <t>811-10</t>
  </si>
  <si>
    <t>137-10</t>
  </si>
  <si>
    <t>CUSHING</t>
  </si>
  <si>
    <t>130-10</t>
  </si>
  <si>
    <t>810-10</t>
  </si>
  <si>
    <t>132-10</t>
  </si>
  <si>
    <t>139-10</t>
  </si>
  <si>
    <t>812-10</t>
  </si>
  <si>
    <t>141-10</t>
  </si>
  <si>
    <t>147-10</t>
  </si>
  <si>
    <t>134-10</t>
  </si>
  <si>
    <t>143-10</t>
  </si>
  <si>
    <t>136-10</t>
  </si>
  <si>
    <t>138-10</t>
  </si>
  <si>
    <t>813-10</t>
  </si>
  <si>
    <t>GEBRETEKLE</t>
  </si>
  <si>
    <t>140-10</t>
  </si>
  <si>
    <t>814-10</t>
  </si>
  <si>
    <t>142-10</t>
  </si>
  <si>
    <t>149-10</t>
  </si>
  <si>
    <t>146-10</t>
  </si>
  <si>
    <t>815-10</t>
  </si>
  <si>
    <t>148-10</t>
  </si>
  <si>
    <t>HILLS</t>
  </si>
  <si>
    <t>816-10</t>
  </si>
  <si>
    <t>150-10</t>
  </si>
  <si>
    <t>159-10</t>
  </si>
  <si>
    <t>NELSON</t>
  </si>
  <si>
    <t>52-10</t>
  </si>
  <si>
    <t>NEWELL</t>
  </si>
  <si>
    <t>152-10</t>
  </si>
  <si>
    <t>160-10</t>
  </si>
  <si>
    <t>SHOOK</t>
  </si>
  <si>
    <t>51-10</t>
  </si>
  <si>
    <t>ROCHA</t>
  </si>
  <si>
    <t>818-10</t>
  </si>
  <si>
    <t>156-10</t>
  </si>
  <si>
    <t>53-10</t>
  </si>
  <si>
    <t>167-10</t>
  </si>
  <si>
    <t>162-10</t>
  </si>
  <si>
    <t>169-10</t>
  </si>
  <si>
    <t>819-10</t>
  </si>
  <si>
    <t>164-10</t>
  </si>
  <si>
    <t>171-10</t>
  </si>
  <si>
    <t>SUR</t>
  </si>
  <si>
    <t>820-10</t>
  </si>
  <si>
    <t>STORY</t>
  </si>
  <si>
    <t>168-10</t>
  </si>
  <si>
    <t>DAVIDSON</t>
  </si>
  <si>
    <t>170-10</t>
  </si>
  <si>
    <t>177-10</t>
  </si>
  <si>
    <t>175-10</t>
  </si>
  <si>
    <t>SMITH</t>
  </si>
  <si>
    <t>822-10</t>
  </si>
  <si>
    <t>174-10</t>
  </si>
  <si>
    <t>176-10</t>
  </si>
  <si>
    <t>185-10</t>
  </si>
  <si>
    <t>823-10</t>
  </si>
  <si>
    <t>178-10</t>
  </si>
  <si>
    <t>187-10</t>
  </si>
  <si>
    <t>180-10</t>
  </si>
  <si>
    <t>189-10</t>
  </si>
  <si>
    <t>824-10</t>
  </si>
  <si>
    <t>191-10</t>
  </si>
  <si>
    <t>184-10</t>
  </si>
  <si>
    <t>193-10</t>
  </si>
  <si>
    <t>186-10</t>
  </si>
  <si>
    <t>825-10</t>
  </si>
  <si>
    <t>904-10</t>
  </si>
  <si>
    <t>195-10</t>
  </si>
  <si>
    <t>188-10</t>
  </si>
  <si>
    <t>190-10</t>
  </si>
  <si>
    <t>826-10</t>
  </si>
  <si>
    <t>197-10</t>
  </si>
  <si>
    <t>192-10</t>
  </si>
  <si>
    <t>199-10</t>
  </si>
  <si>
    <t>194-10</t>
  </si>
  <si>
    <t>829-10</t>
  </si>
  <si>
    <t>201-10</t>
  </si>
  <si>
    <t>203-10</t>
  </si>
  <si>
    <t>196-10</t>
  </si>
  <si>
    <t>198-10</t>
  </si>
  <si>
    <t>830-10</t>
  </si>
  <si>
    <t>205-10</t>
  </si>
  <si>
    <t>200-10</t>
  </si>
  <si>
    <t>207-10</t>
  </si>
  <si>
    <t>832-10</t>
  </si>
  <si>
    <t>209-10</t>
  </si>
  <si>
    <t>833-10</t>
  </si>
  <si>
    <t>204-10</t>
  </si>
  <si>
    <t>211-10</t>
  </si>
  <si>
    <t>206-10</t>
  </si>
  <si>
    <t>63-10</t>
  </si>
  <si>
    <t>208-10</t>
  </si>
  <si>
    <t>834-10</t>
  </si>
  <si>
    <t>835-10</t>
  </si>
  <si>
    <t>62-10</t>
  </si>
  <si>
    <t>215-10</t>
  </si>
  <si>
    <t>55-10</t>
  </si>
  <si>
    <t>210-10</t>
  </si>
  <si>
    <t>217-10</t>
  </si>
  <si>
    <t>837-10</t>
  </si>
  <si>
    <t>212-10</t>
  </si>
  <si>
    <t>219-10</t>
  </si>
  <si>
    <t>59-10</t>
  </si>
  <si>
    <t>839-10</t>
  </si>
  <si>
    <t>838-10</t>
  </si>
  <si>
    <t>303-10</t>
  </si>
  <si>
    <t>216-10</t>
  </si>
  <si>
    <t>221-10</t>
  </si>
  <si>
    <t>218-10</t>
  </si>
  <si>
    <t>906-10</t>
  </si>
  <si>
    <t>841-10</t>
  </si>
  <si>
    <t>305-10</t>
  </si>
  <si>
    <t>220-10</t>
  </si>
  <si>
    <t>307-10</t>
  </si>
  <si>
    <t>222-10</t>
  </si>
  <si>
    <t>227-10</t>
  </si>
  <si>
    <t>224-10</t>
  </si>
  <si>
    <t>843-10</t>
  </si>
  <si>
    <t>842-10</t>
  </si>
  <si>
    <t>229-10</t>
  </si>
  <si>
    <t>226-10</t>
  </si>
  <si>
    <t>231-10</t>
  </si>
  <si>
    <t>228-10</t>
  </si>
  <si>
    <t>844-10</t>
  </si>
  <si>
    <t>230-10</t>
  </si>
  <si>
    <t>233-10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</si>
  <si>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</si>
  <si>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</si>
  <si>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</si>
  <si>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</si>
  <si>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</si>
  <si>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</si>
  <si>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</si>
  <si>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</si>
  <si>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</si>
  <si>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</si>
  <si>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</si>
  <si>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</si>
  <si>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</si>
  <si>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</si>
  <si>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204:730</t>
  </si>
  <si>
    <t>204:232689</t>
  </si>
  <si>
    <t>204:734</t>
  </si>
  <si>
    <t>204:232658</t>
  </si>
  <si>
    <t>204:232690</t>
  </si>
  <si>
    <t>204:154</t>
  </si>
  <si>
    <t>204:233314</t>
  </si>
  <si>
    <t>204:752</t>
  </si>
  <si>
    <t>204:433</t>
  </si>
  <si>
    <t>204:777</t>
  </si>
  <si>
    <t>204:759</t>
  </si>
  <si>
    <t>204:233038</t>
  </si>
  <si>
    <t>204:1052</t>
  </si>
  <si>
    <t>204:138</t>
  </si>
  <si>
    <t>204:233291</t>
  </si>
  <si>
    <t>204:466</t>
  </si>
  <si>
    <t>204:426</t>
  </si>
  <si>
    <t>204:233300</t>
  </si>
  <si>
    <t>204:475</t>
  </si>
  <si>
    <t>204:37197</t>
  </si>
  <si>
    <t>204:19877</t>
  </si>
  <si>
    <t>204:233000</t>
  </si>
  <si>
    <t>204:37202</t>
  </si>
  <si>
    <t>204:18547</t>
  </si>
  <si>
    <t>204:325</t>
  </si>
  <si>
    <t>204:21823</t>
  </si>
  <si>
    <t>204:38543</t>
  </si>
  <si>
    <t>204:41072</t>
  </si>
  <si>
    <t>204:233283</t>
  </si>
  <si>
    <t>204:20404</t>
  </si>
  <si>
    <t>204:26779</t>
  </si>
  <si>
    <t>204:38200</t>
  </si>
  <si>
    <t>204:42481</t>
  </si>
  <si>
    <t>204:20284</t>
  </si>
  <si>
    <t>204:232974</t>
  </si>
  <si>
    <t>204:23441</t>
  </si>
  <si>
    <t>204:38562</t>
  </si>
  <si>
    <t>204:41223</t>
  </si>
  <si>
    <t>204:20448</t>
  </si>
  <si>
    <t>204:232980</t>
  </si>
  <si>
    <t>204:19130</t>
  </si>
  <si>
    <t>204:20446</t>
  </si>
  <si>
    <t>204:26304</t>
  </si>
  <si>
    <t>204:38309</t>
  </si>
  <si>
    <t>204:41450</t>
  </si>
  <si>
    <t>204:27033</t>
  </si>
  <si>
    <t>204:38365</t>
  </si>
  <si>
    <t>204:42763</t>
  </si>
  <si>
    <t>204:20296</t>
  </si>
  <si>
    <t>204:232968</t>
  </si>
  <si>
    <t>204:232965</t>
  </si>
  <si>
    <t>204:27083</t>
  </si>
  <si>
    <t>204:38504</t>
  </si>
  <si>
    <t>204:42799</t>
  </si>
  <si>
    <t>204:622</t>
  </si>
  <si>
    <t>204:19211</t>
  </si>
  <si>
    <t>204:232670</t>
  </si>
  <si>
    <t>204:38067</t>
  </si>
  <si>
    <t>204:64696</t>
  </si>
  <si>
    <t>204:1179</t>
  </si>
  <si>
    <t>204:41282</t>
  </si>
  <si>
    <t>204:37486</t>
  </si>
  <si>
    <t>204:229</t>
  </si>
  <si>
    <t>204:233274</t>
  </si>
  <si>
    <t>204:232988</t>
  </si>
  <si>
    <t>204:232964</t>
  </si>
  <si>
    <t>204:539</t>
  </si>
  <si>
    <t>204:233374</t>
  </si>
  <si>
    <t>204:233049</t>
  </si>
  <si>
    <t>204:233336</t>
  </si>
  <si>
    <t>204:233357</t>
  </si>
  <si>
    <t>204:431</t>
  </si>
  <si>
    <t>204:181</t>
  </si>
  <si>
    <t>204:449</t>
  </si>
  <si>
    <t>204:232963</t>
  </si>
  <si>
    <t>204:233266</t>
  </si>
  <si>
    <t>204:232944</t>
  </si>
  <si>
    <t>204:233257</t>
  </si>
  <si>
    <t>204:232947</t>
  </si>
  <si>
    <t>204:127</t>
  </si>
  <si>
    <t>204:233318</t>
  </si>
  <si>
    <t>204:247</t>
  </si>
  <si>
    <t>204:233338</t>
  </si>
  <si>
    <t>204:233017</t>
  </si>
  <si>
    <t>204:90</t>
  </si>
  <si>
    <t>204:509</t>
  </si>
  <si>
    <t>204:233330</t>
  </si>
  <si>
    <t>204:233007</t>
  </si>
  <si>
    <t>204:130</t>
  </si>
  <si>
    <t>204:232951</t>
  </si>
  <si>
    <t>204:526</t>
  </si>
  <si>
    <t>204:233329</t>
  </si>
  <si>
    <t>204:233011</t>
  </si>
  <si>
    <t>204:233008</t>
  </si>
  <si>
    <t>204:123</t>
  </si>
  <si>
    <t>204:233322</t>
  </si>
  <si>
    <t>204:232976</t>
  </si>
  <si>
    <t>300:23144</t>
  </si>
  <si>
    <t>300:19128</t>
  </si>
  <si>
    <t>300:23022</t>
  </si>
  <si>
    <t>300:23194</t>
  </si>
  <si>
    <t>300:22869</t>
  </si>
  <si>
    <t>300:23252</t>
  </si>
  <si>
    <t>204:411</t>
  </si>
  <si>
    <t>300:23316</t>
  </si>
  <si>
    <t>300:21575</t>
  </si>
  <si>
    <t>204:141</t>
  </si>
  <si>
    <t>300:22846</t>
  </si>
  <si>
    <t>300:23190</t>
  </si>
  <si>
    <t>300:23304</t>
  </si>
  <si>
    <t>300:23314</t>
  </si>
  <si>
    <t>300:21791</t>
  </si>
  <si>
    <t>204:356</t>
  </si>
  <si>
    <t>300:24227</t>
  </si>
  <si>
    <t>300:22172</t>
  </si>
  <si>
    <t>204:142</t>
  </si>
  <si>
    <t>204:645</t>
  </si>
  <si>
    <t>300:23268</t>
  </si>
  <si>
    <t>204:131</t>
  </si>
  <si>
    <t>204:318</t>
  </si>
  <si>
    <t>300:24226</t>
  </si>
  <si>
    <t>204:27016</t>
  </si>
  <si>
    <t>204:37756</t>
  </si>
  <si>
    <t>204:42748</t>
  </si>
  <si>
    <t>204:19305</t>
  </si>
  <si>
    <t>300:23377</t>
  </si>
  <si>
    <t>204:1481</t>
  </si>
  <si>
    <t>300:23310</t>
  </si>
  <si>
    <t>204:964</t>
  </si>
  <si>
    <t>300:58606</t>
  </si>
  <si>
    <t>204:974</t>
  </si>
  <si>
    <t>300:59008</t>
  </si>
  <si>
    <t>300:58694</t>
  </si>
  <si>
    <t>204:976</t>
  </si>
  <si>
    <t>300:58929</t>
  </si>
  <si>
    <t>300:58617</t>
  </si>
  <si>
    <t>300:58672</t>
  </si>
  <si>
    <t>204:969</t>
  </si>
  <si>
    <t>300:58922</t>
  </si>
  <si>
    <t>300:58604</t>
  </si>
  <si>
    <t>204:668</t>
  </si>
  <si>
    <t>300:58986</t>
  </si>
  <si>
    <t>204:705</t>
  </si>
  <si>
    <t>204:990</t>
  </si>
  <si>
    <t>204:703</t>
  </si>
  <si>
    <t>300:58995</t>
  </si>
  <si>
    <t>300:58687</t>
  </si>
  <si>
    <t>300:58623</t>
  </si>
  <si>
    <t>300:58926</t>
  </si>
  <si>
    <t>300:58621</t>
  </si>
  <si>
    <t>204:706</t>
  </si>
  <si>
    <t>204:981</t>
  </si>
  <si>
    <t>300:58933</t>
  </si>
  <si>
    <t>204:925</t>
  </si>
  <si>
    <t>300:57698</t>
  </si>
  <si>
    <t>204:1020</t>
  </si>
  <si>
    <t>300:58924</t>
  </si>
  <si>
    <t>300:58613</t>
  </si>
  <si>
    <t>204:743</t>
  </si>
  <si>
    <t>204:965</t>
  </si>
  <si>
    <t>204:682</t>
  </si>
  <si>
    <t>300:58916</t>
  </si>
  <si>
    <t>204:710</t>
  </si>
  <si>
    <t>300:58608</t>
  </si>
  <si>
    <t>204:659</t>
  </si>
  <si>
    <t>300:58912</t>
  </si>
  <si>
    <t>300:58594</t>
  </si>
  <si>
    <t>204:664</t>
  </si>
  <si>
    <t>204:955</t>
  </si>
  <si>
    <t>300:58901</t>
  </si>
  <si>
    <t>204:985</t>
  </si>
  <si>
    <t>204:1049</t>
  </si>
  <si>
    <t>300:58943</t>
  </si>
  <si>
    <t>204:656</t>
  </si>
  <si>
    <t>300:58890</t>
  </si>
  <si>
    <t>204:941</t>
  </si>
  <si>
    <t>300:22410</t>
  </si>
  <si>
    <t>300:25605</t>
  </si>
  <si>
    <t>300:23438</t>
  </si>
  <si>
    <t>300:58602</t>
  </si>
  <si>
    <t>300:28782</t>
  </si>
  <si>
    <t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t>
  </si>
  <si>
    <t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t>
  </si>
  <si>
    <t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t>
  </si>
  <si>
    <t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t>
  </si>
  <si>
    <t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t>
  </si>
  <si>
    <t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t>
  </si>
  <si>
    <t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t>
  </si>
  <si>
    <t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t>
  </si>
  <si>
    <t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t>
  </si>
  <si>
    <t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t>
  </si>
  <si>
    <t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t>
  </si>
  <si>
    <t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t>
  </si>
  <si>
    <t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t>
  </si>
  <si>
    <t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t>
  </si>
  <si>
    <t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t>
  </si>
  <si>
    <t>multiple cpu faults at 2016-11-10 06:39:26  denver</t>
  </si>
  <si>
    <t>EC0206RH 15-1T 1N stuck at STOP &amp; PROCEED from at least 09:30 (likely earlier) until roughly 12:30 (possibly later). I have a report from DTO saying that this is related to CROSSINGS YORK, CLAYTON, STEELE AND DAHLIA BEING OUT OF SERVICE. Anything line up after looking at the logs?</t>
  </si>
  <si>
    <t>Replaced by 157</t>
  </si>
  <si>
    <t>Primary slice changes at 21:19:40 UTC, then 19 sec later a single location goes unknown, though the others don't. Filing this under triplex</t>
  </si>
  <si>
    <t>Onboard in-route failure caused comm failure</t>
  </si>
  <si>
    <t>Primary slice change around 2016/11/10 23:08:59.586:SYSTEM_STATE:slice state changed [PRIMARY]-&gt;[SECONDARY] - didn't have a multiple cpu faults, but wreaked enough havoc that the train was enforced and had to cut out</t>
  </si>
  <si>
    <t>Onboard in-route failure delayed departure</t>
  </si>
  <si>
    <t>2016-11-10 16:11:33 denver time -  multiple cpu faults</t>
  </si>
  <si>
    <t>Early arrival @ 41st</t>
  </si>
  <si>
    <t>GPS/tach disagreement under I-25 bridge</t>
  </si>
  <si>
    <t>Early arrival</t>
  </si>
  <si>
    <t>music</t>
  </si>
  <si>
    <t>http://stevetu21.github.io/eaglep3/load_kml.html?kml=http://rtdc.gmaps-snips.s3.amazonaws.com/9388ceee-7678-493e-9501-f78194504606.kml</t>
  </si>
  <si>
    <t>http://stevetu21.github.io/eaglep3/load_kml.html?kml=http://rtdc.gmaps-snips.s3.amazonaws.com/da4a3b77-2e3e-4894-b3b3-e5072e40497e.kml</t>
  </si>
  <si>
    <t>York/Clayton/Steele/Dahlia XING disable affected various MLs (EC0437RH, EC0386RH, EC0286RH, EC0206RH)</t>
  </si>
  <si>
    <t>Canceled</t>
  </si>
  <si>
    <t>Replaced by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</si>
</sst>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20" fillId="0" borderId="0" xfId="4" applyFill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24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da4a3b77-2e3e-4894-b3b3-e5072e40497e.kml" TargetMode="External"/><Relationship Id="rId1" Type="http://schemas.openxmlformats.org/officeDocument/2006/relationships/hyperlink" Target="http://stevetu21.github.io/eaglep3/load_kml.html?kml=http://rtdc.gmaps-snips.s3.amazonaws.com/9388ceee-7678-493e-9501-f78194504606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0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6" customWidth="1"/>
    <col min="22" max="22" width="5.7109375" style="96" customWidth="1"/>
    <col min="23" max="23" width="3.85546875" style="20" customWidth="1"/>
    <col min="24" max="24" width="6.5703125" style="176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7"/>
      <c r="V1" s="40"/>
      <c r="W1" s="41"/>
      <c r="X1" s="166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42684</v>
      </c>
      <c r="S2" s="72"/>
      <c r="T2" s="73"/>
      <c r="U2" s="168"/>
      <c r="V2" s="94" t="s">
        <v>8</v>
      </c>
      <c r="W2" s="75"/>
      <c r="X2" s="173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9"/>
      <c r="V3" s="42" t="s">
        <v>11</v>
      </c>
      <c r="W3" s="43" t="s">
        <v>12</v>
      </c>
      <c r="X3" s="174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135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0"/>
      <c r="V4" s="45" t="s">
        <v>15</v>
      </c>
      <c r="W4" s="43" t="s">
        <v>15</v>
      </c>
      <c r="X4" s="174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COUNTIFS($N$13:$N$9393,"&gt;0",$AG$13:$AG$9393,I1)</f>
        <v>124</v>
      </c>
      <c r="K5" s="44"/>
      <c r="L5" s="44"/>
      <c r="M5" s="45">
        <f>AVERAGEIFS($N$13:$N$9393,$AG$13:$AG$9393,I1)</f>
        <v>41.372446236397785</v>
      </c>
      <c r="N5" s="43">
        <f t="array" ref="N5">MIN(IF($AG$13:$AG$9393=I1,IF(ISNUMBER($N$13:$N$9393),IF($N$13:$N$9393&gt;0,$N$13:$N$9393))))</f>
        <v>18.78333333414048</v>
      </c>
      <c r="O5" s="3">
        <f t="array" ref="O5">MAX(IF($AG$13:$AG$9393=I1,IF(ISNUMBER($N$13:$N$9393),IF($N$13:$N$9393&gt;0,$N$13:$N$9393))))</f>
        <v>60.099999998928979</v>
      </c>
      <c r="P5" s="2"/>
      <c r="R5" s="80" t="s">
        <v>17</v>
      </c>
      <c r="S5" s="55">
        <f>COUNTIFS($N$13:$N$9393,"&gt;0",$AG$13:$AG$9393,R1)</f>
        <v>46</v>
      </c>
      <c r="T5" s="44"/>
      <c r="U5" s="170"/>
      <c r="V5" s="45">
        <f>AVERAGEIFS($N$13:$N$9393,$AG$13:$AG$9393,R1)</f>
        <v>15.484782607603373</v>
      </c>
      <c r="W5" s="43">
        <f t="array" ref="W5">MIN(IF($AG$13:$AG$9393=R1,IF(ISNUMBER($N$13:$N$9393),IF($N$13:$N$9393&gt;0,$N$13:$N$9393))))</f>
        <v>12.599999990779907</v>
      </c>
      <c r="X5" s="174">
        <f t="array" ref="X5">MAX(IF($AG$13:$AG$9393=R1,IF(ISNUMBER($N$13:$N$9393),IF($N$13:$N$9393&gt;0,$N$13:$N$9393))))</f>
        <v>29.150000003864989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COUNT($O$13:$O$165)</f>
        <v>0</v>
      </c>
      <c r="K6" s="44"/>
      <c r="L6" s="44"/>
      <c r="M6" s="45">
        <f>IFERROR(AVERAGE($O$13:$O$165),0)</f>
        <v>0</v>
      </c>
      <c r="N6" s="43">
        <f>MIN($O$13:$O$165)</f>
        <v>0</v>
      </c>
      <c r="O6" s="3">
        <f>MAX($O$13:$O$165)</f>
        <v>0</v>
      </c>
      <c r="P6" s="2"/>
      <c r="R6" s="81" t="s">
        <v>43</v>
      </c>
      <c r="S6" s="55">
        <f>COUNT($O$13:$O$165)</f>
        <v>0</v>
      </c>
      <c r="T6" s="44"/>
      <c r="U6" s="170"/>
      <c r="V6" s="45">
        <f>IFERROR(AVERAGE($O$13:$O$165),0)</f>
        <v>0</v>
      </c>
      <c r="W6" s="43">
        <f>MIN($O$13:$O$165)</f>
        <v>0</v>
      </c>
      <c r="X6" s="174">
        <f>MAX($O$13:$O$165)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COUNTIFS($P$13:$P$9393,"&gt;0",$AG$13:$AG$9393,I1)</f>
        <v>11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COUNTIFS($P$13:$P$9393,"&gt;0",$AG$13:$AG$9393,R1)</f>
        <v>1</v>
      </c>
      <c r="T7" s="44"/>
      <c r="U7" s="170"/>
      <c r="V7" s="45" t="s">
        <v>15</v>
      </c>
      <c r="W7" s="43" t="s">
        <v>15</v>
      </c>
      <c r="X7" s="174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124</v>
      </c>
      <c r="K8" s="44"/>
      <c r="L8" s="44"/>
      <c r="M8" s="45">
        <f>M5</f>
        <v>41.372446236397785</v>
      </c>
      <c r="N8" s="43">
        <f>N5</f>
        <v>18.78333333414048</v>
      </c>
      <c r="O8" s="3">
        <f>O5</f>
        <v>60.099999998928979</v>
      </c>
      <c r="P8" s="2"/>
      <c r="R8" s="80" t="s">
        <v>16</v>
      </c>
      <c r="S8" s="55">
        <f>S5</f>
        <v>46</v>
      </c>
      <c r="T8" s="44"/>
      <c r="U8" s="170"/>
      <c r="V8" s="45">
        <f>V5</f>
        <v>15.484782607603373</v>
      </c>
      <c r="W8" s="43">
        <f>W5</f>
        <v>12.599999990779907</v>
      </c>
      <c r="X8" s="174">
        <f>X5</f>
        <v>29.150000003864989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0.91851851851851851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7"/>
      <c r="V9" s="83"/>
      <c r="W9" s="41"/>
      <c r="X9" s="175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6"/>
      <c r="V10" s="95"/>
      <c r="W10" s="20"/>
      <c r="X10" s="176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- 2016-11-10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AVERAGE(S13:S110)</f>
        <v>0.96544715447154472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1" t="s">
        <v>65</v>
      </c>
      <c r="V12" s="97" t="s">
        <v>45</v>
      </c>
      <c r="W12" s="51" t="s">
        <v>23</v>
      </c>
      <c r="X12" s="177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428</v>
      </c>
      <c r="B13" s="7">
        <v>4025</v>
      </c>
      <c r="C13" s="22" t="s">
        <v>226</v>
      </c>
      <c r="D13" s="22" t="s">
        <v>609</v>
      </c>
      <c r="E13" s="13">
        <v>42684.13140046296</v>
      </c>
      <c r="F13" s="13">
        <v>42684.135844907411</v>
      </c>
      <c r="G13" s="7">
        <v>1</v>
      </c>
      <c r="H13" s="22" t="s">
        <v>282</v>
      </c>
      <c r="I13" s="13">
        <v>42684.161666666667</v>
      </c>
      <c r="J13" s="7">
        <v>0</v>
      </c>
      <c r="K13" s="109" t="str">
        <f t="shared" ref="K13:K76" si="0">IF(ISEVEN(B13),(B13-1)&amp;"/"&amp;B13,B13&amp;"/"&amp;(B13+1))</f>
        <v>4025/4026</v>
      </c>
      <c r="L13" s="22" t="str">
        <f>VLOOKUP(A13,'Trips&amp;Operators'!$C$1:$E$10000,3,FALSE)</f>
        <v>MAELZER</v>
      </c>
      <c r="M13" s="6">
        <f t="shared" ref="M13:M76" si="1">I13-F13</f>
        <v>2.5821759256359655E-2</v>
      </c>
      <c r="N13" s="7">
        <f t="shared" ref="N13:N32" si="2">24*60*SUM($M13:$M13)</f>
        <v>37.183333329157904</v>
      </c>
      <c r="O13" s="7"/>
      <c r="P13" s="7"/>
      <c r="Q13" s="23"/>
      <c r="R13" s="23"/>
      <c r="S13" s="35">
        <f t="shared" ref="S13:S58" si="3">SUM(U13:U13)/IF(AG13="EC",12,1)</f>
        <v>1</v>
      </c>
      <c r="T13" s="50" t="str">
        <f t="shared" ref="T13:T76" si="4">IF(ISEVEN(LEFT(AD13,4)),"Southbound","NorthBound")</f>
        <v>NorthBound</v>
      </c>
      <c r="U13" s="17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https://search-rtdc-monitor-bjffxe2xuh6vdkpspy63sjmuny.us-east-1.es.amazonaws.com/_plugin/kibana/#/discover/Steve-Slow-Train-Analysis-(2080s-and-2083s)?_g=(refreshInterval:(display:Off,section:0,value:0),time:(from:'2016-11-10 02:09:13-700',mode:absolute,to:'2016-11-10 04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" s="52" t="str">
        <f t="shared" ref="W13:W76" si="6">IF(AA13&lt;IF(AG13="EC",23,5.65),"Y","N")</f>
        <v>N</v>
      </c>
      <c r="X13" s="178" t="e">
        <f t="shared" ref="X13:X44" si="7">VALUE(LEFT(AD13,4))-VALUE(LEFT(AD12,4))</f>
        <v>#VALUE!</v>
      </c>
      <c r="Y13" s="67">
        <f t="shared" ref="Y13:Y32" si="8">RIGHT(D13,LEN(D13)-4)/10000</f>
        <v>7.2999999999999995E-2</v>
      </c>
      <c r="Z13" s="67">
        <f t="shared" ref="Z13:Z32" si="9">RIGHT(H13,LEN(H13)-4)/10000</f>
        <v>23.331900000000001</v>
      </c>
      <c r="AA13" s="67">
        <f t="shared" ref="AA13:AA76" si="10">ABS(Z13-Y13)</f>
        <v>23.258900000000001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0101-10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/stypes="app*4025*20161110*" /stext=" 10:.+((SYSTEM_STATE.+slice.+state.+changed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4025 --swversion DE.1.0.8.0 --startMP 204:730 --initTime 2016-11-10T03:09:13 --startdatetime 2016-11-10T03:15:37 --delay 1 --endMP 204:233319 --enddatetime 2016-11-10T03:52:48 --enforcementcount 0 &gt;&gt;C:\Users\stu\Documents\GitHub\eaglep3-reporting\EC\2016-11-10-refined-times.txt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{"issue":{"subject":"","project_id":79,"tracker_id":40,"status_id":1,"priority_id":2,"assigned_to_id":23,"start_date":"2016-11-10","description":"","custom_fields":[{"id":1,"name":"Subdivision","value":"EC"},{"id":4,"name":"Milepost","value":"23.3319"},{"id":17,"name":"Train ID","value":"101-10"},{"id":16,"name":"Locomotive ID","value":"4025"},{"id":130,"name":"Impact","value":""},{"id":150,"name":"Time of Event (Mountain Time)","value":"03:52:48"},{"id":151,"name":"Denver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432</v>
      </c>
      <c r="B14" s="7">
        <v>4021</v>
      </c>
      <c r="C14" s="22" t="s">
        <v>226</v>
      </c>
      <c r="D14" s="22" t="s">
        <v>610</v>
      </c>
      <c r="E14" s="13">
        <v>42684.168171296296</v>
      </c>
      <c r="F14" s="13">
        <v>42684.17465277778</v>
      </c>
      <c r="G14" s="7">
        <v>1</v>
      </c>
      <c r="H14" s="22" t="s">
        <v>341</v>
      </c>
      <c r="I14" s="13">
        <v>42684.202175925922</v>
      </c>
      <c r="J14" s="7">
        <v>0</v>
      </c>
      <c r="K14" s="109" t="str">
        <f t="shared" si="0"/>
        <v>4021/4022</v>
      </c>
      <c r="L14" s="22" t="str">
        <f>VLOOKUP(A14,'Trips&amp;Operators'!$C$1:$E$10000,3,FALSE)</f>
        <v>MAELZER</v>
      </c>
      <c r="M14" s="6">
        <f t="shared" si="1"/>
        <v>2.7523148142790888E-2</v>
      </c>
      <c r="N14" s="7">
        <f t="shared" si="2"/>
        <v>39.633333325618878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03:02:10-700',mode:absolute,to:'2016-11-10 05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" s="52" t="str">
        <f t="shared" si="6"/>
        <v>N</v>
      </c>
      <c r="X14" s="178">
        <f t="shared" si="7"/>
        <v>1</v>
      </c>
      <c r="Y14" s="67">
        <f t="shared" si="8"/>
        <v>23.268899999999999</v>
      </c>
      <c r="Z14" s="67">
        <f t="shared" si="9"/>
        <v>1.3599999999999999E-2</v>
      </c>
      <c r="AA14" s="67">
        <f t="shared" si="10"/>
        <v>23.255299999999998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0102-10</v>
      </c>
      <c r="AE14" s="91" t="str">
        <f t="shared" si="12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4" s="88" t="str">
        <f t="shared" si="13"/>
        <v>"C:\Program Files (x86)\AstroGrep\AstroGrep.exe" /spath="%USERPROFILE%\AppData\Local\Temp\OnboardLogs" /stypes="app*4021*20161110*"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4021 --swversion DE.1.0.8.0 --startMP 204:232689 --initTime 2016-11-10T04:02:10 --startdatetime 2016-11-10T04:11:30 --delay 1 --endMP 204:136 --enddatetime 2016-11-10T04:51:08 --enforcementcount 0 &gt;&gt;C:\Users\stu\Documents\GitHub\eaglep3-reporting\EC\2016-11-10-refined-times.txt</v>
      </c>
      <c r="AI14" s="119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{"issue":{"subject":"","project_id":79,"tracker_id":40,"status_id":1,"priority_id":2,"assigned_to_id":23,"start_date":"2016-11-10","description":"","custom_fields":[{"id":1,"name":"Subdivision","value":"EC"},{"id":4,"name":"Milepost","value":"0.0136"},{"id":17,"name":"Train ID","value":"102-10"},{"id":16,"name":"Locomotive ID","value":"4021"},{"id":130,"name":"Impact","value":""},{"id":150,"name":"Time of Event (Mountain Time)","value":"04:51:08"},{"id":151,"name":"Denver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431</v>
      </c>
      <c r="B15" s="7">
        <v>4007</v>
      </c>
      <c r="C15" s="22" t="s">
        <v>226</v>
      </c>
      <c r="D15" s="22" t="s">
        <v>611</v>
      </c>
      <c r="E15" s="13">
        <v>42684.157719907409</v>
      </c>
      <c r="F15" s="13">
        <v>42684.15929398148</v>
      </c>
      <c r="G15" s="7">
        <v>1</v>
      </c>
      <c r="H15" s="22" t="s">
        <v>250</v>
      </c>
      <c r="I15" s="13">
        <v>42684.187615740739</v>
      </c>
      <c r="J15" s="7">
        <v>0</v>
      </c>
      <c r="K15" s="109" t="str">
        <f t="shared" si="0"/>
        <v>4007/4008</v>
      </c>
      <c r="L15" s="22" t="str">
        <f>VLOOKUP(A15,'Trips&amp;Operators'!$C$1:$E$10000,3,FALSE)</f>
        <v>SPECTOR</v>
      </c>
      <c r="M15" s="6">
        <f t="shared" si="1"/>
        <v>2.8321759258687962E-2</v>
      </c>
      <c r="N15" s="7">
        <f t="shared" si="2"/>
        <v>40.783333332510665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02:47:07-700',mode:absolute,to:'2016-11-10 05:30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" s="52" t="str">
        <f t="shared" si="6"/>
        <v>N</v>
      </c>
      <c r="X15" s="178">
        <f t="shared" si="7"/>
        <v>1</v>
      </c>
      <c r="Y15" s="67">
        <f t="shared" si="8"/>
        <v>7.3400000000000007E-2</v>
      </c>
      <c r="Z15" s="67">
        <f t="shared" si="9"/>
        <v>23.3306</v>
      </c>
      <c r="AA15" s="67">
        <f t="shared" si="10"/>
        <v>23.257200000000001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0103-10</v>
      </c>
      <c r="AE15" s="91" t="str">
        <f t="shared" si="12"/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15" s="88" t="str">
        <f t="shared" si="13"/>
        <v>"C:\Program Files (x86)\AstroGrep\AstroGrep.exe" /spath="%USERPROFILE%\AppData\Local\Temp\OnboardLogs" /stypes="app*4007*20161110*"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103-10 --locoid 4007 --swversion DE.1.0.8.0 --startMP 204:734 --initTime 2016-11-10T03:47:07 --startdatetime 2016-11-10T03:49:23 --delay 1 --endMP 204:233306 --enddatetime 2016-11-10T04:30:10 --enforcementcount 0 &gt;&gt;C:\Users\stu\Documents\GitHub\eaglep3-reporting\EC\2016-11-10-refined-times.txt</v>
      </c>
      <c r="AI15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{"issue":{"subject":"","project_id":79,"tracker_id":40,"status_id":1,"priority_id":2,"assigned_to_id":23,"start_date":"2016-11-10","description":"","custom_fields":[{"id":1,"name":"Subdivision","value":"EC"},{"id":4,"name":"Milepost","value":"23.3306"},{"id":17,"name":"Train ID","value":"103-10"},{"id":16,"name":"Locomotive ID","value":"4007"},{"id":130,"name":"Impact","value":""},{"id":150,"name":"Time of Event (Mountain Time)","value":"04:30:10"},{"id":151,"name":"Denver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380</v>
      </c>
      <c r="B16" s="7">
        <v>4001</v>
      </c>
      <c r="C16" s="22" t="s">
        <v>226</v>
      </c>
      <c r="D16" s="22" t="s">
        <v>612</v>
      </c>
      <c r="E16" s="13">
        <v>42684.192557870374</v>
      </c>
      <c r="F16" s="13">
        <v>42684.195428240739</v>
      </c>
      <c r="G16" s="7">
        <v>2</v>
      </c>
      <c r="H16" s="22" t="s">
        <v>269</v>
      </c>
      <c r="I16" s="13">
        <v>42684.224259259259</v>
      </c>
      <c r="J16" s="7">
        <v>0</v>
      </c>
      <c r="K16" s="109" t="str">
        <f t="shared" si="0"/>
        <v>4001/4002</v>
      </c>
      <c r="L16" s="22" t="str">
        <f>VLOOKUP(A16,'Trips&amp;Operators'!$C$1:$E$10000,3,FALSE)</f>
        <v>SPECTOR</v>
      </c>
      <c r="M16" s="6">
        <f t="shared" si="1"/>
        <v>2.8831018520577345E-2</v>
      </c>
      <c r="N16" s="7">
        <f t="shared" si="2"/>
        <v>41.516666669631377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03:37:17-700',mode:absolute,to:'2016-11-10 06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" s="52" t="str">
        <f t="shared" si="6"/>
        <v>N</v>
      </c>
      <c r="X16" s="178">
        <f t="shared" si="7"/>
        <v>1</v>
      </c>
      <c r="Y16" s="67">
        <f t="shared" si="8"/>
        <v>23.265799999999999</v>
      </c>
      <c r="Z16" s="67">
        <f t="shared" si="9"/>
        <v>1.6899999999999998E-2</v>
      </c>
      <c r="AA16" s="67">
        <f t="shared" si="10"/>
        <v>23.248899999999999</v>
      </c>
      <c r="AB16" s="64" t="str">
        <f>VLOOKUP(A16,Enforcements!$C$7:$K$20,8,0)</f>
        <v>Bulletin (2)</v>
      </c>
      <c r="AC16" s="60" t="str">
        <f>VLOOKUP(A16,Enforcements!$C$7:$E$20,3,0)</f>
        <v>GRADE CROSSING</v>
      </c>
      <c r="AD16" s="61" t="str">
        <f t="shared" si="11"/>
        <v>0104-10</v>
      </c>
      <c r="AE16" s="91" t="str">
        <f t="shared" si="12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6" s="88" t="str">
        <f t="shared" si="13"/>
        <v>"C:\Program Files (x86)\AstroGrep\AstroGrep.exe" /spath="%USERPROFILE%\AppData\Local\Temp\OnboardLogs" /stypes="app*4001*20161110*"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104-10 --locoid 4001 --swversion DE.1.0.8.0 --startMP 204:232658 --initTime 2016-11-10T04:37:17 --startdatetime 2016-11-10T04:41:25 --delay 2 --endMP 204:169 --enddatetime 2016-11-10T05:22:56 --enforcementcount 0 &gt;&gt;C:\Users\stu\Documents\GitHub\eaglep3-reporting\EC\2016-11-10-refined-times.txt</v>
      </c>
      <c r="AI16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{"issue":{"subject":"","project_id":79,"tracker_id":40,"status_id":1,"priority_id":2,"assigned_to_id":23,"start_date":"2016-11-10","description":"","custom_fields":[{"id":1,"name":"Subdivision","value":"EC"},{"id":4,"name":"Milepost","value":"0.0169"},{"id":17,"name":"Train ID","value":"104-10"},{"id":16,"name":"Locomotive ID","value":"4001"},{"id":130,"name":"Impact","value":""},{"id":150,"name":"Time of Event (Mountain Time)","value":"05:22:56"},{"id":151,"name":"Denver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433</v>
      </c>
      <c r="B17" s="7">
        <v>4038</v>
      </c>
      <c r="C17" s="22" t="s">
        <v>226</v>
      </c>
      <c r="D17" s="22" t="s">
        <v>280</v>
      </c>
      <c r="E17" s="13">
        <v>42684.170243055552</v>
      </c>
      <c r="F17" s="13">
        <v>42684.177268518521</v>
      </c>
      <c r="G17" s="7">
        <v>1</v>
      </c>
      <c r="H17" s="22" t="s">
        <v>244</v>
      </c>
      <c r="I17" s="13">
        <v>42684.209143518521</v>
      </c>
      <c r="J17" s="7">
        <v>0</v>
      </c>
      <c r="K17" s="109" t="str">
        <f t="shared" si="0"/>
        <v>4037/4038</v>
      </c>
      <c r="L17" s="22" t="str">
        <f>VLOOKUP(A17,'Trips&amp;Operators'!$C$1:$E$10000,3,FALSE)</f>
        <v>ISHMAEL</v>
      </c>
      <c r="M17" s="6">
        <f t="shared" si="1"/>
        <v>3.1875000000582077E-2</v>
      </c>
      <c r="N17" s="7">
        <f t="shared" si="2"/>
        <v>45.90000000083819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03:05:09-700',mode:absolute,to:'2016-11-10 06:01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" s="52" t="str">
        <f t="shared" si="6"/>
        <v>N</v>
      </c>
      <c r="X17" s="178">
        <f t="shared" si="7"/>
        <v>1</v>
      </c>
      <c r="Y17" s="67">
        <f t="shared" si="8"/>
        <v>7.7399999999999997E-2</v>
      </c>
      <c r="Z17" s="67">
        <f t="shared" si="9"/>
        <v>23.331199999999999</v>
      </c>
      <c r="AA17" s="67">
        <f t="shared" si="10"/>
        <v>23.253799999999998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0105-10</v>
      </c>
      <c r="AE17" s="91" t="str">
        <f t="shared" si="12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17" s="88" t="str">
        <f t="shared" si="13"/>
        <v>"C:\Program Files (x86)\AstroGrep\AstroGrep.exe" /spath="%USERPROFILE%\AppData\Local\Temp\OnboardLogs" /stypes="app*4038*20161110*" /stext=" 12:.+((SYSTEM_STATE.+slice.+state.+changed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105-10 --locoid 4038 --swversion DE.1.0.8.0 --startMP 204:774 --initTime 2016-11-10T04:05:09 --startdatetime 2016-11-10T04:15:16 --delay 1 --endMP 204:233312 --enddatetime 2016-11-10T05:01:10 --enforcementcount 0 &gt;&gt;C:\Users\stu\Documents\GitHub\eaglep3-reporting\EC\2016-11-10-refined-times.txt</v>
      </c>
      <c r="AI17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{"issue":{"subject":"","project_id":79,"tracker_id":40,"status_id":1,"priority_id":2,"assigned_to_id":23,"start_date":"2016-11-10","description":"","custom_fields":[{"id":1,"name":"Subdivision","value":"EC"},{"id":4,"name":"Milepost","value":"23.3312"},{"id":17,"name":"Train ID","value":"105-10"},{"id":16,"name":"Locomotive ID","value":"4038"},{"id":130,"name":"Impact","value":""},{"id":150,"name":"Time of Event (Mountain Time)","value":"05:01:10"},{"id":151,"name":"Denver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382</v>
      </c>
      <c r="B18" s="7">
        <v>4054</v>
      </c>
      <c r="C18" s="22" t="s">
        <v>226</v>
      </c>
      <c r="D18" s="22" t="s">
        <v>613</v>
      </c>
      <c r="E18" s="13">
        <v>42684.211180555554</v>
      </c>
      <c r="F18" s="13">
        <v>42684.216319444444</v>
      </c>
      <c r="G18" s="7">
        <v>1</v>
      </c>
      <c r="H18" s="22" t="s">
        <v>614</v>
      </c>
      <c r="I18" s="13">
        <v>42684.246886574074</v>
      </c>
      <c r="J18" s="7">
        <v>0</v>
      </c>
      <c r="K18" s="109" t="str">
        <f t="shared" si="0"/>
        <v>4053/4054</v>
      </c>
      <c r="L18" s="22" t="str">
        <f>VLOOKUP(A18,'Trips&amp;Operators'!$C$1:$E$10000,3,FALSE)</f>
        <v>ISHMAEL</v>
      </c>
      <c r="M18" s="6">
        <f t="shared" si="1"/>
        <v>3.0567129630071577E-2</v>
      </c>
      <c r="N18" s="7">
        <f t="shared" si="2"/>
        <v>44.01666666730307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04:04:06-700',mode:absolute,to:'2016-11-10 06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" s="52" t="str">
        <f t="shared" si="6"/>
        <v>N</v>
      </c>
      <c r="X18" s="178">
        <f t="shared" si="7"/>
        <v>1</v>
      </c>
      <c r="Y18" s="67">
        <f t="shared" si="8"/>
        <v>23.268999999999998</v>
      </c>
      <c r="Z18" s="67">
        <f t="shared" si="9"/>
        <v>1.54E-2</v>
      </c>
      <c r="AA18" s="67">
        <f t="shared" si="10"/>
        <v>23.253599999999999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0106-10</v>
      </c>
      <c r="AE18" s="91" t="str">
        <f t="shared" si="12"/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18" s="88" t="str">
        <f t="shared" si="13"/>
        <v>"C:\Program Files (x86)\AstroGrep\AstroGrep.exe" /spath="%USERPROFILE%\AppData\Local\Temp\OnboardLogs" /stypes="app*4054*20161110*"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106-10 --locoid 4054 --swversion DE.1.0.8.0 --startMP 204:232690 --initTime 2016-11-10T05:04:06 --startdatetime 2016-11-10T05:11:30 --delay 1 --endMP 204:154 --enddatetime 2016-11-10T05:55:31 --enforcementcount 0 &gt;&gt;C:\Users\stu\Documents\GitHub\eaglep3-reporting\EC\2016-11-10-refined-times.txt</v>
      </c>
      <c r="AI18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{"issue":{"subject":"","project_id":79,"tracker_id":40,"status_id":1,"priority_id":2,"assigned_to_id":23,"start_date":"2016-11-10","description":"","custom_fields":[{"id":1,"name":"Subdivision","value":"EC"},{"id":4,"name":"Milepost","value":"0.0154"},{"id":17,"name":"Train ID","value":"106-10"},{"id":16,"name":"Locomotive ID","value":"4054"},{"id":130,"name":"Impact","value":""},{"id":150,"name":"Time of Event (Mountain Time)","value":"05:55:31"},{"id":151,"name":"Denver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435</v>
      </c>
      <c r="B19" s="7">
        <v>4042</v>
      </c>
      <c r="C19" s="22" t="s">
        <v>226</v>
      </c>
      <c r="D19" s="22" t="s">
        <v>224</v>
      </c>
      <c r="E19" s="13">
        <v>42684.183437500003</v>
      </c>
      <c r="F19" s="13">
        <v>42684.189965277779</v>
      </c>
      <c r="G19" s="7">
        <v>1</v>
      </c>
      <c r="H19" s="22" t="s">
        <v>615</v>
      </c>
      <c r="I19" s="13">
        <v>42684.219456018516</v>
      </c>
      <c r="J19" s="7">
        <v>0</v>
      </c>
      <c r="K19" s="109" t="str">
        <f t="shared" si="0"/>
        <v>4041/4042</v>
      </c>
      <c r="L19" s="22" t="str">
        <f>VLOOKUP(A19,'Trips&amp;Operators'!$C$1:$E$10000,3,FALSE)</f>
        <v>JOHNSON</v>
      </c>
      <c r="M19" s="6">
        <f t="shared" si="1"/>
        <v>2.9490740736946464E-2</v>
      </c>
      <c r="N19" s="7">
        <f t="shared" si="2"/>
        <v>42.466666661202908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03:24:09-700',mode:absolute,to:'2016-11-10 06:16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" s="52" t="str">
        <f t="shared" si="6"/>
        <v>N</v>
      </c>
      <c r="X19" s="178">
        <f t="shared" si="7"/>
        <v>1</v>
      </c>
      <c r="Y19" s="67">
        <f t="shared" si="8"/>
        <v>4.6399999999999997E-2</v>
      </c>
      <c r="Z19" s="67">
        <f t="shared" si="9"/>
        <v>23.331399999999999</v>
      </c>
      <c r="AA19" s="67">
        <f t="shared" si="10"/>
        <v>23.285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0107-10</v>
      </c>
      <c r="AE19" s="91" t="str">
        <f t="shared" si="12"/>
        <v>aws s3 cp s3://rtdc.mdm.uploadarchive.raw/RTDC4042/ "%USERPROFILE%\AppData\Local\Temp\OnboardLogs"\RTDC4042\2016-11-10 --exclude "*" --recursive --include "*20161110*" &amp; "%USERPROFILE%\Documents\GitHub\mrs-test-scripts\Headless Mode &amp; Sideloading\WalkAndUnGZ.bat" "%USERPROFILE%\AppData\Local\Temp\OnboardLogs"\RTDC4042\2016-11-10 &amp; 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</v>
      </c>
      <c r="AF19" s="88" t="str">
        <f t="shared" si="13"/>
        <v>"C:\Program Files (x86)\AstroGrep\AstroGrep.exe" /spath="%USERPROFILE%\AppData\Local\Temp\OnboardLogs" /stypes="app*4042*20161110*"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107-10 --locoid 4042 --swversion DE.1.0.8.0 --startMP 204:464 --initTime 2016-11-10T04:24:09 --startdatetime 2016-11-10T04:33:33 --delay 1 --endMP 204:233314 --enddatetime 2016-11-10T05:16:01 --enforcementcount 0 &gt;&gt;C:\Users\stu\Documents\GitHub\eaglep3-reporting\EC\2016-11-10-refined-times.txt</v>
      </c>
      <c r="AI19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{"issue":{"subject":"","project_id":79,"tracker_id":40,"status_id":1,"priority_id":2,"assigned_to_id":23,"start_date":"2016-11-10","description":"","custom_fields":[{"id":1,"name":"Subdivision","value":"EC"},{"id":4,"name":"Milepost","value":"23.3314"},{"id":17,"name":"Train ID","value":"107-10"},{"id":16,"name":"Locomotive ID","value":"4042"},{"id":130,"name":"Impact","value":""},{"id":150,"name":"Time of Event (Mountain Time)","value":"05:16:01"},{"id":151,"name":"Denver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442</v>
      </c>
      <c r="B20" s="7">
        <v>4041</v>
      </c>
      <c r="C20" s="22" t="s">
        <v>226</v>
      </c>
      <c r="D20" s="22" t="s">
        <v>357</v>
      </c>
      <c r="E20" s="13">
        <v>42684.22246527778</v>
      </c>
      <c r="F20" s="13">
        <v>42684.2265625</v>
      </c>
      <c r="G20" s="7">
        <v>1</v>
      </c>
      <c r="H20" s="22" t="s">
        <v>614</v>
      </c>
      <c r="I20" s="13">
        <v>42684.258090277777</v>
      </c>
      <c r="J20" s="7">
        <v>0</v>
      </c>
      <c r="K20" s="109" t="str">
        <f t="shared" si="0"/>
        <v>4041/4042</v>
      </c>
      <c r="L20" s="22" t="str">
        <f>VLOOKUP(A20,'Trips&amp;Operators'!$C$1:$E$10000,3,FALSE)</f>
        <v>JOHNSON</v>
      </c>
      <c r="M20" s="6">
        <f t="shared" si="1"/>
        <v>3.1527777777228039E-2</v>
      </c>
      <c r="N20" s="7">
        <f t="shared" si="2"/>
        <v>45.399999999208376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04:20:21-700',mode:absolute,to:'2016-11-10 07:11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" s="52" t="str">
        <f t="shared" si="6"/>
        <v>N</v>
      </c>
      <c r="X20" s="178">
        <f t="shared" si="7"/>
        <v>1</v>
      </c>
      <c r="Y20" s="67">
        <f t="shared" si="8"/>
        <v>23.299600000000002</v>
      </c>
      <c r="Z20" s="67">
        <f t="shared" si="9"/>
        <v>1.54E-2</v>
      </c>
      <c r="AA20" s="67">
        <f t="shared" si="10"/>
        <v>23.284200000000002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0108-10</v>
      </c>
      <c r="AE20" s="91" t="str">
        <f t="shared" si="12"/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AF20" s="88" t="str">
        <f t="shared" si="13"/>
        <v>"C:\Program Files (x86)\AstroGrep\AstroGrep.exe" /spath="%USERPROFILE%\AppData\Local\Temp\OnboardLogs" /stypes="app*4041*20161110*"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108-10 --locoid 4041 --swversion DE.1.0.8.0 --startMP 204:232996 --initTime 2016-11-10T05:20:21 --startdatetime 2016-11-10T05:26:15 --delay 1 --endMP 204:154 --enddatetime 2016-11-10T06:11:39 --enforcementcount 0 &gt;&gt;C:\Users\stu\Documents\GitHub\eaglep3-reporting\EC\2016-11-10-refined-times.txt</v>
      </c>
      <c r="AI20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{"issue":{"subject":"","project_id":79,"tracker_id":40,"status_id":1,"priority_id":2,"assigned_to_id":23,"start_date":"2016-11-10","description":"","custom_fields":[{"id":1,"name":"Subdivision","value":"EC"},{"id":4,"name":"Milepost","value":"0.0154"},{"id":17,"name":"Train ID","value":"108-10"},{"id":16,"name":"Locomotive ID","value":"4041"},{"id":130,"name":"Impact","value":""},{"id":150,"name":"Time of Event (Mountain Time)","value":"06:11:39"},{"id":151,"name":"Denver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437</v>
      </c>
      <c r="B21" s="7">
        <v>4011</v>
      </c>
      <c r="C21" s="22" t="s">
        <v>226</v>
      </c>
      <c r="D21" s="22" t="s">
        <v>200</v>
      </c>
      <c r="E21" s="13">
        <v>42684.193749999999</v>
      </c>
      <c r="F21" s="13">
        <v>42684.198148148149</v>
      </c>
      <c r="G21" s="7">
        <v>1</v>
      </c>
      <c r="H21" s="22" t="s">
        <v>270</v>
      </c>
      <c r="I21" s="13">
        <v>42684.22388888889</v>
      </c>
      <c r="J21" s="7">
        <v>0</v>
      </c>
      <c r="K21" s="109" t="str">
        <f t="shared" si="0"/>
        <v>4011/4012</v>
      </c>
      <c r="L21" s="22" t="str">
        <f>VLOOKUP(A21,'Trips&amp;Operators'!$C$1:$E$10000,3,FALSE)</f>
        <v>PERKINS</v>
      </c>
      <c r="M21" s="6">
        <f t="shared" si="1"/>
        <v>2.5740740740729962E-2</v>
      </c>
      <c r="N21" s="7">
        <f t="shared" si="2"/>
        <v>37.066666666651145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03:39:00-700',mode:absolute,to:'2016-11-10 06:22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" s="52" t="str">
        <f t="shared" si="6"/>
        <v>N</v>
      </c>
      <c r="X21" s="178">
        <f t="shared" si="7"/>
        <v>1</v>
      </c>
      <c r="Y21" s="67">
        <f t="shared" si="8"/>
        <v>4.4699999999999997E-2</v>
      </c>
      <c r="Z21" s="67">
        <f t="shared" si="9"/>
        <v>23.332100000000001</v>
      </c>
      <c r="AA21" s="67">
        <f t="shared" si="10"/>
        <v>23.287400000000002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0109-10</v>
      </c>
      <c r="AE21" s="91" t="str">
        <f t="shared" si="12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21" s="88" t="str">
        <f t="shared" si="13"/>
        <v>"C:\Program Files (x86)\AstroGrep\AstroGrep.exe" /spath="%USERPROFILE%\AppData\Local\Temp\OnboardLogs" /stypes="app*4011*20161110*"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109-10 --locoid 4011 --swversion DE.1.0.8.0 --startMP 204:447 --initTime 2016-11-10T04:39:00 --startdatetime 2016-11-10T04:45:20 --delay 1 --endMP 204:233321 --enddatetime 2016-11-10T05:22:24 --enforcementcount 0 &gt;&gt;C:\Users\stu\Documents\GitHub\eaglep3-reporting\EC\2016-11-10-refined-times.txt</v>
      </c>
      <c r="AI21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{"issue":{"subject":"","project_id":79,"tracker_id":40,"status_id":1,"priority_id":2,"assigned_to_id":23,"start_date":"2016-11-10","description":"","custom_fields":[{"id":1,"name":"Subdivision","value":"EC"},{"id":4,"name":"Milepost","value":"23.3321"},{"id":17,"name":"Train ID","value":"109-10"},{"id":16,"name":"Locomotive ID","value":"4011"},{"id":130,"name":"Impact","value":""},{"id":150,"name":"Time of Event (Mountain Time)","value":"05:22:24"},{"id":151,"name":"Denver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445</v>
      </c>
      <c r="B22" s="7">
        <v>4012</v>
      </c>
      <c r="C22" s="22" t="s">
        <v>226</v>
      </c>
      <c r="D22" s="22" t="s">
        <v>255</v>
      </c>
      <c r="E22" s="13">
        <v>42684.234722222223</v>
      </c>
      <c r="F22" s="13">
        <v>42684.237013888887</v>
      </c>
      <c r="G22" s="7">
        <v>1</v>
      </c>
      <c r="H22" s="22" t="s">
        <v>259</v>
      </c>
      <c r="I22" s="13">
        <v>42684.267314814817</v>
      </c>
      <c r="J22" s="7">
        <v>0</v>
      </c>
      <c r="K22" s="109" t="str">
        <f t="shared" si="0"/>
        <v>4011/4012</v>
      </c>
      <c r="L22" s="22" t="str">
        <f>VLOOKUP(A22,'Trips&amp;Operators'!$C$1:$E$10000,3,FALSE)</f>
        <v>PERKINS</v>
      </c>
      <c r="M22" s="6">
        <f t="shared" si="1"/>
        <v>3.030092592962319E-2</v>
      </c>
      <c r="N22" s="7">
        <f t="shared" si="2"/>
        <v>43.633333338657394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04:38:00-700',mode:absolute,to:'2016-11-10 07:24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" s="52" t="str">
        <f t="shared" si="6"/>
        <v>N</v>
      </c>
      <c r="X22" s="178">
        <f t="shared" si="7"/>
        <v>1</v>
      </c>
      <c r="Y22" s="67">
        <f t="shared" si="8"/>
        <v>23.299399999999999</v>
      </c>
      <c r="Z22" s="67">
        <f t="shared" si="9"/>
        <v>1.3899999999999999E-2</v>
      </c>
      <c r="AA22" s="67">
        <f t="shared" si="10"/>
        <v>23.285499999999999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0110-10</v>
      </c>
      <c r="AE22" s="91" t="str">
        <f t="shared" si="12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22" s="88" t="str">
        <f t="shared" si="13"/>
        <v>"C:\Program Files (x86)\AstroGrep\AstroGrep.exe" /spath="%USERPROFILE%\AppData\Local\Temp\OnboardLogs" /stypes="app*4012*20161110*"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110-10 --locoid 4012 --swversion DE.1.0.8.0 --startMP 204:232994 --initTime 2016-11-10T05:38:00 --startdatetime 2016-11-10T05:41:18 --delay 1 --endMP 204:139 --enddatetime 2016-11-10T06:24:56 --enforcementcount 0 &gt;&gt;C:\Users\stu\Documents\GitHub\eaglep3-reporting\EC\2016-11-10-refined-times.txt</v>
      </c>
      <c r="AI22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{"issue":{"subject":"","project_id":79,"tracker_id":40,"status_id":1,"priority_id":2,"assigned_to_id":23,"start_date":"2016-11-10","description":"","custom_fields":[{"id":1,"name":"Subdivision","value":"EC"},{"id":4,"name":"Milepost","value":"0.0139"},{"id":17,"name":"Train ID","value":"110-10"},{"id":16,"name":"Locomotive ID","value":"4012"},{"id":130,"name":"Impact","value":""},{"id":150,"name":"Time of Event (Mountain Time)","value":"06:24:56"},{"id":151,"name":"Denver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438</v>
      </c>
      <c r="B23" s="7">
        <v>4025</v>
      </c>
      <c r="C23" s="22" t="s">
        <v>226</v>
      </c>
      <c r="D23" s="22" t="s">
        <v>616</v>
      </c>
      <c r="E23" s="13">
        <v>42684.204976851855</v>
      </c>
      <c r="F23" s="13">
        <v>42684.209398148145</v>
      </c>
      <c r="G23" s="7">
        <v>1</v>
      </c>
      <c r="H23" s="22" t="s">
        <v>231</v>
      </c>
      <c r="I23" s="13">
        <v>42684.237800925926</v>
      </c>
      <c r="J23" s="7">
        <v>0</v>
      </c>
      <c r="K23" s="109" t="str">
        <f t="shared" si="0"/>
        <v>4025/4026</v>
      </c>
      <c r="L23" s="22" t="str">
        <f>VLOOKUP(A23,'Trips&amp;Operators'!$C$1:$E$10000,3,FALSE)</f>
        <v>STARKS</v>
      </c>
      <c r="M23" s="6">
        <f t="shared" si="1"/>
        <v>2.8402777781593613E-2</v>
      </c>
      <c r="N23" s="7">
        <f t="shared" si="2"/>
        <v>40.900000005494803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03:55:10-700',mode:absolute,to:'2016-11-10 06:42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" s="52" t="str">
        <f t="shared" si="6"/>
        <v>N</v>
      </c>
      <c r="X23" s="178">
        <f t="shared" si="7"/>
        <v>1</v>
      </c>
      <c r="Y23" s="67">
        <f t="shared" si="8"/>
        <v>7.5200000000000003E-2</v>
      </c>
      <c r="Z23" s="67">
        <f t="shared" si="9"/>
        <v>23.328900000000001</v>
      </c>
      <c r="AA23" s="67">
        <f t="shared" si="10"/>
        <v>23.253700000000002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0111-10</v>
      </c>
      <c r="AE23" s="91" t="str">
        <f t="shared" si="12"/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23" s="88" t="str">
        <f t="shared" si="13"/>
        <v>"C:\Program Files (x86)\AstroGrep\AstroGrep.exe" /spath="%USERPROFILE%\AppData\Local\Temp\OnboardLogs" /stypes="app*4025*20161110*"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111-10 --locoid 4025 --swversion DE.1.0.8.0 --startMP 204:752 --initTime 2016-11-10T04:55:10 --startdatetime 2016-11-10T05:01:32 --delay 1 --endMP 204:233289 --enddatetime 2016-11-10T05:42:26 --enforcementcount 0 &gt;&gt;C:\Users\stu\Documents\GitHub\eaglep3-reporting\EC\2016-11-10-refined-times.txt</v>
      </c>
      <c r="AI23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{"issue":{"subject":"","project_id":79,"tracker_id":40,"status_id":1,"priority_id":2,"assigned_to_id":23,"start_date":"2016-11-10","description":"","custom_fields":[{"id":1,"name":"Subdivision","value":"EC"},{"id":4,"name":"Milepost","value":"23.3289"},{"id":17,"name":"Train ID","value":"111-10"},{"id":16,"name":"Locomotive ID","value":"4025"},{"id":130,"name":"Impact","value":""},{"id":150,"name":"Time of Event (Mountain Time)","value":"05:42:26"},{"id":151,"name":"Denver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384</v>
      </c>
      <c r="B24" s="7">
        <v>4026</v>
      </c>
      <c r="C24" s="22" t="s">
        <v>226</v>
      </c>
      <c r="D24" s="22" t="s">
        <v>214</v>
      </c>
      <c r="E24" s="13">
        <v>42684.245393518519</v>
      </c>
      <c r="F24" s="13">
        <v>42684.247442129628</v>
      </c>
      <c r="G24" s="7">
        <v>1</v>
      </c>
      <c r="H24" s="22" t="s">
        <v>361</v>
      </c>
      <c r="I24" s="13">
        <v>42684.283414351848</v>
      </c>
      <c r="J24" s="7">
        <v>0</v>
      </c>
      <c r="K24" s="109" t="str">
        <f t="shared" si="0"/>
        <v>4025/4026</v>
      </c>
      <c r="L24" s="22" t="str">
        <f>VLOOKUP(A24,'Trips&amp;Operators'!$C$1:$E$10000,3,FALSE)</f>
        <v>STARKS</v>
      </c>
      <c r="M24" s="6">
        <f t="shared" si="1"/>
        <v>3.5972222220152617E-2</v>
      </c>
      <c r="N24" s="7">
        <f t="shared" si="2"/>
        <v>51.799999997019768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04:53:22-700',mode:absolute,to:'2016-11-10 07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4" s="52" t="str">
        <f t="shared" si="6"/>
        <v>N</v>
      </c>
      <c r="X24" s="178">
        <f t="shared" si="7"/>
        <v>1</v>
      </c>
      <c r="Y24" s="67">
        <f t="shared" si="8"/>
        <v>23.297699999999999</v>
      </c>
      <c r="Z24" s="67">
        <f t="shared" si="9"/>
        <v>1.34E-2</v>
      </c>
      <c r="AA24" s="67">
        <f t="shared" si="10"/>
        <v>23.284299999999998</v>
      </c>
      <c r="AB24" s="64" t="str">
        <f>VLOOKUP(A24,Enforcements!$C$7:$K$20,8,0)</f>
        <v>Speed (6)</v>
      </c>
      <c r="AC24" s="60" t="str">
        <f>VLOOKUP(A24,Enforcements!$C$7:$E$20,3,0)</f>
        <v>PERMANENT SPEED RESTRICTION</v>
      </c>
      <c r="AD24" s="61" t="str">
        <f t="shared" si="11"/>
        <v>0112-10</v>
      </c>
      <c r="AE24" s="91" t="str">
        <f t="shared" si="12"/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24" s="88" t="str">
        <f t="shared" si="13"/>
        <v>"C:\Program Files (x86)\AstroGrep\AstroGrep.exe" /spath="%USERPROFILE%\AppData\Local\Temp\OnboardLogs" /stypes="app*4026*20161110*"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112-10 --locoid 4026 --swversion DE.1.0.8.0 --startMP 204:232977 --initTime 2016-11-10T05:53:22 --startdatetime 2016-11-10T05:56:19 --delay 1 --endMP 204:134 --enddatetime 2016-11-10T06:48:07 --enforcementcount 0 &gt;&gt;C:\Users\stu\Documents\GitHub\eaglep3-reporting\EC\2016-11-10-refined-times.txt</v>
      </c>
      <c r="AI24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{"issue":{"subject":"","project_id":79,"tracker_id":40,"status_id":1,"priority_id":2,"assigned_to_id":23,"start_date":"2016-11-10","description":"","custom_fields":[{"id":1,"name":"Subdivision","value":"EC"},{"id":4,"name":"Milepost","value":"0.0134"},{"id":17,"name":"Train ID","value":"112-10"},{"id":16,"name":"Locomotive ID","value":"4026"},{"id":130,"name":"Impact","value":""},{"id":150,"name":"Time of Event (Mountain Time)","value":"06:48:07"},{"id":151,"name":"Denver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439</v>
      </c>
      <c r="B25" s="7">
        <v>4022</v>
      </c>
      <c r="C25" s="22" t="s">
        <v>226</v>
      </c>
      <c r="D25" s="22" t="s">
        <v>617</v>
      </c>
      <c r="E25" s="13">
        <v>42684.209641203706</v>
      </c>
      <c r="F25" s="13">
        <v>42684.2190162037</v>
      </c>
      <c r="G25" s="7">
        <v>1</v>
      </c>
      <c r="H25" s="22" t="s">
        <v>615</v>
      </c>
      <c r="I25" s="13">
        <v>42684.245243055557</v>
      </c>
      <c r="J25" s="7">
        <v>0</v>
      </c>
      <c r="K25" s="109" t="str">
        <f t="shared" si="0"/>
        <v>4021/4022</v>
      </c>
      <c r="L25" s="22" t="str">
        <f>VLOOKUP(A25,'Trips&amp;Operators'!$C$1:$E$10000,3,FALSE)</f>
        <v>MAELZER</v>
      </c>
      <c r="M25" s="6">
        <f t="shared" si="1"/>
        <v>2.6226851856335998E-2</v>
      </c>
      <c r="N25" s="7">
        <f t="shared" si="2"/>
        <v>37.766666673123837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04:01:53-700',mode:absolute,to:'2016-11-10 06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" s="52" t="str">
        <f t="shared" si="6"/>
        <v>N</v>
      </c>
      <c r="X25" s="178">
        <f t="shared" si="7"/>
        <v>1</v>
      </c>
      <c r="Y25" s="67">
        <f t="shared" si="8"/>
        <v>4.3299999999999998E-2</v>
      </c>
      <c r="Z25" s="67">
        <f t="shared" si="9"/>
        <v>23.331399999999999</v>
      </c>
      <c r="AA25" s="67">
        <f t="shared" si="10"/>
        <v>23.2881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0113-10</v>
      </c>
      <c r="AE25" s="91" t="str">
        <f t="shared" si="12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25" s="88" t="str">
        <f t="shared" si="13"/>
        <v>"C:\Program Files (x86)\AstroGrep\AstroGrep.exe" /spath="%USERPROFILE%\AppData\Local\Temp\OnboardLogs" /stypes="app*4022*20161110*"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113-10 --locoid 4022 --swversion DE.1.0.8.0 --startMP 204:433 --initTime 2016-11-10T05:01:53 --startdatetime 2016-11-10T05:15:23 --delay 1 --endMP 204:233314 --enddatetime 2016-11-10T05:53:09 --enforcementcount 0 &gt;&gt;C:\Users\stu\Documents\GitHub\eaglep3-reporting\EC\2016-11-10-refined-times.txt</v>
      </c>
      <c r="AI25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{"issue":{"subject":"","project_id":79,"tracker_id":40,"status_id":1,"priority_id":2,"assigned_to_id":23,"start_date":"2016-11-10","description":"","custom_fields":[{"id":1,"name":"Subdivision","value":"EC"},{"id":4,"name":"Milepost","value":"23.3314"},{"id":17,"name":"Train ID","value":"113-10"},{"id":16,"name":"Locomotive ID","value":"4022"},{"id":130,"name":"Impact","value":""},{"id":150,"name":"Time of Event (Mountain Time)","value":"05:53:09"},{"id":151,"name":"Denver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447</v>
      </c>
      <c r="B26" s="7">
        <v>4021</v>
      </c>
      <c r="C26" s="22" t="s">
        <v>226</v>
      </c>
      <c r="D26" s="22" t="s">
        <v>303</v>
      </c>
      <c r="E26" s="13">
        <v>42684.252164351848</v>
      </c>
      <c r="F26" s="13">
        <v>42684.257986111108</v>
      </c>
      <c r="G26" s="7">
        <v>1</v>
      </c>
      <c r="H26" s="22" t="s">
        <v>176</v>
      </c>
      <c r="I26" s="13">
        <v>42684.287557870368</v>
      </c>
      <c r="J26" s="7">
        <v>0</v>
      </c>
      <c r="K26" s="109" t="str">
        <f t="shared" si="0"/>
        <v>4021/4022</v>
      </c>
      <c r="L26" s="22" t="str">
        <f>VLOOKUP(A26,'Trips&amp;Operators'!$C$1:$E$10000,3,FALSE)</f>
        <v>MAELZER</v>
      </c>
      <c r="M26" s="6">
        <f t="shared" si="1"/>
        <v>2.9571759259852115E-2</v>
      </c>
      <c r="N26" s="7">
        <f t="shared" si="2"/>
        <v>42.583333334187046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05:03:07-700',mode:absolute,to:'2016-11-10 07:54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6" s="52" t="str">
        <f t="shared" si="6"/>
        <v>N</v>
      </c>
      <c r="X26" s="178">
        <f t="shared" si="7"/>
        <v>1</v>
      </c>
      <c r="Y26" s="67">
        <f t="shared" si="8"/>
        <v>23.298100000000002</v>
      </c>
      <c r="Z26" s="67">
        <f t="shared" si="9"/>
        <v>1.52E-2</v>
      </c>
      <c r="AA26" s="67">
        <f t="shared" si="10"/>
        <v>23.282900000000001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0114-10</v>
      </c>
      <c r="AE26" s="91" t="str">
        <f t="shared" si="12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26" s="88" t="str">
        <f t="shared" si="13"/>
        <v>"C:\Program Files (x86)\AstroGrep\AstroGrep.exe" /spath="%USERPROFILE%\AppData\Local\Temp\OnboardLogs" /stypes="app*4021*20161110*"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114-10 --locoid 4021 --swversion DE.1.0.8.0 --startMP 204:232981 --initTime 2016-11-10T06:03:07 --startdatetime 2016-11-10T06:11:30 --delay 1 --endMP 204:152 --enddatetime 2016-11-10T06:54:05 --enforcementcount 0 &gt;&gt;C:\Users\stu\Documents\GitHub\eaglep3-reporting\EC\2016-11-10-refined-times.txt</v>
      </c>
      <c r="AI26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ID","value":"114-10"},{"id":16,"name":"Locomotive ID","value":"4021"},{"id":130,"name":"Impact","value":""},{"id":150,"name":"Time of Event (Mountain Time)","value":"06:54:05"},{"id":151,"name":"Denver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443</v>
      </c>
      <c r="B27" s="7">
        <v>4007</v>
      </c>
      <c r="C27" s="22" t="s">
        <v>226</v>
      </c>
      <c r="D27" s="22" t="s">
        <v>618</v>
      </c>
      <c r="E27" s="13">
        <v>42684.226041666669</v>
      </c>
      <c r="F27" s="13">
        <v>42684.229756944442</v>
      </c>
      <c r="G27" s="7">
        <v>2</v>
      </c>
      <c r="H27" s="22" t="s">
        <v>298</v>
      </c>
      <c r="I27" s="13">
        <v>42684.257754629631</v>
      </c>
      <c r="J27" s="7">
        <v>0</v>
      </c>
      <c r="K27" s="109" t="str">
        <f t="shared" si="0"/>
        <v>4007/4008</v>
      </c>
      <c r="L27" s="22" t="str">
        <f>VLOOKUP(A27,'Trips&amp;Operators'!$C$1:$E$10000,3,FALSE)</f>
        <v>RICHARDSON</v>
      </c>
      <c r="M27" s="6">
        <f t="shared" si="1"/>
        <v>2.7997685188893229E-2</v>
      </c>
      <c r="N27" s="7">
        <f t="shared" si="2"/>
        <v>40.316666672006249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04:25:30-700',mode:absolute,to:'2016-11-10 07:11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7" s="52" t="str">
        <f t="shared" si="6"/>
        <v>N</v>
      </c>
      <c r="X27" s="178">
        <f t="shared" si="7"/>
        <v>1</v>
      </c>
      <c r="Y27" s="67">
        <f t="shared" si="8"/>
        <v>7.7700000000000005E-2</v>
      </c>
      <c r="Z27" s="67">
        <f t="shared" si="9"/>
        <v>23.329899999999999</v>
      </c>
      <c r="AA27" s="67">
        <f t="shared" si="10"/>
        <v>23.252199999999998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0115-10</v>
      </c>
      <c r="AE27" s="91" t="str">
        <f t="shared" si="12"/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27" s="88" t="str">
        <f t="shared" si="13"/>
        <v>"C:\Program Files (x86)\AstroGrep\AstroGrep.exe" /spath="%USERPROFILE%\AppData\Local\Temp\OnboardLogs" /stypes="app*4007*20161110*"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115-10 --locoid 4007 --swversion DE.1.0.8.0 --startMP 204:777 --initTime 2016-11-10T05:25:30 --startdatetime 2016-11-10T05:30:51 --delay 2 --endMP 204:233299 --enddatetime 2016-11-10T06:11:10 --enforcementcount 0 &gt;&gt;C:\Users\stu\Documents\GitHub\eaglep3-reporting\EC\2016-11-10-refined-times.txt</v>
      </c>
      <c r="AI27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{"issue":{"subject":"","project_id":79,"tracker_id":40,"status_id":1,"priority_id":2,"assigned_to_id":23,"start_date":"2016-11-10","description":"","custom_fields":[{"id":1,"name":"Subdivision","value":"EC"},{"id":4,"name":"Milepost","value":"23.3299"},{"id":17,"name":"Train ID","value":"115-10"},{"id":16,"name":"Locomotive ID","value":"4007"},{"id":130,"name":"Impact","value":""},{"id":150,"name":"Time of Event (Mountain Time)","value":"06:11:10"},{"id":151,"name":"Denver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387</v>
      </c>
      <c r="B28" s="7">
        <v>4008</v>
      </c>
      <c r="C28" s="22" t="s">
        <v>226</v>
      </c>
      <c r="D28" s="22" t="s">
        <v>281</v>
      </c>
      <c r="E28" s="13">
        <v>42684.262962962966</v>
      </c>
      <c r="F28" s="13">
        <v>42684.268229166664</v>
      </c>
      <c r="G28" s="7">
        <v>4</v>
      </c>
      <c r="H28" s="22" t="s">
        <v>352</v>
      </c>
      <c r="I28" s="13">
        <v>42684.294976851852</v>
      </c>
      <c r="J28" s="7">
        <v>0</v>
      </c>
      <c r="K28" s="109" t="str">
        <f t="shared" si="0"/>
        <v>4007/4008</v>
      </c>
      <c r="L28" s="22" t="str">
        <f>VLOOKUP(A28,'Trips&amp;Operators'!$C$1:$E$10000,3,FALSE)</f>
        <v>RICHARDSON</v>
      </c>
      <c r="M28" s="6">
        <f t="shared" si="1"/>
        <v>2.6747685187729076E-2</v>
      </c>
      <c r="N28" s="7">
        <f t="shared" si="2"/>
        <v>38.516666670329869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05:18:40-700',mode:absolute,to:'2016-11-10 08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8" s="52" t="str">
        <f t="shared" si="6"/>
        <v>N</v>
      </c>
      <c r="X28" s="178">
        <f t="shared" si="7"/>
        <v>1</v>
      </c>
      <c r="Y28" s="67">
        <f t="shared" si="8"/>
        <v>23.297799999999999</v>
      </c>
      <c r="Z28" s="67">
        <f t="shared" si="9"/>
        <v>1.7600000000000001E-2</v>
      </c>
      <c r="AA28" s="67">
        <f t="shared" si="10"/>
        <v>23.280199999999997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0116-10</v>
      </c>
      <c r="AE28" s="91" t="str">
        <f t="shared" si="12"/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28" s="88" t="str">
        <f t="shared" si="13"/>
        <v>"C:\Program Files (x86)\AstroGrep\AstroGrep.exe" /spath="%USERPROFILE%\AppData\Local\Temp\OnboardLogs" /stypes="app*4008*20161110*"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116-10 --locoid 4008 --swversion DE.1.0.8.0 --startMP 204:232978 --initTime 2016-11-10T06:18:40 --startdatetime 2016-11-10T06:26:15 --delay 4 --endMP 204:176 --enddatetime 2016-11-10T07:04:46 --enforcementcount 0 &gt;&gt;C:\Users\stu\Documents\GitHub\eaglep3-reporting\EC\2016-11-10-refined-times.txt</v>
      </c>
      <c r="AI28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{"issue":{"subject":"","project_id":79,"tracker_id":40,"status_id":1,"priority_id":2,"assigned_to_id":23,"start_date":"2016-11-10","description":"","custom_fields":[{"id":1,"name":"Subdivision","value":"EC"},{"id":4,"name":"Milepost","value":"0.0176"},{"id":17,"name":"Train ID","value":"116-10"},{"id":16,"name":"Locomotive ID","value":"4008"},{"id":130,"name":"Impact","value":""},{"id":150,"name":"Time of Event (Mountain Time)","value":"07:04:46"},{"id":151,"name":"Denver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444</v>
      </c>
      <c r="B29" s="7">
        <v>4002</v>
      </c>
      <c r="C29" s="22" t="s">
        <v>226</v>
      </c>
      <c r="D29" s="22" t="s">
        <v>343</v>
      </c>
      <c r="E29" s="13">
        <v>42684.233935185184</v>
      </c>
      <c r="F29" s="13">
        <v>42684.239756944444</v>
      </c>
      <c r="G29" s="7">
        <v>1</v>
      </c>
      <c r="H29" s="22" t="s">
        <v>346</v>
      </c>
      <c r="I29" s="13">
        <v>42684.273113425923</v>
      </c>
      <c r="J29" s="7">
        <v>0</v>
      </c>
      <c r="K29" s="109" t="str">
        <f t="shared" si="0"/>
        <v>4001/4002</v>
      </c>
      <c r="L29" s="22" t="str">
        <f>VLOOKUP(A29,'Trips&amp;Operators'!$C$1:$E$10000,3,FALSE)</f>
        <v>SPECTOR</v>
      </c>
      <c r="M29" s="6">
        <f t="shared" si="1"/>
        <v>3.3356481479131617E-2</v>
      </c>
      <c r="N29" s="7">
        <f t="shared" si="2"/>
        <v>48.033333329949528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04:36:52-700',mode:absolute,to:'2016-11-10 07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9" s="52" t="str">
        <f t="shared" si="6"/>
        <v>N</v>
      </c>
      <c r="X29" s="178">
        <f t="shared" si="7"/>
        <v>1</v>
      </c>
      <c r="Y29" s="67">
        <f t="shared" si="8"/>
        <v>4.7300000000000002E-2</v>
      </c>
      <c r="Z29" s="67">
        <f t="shared" si="9"/>
        <v>23.331</v>
      </c>
      <c r="AA29" s="67">
        <f t="shared" si="10"/>
        <v>23.2837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0117-10</v>
      </c>
      <c r="AE29" s="91" t="str">
        <f t="shared" si="12"/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29" s="88" t="str">
        <f t="shared" si="13"/>
        <v>"C:\Program Files (x86)\AstroGrep\AstroGrep.exe" /spath="%USERPROFILE%\AppData\Local\Temp\OnboardLogs" /stypes="app*4002*20161110*"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117-10 --locoid 4002 --swversion DE.1.0.8.0 --startMP 204:473 --initTime 2016-11-10T05:36:52 --startdatetime 2016-11-10T05:45:15 --delay 1 --endMP 204:233310 --enddatetime 2016-11-10T06:33:17 --enforcementcount 0 &gt;&gt;C:\Users\stu\Documents\GitHub\eaglep3-reporting\EC\2016-11-10-refined-times.txt</v>
      </c>
      <c r="AI29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{"issue":{"subject":"","project_id":79,"tracker_id":40,"status_id":1,"priority_id":2,"assigned_to_id":23,"start_date":"2016-11-10","description":"","custom_fields":[{"id":1,"name":"Subdivision","value":"EC"},{"id":4,"name":"Milepost","value":"23.331"},{"id":17,"name":"Train ID","value":"117-10"},{"id":16,"name":"Locomotive ID","value":"4002"},{"id":130,"name":"Impact","value":""},{"id":150,"name":"Time of Event (Mountain Time)","value":"06:33:17"},{"id":151,"name":"Denver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454</v>
      </c>
      <c r="B30" s="7">
        <v>4001</v>
      </c>
      <c r="C30" s="22" t="s">
        <v>226</v>
      </c>
      <c r="D30" s="22" t="s">
        <v>357</v>
      </c>
      <c r="E30" s="13">
        <v>42684.277939814812</v>
      </c>
      <c r="F30" s="13">
        <v>42684.279178240744</v>
      </c>
      <c r="G30" s="7">
        <v>1</v>
      </c>
      <c r="H30" s="22" t="s">
        <v>258</v>
      </c>
      <c r="I30" s="13">
        <v>42684.306180555555</v>
      </c>
      <c r="J30" s="7">
        <v>0</v>
      </c>
      <c r="K30" s="109" t="str">
        <f t="shared" si="0"/>
        <v>4001/4002</v>
      </c>
      <c r="L30" s="22" t="str">
        <f>VLOOKUP(A30,'Trips&amp;Operators'!$C$1:$E$10000,3,FALSE)</f>
        <v>SPECTOR</v>
      </c>
      <c r="M30" s="6">
        <f t="shared" si="1"/>
        <v>2.700231481139781E-2</v>
      </c>
      <c r="N30" s="7">
        <f t="shared" si="2"/>
        <v>38.883333328412846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05:40:14-700',mode:absolute,to:'2016-11-10 08:20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0" s="52" t="str">
        <f t="shared" si="6"/>
        <v>N</v>
      </c>
      <c r="X30" s="178">
        <f t="shared" si="7"/>
        <v>1</v>
      </c>
      <c r="Y30" s="67">
        <f t="shared" si="8"/>
        <v>23.299600000000002</v>
      </c>
      <c r="Z30" s="67">
        <f t="shared" si="9"/>
        <v>1.4999999999999999E-2</v>
      </c>
      <c r="AA30" s="67">
        <f t="shared" si="10"/>
        <v>23.284600000000001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0118-10</v>
      </c>
      <c r="AE30" s="91" t="str">
        <f t="shared" si="12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30" s="88" t="str">
        <f t="shared" si="13"/>
        <v>"C:\Program Files (x86)\AstroGrep\AstroGrep.exe" /spath="%USERPROFILE%\AppData\Local\Temp\OnboardLogs" /stypes="app*4001*20161110*"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118-10 --locoid 4001 --swversion DE.1.0.8.0 --startMP 204:232996 --initTime 2016-11-10T06:40:14 --startdatetime 2016-11-10T06:42:01 --delay 1 --endMP 204:150 --enddatetime 2016-11-10T07:20:54 --enforcementcount 0 &gt;&gt;C:\Users\stu\Documents\GitHub\eaglep3-reporting\EC\2016-11-10-refined-times.txt</v>
      </c>
      <c r="AI30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{"issue":{"subject":"","project_id":79,"tracker_id":40,"status_id":1,"priority_id":2,"assigned_to_id":23,"start_date":"2016-11-10","description":"","custom_fields":[{"id":1,"name":"Subdivision","value":"EC"},{"id":4,"name":"Milepost","value":"0.015"},{"id":17,"name":"Train ID","value":"118-10"},{"id":16,"name":"Locomotive ID","value":"4001"},{"id":130,"name":"Impact","value":""},{"id":150,"name":"Time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448</v>
      </c>
      <c r="B31" s="7">
        <v>4038</v>
      </c>
      <c r="C31" s="22" t="s">
        <v>226</v>
      </c>
      <c r="D31" s="22" t="s">
        <v>619</v>
      </c>
      <c r="E31" s="13">
        <v>42684.251932870371</v>
      </c>
      <c r="F31" s="13">
        <v>42684.253518518519</v>
      </c>
      <c r="G31" s="7">
        <v>2</v>
      </c>
      <c r="H31" s="22" t="s">
        <v>225</v>
      </c>
      <c r="I31" s="13">
        <v>42684.281006944446</v>
      </c>
      <c r="J31" s="7">
        <v>0</v>
      </c>
      <c r="K31" s="109" t="str">
        <f t="shared" si="0"/>
        <v>4037/4038</v>
      </c>
      <c r="L31" s="22" t="str">
        <f>VLOOKUP(A31,'Trips&amp;Operators'!$C$1:$E$10000,3,FALSE)</f>
        <v>ISHMAEL</v>
      </c>
      <c r="M31" s="6">
        <f t="shared" si="1"/>
        <v>2.7488425927003846E-2</v>
      </c>
      <c r="N31" s="7">
        <f t="shared" si="2"/>
        <v>39.583333334885538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05:02:47-700',mode:absolute,to:'2016-11-10 07:44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1" s="52" t="str">
        <f t="shared" si="6"/>
        <v>N</v>
      </c>
      <c r="X31" s="178">
        <f t="shared" si="7"/>
        <v>1</v>
      </c>
      <c r="Y31" s="67">
        <f t="shared" si="8"/>
        <v>7.5899999999999995E-2</v>
      </c>
      <c r="Z31" s="67">
        <f t="shared" si="9"/>
        <v>23.330100000000002</v>
      </c>
      <c r="AA31" s="67">
        <f t="shared" si="10"/>
        <v>23.254200000000001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0119-10</v>
      </c>
      <c r="AE31" s="91" t="str">
        <f t="shared" si="12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31" s="88" t="str">
        <f t="shared" si="13"/>
        <v>"C:\Program Files (x86)\AstroGrep\AstroGrep.exe" /spath="%USERPROFILE%\AppData\Local\Temp\OnboardLogs" /stypes="app*4038*20161110*"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119-10 --locoid 4038 --swversion DE.1.0.8.0 --startMP 204:759 --initTime 2016-11-10T06:02:47 --startdatetime 2016-11-10T06:05:04 --delay 2 --endMP 204:233301 --enddatetime 2016-11-10T06:44:39 --enforcementcount 0 &gt;&gt;C:\Users\stu\Documents\GitHub\eaglep3-reporting\EC\2016-11-10-refined-times.txt</v>
      </c>
      <c r="AI31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{"issue":{"subject":"","project_id":79,"tracker_id":40,"status_id":1,"priority_id":2,"assigned_to_id":23,"start_date":"2016-11-10","description":"","custom_fields":[{"id":1,"name":"Subdivision","value":"EC"},{"id":4,"name":"Milepost","value":"23.3301"},{"id":17,"name":"Train ID","value":"119-10"},{"id":16,"name":"Locomotive ID","value":"4038"},{"id":130,"name":"Impact","value":""},{"id":150,"name":"Time of Event (Mountain Time)","value":"06:44:39"},{"id":151,"name":"Denver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456</v>
      </c>
      <c r="B32" s="7">
        <v>4037</v>
      </c>
      <c r="C32" s="22" t="s">
        <v>226</v>
      </c>
      <c r="D32" s="22" t="s">
        <v>281</v>
      </c>
      <c r="E32" s="13">
        <v>42684.285300925927</v>
      </c>
      <c r="F32" s="13">
        <v>42684.2890625</v>
      </c>
      <c r="G32" s="7">
        <v>1</v>
      </c>
      <c r="H32" s="22" t="s">
        <v>614</v>
      </c>
      <c r="I32" s="13">
        <v>42684.318090277775</v>
      </c>
      <c r="J32" s="7">
        <v>0</v>
      </c>
      <c r="K32" s="109" t="str">
        <f t="shared" si="0"/>
        <v>4037/4038</v>
      </c>
      <c r="L32" s="22" t="str">
        <f>VLOOKUP(A32,'Trips&amp;Operators'!$C$1:$E$10000,3,FALSE)</f>
        <v>ISHMAEL</v>
      </c>
      <c r="M32" s="6">
        <f t="shared" si="1"/>
        <v>2.9027777774899732E-2</v>
      </c>
      <c r="N32" s="7">
        <f t="shared" si="2"/>
        <v>41.799999995855615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05:50:50-700',mode:absolute,to:'2016-11-10 08:38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2" s="52" t="str">
        <f t="shared" si="6"/>
        <v>N</v>
      </c>
      <c r="X32" s="178">
        <f t="shared" si="7"/>
        <v>1</v>
      </c>
      <c r="Y32" s="67">
        <f t="shared" si="8"/>
        <v>23.297799999999999</v>
      </c>
      <c r="Z32" s="67">
        <f t="shared" si="9"/>
        <v>1.54E-2</v>
      </c>
      <c r="AA32" s="67">
        <f t="shared" si="10"/>
        <v>23.282399999999999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0120-10</v>
      </c>
      <c r="AE32" s="91" t="str">
        <f t="shared" si="12"/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32" s="88" t="str">
        <f t="shared" si="13"/>
        <v>"C:\Program Files (x86)\AstroGrep\AstroGrep.exe" /spath="%USERPROFILE%\AppData\Local\Temp\OnboardLogs" /stypes="app*4037*20161110*"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120-10 --locoid 4037 --swversion DE.1.0.8.0 --startMP 204:232978 --initTime 2016-11-10T06:50:50 --startdatetime 2016-11-10T06:56:15 --delay 1 --endMP 204:154 --enddatetime 2016-11-10T07:38:03 --enforcementcount 0 &gt;&gt;C:\Users\stu\Documents\GitHub\eaglep3-reporting\EC\2016-11-10-refined-times.txt</v>
      </c>
      <c r="AI32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{"issue":{"subject":"","project_id":79,"tracker_id":40,"status_id":1,"priority_id":2,"assigned_to_id":23,"start_date":"2016-11-10","description":"","custom_fields":[{"id":1,"name":"Subdivision","value":"EC"},{"id":4,"name":"Milepost","value":"0.0154"},{"id":17,"name":"Train ID","value":"120-10"},{"id":16,"name":"Locomotive ID","value":"4037"},{"id":130,"name":"Impact","value":""},{"id":150,"name":"Time of Event (Mountain Time)","value":"07:38:03"},{"id":151,"name":"Denver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451</v>
      </c>
      <c r="B33" s="7">
        <v>4042</v>
      </c>
      <c r="C33" s="22" t="s">
        <v>226</v>
      </c>
      <c r="D33" s="22" t="s">
        <v>281</v>
      </c>
      <c r="E33" s="13">
        <v>42684.285300925927</v>
      </c>
      <c r="F33" s="13">
        <v>42684.259722222225</v>
      </c>
      <c r="G33" s="7">
        <v>1</v>
      </c>
      <c r="H33" s="22" t="s">
        <v>614</v>
      </c>
      <c r="I33" s="13">
        <v>42684.276076388887</v>
      </c>
      <c r="J33" s="7">
        <v>0</v>
      </c>
      <c r="K33" s="109" t="str">
        <f t="shared" si="0"/>
        <v>4041/4042</v>
      </c>
      <c r="L33" s="22" t="str">
        <f>VLOOKUP(A33,'Trips&amp;Operators'!$C$1:$E$10000,3,FALSE)</f>
        <v>JOHNSON</v>
      </c>
      <c r="M33" s="6">
        <f t="shared" si="1"/>
        <v>1.6354166662495118E-2</v>
      </c>
      <c r="N33" s="7"/>
      <c r="O33" s="7"/>
      <c r="P33" s="7">
        <f>24*60*SUM($M33:$M33)</f>
        <v>23.549999993992969</v>
      </c>
      <c r="Q33" s="23"/>
      <c r="R33" s="23" t="s">
        <v>316</v>
      </c>
      <c r="S33" s="35">
        <f t="shared" si="3"/>
        <v>0.16666666666666666</v>
      </c>
      <c r="T33" s="50" t="str">
        <f t="shared" si="4"/>
        <v>NorthBound</v>
      </c>
      <c r="U33" s="17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05:50:50-700',mode:absolute,to:'2016-11-10 07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3" s="52" t="str">
        <f t="shared" si="6"/>
        <v>Y</v>
      </c>
      <c r="X33" s="178">
        <f t="shared" si="7"/>
        <v>1</v>
      </c>
      <c r="Y33" s="67">
        <v>0</v>
      </c>
      <c r="Z33" s="67">
        <v>3.3</v>
      </c>
      <c r="AA33" s="67">
        <f t="shared" si="10"/>
        <v>3.3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0121-10</v>
      </c>
      <c r="AE33" s="91" t="str">
        <f t="shared" si="12"/>
        <v>aws s3 cp s3://rtdc.mdm.uploadarchive.raw/RTDC4042/ "%USERPROFILE%\AppData\Local\Temp\OnboardLogs"\RTDC4042\2016-11-10 --exclude "*" --recursive --include "*20161110*" &amp; "%USERPROFILE%\Documents\GitHub\mrs-test-scripts\Headless Mode &amp; Sideloading\WalkAndUnGZ.bat" "%USERPROFILE%\AppData\Local\Temp\OnboardLogs"\RTDC4042\2016-11-10 &amp; 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</v>
      </c>
      <c r="AF33" s="88" t="str">
        <f t="shared" si="13"/>
        <v>"C:\Program Files (x86)\AstroGrep\AstroGrep.exe" /spath="%USERPROFILE%\AppData\Local\Temp\OnboardLogs" /stypes="app*4042*20161110*"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ref="AH33" si="19"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"&amp;J33&amp;IF(outputrefinedruntimes," &gt;&gt;"&amp;RefinedRTDCRunTimesOutputFile,"")</f>
        <v>"%USERPROFILE%\Documents\GitHub\eaglep3\Utilities\RefineRTDCRunTimes.py" --tripid 121-10 --locoid 4042 --swversion DE.1.0.8.0 --startMP 204:232978 --initTime 2016-11-10T06:50:50 --startdatetime 2016-11-10T06:14:00 --delay 1 --endMP 204:154 --enddatetime 2016-11-10T06:37:33 --enforcementcount 0 &gt;&gt;C:\Users\stu\Documents\GitHub\eaglep3-reporting\EC\2016-11-10-refined-times.txt</v>
      </c>
      <c r="AI33" s="119" t="str">
        <f t="shared" ref="AI33" si="20"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Z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failure","project_id":79,"tracker_id":40,"status_id":1,"priority_id":2,"assigned_to_id":23,"start_date":"2016-11-10","description":"multiple cpu faults at 2016-11-10 06:39:26  denver","custom_fields":[{"id":1,"name":"Subdivision","value":"EC"},{"id":4,"name":"Milepost","value":"3.3"},{"id":17,"name":"Train ID","value":"121-10"},{"id":16,"name":"Locomotive ID","value":"4042"},{"id":130,"name":"Impact","value":"Failed State"},{"id":150,"name":"Time of Event (Mountain Time)","value":"06:37:33"},{"id":151,"name":"Denver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3" s="53" t="s">
        <v>805</v>
      </c>
      <c r="AK33" s="53" t="s">
        <v>128</v>
      </c>
      <c r="AL33" s="53" t="s">
        <v>178</v>
      </c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</row>
    <row r="34" spans="1:91" s="1" customFormat="1" x14ac:dyDescent="0.25">
      <c r="A34" s="37" t="s">
        <v>389</v>
      </c>
      <c r="B34" s="7">
        <v>4041</v>
      </c>
      <c r="C34" s="22" t="s">
        <v>226</v>
      </c>
      <c r="D34" s="22" t="s">
        <v>620</v>
      </c>
      <c r="E34" s="13">
        <v>42684.305300925924</v>
      </c>
      <c r="F34" s="13">
        <v>42684.307430555556</v>
      </c>
      <c r="G34" s="7">
        <v>1</v>
      </c>
      <c r="H34" s="22" t="s">
        <v>621</v>
      </c>
      <c r="I34" s="13">
        <v>42684.344351851854</v>
      </c>
      <c r="J34" s="7">
        <v>0</v>
      </c>
      <c r="K34" s="109" t="str">
        <f t="shared" si="0"/>
        <v>4041/4042</v>
      </c>
      <c r="L34" s="22" t="str">
        <f>VLOOKUP(A34,'Trips&amp;Operators'!$C$1:$E$10000,3,FALSE)</f>
        <v>JOHNSON</v>
      </c>
      <c r="M34" s="6">
        <f t="shared" si="1"/>
        <v>3.6921296297805384E-2</v>
      </c>
      <c r="N34" s="7">
        <f t="shared" ref="N34:N58" si="21">24*60*SUM($M34:$M34)</f>
        <v>53.166666668839753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06:19:38-700',mode:absolute,to:'2016-11-10 09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4" s="52" t="str">
        <f t="shared" si="6"/>
        <v>N</v>
      </c>
      <c r="X34" s="178">
        <f t="shared" si="7"/>
        <v>1</v>
      </c>
      <c r="Y34" s="67">
        <f t="shared" ref="Y34:Y97" si="22">RIGHT(D34,LEN(D34)-4)/10000</f>
        <v>23.303799999999999</v>
      </c>
      <c r="Z34" s="67">
        <f t="shared" ref="Z34:Z97" si="23">RIGHT(H34,LEN(H34)-4)/10000</f>
        <v>0.1052</v>
      </c>
      <c r="AA34" s="67">
        <f t="shared" si="10"/>
        <v>23.198599999999999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0122-10</v>
      </c>
      <c r="AE34" s="91" t="str">
        <f t="shared" si="12"/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AF34" s="88" t="str">
        <f t="shared" si="13"/>
        <v>"C:\Program Files (x86)\AstroGrep\AstroGrep.exe" /spath="%USERPROFILE%\AppData\Local\Temp\OnboardLogs" /stypes="app*4041*20161110*" /stext=" 15:.+((SYSTEM_STATE.+slice.+state.+changed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122-10 --locoid 4041 --swversion DE.1.0.8.0 --startMP 204:233038 --initTime 2016-11-10T07:19:38 --startdatetime 2016-11-10T07:22:42 --delay 1 --endMP 204:1052 --enddatetime 2016-11-10T08:15:52 --enforcementcount 0 &gt;&gt;C:\Users\stu\Documents\GitHub\eaglep3-reporting\EC\2016-11-10-refined-times.txt</v>
      </c>
      <c r="AI34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{"issue":{"subject":"","project_id":79,"tracker_id":40,"status_id":1,"priority_id":2,"assigned_to_id":23,"start_date":"2016-11-10","description":"","custom_fields":[{"id":1,"name":"Subdivision","value":"EC"},{"id":4,"name":"Milepost","value":"0.1052"},{"id":17,"name":"Train ID","value":"122-10"},{"id":16,"name":"Locomotive ID","value":"4041"},{"id":130,"name":"Impact","value":""},{"id":150,"name":"Time of Event (Mountain Time)","value":"08:15:52"},{"id":151,"name":"Denver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452</v>
      </c>
      <c r="B35" s="7">
        <v>4011</v>
      </c>
      <c r="C35" s="22" t="s">
        <v>226</v>
      </c>
      <c r="D35" s="22" t="s">
        <v>202</v>
      </c>
      <c r="E35" s="13">
        <v>42684.269247685188</v>
      </c>
      <c r="F35" s="13">
        <v>42684.272997685184</v>
      </c>
      <c r="G35" s="7">
        <v>1</v>
      </c>
      <c r="H35" s="22" t="s">
        <v>244</v>
      </c>
      <c r="I35" s="13">
        <v>42684.307939814818</v>
      </c>
      <c r="J35" s="7">
        <v>0</v>
      </c>
      <c r="K35" s="109" t="str">
        <f t="shared" si="0"/>
        <v>4011/4012</v>
      </c>
      <c r="L35" s="22" t="str">
        <f>VLOOKUP(A35,'Trips&amp;Operators'!$C$1:$E$10000,3,FALSE)</f>
        <v>PERKINS</v>
      </c>
      <c r="M35" s="6">
        <f t="shared" si="1"/>
        <v>3.4942129634146113E-2</v>
      </c>
      <c r="N35" s="7">
        <f t="shared" si="21"/>
        <v>50.316666673170403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05:27:43-700',mode:absolute,to:'2016-11-10 08:23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5" s="52" t="str">
        <f t="shared" si="6"/>
        <v>N</v>
      </c>
      <c r="X35" s="178">
        <f t="shared" si="7"/>
        <v>1</v>
      </c>
      <c r="Y35" s="67">
        <f t="shared" si="22"/>
        <v>4.5499999999999999E-2</v>
      </c>
      <c r="Z35" s="67">
        <f t="shared" si="23"/>
        <v>23.331199999999999</v>
      </c>
      <c r="AA35" s="67">
        <f t="shared" si="10"/>
        <v>23.285699999999999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0123-10</v>
      </c>
      <c r="AE35" s="91" t="str">
        <f t="shared" si="12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35" s="88" t="str">
        <f t="shared" si="13"/>
        <v>"C:\Program Files (x86)\AstroGrep\AstroGrep.exe" /spath="%USERPROFILE%\AppData\Local\Temp\OnboardLogs" /stypes="app*4011*20161110*"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123-10 --locoid 4011 --swversion DE.1.0.8.0 --startMP 204:455 --initTime 2016-11-10T06:27:43 --startdatetime 2016-11-10T06:33:07 --delay 1 --endMP 204:233312 --enddatetime 2016-11-10T07:23:26 --enforcementcount 0 &gt;&gt;C:\Users\stu\Documents\GitHub\eaglep3-reporting\EC\2016-11-10-refined-times.txt</v>
      </c>
      <c r="AI35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{"issue":{"subject":"","project_id":79,"tracker_id":40,"status_id":1,"priority_id":2,"assigned_to_id":23,"start_date":"2016-11-10","description":"","custom_fields":[{"id":1,"name":"Subdivision","value":"EC"},{"id":4,"name":"Milepost","value":"23.3312"},{"id":17,"name":"Train ID","value":"123-10"},{"id":16,"name":"Locomotive ID","value":"4011"},{"id":130,"name":"Impact","value":""},{"id":150,"name":"Time of Event (Mountain Time)","value":"07:23:26"},{"id":151,"name":"Denver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462</v>
      </c>
      <c r="B36" s="7">
        <v>4012</v>
      </c>
      <c r="C36" s="22" t="s">
        <v>226</v>
      </c>
      <c r="D36" s="22" t="s">
        <v>220</v>
      </c>
      <c r="E36" s="13">
        <v>42684.309699074074</v>
      </c>
      <c r="F36" s="13">
        <v>42684.31585648148</v>
      </c>
      <c r="G36" s="7">
        <v>1</v>
      </c>
      <c r="H36" s="22" t="s">
        <v>622</v>
      </c>
      <c r="I36" s="13">
        <v>42684.352442129632</v>
      </c>
      <c r="J36" s="7">
        <v>0</v>
      </c>
      <c r="K36" s="109" t="str">
        <f t="shared" si="0"/>
        <v>4011/4012</v>
      </c>
      <c r="L36" s="22" t="str">
        <f>VLOOKUP(A36,'Trips&amp;Operators'!$C$1:$E$10000,3,FALSE)</f>
        <v>PERKINS</v>
      </c>
      <c r="M36" s="6">
        <f t="shared" si="1"/>
        <v>3.6585648151230998E-2</v>
      </c>
      <c r="N36" s="7">
        <f t="shared" si="21"/>
        <v>52.683333337772638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06:25:58-700',mode:absolute,to:'2016-11-10 09:27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6" s="52" t="str">
        <f t="shared" si="6"/>
        <v>N</v>
      </c>
      <c r="X36" s="178">
        <f t="shared" si="7"/>
        <v>1</v>
      </c>
      <c r="Y36" s="67">
        <f t="shared" si="22"/>
        <v>23.298500000000001</v>
      </c>
      <c r="Z36" s="67">
        <f t="shared" si="23"/>
        <v>1.38E-2</v>
      </c>
      <c r="AA36" s="67">
        <f t="shared" si="10"/>
        <v>23.284700000000001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0124-10</v>
      </c>
      <c r="AE36" s="91" t="str">
        <f t="shared" si="12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36" s="88" t="str">
        <f t="shared" si="13"/>
        <v>"C:\Program Files (x86)\AstroGrep\AstroGrep.exe" /spath="%USERPROFILE%\AppData\Local\Temp\OnboardLogs" /stypes="app*4012*20161110*"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124-10 --locoid 4012 --swversion DE.1.0.8.0 --startMP 204:232985 --initTime 2016-11-10T07:25:58 --startdatetime 2016-11-10T07:34:50 --delay 1 --endMP 204:138 --enddatetime 2016-11-10T08:27:31 --enforcementcount 0 &gt;&gt;C:\Users\stu\Documents\GitHub\eaglep3-reporting\EC\2016-11-10-refined-times.txt</v>
      </c>
      <c r="AI36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{"issue":{"subject":"","project_id":79,"tracker_id":40,"status_id":1,"priority_id":2,"assigned_to_id":23,"start_date":"2016-11-10","description":"","custom_fields":[{"id":1,"name":"Subdivision","value":"EC"},{"id":4,"name":"Milepost","value":"0.0138"},{"id":17,"name":"Train ID","value":"124-10"},{"id":16,"name":"Locomotive ID","value":"4012"},{"id":130,"name":"Impact","value":""},{"id":150,"name":"Time of Event (Mountain Time)","value":"08:27:31"},{"id":151,"name":"Denver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388</v>
      </c>
      <c r="B37" s="7">
        <v>4025</v>
      </c>
      <c r="C37" s="22" t="s">
        <v>226</v>
      </c>
      <c r="D37" s="22" t="s">
        <v>301</v>
      </c>
      <c r="E37" s="13">
        <v>42684.284768518519</v>
      </c>
      <c r="F37" s="13">
        <v>42684.28634259259</v>
      </c>
      <c r="G37" s="7">
        <v>1</v>
      </c>
      <c r="H37" s="22" t="s">
        <v>623</v>
      </c>
      <c r="I37" s="13">
        <v>42684.313854166663</v>
      </c>
      <c r="J37" s="7">
        <v>0</v>
      </c>
      <c r="K37" s="109" t="str">
        <f t="shared" si="0"/>
        <v>4025/4026</v>
      </c>
      <c r="L37" s="22" t="str">
        <f>VLOOKUP(A37,'Trips&amp;Operators'!$C$1:$E$10000,3,FALSE)</f>
        <v>STARKS</v>
      </c>
      <c r="M37" s="6">
        <f t="shared" si="1"/>
        <v>2.7511574073287193E-2</v>
      </c>
      <c r="N37" s="7">
        <f t="shared" si="21"/>
        <v>39.616666665533558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05:50:04-700',mode:absolute,to:'2016-11-10 08:31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7" s="52" t="str">
        <f t="shared" si="6"/>
        <v>N</v>
      </c>
      <c r="X37" s="178">
        <f t="shared" si="7"/>
        <v>1</v>
      </c>
      <c r="Y37" s="67">
        <f t="shared" si="22"/>
        <v>4.3799999999999999E-2</v>
      </c>
      <c r="Z37" s="67">
        <f t="shared" si="23"/>
        <v>23.3291</v>
      </c>
      <c r="AA37" s="67">
        <f t="shared" si="10"/>
        <v>23.285299999999999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0125-10</v>
      </c>
      <c r="AE37" s="91" t="str">
        <f t="shared" si="12"/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37" s="88" t="str">
        <f t="shared" si="13"/>
        <v>"C:\Program Files (x86)\AstroGrep\AstroGrep.exe" /spath="%USERPROFILE%\AppData\Local\Temp\OnboardLogs" /stypes="app*4025*20161110*"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125-10 --locoid 4025 --swversion DE.1.0.8.0 --startMP 204:438 --initTime 2016-11-10T06:50:04 --startdatetime 2016-11-10T06:52:20 --delay 1 --endMP 204:233291 --enddatetime 2016-11-10T07:31:57 --enforcementcount 0 &gt;&gt;C:\Users\stu\Documents\GitHub\eaglep3-reporting\EC\2016-11-10-refined-times.txt</v>
      </c>
      <c r="AI37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{"issue":{"subject":"","project_id":79,"tracker_id":40,"status_id":1,"priority_id":2,"assigned_to_id":23,"start_date":"2016-11-10","description":"","custom_fields":[{"id":1,"name":"Subdivision","value":"EC"},{"id":4,"name":"Milepost","value":"23.3291"},{"id":17,"name":"Train ID","value":"125-10"},{"id":16,"name":"Locomotive ID","value":"4025"},{"id":130,"name":"Impact","value":""},{"id":150,"name":"Time of Event (Mountain Time)","value":"07:31:57"},{"id":151,"name":"Denver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390</v>
      </c>
      <c r="B38" s="7">
        <v>4026</v>
      </c>
      <c r="C38" s="22" t="s">
        <v>226</v>
      </c>
      <c r="D38" s="22" t="s">
        <v>304</v>
      </c>
      <c r="E38" s="13">
        <v>42684.317800925928</v>
      </c>
      <c r="F38" s="13">
        <v>42684.320567129631</v>
      </c>
      <c r="G38" s="7">
        <v>1</v>
      </c>
      <c r="H38" s="22" t="s">
        <v>622</v>
      </c>
      <c r="I38" s="13">
        <v>42684.359699074077</v>
      </c>
      <c r="J38" s="7">
        <v>0</v>
      </c>
      <c r="K38" s="109" t="str">
        <f t="shared" si="0"/>
        <v>4025/4026</v>
      </c>
      <c r="L38" s="22" t="str">
        <f>VLOOKUP(A38,'Trips&amp;Operators'!$C$1:$E$10000,3,FALSE)</f>
        <v>STARKS</v>
      </c>
      <c r="M38" s="6">
        <f t="shared" si="1"/>
        <v>3.9131944446125999E-2</v>
      </c>
      <c r="N38" s="7">
        <f t="shared" si="21"/>
        <v>56.350000002421439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06:37:38-700',mode:absolute,to:'2016-11-10 09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 t="shared" si="6"/>
        <v>N</v>
      </c>
      <c r="X38" s="178">
        <f t="shared" si="7"/>
        <v>1</v>
      </c>
      <c r="Y38" s="67">
        <f t="shared" si="22"/>
        <v>23.2973</v>
      </c>
      <c r="Z38" s="67">
        <f t="shared" si="23"/>
        <v>1.38E-2</v>
      </c>
      <c r="AA38" s="67">
        <f t="shared" si="10"/>
        <v>23.2835</v>
      </c>
      <c r="AB38" s="64" t="str">
        <f>VLOOKUP(A38,Enforcements!$C$7:$K$20,8,0)</f>
        <v>Speed (6)</v>
      </c>
      <c r="AC38" s="60" t="str">
        <f>VLOOKUP(A38,Enforcements!$C$7:$E$20,3,0)</f>
        <v>PERMANENT SPEED RESTRICTION</v>
      </c>
      <c r="AD38" s="61" t="str">
        <f t="shared" si="11"/>
        <v>0126-10</v>
      </c>
      <c r="AE38" s="91" t="str">
        <f t="shared" si="12"/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38" s="88" t="str">
        <f t="shared" si="13"/>
        <v>"C:\Program Files (x86)\AstroGrep\AstroGrep.exe" /spath="%USERPROFILE%\AppData\Local\Temp\OnboardLogs" /stypes="app*4026*20161110*"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126-10 --locoid 4026 --swversion DE.1.0.8.0 --startMP 204:232973 --initTime 2016-11-10T07:37:38 --startdatetime 2016-11-10T07:41:37 --delay 1 --endMP 204:138 --enddatetime 2016-11-10T08:37:58 --enforcementcount 0 &gt;&gt;C:\Users\stu\Documents\GitHub\eaglep3-reporting\EC\2016-11-10-refined-times.txt</v>
      </c>
      <c r="AI38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{"issue":{"subject":"","project_id":79,"tracker_id":40,"status_id":1,"priority_id":2,"assigned_to_id":23,"start_date":"2016-11-10","description":"","custom_fields":[{"id":1,"name":"Subdivision","value":"EC"},{"id":4,"name":"Milepost","value":"0.0138"},{"id":17,"name":"Train ID","value":"126-10"},{"id":16,"name":"Locomotive ID","value":"4026"},{"id":130,"name":"Impact","value":""},{"id":150,"name":"Time of Event (Mountain Time)","value":"08:37:58"},{"id":151,"name":"Denver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457</v>
      </c>
      <c r="B39" s="7">
        <v>4022</v>
      </c>
      <c r="C39" s="22" t="s">
        <v>226</v>
      </c>
      <c r="D39" s="22" t="s">
        <v>353</v>
      </c>
      <c r="E39" s="13">
        <v>42684.289502314816</v>
      </c>
      <c r="F39" s="13">
        <v>42684.292175925926</v>
      </c>
      <c r="G39" s="7">
        <v>1</v>
      </c>
      <c r="H39" s="22" t="s">
        <v>346</v>
      </c>
      <c r="I39" s="13">
        <v>42684.320393518516</v>
      </c>
      <c r="J39" s="7">
        <v>0</v>
      </c>
      <c r="K39" s="109" t="str">
        <f t="shared" si="0"/>
        <v>4021/4022</v>
      </c>
      <c r="L39" s="22" t="str">
        <f>VLOOKUP(A39,'Trips&amp;Operators'!$C$1:$E$10000,3,FALSE)</f>
        <v>MAELZER</v>
      </c>
      <c r="M39" s="6">
        <f t="shared" si="1"/>
        <v>2.8217592589498963E-2</v>
      </c>
      <c r="N39" s="7">
        <f t="shared" si="21"/>
        <v>40.633333328878507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05:56:53-700',mode:absolute,to:'2016-11-10 08:41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9" s="52" t="str">
        <f t="shared" si="6"/>
        <v>N</v>
      </c>
      <c r="X39" s="178">
        <f t="shared" si="7"/>
        <v>1</v>
      </c>
      <c r="Y39" s="67">
        <f t="shared" si="22"/>
        <v>4.4200000000000003E-2</v>
      </c>
      <c r="Z39" s="67">
        <f t="shared" si="23"/>
        <v>23.331</v>
      </c>
      <c r="AA39" s="67">
        <f t="shared" si="10"/>
        <v>23.286799999999999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0127-10</v>
      </c>
      <c r="AE39" s="91" t="str">
        <f t="shared" si="12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39" s="88" t="str">
        <f t="shared" si="13"/>
        <v>"C:\Program Files (x86)\AstroGrep\AstroGrep.exe" /spath="%USERPROFILE%\AppData\Local\Temp\OnboardLogs" /stypes="app*4022*20161110*"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127-10 --locoid 4022 --swversion DE.1.0.8.0 --startMP 204:442 --initTime 2016-11-10T06:56:53 --startdatetime 2016-11-10T07:00:44 --delay 1 --endMP 204:233310 --enddatetime 2016-11-10T07:41:22 --enforcementcount 0 &gt;&gt;C:\Users\stu\Documents\GitHub\eaglep3-reporting\EC\2016-11-10-refined-times.txt</v>
      </c>
      <c r="AI39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{"issue":{"subject":"","project_id":79,"tracker_id":40,"status_id":1,"priority_id":2,"assigned_to_id":23,"start_date":"2016-11-10","description":"","custom_fields":[{"id":1,"name":"Subdivision","value":"EC"},{"id":4,"name":"Milepost","value":"23.331"},{"id":17,"name":"Train ID","value":"127-10"},{"id":16,"name":"Locomotive ID","value":"4022"},{"id":130,"name":"Impact","value":""},{"id":150,"name":"Time of Event (Mountain Time)","value":"07:41:22"},{"id":151,"name":"Denver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391</v>
      </c>
      <c r="B40" s="7">
        <v>4021</v>
      </c>
      <c r="C40" s="22" t="s">
        <v>226</v>
      </c>
      <c r="D40" s="22" t="s">
        <v>263</v>
      </c>
      <c r="E40" s="13">
        <v>42684.327581018515</v>
      </c>
      <c r="F40" s="13">
        <v>42684.33090277778</v>
      </c>
      <c r="G40" s="7">
        <v>1</v>
      </c>
      <c r="H40" s="22" t="s">
        <v>259</v>
      </c>
      <c r="I40" s="13">
        <v>42684.36478009259</v>
      </c>
      <c r="J40" s="7">
        <v>0</v>
      </c>
      <c r="K40" s="109" t="str">
        <f t="shared" si="0"/>
        <v>4021/4022</v>
      </c>
      <c r="L40" s="22" t="str">
        <f>VLOOKUP(A40,'Trips&amp;Operators'!$C$1:$E$10000,3,FALSE)</f>
        <v>MAELZER</v>
      </c>
      <c r="M40" s="6">
        <f t="shared" si="1"/>
        <v>3.3877314810524695E-2</v>
      </c>
      <c r="N40" s="7">
        <f t="shared" si="21"/>
        <v>48.78333332715556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06:51:43-700',mode:absolute,to:'2016-11-10 09:45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0" s="52" t="str">
        <f t="shared" si="6"/>
        <v>N</v>
      </c>
      <c r="X40" s="178">
        <f t="shared" si="7"/>
        <v>1</v>
      </c>
      <c r="Y40" s="67">
        <f t="shared" si="22"/>
        <v>23.3002</v>
      </c>
      <c r="Z40" s="67">
        <f t="shared" si="23"/>
        <v>1.3899999999999999E-2</v>
      </c>
      <c r="AA40" s="67">
        <f t="shared" si="10"/>
        <v>23.286300000000001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0128-10</v>
      </c>
      <c r="AE40" s="91" t="str">
        <f t="shared" si="12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40" s="88" t="str">
        <f t="shared" si="13"/>
        <v>"C:\Program Files (x86)\AstroGrep\AstroGrep.exe" /spath="%USERPROFILE%\AppData\Local\Temp\OnboardLogs" /stypes="app*4021*20161110*"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128-10 --locoid 4021 --swversion DE.1.0.8.0 --startMP 204:233002 --initTime 2016-11-10T07:51:43 --startdatetime 2016-11-10T07:56:30 --delay 1 --endMP 204:139 --enddatetime 2016-11-10T08:45:17 --enforcementcount 0 &gt;&gt;C:\Users\stu\Documents\GitHub\eaglep3-reporting\EC\2016-11-10-refined-times.txt</v>
      </c>
      <c r="AI40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{"issue":{"subject":"","project_id":79,"tracker_id":40,"status_id":1,"priority_id":2,"assigned_to_id":23,"start_date":"2016-11-10","description":"","custom_fields":[{"id":1,"name":"Subdivision","value":"EC"},{"id":4,"name":"Milepost","value":"0.0139"},{"id":17,"name":"Train ID","value":"128-10"},{"id":16,"name":"Locomotive ID","value":"4021"},{"id":130,"name":"Impact","value":""},{"id":150,"name":"Time of Event (Mountain Time)","value":"08:45:17"},{"id":151,"name":"Denver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459</v>
      </c>
      <c r="B41" s="7">
        <v>4007</v>
      </c>
      <c r="C41" s="22" t="s">
        <v>226</v>
      </c>
      <c r="D41" s="22" t="s">
        <v>624</v>
      </c>
      <c r="E41" s="13">
        <v>42684.298009259262</v>
      </c>
      <c r="F41" s="13">
        <v>42684.302303240744</v>
      </c>
      <c r="G41" s="7">
        <v>2</v>
      </c>
      <c r="H41" s="22" t="s">
        <v>231</v>
      </c>
      <c r="I41" s="13">
        <v>42684.329768518517</v>
      </c>
      <c r="J41" s="7">
        <v>0</v>
      </c>
      <c r="K41" s="109" t="str">
        <f t="shared" si="0"/>
        <v>4007/4008</v>
      </c>
      <c r="L41" s="22" t="str">
        <f>VLOOKUP(A41,'Trips&amp;Operators'!$C$1:$E$10000,3,FALSE)</f>
        <v>RICHARDSON</v>
      </c>
      <c r="M41" s="6">
        <f t="shared" si="1"/>
        <v>2.7465277773444541E-2</v>
      </c>
      <c r="N41" s="7">
        <f t="shared" si="21"/>
        <v>39.549999993760139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06:09:08-700',mode:absolute,to:'2016-11-10 08:54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1" s="52" t="str">
        <f t="shared" si="6"/>
        <v>N</v>
      </c>
      <c r="X41" s="178">
        <f t="shared" si="7"/>
        <v>1</v>
      </c>
      <c r="Y41" s="67">
        <f t="shared" si="22"/>
        <v>4.6600000000000003E-2</v>
      </c>
      <c r="Z41" s="67">
        <f t="shared" si="23"/>
        <v>23.328900000000001</v>
      </c>
      <c r="AA41" s="67">
        <f t="shared" si="10"/>
        <v>23.282299999999999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0129-10</v>
      </c>
      <c r="AE41" s="91" t="str">
        <f t="shared" si="12"/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41" s="88" t="str">
        <f t="shared" si="13"/>
        <v>"C:\Program Files (x86)\AstroGrep\AstroGrep.exe" /spath="%USERPROFILE%\AppData\Local\Temp\OnboardLogs" /stypes="app*4007*20161110*"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129-10 --locoid 4007 --swversion DE.1.0.8.0 --startMP 204:466 --initTime 2016-11-10T07:09:08 --startdatetime 2016-11-10T07:15:19 --delay 2 --endMP 204:233289 --enddatetime 2016-11-10T07:54:52 --enforcementcount 0 &gt;&gt;C:\Users\stu\Documents\GitHub\eaglep3-reporting\EC\2016-11-10-refined-times.txt</v>
      </c>
      <c r="AI41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{"issue":{"subject":"","project_id":79,"tracker_id":40,"status_id":1,"priority_id":2,"assigned_to_id":23,"start_date":"2016-11-10","description":"","custom_fields":[{"id":1,"name":"Subdivision","value":"EC"},{"id":4,"name":"Milepost","value":"23.3289"},{"id":17,"name":"Train ID","value":"129-10"},{"id":16,"name":"Locomotive ID","value":"4007"},{"id":130,"name":"Impact","value":""},{"id":150,"name":"Time of Event (Mountain Time)","value":"07:54:52"},{"id":151,"name":"Denver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470</v>
      </c>
      <c r="B42" s="7">
        <v>4008</v>
      </c>
      <c r="C42" s="22" t="s">
        <v>226</v>
      </c>
      <c r="D42" s="22" t="s">
        <v>299</v>
      </c>
      <c r="E42" s="13">
        <v>42684.336134259262</v>
      </c>
      <c r="F42" s="13">
        <v>42684.341145833336</v>
      </c>
      <c r="G42" s="7">
        <v>1</v>
      </c>
      <c r="H42" s="22" t="s">
        <v>259</v>
      </c>
      <c r="I42" s="13">
        <v>42684.376064814816</v>
      </c>
      <c r="J42" s="7">
        <v>0</v>
      </c>
      <c r="K42" s="109" t="str">
        <f t="shared" si="0"/>
        <v>4007/4008</v>
      </c>
      <c r="L42" s="22" t="str">
        <f>VLOOKUP(A42,'Trips&amp;Operators'!$C$1:$E$10000,3,FALSE)</f>
        <v>RICHARDSON</v>
      </c>
      <c r="M42" s="6">
        <f t="shared" si="1"/>
        <v>3.4918981480586808E-2</v>
      </c>
      <c r="N42" s="7">
        <f t="shared" si="21"/>
        <v>50.283333332045004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07:04:02-700',mode:absolute,to:'2016-11-10 10:01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2" s="52" t="str">
        <f t="shared" si="6"/>
        <v>N</v>
      </c>
      <c r="X42" s="178">
        <f t="shared" si="7"/>
        <v>1</v>
      </c>
      <c r="Y42" s="67">
        <f t="shared" si="22"/>
        <v>23.297499999999999</v>
      </c>
      <c r="Z42" s="67">
        <f t="shared" si="23"/>
        <v>1.3899999999999999E-2</v>
      </c>
      <c r="AA42" s="67">
        <f t="shared" si="10"/>
        <v>23.2836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0130-10</v>
      </c>
      <c r="AE42" s="91" t="str">
        <f t="shared" si="12"/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42" s="88" t="str">
        <f t="shared" si="13"/>
        <v>"C:\Program Files (x86)\AstroGrep\AstroGrep.exe" /spath="%USERPROFILE%\AppData\Local\Temp\OnboardLogs" /stypes="app*4008*20161110*" /stext=" 16:.+((SYSTEM_STATE.+slice.+state.+changed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130-10 --locoid 4008 --swversion DE.1.0.8.0 --startMP 204:232975 --initTime 2016-11-10T08:04:02 --startdatetime 2016-11-10T08:11:15 --delay 1 --endMP 204:139 --enddatetime 2016-11-10T09:01:32 --enforcementcount 0 &gt;&gt;C:\Users\stu\Documents\GitHub\eaglep3-reporting\EC\2016-11-10-refined-times.txt</v>
      </c>
      <c r="AI42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{"issue":{"subject":"","project_id":79,"tracker_id":40,"status_id":1,"priority_id":2,"assigned_to_id":23,"start_date":"2016-11-10","description":"","custom_fields":[{"id":1,"name":"Subdivision","value":"EC"},{"id":4,"name":"Milepost","value":"0.0139"},{"id":17,"name":"Train ID","value":"130-10"},{"id":16,"name":"Locomotive ID","value":"4008"},{"id":130,"name":"Impact","value":""},{"id":150,"name":"Time of Event (Mountain Time)","value":"09:01:32"},{"id":151,"name":"Denver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461</v>
      </c>
      <c r="B43" s="7">
        <v>4002</v>
      </c>
      <c r="C43" s="22" t="s">
        <v>226</v>
      </c>
      <c r="D43" s="22" t="s">
        <v>625</v>
      </c>
      <c r="E43" s="13">
        <v>42684.308912037035</v>
      </c>
      <c r="F43" s="13">
        <v>42684.312777777777</v>
      </c>
      <c r="G43" s="7">
        <v>1</v>
      </c>
      <c r="H43" s="22" t="s">
        <v>266</v>
      </c>
      <c r="I43" s="13">
        <v>42684.344074074077</v>
      </c>
      <c r="J43" s="7">
        <v>0</v>
      </c>
      <c r="K43" s="109" t="str">
        <f t="shared" si="0"/>
        <v>4001/4002</v>
      </c>
      <c r="L43" s="22" t="str">
        <f>VLOOKUP(A43,'Trips&amp;Operators'!$C$1:$E$10000,3,FALSE)</f>
        <v>SPECTOR</v>
      </c>
      <c r="M43" s="6">
        <f t="shared" si="1"/>
        <v>3.1296296299842652E-2</v>
      </c>
      <c r="N43" s="7">
        <f t="shared" si="21"/>
        <v>45.066666671773419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06:24:50-700',mode:absolute,to:'2016-11-10 09:15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3" s="52" t="str">
        <f t="shared" si="6"/>
        <v>N</v>
      </c>
      <c r="X43" s="178">
        <f t="shared" si="7"/>
        <v>1</v>
      </c>
      <c r="Y43" s="67">
        <f t="shared" si="22"/>
        <v>4.2599999999999999E-2</v>
      </c>
      <c r="Z43" s="67">
        <f t="shared" si="23"/>
        <v>23.331700000000001</v>
      </c>
      <c r="AA43" s="67">
        <f t="shared" si="10"/>
        <v>23.289100000000001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0131-10</v>
      </c>
      <c r="AE43" s="91" t="str">
        <f t="shared" si="12"/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43" s="88" t="str">
        <f t="shared" si="13"/>
        <v>"C:\Program Files (x86)\AstroGrep\AstroGrep.exe" /spath="%USERPROFILE%\AppData\Local\Temp\OnboardLogs" /stypes="app*4002*20161110*"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131-10 --locoid 4002 --swversion DE.1.0.8.0 --startMP 204:426 --initTime 2016-11-10T07:24:50 --startdatetime 2016-11-10T07:30:24 --delay 1 --endMP 204:233317 --enddatetime 2016-11-10T08:15:28 --enforcementcount 0 &gt;&gt;C:\Users\stu\Documents\GitHub\eaglep3-reporting\EC\2016-11-10-refined-times.txt</v>
      </c>
      <c r="AI43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{"issue":{"subject":"","project_id":79,"tracker_id":40,"status_id":1,"priority_id":2,"assigned_to_id":23,"start_date":"2016-11-10","description":"","custom_fields":[{"id":1,"name":"Subdivision","value":"EC"},{"id":4,"name":"Milepost","value":"23.3317"},{"id":17,"name":"Train ID","value":"131-10"},{"id":16,"name":"Locomotive ID","value":"4002"},{"id":130,"name":"Impact","value":""},{"id":150,"name":"Time of Event (Mountain Time)","value":"08:15:28"},{"id":151,"name":"Denver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472</v>
      </c>
      <c r="B44" s="7">
        <v>4001</v>
      </c>
      <c r="C44" s="22" t="s">
        <v>226</v>
      </c>
      <c r="D44" s="22" t="s">
        <v>357</v>
      </c>
      <c r="E44" s="13">
        <v>42684.349675925929</v>
      </c>
      <c r="F44" s="13">
        <v>42684.3515625</v>
      </c>
      <c r="G44" s="7">
        <v>1</v>
      </c>
      <c r="H44" s="22" t="s">
        <v>175</v>
      </c>
      <c r="I44" s="13">
        <v>42684.382303240738</v>
      </c>
      <c r="J44" s="7">
        <v>0</v>
      </c>
      <c r="K44" s="109" t="str">
        <f t="shared" si="0"/>
        <v>4001/4002</v>
      </c>
      <c r="L44" s="22" t="str">
        <f>VLOOKUP(A44,'Trips&amp;Operators'!$C$1:$E$10000,3,FALSE)</f>
        <v>SPECTOR</v>
      </c>
      <c r="M44" s="6">
        <f t="shared" si="1"/>
        <v>3.0740740738110617E-2</v>
      </c>
      <c r="N44" s="7">
        <f t="shared" si="21"/>
        <v>44.266666662879288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07:23:32-700',mode:absolute,to:'2016-11-10 10:10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4" s="52" t="str">
        <f t="shared" si="6"/>
        <v>N</v>
      </c>
      <c r="X44" s="178">
        <f t="shared" si="7"/>
        <v>1</v>
      </c>
      <c r="Y44" s="67">
        <f t="shared" si="22"/>
        <v>23.299600000000002</v>
      </c>
      <c r="Z44" s="67">
        <f t="shared" si="23"/>
        <v>1.47E-2</v>
      </c>
      <c r="AA44" s="67">
        <f t="shared" si="10"/>
        <v>23.2849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0132-10</v>
      </c>
      <c r="AE44" s="91" t="str">
        <f t="shared" si="12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44" s="88" t="str">
        <f t="shared" si="13"/>
        <v>"C:\Program Files (x86)\AstroGrep\AstroGrep.exe" /spath="%USERPROFILE%\AppData\Local\Temp\OnboardLogs" /stypes="app*4001*20161110*"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132-10 --locoid 4001 --swversion DE.1.0.8.0 --startMP 204:232996 --initTime 2016-11-10T08:23:32 --startdatetime 2016-11-10T08:26:15 --delay 1 --endMP 204:147 --enddatetime 2016-11-10T09:10:31 --enforcementcount 0 &gt;&gt;C:\Users\stu\Documents\GitHub\eaglep3-reporting\EC\2016-11-10-refined-times.txt</v>
      </c>
      <c r="AI44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{"issue":{"subject":"","project_id":79,"tracker_id":40,"status_id":1,"priority_id":2,"assigned_to_id":23,"start_date":"2016-11-10","description":"","custom_fields":[{"id":1,"name":"Subdivision","value":"EC"},{"id":4,"name":"Milepost","value":"0.0147"},{"id":17,"name":"Train ID","value":"132-10"},{"id":16,"name":"Locomotive ID","value":"4001"},{"id":130,"name":"Impact","value":""},{"id":150,"name":"Time of Event (Mountain Time)","value":"09:10:31"},{"id":151,"name":"Denver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465</v>
      </c>
      <c r="B45" s="7">
        <v>4038</v>
      </c>
      <c r="C45" s="22" t="s">
        <v>226</v>
      </c>
      <c r="D45" s="22" t="s">
        <v>354</v>
      </c>
      <c r="E45" s="13">
        <v>42684.319456018522</v>
      </c>
      <c r="F45" s="13">
        <v>42684.323263888888</v>
      </c>
      <c r="G45" s="7">
        <v>1</v>
      </c>
      <c r="H45" s="22" t="s">
        <v>244</v>
      </c>
      <c r="I45" s="13">
        <v>42684.364999999998</v>
      </c>
      <c r="J45" s="7">
        <v>0</v>
      </c>
      <c r="K45" s="109" t="str">
        <f t="shared" si="0"/>
        <v>4037/4038</v>
      </c>
      <c r="L45" s="22" t="str">
        <f>VLOOKUP(A45,'Trips&amp;Operators'!$C$1:$E$10000,3,FALSE)</f>
        <v>ISHMAEL</v>
      </c>
      <c r="M45" s="6">
        <f t="shared" si="1"/>
        <v>4.1736111110367347E-2</v>
      </c>
      <c r="N45" s="7">
        <f t="shared" si="21"/>
        <v>60.099999998928979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06:40:01-700',mode:absolute,to:'2016-11-10 09:45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5" s="52" t="str">
        <f t="shared" si="6"/>
        <v>N</v>
      </c>
      <c r="X45" s="178">
        <f t="shared" ref="X45:X78" si="24">VALUE(LEFT(AD45,4))-VALUE(LEFT(AD44,4))</f>
        <v>1</v>
      </c>
      <c r="Y45" s="67">
        <f t="shared" si="22"/>
        <v>4.7100000000000003E-2</v>
      </c>
      <c r="Z45" s="67">
        <f t="shared" si="23"/>
        <v>23.331199999999999</v>
      </c>
      <c r="AA45" s="67">
        <f t="shared" si="10"/>
        <v>23.284099999999999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0133-10</v>
      </c>
      <c r="AE45" s="91" t="str">
        <f t="shared" si="12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45" s="88" t="str">
        <f t="shared" si="13"/>
        <v>"C:\Program Files (x86)\AstroGrep\AstroGrep.exe" /spath="%USERPROFILE%\AppData\Local\Temp\OnboardLogs" /stypes="app*4038*20161110*"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133-10 --locoid 4038 --swversion DE.1.0.8.0 --startMP 204:471 --initTime 2016-11-10T07:40:01 --startdatetime 2016-11-10T07:45:30 --delay 1 --endMP 204:233312 --enddatetime 2016-11-10T08:45:36 --enforcementcount 0 &gt;&gt;C:\Users\stu\Documents\GitHub\eaglep3-reporting\EC\2016-11-10-refined-times.txt</v>
      </c>
      <c r="AI45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{"issue":{"subject":"","project_id":79,"tracker_id":40,"status_id":1,"priority_id":2,"assigned_to_id":23,"start_date":"2016-11-10","description":"","custom_fields":[{"id":1,"name":"Subdivision","value":"EC"},{"id":4,"name":"Milepost","value":"23.3312"},{"id":17,"name":"Train ID","value":"133-10"},{"id":16,"name":"Locomotive ID","value":"4038"},{"id":130,"name":"Impact","value":""},{"id":150,"name":"Time of Event (Mountain Time)","value":"08:45:36"},{"id":151,"name":"Denver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477</v>
      </c>
      <c r="B46" s="7">
        <v>4037</v>
      </c>
      <c r="C46" s="22" t="s">
        <v>226</v>
      </c>
      <c r="D46" s="22" t="s">
        <v>243</v>
      </c>
      <c r="E46" s="13">
        <v>42684.366736111115</v>
      </c>
      <c r="F46" s="13">
        <v>42684.36818287037</v>
      </c>
      <c r="G46" s="7">
        <v>1</v>
      </c>
      <c r="H46" s="22" t="s">
        <v>175</v>
      </c>
      <c r="I46" s="13">
        <v>42684.397962962961</v>
      </c>
      <c r="J46" s="7">
        <v>0</v>
      </c>
      <c r="K46" s="109" t="str">
        <f t="shared" si="0"/>
        <v>4037/4038</v>
      </c>
      <c r="L46" s="22" t="str">
        <f>VLOOKUP(A46,'Trips&amp;Operators'!$C$1:$E$10000,3,FALSE)</f>
        <v>ISHMAEL</v>
      </c>
      <c r="M46" s="6">
        <f t="shared" si="1"/>
        <v>2.9780092590954155E-2</v>
      </c>
      <c r="N46" s="7">
        <f t="shared" si="21"/>
        <v>42.883333330973983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07:48:06-700',mode:absolute,to:'2016-11-10 10:33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6" s="52" t="str">
        <f t="shared" si="6"/>
        <v>N</v>
      </c>
      <c r="X46" s="178">
        <f t="shared" si="24"/>
        <v>1</v>
      </c>
      <c r="Y46" s="67">
        <f t="shared" si="22"/>
        <v>23.298200000000001</v>
      </c>
      <c r="Z46" s="67">
        <f t="shared" si="23"/>
        <v>1.47E-2</v>
      </c>
      <c r="AA46" s="67">
        <f t="shared" si="10"/>
        <v>23.2835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0134-10</v>
      </c>
      <c r="AE46" s="91" t="str">
        <f t="shared" si="12"/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46" s="88" t="str">
        <f t="shared" si="13"/>
        <v>"C:\Program Files (x86)\AstroGrep\AstroGrep.exe" /spath="%USERPROFILE%\AppData\Local\Temp\OnboardLogs" /stypes="app*4037*20161110*"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134-10 --locoid 4037 --swversion DE.1.0.8.0 --startMP 204:232982 --initTime 2016-11-10T08:48:06 --startdatetime 2016-11-10T08:50:11 --delay 1 --endMP 204:147 --enddatetime 2016-11-10T09:33:04 --enforcementcount 0 &gt;&gt;C:\Users\stu\Documents\GitHub\eaglep3-reporting\EC\2016-11-10-refined-times.txt</v>
      </c>
      <c r="AI46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{"issue":{"subject":"","project_id":79,"tracker_id":40,"status_id":1,"priority_id":2,"assigned_to_id":23,"start_date":"2016-11-10","description":"","custom_fields":[{"id":1,"name":"Subdivision","value":"EC"},{"id":4,"name":"Milepost","value":"0.0147"},{"id":17,"name":"Train ID","value":"134-10"},{"id":16,"name":"Locomotive ID","value":"4037"},{"id":130,"name":"Impact","value":""},{"id":150,"name":"Time of Event (Mountain Time)","value":"09:33:04"},{"id":151,"name":"Denver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466</v>
      </c>
      <c r="B47" s="7">
        <v>4053</v>
      </c>
      <c r="C47" s="22" t="s">
        <v>226</v>
      </c>
      <c r="D47" s="22" t="s">
        <v>205</v>
      </c>
      <c r="E47" s="13">
        <v>42684.323842592596</v>
      </c>
      <c r="F47" s="13">
        <v>42684.338043981479</v>
      </c>
      <c r="G47" s="7">
        <v>1</v>
      </c>
      <c r="H47" s="22" t="s">
        <v>358</v>
      </c>
      <c r="I47" s="13">
        <v>42684.367291666669</v>
      </c>
      <c r="J47" s="7">
        <v>0</v>
      </c>
      <c r="K47" s="109" t="str">
        <f t="shared" si="0"/>
        <v>4053/4054</v>
      </c>
      <c r="L47" s="22" t="str">
        <f>VLOOKUP(A47,'Trips&amp;Operators'!$C$1:$E$10000,3,FALSE)</f>
        <v>GRASTON</v>
      </c>
      <c r="M47" s="6">
        <f t="shared" si="1"/>
        <v>2.9247685190057382E-2</v>
      </c>
      <c r="N47" s="7">
        <f t="shared" si="21"/>
        <v>42.11666667368263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06:46:20-700',mode:absolute,to:'2016-11-10 09:48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7" s="52" t="str">
        <f t="shared" si="6"/>
        <v>N</v>
      </c>
      <c r="X47" s="178">
        <f t="shared" si="24"/>
        <v>1</v>
      </c>
      <c r="Y47" s="67">
        <f t="shared" si="22"/>
        <v>4.5100000000000001E-2</v>
      </c>
      <c r="Z47" s="67">
        <f t="shared" si="23"/>
        <v>23.328700000000001</v>
      </c>
      <c r="AA47" s="67">
        <f t="shared" si="10"/>
        <v>23.2836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0135-10</v>
      </c>
      <c r="AE47" s="91" t="str">
        <f t="shared" si="12"/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47" s="88" t="str">
        <f t="shared" si="13"/>
        <v>"C:\Program Files (x86)\AstroGrep\AstroGrep.exe" /spath="%USERPROFILE%\AppData\Local\Temp\OnboardLogs" /stypes="app*4053*20161110*"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135-10 --locoid 4053 --swversion DE.1.0.8.0 --startMP 204:451 --initTime 2016-11-10T07:46:20 --startdatetime 2016-11-10T08:06:47 --delay 1 --endMP 204:233287 --enddatetime 2016-11-10T08:48:54 --enforcementcount 0 &gt;&gt;C:\Users\stu\Documents\GitHub\eaglep3-reporting\EC\2016-11-10-refined-times.txt</v>
      </c>
      <c r="AI47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{"issue":{"subject":"","project_id":79,"tracker_id":40,"status_id":1,"priority_id":2,"assigned_to_id":23,"start_date":"2016-11-10","description":"","custom_fields":[{"id":1,"name":"Subdivision","value":"EC"},{"id":4,"name":"Milepost","value":"23.3287"},{"id":17,"name":"Train ID","value":"135-10"},{"id":16,"name":"Locomotive ID","value":"4053"},{"id":130,"name":"Impact","value":""},{"id":150,"name":"Time of Event (Mountain Time)","value":"08:48:54"},{"id":151,"name":"Denver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479</v>
      </c>
      <c r="B48" s="7">
        <v>4054</v>
      </c>
      <c r="C48" s="22" t="s">
        <v>226</v>
      </c>
      <c r="D48" s="22" t="s">
        <v>303</v>
      </c>
      <c r="E48" s="13">
        <v>42684.369317129633</v>
      </c>
      <c r="F48" s="13">
        <v>42684.372442129628</v>
      </c>
      <c r="G48" s="7">
        <v>1</v>
      </c>
      <c r="H48" s="22" t="s">
        <v>223</v>
      </c>
      <c r="I48" s="13">
        <v>42684.40519675926</v>
      </c>
      <c r="J48" s="7">
        <v>0</v>
      </c>
      <c r="K48" s="109" t="str">
        <f t="shared" si="0"/>
        <v>4053/4054</v>
      </c>
      <c r="L48" s="22" t="str">
        <f>VLOOKUP(A48,'Trips&amp;Operators'!$C$1:$E$10000,3,FALSE)</f>
        <v>GRASTON</v>
      </c>
      <c r="M48" s="6">
        <f t="shared" si="1"/>
        <v>3.2754629632108845E-2</v>
      </c>
      <c r="N48" s="7">
        <f t="shared" si="21"/>
        <v>47.166666670236737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07:51:49-700',mode:absolute,to:'2016-11-10 10:43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8" s="52" t="str">
        <f t="shared" si="6"/>
        <v>N</v>
      </c>
      <c r="X48" s="178">
        <f t="shared" si="24"/>
        <v>1</v>
      </c>
      <c r="Y48" s="67">
        <f t="shared" si="22"/>
        <v>23.298100000000002</v>
      </c>
      <c r="Z48" s="67">
        <f t="shared" si="23"/>
        <v>1.61E-2</v>
      </c>
      <c r="AA48" s="67">
        <f t="shared" si="10"/>
        <v>23.282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0136-10</v>
      </c>
      <c r="AE48" s="91" t="str">
        <f t="shared" si="12"/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48" s="88" t="str">
        <f t="shared" si="13"/>
        <v>"C:\Program Files (x86)\AstroGrep\AstroGrep.exe" /spath="%USERPROFILE%\AppData\Local\Temp\OnboardLogs" /stypes="app*4054*20161110*"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136-10 --locoid 4054 --swversion DE.1.0.8.0 --startMP 204:232981 --initTime 2016-11-10T08:51:49 --startdatetime 2016-11-10T08:56:19 --delay 1 --endMP 204:161 --enddatetime 2016-11-10T09:43:29 --enforcementcount 0 &gt;&gt;C:\Users\stu\Documents\GitHub\eaglep3-reporting\EC\2016-11-10-refined-times.txt</v>
      </c>
      <c r="AI48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{"issue":{"subject":"","project_id":79,"tracker_id":40,"status_id":1,"priority_id":2,"assigned_to_id":23,"start_date":"2016-11-10","description":"","custom_fields":[{"id":1,"name":"Subdivision","value":"EC"},{"id":4,"name":"Milepost","value":"0.0161"},{"id":17,"name":"Train ID","value":"136-10"},{"id":16,"name":"Locomotive ID","value":"4054"},{"id":130,"name":"Impact","value":""},{"id":150,"name":"Time of Event (Mountain Time)","value":"09:43:29"},{"id":151,"name":"Denver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468</v>
      </c>
      <c r="B49" s="7">
        <v>4016</v>
      </c>
      <c r="C49" s="22" t="s">
        <v>226</v>
      </c>
      <c r="D49" s="22" t="s">
        <v>267</v>
      </c>
      <c r="E49" s="13">
        <v>42684.334826388891</v>
      </c>
      <c r="F49" s="13">
        <v>42684.344629629632</v>
      </c>
      <c r="G49" s="7">
        <v>2</v>
      </c>
      <c r="H49" s="22" t="s">
        <v>349</v>
      </c>
      <c r="I49" s="13">
        <v>42684.376331018517</v>
      </c>
      <c r="J49" s="7">
        <v>0</v>
      </c>
      <c r="K49" s="109" t="str">
        <f t="shared" si="0"/>
        <v>4015/4016</v>
      </c>
      <c r="L49" s="22" t="str">
        <f>VLOOKUP(A49,'Trips&amp;Operators'!$C$1:$E$10000,3,FALSE)</f>
        <v>CUSHING</v>
      </c>
      <c r="M49" s="6">
        <f t="shared" si="1"/>
        <v>3.1701388885267079E-2</v>
      </c>
      <c r="N49" s="7">
        <f t="shared" si="21"/>
        <v>45.649999994784594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07:02:09-700',mode:absolute,to:'2016-11-10 10:01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9" s="52" t="str">
        <f t="shared" si="6"/>
        <v>N</v>
      </c>
      <c r="X49" s="178">
        <f t="shared" si="24"/>
        <v>1</v>
      </c>
      <c r="Y49" s="67">
        <f t="shared" si="22"/>
        <v>4.3999999999999997E-2</v>
      </c>
      <c r="Z49" s="67">
        <f t="shared" si="23"/>
        <v>23.330500000000001</v>
      </c>
      <c r="AA49" s="67">
        <f t="shared" si="10"/>
        <v>23.2865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0137-10</v>
      </c>
      <c r="AE49" s="91" t="str">
        <f t="shared" si="12"/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49" s="88" t="str">
        <f t="shared" si="13"/>
        <v>"C:\Program Files (x86)\AstroGrep\AstroGrep.exe" /spath="%USERPROFILE%\AppData\Local\Temp\OnboardLogs" /stypes="app*4016*20161110*" /stext=" 16:.+((SYSTEM_STATE.+slice.+state.+changed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137-10 --locoid 4016 --swversion DE.1.0.8.0 --startMP 204:440 --initTime 2016-11-10T08:02:09 --startdatetime 2016-11-10T08:16:16 --delay 2 --endMP 204:233305 --enddatetime 2016-11-10T09:01:55 --enforcementcount 0 &gt;&gt;C:\Users\stu\Documents\GitHub\eaglep3-reporting\EC\2016-11-10-refined-times.txt</v>
      </c>
      <c r="AI49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{"issue":{"subject":"","project_id":79,"tracker_id":40,"status_id":1,"priority_id":2,"assigned_to_id":23,"start_date":"2016-11-10","description":"","custom_fields":[{"id":1,"name":"Subdivision","value":"EC"},{"id":4,"name":"Milepost","value":"23.3305"},{"id":17,"name":"Train ID","value":"137-10"},{"id":16,"name":"Locomotive ID","value":"4016"},{"id":130,"name":"Impact","value":""},{"id":150,"name":"Time of Event (Mountain Time)","value":"09:01:55"},{"id":151,"name":"Denver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480</v>
      </c>
      <c r="B50" s="7">
        <v>4015</v>
      </c>
      <c r="C50" s="22" t="s">
        <v>226</v>
      </c>
      <c r="D50" s="22" t="s">
        <v>214</v>
      </c>
      <c r="E50" s="13">
        <v>42684.378576388888</v>
      </c>
      <c r="F50" s="13">
        <v>42684.383587962962</v>
      </c>
      <c r="G50" s="7">
        <v>1</v>
      </c>
      <c r="H50" s="22" t="s">
        <v>176</v>
      </c>
      <c r="I50" s="13">
        <v>42684.415509259263</v>
      </c>
      <c r="J50" s="7">
        <v>0</v>
      </c>
      <c r="K50" s="109" t="str">
        <f t="shared" si="0"/>
        <v>4015/4016</v>
      </c>
      <c r="L50" s="22" t="str">
        <f>VLOOKUP(A50,'Trips&amp;Operators'!$C$1:$E$10000,3,FALSE)</f>
        <v>CUSHING</v>
      </c>
      <c r="M50" s="6">
        <f t="shared" si="1"/>
        <v>3.1921296300424729E-2</v>
      </c>
      <c r="N50" s="7">
        <f t="shared" si="21"/>
        <v>45.966666672611609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08:05:09-700',mode:absolute,to:'2016-11-10 10:58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0" s="52" t="str">
        <f t="shared" si="6"/>
        <v>N</v>
      </c>
      <c r="X50" s="178">
        <f t="shared" si="24"/>
        <v>1</v>
      </c>
      <c r="Y50" s="67">
        <f t="shared" si="22"/>
        <v>23.297699999999999</v>
      </c>
      <c r="Z50" s="67">
        <f t="shared" si="23"/>
        <v>1.52E-2</v>
      </c>
      <c r="AA50" s="67">
        <f t="shared" si="10"/>
        <v>23.282499999999999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0138-10</v>
      </c>
      <c r="AE50" s="91" t="str">
        <f t="shared" si="12"/>
        <v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v>
      </c>
      <c r="AF50" s="88" t="str">
        <f t="shared" si="13"/>
        <v>"C:\Program Files (x86)\AstroGrep\AstroGrep.exe" /spath="%USERPROFILE%\AppData\Local\Temp\OnboardLogs" /stypes="app*4015*20161110*"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138-10 --locoid 4015 --swversion DE.1.0.8.0 --startMP 204:232977 --initTime 2016-11-10T09:05:09 --startdatetime 2016-11-10T09:12:22 --delay 1 --endMP 204:152 --enddatetime 2016-11-10T09:58:20 --enforcementcount 0 &gt;&gt;C:\Users\stu\Documents\GitHub\eaglep3-reporting\EC\2016-11-10-refined-times.txt</v>
      </c>
      <c r="AI50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ID","value":"138-10"},{"id":16,"name":"Locomotive ID","value":"4015"},{"id":130,"name":"Impact","value":""},{"id":150,"name":"Time of Event (Mountain Time)","value":"09:58:20"},{"id":151,"name":"Denver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473</v>
      </c>
      <c r="B51" s="7">
        <v>4011</v>
      </c>
      <c r="C51" s="22" t="s">
        <v>226</v>
      </c>
      <c r="D51" s="22" t="s">
        <v>219</v>
      </c>
      <c r="E51" s="13">
        <v>42684.355185185188</v>
      </c>
      <c r="F51" s="13">
        <v>42684.356724537036</v>
      </c>
      <c r="G51" s="7">
        <v>1</v>
      </c>
      <c r="H51" s="22" t="s">
        <v>345</v>
      </c>
      <c r="I51" s="13">
        <v>42684.385949074072</v>
      </c>
      <c r="J51" s="7">
        <v>0</v>
      </c>
      <c r="K51" s="109" t="str">
        <f t="shared" si="0"/>
        <v>4011/4012</v>
      </c>
      <c r="L51" s="22" t="str">
        <f>VLOOKUP(A51,'Trips&amp;Operators'!$C$1:$E$10000,3,FALSE)</f>
        <v>PERKINS</v>
      </c>
      <c r="M51" s="6">
        <f t="shared" si="1"/>
        <v>2.9224537036498077E-2</v>
      </c>
      <c r="N51" s="7">
        <f t="shared" si="21"/>
        <v>42.083333332557231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07:31:28-700',mode:absolute,to:'2016-11-10 10:15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1" s="52" t="str">
        <f t="shared" si="6"/>
        <v>N</v>
      </c>
      <c r="X51" s="178">
        <f t="shared" si="24"/>
        <v>1</v>
      </c>
      <c r="Y51" s="67">
        <f t="shared" si="22"/>
        <v>4.6199999999999998E-2</v>
      </c>
      <c r="Z51" s="67">
        <f t="shared" si="23"/>
        <v>23.330400000000001</v>
      </c>
      <c r="AA51" s="67">
        <f t="shared" si="10"/>
        <v>23.284200000000002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0139-10</v>
      </c>
      <c r="AE51" s="91" t="str">
        <f t="shared" si="12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51" s="88" t="str">
        <f t="shared" si="13"/>
        <v>"C:\Program Files (x86)\AstroGrep\AstroGrep.exe" /spath="%USERPROFILE%\AppData\Local\Temp\OnboardLogs" /stypes="app*4011*20161110*"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139-10 --locoid 4011 --swversion DE.1.0.8.0 --startMP 204:462 --initTime 2016-11-10T08:31:28 --startdatetime 2016-11-10T08:33:41 --delay 1 --endMP 204:233304 --enddatetime 2016-11-10T09:15:46 --enforcementcount 0 &gt;&gt;C:\Users\stu\Documents\GitHub\eaglep3-reporting\EC\2016-11-10-refined-times.txt</v>
      </c>
      <c r="AI51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{"issue":{"subject":"","project_id":79,"tracker_id":40,"status_id":1,"priority_id":2,"assigned_to_id":23,"start_date":"2016-11-10","description":"","custom_fields":[{"id":1,"name":"Subdivision","value":"EC"},{"id":4,"name":"Milepost","value":"23.3304"},{"id":17,"name":"Train ID","value":"139-10"},{"id":16,"name":"Locomotive ID","value":"4011"},{"id":130,"name":"Impact","value":""},{"id":150,"name":"Time of Event (Mountain Time)","value":"09:15:46"},{"id":151,"name":"Denver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483</v>
      </c>
      <c r="B52" s="7">
        <v>4012</v>
      </c>
      <c r="C52" s="22" t="s">
        <v>226</v>
      </c>
      <c r="D52" s="22" t="s">
        <v>251</v>
      </c>
      <c r="E52" s="13">
        <v>42684.391192129631</v>
      </c>
      <c r="F52" s="13">
        <v>42684.393217592595</v>
      </c>
      <c r="G52" s="7">
        <v>0</v>
      </c>
      <c r="H52" s="22" t="s">
        <v>197</v>
      </c>
      <c r="I52" s="13">
        <v>42684.421550925923</v>
      </c>
      <c r="J52" s="7">
        <v>0</v>
      </c>
      <c r="K52" s="109" t="str">
        <f t="shared" si="0"/>
        <v>4011/4012</v>
      </c>
      <c r="L52" s="22" t="str">
        <f>VLOOKUP(A52,'Trips&amp;Operators'!$C$1:$E$10000,3,FALSE)</f>
        <v>PERKINS</v>
      </c>
      <c r="M52" s="6">
        <f t="shared" si="1"/>
        <v>2.8333333328191657E-2</v>
      </c>
      <c r="N52" s="7">
        <f t="shared" si="21"/>
        <v>40.799999992595986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08:23:19-700',mode:absolute,to:'2016-11-10 11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2" s="52" t="str">
        <f t="shared" si="6"/>
        <v>N</v>
      </c>
      <c r="X52" s="178">
        <f t="shared" si="24"/>
        <v>1</v>
      </c>
      <c r="Y52" s="67">
        <f t="shared" si="22"/>
        <v>23.299099999999999</v>
      </c>
      <c r="Z52" s="67">
        <f t="shared" si="23"/>
        <v>1.4500000000000001E-2</v>
      </c>
      <c r="AA52" s="67">
        <f t="shared" si="10"/>
        <v>23.284599999999998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0140-10</v>
      </c>
      <c r="AE52" s="91" t="str">
        <f t="shared" si="12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52" s="88" t="str">
        <f t="shared" si="13"/>
        <v>"C:\Program Files (x86)\AstroGrep\AstroGrep.exe" /spath="%USERPROFILE%\AppData\Local\Temp\OnboardLogs" /stypes="app*4012*20161110*"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140-10 --locoid 4012 --swversion DE.1.0.8.0 --startMP 204:232991 --initTime 2016-11-10T09:23:19 --startdatetime 2016-11-10T09:26:14 --delay 0 --endMP 204:145 --enddatetime 2016-11-10T10:07:02 --enforcementcount 0 &gt;&gt;C:\Users\stu\Documents\GitHub\eaglep3-reporting\EC\2016-11-10-refined-times.txt</v>
      </c>
      <c r="AI52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{"issue":{"subject":"","project_id":79,"tracker_id":40,"status_id":1,"priority_id":2,"assigned_to_id":23,"start_date":"2016-11-10","description":"","custom_fields":[{"id":1,"name":"Subdivision","value":"EC"},{"id":4,"name":"Milepost","value":"0.0145"},{"id":17,"name":"Train ID","value":"140-10"},{"id":16,"name":"Locomotive ID","value":"4012"},{"id":130,"name":"Impact","value":""},{"id":150,"name":"Time of Event (Mountain Time)","value":"10:07:02"},{"id":151,"name":"Denver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475</v>
      </c>
      <c r="B53" s="7">
        <v>4025</v>
      </c>
      <c r="C53" s="22" t="s">
        <v>226</v>
      </c>
      <c r="D53" s="22" t="s">
        <v>343</v>
      </c>
      <c r="E53" s="13">
        <v>42684.362268518518</v>
      </c>
      <c r="F53" s="13">
        <v>42684.364745370367</v>
      </c>
      <c r="G53" s="7">
        <v>1</v>
      </c>
      <c r="H53" s="22" t="s">
        <v>231</v>
      </c>
      <c r="I53" s="13">
        <v>42684.397465277776</v>
      </c>
      <c r="J53" s="7">
        <v>0</v>
      </c>
      <c r="K53" s="109" t="str">
        <f t="shared" si="0"/>
        <v>4025/4026</v>
      </c>
      <c r="L53" s="22" t="str">
        <f>VLOOKUP(A53,'Trips&amp;Operators'!$C$1:$E$10000,3,FALSE)</f>
        <v>STARKS</v>
      </c>
      <c r="M53" s="6">
        <f t="shared" si="1"/>
        <v>3.2719907409045845E-2</v>
      </c>
      <c r="N53" s="7">
        <f t="shared" si="21"/>
        <v>47.116666669026017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07:41:40-700',mode:absolute,to:'2016-11-10 10:32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3" s="52" t="str">
        <f t="shared" si="6"/>
        <v>N</v>
      </c>
      <c r="X53" s="178">
        <f t="shared" si="24"/>
        <v>1</v>
      </c>
      <c r="Y53" s="67">
        <f t="shared" si="22"/>
        <v>4.7300000000000002E-2</v>
      </c>
      <c r="Z53" s="67">
        <f t="shared" si="23"/>
        <v>23.328900000000001</v>
      </c>
      <c r="AA53" s="67">
        <f t="shared" si="10"/>
        <v>23.281600000000001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0141-10</v>
      </c>
      <c r="AE53" s="91" t="str">
        <f t="shared" si="12"/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53" s="88" t="str">
        <f t="shared" si="13"/>
        <v>"C:\Program Files (x86)\AstroGrep\AstroGrep.exe" /spath="%USERPROFILE%\AppData\Local\Temp\OnboardLogs" /stypes="app*4025*20161110*"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141-10 --locoid 4025 --swversion DE.1.0.8.0 --startMP 204:473 --initTime 2016-11-10T08:41:40 --startdatetime 2016-11-10T08:45:14 --delay 1 --endMP 204:233289 --enddatetime 2016-11-10T09:32:21 --enforcementcount 0 &gt;&gt;C:\Users\stu\Documents\GitHub\eaglep3-reporting\EC\2016-11-10-refined-times.txt</v>
      </c>
      <c r="AI53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{"issue":{"subject":"","project_id":79,"tracker_id":40,"status_id":1,"priority_id":2,"assigned_to_id":23,"start_date":"2016-11-10","description":"","custom_fields":[{"id":1,"name":"Subdivision","value":"EC"},{"id":4,"name":"Milepost","value":"23.3289"},{"id":17,"name":"Train ID","value":"141-10"},{"id":16,"name":"Locomotive ID","value":"4025"},{"id":130,"name":"Impact","value":""},{"id":150,"name":"Time of Event (Mountain Time)","value":"09:32:21"},{"id":151,"name":"Denver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485</v>
      </c>
      <c r="B54" s="7">
        <v>4026</v>
      </c>
      <c r="C54" s="22" t="s">
        <v>226</v>
      </c>
      <c r="D54" s="22" t="s">
        <v>243</v>
      </c>
      <c r="E54" s="13">
        <v>42684.401550925926</v>
      </c>
      <c r="F54" s="13">
        <v>42684.403715277775</v>
      </c>
      <c r="G54" s="7">
        <v>3</v>
      </c>
      <c r="H54" s="22" t="s">
        <v>176</v>
      </c>
      <c r="I54" s="13">
        <v>42684.434386574074</v>
      </c>
      <c r="J54" s="7">
        <v>0</v>
      </c>
      <c r="K54" s="109" t="str">
        <f t="shared" si="0"/>
        <v>4025/4026</v>
      </c>
      <c r="L54" s="22" t="str">
        <f>VLOOKUP(A54,'Trips&amp;Operators'!$C$1:$E$10000,3,FALSE)</f>
        <v>STARKS</v>
      </c>
      <c r="M54" s="6">
        <f t="shared" si="1"/>
        <v>3.0671296299260575E-2</v>
      </c>
      <c r="N54" s="7">
        <f t="shared" si="21"/>
        <v>44.166666670935228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08:38:14-700',mode:absolute,to:'2016-11-10 11:25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4" s="52" t="str">
        <f t="shared" si="6"/>
        <v>N</v>
      </c>
      <c r="X54" s="178">
        <f t="shared" si="24"/>
        <v>1</v>
      </c>
      <c r="Y54" s="67">
        <f t="shared" si="22"/>
        <v>23.298200000000001</v>
      </c>
      <c r="Z54" s="67">
        <f t="shared" si="23"/>
        <v>1.52E-2</v>
      </c>
      <c r="AA54" s="67">
        <f t="shared" si="10"/>
        <v>23.283000000000001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0142-10</v>
      </c>
      <c r="AE54" s="91" t="str">
        <f t="shared" si="12"/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54" s="88" t="str">
        <f t="shared" si="13"/>
        <v>"C:\Program Files (x86)\AstroGrep\AstroGrep.exe" /spath="%USERPROFILE%\AppData\Local\Temp\OnboardLogs" /stypes="app*4026*20161110*"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142-10 --locoid 4026 --swversion DE.1.0.8.0 --startMP 204:232982 --initTime 2016-11-10T09:38:14 --startdatetime 2016-11-10T09:41:21 --delay 3 --endMP 204:152 --enddatetime 2016-11-10T10:25:31 --enforcementcount 0 &gt;&gt;C:\Users\stu\Documents\GitHub\eaglep3-reporting\EC\2016-11-10-refined-times.txt</v>
      </c>
      <c r="AI54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ID","value":"142-10"},{"id":16,"name":"Locomotive ID","value":"4026"},{"id":130,"name":"Impact","value":""},{"id":150,"name":"Time of Event (Mountain Time)","value":"10:25:31"},{"id":151,"name":"Denver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478</v>
      </c>
      <c r="B55" s="7">
        <v>4022</v>
      </c>
      <c r="C55" s="22" t="s">
        <v>226</v>
      </c>
      <c r="D55" s="22" t="s">
        <v>204</v>
      </c>
      <c r="E55" s="13">
        <v>42684.36922453704</v>
      </c>
      <c r="F55" s="13">
        <v>42684.375381944446</v>
      </c>
      <c r="G55" s="7">
        <v>1</v>
      </c>
      <c r="H55" s="22" t="s">
        <v>626</v>
      </c>
      <c r="I55" s="13">
        <v>42684.405914351853</v>
      </c>
      <c r="J55" s="7">
        <v>0</v>
      </c>
      <c r="K55" s="109" t="str">
        <f t="shared" si="0"/>
        <v>4021/4022</v>
      </c>
      <c r="L55" s="22" t="str">
        <f>VLOOKUP(A55,'Trips&amp;Operators'!$C$1:$E$10000,3,FALSE)</f>
        <v>MAELZER</v>
      </c>
      <c r="M55" s="6">
        <f t="shared" si="1"/>
        <v>3.0532407407008577E-2</v>
      </c>
      <c r="N55" s="7">
        <f t="shared" si="21"/>
        <v>43.966666666092351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07:51:41-700',mode:absolute,to:'2016-11-10 10:44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5" s="52" t="str">
        <f t="shared" si="6"/>
        <v>N</v>
      </c>
      <c r="X55" s="178">
        <f t="shared" si="24"/>
        <v>1</v>
      </c>
      <c r="Y55" s="67">
        <f t="shared" si="22"/>
        <v>4.5999999999999999E-2</v>
      </c>
      <c r="Z55" s="67">
        <f t="shared" si="23"/>
        <v>23.33</v>
      </c>
      <c r="AA55" s="67">
        <f t="shared" si="10"/>
        <v>23.283999999999999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0143-10</v>
      </c>
      <c r="AE55" s="91" t="str">
        <f t="shared" si="12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55" s="88" t="str">
        <f t="shared" si="13"/>
        <v>"C:\Program Files (x86)\AstroGrep\AstroGrep.exe" /spath="%USERPROFILE%\AppData\Local\Temp\OnboardLogs" /stypes="app*4022*20161110*"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143-10 --locoid 4022 --swversion DE.1.0.8.0 --startMP 204:460 --initTime 2016-11-10T08:51:41 --startdatetime 2016-11-10T09:00:33 --delay 1 --endMP 204:233300 --enddatetime 2016-11-10T09:44:31 --enforcementcount 0 &gt;&gt;C:\Users\stu\Documents\GitHub\eaglep3-reporting\EC\2016-11-10-refined-times.txt</v>
      </c>
      <c r="AI55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{"issue":{"subject":"","project_id":79,"tracker_id":40,"status_id":1,"priority_id":2,"assigned_to_id":23,"start_date":"2016-11-10","description":"","custom_fields":[{"id":1,"name":"Subdivision","value":"EC"},{"id":4,"name":"Milepost","value":"23.33"},{"id":17,"name":"Train ID","value":"143-10"},{"id":16,"name":"Locomotive ID","value":"4022"},{"id":130,"name":"Impact","value":""},{"id":150,"name":"Time of Event (Mountain Time)","value":"09:44:31"},{"id":151,"name":"Denver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397</v>
      </c>
      <c r="B56" s="7">
        <v>4021</v>
      </c>
      <c r="C56" s="22" t="s">
        <v>226</v>
      </c>
      <c r="D56" s="22" t="s">
        <v>357</v>
      </c>
      <c r="E56" s="13">
        <v>42684.410069444442</v>
      </c>
      <c r="F56" s="13">
        <v>42684.414201388892</v>
      </c>
      <c r="G56" s="7">
        <v>1</v>
      </c>
      <c r="H56" s="22" t="s">
        <v>199</v>
      </c>
      <c r="I56" s="13">
        <v>42684.443043981482</v>
      </c>
      <c r="J56" s="7">
        <v>0</v>
      </c>
      <c r="K56" s="109" t="str">
        <f t="shared" si="0"/>
        <v>4021/4022</v>
      </c>
      <c r="L56" s="22" t="str">
        <f>VLOOKUP(A56,'Trips&amp;Operators'!$C$1:$E$10000,3,FALSE)</f>
        <v>MAELZER</v>
      </c>
      <c r="M56" s="6">
        <f t="shared" si="1"/>
        <v>2.884259259008104E-2</v>
      </c>
      <c r="N56" s="7">
        <f t="shared" si="21"/>
        <v>41.533333329716697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08:50:30-700',mode:absolute,to:'2016-11-10 11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6" s="52" t="str">
        <f t="shared" si="6"/>
        <v>N</v>
      </c>
      <c r="X56" s="178">
        <f t="shared" si="24"/>
        <v>1</v>
      </c>
      <c r="Y56" s="67">
        <f t="shared" si="22"/>
        <v>23.299600000000002</v>
      </c>
      <c r="Z56" s="67">
        <f t="shared" si="23"/>
        <v>1.43E-2</v>
      </c>
      <c r="AA56" s="67">
        <f t="shared" si="10"/>
        <v>23.285300000000003</v>
      </c>
      <c r="AB56" s="64" t="str">
        <f>VLOOKUP(A56,Enforcements!$C$7:$K$20,8,0)</f>
        <v>Bulletin (2)</v>
      </c>
      <c r="AC56" s="60" t="str">
        <f>VLOOKUP(A56,Enforcements!$C$7:$E$20,3,0)</f>
        <v>GRADE CROSSING</v>
      </c>
      <c r="AD56" s="61" t="str">
        <f t="shared" si="11"/>
        <v>0144-10</v>
      </c>
      <c r="AE56" s="91" t="str">
        <f t="shared" si="12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56" s="88" t="str">
        <f t="shared" si="13"/>
        <v>"C:\Program Files (x86)\AstroGrep\AstroGrep.exe" /spath="%USERPROFILE%\AppData\Local\Temp\OnboardLogs" /stypes="app*4021*20161110*"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144-10 --locoid 4021 --swversion DE.1.0.8.0 --startMP 204:232996 --initTime 2016-11-10T09:50:30 --startdatetime 2016-11-10T09:56:27 --delay 1 --endMP 204:143 --enddatetime 2016-11-10T10:37:59 --enforcementcount 0 &gt;&gt;C:\Users\stu\Documents\GitHub\eaglep3-reporting\EC\2016-11-10-refined-times.txt</v>
      </c>
      <c r="AI56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{"issue":{"subject":"","project_id":79,"tracker_id":40,"status_id":1,"priority_id":2,"assigned_to_id":23,"start_date":"2016-11-10","description":"","custom_fields":[{"id":1,"name":"Subdivision","value":"EC"},{"id":4,"name":"Milepost","value":"0.0143"},{"id":17,"name":"Train ID","value":"144-10"},{"id":16,"name":"Locomotive ID","value":"4021"},{"id":130,"name":"Impact","value":""},{"id":150,"name":"Time of Event (Mountain Time)","value":"10:37:59"},{"id":151,"name":"Denver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394</v>
      </c>
      <c r="B57" s="7">
        <v>4007</v>
      </c>
      <c r="C57" s="22" t="s">
        <v>226</v>
      </c>
      <c r="D57" s="22" t="s">
        <v>627</v>
      </c>
      <c r="E57" s="13">
        <v>42684.380810185183</v>
      </c>
      <c r="F57" s="13">
        <v>42684.385601851849</v>
      </c>
      <c r="G57" s="7">
        <v>3</v>
      </c>
      <c r="H57" s="22" t="s">
        <v>349</v>
      </c>
      <c r="I57" s="13">
        <v>42684.417962962965</v>
      </c>
      <c r="J57" s="7">
        <v>0</v>
      </c>
      <c r="K57" s="109" t="str">
        <f t="shared" si="0"/>
        <v>4007/4008</v>
      </c>
      <c r="L57" s="22" t="str">
        <f>VLOOKUP(A57,'Trips&amp;Operators'!$C$1:$E$10000,3,FALSE)</f>
        <v>RICHARDSON</v>
      </c>
      <c r="M57" s="6">
        <f t="shared" si="1"/>
        <v>3.2361111116188113E-2</v>
      </c>
      <c r="N57" s="7">
        <f t="shared" si="21"/>
        <v>46.600000007310882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08:08:22-700',mode:absolute,to:'2016-11-10 11:01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7" s="52" t="str">
        <f t="shared" si="6"/>
        <v>N</v>
      </c>
      <c r="X57" s="178">
        <f t="shared" si="24"/>
        <v>1</v>
      </c>
      <c r="Y57" s="67">
        <f t="shared" si="22"/>
        <v>4.7500000000000001E-2</v>
      </c>
      <c r="Z57" s="67">
        <f t="shared" si="23"/>
        <v>23.330500000000001</v>
      </c>
      <c r="AA57" s="67">
        <f t="shared" si="10"/>
        <v>23.283000000000001</v>
      </c>
      <c r="AB57" s="64" t="str">
        <f>VLOOKUP(A57,Enforcements!$C$7:$K$20,8,0)</f>
        <v>Speed (6)</v>
      </c>
      <c r="AC57" s="60" t="str">
        <f>VLOOKUP(A57,Enforcements!$C$7:$E$20,3,0)</f>
        <v>PERMANENT SPEED RESTRICTION</v>
      </c>
      <c r="AD57" s="61" t="str">
        <f t="shared" si="11"/>
        <v>0145-10</v>
      </c>
      <c r="AE57" s="91" t="str">
        <f t="shared" si="12"/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57" s="88" t="str">
        <f t="shared" si="13"/>
        <v>"C:\Program Files (x86)\AstroGrep\AstroGrep.exe" /spath="%USERPROFILE%\AppData\Local\Temp\OnboardLogs" /stypes="app*4007*20161110*" /stext=" 17:.+((SYSTEM_STATE.+slice.+state.+changed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145-10 --locoid 4007 --swversion DE.1.0.8.0 --startMP 204:475 --initTime 2016-11-10T09:08:22 --startdatetime 2016-11-10T09:15:16 --delay 3 --endMP 204:233305 --enddatetime 2016-11-10T10:01:52 --enforcementcount 0 &gt;&gt;C:\Users\stu\Documents\GitHub\eaglep3-reporting\EC\2016-11-10-refined-times.txt</v>
      </c>
      <c r="AI57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{"issue":{"subject":"","project_id":79,"tracker_id":40,"status_id":1,"priority_id":2,"assigned_to_id":23,"start_date":"2016-11-10","description":"","custom_fields":[{"id":1,"name":"Subdivision","value":"EC"},{"id":4,"name":"Milepost","value":"23.3305"},{"id":17,"name":"Train ID","value":"145-10"},{"id":16,"name":"Locomotive ID","value":"4007"},{"id":130,"name":"Impact","value":""},{"id":150,"name":"Time of Event (Mountain Time)","value":"10:01:52"},{"id":151,"name":"Denver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487</v>
      </c>
      <c r="B58" s="7">
        <v>4008</v>
      </c>
      <c r="C58" s="22" t="s">
        <v>226</v>
      </c>
      <c r="D58" s="22" t="s">
        <v>281</v>
      </c>
      <c r="E58" s="13">
        <v>42684.420358796298</v>
      </c>
      <c r="F58" s="13">
        <v>42684.424479166664</v>
      </c>
      <c r="G58" s="7">
        <v>2</v>
      </c>
      <c r="H58" s="22" t="s">
        <v>175</v>
      </c>
      <c r="I58" s="13">
        <v>42684.455347222225</v>
      </c>
      <c r="J58" s="7">
        <v>0</v>
      </c>
      <c r="K58" s="109" t="str">
        <f t="shared" si="0"/>
        <v>4007/4008</v>
      </c>
      <c r="L58" s="22" t="str">
        <f>VLOOKUP(A58,'Trips&amp;Operators'!$C$1:$E$10000,3,FALSE)</f>
        <v>RICHARDSON</v>
      </c>
      <c r="M58" s="6">
        <f t="shared" si="1"/>
        <v>3.086805556085892E-2</v>
      </c>
      <c r="N58" s="7">
        <f t="shared" si="21"/>
        <v>44.450000007636845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09:05:19-700',mode:absolute,to:'2016-11-10 11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8" s="52" t="str">
        <f t="shared" si="6"/>
        <v>N</v>
      </c>
      <c r="X58" s="178">
        <f t="shared" si="24"/>
        <v>1</v>
      </c>
      <c r="Y58" s="67">
        <f t="shared" si="22"/>
        <v>23.297799999999999</v>
      </c>
      <c r="Z58" s="67">
        <f t="shared" si="23"/>
        <v>1.47E-2</v>
      </c>
      <c r="AA58" s="67">
        <f t="shared" si="10"/>
        <v>23.283099999999997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0146-10</v>
      </c>
      <c r="AE58" s="91" t="str">
        <f t="shared" si="12"/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58" s="88" t="str">
        <f t="shared" si="13"/>
        <v>"C:\Program Files (x86)\AstroGrep\AstroGrep.exe" /spath="%USERPROFILE%\AppData\Local\Temp\OnboardLogs" /stypes="app*4008*20161110*"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146-10 --locoid 4008 --swversion DE.1.0.8.0 --startMP 204:232978 --initTime 2016-11-10T10:05:19 --startdatetime 2016-11-10T10:11:15 --delay 2 --endMP 204:147 --enddatetime 2016-11-10T10:55:42 --enforcementcount 0 &gt;&gt;C:\Users\stu\Documents\GitHub\eaglep3-reporting\EC\2016-11-10-refined-times.txt</v>
      </c>
      <c r="AI58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{"issue":{"subject":"","project_id":79,"tracker_id":40,"status_id":1,"priority_id":2,"assigned_to_id":23,"start_date":"2016-11-10","description":"","custom_fields":[{"id":1,"name":"Subdivision","value":"EC"},{"id":4,"name":"Milepost","value":"0.0147"},{"id":17,"name":"Train ID","value":"146-10"},{"id":16,"name":"Locomotive ID","value":"4008"},{"id":130,"name":"Impact","value":""},{"id":150,"name":"Time of Event (Mountain Time)","value":"10:55:42"},{"id":151,"name":"Denver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476</v>
      </c>
      <c r="B59" s="7">
        <v>4002</v>
      </c>
      <c r="C59" s="22" t="s">
        <v>226</v>
      </c>
      <c r="D59" s="22" t="s">
        <v>628</v>
      </c>
      <c r="E59" s="13">
        <v>42684.409583333334</v>
      </c>
      <c r="F59" s="13">
        <v>42684.410474537035</v>
      </c>
      <c r="G59" s="7">
        <v>1</v>
      </c>
      <c r="H59" s="22" t="s">
        <v>282</v>
      </c>
      <c r="I59" s="13">
        <v>42684.429965277777</v>
      </c>
      <c r="J59" s="7">
        <v>0</v>
      </c>
      <c r="K59" s="109" t="str">
        <f t="shared" si="0"/>
        <v>4001/4002</v>
      </c>
      <c r="L59" s="22" t="str">
        <f>VLOOKUP(A59,'Trips&amp;Operators'!$C$1:$E$10000,3,FALSE)</f>
        <v>ISHMAEL</v>
      </c>
      <c r="M59" s="6">
        <f t="shared" si="1"/>
        <v>1.9490740742185153E-2</v>
      </c>
      <c r="N59" s="7"/>
      <c r="O59" s="7"/>
      <c r="P59" s="7">
        <f>24*60*SUM($M59:$M60)</f>
        <v>43.516666676150635</v>
      </c>
      <c r="Q59" s="23"/>
      <c r="R59" s="23" t="s">
        <v>819</v>
      </c>
      <c r="S59" s="35">
        <f>SUM(U59:U60)/IF(AG59="EC",12,1)</f>
        <v>0.75</v>
      </c>
      <c r="T59" s="50" t="str">
        <f t="shared" si="4"/>
        <v>NorthBound</v>
      </c>
      <c r="U59" s="17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9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08:49:48-700',mode:absolute,to:'2016-11-10 11:19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9" s="52" t="str">
        <f t="shared" si="6"/>
        <v>Y</v>
      </c>
      <c r="X59" s="178">
        <f t="shared" si="24"/>
        <v>1</v>
      </c>
      <c r="Y59" s="67">
        <f t="shared" si="22"/>
        <v>3.7197</v>
      </c>
      <c r="Z59" s="67">
        <f t="shared" si="23"/>
        <v>23.331900000000001</v>
      </c>
      <c r="AA59" s="67">
        <f t="shared" si="10"/>
        <v>19.612200000000001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0147-10</v>
      </c>
      <c r="AE59" s="91" t="str">
        <f t="shared" si="12"/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59" s="88" t="str">
        <f t="shared" si="13"/>
        <v>"C:\Program Files (x86)\AstroGrep\AstroGrep.exe" /spath="%USERPROFILE%\AppData\Local\Temp\OnboardLogs" /stypes="app*4002*20161110*"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147-10 --locoid 4002 --swversion DE.1.0.8.0 --startMP 204:37197 --initTime 2016-11-10T09:49:48 --startdatetime 2016-11-10T09:51:05 --delay 1 --endMP 204:233319 --enddatetime 2016-11-10T10:19:09 --enforcementcount 0 &gt;&gt;C:\Users\stu\Documents\GitHub\eaglep3-reporting\EC\2016-11-10-refined-times.txt</v>
      </c>
      <c r="AI59" s="119" t="str">
        <f t="shared" si="18"/>
        <v>echo {"issue":{"subject":"York/Clayton/Steele/Dahlia XING disable affected various MLs (EC0437RH, EC0386RH, EC0286RH, EC0206RH)","project_id":79,"tracker_id":40,"status_id":1,"priority_id":2,"assigned_to_id":23,"start_date":"2016-11-10","description":"EC0206RH 15-1T 1N stuck at STOP &amp; PROCEED from at least 09:30 (likely earlier) until roughly 12:30 (possibly later). I have a report from DTO saying that this is related to CROSSINGS YORK, CLAYTON, STEELE AND DAHLIA BEING OUT OF SERVICE. Anything line up after looking at the logs?","custom_fields":[{"id":1,"name":"Subdivision","value":"EC"},{"id":4,"name":"Milepost","value":"23.3319"},{"id":17,"name":"Train ID","value":"147-10"},{"id":16,"name":"Locomotive ID","value":"4002"},{"id":130,"name":"Impact","value":"Unexpected Cut-Out or Disengaged"},{"id":150,"name":"Time of Event (Mountain Time)","value":"10:19:09"},{"id":151,"name":"Denver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59" s="185" t="s">
        <v>806</v>
      </c>
      <c r="AK59" s="53" t="s">
        <v>131</v>
      </c>
      <c r="AL59" s="53" t="s">
        <v>130</v>
      </c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29" customFormat="1" x14ac:dyDescent="0.25">
      <c r="A60" s="37" t="s">
        <v>476</v>
      </c>
      <c r="B60" s="7">
        <v>4002</v>
      </c>
      <c r="C60" s="22" t="s">
        <v>226</v>
      </c>
      <c r="D60" s="22" t="s">
        <v>353</v>
      </c>
      <c r="E60" s="13">
        <v>42684.38753472222</v>
      </c>
      <c r="F60" s="13">
        <v>42684.390115740738</v>
      </c>
      <c r="G60" s="7">
        <v>3</v>
      </c>
      <c r="H60" s="22" t="s">
        <v>629</v>
      </c>
      <c r="I60" s="13">
        <v>42684.40084490741</v>
      </c>
      <c r="J60" s="7">
        <v>0</v>
      </c>
      <c r="K60" s="109" t="str">
        <f t="shared" si="0"/>
        <v>4001/4002</v>
      </c>
      <c r="L60" s="22" t="str">
        <f>VLOOKUP(A60,'Trips&amp;Operators'!$C$1:$E$10000,3,FALSE)</f>
        <v>ISHMAEL</v>
      </c>
      <c r="M60" s="6">
        <f t="shared" si="1"/>
        <v>1.0729166671808343E-2</v>
      </c>
      <c r="N60" s="7"/>
      <c r="O60" s="7"/>
      <c r="P60" s="7"/>
      <c r="Q60" s="23"/>
      <c r="R60" s="23"/>
      <c r="S60" s="35"/>
      <c r="T60" s="50" t="str">
        <f t="shared" si="4"/>
        <v>NorthBound</v>
      </c>
      <c r="U60" s="17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08:18:03-700',mode:absolute,to:'2016-11-10 10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0" s="52" t="str">
        <f t="shared" si="6"/>
        <v>Y</v>
      </c>
      <c r="X60" s="178">
        <f t="shared" si="24"/>
        <v>0</v>
      </c>
      <c r="Y60" s="67">
        <f t="shared" si="22"/>
        <v>4.4200000000000003E-2</v>
      </c>
      <c r="Z60" s="67">
        <f t="shared" si="23"/>
        <v>1.9877</v>
      </c>
      <c r="AA60" s="67">
        <f t="shared" si="10"/>
        <v>1.9435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0147-10</v>
      </c>
      <c r="AE60" s="91" t="str">
        <f t="shared" si="12"/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60" s="88" t="str">
        <f t="shared" si="13"/>
        <v>"C:\Program Files (x86)\AstroGrep\AstroGrep.exe" /spath="%USERPROFILE%\AppData\Local\Temp\OnboardLogs" /stypes="app*4002*20161110*"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147-10 --locoid 4002 --swversion DE.1.0.8.0 --startMP 204:442 --initTime 2016-11-10T09:18:03 --startdatetime 2016-11-10T09:21:46 --delay 3 --endMP 204:19877 --enddatetime 2016-11-10T09:37:13 --enforcementcount 0 &gt;&gt;C:\Users\stu\Documents\GitHub\eaglep3-reporting\EC\2016-11-10-refined-times.txt</v>
      </c>
      <c r="AI60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{"issue":{"subject":"","project_id":79,"tracker_id":40,"status_id":1,"priority_id":2,"assigned_to_id":23,"start_date":"2016-11-10","description":"","custom_fields":[{"id":1,"name":"Subdivision","value":"EC"},{"id":4,"name":"Milepost","value":"1.9877"},{"id":17,"name":"Train ID","value":"147-10"},{"id":16,"name":"Locomotive ID","value":"4002"},{"id":130,"name":"Impact","value":""},{"id":150,"name":"Time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489</v>
      </c>
      <c r="B61" s="7">
        <v>4001</v>
      </c>
      <c r="C61" s="22" t="s">
        <v>226</v>
      </c>
      <c r="D61" s="22" t="s">
        <v>630</v>
      </c>
      <c r="E61" s="13">
        <v>42684.434999999998</v>
      </c>
      <c r="F61" s="13">
        <v>42684.436909722222</v>
      </c>
      <c r="G61" s="7">
        <v>1</v>
      </c>
      <c r="H61" s="22" t="s">
        <v>306</v>
      </c>
      <c r="I61" s="13">
        <v>42684.467083333337</v>
      </c>
      <c r="J61" s="7">
        <v>0</v>
      </c>
      <c r="K61" s="109" t="str">
        <f t="shared" si="0"/>
        <v>4001/4002</v>
      </c>
      <c r="L61" s="22" t="str">
        <f>VLOOKUP(A61,'Trips&amp;Operators'!$C$1:$E$10000,3,FALSE)</f>
        <v>SPECTOR</v>
      </c>
      <c r="M61" s="6">
        <f t="shared" si="1"/>
        <v>3.0173611114150845E-2</v>
      </c>
      <c r="N61" s="7">
        <f>24*60*SUM($M61:$M61)</f>
        <v>43.450000004377216</v>
      </c>
      <c r="O61" s="7"/>
      <c r="P61" s="7"/>
      <c r="Q61" s="23"/>
      <c r="R61" s="23"/>
      <c r="S61" s="35">
        <f>SUM(U61:U61)/IF(AG61="EC",12,1)</f>
        <v>1</v>
      </c>
      <c r="T61" s="50" t="str">
        <f t="shared" si="4"/>
        <v>Southbound</v>
      </c>
      <c r="U61" s="17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09:26:24-700',mode:absolute,to:'2016-11-10 12:12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1" s="52" t="str">
        <f t="shared" si="6"/>
        <v>N</v>
      </c>
      <c r="X61" s="178">
        <f t="shared" si="24"/>
        <v>1</v>
      </c>
      <c r="Y61" s="67">
        <f t="shared" si="22"/>
        <v>23.3</v>
      </c>
      <c r="Z61" s="67">
        <f t="shared" si="23"/>
        <v>1.7399999999999999E-2</v>
      </c>
      <c r="AA61" s="67">
        <f t="shared" si="10"/>
        <v>23.282600000000002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0148-10</v>
      </c>
      <c r="AE61" s="91" t="str">
        <f t="shared" si="12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61" s="88" t="str">
        <f t="shared" si="13"/>
        <v>"C:\Program Files (x86)\AstroGrep\AstroGrep.exe" /spath="%USERPROFILE%\AppData\Local\Temp\OnboardLogs" /stypes="app*4001*20161110*" /stext=" 18:.+((SYSTEM_STATE.+slice.+state.+changed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148-10 --locoid 4001 --swversion DE.1.0.8.0 --startMP 204:233000 --initTime 2016-11-10T10:26:24 --startdatetime 2016-11-10T10:29:09 --delay 1 --endMP 204:174 --enddatetime 2016-11-10T11:12:36 --enforcementcount 0 &gt;&gt;C:\Users\stu\Documents\GitHub\eaglep3-reporting\EC\2016-11-10-refined-times.txt</v>
      </c>
      <c r="AI61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{"issue":{"subject":"","project_id":79,"tracker_id":40,"status_id":1,"priority_id":2,"assigned_to_id":23,"start_date":"2016-11-10","description":"","custom_fields":[{"id":1,"name":"Subdivision","value":"EC"},{"id":4,"name":"Milepost","value":"0.0174"},{"id":17,"name":"Train ID","value":"148-10"},{"id":16,"name":"Locomotive ID","value":"4001"},{"id":130,"name":"Impact","value":""},{"id":150,"name":"Time of Event (Mountain Time)","value":"11:12:36"},{"id":151,"name":"Denver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486</v>
      </c>
      <c r="B62" s="7">
        <v>4038</v>
      </c>
      <c r="C62" s="22" t="s">
        <v>226</v>
      </c>
      <c r="D62" s="22" t="s">
        <v>631</v>
      </c>
      <c r="E62" s="13">
        <v>42684.417488425926</v>
      </c>
      <c r="F62" s="13">
        <v>42684.418414351851</v>
      </c>
      <c r="G62" s="7">
        <v>1</v>
      </c>
      <c r="H62" s="22" t="s">
        <v>305</v>
      </c>
      <c r="I62" s="13">
        <v>42684.438090277778</v>
      </c>
      <c r="J62" s="7">
        <v>0</v>
      </c>
      <c r="K62" s="109" t="str">
        <f t="shared" si="0"/>
        <v>4037/4038</v>
      </c>
      <c r="L62" s="22" t="str">
        <f>VLOOKUP(A62,'Trips&amp;Operators'!$C$1:$E$10000,3,FALSE)</f>
        <v>ISHMAEL</v>
      </c>
      <c r="M62" s="6">
        <f t="shared" si="1"/>
        <v>1.9675925927003846E-2</v>
      </c>
      <c r="N62" s="7"/>
      <c r="O62" s="7"/>
      <c r="P62" s="7">
        <f>24*60*SUM($M62:$M63)</f>
        <v>37.166666669072583</v>
      </c>
      <c r="Q62" s="23"/>
      <c r="R62" s="23" t="s">
        <v>819</v>
      </c>
      <c r="S62" s="35">
        <f>SUM(U62:U63)/IF(AG62="EC",12,1)</f>
        <v>0.75</v>
      </c>
      <c r="T62" s="50" t="str">
        <f t="shared" si="4"/>
        <v>NorthBound</v>
      </c>
      <c r="U62" s="17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9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09:01:11-700',mode:absolute,to:'2016-11-10 11:30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2" s="52" t="str">
        <f t="shared" si="6"/>
        <v>Y</v>
      </c>
      <c r="X62" s="178">
        <f t="shared" si="24"/>
        <v>1</v>
      </c>
      <c r="Y62" s="67">
        <f t="shared" si="22"/>
        <v>3.7202000000000002</v>
      </c>
      <c r="Z62" s="67">
        <f t="shared" si="23"/>
        <v>23.3309</v>
      </c>
      <c r="AA62" s="67">
        <f t="shared" si="10"/>
        <v>19.610700000000001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0149-10</v>
      </c>
      <c r="AE62" s="91" t="str">
        <f t="shared" si="12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62" s="88" t="str">
        <f t="shared" si="13"/>
        <v>"C:\Program Files (x86)\AstroGrep\AstroGrep.exe" /spath="%USERPROFILE%\AppData\Local\Temp\OnboardLogs" /stypes="app*4038*20161110*"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149-10 --locoid 4038 --swversion DE.1.0.8.0 --startMP 204:37202 --initTime 2016-11-10T10:01:11 --startdatetime 2016-11-10T10:02:31 --delay 1 --endMP 204:233309 --enddatetime 2016-11-10T10:30:51 --enforcementcount 0 &gt;&gt;C:\Users\stu\Documents\GitHub\eaglep3-reporting\EC\2016-11-10-refined-times.txt</v>
      </c>
      <c r="AI62" s="119" t="str">
        <f t="shared" si="18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EC0206RH)","project_id":79,"tracker_id":40,"status_id":1,"priority_id":2,"assigned_to_id":23,"start_date":"2016-11-10","description":"","custom_fields":[{"id":1,"name":"Subdivision","value":"EC"},{"id":4,"name":"Milepost","value":"23.3309"},{"id":17,"name":"Train ID","value":"149-10"},{"id":16,"name":"Locomotive ID","value":"4038"},{"id":130,"name":"Impact","value":""},{"id":150,"name":"Time of Event (Mountain Time)","value":"10:30:51"},{"id":151,"name":"Denver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486</v>
      </c>
      <c r="B63" s="7">
        <v>4038</v>
      </c>
      <c r="C63" s="22" t="s">
        <v>226</v>
      </c>
      <c r="D63" s="22" t="s">
        <v>205</v>
      </c>
      <c r="E63" s="13">
        <v>42684.402789351851</v>
      </c>
      <c r="F63" s="13">
        <v>42684.403564814813</v>
      </c>
      <c r="G63" s="7">
        <v>1</v>
      </c>
      <c r="H63" s="22" t="s">
        <v>632</v>
      </c>
      <c r="I63" s="13">
        <v>42684.409699074073</v>
      </c>
      <c r="J63" s="7">
        <v>0</v>
      </c>
      <c r="K63" s="109" t="str">
        <f t="shared" si="0"/>
        <v>4037/4038</v>
      </c>
      <c r="L63" s="22" t="str">
        <f>VLOOKUP(A63,'Trips&amp;Operators'!$C$1:$E$10000,3,FALSE)</f>
        <v>ISHMAEL</v>
      </c>
      <c r="M63" s="6">
        <f t="shared" si="1"/>
        <v>6.1342592598521151E-3</v>
      </c>
      <c r="N63" s="7"/>
      <c r="O63" s="7"/>
      <c r="P63" s="7"/>
      <c r="Q63" s="23"/>
      <c r="R63" s="23"/>
      <c r="S63" s="35"/>
      <c r="T63" s="50" t="str">
        <f t="shared" si="4"/>
        <v>NorthBound</v>
      </c>
      <c r="U63" s="17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08:40:01-700',mode:absolute,to:'2016-11-10 10:49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3" s="52" t="str">
        <f t="shared" si="6"/>
        <v>Y</v>
      </c>
      <c r="X63" s="178">
        <f t="shared" si="24"/>
        <v>0</v>
      </c>
      <c r="Y63" s="67">
        <f t="shared" si="22"/>
        <v>4.5100000000000001E-2</v>
      </c>
      <c r="Z63" s="67">
        <f t="shared" si="23"/>
        <v>1.8547</v>
      </c>
      <c r="AA63" s="67">
        <f t="shared" si="10"/>
        <v>1.8096000000000001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0149-10</v>
      </c>
      <c r="AE63" s="91" t="str">
        <f t="shared" si="12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63" s="88" t="str">
        <f t="shared" si="13"/>
        <v>"C:\Program Files (x86)\AstroGrep\AstroGrep.exe" /spath="%USERPROFILE%\AppData\Local\Temp\OnboardLogs" /stypes="app*4038*20161110*"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149-10 --locoid 4038 --swversion DE.1.0.8.0 --startMP 204:451 --initTime 2016-11-10T09:40:01 --startdatetime 2016-11-10T09:41:08 --delay 1 --endMP 204:18547 --enddatetime 2016-11-10T09:49:58 --enforcementcount 0 &gt;&gt;C:\Users\stu\Documents\GitHub\eaglep3-reporting\EC\2016-11-10-refined-times.txt</v>
      </c>
      <c r="AI63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{"issue":{"subject":"","project_id":79,"tracker_id":40,"status_id":1,"priority_id":2,"assigned_to_id":23,"start_date":"2016-11-10","description":"","custom_fields":[{"id":1,"name":"Subdivision","value":"EC"},{"id":4,"name":"Milepost","value":"1.8547"},{"id":17,"name":"Train ID","value":"149-10"},{"id":16,"name":"Locomotive ID","value":"4038"},{"id":130,"name":"Impact","value":""},{"id":150,"name":"Time of Event (Mountain Time)","value":"09:49:58"},{"id":151,"name":"Denver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492</v>
      </c>
      <c r="B64" s="7">
        <v>4037</v>
      </c>
      <c r="C64" s="22" t="s">
        <v>226</v>
      </c>
      <c r="D64" s="22" t="s">
        <v>281</v>
      </c>
      <c r="E64" s="13">
        <v>42684.442152777781</v>
      </c>
      <c r="F64" s="13">
        <v>42684.445300925923</v>
      </c>
      <c r="G64" s="7">
        <v>1</v>
      </c>
      <c r="H64" s="22" t="s">
        <v>633</v>
      </c>
      <c r="I64" s="13">
        <v>42684.480196759258</v>
      </c>
      <c r="J64" s="7">
        <v>0</v>
      </c>
      <c r="K64" s="109" t="str">
        <f t="shared" si="0"/>
        <v>4037/4038</v>
      </c>
      <c r="L64" s="22" t="str">
        <f>VLOOKUP(A64,'Trips&amp;Operators'!$C$1:$E$10000,3,FALSE)</f>
        <v>ISHMAEL</v>
      </c>
      <c r="M64" s="6">
        <f t="shared" si="1"/>
        <v>3.4895833334303461E-2</v>
      </c>
      <c r="N64" s="7">
        <f>24*60*SUM($M64:$M64)</f>
        <v>50.250000001396984</v>
      </c>
      <c r="O64" s="7"/>
      <c r="P64" s="7"/>
      <c r="Q64" s="23"/>
      <c r="R64" s="23"/>
      <c r="S64" s="35">
        <f>SUM(U64:U64)/IF(AG64="EC",12,1)</f>
        <v>1</v>
      </c>
      <c r="T64" s="50" t="str">
        <f t="shared" si="4"/>
        <v>Southbound</v>
      </c>
      <c r="U64" s="17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09:36:42-700',mode:absolute,to:'2016-11-10 12:31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4" s="52" t="str">
        <f t="shared" si="6"/>
        <v>N</v>
      </c>
      <c r="X64" s="178">
        <f t="shared" si="24"/>
        <v>1</v>
      </c>
      <c r="Y64" s="67">
        <f t="shared" si="22"/>
        <v>23.297799999999999</v>
      </c>
      <c r="Z64" s="67">
        <f t="shared" si="23"/>
        <v>3.2500000000000001E-2</v>
      </c>
      <c r="AA64" s="67">
        <f t="shared" si="10"/>
        <v>23.2653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0150-10</v>
      </c>
      <c r="AE64" s="91" t="str">
        <f t="shared" si="12"/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64" s="88" t="str">
        <f t="shared" si="13"/>
        <v>"C:\Program Files (x86)\AstroGrep\AstroGrep.exe" /spath="%USERPROFILE%\AppData\Local\Temp\OnboardLogs" /stypes="app*4037*20161110*"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150-10 --locoid 4037 --swversion DE.1.0.8.0 --startMP 204:232978 --initTime 2016-11-10T10:36:42 --startdatetime 2016-11-10T10:41:14 --delay 1 --endMP 204:325 --enddatetime 2016-11-10T11:31:29 --enforcementcount 0 &gt;&gt;C:\Users\stu\Documents\GitHub\eaglep3-reporting\EC\2016-11-10-refined-times.txt</v>
      </c>
      <c r="AI64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{"issue":{"subject":"","project_id":79,"tracker_id":40,"status_id":1,"priority_id":2,"assigned_to_id":23,"start_date":"2016-11-10","description":"","custom_fields":[{"id":1,"name":"Subdivision","value":"EC"},{"id":4,"name":"Milepost","value":"0.0325"},{"id":17,"name":"Train ID","value":"150-10"},{"id":16,"name":"Locomotive ID","value":"4037"},{"id":130,"name":"Impact","value":""},{"id":150,"name":"Time of Event (Mountain Time)","value":"11:31:29"},{"id":151,"name":"Denver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396</v>
      </c>
      <c r="B65" s="7">
        <v>4053</v>
      </c>
      <c r="C65" s="22" t="s">
        <v>226</v>
      </c>
      <c r="D65" s="22" t="s">
        <v>634</v>
      </c>
      <c r="E65" s="13">
        <v>42684.423321759263</v>
      </c>
      <c r="F65" s="13">
        <v>42684.424074074072</v>
      </c>
      <c r="G65" s="7">
        <v>1</v>
      </c>
      <c r="H65" s="22" t="s">
        <v>635</v>
      </c>
      <c r="I65" s="13">
        <v>42684.433067129627</v>
      </c>
      <c r="J65" s="7">
        <v>1</v>
      </c>
      <c r="K65" s="109" t="str">
        <f t="shared" si="0"/>
        <v>4053/4054</v>
      </c>
      <c r="L65" s="22" t="str">
        <f>VLOOKUP(A65,'Trips&amp;Operators'!$C$1:$E$10000,3,FALSE)</f>
        <v>GRASTON</v>
      </c>
      <c r="M65" s="6">
        <f t="shared" si="1"/>
        <v>8.9930555550381541E-3</v>
      </c>
      <c r="N65" s="7"/>
      <c r="O65" s="7"/>
      <c r="P65" s="7">
        <f>24*60*SUM($M65:$M67)</f>
        <v>55.633333335863426</v>
      </c>
      <c r="Q65" s="23"/>
      <c r="R65" s="23" t="s">
        <v>819</v>
      </c>
      <c r="S65" s="35">
        <f>SUM(U65:U66)/IF(AG65="EC",12,1)</f>
        <v>1</v>
      </c>
      <c r="T65" s="50" t="str">
        <f t="shared" si="4"/>
        <v>NorthBound</v>
      </c>
      <c r="U65" s="17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3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09:09:35-700',mode:absolute,to:'2016-11-10 11:23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5" s="52" t="str">
        <f t="shared" si="6"/>
        <v>Y</v>
      </c>
      <c r="X65" s="178">
        <f t="shared" si="24"/>
        <v>1</v>
      </c>
      <c r="Y65" s="67">
        <f t="shared" si="22"/>
        <v>2.1823000000000001</v>
      </c>
      <c r="Z65" s="67">
        <f t="shared" si="23"/>
        <v>3.8542999999999998</v>
      </c>
      <c r="AA65" s="67">
        <f t="shared" si="10"/>
        <v>1.6719999999999997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0151-10</v>
      </c>
      <c r="AE65" s="91" t="str">
        <f t="shared" si="12"/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65" s="88" t="str">
        <f t="shared" si="13"/>
        <v>"C:\Program Files (x86)\AstroGrep\AstroGrep.exe" /spath="%USERPROFILE%\AppData\Local\Temp\OnboardLogs" /stypes="app*4053*20161110*"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151-10 --locoid 4053 --swversion DE.1.0.8.0 --startMP 204:21823 --initTime 2016-11-10T10:09:35 --startdatetime 2016-11-10T10:10:40 --delay 1 --endMP 204:38543 --enddatetime 2016-11-10T10:23:37 --enforcementcount 1 &gt;&gt;C:\Users\stu\Documents\GitHub\eaglep3-reporting\EC\2016-11-10-refined-times.txt</v>
      </c>
      <c r="AI65" s="119" t="str">
        <f t="shared" si="18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EC0206RH)","project_id":79,"tracker_id":40,"status_id":1,"priority_id":2,"assigned_to_id":23,"start_date":"2016-11-10","description":"","custom_fields":[{"id":1,"name":"Subdivision","value":"EC"},{"id":4,"name":"Milepost","value":"3.8543"},{"id":17,"name":"Train ID","value":"151-10"},{"id":16,"name":"Locomotive ID","value":"4053"},{"id":130,"name":"Impact","value":""},{"id":150,"name":"Time of Event (Mountain Time)","value":"10:23:37"},{"id":151,"name":"Denver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396</v>
      </c>
      <c r="B66" s="7">
        <v>4053</v>
      </c>
      <c r="C66" s="22" t="s">
        <v>226</v>
      </c>
      <c r="D66" s="22" t="s">
        <v>636</v>
      </c>
      <c r="E66" s="13">
        <v>42684.433344907404</v>
      </c>
      <c r="F66" s="13">
        <v>42684.43409722222</v>
      </c>
      <c r="G66" s="7">
        <v>1</v>
      </c>
      <c r="H66" s="22" t="s">
        <v>637</v>
      </c>
      <c r="I66" s="13">
        <v>42684.454398148147</v>
      </c>
      <c r="J66" s="7">
        <v>0</v>
      </c>
      <c r="K66" s="109" t="str">
        <f t="shared" si="0"/>
        <v>4053/4054</v>
      </c>
      <c r="L66" s="22" t="str">
        <f>VLOOKUP(A66,'Trips&amp;Operators'!$C$1:$E$10000,3,FALSE)</f>
        <v>GRASTON</v>
      </c>
      <c r="M66" s="6">
        <f t="shared" si="1"/>
        <v>2.0300925927585922E-2</v>
      </c>
      <c r="N66" s="7"/>
      <c r="O66" s="7"/>
      <c r="P66" s="7"/>
      <c r="Q66" s="23"/>
      <c r="R66" s="23"/>
      <c r="S66" s="35"/>
      <c r="T66" s="50" t="str">
        <f t="shared" si="4"/>
        <v>NorthBound</v>
      </c>
      <c r="U66" s="17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9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09:24:01-700',mode:absolute,to:'2016-11-10 11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6" s="52" t="str">
        <f t="shared" si="6"/>
        <v>Y</v>
      </c>
      <c r="X66" s="178">
        <f t="shared" si="24"/>
        <v>0</v>
      </c>
      <c r="Y66" s="67">
        <f t="shared" si="22"/>
        <v>4.1071999999999997</v>
      </c>
      <c r="Z66" s="67">
        <f t="shared" si="23"/>
        <v>23.328299999999999</v>
      </c>
      <c r="AA66" s="67">
        <f t="shared" si="10"/>
        <v>19.2211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0151-10</v>
      </c>
      <c r="AE66" s="91" t="str">
        <f t="shared" si="12"/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66" s="88" t="str">
        <f t="shared" si="13"/>
        <v>"C:\Program Files (x86)\AstroGrep\AstroGrep.exe" /spath="%USERPROFILE%\AppData\Local\Temp\OnboardLogs" /stypes="app*4053*20161110*"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151-10 --locoid 4053 --swversion DE.1.0.8.0 --startMP 204:41072 --initTime 2016-11-10T10:24:01 --startdatetime 2016-11-10T10:25:06 --delay 1 --endMP 204:233283 --enddatetime 2016-11-10T10:54:20 --enforcementcount 0 &gt;&gt;C:\Users\stu\Documents\GitHub\eaglep3-reporting\EC\2016-11-10-refined-times.txt</v>
      </c>
      <c r="AI66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{"issue":{"subject":"","project_id":79,"tracker_id":40,"status_id":1,"priority_id":2,"assigned_to_id":23,"start_date":"2016-11-10","description":"","custom_fields":[{"id":1,"name":"Subdivision","value":"EC"},{"id":4,"name":"Milepost","value":"23.3283"},{"id":17,"name":"Train ID","value":"151-10"},{"id":16,"name":"Locomotive ID","value":"4053"},{"id":130,"name":"Impact","value":""},{"id":150,"name":"Time of Event (Mountain Time)","value":"10:54:20"},{"id":151,"name":"Denver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396</v>
      </c>
      <c r="B67" s="7">
        <v>4053</v>
      </c>
      <c r="C67" s="22" t="s">
        <v>226</v>
      </c>
      <c r="D67" s="22" t="s">
        <v>202</v>
      </c>
      <c r="E67" s="13">
        <v>42684.41202546296</v>
      </c>
      <c r="F67" s="13">
        <v>42684.412881944445</v>
      </c>
      <c r="G67" s="7">
        <v>1</v>
      </c>
      <c r="H67" s="22" t="s">
        <v>638</v>
      </c>
      <c r="I67" s="13">
        <v>42684.422222222223</v>
      </c>
      <c r="J67" s="7">
        <v>0</v>
      </c>
      <c r="K67" s="109" t="str">
        <f t="shared" si="0"/>
        <v>4053/4054</v>
      </c>
      <c r="L67" s="22" t="str">
        <f>VLOOKUP(A67,'Trips&amp;Operators'!$C$1:$E$10000,3,FALSE)</f>
        <v>GRASTON</v>
      </c>
      <c r="M67" s="6">
        <f t="shared" si="1"/>
        <v>9.340277778392192E-3</v>
      </c>
      <c r="N67" s="7"/>
      <c r="O67" s="7"/>
      <c r="P67" s="7"/>
      <c r="Q67" s="23"/>
      <c r="R67" s="23"/>
      <c r="S67" s="35"/>
      <c r="T67" s="50" t="str">
        <f t="shared" si="4"/>
        <v>NorthBound</v>
      </c>
      <c r="U67" s="17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08:53:19-700',mode:absolute,to:'2016-11-10 11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7" s="52" t="str">
        <f t="shared" si="6"/>
        <v>Y</v>
      </c>
      <c r="X67" s="178">
        <f t="shared" si="24"/>
        <v>0</v>
      </c>
      <c r="Y67" s="67">
        <f t="shared" si="22"/>
        <v>4.5499999999999999E-2</v>
      </c>
      <c r="Z67" s="67">
        <f t="shared" si="23"/>
        <v>2.0404</v>
      </c>
      <c r="AA67" s="67">
        <f t="shared" si="10"/>
        <v>1.9948999999999999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0151-10</v>
      </c>
      <c r="AE67" s="91" t="str">
        <f t="shared" si="12"/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67" s="88" t="str">
        <f t="shared" si="13"/>
        <v>"C:\Program Files (x86)\AstroGrep\AstroGrep.exe" /spath="%USERPROFILE%\AppData\Local\Temp\OnboardLogs" /stypes="app*4053*20161110*"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151-10 --locoid 4053 --swversion DE.1.0.8.0 --startMP 204:455 --initTime 2016-11-10T09:53:19 --startdatetime 2016-11-10T09:54:33 --delay 1 --endMP 204:20404 --enddatetime 2016-11-10T10:08:00 --enforcementcount 0 &gt;&gt;C:\Users\stu\Documents\GitHub\eaglep3-reporting\EC\2016-11-10-refined-times.txt</v>
      </c>
      <c r="AI67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{"issue":{"subject":"","project_id":79,"tracker_id":40,"status_id":1,"priority_id":2,"assigned_to_id":23,"start_date":"2016-11-10","description":"","custom_fields":[{"id":1,"name":"Subdivision","value":"EC"},{"id":4,"name":"Milepost","value":"2.0404"},{"id":17,"name":"Train ID","value":"151-10"},{"id":16,"name":"Locomotive ID","value":"4053"},{"id":130,"name":"Impact","value":""},{"id":150,"name":"Time of Event (Mountain Time)","value":"10:08:00"},{"id":151,"name":"Denver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497</v>
      </c>
      <c r="B68" s="7">
        <v>4054</v>
      </c>
      <c r="C68" s="22" t="s">
        <v>226</v>
      </c>
      <c r="D68" s="22" t="s">
        <v>271</v>
      </c>
      <c r="E68" s="13">
        <v>42684.457314814812</v>
      </c>
      <c r="F68" s="13">
        <v>42684.458541666667</v>
      </c>
      <c r="G68" s="7">
        <v>0</v>
      </c>
      <c r="H68" s="22" t="s">
        <v>232</v>
      </c>
      <c r="I68" s="13">
        <v>42684.486979166664</v>
      </c>
      <c r="J68" s="7">
        <v>0</v>
      </c>
      <c r="K68" s="109" t="str">
        <f t="shared" si="0"/>
        <v>4053/4054</v>
      </c>
      <c r="L68" s="22" t="str">
        <f>VLOOKUP(A68,'Trips&amp;Operators'!$C$1:$E$10000,3,FALSE)</f>
        <v>GRASTON</v>
      </c>
      <c r="M68" s="6">
        <f t="shared" si="1"/>
        <v>2.8437499997380655E-2</v>
      </c>
      <c r="N68" s="7">
        <f>24*60*SUM($M68:$M68)</f>
        <v>40.949999996228144</v>
      </c>
      <c r="O68" s="7"/>
      <c r="P68" s="7"/>
      <c r="Q68" s="23"/>
      <c r="R68" s="23"/>
      <c r="S68" s="35">
        <f>SUM(U68:U68)/IF(AG68="EC",12,1)</f>
        <v>1</v>
      </c>
      <c r="T68" s="50" t="str">
        <f t="shared" si="4"/>
        <v>Southbound</v>
      </c>
      <c r="U68" s="17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09:58:32-700',mode:absolute,to:'2016-11-10 12:41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8" s="52" t="str">
        <f t="shared" si="6"/>
        <v>N</v>
      </c>
      <c r="X68" s="178">
        <f t="shared" si="24"/>
        <v>1</v>
      </c>
      <c r="Y68" s="67">
        <f t="shared" si="22"/>
        <v>23.297899999999998</v>
      </c>
      <c r="Z68" s="67">
        <f t="shared" si="23"/>
        <v>1.5800000000000002E-2</v>
      </c>
      <c r="AA68" s="67">
        <f t="shared" si="10"/>
        <v>23.2821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0152-10</v>
      </c>
      <c r="AE68" s="91" t="str">
        <f t="shared" si="12"/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68" s="88" t="str">
        <f t="shared" si="13"/>
        <v>"C:\Program Files (x86)\AstroGrep\AstroGrep.exe" /spath="%USERPROFILE%\AppData\Local\Temp\OnboardLogs" /stypes="app*4054*20161110*"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152-10 --locoid 4054 --swversion DE.1.0.8.0 --startMP 204:232979 --initTime 2016-11-10T10:58:32 --startdatetime 2016-11-10T11:00:18 --delay 0 --endMP 204:158 --enddatetime 2016-11-10T11:41:15 --enforcementcount 0 &gt;&gt;C:\Users\stu\Documents\GitHub\eaglep3-reporting\EC\2016-11-10-refined-times.txt</v>
      </c>
      <c r="AI68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{"issue":{"subject":"","project_id":79,"tracker_id":40,"status_id":1,"priority_id":2,"assigned_to_id":23,"start_date":"2016-11-10","description":"","custom_fields":[{"id":1,"name":"Subdivision","value":"EC"},{"id":4,"name":"Milepost","value":"0.0158"},{"id":17,"name":"Train ID","value":"152-10"},{"id":16,"name":"Locomotive ID","value":"4054"},{"id":130,"name":"Impact","value":""},{"id":150,"name":"Time of Event (Mountain Time)","value":"11:41:15"},{"id":151,"name":"Denver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399</v>
      </c>
      <c r="B69" s="7">
        <v>4016</v>
      </c>
      <c r="C69" s="22" t="s">
        <v>226</v>
      </c>
      <c r="D69" s="22" t="s">
        <v>639</v>
      </c>
      <c r="E69" s="13">
        <v>42684.439166666663</v>
      </c>
      <c r="F69" s="13">
        <v>42684.439930555556</v>
      </c>
      <c r="G69" s="7">
        <v>1</v>
      </c>
      <c r="H69" s="22" t="s">
        <v>640</v>
      </c>
      <c r="I69" s="13">
        <v>42684.447870370372</v>
      </c>
      <c r="J69" s="7">
        <v>0</v>
      </c>
      <c r="K69" s="109" t="str">
        <f t="shared" si="0"/>
        <v>4015/4016</v>
      </c>
      <c r="L69" s="22" t="str">
        <f>VLOOKUP(A69,'Trips&amp;Operators'!$C$1:$E$10000,3,FALSE)</f>
        <v>CUSHING</v>
      </c>
      <c r="M69" s="6">
        <f t="shared" si="1"/>
        <v>7.9398148154723458E-3</v>
      </c>
      <c r="N69" s="7"/>
      <c r="O69" s="7"/>
      <c r="P69" s="7">
        <f>24*60*SUM($M69:$M71)</f>
        <v>57.633333342382684</v>
      </c>
      <c r="Q69" s="23"/>
      <c r="R69" s="23" t="s">
        <v>819</v>
      </c>
      <c r="S69" s="35">
        <f>SUM(U69:U70)/IF(AG69="EC",12,1)</f>
        <v>1</v>
      </c>
      <c r="T69" s="50" t="str">
        <f t="shared" si="4"/>
        <v>NorthBound</v>
      </c>
      <c r="U69" s="17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3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09:32:24-700',mode:absolute,to:'2016-11-10 11:44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9" s="52" t="str">
        <f t="shared" si="6"/>
        <v>Y</v>
      </c>
      <c r="X69" s="178">
        <f t="shared" si="24"/>
        <v>1</v>
      </c>
      <c r="Y69" s="67">
        <f t="shared" si="22"/>
        <v>2.6779000000000002</v>
      </c>
      <c r="Z69" s="67">
        <f t="shared" si="23"/>
        <v>3.82</v>
      </c>
      <c r="AA69" s="67">
        <f t="shared" si="10"/>
        <v>1.1420999999999997</v>
      </c>
      <c r="AB69" s="64" t="str">
        <f>VLOOKUP(A69,Enforcements!$C$7:$K$20,8,0)</f>
        <v>Bulletin (2)</v>
      </c>
      <c r="AC69" s="60" t="str">
        <f>VLOOKUP(A69,Enforcements!$C$7:$E$20,3,0)</f>
        <v>GRADE CROSSING</v>
      </c>
      <c r="AD69" s="61" t="str">
        <f t="shared" si="11"/>
        <v>0153-10</v>
      </c>
      <c r="AE69" s="91" t="str">
        <f t="shared" si="12"/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69" s="88" t="str">
        <f t="shared" si="13"/>
        <v>"C:\Program Files (x86)\AstroGrep\AstroGrep.exe" /spath="%USERPROFILE%\AppData\Local\Temp\OnboardLogs" /stypes="app*4016*20161110*"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153-10 --locoid 4016 --swversion DE.1.0.8.0 --startMP 204:26779 --initTime 2016-11-10T10:32:24 --startdatetime 2016-11-10T10:33:30 --delay 1 --endMP 204:38200 --enddatetime 2016-11-10T10:44:56 --enforcementcount 0 &gt;&gt;C:\Users\stu\Documents\GitHub\eaglep3-reporting\EC\2016-11-10-refined-times.txt</v>
      </c>
      <c r="AI69" s="119" t="str">
        <f t="shared" si="18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EC0206RH)","project_id":79,"tracker_id":40,"status_id":1,"priority_id":2,"assigned_to_id":23,"start_date":"2016-11-10","description":"","custom_fields":[{"id":1,"name":"Subdivision","value":"EC"},{"id":4,"name":"Milepost","value":"3.82"},{"id":17,"name":"Train ID","value":"153-10"},{"id":16,"name":"Locomotive ID","value":"4016"},{"id":130,"name":"Impact","value":""},{"id":150,"name":"Time of Event (Mountain Time)","value":"10:44:56"},{"id":151,"name":"Denver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399</v>
      </c>
      <c r="B70" s="7">
        <v>4016</v>
      </c>
      <c r="C70" s="22" t="s">
        <v>226</v>
      </c>
      <c r="D70" s="22" t="s">
        <v>641</v>
      </c>
      <c r="E70" s="13">
        <v>42684.450335648151</v>
      </c>
      <c r="F70" s="13">
        <v>42684.451006944444</v>
      </c>
      <c r="G70" s="7">
        <v>0</v>
      </c>
      <c r="H70" s="22" t="s">
        <v>231</v>
      </c>
      <c r="I70" s="13">
        <v>42684.472928240742</v>
      </c>
      <c r="J70" s="7">
        <v>1</v>
      </c>
      <c r="K70" s="109" t="str">
        <f t="shared" si="0"/>
        <v>4015/4016</v>
      </c>
      <c r="L70" s="22" t="str">
        <f>VLOOKUP(A70,'Trips&amp;Operators'!$C$1:$E$10000,3,FALSE)</f>
        <v>CUSHING</v>
      </c>
      <c r="M70" s="6">
        <f t="shared" si="1"/>
        <v>2.192129629838746E-2</v>
      </c>
      <c r="N70" s="7"/>
      <c r="O70" s="7"/>
      <c r="P70" s="7"/>
      <c r="Q70" s="23"/>
      <c r="R70" s="23"/>
      <c r="S70" s="35"/>
      <c r="T70" s="50" t="str">
        <f t="shared" si="4"/>
        <v>NorthBound</v>
      </c>
      <c r="U70" s="17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9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09:48:29-700',mode:absolute,to:'2016-11-10 12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0" s="52" t="str">
        <f t="shared" si="6"/>
        <v>Y</v>
      </c>
      <c r="X70" s="178">
        <f t="shared" si="24"/>
        <v>0</v>
      </c>
      <c r="Y70" s="67">
        <f t="shared" si="22"/>
        <v>4.2481</v>
      </c>
      <c r="Z70" s="67">
        <f t="shared" si="23"/>
        <v>23.328900000000001</v>
      </c>
      <c r="AA70" s="67">
        <f t="shared" si="10"/>
        <v>19.0808</v>
      </c>
      <c r="AB70" s="64" t="str">
        <f>VLOOKUP(A70,Enforcements!$C$7:$K$20,8,0)</f>
        <v>Bulletin (2)</v>
      </c>
      <c r="AC70" s="60" t="str">
        <f>VLOOKUP(A70,Enforcements!$C$7:$E$20,3,0)</f>
        <v>GRADE CROSSING</v>
      </c>
      <c r="AD70" s="61" t="str">
        <f t="shared" si="11"/>
        <v>0153-10</v>
      </c>
      <c r="AE70" s="91" t="str">
        <f t="shared" si="12"/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70" s="88" t="str">
        <f t="shared" si="13"/>
        <v>"C:\Program Files (x86)\AstroGrep\AstroGrep.exe" /spath="%USERPROFILE%\AppData\Local\Temp\OnboardLogs" /stypes="app*4016*20161110*"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153-10 --locoid 4016 --swversion DE.1.0.8.0 --startMP 204:42481 --initTime 2016-11-10T10:48:29 --startdatetime 2016-11-10T10:49:27 --delay 0 --endMP 204:233289 --enddatetime 2016-11-10T11:21:01 --enforcementcount 1 &gt;&gt;C:\Users\stu\Documents\GitHub\eaglep3-reporting\EC\2016-11-10-refined-times.txt</v>
      </c>
      <c r="AI70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{"issue":{"subject":"","project_id":79,"tracker_id":40,"status_id":1,"priority_id":2,"assigned_to_id":23,"start_date":"2016-11-10","description":"","custom_fields":[{"id":1,"name":"Subdivision","value":"EC"},{"id":4,"name":"Milepost","value":"23.3289"},{"id":17,"name":"Train ID","value":"153-10"},{"id":16,"name":"Locomotive ID","value":"4016"},{"id":130,"name":"Impact","value":""},{"id":150,"name":"Time of Event (Mountain Time)","value":"11:21:01"},{"id":151,"name":"Denver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399</v>
      </c>
      <c r="B71" s="7">
        <v>4016</v>
      </c>
      <c r="C71" s="22" t="s">
        <v>226</v>
      </c>
      <c r="D71" s="22" t="s">
        <v>624</v>
      </c>
      <c r="E71" s="13">
        <v>42684.425694444442</v>
      </c>
      <c r="F71" s="13">
        <v>42684.426435185182</v>
      </c>
      <c r="G71" s="7">
        <v>1</v>
      </c>
      <c r="H71" s="22" t="s">
        <v>642</v>
      </c>
      <c r="I71" s="13">
        <v>42684.436597222222</v>
      </c>
      <c r="J71" s="7">
        <v>0</v>
      </c>
      <c r="K71" s="109" t="str">
        <f t="shared" si="0"/>
        <v>4015/4016</v>
      </c>
      <c r="L71" s="22" t="str">
        <f>VLOOKUP(A71,'Trips&amp;Operators'!$C$1:$E$10000,3,FALSE)</f>
        <v>CUSHING</v>
      </c>
      <c r="M71" s="6">
        <f t="shared" si="1"/>
        <v>1.0162037040572613E-2</v>
      </c>
      <c r="N71" s="7"/>
      <c r="O71" s="7"/>
      <c r="P71" s="7"/>
      <c r="Q71" s="23"/>
      <c r="R71" s="23"/>
      <c r="S71" s="35"/>
      <c r="T71" s="50" t="str">
        <f t="shared" si="4"/>
        <v>NorthBound</v>
      </c>
      <c r="U71" s="17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0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09:13:00-700',mode:absolute,to:'2016-11-10 11:28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2" t="str">
        <f t="shared" si="6"/>
        <v>Y</v>
      </c>
      <c r="X71" s="178">
        <f t="shared" si="24"/>
        <v>0</v>
      </c>
      <c r="Y71" s="67">
        <f t="shared" si="22"/>
        <v>4.6600000000000003E-2</v>
      </c>
      <c r="Z71" s="67">
        <f t="shared" si="23"/>
        <v>2.0284</v>
      </c>
      <c r="AA71" s="67">
        <f t="shared" si="10"/>
        <v>1.9818</v>
      </c>
      <c r="AB71" s="64" t="str">
        <f>VLOOKUP(A71,Enforcements!$C$7:$K$20,8,0)</f>
        <v>Bulletin (2)</v>
      </c>
      <c r="AC71" s="60" t="str">
        <f>VLOOKUP(A71,Enforcements!$C$7:$E$20,3,0)</f>
        <v>GRADE CROSSING</v>
      </c>
      <c r="AD71" s="61" t="str">
        <f t="shared" si="11"/>
        <v>0153-10</v>
      </c>
      <c r="AE71" s="91" t="str">
        <f t="shared" si="12"/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71" s="88" t="str">
        <f t="shared" si="13"/>
        <v>"C:\Program Files (x86)\AstroGrep\AstroGrep.exe" /spath="%USERPROFILE%\AppData\Local\Temp\OnboardLogs" /stypes="app*4016*20161110*"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153-10 --locoid 4016 --swversion DE.1.0.8.0 --startMP 204:466 --initTime 2016-11-10T10:13:00 --startdatetime 2016-11-10T10:14:04 --delay 1 --endMP 204:20284 --enddatetime 2016-11-10T10:28:42 --enforcementcount 0 &gt;&gt;C:\Users\stu\Documents\GitHub\eaglep3-reporting\EC\2016-11-10-refined-times.txt</v>
      </c>
      <c r="AI71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{"issue":{"subject":"","project_id":79,"tracker_id":40,"status_id":1,"priority_id":2,"assigned_to_id":23,"start_date":"2016-11-10","description":"","custom_fields":[{"id":1,"name":"Subdivision","value":"EC"},{"id":4,"name":"Milepost","value":"2.0284"},{"id":17,"name":"Train ID","value":"153-10"},{"id":16,"name":"Locomotive ID","value":"4016"},{"id":130,"name":"Impact","value":""},{"id":150,"name":"Time of Event (Mountain Time)","value":"10:28:42"},{"id":151,"name":"Denver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406</v>
      </c>
      <c r="B72" s="7">
        <v>4015</v>
      </c>
      <c r="C72" s="22" t="s">
        <v>226</v>
      </c>
      <c r="D72" s="22" t="s">
        <v>643</v>
      </c>
      <c r="E72" s="13">
        <v>42684.475127314814</v>
      </c>
      <c r="F72" s="13">
        <v>42684.476689814815</v>
      </c>
      <c r="G72" s="7">
        <v>1</v>
      </c>
      <c r="H72" s="22" t="s">
        <v>198</v>
      </c>
      <c r="I72" s="13">
        <v>42684.508252314816</v>
      </c>
      <c r="J72" s="7">
        <v>0</v>
      </c>
      <c r="K72" s="109" t="str">
        <f t="shared" si="0"/>
        <v>4015/4016</v>
      </c>
      <c r="L72" s="22" t="str">
        <f>VLOOKUP(A72,'Trips&amp;Operators'!$C$1:$E$10000,3,FALSE)</f>
        <v>CUSHING</v>
      </c>
      <c r="M72" s="6">
        <f t="shared" si="1"/>
        <v>3.1562500000291038E-2</v>
      </c>
      <c r="N72" s="7">
        <f>24*60*SUM($M72:$M72)</f>
        <v>45.450000000419095</v>
      </c>
      <c r="O72" s="7"/>
      <c r="P72" s="7"/>
      <c r="Q72" s="23"/>
      <c r="R72" s="23"/>
      <c r="S72" s="35">
        <f>SUM(U72:U72)/IF(AG72="EC",12,1)</f>
        <v>1</v>
      </c>
      <c r="T72" s="50" t="str">
        <f t="shared" si="4"/>
        <v>Southbound</v>
      </c>
      <c r="U72" s="17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10:24:11-700',mode:absolute,to:'2016-11-10 13:11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2" t="str">
        <f t="shared" si="6"/>
        <v>N</v>
      </c>
      <c r="X72" s="178">
        <f t="shared" si="24"/>
        <v>1</v>
      </c>
      <c r="Y72" s="67">
        <f t="shared" si="22"/>
        <v>23.2974</v>
      </c>
      <c r="Z72" s="67">
        <f t="shared" si="23"/>
        <v>1.49E-2</v>
      </c>
      <c r="AA72" s="67">
        <f t="shared" si="10"/>
        <v>23.282499999999999</v>
      </c>
      <c r="AB72" s="64" t="str">
        <f>VLOOKUP(A72,Enforcements!$C$7:$K$20,8,0)</f>
        <v>Bulletin (2)</v>
      </c>
      <c r="AC72" s="60" t="str">
        <f>VLOOKUP(A72,Enforcements!$C$7:$E$20,3,0)</f>
        <v>GRADE CROSSING</v>
      </c>
      <c r="AD72" s="61" t="str">
        <f t="shared" si="11"/>
        <v>0154-10</v>
      </c>
      <c r="AE72" s="91" t="str">
        <f t="shared" si="12"/>
        <v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v>
      </c>
      <c r="AF72" s="88" t="str">
        <f t="shared" si="13"/>
        <v>"C:\Program Files (x86)\AstroGrep\AstroGrep.exe" /spath="%USERPROFILE%\AppData\Local\Temp\OnboardLogs" /stypes="app*4015*20161110*"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154-10 --locoid 4015 --swversion DE.1.0.8.0 --startMP 204:232974 --initTime 2016-11-10T11:24:11 --startdatetime 2016-11-10T11:26:26 --delay 1 --endMP 204:149 --enddatetime 2016-11-10T12:11:53 --enforcementcount 0 &gt;&gt;C:\Users\stu\Documents\GitHub\eaglep3-reporting\EC\2016-11-10-refined-times.txt</v>
      </c>
      <c r="AI72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{"issue":{"subject":"","project_id":79,"tracker_id":40,"status_id":1,"priority_id":2,"assigned_to_id":23,"start_date":"2016-11-10","description":"","custom_fields":[{"id":1,"name":"Subdivision","value":"EC"},{"id":4,"name":"Milepost","value":"0.0149"},{"id":17,"name":"Train ID","value":"154-10"},{"id":16,"name":"Locomotive ID","value":"4015"},{"id":130,"name":"Impact","value":""},{"id":150,"name":"Time of Event (Mountain Time)","value":"12:11:53"},{"id":151,"name":"Denver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401</v>
      </c>
      <c r="B73" s="7">
        <v>4011</v>
      </c>
      <c r="C73" s="22" t="s">
        <v>226</v>
      </c>
      <c r="D73" s="22" t="s">
        <v>644</v>
      </c>
      <c r="E73" s="13">
        <v>42684.447453703702</v>
      </c>
      <c r="F73" s="13">
        <v>42684.448275462964</v>
      </c>
      <c r="G73" s="7">
        <v>1</v>
      </c>
      <c r="H73" s="22" t="s">
        <v>645</v>
      </c>
      <c r="I73" s="13">
        <v>42684.460381944446</v>
      </c>
      <c r="J73" s="7">
        <v>1</v>
      </c>
      <c r="K73" s="109" t="str">
        <f t="shared" si="0"/>
        <v>4011/4012</v>
      </c>
      <c r="L73" s="22" t="str">
        <f>VLOOKUP(A73,'Trips&amp;Operators'!$C$1:$E$10000,3,FALSE)</f>
        <v>OUN</v>
      </c>
      <c r="M73" s="6">
        <f t="shared" si="1"/>
        <v>1.2106481481168885E-2</v>
      </c>
      <c r="N73" s="7"/>
      <c r="O73" s="7"/>
      <c r="P73" s="7">
        <f>24*60*SUM($M73:$M75)</f>
        <v>70.21666667307727</v>
      </c>
      <c r="Q73" s="23"/>
      <c r="R73" s="23" t="s">
        <v>819</v>
      </c>
      <c r="S73" s="35">
        <f>SUM(U73:U74)/IF(AG73="EC",12,1)</f>
        <v>1</v>
      </c>
      <c r="T73" s="50" t="str">
        <f t="shared" si="4"/>
        <v>NorthBound</v>
      </c>
      <c r="U73" s="17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3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09:44:20-700',mode:absolute,to:'2016-11-10 12:02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3" s="52" t="str">
        <f t="shared" si="6"/>
        <v>Y</v>
      </c>
      <c r="X73" s="178">
        <f t="shared" si="24"/>
        <v>1</v>
      </c>
      <c r="Y73" s="67">
        <f t="shared" si="22"/>
        <v>2.3441000000000001</v>
      </c>
      <c r="Z73" s="67">
        <f t="shared" si="23"/>
        <v>3.8561999999999999</v>
      </c>
      <c r="AA73" s="67">
        <f t="shared" si="10"/>
        <v>1.5120999999999998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0155-10</v>
      </c>
      <c r="AE73" s="91" t="str">
        <f t="shared" si="12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73" s="88" t="str">
        <f t="shared" si="13"/>
        <v>"C:\Program Files (x86)\AstroGrep\AstroGrep.exe" /spath="%USERPROFILE%\AppData\Local\Temp\OnboardLogs" /stypes="app*4011*20161110*"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155-10 --locoid 4011 --swversion DE.1.0.8.0 --startMP 204:23441 --initTime 2016-11-10T10:44:20 --startdatetime 2016-11-10T10:45:31 --delay 1 --endMP 204:38562 --enddatetime 2016-11-10T11:02:57 --enforcementcount 1 &gt;&gt;C:\Users\stu\Documents\GitHub\eaglep3-reporting\EC\2016-11-10-refined-times.txt</v>
      </c>
      <c r="AI73" s="119" t="str">
        <f t="shared" si="18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EC0206RH)","project_id":79,"tracker_id":40,"status_id":1,"priority_id":2,"assigned_to_id":23,"start_date":"2016-11-10","description":"","custom_fields":[{"id":1,"name":"Subdivision","value":"EC"},{"id":4,"name":"Milepost","value":"3.8562"},{"id":17,"name":"Train ID","value":"155-10"},{"id":16,"name":"Locomotive ID","value":"4011"},{"id":130,"name":"Impact","value":""},{"id":150,"name":"Time of Event (Mountain Time)","value":"11:02:57"},{"id":151,"name":"Denver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401</v>
      </c>
      <c r="B74" s="7">
        <v>4011</v>
      </c>
      <c r="C74" s="22" t="s">
        <v>226</v>
      </c>
      <c r="D74" s="22" t="s">
        <v>646</v>
      </c>
      <c r="E74" s="13">
        <v>42684.460752314815</v>
      </c>
      <c r="F74" s="13">
        <v>42684.461631944447</v>
      </c>
      <c r="G74" s="7">
        <v>1</v>
      </c>
      <c r="H74" s="22" t="s">
        <v>344</v>
      </c>
      <c r="I74" s="13">
        <v>42684.483078703706</v>
      </c>
      <c r="J74" s="7">
        <v>0</v>
      </c>
      <c r="K74" s="109" t="str">
        <f t="shared" si="0"/>
        <v>4011/4012</v>
      </c>
      <c r="L74" s="22" t="str">
        <f>VLOOKUP(A74,'Trips&amp;Operators'!$C$1:$E$10000,3,FALSE)</f>
        <v>OUN</v>
      </c>
      <c r="M74" s="6">
        <f t="shared" si="1"/>
        <v>2.1446759259561077E-2</v>
      </c>
      <c r="N74" s="7"/>
      <c r="O74" s="7"/>
      <c r="P74" s="7"/>
      <c r="Q74" s="23"/>
      <c r="R74" s="23"/>
      <c r="S74" s="35"/>
      <c r="T74" s="50" t="str">
        <f t="shared" si="4"/>
        <v>NorthBound</v>
      </c>
      <c r="U74" s="17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9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10:03:29-700',mode:absolute,to:'2016-11-10 12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4" s="52" t="str">
        <f t="shared" si="6"/>
        <v>Y</v>
      </c>
      <c r="X74" s="178">
        <f t="shared" si="24"/>
        <v>0</v>
      </c>
      <c r="Y74" s="67">
        <f t="shared" si="22"/>
        <v>4.1223000000000001</v>
      </c>
      <c r="Z74" s="67">
        <f t="shared" si="23"/>
        <v>23.330300000000001</v>
      </c>
      <c r="AA74" s="67">
        <f t="shared" si="10"/>
        <v>19.208000000000002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0155-10</v>
      </c>
      <c r="AE74" s="91" t="str">
        <f t="shared" si="12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74" s="88" t="str">
        <f t="shared" si="13"/>
        <v>"C:\Program Files (x86)\AstroGrep\AstroGrep.exe" /spath="%USERPROFILE%\AppData\Local\Temp\OnboardLogs" /stypes="app*4011*20161110*"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155-10 --locoid 4011 --swversion DE.1.0.8.0 --startMP 204:41223 --initTime 2016-11-10T11:03:29 --startdatetime 2016-11-10T11:04:45 --delay 1 --endMP 204:233303 --enddatetime 2016-11-10T11:35:38 --enforcementcount 0 &gt;&gt;C:\Users\stu\Documents\GitHub\eaglep3-reporting\EC\2016-11-10-refined-times.txt</v>
      </c>
      <c r="AI74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{"issue":{"subject":"","project_id":79,"tracker_id":40,"status_id":1,"priority_id":2,"assigned_to_id":23,"start_date":"2016-11-10","description":"","custom_fields":[{"id":1,"name":"Subdivision","value":"EC"},{"id":4,"name":"Milepost","value":"23.3303"},{"id":17,"name":"Train ID","value":"155-10"},{"id":16,"name":"Locomotive ID","value":"4011"},{"id":130,"name":"Impact","value":""},{"id":150,"name":"Time of Event (Mountain Time)","value":"11:35:38"},{"id":151,"name":"Denver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401</v>
      </c>
      <c r="B75" s="7">
        <v>4011</v>
      </c>
      <c r="C75" s="22" t="s">
        <v>226</v>
      </c>
      <c r="D75" s="22" t="s">
        <v>228</v>
      </c>
      <c r="E75" s="13">
        <v>42684.430960648147</v>
      </c>
      <c r="F75" s="13">
        <v>42684.431979166664</v>
      </c>
      <c r="G75" s="7">
        <v>1</v>
      </c>
      <c r="H75" s="22" t="s">
        <v>647</v>
      </c>
      <c r="I75" s="13">
        <v>42684.447187500002</v>
      </c>
      <c r="J75" s="7">
        <v>1</v>
      </c>
      <c r="K75" s="109" t="str">
        <f t="shared" si="0"/>
        <v>4011/4012</v>
      </c>
      <c r="L75" s="22" t="str">
        <f>VLOOKUP(A75,'Trips&amp;Operators'!$C$1:$E$10000,3,FALSE)</f>
        <v>OUN</v>
      </c>
      <c r="M75" s="6">
        <f t="shared" si="1"/>
        <v>1.5208333337795921E-2</v>
      </c>
      <c r="N75" s="7"/>
      <c r="O75" s="7"/>
      <c r="P75" s="7"/>
      <c r="Q75" s="23"/>
      <c r="R75" s="23"/>
      <c r="S75" s="35"/>
      <c r="T75" s="50" t="str">
        <f t="shared" si="4"/>
        <v>NorthBound</v>
      </c>
      <c r="U75" s="17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09:20:35-700',mode:absolute,to:'2016-11-10 11:43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6"/>
        <v>Y</v>
      </c>
      <c r="X75" s="178">
        <f t="shared" si="24"/>
        <v>0</v>
      </c>
      <c r="Y75" s="67">
        <f t="shared" si="22"/>
        <v>4.58E-2</v>
      </c>
      <c r="Z75" s="67">
        <f t="shared" si="23"/>
        <v>2.0448</v>
      </c>
      <c r="AA75" s="67">
        <f t="shared" si="10"/>
        <v>1.9989999999999999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0155-10</v>
      </c>
      <c r="AE75" s="91" t="str">
        <f t="shared" si="12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75" s="88" t="str">
        <f t="shared" si="13"/>
        <v>"C:\Program Files (x86)\AstroGrep\AstroGrep.exe" /spath="%USERPROFILE%\AppData\Local\Temp\OnboardLogs" /stypes="app*4011*20161110*" /stext=" 17:.+((SYSTEM_STATE.+slice.+state.+changed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155-10 --locoid 4011 --swversion DE.1.0.8.0 --startMP 204:458 --initTime 2016-11-10T10:20:35 --startdatetime 2016-11-10T10:22:03 --delay 1 --endMP 204:20448 --enddatetime 2016-11-10T10:43:57 --enforcementcount 1 &gt;&gt;C:\Users\stu\Documents\GitHub\eaglep3-reporting\EC\2016-11-10-refined-times.txt</v>
      </c>
      <c r="AI75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{"issue":{"subject":"","project_id":79,"tracker_id":40,"status_id":1,"priority_id":2,"assigned_to_id":23,"start_date":"2016-11-10","description":"","custom_fields":[{"id":1,"name":"Subdivision","value":"EC"},{"id":4,"name":"Milepost","value":"2.0448"},{"id":17,"name":"Train ID","value":"155-10"},{"id":16,"name":"Locomotive ID","value":"4011"},{"id":130,"name":"Impact","value":""},{"id":150,"name":"Time of Event (Mountain Time)","value":"10:43:57"},{"id":151,"name":"Denver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503</v>
      </c>
      <c r="B76" s="7">
        <v>4012</v>
      </c>
      <c r="C76" s="22" t="s">
        <v>226</v>
      </c>
      <c r="D76" s="22" t="s">
        <v>648</v>
      </c>
      <c r="E76" s="13">
        <v>42684.484791666669</v>
      </c>
      <c r="F76" s="13">
        <v>42684.486909722225</v>
      </c>
      <c r="G76" s="7">
        <v>1</v>
      </c>
      <c r="H76" s="22" t="s">
        <v>176</v>
      </c>
      <c r="I76" s="13">
        <v>42684.523275462961</v>
      </c>
      <c r="J76" s="7">
        <v>0</v>
      </c>
      <c r="K76" s="109" t="str">
        <f t="shared" si="0"/>
        <v>4011/4012</v>
      </c>
      <c r="L76" s="22" t="str">
        <f>VLOOKUP(A76,'Trips&amp;Operators'!$C$1:$E$10000,3,FALSE)</f>
        <v>OUN</v>
      </c>
      <c r="M76" s="6">
        <f t="shared" si="1"/>
        <v>3.6365740736073349E-2</v>
      </c>
      <c r="N76" s="7">
        <f>24*60*SUM($M76:$M76)</f>
        <v>52.366666659945622</v>
      </c>
      <c r="O76" s="7"/>
      <c r="P76" s="7"/>
      <c r="Q76" s="23"/>
      <c r="R76" s="23"/>
      <c r="S76" s="35">
        <f>SUM(U76:U76)/IF(AG76="EC",12,1)</f>
        <v>1</v>
      </c>
      <c r="T76" s="50" t="str">
        <f t="shared" si="4"/>
        <v>Southbound</v>
      </c>
      <c r="U76" s="17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https://search-rtdc-monitor-bjffxe2xuh6vdkpspy63sjmuny.us-east-1.es.amazonaws.com/_plugin/kibana/#/discover/Steve-Slow-Train-Analysis-(2080s-and-2083s)?_g=(refreshInterval:(display:Off,section:0,value:0),time:(from:'2016-11-10 10:38:06-700',mode:absolute,to:'2016-11-10 13:33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6"/>
        <v>N</v>
      </c>
      <c r="X76" s="178">
        <f t="shared" si="24"/>
        <v>1</v>
      </c>
      <c r="Y76" s="67">
        <f t="shared" si="22"/>
        <v>23.297999999999998</v>
      </c>
      <c r="Z76" s="67">
        <f t="shared" si="23"/>
        <v>1.52E-2</v>
      </c>
      <c r="AA76" s="67">
        <f t="shared" si="10"/>
        <v>23.282799999999998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0156-10</v>
      </c>
      <c r="AE76" s="91" t="str">
        <f t="shared" si="12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76" s="88" t="str">
        <f t="shared" si="13"/>
        <v>"C:\Program Files (x86)\AstroGrep\AstroGrep.exe" /spath="%USERPROFILE%\AppData\Local\Temp\OnboardLogs" /stypes="app*4012*20161110*" /stext=" 19:.+((SYSTEM_STATE.+slice.+state.+changed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156-10 --locoid 4012 --swversion DE.1.0.8.0 --startMP 204:232980 --initTime 2016-11-10T11:38:06 --startdatetime 2016-11-10T11:41:09 --delay 1 --endMP 204:152 --enddatetime 2016-11-10T12:33:31 --enforcementcount 0 &gt;&gt;C:\Users\stu\Documents\GitHub\eaglep3-reporting\EC\2016-11-10-refined-times.txt</v>
      </c>
      <c r="AI76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ID","value":"156-10"},{"id":16,"name":"Locomotive ID","value":"4012"},{"id":130,"name":"Impact","value":""},{"id":150,"name":"Time of Event (Mountain Time)","value":"12:33:31"},{"id":151,"name":"Denver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402</v>
      </c>
      <c r="B77" s="7">
        <v>4025</v>
      </c>
      <c r="C77" s="22" t="s">
        <v>226</v>
      </c>
      <c r="D77" s="22" t="s">
        <v>649</v>
      </c>
      <c r="E77" s="13">
        <v>42684.462488425925</v>
      </c>
      <c r="F77" s="13">
        <v>42684.463391203702</v>
      </c>
      <c r="G77" s="7">
        <v>1</v>
      </c>
      <c r="H77" s="22" t="s">
        <v>650</v>
      </c>
      <c r="I77" s="13">
        <v>42684.466122685182</v>
      </c>
      <c r="J77" s="7">
        <v>1</v>
      </c>
      <c r="K77" s="109" t="str">
        <f t="shared" ref="K77:K140" si="25">IF(ISEVEN(B77),(B77-1)&amp;"/"&amp;B77,B77&amp;"/"&amp;(B77+1))</f>
        <v>4025/4026</v>
      </c>
      <c r="L77" s="22" t="str">
        <f>VLOOKUP(A77,'Trips&amp;Operators'!$C$1:$E$10000,3,FALSE)</f>
        <v>STARKS</v>
      </c>
      <c r="M77" s="6">
        <f t="shared" ref="M77:M140" si="26">I77-F77</f>
        <v>2.7314814797136933E-3</v>
      </c>
      <c r="N77" s="7"/>
      <c r="O77" s="7"/>
      <c r="P77" s="7">
        <f>24*60*SUM($M77:$M79)</f>
        <v>47.83333333558403</v>
      </c>
      <c r="Q77" s="23"/>
      <c r="R77" s="23" t="s">
        <v>819</v>
      </c>
      <c r="S77" s="35">
        <f>SUM(U77:U79)/IF(AG77="EC",12,1)</f>
        <v>1</v>
      </c>
      <c r="T77" s="50" t="str">
        <f t="shared" ref="T77:T140" si="27">IF(ISEVEN(LEFT(AD77,4)),"Southbound","NorthBound")</f>
        <v>NorthBound</v>
      </c>
      <c r="U77" s="17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98" t="str">
        <f t="shared" ref="V77:V140" si="28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https://search-rtdc-monitor-bjffxe2xuh6vdkpspy63sjmuny.us-east-1.es.amazonaws.com/_plugin/kibana/#/discover/Steve-Slow-Train-Analysis-(2080s-and-2083s)?_g=(refreshInterval:(display:Off,section:0,value:0),time:(from:'2016-11-10 10:05:59-700',mode:absolute,to:'2016-11-10 12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7" s="52" t="str">
        <f t="shared" ref="W77:W140" si="29">IF(AA77&lt;IF(AG77="EC",23,5.65),"Y","N")</f>
        <v>Y</v>
      </c>
      <c r="X77" s="178">
        <f t="shared" si="24"/>
        <v>1</v>
      </c>
      <c r="Y77" s="67">
        <f t="shared" si="22"/>
        <v>1.913</v>
      </c>
      <c r="Z77" s="67">
        <f t="shared" si="23"/>
        <v>2.0446</v>
      </c>
      <c r="AA77" s="67">
        <f t="shared" ref="AA77:AA140" si="30">ABS(Z77-Y77)</f>
        <v>0.13159999999999994</v>
      </c>
      <c r="AB77" s="64" t="str">
        <f>VLOOKUP(A77,Enforcements!$C$7:$K$20,8,0)</f>
        <v>Bulletin (2)</v>
      </c>
      <c r="AC77" s="60" t="str">
        <f>VLOOKUP(A77,Enforcements!$C$7:$E$20,3,0)</f>
        <v>GRADE CROSSING</v>
      </c>
      <c r="AD77" s="61" t="str">
        <f t="shared" ref="AD77:AD140" si="31">IF(LEN(A77)=6,"0"&amp;A77,A77)</f>
        <v>0157-10</v>
      </c>
      <c r="AE77" s="91" t="str">
        <f t="shared" ref="AE77:AE140" si="3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77" s="88" t="str">
        <f t="shared" ref="AF77:AF140" si="3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/stypes="app*4025*20161110*" /stext=" 18:.+((SYSTEM_STATE.+slice.+state.+changed )|(ment ac)|(system.+state.+changed )|(\[timeout)|(PRM\|1\|D)|(kpr)|(kdp)|(\|lc)|(penalty))" /e /r /s</v>
      </c>
      <c r="AG77" s="1" t="str">
        <f t="shared" ref="AG77:AG140" si="34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157-10 --locoid 4025 --swversion DE.1.0.8.0 --startMP 204:19130 --initTime 2016-11-10T11:05:59 --startdatetime 2016-11-10T11:07:17 --delay 1 --endMP 204:20446 --enddatetime 2016-11-10T11:11:13 --enforcementcount 1 &gt;&gt;C:\Users\stu\Documents\GitHub\eaglep3-reporting\EC\2016-11-10-refined-times.txt</v>
      </c>
      <c r="AI77" s="119" t="str">
        <f t="shared" si="18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EC0206RH)","project_id":79,"tracker_id":40,"status_id":1,"priority_id":2,"assigned_to_id":23,"start_date":"2016-11-10","description":"","custom_fields":[{"id":1,"name":"Subdivision","value":"EC"},{"id":4,"name":"Milepost","value":"2.0446"},{"id":17,"name":"Train ID","value":"157-10"},{"id":16,"name":"Locomotive ID","value":"4025"},{"id":130,"name":"Impact","value":""},{"id":150,"name":"Time of Event (Mountain Time)","value":"11:11:13"},{"id":151,"name":"Denver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402</v>
      </c>
      <c r="B78" s="7">
        <v>4025</v>
      </c>
      <c r="C78" s="22" t="s">
        <v>226</v>
      </c>
      <c r="D78" s="22" t="s">
        <v>651</v>
      </c>
      <c r="E78" s="13">
        <v>42684.468298611115</v>
      </c>
      <c r="F78" s="13">
        <v>42684.46912037037</v>
      </c>
      <c r="G78" s="7">
        <v>1</v>
      </c>
      <c r="H78" s="22" t="s">
        <v>652</v>
      </c>
      <c r="I78" s="13">
        <v>42684.477592592593</v>
      </c>
      <c r="J78" s="7">
        <v>1</v>
      </c>
      <c r="K78" s="109" t="str">
        <f t="shared" si="25"/>
        <v>4025/4026</v>
      </c>
      <c r="L78" s="22" t="str">
        <f>VLOOKUP(A78,'Trips&amp;Operators'!$C$1:$E$10000,3,FALSE)</f>
        <v>STARKS</v>
      </c>
      <c r="M78" s="6">
        <f t="shared" si="26"/>
        <v>8.4722222236450762E-3</v>
      </c>
      <c r="N78" s="7"/>
      <c r="O78" s="7"/>
      <c r="P78" s="7"/>
      <c r="Q78" s="23"/>
      <c r="R78" s="23"/>
      <c r="S78" s="35"/>
      <c r="T78" s="50" t="str">
        <f t="shared" si="27"/>
        <v>NorthBound</v>
      </c>
      <c r="U78" s="17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3</v>
      </c>
      <c r="V7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10:14:21-700',mode:absolute,to:'2016-11-10 12:27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8" s="52" t="str">
        <f t="shared" si="29"/>
        <v>Y</v>
      </c>
      <c r="X78" s="178">
        <f t="shared" si="24"/>
        <v>0</v>
      </c>
      <c r="Y78" s="67">
        <f t="shared" si="22"/>
        <v>2.6303999999999998</v>
      </c>
      <c r="Z78" s="67">
        <f t="shared" si="23"/>
        <v>3.8309000000000002</v>
      </c>
      <c r="AA78" s="67">
        <f t="shared" si="30"/>
        <v>1.2005000000000003</v>
      </c>
      <c r="AB78" s="64" t="str">
        <f>VLOOKUP(A78,Enforcements!$C$7:$K$20,8,0)</f>
        <v>Bulletin (2)</v>
      </c>
      <c r="AC78" s="60" t="str">
        <f>VLOOKUP(A78,Enforcements!$C$7:$E$20,3,0)</f>
        <v>GRADE CROSSING</v>
      </c>
      <c r="AD78" s="61" t="str">
        <f t="shared" si="31"/>
        <v>0157-10</v>
      </c>
      <c r="AE78" s="91" t="str">
        <f t="shared" si="32"/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78" s="88" t="str">
        <f t="shared" si="33"/>
        <v>"C:\Program Files (x86)\AstroGrep\AstroGrep.exe" /spath="%USERPROFILE%\AppData\Local\Temp\OnboardLogs" /stypes="app*4025*20161110*" /stext=" 18:.+((SYSTEM_STATE.+slice.+state.+changed )|(ment ac)|(system.+state.+changed )|(\[timeout)|(PRM\|1\|D)|(kpr)|(kdp)|(\|lc)|(penalty))" /e /r /s</v>
      </c>
      <c r="AG78" s="1" t="str">
        <f t="shared" si="34"/>
        <v>EC</v>
      </c>
      <c r="AH78" s="92" t="str">
        <f t="shared" si="17"/>
        <v>"%USERPROFILE%\Documents\GitHub\eaglep3\Utilities\RefineRTDCRunTimes.py" --tripid 157-10 --locoid 4025 --swversion DE.1.0.8.0 --startMP 204:26304 --initTime 2016-11-10T11:14:21 --startdatetime 2016-11-10T11:15:32 --delay 1 --endMP 204:38309 --enddatetime 2016-11-10T11:27:44 --enforcementcount 1 &gt;&gt;C:\Users\stu\Documents\GitHub\eaglep3-reporting\EC\2016-11-10-refined-times.txt</v>
      </c>
      <c r="AI78" s="119" t="str">
        <f t="shared" si="18"/>
        <v>echo {"issue":{"subject":"","project_id":79,"tracker_id":40,"status_id":1,"priority_id":2,"assigned_to_id":23,"start_date":"2016-11-10","description":"","custom_fields":[{"id":1,"name":"Subdivision","value":"EC"},{"id":4,"name":"Milepost","value":"3.8309"},{"id":17,"name":"Train ID","value":"157-10"},{"id":16,"name":"Locomotive ID","value":"4025"},{"id":130,"name":"Impact","value":""},{"id":150,"name":"Time of Event (Mountain Time)","value":"11:27:44"},{"id":151,"name":"Denver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402</v>
      </c>
      <c r="B79" s="7">
        <v>4025</v>
      </c>
      <c r="C79" s="22" t="s">
        <v>226</v>
      </c>
      <c r="D79" s="22" t="s">
        <v>653</v>
      </c>
      <c r="E79" s="13">
        <v>42684.478958333333</v>
      </c>
      <c r="F79" s="13">
        <v>42684.479861111111</v>
      </c>
      <c r="G79" s="7">
        <v>1</v>
      </c>
      <c r="H79" s="22" t="s">
        <v>358</v>
      </c>
      <c r="I79" s="13">
        <v>42684.501875000002</v>
      </c>
      <c r="J79" s="7">
        <v>1</v>
      </c>
      <c r="K79" s="109" t="str">
        <f t="shared" si="25"/>
        <v>4025/4026</v>
      </c>
      <c r="L79" s="22" t="str">
        <f>VLOOKUP(A79,'Trips&amp;Operators'!$C$1:$E$10000,3,FALSE)</f>
        <v>STARKS</v>
      </c>
      <c r="M79" s="6">
        <f t="shared" si="26"/>
        <v>2.2013888890796807E-2</v>
      </c>
      <c r="N79" s="7"/>
      <c r="O79" s="7"/>
      <c r="P79" s="7"/>
      <c r="Q79" s="23"/>
      <c r="R79" s="23"/>
      <c r="S79" s="35"/>
      <c r="T79" s="50" t="str">
        <f t="shared" si="27"/>
        <v>NorthBound</v>
      </c>
      <c r="U79" s="17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9</v>
      </c>
      <c r="V7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10:29:42-700',mode:absolute,to:'2016-11-10 13:02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9" s="52" t="str">
        <f t="shared" si="29"/>
        <v>Y</v>
      </c>
      <c r="X79" s="178">
        <f t="shared" ref="X79:X82" si="35">VALUE(LEFT(AD79,4))-VALUE(LEFT(AD78,4))</f>
        <v>0</v>
      </c>
      <c r="Y79" s="67">
        <f t="shared" si="22"/>
        <v>4.1449999999999996</v>
      </c>
      <c r="Z79" s="67">
        <f t="shared" si="23"/>
        <v>23.328700000000001</v>
      </c>
      <c r="AA79" s="67">
        <f t="shared" si="30"/>
        <v>19.183700000000002</v>
      </c>
      <c r="AB79" s="64" t="str">
        <f>VLOOKUP(A79,Enforcements!$C$7:$K$20,8,0)</f>
        <v>Bulletin (2)</v>
      </c>
      <c r="AC79" s="60" t="str">
        <f>VLOOKUP(A79,Enforcements!$C$7:$E$20,3,0)</f>
        <v>GRADE CROSSING</v>
      </c>
      <c r="AD79" s="61" t="str">
        <f t="shared" si="31"/>
        <v>0157-10</v>
      </c>
      <c r="AE79" s="91" t="str">
        <f t="shared" si="32"/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79" s="88" t="str">
        <f t="shared" si="33"/>
        <v>"C:\Program Files (x86)\AstroGrep\AstroGrep.exe" /spath="%USERPROFILE%\AppData\Local\Temp\OnboardLogs" /stypes="app*4025*20161110*" /stext=" 19:.+((SYSTEM_STATE.+slice.+state.+changed )|(ment ac)|(system.+state.+changed )|(\[timeout)|(PRM\|1\|D)|(kpr)|(kdp)|(\|lc)|(penalty))" /e /r /s</v>
      </c>
      <c r="AG79" s="1" t="str">
        <f t="shared" si="34"/>
        <v>EC</v>
      </c>
      <c r="AH79" s="92" t="str">
        <f t="shared" ref="AH79:AH141" si="3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157-10 --locoid 4025 --swversion DE.1.0.8.0 --startMP 204:41450 --initTime 2016-11-10T11:29:42 --startdatetime 2016-11-10T11:31:00 --delay 1 --endMP 204:233287 --enddatetime 2016-11-10T12:02:42 --enforcementcount 1 &gt;&gt;C:\Users\stu\Documents\GitHub\eaglep3-reporting\EC\2016-11-10-refined-times.txt</v>
      </c>
      <c r="AI79" s="119" t="str">
        <f t="shared" ref="AI79:AI141" si="3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{"issue":{"subject":"","project_id":79,"tracker_id":40,"status_id":1,"priority_id":2,"assigned_to_id":23,"start_date":"2016-11-10","description":"","custom_fields":[{"id":1,"name":"Subdivision","value":"EC"},{"id":4,"name":"Milepost","value":"23.3287"},{"id":17,"name":"Train ID","value":"157-10"},{"id":16,"name":"Locomotive ID","value":"4025"},{"id":130,"name":"Impact","value":""},{"id":150,"name":"Time of Event (Mountain Time)","value":"12:02:42"},{"id":151,"name":"Denver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405</v>
      </c>
      <c r="B80" s="7">
        <v>4007</v>
      </c>
      <c r="C80" s="22" t="s">
        <v>226</v>
      </c>
      <c r="D80" s="22" t="s">
        <v>654</v>
      </c>
      <c r="E80" s="13">
        <v>42684.483703703707</v>
      </c>
      <c r="F80" s="13">
        <v>42684.484201388892</v>
      </c>
      <c r="G80" s="7">
        <v>0</v>
      </c>
      <c r="H80" s="22" t="s">
        <v>655</v>
      </c>
      <c r="I80" s="13">
        <v>42684.492754629631</v>
      </c>
      <c r="J80" s="7">
        <v>1</v>
      </c>
      <c r="K80" s="109" t="str">
        <f t="shared" si="25"/>
        <v>4007/4008</v>
      </c>
      <c r="L80" s="22" t="str">
        <f>VLOOKUP(A80,'Trips&amp;Operators'!$C$1:$E$10000,3,FALSE)</f>
        <v>SHOOK</v>
      </c>
      <c r="M80" s="6">
        <f t="shared" si="26"/>
        <v>8.55324073927477E-3</v>
      </c>
      <c r="N80" s="7"/>
      <c r="O80" s="7"/>
      <c r="P80" s="7">
        <f>24*60*SUM($M80:$M82)</f>
        <v>63.916666667209938</v>
      </c>
      <c r="Q80" s="23"/>
      <c r="R80" s="23" t="s">
        <v>819</v>
      </c>
      <c r="S80" s="35">
        <f>SUM(U80:U82)/IF(AG80="EC",12,1)</f>
        <v>1</v>
      </c>
      <c r="T80" s="50" t="str">
        <f t="shared" si="27"/>
        <v>NorthBound</v>
      </c>
      <c r="U80" s="17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3</v>
      </c>
      <c r="V8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10:36:32-700',mode:absolute,to:'2016-11-10 12:49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0" s="52" t="str">
        <f t="shared" si="29"/>
        <v>Y</v>
      </c>
      <c r="X80" s="178" t="e">
        <f>VALUE(LEFT(AD80,4))-VALUE(LEFT(#REF!,4))</f>
        <v>#REF!</v>
      </c>
      <c r="Y80" s="67">
        <f t="shared" si="22"/>
        <v>2.7033</v>
      </c>
      <c r="Z80" s="67">
        <f t="shared" si="23"/>
        <v>3.8365</v>
      </c>
      <c r="AA80" s="67">
        <f t="shared" si="30"/>
        <v>1.1332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1"/>
        <v>0161-10</v>
      </c>
      <c r="AE80" s="91" t="str">
        <f t="shared" si="32"/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80" s="88" t="str">
        <f t="shared" si="33"/>
        <v>"C:\Program Files (x86)\AstroGrep\AstroGrep.exe" /spath="%USERPROFILE%\AppData\Local\Temp\OnboardLogs" /stypes="app*4007*20161110*" /stext=" 18:.+((SYSTEM_STATE.+slice.+state.+changed )|(ment ac)|(system.+state.+changed )|(\[timeout)|(PRM\|1\|D)|(kpr)|(kdp)|(\|lc)|(penalty))" /e /r /s</v>
      </c>
      <c r="AG80" s="1" t="str">
        <f t="shared" si="34"/>
        <v>EC</v>
      </c>
      <c r="AH80" s="92" t="str">
        <f t="shared" si="36"/>
        <v>"%USERPROFILE%\Documents\GitHub\eaglep3\Utilities\RefineRTDCRunTimes.py" --tripid 161-10 --locoid 4007 --swversion DE.1.0.8.0 --startMP 204:27033 --initTime 2016-11-10T11:36:32 --startdatetime 2016-11-10T11:37:15 --delay 0 --endMP 204:38365 --enddatetime 2016-11-10T11:49:34 --enforcementcount 1 &gt;&gt;C:\Users\stu\Documents\GitHub\eaglep3-reporting\EC\2016-11-10-refined-times.txt</v>
      </c>
      <c r="AI80" s="119" t="str">
        <f t="shared" si="37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EC0206RH)","project_id":79,"tracker_id":40,"status_id":1,"priority_id":2,"assigned_to_id":23,"start_date":"2016-11-10","description":"","custom_fields":[{"id":1,"name":"Subdivision","value":"EC"},{"id":4,"name":"Milepost","value":"3.8365"},{"id":17,"name":"Train ID","value":"161-10"},{"id":16,"name":"Locomotive ID","value":"4007"},{"id":130,"name":"Impact","value":""},{"id":150,"name":"Time of Event (Mountain Time)","value":"11:49:34"},{"id":151,"name":"Denver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405</v>
      </c>
      <c r="B81" s="7">
        <v>4007</v>
      </c>
      <c r="C81" s="22" t="s">
        <v>226</v>
      </c>
      <c r="D81" s="22" t="s">
        <v>656</v>
      </c>
      <c r="E81" s="13">
        <v>42684.494444444441</v>
      </c>
      <c r="F81" s="13">
        <v>42684.495219907411</v>
      </c>
      <c r="G81" s="7">
        <v>1</v>
      </c>
      <c r="H81" s="22" t="s">
        <v>342</v>
      </c>
      <c r="I81" s="13">
        <v>42684.516851851855</v>
      </c>
      <c r="J81" s="7">
        <v>1</v>
      </c>
      <c r="K81" s="109" t="str">
        <f t="shared" si="25"/>
        <v>4007/4008</v>
      </c>
      <c r="L81" s="22" t="str">
        <f>VLOOKUP(A81,'Trips&amp;Operators'!$C$1:$E$10000,3,FALSE)</f>
        <v>SHOOK</v>
      </c>
      <c r="M81" s="6">
        <f t="shared" si="26"/>
        <v>2.1631944444379769E-2</v>
      </c>
      <c r="N81" s="7"/>
      <c r="O81" s="7"/>
      <c r="P81" s="7"/>
      <c r="Q81" s="23"/>
      <c r="R81" s="23"/>
      <c r="S81" s="35"/>
      <c r="T81" s="50" t="str">
        <f t="shared" si="27"/>
        <v>NorthBound</v>
      </c>
      <c r="U81" s="17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9</v>
      </c>
      <c r="V8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10:52:00-700',mode:absolute,to:'2016-11-10 13:24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1" s="52" t="str">
        <f t="shared" si="29"/>
        <v>Y</v>
      </c>
      <c r="X81" s="178">
        <f t="shared" si="35"/>
        <v>0</v>
      </c>
      <c r="Y81" s="67">
        <f t="shared" si="22"/>
        <v>4.2763</v>
      </c>
      <c r="Z81" s="67">
        <f t="shared" si="23"/>
        <v>23.334700000000002</v>
      </c>
      <c r="AA81" s="67">
        <f t="shared" si="30"/>
        <v>19.058400000000002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1"/>
        <v>0161-10</v>
      </c>
      <c r="AE81" s="91" t="str">
        <f t="shared" si="32"/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81" s="88" t="str">
        <f t="shared" si="33"/>
        <v>"C:\Program Files (x86)\AstroGrep\AstroGrep.exe" /spath="%USERPROFILE%\AppData\Local\Temp\OnboardLogs" /stypes="app*4007*20161110*" /stext=" 19:.+((SYSTEM_STATE.+slice.+state.+changed )|(ment ac)|(system.+state.+changed )|(\[timeout)|(PRM\|1\|D)|(kpr)|(kdp)|(\|lc)|(penalty))" /e /r /s</v>
      </c>
      <c r="AG81" s="1" t="str">
        <f t="shared" si="34"/>
        <v>EC</v>
      </c>
      <c r="AH81" s="92" t="str">
        <f t="shared" si="36"/>
        <v>"%USERPROFILE%\Documents\GitHub\eaglep3\Utilities\RefineRTDCRunTimes.py" --tripid 161-10 --locoid 4007 --swversion DE.1.0.8.0 --startMP 204:42763 --initTime 2016-11-10T11:52:00 --startdatetime 2016-11-10T11:53:07 --delay 1 --endMP 204:233347 --enddatetime 2016-11-10T12:24:16 --enforcementcount 1 &gt;&gt;C:\Users\stu\Documents\GitHub\eaglep3-reporting\EC\2016-11-10-refined-times.txt</v>
      </c>
      <c r="AI81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{"issue":{"subject":"","project_id":79,"tracker_id":40,"status_id":1,"priority_id":2,"assigned_to_id":23,"start_date":"2016-11-10","description":"","custom_fields":[{"id":1,"name":"Subdivision","value":"EC"},{"id":4,"name":"Milepost","value":"23.3347"},{"id":17,"name":"Train ID","value":"161-10"},{"id":16,"name":"Locomotive ID","value":"4007"},{"id":130,"name":"Impact","value":""},{"id":150,"name":"Time of Event (Mountain Time)","value":"12:24:16"},{"id":151,"name":"Denver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405</v>
      </c>
      <c r="B82" s="7">
        <v>4007</v>
      </c>
      <c r="C82" s="22" t="s">
        <v>226</v>
      </c>
      <c r="D82" s="22" t="s">
        <v>264</v>
      </c>
      <c r="E82" s="13">
        <v>42684.463020833333</v>
      </c>
      <c r="F82" s="13">
        <v>42684.464074074072</v>
      </c>
      <c r="G82" s="7">
        <v>1</v>
      </c>
      <c r="H82" s="22" t="s">
        <v>657</v>
      </c>
      <c r="I82" s="13">
        <v>42684.478275462963</v>
      </c>
      <c r="J82" s="7">
        <v>0</v>
      </c>
      <c r="K82" s="109" t="str">
        <f t="shared" si="25"/>
        <v>4007/4008</v>
      </c>
      <c r="L82" s="22" t="str">
        <f>VLOOKUP(A82,'Trips&amp;Operators'!$C$1:$E$10000,3,FALSE)</f>
        <v>SHOOK</v>
      </c>
      <c r="M82" s="6">
        <f t="shared" si="26"/>
        <v>1.4201388890796807E-2</v>
      </c>
      <c r="N82" s="7"/>
      <c r="O82" s="7"/>
      <c r="P82" s="7"/>
      <c r="Q82" s="23"/>
      <c r="R82" s="23"/>
      <c r="S82" s="35"/>
      <c r="T82" s="50" t="str">
        <f t="shared" si="27"/>
        <v>NorthBound</v>
      </c>
      <c r="U82" s="17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10:06:45-700',mode:absolute,to:'2016-11-10 12:28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2" s="52" t="str">
        <f t="shared" si="29"/>
        <v>Y</v>
      </c>
      <c r="X82" s="178">
        <f t="shared" si="35"/>
        <v>0</v>
      </c>
      <c r="Y82" s="67">
        <f t="shared" si="22"/>
        <v>4.6699999999999998E-2</v>
      </c>
      <c r="Z82" s="67">
        <f t="shared" si="23"/>
        <v>2.0295999999999998</v>
      </c>
      <c r="AA82" s="67">
        <f t="shared" si="30"/>
        <v>1.9828999999999999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1"/>
        <v>0161-10</v>
      </c>
      <c r="AE82" s="91" t="str">
        <f t="shared" si="32"/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82" s="88" t="str">
        <f t="shared" si="33"/>
        <v>"C:\Program Files (x86)\AstroGrep\AstroGrep.exe" /spath="%USERPROFILE%\AppData\Local\Temp\OnboardLogs" /stypes="app*4007*20161110*" /stext=" 18:.+((SYSTEM_STATE.+slice.+state.+changed )|(ment ac)|(system.+state.+changed )|(\[timeout)|(PRM\|1\|D)|(kpr)|(kdp)|(\|lc)|(penalty))" /e /r /s</v>
      </c>
      <c r="AG82" s="1" t="str">
        <f t="shared" si="34"/>
        <v>EC</v>
      </c>
      <c r="AH82" s="92" t="str">
        <f t="shared" si="36"/>
        <v>"%USERPROFILE%\Documents\GitHub\eaglep3\Utilities\RefineRTDCRunTimes.py" --tripid 161-10 --locoid 4007 --swversion DE.1.0.8.0 --startMP 204:467 --initTime 2016-11-10T11:06:45 --startdatetime 2016-11-10T11:08:16 --delay 1 --endMP 204:20296 --enddatetime 2016-11-10T11:28:43 --enforcementcount 0 &gt;&gt;C:\Users\stu\Documents\GitHub\eaglep3-reporting\EC\2016-11-10-refined-times.txt</v>
      </c>
      <c r="AI82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{"issue":{"subject":"","project_id":79,"tracker_id":40,"status_id":1,"priority_id":2,"assigned_to_id":23,"start_date":"2016-11-10","description":"","custom_fields":[{"id":1,"name":"Subdivision","value":"EC"},{"id":4,"name":"Milepost","value":"2.0296"},{"id":17,"name":"Train ID","value":"161-10"},{"id":16,"name":"Locomotive ID","value":"4007"},{"id":130,"name":"Impact","value":""},{"id":150,"name":"Time of Event (Mountain Time)","value":"11:28:43"},{"id":151,"name":"Denver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506</v>
      </c>
      <c r="B83" s="7">
        <v>4026</v>
      </c>
      <c r="C83" s="22" t="s">
        <v>226</v>
      </c>
      <c r="D83" s="22" t="s">
        <v>658</v>
      </c>
      <c r="E83" s="13">
        <v>42684.506979166668</v>
      </c>
      <c r="F83" s="13">
        <v>42684.509305555555</v>
      </c>
      <c r="G83" s="7">
        <v>2</v>
      </c>
      <c r="H83" s="22" t="s">
        <v>258</v>
      </c>
      <c r="I83" s="13">
        <v>42684.543680555558</v>
      </c>
      <c r="J83" s="7">
        <v>0</v>
      </c>
      <c r="K83" s="109" t="str">
        <f t="shared" si="25"/>
        <v>4025/4026</v>
      </c>
      <c r="L83" s="22" t="str">
        <f>VLOOKUP(A83,'Trips&amp;Operators'!$C$1:$E$10000,3,FALSE)</f>
        <v>STARKS</v>
      </c>
      <c r="M83" s="6">
        <f t="shared" si="26"/>
        <v>3.4375000002910383E-2</v>
      </c>
      <c r="N83" s="7">
        <f>24*60*SUM($M83:$M83)</f>
        <v>49.500000004190952</v>
      </c>
      <c r="O83" s="7"/>
      <c r="P83" s="7"/>
      <c r="Q83" s="23"/>
      <c r="R83" s="23"/>
      <c r="S83" s="35">
        <f>SUM(U83:U83)/IF(AG83="EC",12,1)</f>
        <v>1</v>
      </c>
      <c r="T83" s="50" t="str">
        <f t="shared" si="27"/>
        <v>Southbound</v>
      </c>
      <c r="U83" s="17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11:10:03-700',mode:absolute,to:'2016-11-10 14:02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3" s="52" t="str">
        <f t="shared" si="29"/>
        <v>N</v>
      </c>
      <c r="X83" s="178">
        <f t="shared" ref="X83:X114" si="38">VALUE(LEFT(AD83,4))-VALUE(LEFT(AD82,4))</f>
        <v>1</v>
      </c>
      <c r="Y83" s="67">
        <f t="shared" si="22"/>
        <v>23.296800000000001</v>
      </c>
      <c r="Z83" s="67">
        <f t="shared" si="23"/>
        <v>1.4999999999999999E-2</v>
      </c>
      <c r="AA83" s="67">
        <f t="shared" si="30"/>
        <v>23.2818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1"/>
        <v>0162-10</v>
      </c>
      <c r="AE83" s="91" t="str">
        <f t="shared" si="32"/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83" s="88" t="str">
        <f t="shared" si="33"/>
        <v>"C:\Program Files (x86)\AstroGrep\AstroGrep.exe" /spath="%USERPROFILE%\AppData\Local\Temp\OnboardLogs" /stypes="app*4026*20161110*" /stext=" 20:.+((SYSTEM_STATE.+slice.+state.+changed )|(ment ac)|(system.+state.+changed )|(\[timeout)|(PRM\|1\|D)|(kpr)|(kdp)|(\|lc)|(penalty))" /e /r /s</v>
      </c>
      <c r="AG83" s="1" t="str">
        <f t="shared" si="34"/>
        <v>EC</v>
      </c>
      <c r="AH83" s="92" t="str">
        <f t="shared" si="36"/>
        <v>"%USERPROFILE%\Documents\GitHub\eaglep3\Utilities\RefineRTDCRunTimes.py" --tripid 162-10 --locoid 4026 --swversion DE.1.0.8.0 --startMP 204:232968 --initTime 2016-11-10T12:10:03 --startdatetime 2016-11-10T12:13:24 --delay 2 --endMP 204:150 --enddatetime 2016-11-10T13:02:54 --enforcementcount 0 &gt;&gt;C:\Users\stu\Documents\GitHub\eaglep3-reporting\EC\2016-11-10-refined-times.txt</v>
      </c>
      <c r="AI83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{"issue":{"subject":"","project_id":79,"tracker_id":40,"status_id":1,"priority_id":2,"assigned_to_id":23,"start_date":"2016-11-10","description":"","custom_fields":[{"id":1,"name":"Subdivision","value":"EC"},{"id":4,"name":"Milepost","value":"0.015"},{"id":17,"name":"Train ID","value":"162-10"},{"id":16,"name":"Locomotive ID","value":"4026"},{"id":130,"name":"Impact","value":""},{"id":150,"name":"Time of Event (Mountain Time)","value":"13:02:54"},{"id":151,"name":"Denver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509</v>
      </c>
      <c r="B84" s="7">
        <v>4021</v>
      </c>
      <c r="C84" s="22" t="s">
        <v>226</v>
      </c>
      <c r="D84" s="22" t="s">
        <v>659</v>
      </c>
      <c r="E84" s="13">
        <v>42684.516099537039</v>
      </c>
      <c r="F84" s="13">
        <v>42684.518865740742</v>
      </c>
      <c r="G84" s="7">
        <v>2</v>
      </c>
      <c r="H84" s="22" t="s">
        <v>223</v>
      </c>
      <c r="I84" s="13">
        <v>42684.552581018521</v>
      </c>
      <c r="J84" s="7">
        <v>0</v>
      </c>
      <c r="K84" s="109" t="str">
        <f t="shared" si="25"/>
        <v>4021/4022</v>
      </c>
      <c r="L84" s="22" t="str">
        <f>VLOOKUP(A84,'Trips&amp;Operators'!$C$1:$E$10000,3,FALSE)</f>
        <v>BONDS</v>
      </c>
      <c r="M84" s="6">
        <f t="shared" si="26"/>
        <v>3.3715277779265307E-2</v>
      </c>
      <c r="N84" s="7">
        <f>24*60*SUM($M84:$M84)</f>
        <v>48.550000002142042</v>
      </c>
      <c r="O84" s="7"/>
      <c r="P84" s="7"/>
      <c r="Q84" s="23"/>
      <c r="R84" s="23"/>
      <c r="S84" s="35">
        <f>SUM(U84:U84)/IF(AG84="EC",12,1)</f>
        <v>1</v>
      </c>
      <c r="T84" s="50" t="str">
        <f t="shared" si="27"/>
        <v>Southbound</v>
      </c>
      <c r="U84" s="17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11:23:11-700',mode:absolute,to:'2016-11-10 14:15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4" s="52" t="str">
        <f t="shared" si="29"/>
        <v>N</v>
      </c>
      <c r="X84" s="178">
        <f t="shared" si="38"/>
        <v>2</v>
      </c>
      <c r="Y84" s="67">
        <f t="shared" si="22"/>
        <v>23.296500000000002</v>
      </c>
      <c r="Z84" s="67">
        <f t="shared" si="23"/>
        <v>1.61E-2</v>
      </c>
      <c r="AA84" s="67">
        <f t="shared" si="30"/>
        <v>23.2804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1"/>
        <v>0164-10</v>
      </c>
      <c r="AE84" s="91" t="str">
        <f t="shared" si="32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84" s="88" t="str">
        <f t="shared" si="33"/>
        <v>"C:\Program Files (x86)\AstroGrep\AstroGrep.exe" /spath="%USERPROFILE%\AppData\Local\Temp\OnboardLogs" /stypes="app*4021*20161110*" /stext=" 20:.+((SYSTEM_STATE.+slice.+state.+changed )|(ment ac)|(system.+state.+changed )|(\[timeout)|(PRM\|1\|D)|(kpr)|(kdp)|(\|lc)|(penalty))" /e /r /s</v>
      </c>
      <c r="AG84" s="1" t="str">
        <f t="shared" si="34"/>
        <v>EC</v>
      </c>
      <c r="AH84" s="92" t="str">
        <f t="shared" si="36"/>
        <v>"%USERPROFILE%\Documents\GitHub\eaglep3\Utilities\RefineRTDCRunTimes.py" --tripid 164-10 --locoid 4021 --swversion DE.1.0.8.0 --startMP 204:232965 --initTime 2016-11-10T12:23:11 --startdatetime 2016-11-10T12:27:10 --delay 2 --endMP 204:161 --enddatetime 2016-11-10T13:15:43 --enforcementcount 0 &gt;&gt;C:\Users\stu\Documents\GitHub\eaglep3-reporting\EC\2016-11-10-refined-times.txt</v>
      </c>
      <c r="AI84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{"issue":{"subject":"","project_id":79,"tracker_id":40,"status_id":1,"priority_id":2,"assigned_to_id":23,"start_date":"2016-11-10","description":"","custom_fields":[{"id":1,"name":"Subdivision","value":"EC"},{"id":4,"name":"Milepost","value":"0.0161"},{"id":17,"name":"Train ID","value":"164-10"},{"id":16,"name":"Locomotive ID","value":"4021"},{"id":130,"name":"Impact","value":""},{"id":150,"name":"Time of Event (Mountain Time)","value":"13:15:43"},{"id":151,"name":"Denver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408</v>
      </c>
      <c r="B85" s="7">
        <v>4038</v>
      </c>
      <c r="C85" s="22" t="s">
        <v>226</v>
      </c>
      <c r="D85" s="22" t="s">
        <v>660</v>
      </c>
      <c r="E85" s="13">
        <v>42684.507002314815</v>
      </c>
      <c r="F85" s="13">
        <v>42684.507743055554</v>
      </c>
      <c r="G85" s="7">
        <v>1</v>
      </c>
      <c r="H85" s="22" t="s">
        <v>661</v>
      </c>
      <c r="I85" s="13">
        <v>42684.517141203702</v>
      </c>
      <c r="J85" s="7">
        <v>2</v>
      </c>
      <c r="K85" s="109" t="str">
        <f t="shared" si="25"/>
        <v>4037/4038</v>
      </c>
      <c r="L85" s="22" t="str">
        <f>VLOOKUP(A85,'Trips&amp;Operators'!$C$1:$E$10000,3,FALSE)</f>
        <v>NEWELL</v>
      </c>
      <c r="M85" s="6">
        <f t="shared" si="26"/>
        <v>9.3981481477385387E-3</v>
      </c>
      <c r="N85" s="7"/>
      <c r="O85" s="7"/>
      <c r="P85" s="7">
        <f>24*60*SUM($M85:$M87)</f>
        <v>55.600000005215406</v>
      </c>
      <c r="Q85" s="23"/>
      <c r="R85" s="23" t="s">
        <v>819</v>
      </c>
      <c r="S85" s="35">
        <f>SUM(U85:U87)/IF(AG85="EC",12,1)</f>
        <v>1</v>
      </c>
      <c r="T85" s="50" t="str">
        <f t="shared" si="27"/>
        <v>NorthBound</v>
      </c>
      <c r="U85" s="17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3</v>
      </c>
      <c r="V8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11:10:05-700',mode:absolute,to:'2016-11-10 13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5" s="52" t="str">
        <f t="shared" si="29"/>
        <v>Y</v>
      </c>
      <c r="X85" s="178">
        <f t="shared" si="38"/>
        <v>1</v>
      </c>
      <c r="Y85" s="67">
        <f t="shared" si="22"/>
        <v>2.7082999999999999</v>
      </c>
      <c r="Z85" s="67">
        <f t="shared" si="23"/>
        <v>3.8504</v>
      </c>
      <c r="AA85" s="67">
        <f t="shared" si="30"/>
        <v>1.1421000000000001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1"/>
        <v>0165-10</v>
      </c>
      <c r="AE85" s="91" t="str">
        <f t="shared" si="32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85" s="88" t="str">
        <f t="shared" si="33"/>
        <v>"C:\Program Files (x86)\AstroGrep\AstroGrep.exe" /spath="%USERPROFILE%\AppData\Local\Temp\OnboardLogs" /stypes="app*4038*20161110*" /stext=" 19:.+((SYSTEM_STATE.+slice.+state.+changed )|(ment ac)|(system.+state.+changed )|(\[timeout)|(PRM\|1\|D)|(kpr)|(kdp)|(\|lc)|(penalty))" /e /r /s</v>
      </c>
      <c r="AG85" s="1" t="str">
        <f t="shared" si="34"/>
        <v>EC</v>
      </c>
      <c r="AH85" s="92" t="str">
        <f t="shared" si="36"/>
        <v>"%USERPROFILE%\Documents\GitHub\eaglep3\Utilities\RefineRTDCRunTimes.py" --tripid 165-10 --locoid 4038 --swversion DE.1.0.8.0 --startMP 204:27083 --initTime 2016-11-10T12:10:05 --startdatetime 2016-11-10T12:11:09 --delay 1 --endMP 204:38504 --enddatetime 2016-11-10T12:24:41 --enforcementcount 2 &gt;&gt;C:\Users\stu\Documents\GitHub\eaglep3-reporting\EC\2016-11-10-refined-times.txt</v>
      </c>
      <c r="AI85" s="119" t="str">
        <f t="shared" si="37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EC0206RH)","project_id":79,"tracker_id":40,"status_id":1,"priority_id":2,"assigned_to_id":23,"start_date":"2016-11-10","description":"","custom_fields":[{"id":1,"name":"Subdivision","value":"EC"},{"id":4,"name":"Milepost","value":"3.8504"},{"id":17,"name":"Train ID","value":"165-10"},{"id":16,"name":"Locomotive ID","value":"4038"},{"id":130,"name":"Impact","value":""},{"id":150,"name":"Time of Event (Mountain Time)","value":"12:24:41"},{"id":151,"name":"Denver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408</v>
      </c>
      <c r="B86" s="7">
        <v>4038</v>
      </c>
      <c r="C86" s="22" t="s">
        <v>226</v>
      </c>
      <c r="D86" s="22" t="s">
        <v>662</v>
      </c>
      <c r="E86" s="13">
        <v>42684.518726851849</v>
      </c>
      <c r="F86" s="13">
        <v>42684.519224537034</v>
      </c>
      <c r="G86" s="7">
        <v>0</v>
      </c>
      <c r="H86" s="22" t="s">
        <v>615</v>
      </c>
      <c r="I86" s="13">
        <v>42684.539988425924</v>
      </c>
      <c r="J86" s="7">
        <v>1</v>
      </c>
      <c r="K86" s="109" t="str">
        <f t="shared" si="25"/>
        <v>4037/4038</v>
      </c>
      <c r="L86" s="22" t="str">
        <f>VLOOKUP(A86,'Trips&amp;Operators'!$C$1:$E$10000,3,FALSE)</f>
        <v>NEWELL</v>
      </c>
      <c r="M86" s="6">
        <f t="shared" si="26"/>
        <v>2.0763888889632653E-2</v>
      </c>
      <c r="N86" s="7"/>
      <c r="O86" s="7"/>
      <c r="P86" s="7"/>
      <c r="Q86" s="23"/>
      <c r="R86" s="23"/>
      <c r="S86" s="35"/>
      <c r="T86" s="50" t="str">
        <f t="shared" si="27"/>
        <v>NorthBound</v>
      </c>
      <c r="U86" s="17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9</v>
      </c>
      <c r="V8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11:26:58-700',mode:absolute,to:'2016-11-10 13:57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6" s="52" t="str">
        <f t="shared" si="29"/>
        <v>Y</v>
      </c>
      <c r="X86" s="178">
        <f t="shared" si="38"/>
        <v>0</v>
      </c>
      <c r="Y86" s="67">
        <f t="shared" si="22"/>
        <v>4.2798999999999996</v>
      </c>
      <c r="Z86" s="67">
        <f t="shared" si="23"/>
        <v>23.331399999999999</v>
      </c>
      <c r="AA86" s="67">
        <f t="shared" si="30"/>
        <v>19.051499999999997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1"/>
        <v>0165-10</v>
      </c>
      <c r="AE86" s="91" t="str">
        <f t="shared" si="32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86" s="88" t="str">
        <f t="shared" si="33"/>
        <v>"C:\Program Files (x86)\AstroGrep\AstroGrep.exe" /spath="%USERPROFILE%\AppData\Local\Temp\OnboardLogs" /stypes="app*4038*20161110*" /stext=" 19:.+((SYSTEM_STATE.+slice.+state.+changed )|(ment ac)|(system.+state.+changed )|(\[timeout)|(PRM\|1\|D)|(kpr)|(kdp)|(\|lc)|(penalty))" /e /r /s</v>
      </c>
      <c r="AG86" s="1" t="str">
        <f t="shared" si="34"/>
        <v>EC</v>
      </c>
      <c r="AH86" s="92" t="str">
        <f t="shared" si="36"/>
        <v>"%USERPROFILE%\Documents\GitHub\eaglep3\Utilities\RefineRTDCRunTimes.py" --tripid 165-10 --locoid 4038 --swversion DE.1.0.8.0 --startMP 204:42799 --initTime 2016-11-10T12:26:58 --startdatetime 2016-11-10T12:27:41 --delay 0 --endMP 204:233314 --enddatetime 2016-11-10T12:57:35 --enforcementcount 1 &gt;&gt;C:\Users\stu\Documents\GitHub\eaglep3-reporting\EC\2016-11-10-refined-times.txt</v>
      </c>
      <c r="AI86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{"issue":{"subject":"","project_id":79,"tracker_id":40,"status_id":1,"priority_id":2,"assigned_to_id":23,"start_date":"2016-11-10","description":"","custom_fields":[{"id":1,"name":"Subdivision","value":"EC"},{"id":4,"name":"Milepost","value":"23.3314"},{"id":17,"name":"Train ID","value":"165-10"},{"id":16,"name":"Locomotive ID","value":"4038"},{"id":130,"name":"Impact","value":""},{"id":150,"name":"Time of Event (Mountain Time)","value":"12:57:35"},{"id":151,"name":"Denver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408</v>
      </c>
      <c r="B87" s="7">
        <v>4038</v>
      </c>
      <c r="C87" s="22" t="s">
        <v>226</v>
      </c>
      <c r="D87" s="22" t="s">
        <v>663</v>
      </c>
      <c r="E87" s="13">
        <v>42684.493831018517</v>
      </c>
      <c r="F87" s="13">
        <v>42684.494675925926</v>
      </c>
      <c r="G87" s="7">
        <v>1</v>
      </c>
      <c r="H87" s="22" t="s">
        <v>664</v>
      </c>
      <c r="I87" s="13">
        <v>42684.503125000003</v>
      </c>
      <c r="J87" s="7">
        <v>0</v>
      </c>
      <c r="K87" s="109" t="str">
        <f t="shared" si="25"/>
        <v>4037/4038</v>
      </c>
      <c r="L87" s="22" t="str">
        <f>VLOOKUP(A87,'Trips&amp;Operators'!$C$1:$E$10000,3,FALSE)</f>
        <v>NEWELL</v>
      </c>
      <c r="M87" s="6">
        <f t="shared" si="26"/>
        <v>8.449074077361729E-3</v>
      </c>
      <c r="N87" s="7"/>
      <c r="O87" s="7"/>
      <c r="P87" s="7"/>
      <c r="Q87" s="23"/>
      <c r="R87" s="23"/>
      <c r="S87" s="35"/>
      <c r="T87" s="50" t="str">
        <f t="shared" si="27"/>
        <v>NorthBound</v>
      </c>
      <c r="U87" s="17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10:51:07-700',mode:absolute,to:'2016-11-10 13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7" s="52" t="str">
        <f t="shared" si="29"/>
        <v>Y</v>
      </c>
      <c r="X87" s="178">
        <f t="shared" si="38"/>
        <v>0</v>
      </c>
      <c r="Y87" s="67">
        <f t="shared" si="22"/>
        <v>6.2199999999999998E-2</v>
      </c>
      <c r="Z87" s="67">
        <f t="shared" si="23"/>
        <v>1.9211</v>
      </c>
      <c r="AA87" s="67">
        <f t="shared" si="30"/>
        <v>1.8589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1"/>
        <v>0165-10</v>
      </c>
      <c r="AE87" s="91" t="str">
        <f t="shared" si="32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87" s="88" t="str">
        <f t="shared" si="33"/>
        <v>"C:\Program Files (x86)\AstroGrep\AstroGrep.exe" /spath="%USERPROFILE%\AppData\Local\Temp\OnboardLogs" /stypes="app*4038*20161110*" /stext=" 19:.+((SYSTEM_STATE.+slice.+state.+changed )|(ment ac)|(system.+state.+changed )|(\[timeout)|(PRM\|1\|D)|(kpr)|(kdp)|(\|lc)|(penalty))" /e /r /s</v>
      </c>
      <c r="AG87" s="1" t="str">
        <f t="shared" si="34"/>
        <v>EC</v>
      </c>
      <c r="AH87" s="92" t="str">
        <f t="shared" si="36"/>
        <v>"%USERPROFILE%\Documents\GitHub\eaglep3\Utilities\RefineRTDCRunTimes.py" --tripid 165-10 --locoid 4038 --swversion DE.1.0.8.0 --startMP 204:622 --initTime 2016-11-10T11:51:07 --startdatetime 2016-11-10T11:52:20 --delay 1 --endMP 204:19211 --enddatetime 2016-11-10T12:04:30 --enforcementcount 0 &gt;&gt;C:\Users\stu\Documents\GitHub\eaglep3-reporting\EC\2016-11-10-refined-times.txt</v>
      </c>
      <c r="AI87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{"issue":{"subject":"","project_id":79,"tracker_id":40,"status_id":1,"priority_id":2,"assigned_to_id":23,"start_date":"2016-11-10","description":"","custom_fields":[{"id":1,"name":"Subdivision","value":"EC"},{"id":4,"name":"Milepost","value":"1.9211"},{"id":17,"name":"Train ID","value":"165-10"},{"id":16,"name":"Locomotive ID","value":"4038"},{"id":130,"name":"Impact","value":""},{"id":150,"name":"Time of Event (Mountain Time)","value":"12:04:30"},{"id":151,"name":"Denver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505</v>
      </c>
      <c r="B88" s="7">
        <v>4053</v>
      </c>
      <c r="C88" s="22" t="s">
        <v>226</v>
      </c>
      <c r="D88" s="22" t="s">
        <v>354</v>
      </c>
      <c r="E88" s="13">
        <v>42684.504675925928</v>
      </c>
      <c r="F88" s="13">
        <v>42684.518368055556</v>
      </c>
      <c r="G88" s="7">
        <v>1</v>
      </c>
      <c r="H88" s="22" t="s">
        <v>264</v>
      </c>
      <c r="I88" s="13">
        <v>42684.531412037039</v>
      </c>
      <c r="J88" s="7">
        <v>0</v>
      </c>
      <c r="K88" s="109" t="str">
        <f t="shared" si="25"/>
        <v>4053/4054</v>
      </c>
      <c r="L88" s="22" t="str">
        <f>VLOOKUP(A88,'Trips&amp;Operators'!$C$1:$E$10000,3,FALSE)</f>
        <v>YOUNG</v>
      </c>
      <c r="M88" s="6">
        <f t="shared" si="26"/>
        <v>1.3043981482042E-2</v>
      </c>
      <c r="N88" s="7">
        <f>24*60*SUM($M88:$M88)</f>
        <v>18.78333333414048</v>
      </c>
      <c r="O88" s="7"/>
      <c r="P88" s="7"/>
      <c r="Q88" s="23"/>
      <c r="R88" s="23"/>
      <c r="S88" s="35">
        <f>SUM(U88:U88)/IF(AG88="EC",12,1)</f>
        <v>0</v>
      </c>
      <c r="T88" s="50" t="str">
        <f t="shared" si="27"/>
        <v>NorthBound</v>
      </c>
      <c r="U88" s="17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0</v>
      </c>
      <c r="V8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11:06:44-700',mode:absolute,to:'2016-11-10 13:45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8" s="52" t="str">
        <f t="shared" si="29"/>
        <v>Y</v>
      </c>
      <c r="X88" s="178">
        <f t="shared" si="38"/>
        <v>2</v>
      </c>
      <c r="Y88" s="67">
        <f t="shared" si="22"/>
        <v>4.7100000000000003E-2</v>
      </c>
      <c r="Z88" s="67">
        <f t="shared" si="23"/>
        <v>4.6699999999999998E-2</v>
      </c>
      <c r="AA88" s="67">
        <f t="shared" si="30"/>
        <v>4.0000000000000452E-4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1"/>
        <v>0167-10</v>
      </c>
      <c r="AE88" s="91" t="str">
        <f t="shared" si="32"/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88" s="88" t="str">
        <f t="shared" si="33"/>
        <v>"C:\Program Files (x86)\AstroGrep\AstroGrep.exe" /spath="%USERPROFILE%\AppData\Local\Temp\OnboardLogs" /stypes="app*4053*20161110*" /stext=" 19:.+((SYSTEM_STATE.+slice.+state.+changed )|(ment ac)|(system.+state.+changed )|(\[timeout)|(PRM\|1\|D)|(kpr)|(kdp)|(\|lc)|(penalty))" /e /r /s</v>
      </c>
      <c r="AG88" s="1" t="str">
        <f t="shared" si="34"/>
        <v>EC</v>
      </c>
      <c r="AH88" s="92" t="str">
        <f t="shared" si="36"/>
        <v>"%USERPROFILE%\Documents\GitHub\eaglep3\Utilities\RefineRTDCRunTimes.py" --tripid 167-10 --locoid 4053 --swversion DE.1.0.8.0 --startMP 204:471 --initTime 2016-11-10T12:06:44 --startdatetime 2016-11-10T12:26:27 --delay 1 --endMP 204:467 --enddatetime 2016-11-10T12:45:14 --enforcementcount 0 &gt;&gt;C:\Users\stu\Documents\GitHub\eaglep3-reporting\EC\2016-11-10-refined-times.txt</v>
      </c>
      <c r="AI88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{"issue":{"subject":"","project_id":79,"tracker_id":40,"status_id":1,"priority_id":2,"assigned_to_id":23,"start_date":"2016-11-10","description":"","custom_fields":[{"id":1,"name":"Subdivision","value":"EC"},{"id":4,"name":"Milepost","value":"0.0467"},{"id":17,"name":"Train ID","value":"167-10"},{"id":16,"name":"Locomotive ID","value":"4053"},{"id":130,"name":"Impact","value":""},{"id":150,"name":"Time of Event (Mountain Time)","value":"12:45:14"},{"id":151,"name":"Denver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514</v>
      </c>
      <c r="B89" s="7">
        <v>4001</v>
      </c>
      <c r="C89" s="22" t="s">
        <v>226</v>
      </c>
      <c r="D89" s="22" t="s">
        <v>665</v>
      </c>
      <c r="E89" s="13">
        <v>42684.546296296299</v>
      </c>
      <c r="F89" s="13">
        <v>42684.55096064815</v>
      </c>
      <c r="G89" s="7">
        <v>5</v>
      </c>
      <c r="H89" s="22" t="s">
        <v>198</v>
      </c>
      <c r="I89" s="13">
        <v>42684.583668981482</v>
      </c>
      <c r="J89" s="7">
        <v>0</v>
      </c>
      <c r="K89" s="109" t="str">
        <f t="shared" si="25"/>
        <v>4001/4002</v>
      </c>
      <c r="L89" s="22" t="str">
        <f>VLOOKUP(A89,'Trips&amp;Operators'!$C$1:$E$10000,3,FALSE)</f>
        <v>MOSES</v>
      </c>
      <c r="M89" s="6">
        <f t="shared" si="26"/>
        <v>3.2708333332266193E-2</v>
      </c>
      <c r="N89" s="7">
        <f>24*60*SUM($M89:$M89)</f>
        <v>47.099999998463318</v>
      </c>
      <c r="O89" s="7"/>
      <c r="P89" s="7"/>
      <c r="Q89" s="23"/>
      <c r="R89" s="23"/>
      <c r="S89" s="35">
        <f>SUM(U89:U89)/IF(AG89="EC",12,1)</f>
        <v>1</v>
      </c>
      <c r="T89" s="50" t="str">
        <f t="shared" si="27"/>
        <v>Southbound</v>
      </c>
      <c r="U89" s="17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12:06:40-700',mode:absolute,to:'2016-11-10 15:00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9" s="52" t="str">
        <f t="shared" si="29"/>
        <v>N</v>
      </c>
      <c r="X89" s="178">
        <f t="shared" si="38"/>
        <v>1</v>
      </c>
      <c r="Y89" s="67">
        <f t="shared" si="22"/>
        <v>23.266999999999999</v>
      </c>
      <c r="Z89" s="67">
        <f t="shared" si="23"/>
        <v>1.49E-2</v>
      </c>
      <c r="AA89" s="67">
        <f t="shared" si="30"/>
        <v>23.252099999999999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1"/>
        <v>0168-10</v>
      </c>
      <c r="AE89" s="91" t="str">
        <f t="shared" si="32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89" s="88" t="str">
        <f t="shared" si="33"/>
        <v>"C:\Program Files (x86)\AstroGrep\AstroGrep.exe" /spath="%USERPROFILE%\AppData\Local\Temp\OnboardLogs" /stypes="app*4001*20161110*" /stext=" 21:.+((SYSTEM_STATE.+slice.+state.+changed )|(ment ac)|(system.+state.+changed )|(\[timeout)|(PRM\|1\|D)|(kpr)|(kdp)|(\|lc)|(penalty))" /e /r /s</v>
      </c>
      <c r="AG89" s="1" t="str">
        <f t="shared" si="34"/>
        <v>EC</v>
      </c>
      <c r="AH89" s="92" t="str">
        <f t="shared" si="36"/>
        <v>"%USERPROFILE%\Documents\GitHub\eaglep3\Utilities\RefineRTDCRunTimes.py" --tripid 168-10 --locoid 4001 --swversion DE.1.0.8.0 --startMP 204:232670 --initTime 2016-11-10T13:06:40 --startdatetime 2016-11-10T13:13:23 --delay 5 --endMP 204:149 --enddatetime 2016-11-10T14:00:29 --enforcementcount 0 &gt;&gt;C:\Users\stu\Documents\GitHub\eaglep3-reporting\EC\2016-11-10-refined-times.txt</v>
      </c>
      <c r="AI89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{"issue":{"subject":"","project_id":79,"tracker_id":40,"status_id":1,"priority_id":2,"assigned_to_id":23,"start_date":"2016-11-10","description":"","custom_fields":[{"id":1,"name":"Subdivision","value":"EC"},{"id":4,"name":"Milepost","value":"0.0149"},{"id":17,"name":"Train ID","value":"168-10"},{"id":16,"name":"Locomotive ID","value":"4001"},{"id":130,"name":"Impact","value":""},{"id":150,"name":"Time of Event (Mountain Time)","value":"14:00:29"},{"id":151,"name":"Denver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507</v>
      </c>
      <c r="B90" s="7">
        <v>4053</v>
      </c>
      <c r="C90" s="22" t="s">
        <v>226</v>
      </c>
      <c r="D90" s="22" t="s">
        <v>249</v>
      </c>
      <c r="E90" s="13">
        <v>42684.510717592595</v>
      </c>
      <c r="F90" s="13">
        <v>42684.511365740742</v>
      </c>
      <c r="G90" s="7">
        <v>0</v>
      </c>
      <c r="H90" s="22" t="s">
        <v>666</v>
      </c>
      <c r="I90" s="13">
        <v>42684.531458333331</v>
      </c>
      <c r="J90" s="7">
        <v>0</v>
      </c>
      <c r="K90" s="109" t="str">
        <f t="shared" si="25"/>
        <v>4053/4054</v>
      </c>
      <c r="L90" s="22" t="str">
        <f>VLOOKUP(A90,'Trips&amp;Operators'!$C$1:$E$10000,3,FALSE)</f>
        <v>YOUNG</v>
      </c>
      <c r="M90" s="6">
        <f t="shared" si="26"/>
        <v>2.0092592589207925E-2</v>
      </c>
      <c r="N90" s="7"/>
      <c r="O90" s="7"/>
      <c r="P90" s="7">
        <f>24*60*SUM($M90:$M91)</f>
        <v>53.716666661202908</v>
      </c>
      <c r="Q90" s="23"/>
      <c r="R90" s="23" t="s">
        <v>819</v>
      </c>
      <c r="S90" s="35">
        <f>SUM(U90:U91)/IF(AG90="EC",12,1)</f>
        <v>0.5</v>
      </c>
      <c r="T90" s="50" t="str">
        <f t="shared" si="27"/>
        <v>NorthBound</v>
      </c>
      <c r="U90" s="17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3</v>
      </c>
      <c r="V9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11:15:26-700',mode:absolute,to:'2016-11-10 13:45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0" s="52" t="str">
        <f t="shared" si="29"/>
        <v>Y</v>
      </c>
      <c r="X90" s="178">
        <f t="shared" si="38"/>
        <v>1</v>
      </c>
      <c r="Y90" s="67">
        <f t="shared" si="22"/>
        <v>4.6899999999999997E-2</v>
      </c>
      <c r="Z90" s="67">
        <f t="shared" si="23"/>
        <v>3.8067000000000002</v>
      </c>
      <c r="AA90" s="67">
        <f t="shared" si="30"/>
        <v>3.7598000000000003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1"/>
        <v>0169-10</v>
      </c>
      <c r="AE90" s="91" t="str">
        <f t="shared" si="32"/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90" s="88" t="str">
        <f t="shared" si="33"/>
        <v>"C:\Program Files (x86)\AstroGrep\AstroGrep.exe" /spath="%USERPROFILE%\AppData\Local\Temp\OnboardLogs" /stypes="app*4053*20161110*" /stext=" 19:.+((SYSTEM_STATE.+slice.+state.+changed )|(ment ac)|(system.+state.+changed )|(\[timeout)|(PRM\|1\|D)|(kpr)|(kdp)|(\|lc)|(penalty))" /e /r /s</v>
      </c>
      <c r="AG90" s="1" t="str">
        <f t="shared" si="34"/>
        <v>EC</v>
      </c>
      <c r="AH90" s="92" t="str">
        <f t="shared" si="36"/>
        <v>"%USERPROFILE%\Documents\GitHub\eaglep3\Utilities\RefineRTDCRunTimes.py" --tripid 169-10 --locoid 4053 --swversion DE.1.0.8.0 --startMP 204:469 --initTime 2016-11-10T12:15:26 --startdatetime 2016-11-10T12:16:22 --delay 0 --endMP 204:38067 --enddatetime 2016-11-10T12:45:18 --enforcementcount 0 &gt;&gt;C:\Users\stu\Documents\GitHub\eaglep3-reporting\EC\2016-11-10-refined-times.txt</v>
      </c>
      <c r="AI90" s="119" t="str">
        <f t="shared" si="37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EC0206RH)","project_id":79,"tracker_id":40,"status_id":1,"priority_id":2,"assigned_to_id":23,"start_date":"2016-11-10","description":"","custom_fields":[{"id":1,"name":"Subdivision","value":"EC"},{"id":4,"name":"Milepost","value":"3.8067"},{"id":17,"name":"Train ID","value":"169-10"},{"id":16,"name":"Locomotive ID","value":"4053"},{"id":130,"name":"Impact","value":""},{"id":150,"name":"Time of Event (Mountain Time)","value":"12:45:18"},{"id":151,"name":"Denver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507</v>
      </c>
      <c r="B91" s="7">
        <v>4053</v>
      </c>
      <c r="C91" s="22" t="s">
        <v>226</v>
      </c>
      <c r="D91" s="22" t="s">
        <v>667</v>
      </c>
      <c r="E91" s="13">
        <v>42684.536932870367</v>
      </c>
      <c r="F91" s="13">
        <v>42684.537708333337</v>
      </c>
      <c r="G91" s="7">
        <v>1</v>
      </c>
      <c r="H91" s="22" t="s">
        <v>305</v>
      </c>
      <c r="I91" s="13">
        <v>42684.554918981485</v>
      </c>
      <c r="J91" s="7">
        <v>0</v>
      </c>
      <c r="K91" s="109" t="str">
        <f t="shared" si="25"/>
        <v>4053/4054</v>
      </c>
      <c r="L91" s="22" t="str">
        <f>VLOOKUP(A91,'Trips&amp;Operators'!$C$1:$E$10000,3,FALSE)</f>
        <v>YOUNG</v>
      </c>
      <c r="M91" s="6">
        <f t="shared" si="26"/>
        <v>1.7210648147738539E-2</v>
      </c>
      <c r="N91" s="7"/>
      <c r="O91" s="7"/>
      <c r="P91" s="7"/>
      <c r="Q91" s="23"/>
      <c r="R91" s="23"/>
      <c r="S91" s="35"/>
      <c r="T91" s="50" t="str">
        <f t="shared" si="27"/>
        <v>NorthBound</v>
      </c>
      <c r="U91" s="17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3</v>
      </c>
      <c r="V9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11:53:11-700',mode:absolute,to:'2016-11-10 14:19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1" s="52" t="str">
        <f t="shared" si="29"/>
        <v>Y</v>
      </c>
      <c r="X91" s="178">
        <f t="shared" si="38"/>
        <v>0</v>
      </c>
      <c r="Y91" s="67">
        <f t="shared" si="22"/>
        <v>6.4695999999999998</v>
      </c>
      <c r="Z91" s="67">
        <f t="shared" si="23"/>
        <v>23.3309</v>
      </c>
      <c r="AA91" s="67">
        <f t="shared" si="30"/>
        <v>16.8613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1"/>
        <v>0169-10</v>
      </c>
      <c r="AE91" s="91" t="str">
        <f t="shared" si="32"/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91" s="88" t="str">
        <f t="shared" si="33"/>
        <v>"C:\Program Files (x86)\AstroGrep\AstroGrep.exe" /spath="%USERPROFILE%\AppData\Local\Temp\OnboardLogs" /stypes="app*4053*20161110*" /stext=" 20:.+((SYSTEM_STATE.+slice.+state.+changed )|(ment ac)|(system.+state.+changed )|(\[timeout)|(PRM\|1\|D)|(kpr)|(kdp)|(\|lc)|(penalty))" /e /r /s</v>
      </c>
      <c r="AG91" s="1" t="str">
        <f t="shared" si="34"/>
        <v>EC</v>
      </c>
      <c r="AH91" s="92" t="str">
        <f t="shared" si="36"/>
        <v>"%USERPROFILE%\Documents\GitHub\eaglep3\Utilities\RefineRTDCRunTimes.py" --tripid 169-10 --locoid 4053 --swversion DE.1.0.8.0 --startMP 204:64696 --initTime 2016-11-10T12:53:11 --startdatetime 2016-11-10T12:54:18 --delay 1 --endMP 204:233309 --enddatetime 2016-11-10T13:19:05 --enforcementcount 0 &gt;&gt;C:\Users\stu\Documents\GitHub\eaglep3-reporting\EC\2016-11-10-refined-times.txt</v>
      </c>
      <c r="AI91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{"issue":{"subject":"","project_id":79,"tracker_id":40,"status_id":1,"priority_id":2,"assigned_to_id":23,"start_date":"2016-11-10","description":"","custom_fields":[{"id":1,"name":"Subdivision","value":"EC"},{"id":4,"name":"Milepost","value":"23.3309"},{"id":17,"name":"Train ID","value":"169-10"},{"id":16,"name":"Locomotive ID","value":"4053"},{"id":130,"name":"Impact","value":""},{"id":150,"name":"Time of Event (Mountain Time)","value":"13:19:05"},{"id":151,"name":"Denver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516</v>
      </c>
      <c r="B92" s="7">
        <v>4037</v>
      </c>
      <c r="C92" s="22" t="s">
        <v>226</v>
      </c>
      <c r="D92" s="22" t="s">
        <v>630</v>
      </c>
      <c r="E92" s="13">
        <v>42684.54587962963</v>
      </c>
      <c r="F92" s="13">
        <v>42684.558009259257</v>
      </c>
      <c r="G92" s="7">
        <v>16</v>
      </c>
      <c r="H92" s="22" t="s">
        <v>668</v>
      </c>
      <c r="I92" s="13">
        <v>42684.586631944447</v>
      </c>
      <c r="J92" s="7">
        <v>0</v>
      </c>
      <c r="K92" s="109" t="str">
        <f t="shared" si="25"/>
        <v>4037/4038</v>
      </c>
      <c r="L92" s="22" t="str">
        <f>VLOOKUP(A92,'Trips&amp;Operators'!$C$1:$E$10000,3,FALSE)</f>
        <v>NEWELL</v>
      </c>
      <c r="M92" s="6">
        <f t="shared" si="26"/>
        <v>2.8622685189475305E-2</v>
      </c>
      <c r="N92" s="7">
        <f>24*60*SUM($M92:$M92)</f>
        <v>41.21666667284444</v>
      </c>
      <c r="O92" s="7"/>
      <c r="P92" s="7"/>
      <c r="Q92" s="23"/>
      <c r="R92" s="23"/>
      <c r="S92" s="35">
        <f>SUM(U92:U92)/IF(AG92="EC",12,1)</f>
        <v>1</v>
      </c>
      <c r="T92" s="50" t="str">
        <f t="shared" si="27"/>
        <v>Southbound</v>
      </c>
      <c r="U92" s="17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12:06:04-700',mode:absolute,to:'2016-11-10 15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2" s="52" t="str">
        <f t="shared" si="29"/>
        <v>N</v>
      </c>
      <c r="X92" s="178">
        <f t="shared" si="38"/>
        <v>1</v>
      </c>
      <c r="Y92" s="67">
        <f t="shared" si="22"/>
        <v>23.3</v>
      </c>
      <c r="Z92" s="67">
        <f t="shared" si="23"/>
        <v>0.1179</v>
      </c>
      <c r="AA92" s="67">
        <f t="shared" si="30"/>
        <v>23.182100000000002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1"/>
        <v>0170-10</v>
      </c>
      <c r="AE92" s="91" t="str">
        <f t="shared" si="32"/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92" s="88" t="str">
        <f t="shared" si="33"/>
        <v>"C:\Program Files (x86)\AstroGrep\AstroGrep.exe" /spath="%USERPROFILE%\AppData\Local\Temp\OnboardLogs" /stypes="app*4037*20161110*" /stext=" 21:.+((SYSTEM_STATE.+slice.+state.+changed )|(ment ac)|(system.+state.+changed )|(\[timeout)|(PRM\|1\|D)|(kpr)|(kdp)|(\|lc)|(penalty))" /e /r /s</v>
      </c>
      <c r="AG92" s="1" t="str">
        <f t="shared" si="34"/>
        <v>EC</v>
      </c>
      <c r="AH92" s="92" t="str">
        <f t="shared" si="36"/>
        <v>"%USERPROFILE%\Documents\GitHub\eaglep3\Utilities\RefineRTDCRunTimes.py" --tripid 170-10 --locoid 4037 --swversion DE.1.0.8.0 --startMP 204:233000 --initTime 2016-11-10T13:06:04 --startdatetime 2016-11-10T13:23:32 --delay 16 --endMP 204:1179 --enddatetime 2016-11-10T14:04:45 --enforcementcount 0 &gt;&gt;C:\Users\stu\Documents\GitHub\eaglep3-reporting\EC\2016-11-10-refined-times.txt</v>
      </c>
      <c r="AI92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{"issue":{"subject":"","project_id":79,"tracker_id":40,"status_id":1,"priority_id":2,"assigned_to_id":23,"start_date":"2016-11-10","description":"","custom_fields":[{"id":1,"name":"Subdivision","value":"EC"},{"id":4,"name":"Milepost","value":"0.1179"},{"id":17,"name":"Train ID","value":"170-10"},{"id":16,"name":"Locomotive ID","value":"4037"},{"id":130,"name":"Impact","value":""},{"id":150,"name":"Time of Event (Mountain Time)","value":"14:04:45"},{"id":151,"name":"Denver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510</v>
      </c>
      <c r="B93" s="7">
        <v>4016</v>
      </c>
      <c r="C93" s="22" t="s">
        <v>226</v>
      </c>
      <c r="D93" s="22" t="s">
        <v>669</v>
      </c>
      <c r="E93" s="13">
        <v>42684.535833333335</v>
      </c>
      <c r="F93" s="13">
        <v>42684.536585648151</v>
      </c>
      <c r="G93" s="7">
        <v>1</v>
      </c>
      <c r="H93" s="22" t="s">
        <v>188</v>
      </c>
      <c r="I93" s="13">
        <v>42684.561145833337</v>
      </c>
      <c r="J93" s="7">
        <v>0</v>
      </c>
      <c r="K93" s="109" t="str">
        <f t="shared" si="25"/>
        <v>4015/4016</v>
      </c>
      <c r="L93" s="22" t="str">
        <f>VLOOKUP(A93,'Trips&amp;Operators'!$C$1:$E$10000,3,FALSE)</f>
        <v>SUR</v>
      </c>
      <c r="M93" s="6">
        <f t="shared" si="26"/>
        <v>2.4560185185691807E-2</v>
      </c>
      <c r="N93" s="7"/>
      <c r="O93" s="7"/>
      <c r="P93" s="7">
        <f>24*60*SUM($M93:$M94)</f>
        <v>48.983333331998438</v>
      </c>
      <c r="Q93" s="23"/>
      <c r="R93" s="23" t="s">
        <v>819</v>
      </c>
      <c r="S93" s="35">
        <f>SUM(U93:U94)/IF(AG93="EC",12,1)</f>
        <v>1</v>
      </c>
      <c r="T93" s="50" t="str">
        <f t="shared" si="27"/>
        <v>NorthBound</v>
      </c>
      <c r="U93" s="17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9</v>
      </c>
      <c r="V9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11:51:36-700',mode:absolute,to:'2016-11-10 14:28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3" s="52" t="str">
        <f t="shared" si="29"/>
        <v>Y</v>
      </c>
      <c r="X93" s="178">
        <f t="shared" si="38"/>
        <v>1</v>
      </c>
      <c r="Y93" s="67">
        <f t="shared" si="22"/>
        <v>4.1281999999999996</v>
      </c>
      <c r="Z93" s="67">
        <f t="shared" si="23"/>
        <v>23.329699999999999</v>
      </c>
      <c r="AA93" s="67">
        <f t="shared" si="30"/>
        <v>19.201499999999999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1"/>
        <v>0171-10</v>
      </c>
      <c r="AE93" s="91" t="str">
        <f t="shared" si="32"/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93" s="88" t="str">
        <f t="shared" si="33"/>
        <v>"C:\Program Files (x86)\AstroGrep\AstroGrep.exe" /spath="%USERPROFILE%\AppData\Local\Temp\OnboardLogs" /stypes="app*4016*20161110*" /stext=" 20:.+((SYSTEM_STATE.+slice.+state.+changed )|(ment ac)|(system.+state.+changed )|(\[timeout)|(PRM\|1\|D)|(kpr)|(kdp)|(\|lc)|(penalty))" /e /r /s</v>
      </c>
      <c r="AG93" s="1" t="str">
        <f t="shared" si="34"/>
        <v>EC</v>
      </c>
      <c r="AH93" s="92" t="str">
        <f t="shared" si="36"/>
        <v>"%USERPROFILE%\Documents\GitHub\eaglep3\Utilities\RefineRTDCRunTimes.py" --tripid 171-10 --locoid 4016 --swversion DE.1.0.8.0 --startMP 204:41282 --initTime 2016-11-10T12:51:36 --startdatetime 2016-11-10T12:52:41 --delay 1 --endMP 204:233297 --enddatetime 2016-11-10T13:28:03 --enforcementcount 0 &gt;&gt;C:\Users\stu\Documents\GitHub\eaglep3-reporting\EC\2016-11-10-refined-times.txt</v>
      </c>
      <c r="AI93" s="119" t="str">
        <f t="shared" si="37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EC0206RH)","project_id":79,"tracker_id":40,"status_id":1,"priority_id":2,"assigned_to_id":23,"start_date":"2016-11-10","description":"","custom_fields":[{"id":1,"name":"Subdivision","value":"EC"},{"id":4,"name":"Milepost","value":"23.3297"},{"id":17,"name":"Train ID","value":"171-10"},{"id":16,"name":"Locomotive ID","value":"4016"},{"id":130,"name":"Impact","value":""},{"id":150,"name":"Time of Event (Mountain Time)","value":"13:28:03"},{"id":151,"name":"Denver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510</v>
      </c>
      <c r="B94" s="7">
        <v>4016</v>
      </c>
      <c r="C94" s="22" t="s">
        <v>226</v>
      </c>
      <c r="D94" s="22" t="s">
        <v>224</v>
      </c>
      <c r="E94" s="13">
        <v>42684.524259259262</v>
      </c>
      <c r="F94" s="13">
        <v>42684.525243055556</v>
      </c>
      <c r="G94" s="7">
        <v>1</v>
      </c>
      <c r="H94" s="22" t="s">
        <v>670</v>
      </c>
      <c r="I94" s="13">
        <v>42684.534699074073</v>
      </c>
      <c r="J94" s="7">
        <v>0</v>
      </c>
      <c r="K94" s="109" t="str">
        <f t="shared" si="25"/>
        <v>4015/4016</v>
      </c>
      <c r="L94" s="22" t="str">
        <f>VLOOKUP(A94,'Trips&amp;Operators'!$C$1:$E$10000,3,FALSE)</f>
        <v>SUR</v>
      </c>
      <c r="M94" s="6">
        <f t="shared" si="26"/>
        <v>9.4560185170848854E-3</v>
      </c>
      <c r="N94" s="7"/>
      <c r="O94" s="7"/>
      <c r="P94" s="7"/>
      <c r="Q94" s="23"/>
      <c r="R94" s="23"/>
      <c r="S94" s="35"/>
      <c r="T94" s="50" t="str">
        <f t="shared" si="27"/>
        <v>NorthBound</v>
      </c>
      <c r="U94" s="17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3</v>
      </c>
      <c r="V9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11:34:56-700',mode:absolute,to:'2016-11-10 13:49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4" s="52" t="str">
        <f t="shared" si="29"/>
        <v>Y</v>
      </c>
      <c r="X94" s="178">
        <f t="shared" si="38"/>
        <v>0</v>
      </c>
      <c r="Y94" s="67">
        <f t="shared" si="22"/>
        <v>4.6399999999999997E-2</v>
      </c>
      <c r="Z94" s="67">
        <f t="shared" si="23"/>
        <v>3.7486000000000002</v>
      </c>
      <c r="AA94" s="67">
        <f t="shared" si="30"/>
        <v>3.7022000000000004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1"/>
        <v>0171-10</v>
      </c>
      <c r="AE94" s="91" t="str">
        <f t="shared" si="32"/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94" s="88" t="str">
        <f t="shared" si="33"/>
        <v>"C:\Program Files (x86)\AstroGrep\AstroGrep.exe" /spath="%USERPROFILE%\AppData\Local\Temp\OnboardLogs" /stypes="app*4016*20161110*" /stext=" 19:.+((SYSTEM_STATE.+slice.+state.+changed )|(ment ac)|(system.+state.+changed )|(\[timeout)|(PRM\|1\|D)|(kpr)|(kdp)|(\|lc)|(penalty))" /e /r /s</v>
      </c>
      <c r="AG94" s="1" t="str">
        <f t="shared" si="34"/>
        <v>EC</v>
      </c>
      <c r="AH94" s="92" t="str">
        <f t="shared" si="36"/>
        <v>"%USERPROFILE%\Documents\GitHub\eaglep3\Utilities\RefineRTDCRunTimes.py" --tripid 171-10 --locoid 4016 --swversion DE.1.0.8.0 --startMP 204:464 --initTime 2016-11-10T12:34:56 --startdatetime 2016-11-10T12:36:21 --delay 1 --endMP 204:37486 --enddatetime 2016-11-10T12:49:58 --enforcementcount 0 &gt;&gt;C:\Users\stu\Documents\GitHub\eaglep3-reporting\EC\2016-11-10-refined-times.txt</v>
      </c>
      <c r="AI94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{"issue":{"subject":"","project_id":79,"tracker_id":40,"status_id":1,"priority_id":2,"assigned_to_id":23,"start_date":"2016-11-10","description":"","custom_fields":[{"id":1,"name":"Subdivision","value":"EC"},{"id":4,"name":"Milepost","value":"3.7486"},{"id":17,"name":"Train ID","value":"171-10"},{"id":16,"name":"Locomotive ID","value":"4016"},{"id":130,"name":"Impact","value":""},{"id":150,"name":"Time of Event (Mountain Time)","value":"12:49:58"},{"id":151,"name":"Denver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411</v>
      </c>
      <c r="B95" s="7">
        <v>4054</v>
      </c>
      <c r="C95" s="22" t="s">
        <v>226</v>
      </c>
      <c r="D95" s="22" t="s">
        <v>265</v>
      </c>
      <c r="E95" s="13">
        <v>42684.560162037036</v>
      </c>
      <c r="F95" s="13">
        <v>42684.562673611108</v>
      </c>
      <c r="G95" s="7">
        <v>1</v>
      </c>
      <c r="H95" s="22" t="s">
        <v>671</v>
      </c>
      <c r="I95" s="13">
        <v>42684.595057870371</v>
      </c>
      <c r="J95" s="7">
        <v>0</v>
      </c>
      <c r="K95" s="109" t="str">
        <f t="shared" si="25"/>
        <v>4053/4054</v>
      </c>
      <c r="L95" s="22" t="str">
        <f>VLOOKUP(A95,'Trips&amp;Operators'!$C$1:$E$10000,3,FALSE)</f>
        <v>YOUNG</v>
      </c>
      <c r="M95" s="6">
        <f t="shared" si="26"/>
        <v>3.238425926247146E-2</v>
      </c>
      <c r="N95" s="7">
        <f t="shared" ref="N95:N126" si="39">24*60*SUM($M95:$M95)</f>
        <v>46.633333337958902</v>
      </c>
      <c r="O95" s="7"/>
      <c r="P95" s="7"/>
      <c r="Q95" s="23"/>
      <c r="R95" s="23"/>
      <c r="S95" s="35">
        <f t="shared" ref="S95:S126" si="40">SUM(U95:U95)/IF(AG95="EC",12,1)</f>
        <v>1</v>
      </c>
      <c r="T95" s="50" t="str">
        <f t="shared" si="27"/>
        <v>Southbound</v>
      </c>
      <c r="U95" s="17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12:26:38-700',mode:absolute,to:'2016-11-10 15:16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5" s="52" t="str">
        <f t="shared" si="29"/>
        <v>N</v>
      </c>
      <c r="X95" s="178">
        <f t="shared" si="38"/>
        <v>1</v>
      </c>
      <c r="Y95" s="67">
        <f t="shared" si="22"/>
        <v>23.298999999999999</v>
      </c>
      <c r="Z95" s="67">
        <f t="shared" si="23"/>
        <v>2.29E-2</v>
      </c>
      <c r="AA95" s="67">
        <f t="shared" si="30"/>
        <v>23.2761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1"/>
        <v>0172-10</v>
      </c>
      <c r="AE95" s="91" t="str">
        <f t="shared" si="32"/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95" s="88" t="str">
        <f t="shared" si="33"/>
        <v>"C:\Program Files (x86)\AstroGrep\AstroGrep.exe" /spath="%USERPROFILE%\AppData\Local\Temp\OnboardLogs" /stypes="app*4054*20161110*" /stext=" 21:.+((SYSTEM_STATE.+slice.+state.+changed )|(ment ac)|(system.+state.+changed )|(\[timeout)|(PRM\|1\|D)|(kpr)|(kdp)|(\|lc)|(penalty))" /e /r /s</v>
      </c>
      <c r="AG95" s="1" t="str">
        <f t="shared" si="34"/>
        <v>EC</v>
      </c>
      <c r="AH95" s="92" t="str">
        <f t="shared" si="36"/>
        <v>"%USERPROFILE%\Documents\GitHub\eaglep3\Utilities\RefineRTDCRunTimes.py" --tripid 172-10 --locoid 4054 --swversion DE.1.0.8.0 --startMP 204:232990 --initTime 2016-11-10T13:26:38 --startdatetime 2016-11-10T13:30:15 --delay 1 --endMP 204:229 --enddatetime 2016-11-10T14:16:53 --enforcementcount 0 &gt;&gt;C:\Users\stu\Documents\GitHub\eaglep3-reporting\EC\2016-11-10-refined-times.txt</v>
      </c>
      <c r="AI95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{"issue":{"subject":"","project_id":79,"tracker_id":40,"status_id":1,"priority_id":2,"assigned_to_id":23,"start_date":"2016-11-10","description":"","custom_fields":[{"id":1,"name":"Subdivision","value":"EC"},{"id":4,"name":"Milepost","value":"0.0229"},{"id":17,"name":"Train ID","value":"172-10"},{"id":16,"name":"Locomotive ID","value":"4054"},{"id":130,"name":"Impact","value":""},{"id":150,"name":"Time of Event (Mountain Time)","value":"14:16:53"},{"id":151,"name":"Denver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410</v>
      </c>
      <c r="B96" s="7">
        <v>4011</v>
      </c>
      <c r="C96" s="22" t="s">
        <v>226</v>
      </c>
      <c r="D96" s="22" t="s">
        <v>224</v>
      </c>
      <c r="E96" s="13">
        <v>42684.533125000002</v>
      </c>
      <c r="F96" s="13">
        <v>42684.534432870372</v>
      </c>
      <c r="G96" s="7">
        <v>1</v>
      </c>
      <c r="H96" s="22" t="s">
        <v>615</v>
      </c>
      <c r="I96" s="13">
        <v>42684.571701388886</v>
      </c>
      <c r="J96" s="7">
        <v>0</v>
      </c>
      <c r="K96" s="109" t="str">
        <f t="shared" si="25"/>
        <v>4011/4012</v>
      </c>
      <c r="L96" s="22" t="str">
        <f>VLOOKUP(A96,'Trips&amp;Operators'!$C$1:$E$10000,3,FALSE)</f>
        <v>STORY</v>
      </c>
      <c r="M96" s="6">
        <f t="shared" si="26"/>
        <v>3.7268518513883464E-2</v>
      </c>
      <c r="N96" s="7">
        <f t="shared" si="39"/>
        <v>53.666666659992188</v>
      </c>
      <c r="O96" s="7"/>
      <c r="P96" s="7"/>
      <c r="Q96" s="23"/>
      <c r="R96" s="23"/>
      <c r="S96" s="35">
        <f t="shared" si="40"/>
        <v>1</v>
      </c>
      <c r="T96" s="50" t="str">
        <f t="shared" si="27"/>
        <v>NorthBound</v>
      </c>
      <c r="U96" s="17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11:47:42-700',mode:absolute,to:'2016-11-10 14:43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6" s="52" t="str">
        <f t="shared" si="29"/>
        <v>N</v>
      </c>
      <c r="X96" s="178">
        <f t="shared" si="38"/>
        <v>1</v>
      </c>
      <c r="Y96" s="67">
        <f t="shared" si="22"/>
        <v>4.6399999999999997E-2</v>
      </c>
      <c r="Z96" s="67">
        <f t="shared" si="23"/>
        <v>23.331399999999999</v>
      </c>
      <c r="AA96" s="67">
        <f t="shared" si="30"/>
        <v>23.285</v>
      </c>
      <c r="AB96" s="64" t="str">
        <f>VLOOKUP(A96,Enforcements!$C$7:$K$20,8,0)</f>
        <v>Speed (6)</v>
      </c>
      <c r="AC96" s="60" t="str">
        <f>VLOOKUP(A96,Enforcements!$C$7:$E$20,3,0)</f>
        <v>PERMANENT SPEED RESTRICTION</v>
      </c>
      <c r="AD96" s="61" t="str">
        <f t="shared" si="31"/>
        <v>0173-10</v>
      </c>
      <c r="AE96" s="91" t="str">
        <f t="shared" si="32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96" s="88" t="str">
        <f t="shared" si="33"/>
        <v>"C:\Program Files (x86)\AstroGrep\AstroGrep.exe" /spath="%USERPROFILE%\AppData\Local\Temp\OnboardLogs" /stypes="app*4011*20161110*" /stext=" 20:.+((SYSTEM_STATE.+slice.+state.+changed )|(ment ac)|(system.+state.+changed )|(\[timeout)|(PRM\|1\|D)|(kpr)|(kdp)|(\|lc)|(penalty))" /e /r /s</v>
      </c>
      <c r="AG96" s="1" t="str">
        <f t="shared" si="34"/>
        <v>EC</v>
      </c>
      <c r="AH96" s="92" t="str">
        <f t="shared" si="36"/>
        <v>"%USERPROFILE%\Documents\GitHub\eaglep3\Utilities\RefineRTDCRunTimes.py" --tripid 173-10 --locoid 4011 --swversion DE.1.0.8.0 --startMP 204:464 --initTime 2016-11-10T12:47:42 --startdatetime 2016-11-10T12:49:35 --delay 1 --endMP 204:233314 --enddatetime 2016-11-10T13:43:15 --enforcementcount 0 &gt;&gt;C:\Users\stu\Documents\GitHub\eaglep3-reporting\EC\2016-11-10-refined-times.txt</v>
      </c>
      <c r="AI96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{"issue":{"subject":"","project_id":79,"tracker_id":40,"status_id":1,"priority_id":2,"assigned_to_id":23,"start_date":"2016-11-10","description":"","custom_fields":[{"id":1,"name":"Subdivision","value":"EC"},{"id":4,"name":"Milepost","value":"23.3314"},{"id":17,"name":"Train ID","value":"173-10"},{"id":16,"name":"Locomotive ID","value":"4011"},{"id":130,"name":"Impact","value":""},{"id":150,"name":"Time of Event (Mountain Time)","value":"13:43:15"},{"id":151,"name":"Denver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521</v>
      </c>
      <c r="B97" s="7">
        <v>4015</v>
      </c>
      <c r="C97" s="22" t="s">
        <v>226</v>
      </c>
      <c r="D97" s="22" t="s">
        <v>251</v>
      </c>
      <c r="E97" s="13">
        <v>42684.568784722222</v>
      </c>
      <c r="F97" s="13">
        <v>42684.570833333331</v>
      </c>
      <c r="G97" s="7">
        <v>1</v>
      </c>
      <c r="H97" s="22" t="s">
        <v>197</v>
      </c>
      <c r="I97" s="13">
        <v>42684.600173611114</v>
      </c>
      <c r="J97" s="7">
        <v>0</v>
      </c>
      <c r="K97" s="109" t="str">
        <f t="shared" si="25"/>
        <v>4015/4016</v>
      </c>
      <c r="L97" s="22" t="str">
        <f>VLOOKUP(A97,'Trips&amp;Operators'!$C$1:$E$10000,3,FALSE)</f>
        <v>SUR</v>
      </c>
      <c r="M97" s="6">
        <f t="shared" si="26"/>
        <v>2.9340277782466728E-2</v>
      </c>
      <c r="N97" s="7">
        <f t="shared" si="39"/>
        <v>42.250000006752089</v>
      </c>
      <c r="O97" s="7"/>
      <c r="P97" s="7"/>
      <c r="Q97" s="23"/>
      <c r="R97" s="23"/>
      <c r="S97" s="35">
        <f t="shared" si="40"/>
        <v>1</v>
      </c>
      <c r="T97" s="50" t="str">
        <f t="shared" si="27"/>
        <v>Southbound</v>
      </c>
      <c r="U97" s="17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12:39:03-700',mode:absolute,to:'2016-11-10 15:24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7" s="52" t="str">
        <f t="shared" si="29"/>
        <v>N</v>
      </c>
      <c r="X97" s="178">
        <f t="shared" si="38"/>
        <v>1</v>
      </c>
      <c r="Y97" s="67">
        <f t="shared" si="22"/>
        <v>23.299099999999999</v>
      </c>
      <c r="Z97" s="67">
        <f t="shared" si="23"/>
        <v>1.4500000000000001E-2</v>
      </c>
      <c r="AA97" s="67">
        <f t="shared" si="30"/>
        <v>23.284599999999998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1"/>
        <v>0174-10</v>
      </c>
      <c r="AE97" s="91" t="str">
        <f t="shared" si="32"/>
        <v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v>
      </c>
      <c r="AF97" s="88" t="str">
        <f t="shared" si="33"/>
        <v>"C:\Program Files (x86)\AstroGrep\AstroGrep.exe" /spath="%USERPROFILE%\AppData\Local\Temp\OnboardLogs" /stypes="app*4015*20161110*" /stext=" 21:.+((SYSTEM_STATE.+slice.+state.+changed )|(ment ac)|(system.+state.+changed )|(\[timeout)|(PRM\|1\|D)|(kpr)|(kdp)|(\|lc)|(penalty))" /e /r /s</v>
      </c>
      <c r="AG97" s="1" t="str">
        <f t="shared" si="34"/>
        <v>EC</v>
      </c>
      <c r="AH97" s="92" t="str">
        <f t="shared" si="36"/>
        <v>"%USERPROFILE%\Documents\GitHub\eaglep3\Utilities\RefineRTDCRunTimes.py" --tripid 174-10 --locoid 4015 --swversion DE.1.0.8.0 --startMP 204:232991 --initTime 2016-11-10T13:39:03 --startdatetime 2016-11-10T13:42:00 --delay 1 --endMP 204:145 --enddatetime 2016-11-10T14:24:15 --enforcementcount 0 &gt;&gt;C:\Users\stu\Documents\GitHub\eaglep3-reporting\EC\2016-11-10-refined-times.txt</v>
      </c>
      <c r="AI97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{"issue":{"subject":"","project_id":79,"tracker_id":40,"status_id":1,"priority_id":2,"assigned_to_id":23,"start_date":"2016-11-10","description":"","custom_fields":[{"id":1,"name":"Subdivision","value":"EC"},{"id":4,"name":"Milepost","value":"0.0145"},{"id":17,"name":"Train ID","value":"174-10"},{"id":16,"name":"Locomotive ID","value":"4015"},{"id":130,"name":"Impact","value":""},{"id":150,"name":"Time of Event (Mountain Time)","value":"14:24:15"},{"id":151,"name":"Denver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518</v>
      </c>
      <c r="B98" s="7">
        <v>4025</v>
      </c>
      <c r="C98" s="22" t="s">
        <v>226</v>
      </c>
      <c r="D98" s="22" t="s">
        <v>222</v>
      </c>
      <c r="E98" s="13">
        <v>42684.556967592594</v>
      </c>
      <c r="F98" s="13">
        <v>42684.559490740743</v>
      </c>
      <c r="G98" s="7">
        <v>3</v>
      </c>
      <c r="H98" s="22" t="s">
        <v>672</v>
      </c>
      <c r="I98" s="13">
        <v>42684.590092592596</v>
      </c>
      <c r="J98" s="7">
        <v>0</v>
      </c>
      <c r="K98" s="109" t="str">
        <f t="shared" si="25"/>
        <v>4025/4026</v>
      </c>
      <c r="L98" s="22" t="str">
        <f>VLOOKUP(A98,'Trips&amp;Operators'!$C$1:$E$10000,3,FALSE)</f>
        <v>SMITH</v>
      </c>
      <c r="M98" s="6">
        <f t="shared" si="26"/>
        <v>3.0601851853134576E-2</v>
      </c>
      <c r="N98" s="7">
        <f t="shared" si="39"/>
        <v>44.06666666851379</v>
      </c>
      <c r="O98" s="7"/>
      <c r="P98" s="7"/>
      <c r="Q98" s="23"/>
      <c r="R98" s="23"/>
      <c r="S98" s="35">
        <f t="shared" si="40"/>
        <v>1</v>
      </c>
      <c r="T98" s="50" t="str">
        <f t="shared" si="27"/>
        <v>NorthBound</v>
      </c>
      <c r="U98" s="17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12:22:02-700',mode:absolute,to:'2016-11-10 15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8" s="52" t="str">
        <f t="shared" si="29"/>
        <v>N</v>
      </c>
      <c r="X98" s="178">
        <f t="shared" si="38"/>
        <v>1</v>
      </c>
      <c r="Y98" s="67">
        <f t="shared" ref="Y98:Y161" si="41">RIGHT(D98,LEN(D98)-4)/10000</f>
        <v>4.5699999999999998E-2</v>
      </c>
      <c r="Z98" s="67">
        <f t="shared" ref="Z98:Z161" si="42">RIGHT(H98,LEN(H98)-4)/10000</f>
        <v>23.327400000000001</v>
      </c>
      <c r="AA98" s="67">
        <f t="shared" si="30"/>
        <v>23.281700000000001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1"/>
        <v>0175-10</v>
      </c>
      <c r="AE98" s="91" t="str">
        <f t="shared" si="32"/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98" s="88" t="str">
        <f t="shared" si="33"/>
        <v>"C:\Program Files (x86)\AstroGrep\AstroGrep.exe" /spath="%USERPROFILE%\AppData\Local\Temp\OnboardLogs" /stypes="app*4025*20161110*" /stext=" 21:.+((SYSTEM_STATE.+slice.+state.+changed )|(ment ac)|(system.+state.+changed )|(\[timeout)|(PRM\|1\|D)|(kpr)|(kdp)|(\|lc)|(penalty))" /e /r /s</v>
      </c>
      <c r="AG98" s="1" t="str">
        <f t="shared" si="34"/>
        <v>EC</v>
      </c>
      <c r="AH98" s="92" t="str">
        <f t="shared" si="36"/>
        <v>"%USERPROFILE%\Documents\GitHub\eaglep3\Utilities\RefineRTDCRunTimes.py" --tripid 175-10 --locoid 4025 --swversion DE.1.0.8.0 --startMP 204:457 --initTime 2016-11-10T13:22:02 --startdatetime 2016-11-10T13:25:40 --delay 3 --endMP 204:233274 --enddatetime 2016-11-10T14:09:44 --enforcementcount 0 &gt;&gt;C:\Users\stu\Documents\GitHub\eaglep3-reporting\EC\2016-11-10-refined-times.txt</v>
      </c>
      <c r="AI98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{"issue":{"subject":"","project_id":79,"tracker_id":40,"status_id":1,"priority_id":2,"assigned_to_id":23,"start_date":"2016-11-10","description":"","custom_fields":[{"id":1,"name":"Subdivision","value":"EC"},{"id":4,"name":"Milepost","value":"23.3274"},{"id":17,"name":"Train ID","value":"175-10"},{"id":16,"name":"Locomotive ID","value":"4025"},{"id":130,"name":"Impact","value":""},{"id":150,"name":"Time of Event (Mountain Time)","value":"14:09:44"},{"id":151,"name":"Denver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522</v>
      </c>
      <c r="B99" s="7">
        <v>4012</v>
      </c>
      <c r="C99" s="22" t="s">
        <v>226</v>
      </c>
      <c r="D99" s="22" t="s">
        <v>673</v>
      </c>
      <c r="E99" s="13">
        <v>42684.580127314817</v>
      </c>
      <c r="F99" s="13">
        <v>42684.582048611112</v>
      </c>
      <c r="G99" s="7">
        <v>1</v>
      </c>
      <c r="H99" s="22" t="s">
        <v>175</v>
      </c>
      <c r="I99" s="13">
        <v>42684.612974537034</v>
      </c>
      <c r="J99" s="7">
        <v>0</v>
      </c>
      <c r="K99" s="109" t="str">
        <f t="shared" si="25"/>
        <v>4011/4012</v>
      </c>
      <c r="L99" s="22" t="str">
        <f>VLOOKUP(A99,'Trips&amp;Operators'!$C$1:$E$10000,3,FALSE)</f>
        <v>STORY</v>
      </c>
      <c r="M99" s="6">
        <f t="shared" si="26"/>
        <v>3.0925925922929309E-2</v>
      </c>
      <c r="N99" s="7">
        <f t="shared" si="39"/>
        <v>44.533333329018205</v>
      </c>
      <c r="O99" s="7"/>
      <c r="P99" s="7"/>
      <c r="Q99" s="23"/>
      <c r="R99" s="23" t="s">
        <v>809</v>
      </c>
      <c r="S99" s="35">
        <f t="shared" si="40"/>
        <v>1</v>
      </c>
      <c r="T99" s="50" t="str">
        <f t="shared" si="27"/>
        <v>Southbound</v>
      </c>
      <c r="U99" s="17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12:55:23-700',mode:absolute,to:'2016-11-10 15:42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9" s="52" t="str">
        <f t="shared" si="29"/>
        <v>N</v>
      </c>
      <c r="X99" s="178">
        <f t="shared" si="38"/>
        <v>1</v>
      </c>
      <c r="Y99" s="67">
        <f t="shared" si="41"/>
        <v>23.2988</v>
      </c>
      <c r="Z99" s="67">
        <f t="shared" si="42"/>
        <v>1.47E-2</v>
      </c>
      <c r="AA99" s="67">
        <f t="shared" si="30"/>
        <v>23.284099999999999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1"/>
        <v>0176-10</v>
      </c>
      <c r="AE99" s="91" t="str">
        <f t="shared" si="32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99" s="88" t="str">
        <f t="shared" si="33"/>
        <v>"C:\Program Files (x86)\AstroGrep\AstroGrep.exe" /spath="%USERPROFILE%\AppData\Local\Temp\OnboardLogs" /stypes="app*4012*20161110*" /stext=" 21:.+((SYSTEM_STATE.+slice.+state.+changed )|(ment ac)|(system.+state.+changed )|(\[timeout)|(PRM\|1\|D)|(kpr)|(kdp)|(\|lc)|(penalty))" /e /r /s</v>
      </c>
      <c r="AG99" s="1" t="str">
        <f t="shared" si="34"/>
        <v>EC</v>
      </c>
      <c r="AH99" s="92" t="str">
        <f t="shared" si="36"/>
        <v>"%USERPROFILE%\Documents\GitHub\eaglep3\Utilities\RefineRTDCRunTimes.py" --tripid 176-10 --locoid 4012 --swversion DE.1.0.8.0 --startMP 204:232988 --initTime 2016-11-10T13:55:23 --startdatetime 2016-11-10T13:58:09 --delay 1 --endMP 204:147 --enddatetime 2016-11-10T14:42:41 --enforcementcount 0 &gt;&gt;C:\Users\stu\Documents\GitHub\eaglep3-reporting\EC\2016-11-10-refined-times.txt</v>
      </c>
      <c r="AI99" s="119" t="str">
        <f t="shared" si="37"/>
        <v>echo {"issue":{"subject":"Onboard in-route failure caused comm failure","project_id":79,"tracker_id":40,"status_id":1,"priority_id":2,"assigned_to_id":23,"start_date":"2016-11-10","description":"Primary slice changes at 21:19:40 UTC, then 19 sec later a single location goes unknown, though the others don't. Filing this under triplex","custom_fields":[{"id":1,"name":"Subdivision","value":"EC"},{"id":4,"name":"Milepost","value":"0.0147"},{"id":17,"name":"Train ID","value":"176-10"},{"id":16,"name":"Locomotive ID","value":"4012"},{"id":130,"name":"Impact","value":"Others"},{"id":150,"name":"Time of Event (Mountain Time)","value":"14:42:41"},{"id":151,"name":"Denver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99" s="53" t="s">
        <v>808</v>
      </c>
      <c r="AK99" s="53" t="s">
        <v>137</v>
      </c>
      <c r="AL99" s="53" t="s">
        <v>178</v>
      </c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517</v>
      </c>
      <c r="B100" s="7">
        <v>4022</v>
      </c>
      <c r="C100" s="22" t="s">
        <v>226</v>
      </c>
      <c r="D100" s="22" t="s">
        <v>354</v>
      </c>
      <c r="E100" s="13">
        <v>42684.568773148145</v>
      </c>
      <c r="F100" s="13">
        <v>42684.570289351854</v>
      </c>
      <c r="G100" s="7">
        <v>1</v>
      </c>
      <c r="H100" s="22" t="s">
        <v>298</v>
      </c>
      <c r="I100" s="13">
        <v>42684.599004629628</v>
      </c>
      <c r="J100" s="7">
        <v>0</v>
      </c>
      <c r="K100" s="109" t="str">
        <f t="shared" si="25"/>
        <v>4021/4022</v>
      </c>
      <c r="L100" s="22" t="str">
        <f>VLOOKUP(A100,'Trips&amp;Operators'!$C$1:$E$10000,3,FALSE)</f>
        <v>BONDS</v>
      </c>
      <c r="M100" s="6">
        <f t="shared" si="26"/>
        <v>2.8715277774608694E-2</v>
      </c>
      <c r="N100" s="7">
        <f t="shared" si="39"/>
        <v>41.349999995436519</v>
      </c>
      <c r="O100" s="7"/>
      <c r="P100" s="7"/>
      <c r="Q100" s="23"/>
      <c r="R100" s="23"/>
      <c r="S100" s="35">
        <f t="shared" si="40"/>
        <v>1</v>
      </c>
      <c r="T100" s="50" t="str">
        <f t="shared" si="27"/>
        <v>NorthBound</v>
      </c>
      <c r="U100" s="17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12:39:02-700',mode:absolute,to:'2016-11-10 15:22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0" s="52" t="str">
        <f t="shared" si="29"/>
        <v>N</v>
      </c>
      <c r="X100" s="178">
        <f t="shared" si="38"/>
        <v>1</v>
      </c>
      <c r="Y100" s="67">
        <f t="shared" si="41"/>
        <v>4.7100000000000003E-2</v>
      </c>
      <c r="Z100" s="67">
        <f t="shared" si="42"/>
        <v>23.329899999999999</v>
      </c>
      <c r="AA100" s="67">
        <f t="shared" si="30"/>
        <v>23.282799999999998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1"/>
        <v>0177-10</v>
      </c>
      <c r="AE100" s="91" t="str">
        <f t="shared" si="32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00" s="88" t="str">
        <f t="shared" si="33"/>
        <v>"C:\Program Files (x86)\AstroGrep\AstroGrep.exe" /spath="%USERPROFILE%\AppData\Local\Temp\OnboardLogs" /stypes="app*4022*20161110*" /stext=" 21:.+((SYSTEM_STATE.+slice.+state.+changed )|(ment ac)|(system.+state.+changed )|(\[timeout)|(PRM\|1\|D)|(kpr)|(kdp)|(\|lc)|(penalty))" /e /r /s</v>
      </c>
      <c r="AG100" s="1" t="str">
        <f t="shared" si="34"/>
        <v>EC</v>
      </c>
      <c r="AH100" s="92" t="str">
        <f t="shared" si="36"/>
        <v>"%USERPROFILE%\Documents\GitHub\eaglep3\Utilities\RefineRTDCRunTimes.py" --tripid 177-10 --locoid 4022 --swversion DE.1.0.8.0 --startMP 204:471 --initTime 2016-11-10T13:39:02 --startdatetime 2016-11-10T13:41:13 --delay 1 --endMP 204:233299 --enddatetime 2016-11-10T14:22:34 --enforcementcount 0 &gt;&gt;C:\Users\stu\Documents\GitHub\eaglep3-reporting\EC\2016-11-10-refined-times.txt</v>
      </c>
      <c r="AI100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{"issue":{"subject":"","project_id":79,"tracker_id":40,"status_id":1,"priority_id":2,"assigned_to_id":23,"start_date":"2016-11-10","description":"","custom_fields":[{"id":1,"name":"Subdivision","value":"EC"},{"id":4,"name":"Milepost","value":"23.3299"},{"id":17,"name":"Train ID","value":"177-10"},{"id":16,"name":"Locomotive ID","value":"4022"},{"id":130,"name":"Impact","value":""},{"id":150,"name":"Time of Event (Mountain Time)","value":"14:22:34"},{"id":151,"name":"Denver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525</v>
      </c>
      <c r="B101" s="7">
        <v>4026</v>
      </c>
      <c r="C101" s="22" t="s">
        <v>226</v>
      </c>
      <c r="D101" s="22" t="s">
        <v>674</v>
      </c>
      <c r="E101" s="13">
        <v>42684.594988425924</v>
      </c>
      <c r="F101" s="13">
        <v>42684.597673611112</v>
      </c>
      <c r="G101" s="7">
        <v>3</v>
      </c>
      <c r="H101" s="22" t="s">
        <v>175</v>
      </c>
      <c r="I101" s="13">
        <v>42684.623715277776</v>
      </c>
      <c r="J101" s="7">
        <v>0</v>
      </c>
      <c r="K101" s="109" t="str">
        <f t="shared" si="25"/>
        <v>4025/4026</v>
      </c>
      <c r="L101" s="22" t="str">
        <f>VLOOKUP(A101,'Trips&amp;Operators'!$C$1:$E$10000,3,FALSE)</f>
        <v>SMITH</v>
      </c>
      <c r="M101" s="6">
        <f t="shared" si="26"/>
        <v>2.6041666664241347E-2</v>
      </c>
      <c r="N101" s="7">
        <f t="shared" si="39"/>
        <v>37.49999999650754</v>
      </c>
      <c r="O101" s="7"/>
      <c r="P101" s="7"/>
      <c r="Q101" s="23"/>
      <c r="R101" s="23"/>
      <c r="S101" s="35">
        <f t="shared" si="40"/>
        <v>1</v>
      </c>
      <c r="T101" s="50" t="str">
        <f t="shared" si="27"/>
        <v>Southbound</v>
      </c>
      <c r="U101" s="17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13:16:47-700',mode:absolute,to:'2016-11-10 15:58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1" s="52" t="str">
        <f t="shared" si="29"/>
        <v>N</v>
      </c>
      <c r="X101" s="178">
        <f t="shared" si="38"/>
        <v>1</v>
      </c>
      <c r="Y101" s="67">
        <f t="shared" si="41"/>
        <v>23.296399999999998</v>
      </c>
      <c r="Z101" s="67">
        <f t="shared" si="42"/>
        <v>1.47E-2</v>
      </c>
      <c r="AA101" s="67">
        <f t="shared" si="30"/>
        <v>23.281699999999997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1"/>
        <v>0178-10</v>
      </c>
      <c r="AE101" s="91" t="str">
        <f t="shared" si="32"/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101" s="88" t="str">
        <f t="shared" si="33"/>
        <v>"C:\Program Files (x86)\AstroGrep\AstroGrep.exe" /spath="%USERPROFILE%\AppData\Local\Temp\OnboardLogs" /stypes="app*4026*20161110*" /stext=" 21:.+((SYSTEM_STATE.+slice.+state.+changed )|(ment ac)|(system.+state.+changed )|(\[timeout)|(PRM\|1\|D)|(kpr)|(kdp)|(\|lc)|(penalty))" /e /r /s</v>
      </c>
      <c r="AG101" s="1" t="str">
        <f t="shared" si="34"/>
        <v>EC</v>
      </c>
      <c r="AH101" s="92" t="str">
        <f t="shared" si="36"/>
        <v>"%USERPROFILE%\Documents\GitHub\eaglep3\Utilities\RefineRTDCRunTimes.py" --tripid 178-10 --locoid 4026 --swversion DE.1.0.8.0 --startMP 204:232964 --initTime 2016-11-10T14:16:47 --startdatetime 2016-11-10T14:20:39 --delay 3 --endMP 204:147 --enddatetime 2016-11-10T14:58:09 --enforcementcount 0 &gt;&gt;C:\Users\stu\Documents\GitHub\eaglep3-reporting\EC\2016-11-10-refined-times.txt</v>
      </c>
      <c r="AI101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{"issue":{"subject":"","project_id":79,"tracker_id":40,"status_id":1,"priority_id":2,"assigned_to_id":23,"start_date":"2016-11-10","description":"","custom_fields":[{"id":1,"name":"Subdivision","value":"EC"},{"id":4,"name":"Milepost","value":"0.0147"},{"id":17,"name":"Train ID","value":"178-10"},{"id":16,"name":"Locomotive ID","value":"4026"},{"id":130,"name":"Impact","value":""},{"id":150,"name":"Time of Event (Mountain Time)","value":"14:58:09"},{"id":151,"name":"Denver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527</v>
      </c>
      <c r="B102" s="7">
        <v>4021</v>
      </c>
      <c r="C102" s="22" t="s">
        <v>226</v>
      </c>
      <c r="D102" s="22" t="s">
        <v>214</v>
      </c>
      <c r="E102" s="13">
        <v>42684.605023148149</v>
      </c>
      <c r="F102" s="13">
        <v>42684.608113425929</v>
      </c>
      <c r="G102" s="7">
        <v>2</v>
      </c>
      <c r="H102" s="22" t="s">
        <v>198</v>
      </c>
      <c r="I102" s="13">
        <v>42684.634826388887</v>
      </c>
      <c r="J102" s="7">
        <v>0</v>
      </c>
      <c r="K102" s="109" t="str">
        <f t="shared" si="25"/>
        <v>4021/4022</v>
      </c>
      <c r="L102" s="22" t="str">
        <f>VLOOKUP(A102,'Trips&amp;Operators'!$C$1:$E$10000,3,FALSE)</f>
        <v>BONDS</v>
      </c>
      <c r="M102" s="6">
        <f t="shared" si="26"/>
        <v>2.6712962957390118E-2</v>
      </c>
      <c r="N102" s="7">
        <f t="shared" si="39"/>
        <v>38.46666665864177</v>
      </c>
      <c r="O102" s="7"/>
      <c r="P102" s="7"/>
      <c r="Q102" s="23"/>
      <c r="R102" s="23"/>
      <c r="S102" s="35">
        <f t="shared" si="40"/>
        <v>1</v>
      </c>
      <c r="T102" s="50" t="str">
        <f t="shared" si="27"/>
        <v>Southbound</v>
      </c>
      <c r="U102" s="17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13:31:14-700',mode:absolute,to:'2016-11-10 16:14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2" s="52" t="str">
        <f t="shared" si="29"/>
        <v>N</v>
      </c>
      <c r="X102" s="178">
        <f t="shared" si="38"/>
        <v>2</v>
      </c>
      <c r="Y102" s="67">
        <f t="shared" si="41"/>
        <v>23.297699999999999</v>
      </c>
      <c r="Z102" s="67">
        <f t="shared" si="42"/>
        <v>1.49E-2</v>
      </c>
      <c r="AA102" s="67">
        <f t="shared" si="30"/>
        <v>23.282799999999998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1"/>
        <v>0180-10</v>
      </c>
      <c r="AE102" s="91" t="str">
        <f t="shared" si="32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02" s="88" t="str">
        <f t="shared" si="33"/>
        <v>"C:\Program Files (x86)\AstroGrep\AstroGrep.exe" /spath="%USERPROFILE%\AppData\Local\Temp\OnboardLogs" /stypes="app*4021*20161110*" /stext=" 22:.+((SYSTEM_STATE.+slice.+state.+changed )|(ment ac)|(system.+state.+changed )|(\[timeout)|(PRM\|1\|D)|(kpr)|(kdp)|(\|lc)|(penalty))" /e /r /s</v>
      </c>
      <c r="AG102" s="1" t="str">
        <f t="shared" si="34"/>
        <v>EC</v>
      </c>
      <c r="AH102" s="92" t="str">
        <f t="shared" si="36"/>
        <v>"%USERPROFILE%\Documents\GitHub\eaglep3\Utilities\RefineRTDCRunTimes.py" --tripid 180-10 --locoid 4021 --swversion DE.1.0.8.0 --startMP 204:232977 --initTime 2016-11-10T14:31:14 --startdatetime 2016-11-10T14:35:41 --delay 2 --endMP 204:149 --enddatetime 2016-11-10T15:14:09 --enforcementcount 0 &gt;&gt;C:\Users\stu\Documents\GitHub\eaglep3-reporting\EC\2016-11-10-refined-times.txt</v>
      </c>
      <c r="AI102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{"issue":{"subject":"","project_id":79,"tracker_id":40,"status_id":1,"priority_id":2,"assigned_to_id":23,"start_date":"2016-11-10","description":"","custom_fields":[{"id":1,"name":"Subdivision","value":"EC"},{"id":4,"name":"Milepost","value":"0.0149"},{"id":17,"name":"Train ID","value":"180-10"},{"id":16,"name":"Locomotive ID","value":"4021"},{"id":130,"name":"Impact","value":""},{"id":150,"name":"Time of Event (Mountain Time)","value":"15:14:09"},{"id":151,"name":"Denver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531</v>
      </c>
      <c r="B103" s="7">
        <v>4008</v>
      </c>
      <c r="C103" s="22" t="s">
        <v>226</v>
      </c>
      <c r="D103" s="22" t="s">
        <v>302</v>
      </c>
      <c r="E103" s="13">
        <v>42684.620405092595</v>
      </c>
      <c r="F103" s="13">
        <v>42684.622418981482</v>
      </c>
      <c r="G103" s="7">
        <v>1</v>
      </c>
      <c r="H103" s="22" t="s">
        <v>258</v>
      </c>
      <c r="I103" s="13">
        <v>42684.653287037036</v>
      </c>
      <c r="J103" s="7">
        <v>0</v>
      </c>
      <c r="K103" s="109" t="str">
        <f t="shared" si="25"/>
        <v>4007/4008</v>
      </c>
      <c r="L103" s="22" t="str">
        <f>VLOOKUP(A103,'Trips&amp;Operators'!$C$1:$E$10000,3,FALSE)</f>
        <v>SHOOK</v>
      </c>
      <c r="M103" s="6">
        <f t="shared" si="26"/>
        <v>3.0868055553582963E-2</v>
      </c>
      <c r="N103" s="7">
        <f t="shared" si="39"/>
        <v>44.449999997159466</v>
      </c>
      <c r="O103" s="7"/>
      <c r="P103" s="7"/>
      <c r="Q103" s="23"/>
      <c r="R103" s="23"/>
      <c r="S103" s="35">
        <f t="shared" si="40"/>
        <v>1</v>
      </c>
      <c r="T103" s="50" t="str">
        <f t="shared" si="27"/>
        <v>Southbound</v>
      </c>
      <c r="U103" s="17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13:53:23-700',mode:absolute,to:'2016-11-10 16:40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3" s="52" t="str">
        <f t="shared" si="29"/>
        <v>N</v>
      </c>
      <c r="X103" s="178">
        <f t="shared" si="38"/>
        <v>4</v>
      </c>
      <c r="Y103" s="67">
        <f t="shared" si="41"/>
        <v>23.305900000000001</v>
      </c>
      <c r="Z103" s="67">
        <f t="shared" si="42"/>
        <v>1.4999999999999999E-2</v>
      </c>
      <c r="AA103" s="67">
        <f t="shared" si="30"/>
        <v>23.290900000000001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1"/>
        <v>0184-10</v>
      </c>
      <c r="AE103" s="91" t="str">
        <f t="shared" si="32"/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103" s="88" t="str">
        <f t="shared" si="33"/>
        <v>"C:\Program Files (x86)\AstroGrep\AstroGrep.exe" /spath="%USERPROFILE%\AppData\Local\Temp\OnboardLogs" /stypes="app*4008*20161110*" /stext=" 22:.+((SYSTEM_STATE.+slice.+state.+changed )|(ment ac)|(system.+state.+changed )|(\[timeout)|(PRM\|1\|D)|(kpr)|(kdp)|(\|lc)|(penalty))" /e /r /s</v>
      </c>
      <c r="AG103" s="1" t="str">
        <f t="shared" si="34"/>
        <v>EC</v>
      </c>
      <c r="AH103" s="92" t="str">
        <f t="shared" si="36"/>
        <v>"%USERPROFILE%\Documents\GitHub\eaglep3\Utilities\RefineRTDCRunTimes.py" --tripid 184-10 --locoid 4008 --swversion DE.1.0.8.0 --startMP 204:233059 --initTime 2016-11-10T14:53:23 --startdatetime 2016-11-10T14:56:17 --delay 1 --endMP 204:150 --enddatetime 2016-11-10T15:40:44 --enforcementcount 0 &gt;&gt;C:\Users\stu\Documents\GitHub\eaglep3-reporting\EC\2016-11-10-refined-times.txt</v>
      </c>
      <c r="AI103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{"issue":{"subject":"","project_id":79,"tracker_id":40,"status_id":1,"priority_id":2,"assigned_to_id":23,"start_date":"2016-11-10","description":"","custom_fields":[{"id":1,"name":"Subdivision","value":"EC"},{"id":4,"name":"Milepost","value":"0.015"},{"id":17,"name":"Train ID","value":"184-10"},{"id":16,"name":"Locomotive ID","value":"4008"},{"id":130,"name":"Impact","value":""},{"id":150,"name":"Time of Event (Mountain Time)","value":"15:40:44"},{"id":151,"name":"Denver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523</v>
      </c>
      <c r="B104" s="7">
        <v>4002</v>
      </c>
      <c r="C104" s="22" t="s">
        <v>226</v>
      </c>
      <c r="D104" s="22" t="s">
        <v>343</v>
      </c>
      <c r="E104" s="13">
        <v>42684.586423611108</v>
      </c>
      <c r="F104" s="13">
        <v>42684.594224537039</v>
      </c>
      <c r="G104" s="7">
        <v>5</v>
      </c>
      <c r="H104" s="22" t="s">
        <v>351</v>
      </c>
      <c r="I104" s="13">
        <v>42684.62363425926</v>
      </c>
      <c r="J104" s="7">
        <v>0</v>
      </c>
      <c r="K104" s="109" t="str">
        <f t="shared" si="25"/>
        <v>4001/4002</v>
      </c>
      <c r="L104" s="22" t="str">
        <f>VLOOKUP(A104,'Trips&amp;Operators'!$C$1:$E$10000,3,FALSE)</f>
        <v>MOSES</v>
      </c>
      <c r="M104" s="6">
        <f t="shared" si="26"/>
        <v>2.940972222131677E-2</v>
      </c>
      <c r="N104" s="7">
        <f t="shared" si="39"/>
        <v>42.349999998696148</v>
      </c>
      <c r="O104" s="7"/>
      <c r="P104" s="7"/>
      <c r="Q104" s="23"/>
      <c r="R104" s="23"/>
      <c r="S104" s="35">
        <f t="shared" si="40"/>
        <v>1</v>
      </c>
      <c r="T104" s="50" t="str">
        <f t="shared" si="27"/>
        <v>NorthBound</v>
      </c>
      <c r="U104" s="17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13:04:27-700',mode:absolute,to:'2016-11-10 15:58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4" s="52" t="str">
        <f t="shared" si="29"/>
        <v>N</v>
      </c>
      <c r="X104" s="178">
        <f t="shared" si="38"/>
        <v>1</v>
      </c>
      <c r="Y104" s="67">
        <f t="shared" si="41"/>
        <v>4.7300000000000002E-2</v>
      </c>
      <c r="Z104" s="67">
        <f t="shared" si="42"/>
        <v>23.3324</v>
      </c>
      <c r="AA104" s="67">
        <f t="shared" si="30"/>
        <v>23.2851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1"/>
        <v>0185-10</v>
      </c>
      <c r="AE104" s="91" t="str">
        <f t="shared" si="32"/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04" s="88" t="str">
        <f t="shared" si="33"/>
        <v>"C:\Program Files (x86)\AstroGrep\AstroGrep.exe" /spath="%USERPROFILE%\AppData\Local\Temp\OnboardLogs" /stypes="app*4002*20161110*" /stext=" 21:.+((SYSTEM_STATE.+slice.+state.+changed )|(ment ac)|(system.+state.+changed )|(\[timeout)|(PRM\|1\|D)|(kpr)|(kdp)|(\|lc)|(penalty))" /e /r /s</v>
      </c>
      <c r="AG104" s="1" t="str">
        <f t="shared" si="34"/>
        <v>EC</v>
      </c>
      <c r="AH104" s="92" t="str">
        <f t="shared" si="36"/>
        <v>"%USERPROFILE%\Documents\GitHub\eaglep3\Utilities\RefineRTDCRunTimes.py" --tripid 185-10 --locoid 4002 --swversion DE.1.0.8.0 --startMP 204:473 --initTime 2016-11-10T14:04:27 --startdatetime 2016-11-10T14:15:41 --delay 5 --endMP 204:233324 --enddatetime 2016-11-10T14:58:02 --enforcementcount 0 &gt;&gt;C:\Users\stu\Documents\GitHub\eaglep3-reporting\EC\2016-11-10-refined-times.txt</v>
      </c>
      <c r="AI104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{"issue":{"subject":"","project_id":79,"tracker_id":40,"status_id":1,"priority_id":2,"assigned_to_id":23,"start_date":"2016-11-10","description":"","custom_fields":[{"id":1,"name":"Subdivision","value":"EC"},{"id":4,"name":"Milepost","value":"23.3324"},{"id":17,"name":"Train ID","value":"185-10"},{"id":16,"name":"Locomotive ID","value":"4002"},{"id":130,"name":"Impact","value":""},{"id":150,"name":"Time of Event (Mountain Time)","value":"14:58:02"},{"id":151,"name":"Denver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7" t="s">
        <v>533</v>
      </c>
      <c r="B105" s="7">
        <v>4001</v>
      </c>
      <c r="C105" s="22" t="s">
        <v>226</v>
      </c>
      <c r="D105" s="22" t="s">
        <v>348</v>
      </c>
      <c r="E105" s="13">
        <v>42684.628506944442</v>
      </c>
      <c r="F105" s="13">
        <v>42684.633009259262</v>
      </c>
      <c r="G105" s="7">
        <v>2</v>
      </c>
      <c r="H105" s="22" t="s">
        <v>198</v>
      </c>
      <c r="I105" s="13">
        <v>42684.659375000003</v>
      </c>
      <c r="J105" s="7">
        <v>0</v>
      </c>
      <c r="K105" s="109" t="str">
        <f t="shared" si="25"/>
        <v>4001/4002</v>
      </c>
      <c r="L105" s="22" t="str">
        <f>VLOOKUP(A105,'Trips&amp;Operators'!$C$1:$E$10000,3,FALSE)</f>
        <v>MOSES</v>
      </c>
      <c r="M105" s="6">
        <f t="shared" si="26"/>
        <v>2.6365740741312038E-2</v>
      </c>
      <c r="N105" s="7">
        <f t="shared" si="39"/>
        <v>37.966666667489335</v>
      </c>
      <c r="O105" s="7"/>
      <c r="P105" s="7"/>
      <c r="Q105" s="23"/>
      <c r="R105" s="23"/>
      <c r="S105" s="35">
        <f t="shared" si="40"/>
        <v>1</v>
      </c>
      <c r="T105" s="50" t="str">
        <f t="shared" si="27"/>
        <v>Southbound</v>
      </c>
      <c r="U105" s="17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14:05:03-700',mode:absolute,to:'2016-11-10 16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5" s="52" t="str">
        <f t="shared" si="29"/>
        <v>N</v>
      </c>
      <c r="X105" s="178">
        <f t="shared" si="38"/>
        <v>1</v>
      </c>
      <c r="Y105" s="67">
        <f t="shared" si="41"/>
        <v>23.299800000000001</v>
      </c>
      <c r="Z105" s="67">
        <f t="shared" si="42"/>
        <v>1.49E-2</v>
      </c>
      <c r="AA105" s="67">
        <f t="shared" si="30"/>
        <v>23.2849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1"/>
        <v>0186-10</v>
      </c>
      <c r="AE105" s="91" t="str">
        <f t="shared" si="32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05" s="88" t="str">
        <f t="shared" si="33"/>
        <v>"C:\Program Files (x86)\AstroGrep\AstroGrep.exe" /spath="%USERPROFILE%\AppData\Local\Temp\OnboardLogs" /stypes="app*4001*20161110*" /stext=" 22:.+((SYSTEM_STATE.+slice.+state.+changed )|(ment ac)|(system.+state.+changed )|(\[timeout)|(PRM\|1\|D)|(kpr)|(kdp)|(\|lc)|(penalty))" /e /r /s</v>
      </c>
      <c r="AG105" s="1" t="str">
        <f t="shared" si="34"/>
        <v>EC</v>
      </c>
      <c r="AH105" s="92" t="str">
        <f t="shared" si="36"/>
        <v>"%USERPROFILE%\Documents\GitHub\eaglep3\Utilities\RefineRTDCRunTimes.py" --tripid 186-10 --locoid 4001 --swversion DE.1.0.8.0 --startMP 204:232998 --initTime 2016-11-10T15:05:03 --startdatetime 2016-11-10T15:11:32 --delay 2 --endMP 204:149 --enddatetime 2016-11-10T15:49:30 --enforcementcount 0 &gt;&gt;C:\Users\stu\Documents\GitHub\eaglep3-reporting\EC\2016-11-10-refined-times.txt</v>
      </c>
      <c r="AI105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{"issue":{"subject":"","project_id":79,"tracker_id":40,"status_id":1,"priority_id":2,"assigned_to_id":23,"start_date":"2016-11-10","description":"","custom_fields":[{"id":1,"name":"Subdivision","value":"EC"},{"id":4,"name":"Milepost","value":"0.0149"},{"id":17,"name":"Train ID","value":"186-10"},{"id":16,"name":"Locomotive ID","value":"4001"},{"id":130,"name":"Impact","value":""},{"id":150,"name":"Time of Event (Mountain Time)","value":"15:49:30"},{"id":151,"name":"Denver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526</v>
      </c>
      <c r="B106" s="7">
        <v>4053</v>
      </c>
      <c r="C106" s="22" t="s">
        <v>226</v>
      </c>
      <c r="D106" s="22" t="s">
        <v>675</v>
      </c>
      <c r="E106" s="13">
        <v>42684.602384259262</v>
      </c>
      <c r="F106" s="13">
        <v>42684.606736111113</v>
      </c>
      <c r="G106" s="7">
        <v>4</v>
      </c>
      <c r="H106" s="22" t="s">
        <v>266</v>
      </c>
      <c r="I106" s="13">
        <v>42684.632731481484</v>
      </c>
      <c r="J106" s="7">
        <v>0</v>
      </c>
      <c r="K106" s="109" t="str">
        <f t="shared" si="25"/>
        <v>4053/4054</v>
      </c>
      <c r="L106" s="22" t="str">
        <f>VLOOKUP(A106,'Trips&amp;Operators'!$C$1:$E$10000,3,FALSE)</f>
        <v>BROWN</v>
      </c>
      <c r="M106" s="6">
        <f t="shared" si="26"/>
        <v>2.5995370371674653E-2</v>
      </c>
      <c r="N106" s="7">
        <f t="shared" si="39"/>
        <v>37.433333335211501</v>
      </c>
      <c r="O106" s="7"/>
      <c r="P106" s="7"/>
      <c r="Q106" s="23"/>
      <c r="R106" s="23"/>
      <c r="S106" s="35">
        <f t="shared" si="40"/>
        <v>1</v>
      </c>
      <c r="T106" s="50" t="str">
        <f t="shared" si="27"/>
        <v>NorthBound</v>
      </c>
      <c r="U106" s="17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13:27:26-700',mode:absolute,to:'2016-11-10 16:11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6" s="52" t="str">
        <f t="shared" si="29"/>
        <v>N</v>
      </c>
      <c r="X106" s="178">
        <f t="shared" si="38"/>
        <v>1</v>
      </c>
      <c r="Y106" s="67">
        <f t="shared" si="41"/>
        <v>5.3900000000000003E-2</v>
      </c>
      <c r="Z106" s="67">
        <f t="shared" si="42"/>
        <v>23.331700000000001</v>
      </c>
      <c r="AA106" s="67">
        <f t="shared" si="30"/>
        <v>23.277800000000003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1"/>
        <v>0187-10</v>
      </c>
      <c r="AE106" s="91" t="str">
        <f t="shared" si="32"/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106" s="88" t="str">
        <f t="shared" si="33"/>
        <v>"C:\Program Files (x86)\AstroGrep\AstroGrep.exe" /spath="%USERPROFILE%\AppData\Local\Temp\OnboardLogs" /stypes="app*4053*20161110*" /stext=" 22:.+((SYSTEM_STATE.+slice.+state.+changed )|(ment ac)|(system.+state.+changed )|(\[timeout)|(PRM\|1\|D)|(kpr)|(kdp)|(\|lc)|(penalty))" /e /r /s</v>
      </c>
      <c r="AG106" s="1" t="str">
        <f t="shared" si="34"/>
        <v>EC</v>
      </c>
      <c r="AH106" s="92" t="str">
        <f t="shared" si="36"/>
        <v>"%USERPROFILE%\Documents\GitHub\eaglep3\Utilities\RefineRTDCRunTimes.py" --tripid 187-10 --locoid 4053 --swversion DE.1.0.8.0 --startMP 204:539 --initTime 2016-11-10T14:27:26 --startdatetime 2016-11-10T14:33:42 --delay 4 --endMP 204:233317 --enddatetime 2016-11-10T15:11:08 --enforcementcount 0 &gt;&gt;C:\Users\stu\Documents\GitHub\eaglep3-reporting\EC\2016-11-10-refined-times.txt</v>
      </c>
      <c r="AI106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{"issue":{"subject":"","project_id":79,"tracker_id":40,"status_id":1,"priority_id":2,"assigned_to_id":23,"start_date":"2016-11-10","description":"","custom_fields":[{"id":1,"name":"Subdivision","value":"EC"},{"id":4,"name":"Milepost","value":"23.3317"},{"id":17,"name":"Train ID","value":"187-10"},{"id":16,"name":"Locomotive ID","value":"4053"},{"id":130,"name":"Impact","value":""},{"id":150,"name":"Time of Event (Mountain Time)","value":"15:11:08"},{"id":151,"name":"Denver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537</v>
      </c>
      <c r="B107" s="7">
        <v>4054</v>
      </c>
      <c r="C107" s="22" t="s">
        <v>226</v>
      </c>
      <c r="D107" s="22" t="s">
        <v>630</v>
      </c>
      <c r="E107" s="13">
        <v>42684.642523148148</v>
      </c>
      <c r="F107" s="13">
        <v>42684.645185185182</v>
      </c>
      <c r="G107" s="7">
        <v>1</v>
      </c>
      <c r="H107" s="22" t="s">
        <v>286</v>
      </c>
      <c r="I107" s="13">
        <v>42684.672326388885</v>
      </c>
      <c r="J107" s="7">
        <v>0</v>
      </c>
      <c r="K107" s="109" t="str">
        <f t="shared" si="25"/>
        <v>4053/4054</v>
      </c>
      <c r="L107" s="22" t="str">
        <f>VLOOKUP(A107,'Trips&amp;Operators'!$C$1:$E$10000,3,FALSE)</f>
        <v>BROWN</v>
      </c>
      <c r="M107" s="6">
        <f t="shared" si="26"/>
        <v>2.7141203703649808E-2</v>
      </c>
      <c r="N107" s="7">
        <f t="shared" si="39"/>
        <v>39.083333333255723</v>
      </c>
      <c r="O107" s="7"/>
      <c r="P107" s="7"/>
      <c r="Q107" s="23"/>
      <c r="R107" s="23"/>
      <c r="S107" s="35">
        <f t="shared" si="40"/>
        <v>1</v>
      </c>
      <c r="T107" s="50" t="str">
        <f t="shared" si="27"/>
        <v>Southbound</v>
      </c>
      <c r="U107" s="17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14:25:14-700',mode:absolute,to:'2016-11-10 17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7" s="52" t="str">
        <f t="shared" si="29"/>
        <v>N</v>
      </c>
      <c r="X107" s="178">
        <f t="shared" si="38"/>
        <v>1</v>
      </c>
      <c r="Y107" s="67">
        <f t="shared" si="41"/>
        <v>23.3</v>
      </c>
      <c r="Z107" s="67">
        <f t="shared" si="42"/>
        <v>1.6500000000000001E-2</v>
      </c>
      <c r="AA107" s="67">
        <f t="shared" si="30"/>
        <v>23.2835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1"/>
        <v>0188-10</v>
      </c>
      <c r="AE107" s="91" t="str">
        <f t="shared" si="32"/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107" s="88" t="str">
        <f t="shared" si="33"/>
        <v>"C:\Program Files (x86)\AstroGrep\AstroGrep.exe" /spath="%USERPROFILE%\AppData\Local\Temp\OnboardLogs" /stypes="app*4054*20161110*" /stext=" 23:.+((SYSTEM_STATE.+slice.+state.+changed )|(ment ac)|(system.+state.+changed )|(\[timeout)|(PRM\|1\|D)|(kpr)|(kdp)|(\|lc)|(penalty))" /e /r /s</v>
      </c>
      <c r="AG107" s="1" t="str">
        <f t="shared" si="34"/>
        <v>EC</v>
      </c>
      <c r="AH107" s="92" t="str">
        <f t="shared" si="36"/>
        <v>"%USERPROFILE%\Documents\GitHub\eaglep3\Utilities\RefineRTDCRunTimes.py" --tripid 188-10 --locoid 4054 --swversion DE.1.0.8.0 --startMP 204:233000 --initTime 2016-11-10T15:25:14 --startdatetime 2016-11-10T15:29:04 --delay 1 --endMP 204:165 --enddatetime 2016-11-10T16:08:09 --enforcementcount 0 &gt;&gt;C:\Users\stu\Documents\GitHub\eaglep3-reporting\EC\2016-11-10-refined-times.txt</v>
      </c>
      <c r="AI107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{"issue":{"subject":"","project_id":79,"tracker_id":40,"status_id":1,"priority_id":2,"assigned_to_id":23,"start_date":"2016-11-10","description":"","custom_fields":[{"id":1,"name":"Subdivision","value":"EC"},{"id":4,"name":"Milepost","value":"0.0165"},{"id":17,"name":"Train ID","value":"188-10"},{"id":16,"name":"Locomotive ID","value":"4054"},{"id":130,"name":"Impact","value":""},{"id":150,"name":"Time of Event (Mountain Time)","value":"16:08:09"},{"id":151,"name":"Denver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528</v>
      </c>
      <c r="B108" s="7">
        <v>4016</v>
      </c>
      <c r="C108" s="22" t="s">
        <v>226</v>
      </c>
      <c r="D108" s="22" t="s">
        <v>200</v>
      </c>
      <c r="E108" s="13">
        <v>42684.60664351852</v>
      </c>
      <c r="F108" s="13">
        <v>42684.614884259259</v>
      </c>
      <c r="G108" s="7">
        <v>1</v>
      </c>
      <c r="H108" s="22" t="s">
        <v>203</v>
      </c>
      <c r="I108" s="13">
        <v>42684.639502314814</v>
      </c>
      <c r="J108" s="7">
        <v>0</v>
      </c>
      <c r="K108" s="109" t="str">
        <f t="shared" si="25"/>
        <v>4015/4016</v>
      </c>
      <c r="L108" s="22" t="str">
        <f>VLOOKUP(A108,'Trips&amp;Operators'!$C$1:$E$10000,3,FALSE)</f>
        <v>SUR</v>
      </c>
      <c r="M108" s="6">
        <f t="shared" si="26"/>
        <v>2.4618055555038154E-2</v>
      </c>
      <c r="N108" s="7">
        <f t="shared" si="39"/>
        <v>35.449999999254942</v>
      </c>
      <c r="O108" s="7"/>
      <c r="P108" s="7"/>
      <c r="Q108" s="23"/>
      <c r="R108" s="23"/>
      <c r="S108" s="35">
        <f t="shared" si="40"/>
        <v>1</v>
      </c>
      <c r="T108" s="50" t="str">
        <f t="shared" si="27"/>
        <v>NorthBound</v>
      </c>
      <c r="U108" s="17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13:33:34-700',mode:absolute,to:'2016-11-10 16:20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8" s="52" t="str">
        <f t="shared" si="29"/>
        <v>N</v>
      </c>
      <c r="X108" s="178">
        <f t="shared" si="38"/>
        <v>1</v>
      </c>
      <c r="Y108" s="67">
        <f t="shared" si="41"/>
        <v>4.4699999999999997E-2</v>
      </c>
      <c r="Z108" s="67">
        <f t="shared" si="42"/>
        <v>23.329499999999999</v>
      </c>
      <c r="AA108" s="67">
        <f t="shared" si="30"/>
        <v>23.284800000000001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1"/>
        <v>0189-10</v>
      </c>
      <c r="AE108" s="91" t="str">
        <f t="shared" si="32"/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108" s="88" t="str">
        <f t="shared" si="33"/>
        <v>"C:\Program Files (x86)\AstroGrep\AstroGrep.exe" /spath="%USERPROFILE%\AppData\Local\Temp\OnboardLogs" /stypes="app*4016*20161110*" /stext=" 22:.+((SYSTEM_STATE.+slice.+state.+changed )|(ment ac)|(system.+state.+changed )|(\[timeout)|(PRM\|1\|D)|(kpr)|(kdp)|(\|lc)|(penalty))" /e /r /s</v>
      </c>
      <c r="AG108" s="1" t="str">
        <f t="shared" si="34"/>
        <v>EC</v>
      </c>
      <c r="AH108" s="92" t="str">
        <f t="shared" si="36"/>
        <v>"%USERPROFILE%\Documents\GitHub\eaglep3\Utilities\RefineRTDCRunTimes.py" --tripid 189-10 --locoid 4016 --swversion DE.1.0.8.0 --startMP 204:447 --initTime 2016-11-10T14:33:34 --startdatetime 2016-11-10T14:45:26 --delay 1 --endMP 204:233295 --enddatetime 2016-11-10T15:20:53 --enforcementcount 0 &gt;&gt;C:\Users\stu\Documents\GitHub\eaglep3-reporting\EC\2016-11-10-refined-times.txt</v>
      </c>
      <c r="AI108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{"issue":{"subject":"","project_id":79,"tracker_id":40,"status_id":1,"priority_id":2,"assigned_to_id":23,"start_date":"2016-11-10","description":"","custom_fields":[{"id":1,"name":"Subdivision","value":"EC"},{"id":4,"name":"Milepost","value":"23.3295"},{"id":17,"name":"Train ID","value":"189-10"},{"id":16,"name":"Locomotive ID","value":"4016"},{"id":130,"name":"Impact","value":""},{"id":150,"name":"Time of Event (Mountain Time)","value":"15:20:53"},{"id":151,"name":"Denver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538</v>
      </c>
      <c r="B109" s="7">
        <v>4015</v>
      </c>
      <c r="C109" s="22" t="s">
        <v>226</v>
      </c>
      <c r="D109" s="22" t="s">
        <v>283</v>
      </c>
      <c r="E109" s="13">
        <v>42684.647118055553</v>
      </c>
      <c r="F109" s="13">
        <v>42684.653819444444</v>
      </c>
      <c r="G109" s="7">
        <v>0</v>
      </c>
      <c r="H109" s="22" t="s">
        <v>668</v>
      </c>
      <c r="I109" s="13">
        <v>42684.68072916667</v>
      </c>
      <c r="J109" s="7">
        <v>0</v>
      </c>
      <c r="K109" s="109" t="str">
        <f t="shared" si="25"/>
        <v>4015/4016</v>
      </c>
      <c r="L109" s="22" t="str">
        <f>VLOOKUP(A109,'Trips&amp;Operators'!$C$1:$E$10000,3,FALSE)</f>
        <v>SUR</v>
      </c>
      <c r="M109" s="6">
        <f t="shared" si="26"/>
        <v>2.6909722226264421E-2</v>
      </c>
      <c r="N109" s="7">
        <f t="shared" si="39"/>
        <v>38.750000005820766</v>
      </c>
      <c r="O109" s="7"/>
      <c r="P109" s="7"/>
      <c r="Q109" s="23"/>
      <c r="R109" s="23"/>
      <c r="S109" s="35">
        <f t="shared" si="40"/>
        <v>1</v>
      </c>
      <c r="T109" s="50" t="str">
        <f t="shared" si="27"/>
        <v>Southbound</v>
      </c>
      <c r="U109" s="17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14:31:51-700',mode:absolute,to:'2016-11-10 17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9" s="52" t="str">
        <f t="shared" si="29"/>
        <v>N</v>
      </c>
      <c r="X109" s="178">
        <f t="shared" si="38"/>
        <v>1</v>
      </c>
      <c r="Y109" s="67">
        <f t="shared" si="41"/>
        <v>23.299199999999999</v>
      </c>
      <c r="Z109" s="67">
        <f t="shared" si="42"/>
        <v>0.1179</v>
      </c>
      <c r="AA109" s="67">
        <f t="shared" si="30"/>
        <v>23.1813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1"/>
        <v>0190-10</v>
      </c>
      <c r="AE109" s="91" t="str">
        <f t="shared" si="32"/>
        <v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v>
      </c>
      <c r="AF109" s="88" t="str">
        <f t="shared" si="33"/>
        <v>"C:\Program Files (x86)\AstroGrep\AstroGrep.exe" /spath="%USERPROFILE%\AppData\Local\Temp\OnboardLogs" /stypes="app*4015*20161110*" /stext=" 23:.+((SYSTEM_STATE.+slice.+state.+changed )|(ment ac)|(system.+state.+changed )|(\[timeout)|(PRM\|1\|D)|(kpr)|(kdp)|(\|lc)|(penalty))" /e /r /s</v>
      </c>
      <c r="AG109" s="1" t="str">
        <f t="shared" si="34"/>
        <v>EC</v>
      </c>
      <c r="AH109" s="92" t="str">
        <f t="shared" si="36"/>
        <v>"%USERPROFILE%\Documents\GitHub\eaglep3\Utilities\RefineRTDCRunTimes.py" --tripid 190-10 --locoid 4015 --swversion DE.1.0.8.0 --startMP 204:232992 --initTime 2016-11-10T15:31:51 --startdatetime 2016-11-10T15:41:30 --delay 0 --endMP 204:1179 --enddatetime 2016-11-10T16:20:15 --enforcementcount 0 &gt;&gt;C:\Users\stu\Documents\GitHub\eaglep3-reporting\EC\2016-11-10-refined-times.txt</v>
      </c>
      <c r="AI109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{"issue":{"subject":"","project_id":79,"tracker_id":40,"status_id":1,"priority_id":2,"assigned_to_id":23,"start_date":"2016-11-10","description":"","custom_fields":[{"id":1,"name":"Subdivision","value":"EC"},{"id":4,"name":"Milepost","value":"0.1179"},{"id":17,"name":"Train ID","value":"190-10"},{"id":16,"name":"Locomotive ID","value":"4015"},{"id":130,"name":"Impact","value":""},{"id":150,"name":"Time of Event (Mountain Time)","value":"16:20:15"},{"id":151,"name":"Denver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530</v>
      </c>
      <c r="B110" s="7">
        <v>4011</v>
      </c>
      <c r="C110" s="22" t="s">
        <v>226</v>
      </c>
      <c r="D110" s="22" t="s">
        <v>228</v>
      </c>
      <c r="E110" s="13">
        <v>42684.616342592592</v>
      </c>
      <c r="F110" s="13">
        <v>42684.625196759262</v>
      </c>
      <c r="G110" s="7">
        <v>1</v>
      </c>
      <c r="H110" s="22" t="s">
        <v>244</v>
      </c>
      <c r="I110" s="13">
        <v>42684.650370370371</v>
      </c>
      <c r="J110" s="7">
        <v>0</v>
      </c>
      <c r="K110" s="109" t="str">
        <f t="shared" si="25"/>
        <v>4011/4012</v>
      </c>
      <c r="L110" s="22" t="str">
        <f>VLOOKUP(A110,'Trips&amp;Operators'!$C$1:$E$10000,3,FALSE)</f>
        <v>STORY</v>
      </c>
      <c r="M110" s="6">
        <f t="shared" si="26"/>
        <v>2.5173611109494232E-2</v>
      </c>
      <c r="N110" s="7">
        <f t="shared" si="39"/>
        <v>36.249999997671694</v>
      </c>
      <c r="O110" s="7"/>
      <c r="P110" s="7"/>
      <c r="Q110" s="23"/>
      <c r="R110" s="23"/>
      <c r="S110" s="35">
        <f t="shared" si="40"/>
        <v>1</v>
      </c>
      <c r="T110" s="50" t="str">
        <f t="shared" si="27"/>
        <v>NorthBound</v>
      </c>
      <c r="U110" s="17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13:47:32-700',mode:absolute,to:'2016-11-10 16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0" s="52" t="str">
        <f t="shared" si="29"/>
        <v>N</v>
      </c>
      <c r="X110" s="178">
        <f t="shared" si="38"/>
        <v>1</v>
      </c>
      <c r="Y110" s="67">
        <f t="shared" si="41"/>
        <v>4.58E-2</v>
      </c>
      <c r="Z110" s="67">
        <f t="shared" si="42"/>
        <v>23.331199999999999</v>
      </c>
      <c r="AA110" s="67">
        <f t="shared" si="30"/>
        <v>23.285399999999999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1"/>
        <v>0191-10</v>
      </c>
      <c r="AE110" s="91" t="str">
        <f t="shared" si="32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110" s="88" t="str">
        <f t="shared" si="33"/>
        <v>"C:\Program Files (x86)\AstroGrep\AstroGrep.exe" /spath="%USERPROFILE%\AppData\Local\Temp\OnboardLogs" /stypes="app*4011*20161110*" /stext=" 22:.+((SYSTEM_STATE.+slice.+state.+changed )|(ment ac)|(system.+state.+changed )|(\[timeout)|(PRM\|1\|D)|(kpr)|(kdp)|(\|lc)|(penalty))" /e /r /s</v>
      </c>
      <c r="AG110" s="1" t="str">
        <f t="shared" si="34"/>
        <v>EC</v>
      </c>
      <c r="AH110" s="92" t="str">
        <f t="shared" si="36"/>
        <v>"%USERPROFILE%\Documents\GitHub\eaglep3\Utilities\RefineRTDCRunTimes.py" --tripid 191-10 --locoid 4011 --swversion DE.1.0.8.0 --startMP 204:458 --initTime 2016-11-10T14:47:32 --startdatetime 2016-11-10T15:00:17 --delay 1 --endMP 204:233312 --enddatetime 2016-11-10T15:36:32 --enforcementcount 0 &gt;&gt;C:\Users\stu\Documents\GitHub\eaglep3-reporting\EC\2016-11-10-refined-times.txt</v>
      </c>
      <c r="AI110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{"issue":{"subject":"","project_id":79,"tracker_id":40,"status_id":1,"priority_id":2,"assigned_to_id":23,"start_date":"2016-11-10","description":"","custom_fields":[{"id":1,"name":"Subdivision","value":"EC"},{"id":4,"name":"Milepost","value":"23.3312"},{"id":17,"name":"Train ID","value":"191-10"},{"id":16,"name":"Locomotive ID","value":"4011"},{"id":130,"name":"Impact","value":""},{"id":150,"name":"Time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541</v>
      </c>
      <c r="B111" s="7">
        <v>4012</v>
      </c>
      <c r="C111" s="22" t="s">
        <v>226</v>
      </c>
      <c r="D111" s="22" t="s">
        <v>630</v>
      </c>
      <c r="E111" s="13">
        <v>42684.657546296294</v>
      </c>
      <c r="F111" s="13">
        <v>42684.664131944446</v>
      </c>
      <c r="G111" s="7">
        <v>1</v>
      </c>
      <c r="H111" s="22" t="s">
        <v>216</v>
      </c>
      <c r="I111" s="13">
        <v>42684.69462962963</v>
      </c>
      <c r="J111" s="7">
        <v>0</v>
      </c>
      <c r="K111" s="109" t="str">
        <f t="shared" si="25"/>
        <v>4011/4012</v>
      </c>
      <c r="L111" s="22" t="str">
        <f>VLOOKUP(A111,'Trips&amp;Operators'!$C$1:$E$10000,3,FALSE)</f>
        <v>STORY</v>
      </c>
      <c r="M111" s="6">
        <f t="shared" si="26"/>
        <v>3.0497685183945578E-2</v>
      </c>
      <c r="N111" s="7">
        <f t="shared" si="39"/>
        <v>43.916666664881632</v>
      </c>
      <c r="O111" s="7"/>
      <c r="P111" s="7"/>
      <c r="Q111" s="23"/>
      <c r="R111" s="23"/>
      <c r="S111" s="35">
        <f t="shared" si="40"/>
        <v>1</v>
      </c>
      <c r="T111" s="50" t="str">
        <f t="shared" si="27"/>
        <v>Southbound</v>
      </c>
      <c r="U111" s="17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14:46:52-700',mode:absolute,to:'2016-11-10 17:40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1" s="52" t="str">
        <f t="shared" si="29"/>
        <v>N</v>
      </c>
      <c r="X111" s="178">
        <f t="shared" si="38"/>
        <v>1</v>
      </c>
      <c r="Y111" s="67">
        <f t="shared" si="41"/>
        <v>23.3</v>
      </c>
      <c r="Z111" s="67">
        <f t="shared" si="42"/>
        <v>1.5599999999999999E-2</v>
      </c>
      <c r="AA111" s="67">
        <f t="shared" si="30"/>
        <v>23.284400000000002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1"/>
        <v>0192-10</v>
      </c>
      <c r="AE111" s="91" t="str">
        <f t="shared" si="32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111" s="88" t="str">
        <f t="shared" si="33"/>
        <v>"C:\Program Files (x86)\AstroGrep\AstroGrep.exe" /spath="%USERPROFILE%\AppData\Local\Temp\OnboardLogs" /stypes="app*4012*20161110*" /stext=" 23:.+((SYSTEM_STATE.+slice.+state.+changed )|(ment ac)|(system.+state.+changed )|(\[timeout)|(PRM\|1\|D)|(kpr)|(kdp)|(\|lc)|(penalty))" /e /r /s</v>
      </c>
      <c r="AG111" s="1" t="str">
        <f t="shared" si="34"/>
        <v>EC</v>
      </c>
      <c r="AH111" s="92" t="str">
        <f t="shared" si="36"/>
        <v>"%USERPROFILE%\Documents\GitHub\eaglep3\Utilities\RefineRTDCRunTimes.py" --tripid 192-10 --locoid 4012 --swversion DE.1.0.8.0 --startMP 204:233000 --initTime 2016-11-10T15:46:52 --startdatetime 2016-11-10T15:56:21 --delay 1 --endMP 204:156 --enddatetime 2016-11-10T16:40:16 --enforcementcount 0 &gt;&gt;C:\Users\stu\Documents\GitHub\eaglep3-reporting\EC\2016-11-10-refined-times.txt</v>
      </c>
      <c r="AI111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{"issue":{"subject":"","project_id":79,"tracker_id":40,"status_id":1,"priority_id":2,"assigned_to_id":23,"start_date":"2016-11-10","description":"","custom_fields":[{"id":1,"name":"Subdivision","value":"EC"},{"id":4,"name":"Milepost","value":"0.0156"},{"id":17,"name":"Train ID","value":"192-10"},{"id":16,"name":"Locomotive ID","value":"4012"},{"id":130,"name":"Impact","value":""},{"id":150,"name":"Time of Event (Mountain Time)","value":"16:40:16"},{"id":151,"name":"Denver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532</v>
      </c>
      <c r="B112" s="7">
        <v>4025</v>
      </c>
      <c r="C112" s="22" t="s">
        <v>226</v>
      </c>
      <c r="D112" s="22" t="s">
        <v>219</v>
      </c>
      <c r="E112" s="13">
        <v>42684.625891203701</v>
      </c>
      <c r="F112" s="13">
        <v>42684.635775462964</v>
      </c>
      <c r="G112" s="7">
        <v>6</v>
      </c>
      <c r="H112" s="22" t="s">
        <v>188</v>
      </c>
      <c r="I112" s="13">
        <v>42684.660532407404</v>
      </c>
      <c r="J112" s="7">
        <v>0</v>
      </c>
      <c r="K112" s="109" t="str">
        <f t="shared" si="25"/>
        <v>4025/4026</v>
      </c>
      <c r="L112" s="22" t="str">
        <f>VLOOKUP(A112,'Trips&amp;Operators'!$C$1:$E$10000,3,FALSE)</f>
        <v>SMITH</v>
      </c>
      <c r="M112" s="6">
        <f t="shared" si="26"/>
        <v>2.4756944440014195E-2</v>
      </c>
      <c r="N112" s="7">
        <f t="shared" si="39"/>
        <v>35.64999999362044</v>
      </c>
      <c r="O112" s="7"/>
      <c r="P112" s="7"/>
      <c r="Q112" s="23"/>
      <c r="R112" s="23"/>
      <c r="S112" s="35">
        <f t="shared" si="40"/>
        <v>1</v>
      </c>
      <c r="T112" s="50" t="str">
        <f t="shared" si="27"/>
        <v>NorthBound</v>
      </c>
      <c r="U112" s="17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14:01:17-700',mode:absolute,to:'2016-11-10 16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2" s="52" t="str">
        <f t="shared" si="29"/>
        <v>N</v>
      </c>
      <c r="X112" s="178">
        <f t="shared" si="38"/>
        <v>1</v>
      </c>
      <c r="Y112" s="67">
        <f t="shared" si="41"/>
        <v>4.6199999999999998E-2</v>
      </c>
      <c r="Z112" s="67">
        <f t="shared" si="42"/>
        <v>23.329699999999999</v>
      </c>
      <c r="AA112" s="67">
        <f t="shared" si="30"/>
        <v>23.2835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1"/>
        <v>0193-10</v>
      </c>
      <c r="AE112" s="91" t="str">
        <f t="shared" si="32"/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112" s="88" t="str">
        <f t="shared" si="33"/>
        <v>"C:\Program Files (x86)\AstroGrep\AstroGrep.exe" /spath="%USERPROFILE%\AppData\Local\Temp\OnboardLogs" /stypes="app*4025*20161110*" /stext=" 22:.+((SYSTEM_STATE.+slice.+state.+changed )|(ment ac)|(system.+state.+changed )|(\[timeout)|(PRM\|1\|D)|(kpr)|(kdp)|(\|lc)|(penalty))" /e /r /s</v>
      </c>
      <c r="AG112" s="1" t="str">
        <f t="shared" si="34"/>
        <v>EC</v>
      </c>
      <c r="AH112" s="92" t="str">
        <f t="shared" si="36"/>
        <v>"%USERPROFILE%\Documents\GitHub\eaglep3\Utilities\RefineRTDCRunTimes.py" --tripid 193-10 --locoid 4025 --swversion DE.1.0.8.0 --startMP 204:462 --initTime 2016-11-10T15:01:17 --startdatetime 2016-11-10T15:15:31 --delay 6 --endMP 204:233297 --enddatetime 2016-11-10T15:51:10 --enforcementcount 0 &gt;&gt;C:\Users\stu\Documents\GitHub\eaglep3-reporting\EC\2016-11-10-refined-times.txt</v>
      </c>
      <c r="AI112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{"issue":{"subject":"","project_id":79,"tracker_id":40,"status_id":1,"priority_id":2,"assigned_to_id":23,"start_date":"2016-11-10","description":"","custom_fields":[{"id":1,"name":"Subdivision","value":"EC"},{"id":4,"name":"Milepost","value":"23.3297"},{"id":17,"name":"Train ID","value":"193-10"},{"id":16,"name":"Locomotive ID","value":"4025"},{"id":130,"name":"Impact","value":""},{"id":150,"name":"Time of Event (Mountain Time)","value":"15:51:10"},{"id":151,"name":"Denver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543</v>
      </c>
      <c r="B113" s="7">
        <v>4026</v>
      </c>
      <c r="C113" s="22" t="s">
        <v>226</v>
      </c>
      <c r="D113" s="22" t="s">
        <v>214</v>
      </c>
      <c r="E113" s="13">
        <v>42684.66642361111</v>
      </c>
      <c r="F113" s="13">
        <v>42684.674803240741</v>
      </c>
      <c r="G113" s="7">
        <v>1</v>
      </c>
      <c r="H113" s="22" t="s">
        <v>622</v>
      </c>
      <c r="I113" s="13">
        <v>42684.701493055552</v>
      </c>
      <c r="J113" s="7">
        <v>0</v>
      </c>
      <c r="K113" s="109" t="str">
        <f t="shared" si="25"/>
        <v>4025/4026</v>
      </c>
      <c r="L113" s="22" t="str">
        <f>VLOOKUP(A113,'Trips&amp;Operators'!$C$1:$E$10000,3,FALSE)</f>
        <v>SMITH</v>
      </c>
      <c r="M113" s="6">
        <f t="shared" si="26"/>
        <v>2.6689814811106771E-2</v>
      </c>
      <c r="N113" s="7">
        <f t="shared" si="39"/>
        <v>38.433333327993751</v>
      </c>
      <c r="O113" s="7"/>
      <c r="P113" s="7"/>
      <c r="Q113" s="23"/>
      <c r="R113" s="23"/>
      <c r="S113" s="35">
        <f t="shared" si="40"/>
        <v>1</v>
      </c>
      <c r="T113" s="50" t="str">
        <f t="shared" si="27"/>
        <v>Southbound</v>
      </c>
      <c r="U113" s="17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14:59:39-700',mode:absolute,to:'2016-11-10 17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3" s="52" t="str">
        <f t="shared" si="29"/>
        <v>N</v>
      </c>
      <c r="X113" s="178">
        <f t="shared" si="38"/>
        <v>1</v>
      </c>
      <c r="Y113" s="67">
        <f t="shared" si="41"/>
        <v>23.297699999999999</v>
      </c>
      <c r="Z113" s="67">
        <f t="shared" si="42"/>
        <v>1.38E-2</v>
      </c>
      <c r="AA113" s="67">
        <f t="shared" si="30"/>
        <v>23.283899999999999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1"/>
        <v>0194-10</v>
      </c>
      <c r="AE113" s="91" t="str">
        <f t="shared" si="32"/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113" s="88" t="str">
        <f t="shared" si="33"/>
        <v>"C:\Program Files (x86)\AstroGrep\AstroGrep.exe" /spath="%USERPROFILE%\AppData\Local\Temp\OnboardLogs" /stypes="app*4026*20161110*" /stext=" 23:.+((SYSTEM_STATE.+slice.+state.+changed )|(ment ac)|(system.+state.+changed )|(\[timeout)|(PRM\|1\|D)|(kpr)|(kdp)|(\|lc)|(penalty))" /e /r /s</v>
      </c>
      <c r="AG113" s="1" t="str">
        <f t="shared" si="34"/>
        <v>EC</v>
      </c>
      <c r="AH113" s="92" t="str">
        <f t="shared" si="36"/>
        <v>"%USERPROFILE%\Documents\GitHub\eaglep3\Utilities\RefineRTDCRunTimes.py" --tripid 194-10 --locoid 4026 --swversion DE.1.0.8.0 --startMP 204:232977 --initTime 2016-11-10T15:59:39 --startdatetime 2016-11-10T16:11:43 --delay 1 --endMP 204:138 --enddatetime 2016-11-10T16:50:09 --enforcementcount 0 &gt;&gt;C:\Users\stu\Documents\GitHub\eaglep3-reporting\EC\2016-11-10-refined-times.txt</v>
      </c>
      <c r="AI113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{"issue":{"subject":"","project_id":79,"tracker_id":40,"status_id":1,"priority_id":2,"assigned_to_id":23,"start_date":"2016-11-10","description":"","custom_fields":[{"id":1,"name":"Subdivision","value":"EC"},{"id":4,"name":"Milepost","value":"0.0138"},{"id":17,"name":"Train ID","value":"194-10"},{"id":16,"name":"Locomotive ID","value":"4026"},{"id":130,"name":"Impact","value":""},{"id":150,"name":"Time of Event (Mountain Time)","value":"16:50:09"},{"id":151,"name":"Denver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536</v>
      </c>
      <c r="B114" s="7">
        <v>4022</v>
      </c>
      <c r="C114" s="22" t="s">
        <v>226</v>
      </c>
      <c r="D114" s="22" t="s">
        <v>627</v>
      </c>
      <c r="E114" s="13">
        <v>42684.640763888892</v>
      </c>
      <c r="F114" s="13">
        <v>42684.646412037036</v>
      </c>
      <c r="G114" s="7">
        <v>2</v>
      </c>
      <c r="H114" s="22" t="s">
        <v>250</v>
      </c>
      <c r="I114" s="13">
        <v>42684.673692129632</v>
      </c>
      <c r="J114" s="7">
        <v>0</v>
      </c>
      <c r="K114" s="109" t="str">
        <f t="shared" si="25"/>
        <v>4021/4022</v>
      </c>
      <c r="L114" s="22" t="str">
        <f>VLOOKUP(A114,'Trips&amp;Operators'!$C$1:$E$10000,3,FALSE)</f>
        <v>BONDS</v>
      </c>
      <c r="M114" s="6">
        <f t="shared" si="26"/>
        <v>2.7280092595901806E-2</v>
      </c>
      <c r="N114" s="7">
        <f t="shared" si="39"/>
        <v>39.283333338098601</v>
      </c>
      <c r="O114" s="7"/>
      <c r="P114" s="7"/>
      <c r="Q114" s="23"/>
      <c r="R114" s="23"/>
      <c r="S114" s="35">
        <f t="shared" si="40"/>
        <v>1</v>
      </c>
      <c r="T114" s="50" t="str">
        <f t="shared" si="27"/>
        <v>NorthBound</v>
      </c>
      <c r="U114" s="17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14:22:42-700',mode:absolute,to:'2016-11-10 17:10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4" s="52" t="str">
        <f t="shared" si="29"/>
        <v>N</v>
      </c>
      <c r="X114" s="178">
        <f t="shared" si="38"/>
        <v>1</v>
      </c>
      <c r="Y114" s="67">
        <f t="shared" si="41"/>
        <v>4.7500000000000001E-2</v>
      </c>
      <c r="Z114" s="67">
        <f t="shared" si="42"/>
        <v>23.3306</v>
      </c>
      <c r="AA114" s="67">
        <f t="shared" si="30"/>
        <v>23.283100000000001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1"/>
        <v>0195-10</v>
      </c>
      <c r="AE114" s="91" t="str">
        <f t="shared" si="32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14" s="88" t="str">
        <f t="shared" si="33"/>
        <v>"C:\Program Files (x86)\AstroGrep\AstroGrep.exe" /spath="%USERPROFILE%\AppData\Local\Temp\OnboardLogs" /stypes="app*4022*20161110*" /stext=" 23:.+((SYSTEM_STATE.+slice.+state.+changed )|(ment ac)|(system.+state.+changed )|(\[timeout)|(PRM\|1\|D)|(kpr)|(kdp)|(\|lc)|(penalty))" /e /r /s</v>
      </c>
      <c r="AG114" s="1" t="str">
        <f t="shared" si="34"/>
        <v>EC</v>
      </c>
      <c r="AH114" s="92" t="str">
        <f t="shared" si="36"/>
        <v>"%USERPROFILE%\Documents\GitHub\eaglep3\Utilities\RefineRTDCRunTimes.py" --tripid 195-10 --locoid 4022 --swversion DE.1.0.8.0 --startMP 204:475 --initTime 2016-11-10T15:22:42 --startdatetime 2016-11-10T15:30:50 --delay 2 --endMP 204:233306 --enddatetime 2016-11-10T16:10:07 --enforcementcount 0 &gt;&gt;C:\Users\stu\Documents\GitHub\eaglep3-reporting\EC\2016-11-10-refined-times.txt</v>
      </c>
      <c r="AI114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{"issue":{"subject":"","project_id":79,"tracker_id":40,"status_id":1,"priority_id":2,"assigned_to_id":23,"start_date":"2016-11-10","description":"","custom_fields":[{"id":1,"name":"Subdivision","value":"EC"},{"id":4,"name":"Milepost","value":"23.3306"},{"id":17,"name":"Train ID","value":"195-10"},{"id":16,"name":"Locomotive ID","value":"4022"},{"id":130,"name":"Impact","value":""},{"id":150,"name":"Time of Event (Mountain Time)","value":"16:10:07"},{"id":151,"name":"Denver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547</v>
      </c>
      <c r="B115" s="7">
        <v>4021</v>
      </c>
      <c r="C115" s="22" t="s">
        <v>226</v>
      </c>
      <c r="D115" s="22" t="s">
        <v>255</v>
      </c>
      <c r="E115" s="13">
        <v>42684.681631944448</v>
      </c>
      <c r="F115" s="13">
        <v>42684.684942129628</v>
      </c>
      <c r="G115" s="7">
        <v>1</v>
      </c>
      <c r="H115" s="22" t="s">
        <v>176</v>
      </c>
      <c r="I115" s="13">
        <v>42684.71199074074</v>
      </c>
      <c r="J115" s="7">
        <v>0</v>
      </c>
      <c r="K115" s="109" t="str">
        <f t="shared" si="25"/>
        <v>4021/4022</v>
      </c>
      <c r="L115" s="22" t="str">
        <f>VLOOKUP(A115,'Trips&amp;Operators'!$C$1:$E$10000,3,FALSE)</f>
        <v>BONDS</v>
      </c>
      <c r="M115" s="6">
        <f t="shared" si="26"/>
        <v>2.7048611111240461E-2</v>
      </c>
      <c r="N115" s="7">
        <f t="shared" si="39"/>
        <v>38.950000000186265</v>
      </c>
      <c r="O115" s="7"/>
      <c r="P115" s="7"/>
      <c r="Q115" s="23"/>
      <c r="R115" s="23"/>
      <c r="S115" s="35">
        <f t="shared" si="40"/>
        <v>1</v>
      </c>
      <c r="T115" s="50" t="str">
        <f t="shared" si="27"/>
        <v>Southbound</v>
      </c>
      <c r="U115" s="17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15:21:33-700',mode:absolute,to:'2016-11-10 18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5" s="52" t="str">
        <f t="shared" si="29"/>
        <v>N</v>
      </c>
      <c r="X115" s="178">
        <f t="shared" ref="X115:X146" si="43">VALUE(LEFT(AD115,4))-VALUE(LEFT(AD114,4))</f>
        <v>1</v>
      </c>
      <c r="Y115" s="67">
        <f t="shared" si="41"/>
        <v>23.299399999999999</v>
      </c>
      <c r="Z115" s="67">
        <f t="shared" si="42"/>
        <v>1.52E-2</v>
      </c>
      <c r="AA115" s="67">
        <f t="shared" si="30"/>
        <v>23.284199999999998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1"/>
        <v>0196-10</v>
      </c>
      <c r="AE115" s="91" t="str">
        <f t="shared" si="32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15" s="88" t="str">
        <f t="shared" si="33"/>
        <v>"C:\Program Files (x86)\AstroGrep\AstroGrep.exe" /spath="%USERPROFILE%\AppData\Local\Temp\OnboardLogs" /stypes="app*4021*20161111*" /stext=" 00:.+((SYSTEM_STATE.+slice.+state.+changed )|(ment ac)|(system.+state.+changed )|(\[timeout)|(PRM\|1\|D)|(kpr)|(kdp)|(\|lc)|(penalty))" /e /r /s</v>
      </c>
      <c r="AG115" s="1" t="str">
        <f t="shared" si="34"/>
        <v>EC</v>
      </c>
      <c r="AH115" s="92" t="str">
        <f t="shared" si="36"/>
        <v>"%USERPROFILE%\Documents\GitHub\eaglep3\Utilities\RefineRTDCRunTimes.py" --tripid 196-10 --locoid 4021 --swversion DE.1.0.8.0 --startMP 204:232994 --initTime 2016-11-10T16:21:33 --startdatetime 2016-11-10T16:26:19 --delay 1 --endMP 204:152 --enddatetime 2016-11-10T17:05:16 --enforcementcount 0 &gt;&gt;C:\Users\stu\Documents\GitHub\eaglep3-reporting\EC\2016-11-10-refined-times.txt</v>
      </c>
      <c r="AI115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ID","value":"196-10"},{"id":16,"name":"Locomotive ID","value":"4021"},{"id":130,"name":"Impact","value":""},{"id":150,"name":"Time of Event (Mountain Time)","value":"17:05:16"},{"id":151,"name":"Denver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540</v>
      </c>
      <c r="B116" s="7">
        <v>4007</v>
      </c>
      <c r="C116" s="22" t="s">
        <v>226</v>
      </c>
      <c r="D116" s="22" t="s">
        <v>354</v>
      </c>
      <c r="E116" s="13">
        <v>42684.655104166668</v>
      </c>
      <c r="F116" s="13">
        <v>42684.657349537039</v>
      </c>
      <c r="G116" s="7">
        <v>2</v>
      </c>
      <c r="H116" s="22" t="s">
        <v>676</v>
      </c>
      <c r="I116" s="13">
        <v>42684.682789351849</v>
      </c>
      <c r="J116" s="7">
        <v>0</v>
      </c>
      <c r="K116" s="109" t="str">
        <f t="shared" si="25"/>
        <v>4007/4008</v>
      </c>
      <c r="L116" s="22" t="str">
        <f>VLOOKUP(A116,'Trips&amp;Operators'!$C$1:$E$10000,3,FALSE)</f>
        <v>SHOOK</v>
      </c>
      <c r="M116" s="6">
        <f t="shared" si="26"/>
        <v>2.5439814809942618E-2</v>
      </c>
      <c r="N116" s="7">
        <f t="shared" si="39"/>
        <v>36.63333332631737</v>
      </c>
      <c r="O116" s="7"/>
      <c r="P116" s="7"/>
      <c r="Q116" s="23"/>
      <c r="R116" s="23"/>
      <c r="S116" s="35">
        <f t="shared" si="40"/>
        <v>1</v>
      </c>
      <c r="T116" s="50" t="str">
        <f t="shared" si="27"/>
        <v>NorthBound</v>
      </c>
      <c r="U116" s="17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14:43:21-700',mode:absolute,to:'2016-11-10 17:23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6" s="52" t="str">
        <f t="shared" si="29"/>
        <v>N</v>
      </c>
      <c r="X116" s="178">
        <f t="shared" si="43"/>
        <v>1</v>
      </c>
      <c r="Y116" s="67">
        <f t="shared" si="41"/>
        <v>4.7100000000000003E-2</v>
      </c>
      <c r="Z116" s="67">
        <f t="shared" si="42"/>
        <v>23.337399999999999</v>
      </c>
      <c r="AA116" s="67">
        <f t="shared" si="30"/>
        <v>23.290299999999998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1"/>
        <v>0197-10</v>
      </c>
      <c r="AE116" s="91" t="str">
        <f t="shared" si="32"/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116" s="88" t="str">
        <f t="shared" si="33"/>
        <v>"C:\Program Files (x86)\AstroGrep\AstroGrep.exe" /spath="%USERPROFILE%\AppData\Local\Temp\OnboardLogs" /stypes="app*4007*20161110*" /stext=" 23:.+((SYSTEM_STATE.+slice.+state.+changed )|(ment ac)|(system.+state.+changed )|(\[timeout)|(PRM\|1\|D)|(kpr)|(kdp)|(\|lc)|(penalty))" /e /r /s</v>
      </c>
      <c r="AG116" s="1" t="str">
        <f t="shared" si="34"/>
        <v>EC</v>
      </c>
      <c r="AH116" s="92" t="str">
        <f t="shared" si="36"/>
        <v>"%USERPROFILE%\Documents\GitHub\eaglep3\Utilities\RefineRTDCRunTimes.py" --tripid 197-10 --locoid 4007 --swversion DE.1.0.8.0 --startMP 204:471 --initTime 2016-11-10T15:43:21 --startdatetime 2016-11-10T15:46:35 --delay 2 --endMP 204:233374 --enddatetime 2016-11-10T16:23:13 --enforcementcount 0 &gt;&gt;C:\Users\stu\Documents\GitHub\eaglep3-reporting\EC\2016-11-10-refined-times.txt</v>
      </c>
      <c r="AI116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{"issue":{"subject":"","project_id":79,"tracker_id":40,"status_id":1,"priority_id":2,"assigned_to_id":23,"start_date":"2016-11-10","description":"","custom_fields":[{"id":1,"name":"Subdivision","value":"EC"},{"id":4,"name":"Milepost","value":"23.3374"},{"id":17,"name":"Train ID","value":"197-10"},{"id":16,"name":"Locomotive ID","value":"4007"},{"id":130,"name":"Impact","value":""},{"id":150,"name":"Time of Event (Mountain Time)","value":"16:23:13"},{"id":151,"name":"Denver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548</v>
      </c>
      <c r="B117" s="7">
        <v>4008</v>
      </c>
      <c r="C117" s="22" t="s">
        <v>226</v>
      </c>
      <c r="D117" s="22" t="s">
        <v>677</v>
      </c>
      <c r="E117" s="13">
        <v>42684.688703703701</v>
      </c>
      <c r="F117" s="13">
        <v>42684.695381944446</v>
      </c>
      <c r="G117" s="7">
        <v>1</v>
      </c>
      <c r="H117" s="22" t="s">
        <v>269</v>
      </c>
      <c r="I117" s="13">
        <v>42684.722673611112</v>
      </c>
      <c r="J117" s="7">
        <v>0</v>
      </c>
      <c r="K117" s="109" t="str">
        <f t="shared" si="25"/>
        <v>4007/4008</v>
      </c>
      <c r="L117" s="22" t="str">
        <f>VLOOKUP(A117,'Trips&amp;Operators'!$C$1:$E$10000,3,FALSE)</f>
        <v>SHOOK</v>
      </c>
      <c r="M117" s="6">
        <f t="shared" si="26"/>
        <v>2.7291666665405501E-2</v>
      </c>
      <c r="N117" s="7">
        <f t="shared" si="39"/>
        <v>39.299999998183921</v>
      </c>
      <c r="O117" s="7"/>
      <c r="P117" s="7"/>
      <c r="Q117" s="23"/>
      <c r="R117" s="23"/>
      <c r="S117" s="35">
        <f t="shared" si="40"/>
        <v>1</v>
      </c>
      <c r="T117" s="50" t="str">
        <f t="shared" si="27"/>
        <v>Southbound</v>
      </c>
      <c r="U117" s="17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15:31:44-700',mode:absolute,to:'2016-11-10 18:20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7" s="52" t="str">
        <f t="shared" si="29"/>
        <v>N</v>
      </c>
      <c r="X117" s="178">
        <f t="shared" si="43"/>
        <v>1</v>
      </c>
      <c r="Y117" s="67">
        <f t="shared" si="41"/>
        <v>23.3049</v>
      </c>
      <c r="Z117" s="67">
        <f t="shared" si="42"/>
        <v>1.6899999999999998E-2</v>
      </c>
      <c r="AA117" s="67">
        <f t="shared" si="30"/>
        <v>23.288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1"/>
        <v>0198-10</v>
      </c>
      <c r="AE117" s="91" t="str">
        <f t="shared" si="32"/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117" s="88" t="str">
        <f t="shared" si="33"/>
        <v>"C:\Program Files (x86)\AstroGrep\AstroGrep.exe" /spath="%USERPROFILE%\AppData\Local\Temp\OnboardLogs" /stypes="app*4008*20161111*" /stext=" 00:.+((SYSTEM_STATE.+slice.+state.+changed )|(ment ac)|(system.+state.+changed )|(\[timeout)|(PRM\|1\|D)|(kpr)|(kdp)|(\|lc)|(penalty))" /e /r /s</v>
      </c>
      <c r="AG117" s="1" t="str">
        <f t="shared" si="34"/>
        <v>EC</v>
      </c>
      <c r="AH117" s="92" t="str">
        <f t="shared" si="36"/>
        <v>"%USERPROFILE%\Documents\GitHub\eaglep3\Utilities\RefineRTDCRunTimes.py" --tripid 198-10 --locoid 4008 --swversion DE.1.0.8.0 --startMP 204:233049 --initTime 2016-11-10T16:31:44 --startdatetime 2016-11-10T16:41:21 --delay 1 --endMP 204:169 --enddatetime 2016-11-10T17:20:39 --enforcementcount 0 &gt;&gt;C:\Users\stu\Documents\GitHub\eaglep3-reporting\EC\2016-11-10-refined-times.txt</v>
      </c>
      <c r="AI117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{"issue":{"subject":"","project_id":79,"tracker_id":40,"status_id":1,"priority_id":2,"assigned_to_id":23,"start_date":"2016-11-10","description":"","custom_fields":[{"id":1,"name":"Subdivision","value":"EC"},{"id":4,"name":"Milepost","value":"0.0169"},{"id":17,"name":"Train ID","value":"198-10"},{"id":16,"name":"Locomotive ID","value":"4008"},{"id":130,"name":"Impact","value":""},{"id":150,"name":"Time of Event (Mountain Time)","value":"17:20:39"},{"id":151,"name":"Denver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542</v>
      </c>
      <c r="B118" s="7">
        <v>4002</v>
      </c>
      <c r="C118" s="22" t="s">
        <v>226</v>
      </c>
      <c r="D118" s="22" t="s">
        <v>201</v>
      </c>
      <c r="E118" s="13">
        <v>42684.664236111108</v>
      </c>
      <c r="F118" s="13">
        <v>42684.666979166665</v>
      </c>
      <c r="G118" s="7">
        <v>1</v>
      </c>
      <c r="H118" s="22" t="s">
        <v>678</v>
      </c>
      <c r="I118" s="13">
        <v>42684.693564814814</v>
      </c>
      <c r="J118" s="7">
        <v>0</v>
      </c>
      <c r="K118" s="109" t="str">
        <f t="shared" si="25"/>
        <v>4001/4002</v>
      </c>
      <c r="L118" s="22" t="str">
        <f>VLOOKUP(A118,'Trips&amp;Operators'!$C$1:$E$10000,3,FALSE)</f>
        <v>MOSES</v>
      </c>
      <c r="M118" s="6">
        <f t="shared" si="26"/>
        <v>2.658564814919373E-2</v>
      </c>
      <c r="N118" s="7">
        <f t="shared" si="39"/>
        <v>38.283333334838971</v>
      </c>
      <c r="O118" s="7"/>
      <c r="P118" s="7"/>
      <c r="Q118" s="23"/>
      <c r="R118" s="23"/>
      <c r="S118" s="35">
        <f t="shared" si="40"/>
        <v>1</v>
      </c>
      <c r="T118" s="50" t="str">
        <f t="shared" si="27"/>
        <v>NorthBound</v>
      </c>
      <c r="U118" s="17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14:56:30-700',mode:absolute,to:'2016-11-10 17:38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8" s="52" t="str">
        <f t="shared" si="29"/>
        <v>N</v>
      </c>
      <c r="X118" s="178">
        <f t="shared" si="43"/>
        <v>1</v>
      </c>
      <c r="Y118" s="67">
        <f t="shared" si="41"/>
        <v>4.53E-2</v>
      </c>
      <c r="Z118" s="67">
        <f t="shared" si="42"/>
        <v>23.333600000000001</v>
      </c>
      <c r="AA118" s="67">
        <f t="shared" si="30"/>
        <v>23.2883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1"/>
        <v>0199-10</v>
      </c>
      <c r="AE118" s="91" t="str">
        <f t="shared" si="32"/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18" s="88" t="str">
        <f t="shared" si="33"/>
        <v>"C:\Program Files (x86)\AstroGrep\AstroGrep.exe" /spath="%USERPROFILE%\AppData\Local\Temp\OnboardLogs" /stypes="app*4002*20161110*" /stext=" 23:.+((SYSTEM_STATE.+slice.+state.+changed )|(ment ac)|(system.+state.+changed )|(\[timeout)|(PRM\|1\|D)|(kpr)|(kdp)|(\|lc)|(penalty))" /e /r /s</v>
      </c>
      <c r="AG118" s="1" t="str">
        <f t="shared" si="34"/>
        <v>EC</v>
      </c>
      <c r="AH118" s="92" t="str">
        <f t="shared" si="36"/>
        <v>"%USERPROFILE%\Documents\GitHub\eaglep3\Utilities\RefineRTDCRunTimes.py" --tripid 199-10 --locoid 4002 --swversion DE.1.0.8.0 --startMP 204:453 --initTime 2016-11-10T15:56:30 --startdatetime 2016-11-10T16:00:27 --delay 1 --endMP 204:233336 --enddatetime 2016-11-10T16:38:44 --enforcementcount 0 &gt;&gt;C:\Users\stu\Documents\GitHub\eaglep3-reporting\EC\2016-11-10-refined-times.txt</v>
      </c>
      <c r="AI118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{"issue":{"subject":"","project_id":79,"tracker_id":40,"status_id":1,"priority_id":2,"assigned_to_id":23,"start_date":"2016-11-10","description":"","custom_fields":[{"id":1,"name":"Subdivision","value":"EC"},{"id":4,"name":"Milepost","value":"23.3336"},{"id":17,"name":"Train ID","value":"199-10"},{"id":16,"name":"Locomotive ID","value":"4002"},{"id":130,"name":"Impact","value":""},{"id":150,"name":"Time of Event (Mountain Time)","value":"16:38:44"},{"id":151,"name":"Denver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551</v>
      </c>
      <c r="B119" s="7">
        <v>4001</v>
      </c>
      <c r="C119" s="22" t="s">
        <v>226</v>
      </c>
      <c r="D119" s="22" t="s">
        <v>356</v>
      </c>
      <c r="E119" s="13">
        <v>42684.701377314814</v>
      </c>
      <c r="F119" s="13">
        <v>42684.706018518518</v>
      </c>
      <c r="G119" s="7">
        <v>1</v>
      </c>
      <c r="H119" s="22" t="s">
        <v>258</v>
      </c>
      <c r="I119" s="13">
        <v>42684.733275462961</v>
      </c>
      <c r="J119" s="7">
        <v>0</v>
      </c>
      <c r="K119" s="109" t="str">
        <f t="shared" si="25"/>
        <v>4001/4002</v>
      </c>
      <c r="L119" s="22" t="str">
        <f>VLOOKUP(A119,'Trips&amp;Operators'!$C$1:$E$10000,3,FALSE)</f>
        <v>MOSES</v>
      </c>
      <c r="M119" s="6">
        <f t="shared" si="26"/>
        <v>2.7256944442342501E-2</v>
      </c>
      <c r="N119" s="7">
        <f t="shared" si="39"/>
        <v>39.249999996973202</v>
      </c>
      <c r="O119" s="7"/>
      <c r="P119" s="7"/>
      <c r="Q119" s="23"/>
      <c r="R119" s="23"/>
      <c r="S119" s="35">
        <f t="shared" si="40"/>
        <v>1</v>
      </c>
      <c r="T119" s="50" t="str">
        <f t="shared" si="27"/>
        <v>Southbound</v>
      </c>
      <c r="U119" s="17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15:49:59-700',mode:absolute,to:'2016-11-10 18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9" s="52" t="str">
        <f t="shared" si="29"/>
        <v>N</v>
      </c>
      <c r="X119" s="178">
        <f t="shared" si="43"/>
        <v>1</v>
      </c>
      <c r="Y119" s="67">
        <f t="shared" si="41"/>
        <v>23.301300000000001</v>
      </c>
      <c r="Z119" s="67">
        <f t="shared" si="42"/>
        <v>1.4999999999999999E-2</v>
      </c>
      <c r="AA119" s="67">
        <f t="shared" si="30"/>
        <v>23.286300000000001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1"/>
        <v>0200-10</v>
      </c>
      <c r="AE119" s="91" t="str">
        <f t="shared" si="32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19" s="88" t="str">
        <f t="shared" si="33"/>
        <v>"C:\Program Files (x86)\AstroGrep\AstroGrep.exe" /spath="%USERPROFILE%\AppData\Local\Temp\OnboardLogs" /stypes="app*4001*20161111*" /stext=" 00:.+((SYSTEM_STATE.+slice.+state.+changed )|(ment ac)|(system.+state.+changed )|(\[timeout)|(PRM\|1\|D)|(kpr)|(kdp)|(\|lc)|(penalty))" /e /r /s</v>
      </c>
      <c r="AG119" s="1" t="str">
        <f t="shared" si="34"/>
        <v>EC</v>
      </c>
      <c r="AH119" s="92" t="str">
        <f t="shared" si="36"/>
        <v>"%USERPROFILE%\Documents\GitHub\eaglep3\Utilities\RefineRTDCRunTimes.py" --tripid 200-10 --locoid 4001 --swversion DE.1.0.8.0 --startMP 204:233013 --initTime 2016-11-10T16:49:59 --startdatetime 2016-11-10T16:56:40 --delay 1 --endMP 204:150 --enddatetime 2016-11-10T17:35:55 --enforcementcount 0 &gt;&gt;C:\Users\stu\Documents\GitHub\eaglep3-reporting\EC\2016-11-10-refined-times.txt</v>
      </c>
      <c r="AI119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{"issue":{"subject":"","project_id":79,"tracker_id":40,"status_id":1,"priority_id":2,"assigned_to_id":23,"start_date":"2016-11-10","description":"","custom_fields":[{"id":1,"name":"Subdivision","value":"EC"},{"id":4,"name":"Milepost","value":"0.015"},{"id":17,"name":"Train ID","value":"200-10"},{"id":16,"name":"Locomotive ID","value":"4001"},{"id":130,"name":"Impact","value":""},{"id":150,"name":"Time of Event (Mountain Time)","value":"17:35:55"},{"id":151,"name":"Denver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545</v>
      </c>
      <c r="B120" s="7">
        <v>4053</v>
      </c>
      <c r="C120" s="22" t="s">
        <v>226</v>
      </c>
      <c r="D120" s="22" t="s">
        <v>202</v>
      </c>
      <c r="E120" s="13">
        <v>42684.675787037035</v>
      </c>
      <c r="F120" s="13">
        <v>42684.678229166668</v>
      </c>
      <c r="G120" s="7">
        <v>2</v>
      </c>
      <c r="H120" s="22" t="s">
        <v>679</v>
      </c>
      <c r="I120" s="13">
        <v>42684.703773148147</v>
      </c>
      <c r="J120" s="7">
        <v>0</v>
      </c>
      <c r="K120" s="109" t="str">
        <f t="shared" si="25"/>
        <v>4053/4054</v>
      </c>
      <c r="L120" s="22" t="str">
        <f>VLOOKUP(A120,'Trips&amp;Operators'!$C$1:$E$10000,3,FALSE)</f>
        <v>BROWN</v>
      </c>
      <c r="M120" s="6">
        <f t="shared" si="26"/>
        <v>2.5543981479131617E-2</v>
      </c>
      <c r="N120" s="7">
        <f t="shared" si="39"/>
        <v>36.783333329949528</v>
      </c>
      <c r="O120" s="7"/>
      <c r="P120" s="7"/>
      <c r="Q120" s="23"/>
      <c r="R120" s="23"/>
      <c r="S120" s="35">
        <f t="shared" si="40"/>
        <v>1</v>
      </c>
      <c r="T120" s="50" t="str">
        <f t="shared" si="27"/>
        <v>NorthBound</v>
      </c>
      <c r="U120" s="17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15:13:08-700',mode:absolute,to:'2016-11-10 17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0" s="52" t="str">
        <f t="shared" si="29"/>
        <v>N</v>
      </c>
      <c r="X120" s="178">
        <f t="shared" si="43"/>
        <v>1</v>
      </c>
      <c r="Y120" s="67">
        <f t="shared" si="41"/>
        <v>4.5499999999999999E-2</v>
      </c>
      <c r="Z120" s="67">
        <f t="shared" si="42"/>
        <v>23.335699999999999</v>
      </c>
      <c r="AA120" s="67">
        <f t="shared" si="30"/>
        <v>23.290199999999999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1"/>
        <v>0201-10</v>
      </c>
      <c r="AE120" s="91" t="str">
        <f t="shared" si="32"/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120" s="88" t="str">
        <f t="shared" si="33"/>
        <v>"C:\Program Files (x86)\AstroGrep\AstroGrep.exe" /spath="%USERPROFILE%\AppData\Local\Temp\OnboardLogs" /stypes="app*4053*20161110*" /stext=" 23:.+((SYSTEM_STATE.+slice.+state.+changed )|(ment ac)|(system.+state.+changed )|(\[timeout)|(PRM\|1\|D)|(kpr)|(kdp)|(\|lc)|(penalty))" /e /r /s</v>
      </c>
      <c r="AG120" s="1" t="str">
        <f t="shared" si="34"/>
        <v>EC</v>
      </c>
      <c r="AH120" s="92" t="str">
        <f t="shared" si="36"/>
        <v>"%USERPROFILE%\Documents\GitHub\eaglep3\Utilities\RefineRTDCRunTimes.py" --tripid 201-10 --locoid 4053 --swversion DE.1.0.8.0 --startMP 204:455 --initTime 2016-11-10T16:13:08 --startdatetime 2016-11-10T16:16:39 --delay 2 --endMP 204:233357 --enddatetime 2016-11-10T16:53:26 --enforcementcount 0 &gt;&gt;C:\Users\stu\Documents\GitHub\eaglep3-reporting\EC\2016-11-10-refined-times.txt</v>
      </c>
      <c r="AI120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{"issue":{"subject":"","project_id":79,"tracker_id":40,"status_id":1,"priority_id":2,"assigned_to_id":23,"start_date":"2016-11-10","description":"","custom_fields":[{"id":1,"name":"Subdivision","value":"EC"},{"id":4,"name":"Milepost","value":"23.3357"},{"id":17,"name":"Train ID","value":"201-10"},{"id":16,"name":"Locomotive ID","value":"4053"},{"id":130,"name":"Impact","value":""},{"id":150,"name":"Time of Event (Mountain Time)","value":"16:53:26"},{"id":151,"name":"Denver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416</v>
      </c>
      <c r="B121" s="7">
        <v>4054</v>
      </c>
      <c r="C121" s="22" t="s">
        <v>226</v>
      </c>
      <c r="D121" s="22" t="s">
        <v>648</v>
      </c>
      <c r="E121" s="13">
        <v>42684.70853009259</v>
      </c>
      <c r="F121" s="13">
        <v>42684.716851851852</v>
      </c>
      <c r="G121" s="7">
        <v>1</v>
      </c>
      <c r="H121" s="22" t="s">
        <v>176</v>
      </c>
      <c r="I121" s="13">
        <v>42684.745416666665</v>
      </c>
      <c r="J121" s="7">
        <v>0</v>
      </c>
      <c r="K121" s="109" t="str">
        <f t="shared" si="25"/>
        <v>4053/4054</v>
      </c>
      <c r="L121" s="22" t="str">
        <f>VLOOKUP(A121,'Trips&amp;Operators'!$C$1:$E$10000,3,FALSE)</f>
        <v>BROWN</v>
      </c>
      <c r="M121" s="6">
        <f t="shared" si="26"/>
        <v>2.8564814812853001E-2</v>
      </c>
      <c r="N121" s="7">
        <f t="shared" si="39"/>
        <v>41.133333330508322</v>
      </c>
      <c r="O121" s="7"/>
      <c r="P121" s="7"/>
      <c r="Q121" s="23"/>
      <c r="R121" s="23"/>
      <c r="S121" s="35">
        <f t="shared" si="40"/>
        <v>1</v>
      </c>
      <c r="T121" s="50" t="str">
        <f t="shared" si="27"/>
        <v>Southbound</v>
      </c>
      <c r="U121" s="17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16:00:17-700',mode:absolute,to:'2016-11-10 18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1" s="52" t="str">
        <f t="shared" si="29"/>
        <v>N</v>
      </c>
      <c r="X121" s="178">
        <f t="shared" si="43"/>
        <v>1</v>
      </c>
      <c r="Y121" s="67">
        <f t="shared" si="41"/>
        <v>23.297999999999998</v>
      </c>
      <c r="Z121" s="67">
        <f t="shared" si="42"/>
        <v>1.52E-2</v>
      </c>
      <c r="AA121" s="67">
        <f t="shared" si="30"/>
        <v>23.282799999999998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1"/>
        <v>0202-10</v>
      </c>
      <c r="AE121" s="91" t="str">
        <f t="shared" si="32"/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121" s="88" t="str">
        <f t="shared" si="33"/>
        <v>"C:\Program Files (x86)\AstroGrep\AstroGrep.exe" /spath="%USERPROFILE%\AppData\Local\Temp\OnboardLogs" /stypes="app*4054*20161111*" /stext=" 00:.+((SYSTEM_STATE.+slice.+state.+changed )|(ment ac)|(system.+state.+changed )|(\[timeout)|(PRM\|1\|D)|(kpr)|(kdp)|(\|lc)|(penalty))" /e /r /s</v>
      </c>
      <c r="AG121" s="1" t="str">
        <f t="shared" si="34"/>
        <v>EC</v>
      </c>
      <c r="AH121" s="92" t="str">
        <f t="shared" si="36"/>
        <v>"%USERPROFILE%\Documents\GitHub\eaglep3\Utilities\RefineRTDCRunTimes.py" --tripid 202-10 --locoid 4054 --swversion DE.1.0.8.0 --startMP 204:232980 --initTime 2016-11-10T17:00:17 --startdatetime 2016-11-10T17:12:16 --delay 1 --endMP 204:152 --enddatetime 2016-11-10T17:53:24 --enforcementcount 0 &gt;&gt;C:\Users\stu\Documents\GitHub\eaglep3-reporting\EC\2016-11-10-refined-times.txt</v>
      </c>
      <c r="AI121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ID","value":"202-10"},{"id":16,"name":"Locomotive ID","value":"4054"},{"id":130,"name":"Impact","value":""},{"id":150,"name":"Time of Event (Mountain Time)","value":"17:53:24"},{"id":151,"name":"Denver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546</v>
      </c>
      <c r="B122" s="7">
        <v>4038</v>
      </c>
      <c r="C122" s="22" t="s">
        <v>226</v>
      </c>
      <c r="D122" s="22" t="s">
        <v>680</v>
      </c>
      <c r="E122" s="13">
        <v>42684.678506944445</v>
      </c>
      <c r="F122" s="13">
        <v>42684.687939814816</v>
      </c>
      <c r="G122" s="7">
        <v>2</v>
      </c>
      <c r="H122" s="22" t="s">
        <v>242</v>
      </c>
      <c r="I122" s="13">
        <v>42684.716168981482</v>
      </c>
      <c r="J122" s="7">
        <v>0</v>
      </c>
      <c r="K122" s="109" t="str">
        <f t="shared" si="25"/>
        <v>4037/4038</v>
      </c>
      <c r="L122" s="22" t="str">
        <f>VLOOKUP(A122,'Trips&amp;Operators'!$C$1:$E$10000,3,FALSE)</f>
        <v>BERLING</v>
      </c>
      <c r="M122" s="6">
        <f t="shared" si="26"/>
        <v>2.8229166666278616E-2</v>
      </c>
      <c r="N122" s="7">
        <f t="shared" si="39"/>
        <v>40.649999999441206</v>
      </c>
      <c r="O122" s="7"/>
      <c r="P122" s="7"/>
      <c r="Q122" s="23"/>
      <c r="R122" s="23"/>
      <c r="S122" s="35">
        <f t="shared" si="40"/>
        <v>1</v>
      </c>
      <c r="T122" s="50" t="str">
        <f t="shared" si="27"/>
        <v>NorthBound</v>
      </c>
      <c r="U122" s="17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15:17:03-700',mode:absolute,to:'2016-11-10 18:11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2" s="52" t="str">
        <f t="shared" si="29"/>
        <v>N</v>
      </c>
      <c r="X122" s="178">
        <f t="shared" si="43"/>
        <v>1</v>
      </c>
      <c r="Y122" s="67">
        <f t="shared" si="41"/>
        <v>4.3099999999999999E-2</v>
      </c>
      <c r="Z122" s="67">
        <f t="shared" si="42"/>
        <v>23.329799999999999</v>
      </c>
      <c r="AA122" s="67">
        <f t="shared" si="30"/>
        <v>23.2867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1"/>
        <v>0203-10</v>
      </c>
      <c r="AE122" s="91" t="str">
        <f t="shared" si="32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122" s="88" t="str">
        <f t="shared" si="33"/>
        <v>"C:\Program Files (x86)\AstroGrep\AstroGrep.exe" /spath="%USERPROFILE%\AppData\Local\Temp\OnboardLogs" /stypes="app*4038*20161111*" /stext=" 00:.+((SYSTEM_STATE.+slice.+state.+changed )|(ment ac)|(system.+state.+changed )|(\[timeout)|(PRM\|1\|D)|(kpr)|(kdp)|(\|lc)|(penalty))" /e /r /s</v>
      </c>
      <c r="AG122" s="1" t="str">
        <f t="shared" si="34"/>
        <v>EC</v>
      </c>
      <c r="AH122" s="92" t="str">
        <f t="shared" si="36"/>
        <v>"%USERPROFILE%\Documents\GitHub\eaglep3\Utilities\RefineRTDCRunTimes.py" --tripid 203-10 --locoid 4038 --swversion DE.1.0.8.0 --startMP 204:431 --initTime 2016-11-10T16:17:03 --startdatetime 2016-11-10T16:30:38 --delay 2 --endMP 204:233298 --enddatetime 2016-11-10T17:11:17 --enforcementcount 0 &gt;&gt;C:\Users\stu\Documents\GitHub\eaglep3-reporting\EC\2016-11-10-refined-times.txt</v>
      </c>
      <c r="AI122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{"issue":{"subject":"","project_id":79,"tracker_id":40,"status_id":1,"priority_id":2,"assigned_to_id":23,"start_date":"2016-11-10","description":"","custom_fields":[{"id":1,"name":"Subdivision","value":"EC"},{"id":4,"name":"Milepost","value":"23.3298"},{"id":17,"name":"Train ID","value":"203-10"},{"id":16,"name":"Locomotive ID","value":"4038"},{"id":130,"name":"Impact","value":""},{"id":150,"name":"Time of Event (Mountain Time)","value":"17:11:17"},{"id":151,"name":"Denver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556</v>
      </c>
      <c r="B123" s="7">
        <v>4037</v>
      </c>
      <c r="C123" s="22" t="s">
        <v>226</v>
      </c>
      <c r="D123" s="22" t="s">
        <v>303</v>
      </c>
      <c r="E123" s="13">
        <v>42684.722939814812</v>
      </c>
      <c r="F123" s="13">
        <v>42684.727106481485</v>
      </c>
      <c r="G123" s="7">
        <v>1</v>
      </c>
      <c r="H123" s="22" t="s">
        <v>681</v>
      </c>
      <c r="I123" s="13">
        <v>42684.753680555557</v>
      </c>
      <c r="J123" s="7">
        <v>0</v>
      </c>
      <c r="K123" s="109" t="str">
        <f t="shared" si="25"/>
        <v>4037/4038</v>
      </c>
      <c r="L123" s="22" t="str">
        <f>VLOOKUP(A123,'Trips&amp;Operators'!$C$1:$E$10000,3,FALSE)</f>
        <v>BERLING</v>
      </c>
      <c r="M123" s="6">
        <f t="shared" si="26"/>
        <v>2.6574074072414078E-2</v>
      </c>
      <c r="N123" s="7">
        <f t="shared" si="39"/>
        <v>38.266666664276272</v>
      </c>
      <c r="O123" s="7"/>
      <c r="P123" s="7"/>
      <c r="Q123" s="23"/>
      <c r="R123" s="23"/>
      <c r="S123" s="35">
        <f t="shared" si="40"/>
        <v>1</v>
      </c>
      <c r="T123" s="50" t="str">
        <f t="shared" si="27"/>
        <v>Southbound</v>
      </c>
      <c r="U123" s="17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16:21:02-700',mode:absolute,to:'2016-11-10 19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3" s="52" t="str">
        <f t="shared" si="29"/>
        <v>N</v>
      </c>
      <c r="X123" s="178">
        <f t="shared" si="43"/>
        <v>1</v>
      </c>
      <c r="Y123" s="67">
        <f t="shared" si="41"/>
        <v>23.298100000000002</v>
      </c>
      <c r="Z123" s="67">
        <f t="shared" si="42"/>
        <v>1.8100000000000002E-2</v>
      </c>
      <c r="AA123" s="67">
        <f t="shared" si="30"/>
        <v>23.28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1"/>
        <v>0204-10</v>
      </c>
      <c r="AE123" s="91" t="str">
        <f t="shared" si="32"/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123" s="88" t="str">
        <f t="shared" si="33"/>
        <v>"C:\Program Files (x86)\AstroGrep\AstroGrep.exe" /spath="%USERPROFILE%\AppData\Local\Temp\OnboardLogs" /stypes="app*4037*20161111*" /stext=" 01:.+((SYSTEM_STATE.+slice.+state.+changed )|(ment ac)|(system.+state.+changed )|(\[timeout)|(PRM\|1\|D)|(kpr)|(kdp)|(\|lc)|(penalty))" /e /r /s</v>
      </c>
      <c r="AG123" s="1" t="str">
        <f t="shared" si="34"/>
        <v>EC</v>
      </c>
      <c r="AH123" s="92" t="str">
        <f t="shared" si="36"/>
        <v>"%USERPROFILE%\Documents\GitHub\eaglep3\Utilities\RefineRTDCRunTimes.py" --tripid 204-10 --locoid 4037 --swversion DE.1.0.8.0 --startMP 204:232981 --initTime 2016-11-10T17:21:02 --startdatetime 2016-11-10T17:27:02 --delay 1 --endMP 204:181 --enddatetime 2016-11-10T18:05:18 --enforcementcount 0 &gt;&gt;C:\Users\stu\Documents\GitHub\eaglep3-reporting\EC\2016-11-10-refined-times.txt</v>
      </c>
      <c r="AI123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{"issue":{"subject":"","project_id":79,"tracker_id":40,"status_id":1,"priority_id":2,"assigned_to_id":23,"start_date":"2016-11-10","description":"","custom_fields":[{"id":1,"name":"Subdivision","value":"EC"},{"id":4,"name":"Milepost","value":"0.0181"},{"id":17,"name":"Train ID","value":"204-10"},{"id":16,"name":"Locomotive ID","value":"4037"},{"id":130,"name":"Impact","value":""},{"id":150,"name":"Time of Event (Mountain Time)","value":"18:05:18"},{"id":151,"name":"Denver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550</v>
      </c>
      <c r="B124" s="7">
        <v>4011</v>
      </c>
      <c r="C124" s="22" t="s">
        <v>226</v>
      </c>
      <c r="D124" s="22" t="s">
        <v>682</v>
      </c>
      <c r="E124" s="13">
        <v>42684.697175925925</v>
      </c>
      <c r="F124" s="13">
        <v>42684.698738425926</v>
      </c>
      <c r="G124" s="7">
        <v>1</v>
      </c>
      <c r="H124" s="22" t="s">
        <v>285</v>
      </c>
      <c r="I124" s="13">
        <v>42684.724212962959</v>
      </c>
      <c r="J124" s="7">
        <v>0</v>
      </c>
      <c r="K124" s="109" t="str">
        <f t="shared" si="25"/>
        <v>4011/4012</v>
      </c>
      <c r="L124" s="22" t="str">
        <f>VLOOKUP(A124,'Trips&amp;Operators'!$C$1:$E$10000,3,FALSE)</f>
        <v>STORY</v>
      </c>
      <c r="M124" s="6">
        <f t="shared" si="26"/>
        <v>2.5474537033005618E-2</v>
      </c>
      <c r="N124" s="7">
        <f t="shared" si="39"/>
        <v>36.683333327528089</v>
      </c>
      <c r="O124" s="7"/>
      <c r="P124" s="7"/>
      <c r="Q124" s="23"/>
      <c r="R124" s="23"/>
      <c r="S124" s="35">
        <f t="shared" si="40"/>
        <v>1</v>
      </c>
      <c r="T124" s="50" t="str">
        <f t="shared" si="27"/>
        <v>NorthBound</v>
      </c>
      <c r="U124" s="17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15:43:56-700',mode:absolute,to:'2016-11-10 18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4" s="52" t="str">
        <f t="shared" si="29"/>
        <v>N</v>
      </c>
      <c r="X124" s="178">
        <f t="shared" si="43"/>
        <v>1</v>
      </c>
      <c r="Y124" s="67">
        <f t="shared" si="41"/>
        <v>4.4900000000000002E-2</v>
      </c>
      <c r="Z124" s="67">
        <f t="shared" si="42"/>
        <v>23.3293</v>
      </c>
      <c r="AA124" s="67">
        <f t="shared" si="30"/>
        <v>23.284400000000002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1"/>
        <v>0205-10</v>
      </c>
      <c r="AE124" s="91" t="str">
        <f t="shared" si="32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124" s="88" t="str">
        <f t="shared" si="33"/>
        <v>"C:\Program Files (x86)\AstroGrep\AstroGrep.exe" /spath="%USERPROFILE%\AppData\Local\Temp\OnboardLogs" /stypes="app*4011*20161111*" /stext=" 00:.+((SYSTEM_STATE.+slice.+state.+changed )|(ment ac)|(system.+state.+changed )|(\[timeout)|(PRM\|1\|D)|(kpr)|(kdp)|(\|lc)|(penalty))" /e /r /s</v>
      </c>
      <c r="AG124" s="1" t="str">
        <f t="shared" si="34"/>
        <v>EC</v>
      </c>
      <c r="AH124" s="92" t="str">
        <f t="shared" si="36"/>
        <v>"%USERPROFILE%\Documents\GitHub\eaglep3\Utilities\RefineRTDCRunTimes.py" --tripid 205-10 --locoid 4011 --swversion DE.1.0.8.0 --startMP 204:449 --initTime 2016-11-10T16:43:56 --startdatetime 2016-11-10T16:46:11 --delay 1 --endMP 204:233293 --enddatetime 2016-11-10T17:22:52 --enforcementcount 0 &gt;&gt;C:\Users\stu\Documents\GitHub\eaglep3-reporting\EC\2016-11-10-refined-times.txt</v>
      </c>
      <c r="AI124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{"issue":{"subject":"","project_id":79,"tracker_id":40,"status_id":1,"priority_id":2,"assigned_to_id":23,"start_date":"2016-11-10","description":"","custom_fields":[{"id":1,"name":"Subdivision","value":"EC"},{"id":4,"name":"Milepost","value":"23.3293"},{"id":17,"name":"Train ID","value":"205-10"},{"id":16,"name":"Locomotive ID","value":"4011"},{"id":130,"name":"Impact","value":""},{"id":150,"name":"Time of Event (Mountain Time)","value":"17:22:52"},{"id":151,"name":"Denver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558</v>
      </c>
      <c r="B125" s="7">
        <v>4012</v>
      </c>
      <c r="C125" s="22" t="s">
        <v>226</v>
      </c>
      <c r="D125" s="22" t="s">
        <v>683</v>
      </c>
      <c r="E125" s="13">
        <v>42684.734097222223</v>
      </c>
      <c r="F125" s="13">
        <v>42684.737060185187</v>
      </c>
      <c r="G125" s="7">
        <v>1</v>
      </c>
      <c r="H125" s="22" t="s">
        <v>176</v>
      </c>
      <c r="I125" s="13">
        <v>42684.763888888891</v>
      </c>
      <c r="J125" s="7">
        <v>0</v>
      </c>
      <c r="K125" s="109" t="str">
        <f t="shared" si="25"/>
        <v>4011/4012</v>
      </c>
      <c r="L125" s="22" t="str">
        <f>VLOOKUP(A125,'Trips&amp;Operators'!$C$1:$E$10000,3,FALSE)</f>
        <v>STORY</v>
      </c>
      <c r="M125" s="6">
        <f t="shared" si="26"/>
        <v>2.6828703703358769E-2</v>
      </c>
      <c r="N125" s="7">
        <f t="shared" si="39"/>
        <v>38.633333332836628</v>
      </c>
      <c r="O125" s="7"/>
      <c r="P125" s="7"/>
      <c r="Q125" s="23"/>
      <c r="R125" s="23"/>
      <c r="S125" s="35">
        <f t="shared" si="40"/>
        <v>1</v>
      </c>
      <c r="T125" s="50" t="str">
        <f t="shared" si="27"/>
        <v>Southbound</v>
      </c>
      <c r="U125" s="17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16:37:06-700',mode:absolute,to:'2016-11-10 19:20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5" s="52" t="str">
        <f t="shared" si="29"/>
        <v>N</v>
      </c>
      <c r="X125" s="178">
        <f t="shared" si="43"/>
        <v>1</v>
      </c>
      <c r="Y125" s="67">
        <f t="shared" si="41"/>
        <v>23.296299999999999</v>
      </c>
      <c r="Z125" s="67">
        <f t="shared" si="42"/>
        <v>1.52E-2</v>
      </c>
      <c r="AA125" s="67">
        <f t="shared" si="30"/>
        <v>23.281099999999999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1"/>
        <v>0206-10</v>
      </c>
      <c r="AE125" s="91" t="str">
        <f t="shared" si="32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125" s="88" t="str">
        <f t="shared" si="33"/>
        <v>"C:\Program Files (x86)\AstroGrep\AstroGrep.exe" /spath="%USERPROFILE%\AppData\Local\Temp\OnboardLogs" /stypes="app*4012*20161111*" /stext=" 01:.+((SYSTEM_STATE.+slice.+state.+changed )|(ment ac)|(system.+state.+changed )|(\[timeout)|(PRM\|1\|D)|(kpr)|(kdp)|(\|lc)|(penalty))" /e /r /s</v>
      </c>
      <c r="AG125" s="1" t="str">
        <f t="shared" si="34"/>
        <v>EC</v>
      </c>
      <c r="AH125" s="92" t="str">
        <f t="shared" si="36"/>
        <v>"%USERPROFILE%\Documents\GitHub\eaglep3\Utilities\RefineRTDCRunTimes.py" --tripid 206-10 --locoid 4012 --swversion DE.1.0.8.0 --startMP 204:232963 --initTime 2016-11-10T17:37:06 --startdatetime 2016-11-10T17:41:22 --delay 1 --endMP 204:152 --enddatetime 2016-11-10T18:20:00 --enforcementcount 0 &gt;&gt;C:\Users\stu\Documents\GitHub\eaglep3-reporting\EC\2016-11-10-refined-times.txt</v>
      </c>
      <c r="AI125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ID","value":"206-10"},{"id":16,"name":"Locomotive ID","value":"4012"},{"id":130,"name":"Impact","value":""},{"id":150,"name":"Time of Event (Mountain Time)","value":"18:20:00"},{"id":151,"name":"Denver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552</v>
      </c>
      <c r="B126" s="7">
        <v>4025</v>
      </c>
      <c r="C126" s="22" t="s">
        <v>226</v>
      </c>
      <c r="D126" s="22" t="s">
        <v>204</v>
      </c>
      <c r="E126" s="13">
        <v>42684.703611111108</v>
      </c>
      <c r="F126" s="13">
        <v>42684.708634259259</v>
      </c>
      <c r="G126" s="7">
        <v>1</v>
      </c>
      <c r="H126" s="22" t="s">
        <v>360</v>
      </c>
      <c r="I126" s="13">
        <v>42684.733101851853</v>
      </c>
      <c r="J126" s="7">
        <v>0</v>
      </c>
      <c r="K126" s="109" t="str">
        <f t="shared" si="25"/>
        <v>4025/4026</v>
      </c>
      <c r="L126" s="22" t="str">
        <f>VLOOKUP(A126,'Trips&amp;Operators'!$C$1:$E$10000,3,FALSE)</f>
        <v>NEWELL</v>
      </c>
      <c r="M126" s="6">
        <f t="shared" si="26"/>
        <v>2.4467592593282461E-2</v>
      </c>
      <c r="N126" s="7">
        <f t="shared" si="39"/>
        <v>35.233333334326744</v>
      </c>
      <c r="O126" s="7"/>
      <c r="P126" s="7"/>
      <c r="Q126" s="23"/>
      <c r="R126" s="23"/>
      <c r="S126" s="35">
        <f t="shared" si="40"/>
        <v>1</v>
      </c>
      <c r="T126" s="50" t="str">
        <f t="shared" si="27"/>
        <v>NorthBound</v>
      </c>
      <c r="U126" s="17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15:53:12-700',mode:absolute,to:'2016-11-10 18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6" s="52" t="str">
        <f t="shared" si="29"/>
        <v>N</v>
      </c>
      <c r="X126" s="178">
        <f t="shared" si="43"/>
        <v>1</v>
      </c>
      <c r="Y126" s="67">
        <f t="shared" si="41"/>
        <v>4.5999999999999999E-2</v>
      </c>
      <c r="Z126" s="67">
        <f t="shared" si="42"/>
        <v>23.333100000000002</v>
      </c>
      <c r="AA126" s="67">
        <f t="shared" si="30"/>
        <v>23.287100000000002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1"/>
        <v>0207-10</v>
      </c>
      <c r="AE126" s="91" t="str">
        <f t="shared" si="32"/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126" s="88" t="str">
        <f t="shared" si="33"/>
        <v>"C:\Program Files (x86)\AstroGrep\AstroGrep.exe" /spath="%USERPROFILE%\AppData\Local\Temp\OnboardLogs" /stypes="app*4025*20161111*" /stext=" 00:.+((SYSTEM_STATE.+slice.+state.+changed )|(ment ac)|(system.+state.+changed )|(\[timeout)|(PRM\|1\|D)|(kpr)|(kdp)|(\|lc)|(penalty))" /e /r /s</v>
      </c>
      <c r="AG126" s="1" t="str">
        <f t="shared" si="34"/>
        <v>EC</v>
      </c>
      <c r="AH126" s="92" t="str">
        <f t="shared" si="36"/>
        <v>"%USERPROFILE%\Documents\GitHub\eaglep3\Utilities\RefineRTDCRunTimes.py" --tripid 207-10 --locoid 4025 --swversion DE.1.0.8.0 --startMP 204:460 --initTime 2016-11-10T16:53:12 --startdatetime 2016-11-10T17:00:26 --delay 1 --endMP 204:233331 --enddatetime 2016-11-10T17:35:40 --enforcementcount 0 &gt;&gt;C:\Users\stu\Documents\GitHub\eaglep3-reporting\EC\2016-11-10-refined-times.txt</v>
      </c>
      <c r="AI126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{"issue":{"subject":"","project_id":79,"tracker_id":40,"status_id":1,"priority_id":2,"assigned_to_id":23,"start_date":"2016-11-10","description":"","custom_fields":[{"id":1,"name":"Subdivision","value":"EC"},{"id":4,"name":"Milepost","value":"23.3331"},{"id":17,"name":"Train ID","value":"207-10"},{"id":16,"name":"Locomotive ID","value":"4025"},{"id":130,"name":"Impact","value":""},{"id":150,"name":"Time of Event (Mountain Time)","value":"17:35:40"},{"id":151,"name":"Denver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560</v>
      </c>
      <c r="B127" s="7">
        <v>4026</v>
      </c>
      <c r="C127" s="22" t="s">
        <v>226</v>
      </c>
      <c r="D127" s="22" t="s">
        <v>357</v>
      </c>
      <c r="E127" s="13">
        <v>42684.734710648147</v>
      </c>
      <c r="F127" s="13">
        <v>42684.747442129628</v>
      </c>
      <c r="G127" s="7">
        <v>1</v>
      </c>
      <c r="H127" s="22" t="s">
        <v>232</v>
      </c>
      <c r="I127" s="13">
        <v>42684.775243055556</v>
      </c>
      <c r="J127" s="7">
        <v>0</v>
      </c>
      <c r="K127" s="109" t="str">
        <f t="shared" si="25"/>
        <v>4025/4026</v>
      </c>
      <c r="L127" s="22" t="str">
        <f>VLOOKUP(A127,'Trips&amp;Operators'!$C$1:$E$10000,3,FALSE)</f>
        <v>NEWELL</v>
      </c>
      <c r="M127" s="6">
        <f t="shared" si="26"/>
        <v>2.7800925927294884E-2</v>
      </c>
      <c r="N127" s="7">
        <f t="shared" ref="N127:N158" si="44">24*60*SUM($M127:$M127)</f>
        <v>40.033333335304633</v>
      </c>
      <c r="O127" s="7"/>
      <c r="P127" s="7"/>
      <c r="Q127" s="23"/>
      <c r="R127" s="23"/>
      <c r="S127" s="35">
        <f t="shared" ref="S127:S158" si="45">SUM(U127:U127)/IF(AG127="EC",12,1)</f>
        <v>1</v>
      </c>
      <c r="T127" s="50" t="str">
        <f t="shared" si="27"/>
        <v>Southbound</v>
      </c>
      <c r="U127" s="17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16:37:59-700',mode:absolute,to:'2016-11-10 19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7" s="52" t="str">
        <f t="shared" si="29"/>
        <v>N</v>
      </c>
      <c r="X127" s="178">
        <f t="shared" si="43"/>
        <v>1</v>
      </c>
      <c r="Y127" s="67">
        <f t="shared" si="41"/>
        <v>23.299600000000002</v>
      </c>
      <c r="Z127" s="67">
        <f t="shared" si="42"/>
        <v>1.5800000000000002E-2</v>
      </c>
      <c r="AA127" s="67">
        <f t="shared" si="30"/>
        <v>23.283800000000003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1"/>
        <v>0208-10</v>
      </c>
      <c r="AE127" s="91" t="str">
        <f t="shared" si="32"/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127" s="88" t="str">
        <f t="shared" si="33"/>
        <v>"C:\Program Files (x86)\AstroGrep\AstroGrep.exe" /spath="%USERPROFILE%\AppData\Local\Temp\OnboardLogs" /stypes="app*4026*20161111*" /stext=" 01:.+((SYSTEM_STATE.+slice.+state.+changed )|(ment ac)|(system.+state.+changed )|(\[timeout)|(PRM\|1\|D)|(kpr)|(kdp)|(\|lc)|(penalty))" /e /r /s</v>
      </c>
      <c r="AG127" s="1" t="str">
        <f t="shared" si="34"/>
        <v>EC</v>
      </c>
      <c r="AH127" s="92" t="str">
        <f t="shared" si="36"/>
        <v>"%USERPROFILE%\Documents\GitHub\eaglep3\Utilities\RefineRTDCRunTimes.py" --tripid 208-10 --locoid 4026 --swversion DE.1.0.8.0 --startMP 204:232996 --initTime 2016-11-10T17:37:59 --startdatetime 2016-11-10T17:56:19 --delay 1 --endMP 204:158 --enddatetime 2016-11-10T18:36:21 --enforcementcount 0 &gt;&gt;C:\Users\stu\Documents\GitHub\eaglep3-reporting\EC\2016-11-10-refined-times.txt</v>
      </c>
      <c r="AI127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{"issue":{"subject":"","project_id":79,"tracker_id":40,"status_id":1,"priority_id":2,"assigned_to_id":23,"start_date":"2016-11-10","description":"","custom_fields":[{"id":1,"name":"Subdivision","value":"EC"},{"id":4,"name":"Milepost","value":"0.0158"},{"id":17,"name":"Train ID","value":"208-10"},{"id":16,"name":"Locomotive ID","value":"4026"},{"id":130,"name":"Impact","value":""},{"id":150,"name":"Time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554</v>
      </c>
      <c r="B128" s="7">
        <v>4022</v>
      </c>
      <c r="C128" s="22" t="s">
        <v>226</v>
      </c>
      <c r="D128" s="22" t="s">
        <v>307</v>
      </c>
      <c r="E128" s="13">
        <v>42684.715497685182</v>
      </c>
      <c r="F128" s="13">
        <v>42684.719004629631</v>
      </c>
      <c r="G128" s="7">
        <v>2</v>
      </c>
      <c r="H128" s="22" t="s">
        <v>684</v>
      </c>
      <c r="I128" s="13">
        <v>42684.744745370372</v>
      </c>
      <c r="J128" s="7">
        <v>0</v>
      </c>
      <c r="K128" s="109" t="str">
        <f t="shared" si="25"/>
        <v>4021/4022</v>
      </c>
      <c r="L128" s="22" t="str">
        <f>VLOOKUP(A128,'Trips&amp;Operators'!$C$1:$E$10000,3,FALSE)</f>
        <v>BADERTSCHER</v>
      </c>
      <c r="M128" s="6">
        <f t="shared" si="26"/>
        <v>2.5740740740729962E-2</v>
      </c>
      <c r="N128" s="7">
        <f t="shared" si="44"/>
        <v>37.066666666651145</v>
      </c>
      <c r="O128" s="7"/>
      <c r="P128" s="7"/>
      <c r="Q128" s="23"/>
      <c r="R128" s="23"/>
      <c r="S128" s="35">
        <f t="shared" si="45"/>
        <v>1</v>
      </c>
      <c r="T128" s="50" t="str">
        <f t="shared" si="27"/>
        <v>NorthBound</v>
      </c>
      <c r="U128" s="17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16:10:19-700',mode:absolute,to:'2016-11-10 18:52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8" s="52" t="str">
        <f t="shared" si="29"/>
        <v>N</v>
      </c>
      <c r="X128" s="178">
        <f t="shared" si="43"/>
        <v>1</v>
      </c>
      <c r="Y128" s="67">
        <f t="shared" si="41"/>
        <v>4.4600000000000001E-2</v>
      </c>
      <c r="Z128" s="67">
        <f t="shared" si="42"/>
        <v>23.326599999999999</v>
      </c>
      <c r="AA128" s="67">
        <f t="shared" si="30"/>
        <v>23.282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1"/>
        <v>0209-10</v>
      </c>
      <c r="AE128" s="91" t="str">
        <f t="shared" si="32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28" s="88" t="str">
        <f t="shared" si="33"/>
        <v>"C:\Program Files (x86)\AstroGrep\AstroGrep.exe" /spath="%USERPROFILE%\AppData\Local\Temp\OnboardLogs" /stypes="app*4022*20161111*" /stext=" 00:.+((SYSTEM_STATE.+slice.+state.+changed )|(ment ac)|(system.+state.+changed )|(\[timeout)|(PRM\|1\|D)|(kpr)|(kdp)|(\|lc)|(penalty))" /e /r /s</v>
      </c>
      <c r="AG128" s="1" t="str">
        <f t="shared" si="34"/>
        <v>EC</v>
      </c>
      <c r="AH128" s="92" t="str">
        <f t="shared" si="36"/>
        <v>"%USERPROFILE%\Documents\GitHub\eaglep3\Utilities\RefineRTDCRunTimes.py" --tripid 209-10 --locoid 4022 --swversion DE.1.0.8.0 --startMP 204:446 --initTime 2016-11-10T17:10:19 --startdatetime 2016-11-10T17:15:22 --delay 2 --endMP 204:233266 --enddatetime 2016-11-10T17:52:26 --enforcementcount 0 &gt;&gt;C:\Users\stu\Documents\GitHub\eaglep3-reporting\EC\2016-11-10-refined-times.txt</v>
      </c>
      <c r="AI128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{"issue":{"subject":"","project_id":79,"tracker_id":40,"status_id":1,"priority_id":2,"assigned_to_id":23,"start_date":"2016-11-10","description":"","custom_fields":[{"id":1,"name":"Subdivision","value":"EC"},{"id":4,"name":"Milepost","value":"23.3266"},{"id":17,"name":"Train ID","value":"209-10"},{"id":16,"name":"Locomotive ID","value":"4022"},{"id":130,"name":"Impact","value":""},{"id":150,"name":"Time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566</v>
      </c>
      <c r="B129" s="7">
        <v>4021</v>
      </c>
      <c r="C129" s="22" t="s">
        <v>226</v>
      </c>
      <c r="D129" s="22" t="s">
        <v>685</v>
      </c>
      <c r="E129" s="13">
        <v>42684.755046296297</v>
      </c>
      <c r="F129" s="13">
        <v>42684.758090277777</v>
      </c>
      <c r="G129" s="7">
        <v>1</v>
      </c>
      <c r="H129" s="22" t="s">
        <v>216</v>
      </c>
      <c r="I129" s="13">
        <v>42684.786597222221</v>
      </c>
      <c r="J129" s="7">
        <v>0</v>
      </c>
      <c r="K129" s="109" t="str">
        <f t="shared" si="25"/>
        <v>4021/4022</v>
      </c>
      <c r="L129" s="22" t="str">
        <f>VLOOKUP(A129,'Trips&amp;Operators'!$C$1:$E$10000,3,FALSE)</f>
        <v>BADERTSCHER</v>
      </c>
      <c r="M129" s="6">
        <f t="shared" si="26"/>
        <v>2.8506944443506654E-2</v>
      </c>
      <c r="N129" s="7">
        <f t="shared" si="44"/>
        <v>41.049999998649582</v>
      </c>
      <c r="O129" s="7"/>
      <c r="P129" s="7"/>
      <c r="Q129" s="23"/>
      <c r="R129" s="23"/>
      <c r="S129" s="35">
        <f t="shared" si="45"/>
        <v>1</v>
      </c>
      <c r="T129" s="50" t="str">
        <f t="shared" si="27"/>
        <v>Southbound</v>
      </c>
      <c r="U129" s="17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17:07:16-700',mode:absolute,to:'2016-11-10 19:52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9" s="52" t="str">
        <f t="shared" si="29"/>
        <v>N</v>
      </c>
      <c r="X129" s="178">
        <f t="shared" si="43"/>
        <v>1</v>
      </c>
      <c r="Y129" s="67">
        <f t="shared" si="41"/>
        <v>23.2944</v>
      </c>
      <c r="Z129" s="67">
        <f t="shared" si="42"/>
        <v>1.5599999999999999E-2</v>
      </c>
      <c r="AA129" s="67">
        <f t="shared" si="30"/>
        <v>23.2788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1"/>
        <v>0210-10</v>
      </c>
      <c r="AE129" s="91" t="str">
        <f t="shared" si="32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29" s="88" t="str">
        <f t="shared" si="33"/>
        <v>"C:\Program Files (x86)\AstroGrep\AstroGrep.exe" /spath="%USERPROFILE%\AppData\Local\Temp\OnboardLogs" /stypes="app*4021*20161111*" /stext=" 01:.+((SYSTEM_STATE.+slice.+state.+changed )|(ment ac)|(system.+state.+changed )|(\[timeout)|(PRM\|1\|D)|(kpr)|(kdp)|(\|lc)|(penalty))" /e /r /s</v>
      </c>
      <c r="AG129" s="1" t="str">
        <f t="shared" si="34"/>
        <v>EC</v>
      </c>
      <c r="AH129" s="92" t="str">
        <f t="shared" si="36"/>
        <v>"%USERPROFILE%\Documents\GitHub\eaglep3\Utilities\RefineRTDCRunTimes.py" --tripid 210-10 --locoid 4021 --swversion DE.1.0.8.0 --startMP 204:232944 --initTime 2016-11-10T18:07:16 --startdatetime 2016-11-10T18:11:39 --delay 1 --endMP 204:156 --enddatetime 2016-11-10T18:52:42 --enforcementcount 0 &gt;&gt;C:\Users\stu\Documents\GitHub\eaglep3-reporting\EC\2016-11-10-refined-times.txt</v>
      </c>
      <c r="AI129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{"issue":{"subject":"","project_id":79,"tracker_id":40,"status_id":1,"priority_id":2,"assigned_to_id":23,"start_date":"2016-11-10","description":"","custom_fields":[{"id":1,"name":"Subdivision","value":"EC"},{"id":4,"name":"Milepost","value":"0.0156"},{"id":17,"name":"Train ID","value":"210-10"},{"id":16,"name":"Locomotive ID","value":"4021"},{"id":130,"name":"Impact","value":""},{"id":150,"name":"Time of Event (Mountain Time)","value":"18:52:42"},{"id":151,"name":"Denver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557</v>
      </c>
      <c r="B130" s="7">
        <v>4007</v>
      </c>
      <c r="C130" s="22" t="s">
        <v>226</v>
      </c>
      <c r="D130" s="22" t="s">
        <v>268</v>
      </c>
      <c r="E130" s="13">
        <v>42684.726574074077</v>
      </c>
      <c r="F130" s="13">
        <v>42684.729502314818</v>
      </c>
      <c r="G130" s="7">
        <v>2</v>
      </c>
      <c r="H130" s="22" t="s">
        <v>686</v>
      </c>
      <c r="I130" s="13">
        <v>42684.757743055554</v>
      </c>
      <c r="J130" s="7">
        <v>0</v>
      </c>
      <c r="K130" s="109" t="str">
        <f t="shared" si="25"/>
        <v>4007/4008</v>
      </c>
      <c r="L130" s="22" t="str">
        <f>VLOOKUP(A130,'Trips&amp;Operators'!$C$1:$E$10000,3,FALSE)</f>
        <v>YOUNG</v>
      </c>
      <c r="M130" s="6">
        <f t="shared" si="26"/>
        <v>2.824074073578231E-2</v>
      </c>
      <c r="N130" s="7">
        <f t="shared" si="44"/>
        <v>40.666666659526527</v>
      </c>
      <c r="O130" s="7"/>
      <c r="P130" s="7"/>
      <c r="Q130" s="23"/>
      <c r="R130" s="23"/>
      <c r="S130" s="35">
        <f t="shared" si="45"/>
        <v>1</v>
      </c>
      <c r="T130" s="50" t="str">
        <f t="shared" si="27"/>
        <v>NorthBound</v>
      </c>
      <c r="U130" s="17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16:26:16-700',mode:absolute,to:'2016-11-10 19:11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0" s="52" t="str">
        <f t="shared" si="29"/>
        <v>N</v>
      </c>
      <c r="X130" s="178">
        <f t="shared" si="43"/>
        <v>1</v>
      </c>
      <c r="Y130" s="67">
        <f t="shared" si="41"/>
        <v>4.7699999999999999E-2</v>
      </c>
      <c r="Z130" s="67">
        <f t="shared" si="42"/>
        <v>23.325700000000001</v>
      </c>
      <c r="AA130" s="67">
        <f t="shared" si="30"/>
        <v>23.278000000000002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1"/>
        <v>0211-10</v>
      </c>
      <c r="AE130" s="91" t="str">
        <f t="shared" si="32"/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130" s="88" t="str">
        <f t="shared" si="33"/>
        <v>"C:\Program Files (x86)\AstroGrep\AstroGrep.exe" /spath="%USERPROFILE%\AppData\Local\Temp\OnboardLogs" /stypes="app*4007*20161111*" /stext=" 01:.+((SYSTEM_STATE.+slice.+state.+changed )|(ment ac)|(system.+state.+changed )|(\[timeout)|(PRM\|1\|D)|(kpr)|(kdp)|(\|lc)|(penalty))" /e /r /s</v>
      </c>
      <c r="AG130" s="1" t="str">
        <f t="shared" si="34"/>
        <v>EC</v>
      </c>
      <c r="AH130" s="92" t="str">
        <f t="shared" si="36"/>
        <v>"%USERPROFILE%\Documents\GitHub\eaglep3\Utilities\RefineRTDCRunTimes.py" --tripid 211-10 --locoid 4007 --swversion DE.1.0.8.0 --startMP 204:477 --initTime 2016-11-10T17:26:16 --startdatetime 2016-11-10T17:30:29 --delay 2 --endMP 204:233257 --enddatetime 2016-11-10T18:11:09 --enforcementcount 0 &gt;&gt;C:\Users\stu\Documents\GitHub\eaglep3-reporting\EC\2016-11-10-refined-times.txt</v>
      </c>
      <c r="AI130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{"issue":{"subject":"","project_id":79,"tracker_id":40,"status_id":1,"priority_id":2,"assigned_to_id":23,"start_date":"2016-11-10","description":"","custom_fields":[{"id":1,"name":"Subdivision","value":"EC"},{"id":4,"name":"Milepost","value":"23.3257"},{"id":17,"name":"Train ID","value":"211-10"},{"id":16,"name":"Locomotive ID","value":"4007"},{"id":130,"name":"Impact","value":""},{"id":150,"name":"Time of Event (Mountain Time)","value":"18:11:09"},{"id":151,"name":"Denver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569</v>
      </c>
      <c r="B131" s="7">
        <v>4008</v>
      </c>
      <c r="C131" s="22" t="s">
        <v>226</v>
      </c>
      <c r="D131" s="22" t="s">
        <v>687</v>
      </c>
      <c r="E131" s="13">
        <v>42684.76</v>
      </c>
      <c r="F131" s="13">
        <v>42684.768287037034</v>
      </c>
      <c r="G131" s="7">
        <v>3</v>
      </c>
      <c r="H131" s="22" t="s">
        <v>688</v>
      </c>
      <c r="I131" s="13">
        <v>42684.799479166664</v>
      </c>
      <c r="J131" s="7">
        <v>0</v>
      </c>
      <c r="K131" s="109" t="str">
        <f t="shared" si="25"/>
        <v>4007/4008</v>
      </c>
      <c r="L131" s="22" t="str">
        <f>VLOOKUP(A131,'Trips&amp;Operators'!$C$1:$E$10000,3,FALSE)</f>
        <v>YOUNG</v>
      </c>
      <c r="M131" s="6">
        <f t="shared" si="26"/>
        <v>3.1192129630653653E-2</v>
      </c>
      <c r="N131" s="7">
        <f t="shared" si="44"/>
        <v>44.916666668141261</v>
      </c>
      <c r="O131" s="7"/>
      <c r="P131" s="7"/>
      <c r="Q131" s="23"/>
      <c r="R131" s="23"/>
      <c r="S131" s="35">
        <f t="shared" si="45"/>
        <v>1</v>
      </c>
      <c r="T131" s="50" t="str">
        <f t="shared" si="27"/>
        <v>Southbound</v>
      </c>
      <c r="U131" s="17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17:14:24-700',mode:absolute,to:'2016-11-10 20:11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1" s="52" t="str">
        <f t="shared" si="29"/>
        <v>N</v>
      </c>
      <c r="X131" s="178">
        <f t="shared" si="43"/>
        <v>1</v>
      </c>
      <c r="Y131" s="67">
        <f t="shared" si="41"/>
        <v>23.294699999999999</v>
      </c>
      <c r="Z131" s="67">
        <f t="shared" si="42"/>
        <v>1.2699999999999999E-2</v>
      </c>
      <c r="AA131" s="67">
        <f t="shared" si="30"/>
        <v>23.282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1"/>
        <v>0212-10</v>
      </c>
      <c r="AE131" s="91" t="str">
        <f t="shared" si="32"/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131" s="88" t="str">
        <f t="shared" si="33"/>
        <v>"C:\Program Files (x86)\AstroGrep\AstroGrep.exe" /spath="%USERPROFILE%\AppData\Local\Temp\OnboardLogs" /stypes="app*4008*20161111*" /stext=" 02:.+((SYSTEM_STATE.+slice.+state.+changed )|(ment ac)|(system.+state.+changed )|(\[timeout)|(PRM\|1\|D)|(kpr)|(kdp)|(\|lc)|(penalty))" /e /r /s</v>
      </c>
      <c r="AG131" s="1" t="str">
        <f t="shared" si="34"/>
        <v>EC</v>
      </c>
      <c r="AH131" s="92" t="str">
        <f t="shared" si="36"/>
        <v>"%USERPROFILE%\Documents\GitHub\eaglep3\Utilities\RefineRTDCRunTimes.py" --tripid 212-10 --locoid 4008 --swversion DE.1.0.8.0 --startMP 204:232947 --initTime 2016-11-10T18:14:24 --startdatetime 2016-11-10T18:26:20 --delay 3 --endMP 204:127 --enddatetime 2016-11-10T19:11:15 --enforcementcount 0 &gt;&gt;C:\Users\stu\Documents\GitHub\eaglep3-reporting\EC\2016-11-10-refined-times.txt</v>
      </c>
      <c r="AI131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{"issue":{"subject":"","project_id":79,"tracker_id":40,"status_id":1,"priority_id":2,"assigned_to_id":23,"start_date":"2016-11-10","description":"","custom_fields":[{"id":1,"name":"Subdivision","value":"EC"},{"id":4,"name":"Milepost","value":"0.0127"},{"id":17,"name":"Train ID","value":"212-10"},{"id":16,"name":"Locomotive ID","value":"4008"},{"id":130,"name":"Impact","value":""},{"id":150,"name":"Time of Event (Mountain Time)","value":"19:11:15"},{"id":151,"name":"Denver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417</v>
      </c>
      <c r="B132" s="7">
        <v>4002</v>
      </c>
      <c r="C132" s="22" t="s">
        <v>226</v>
      </c>
      <c r="D132" s="22" t="s">
        <v>205</v>
      </c>
      <c r="E132" s="13">
        <v>42684.73642361111</v>
      </c>
      <c r="F132" s="13">
        <v>42684.740555555552</v>
      </c>
      <c r="G132" s="7">
        <v>2</v>
      </c>
      <c r="H132" s="22" t="s">
        <v>689</v>
      </c>
      <c r="I132" s="13">
        <v>42684.766527777778</v>
      </c>
      <c r="J132" s="7">
        <v>0</v>
      </c>
      <c r="K132" s="109" t="str">
        <f t="shared" si="25"/>
        <v>4001/4002</v>
      </c>
      <c r="L132" s="22" t="str">
        <f>VLOOKUP(A132,'Trips&amp;Operators'!$C$1:$E$10000,3,FALSE)</f>
        <v>HOLCOMB</v>
      </c>
      <c r="M132" s="6">
        <f t="shared" si="26"/>
        <v>2.5972222225391306E-2</v>
      </c>
      <c r="N132" s="7">
        <f t="shared" si="44"/>
        <v>37.400000004563481</v>
      </c>
      <c r="O132" s="7"/>
      <c r="P132" s="7"/>
      <c r="Q132" s="23"/>
      <c r="R132" s="23"/>
      <c r="S132" s="35">
        <f t="shared" si="45"/>
        <v>1</v>
      </c>
      <c r="T132" s="50" t="str">
        <f t="shared" si="27"/>
        <v>NorthBound</v>
      </c>
      <c r="U132" s="17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16:40:27-700',mode:absolute,to:'2016-11-10 19:23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2" s="52" t="str">
        <f t="shared" si="29"/>
        <v>N</v>
      </c>
      <c r="X132" s="178">
        <f t="shared" si="43"/>
        <v>1</v>
      </c>
      <c r="Y132" s="67">
        <f t="shared" si="41"/>
        <v>4.5100000000000001E-2</v>
      </c>
      <c r="Z132" s="67">
        <f t="shared" si="42"/>
        <v>23.331800000000001</v>
      </c>
      <c r="AA132" s="67">
        <f t="shared" si="30"/>
        <v>23.2867</v>
      </c>
      <c r="AB132" s="64" t="str">
        <f>VLOOKUP(A132,Enforcements!$C$7:$K$20,8,0)</f>
        <v>Bulletin (2)</v>
      </c>
      <c r="AC132" s="60" t="str">
        <f>VLOOKUP(A132,Enforcements!$C$7:$E$20,3,0)</f>
        <v>GRADE CROSSING</v>
      </c>
      <c r="AD132" s="61" t="str">
        <f t="shared" si="31"/>
        <v>0213-10</v>
      </c>
      <c r="AE132" s="91" t="str">
        <f t="shared" si="32"/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32" s="88" t="str">
        <f t="shared" si="33"/>
        <v>"C:\Program Files (x86)\AstroGrep\AstroGrep.exe" /spath="%USERPROFILE%\AppData\Local\Temp\OnboardLogs" /stypes="app*4002*20161111*" /stext=" 01:.+((SYSTEM_STATE.+slice.+state.+changed )|(ment ac)|(system.+state.+changed )|(\[timeout)|(PRM\|1\|D)|(kpr)|(kdp)|(\|lc)|(penalty))" /e /r /s</v>
      </c>
      <c r="AG132" s="1" t="str">
        <f t="shared" si="34"/>
        <v>EC</v>
      </c>
      <c r="AH132" s="92" t="str">
        <f t="shared" si="36"/>
        <v>"%USERPROFILE%\Documents\GitHub\eaglep3\Utilities\RefineRTDCRunTimes.py" --tripid 213-10 --locoid 4002 --swversion DE.1.0.8.0 --startMP 204:451 --initTime 2016-11-10T17:40:27 --startdatetime 2016-11-10T17:46:24 --delay 2 --endMP 204:233318 --enddatetime 2016-11-10T18:23:48 --enforcementcount 0 &gt;&gt;C:\Users\stu\Documents\GitHub\eaglep3-reporting\EC\2016-11-10-refined-times.txt</v>
      </c>
      <c r="AI132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{"issue":{"subject":"","project_id":79,"tracker_id":40,"status_id":1,"priority_id":2,"assigned_to_id":23,"start_date":"2016-11-10","description":"","custom_fields":[{"id":1,"name":"Subdivision","value":"EC"},{"id":4,"name":"Milepost","value":"23.3318"},{"id":17,"name":"Train ID","value":"213-10"},{"id":16,"name":"Locomotive ID","value":"4002"},{"id":130,"name":"Impact","value":""},{"id":150,"name":"Time of Event (Mountain Time)","value":"18:23:48"},{"id":151,"name":"Denver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7" t="s">
        <v>419</v>
      </c>
      <c r="B133" s="7">
        <v>4001</v>
      </c>
      <c r="C133" s="22" t="s">
        <v>226</v>
      </c>
      <c r="D133" s="22" t="s">
        <v>255</v>
      </c>
      <c r="E133" s="13">
        <v>42684.768564814818</v>
      </c>
      <c r="F133" s="13">
        <v>42684.778749999998</v>
      </c>
      <c r="G133" s="7">
        <v>1</v>
      </c>
      <c r="H133" s="22" t="s">
        <v>690</v>
      </c>
      <c r="I133" s="13">
        <v>42684.805138888885</v>
      </c>
      <c r="J133" s="7">
        <v>0</v>
      </c>
      <c r="K133" s="109" t="str">
        <f t="shared" si="25"/>
        <v>4001/4002</v>
      </c>
      <c r="L133" s="22" t="str">
        <f>VLOOKUP(A133,'Trips&amp;Operators'!$C$1:$E$10000,3,FALSE)</f>
        <v>HOLCOMB</v>
      </c>
      <c r="M133" s="6">
        <f t="shared" si="26"/>
        <v>2.6388888887595385E-2</v>
      </c>
      <c r="N133" s="7">
        <f t="shared" si="44"/>
        <v>37.999999998137355</v>
      </c>
      <c r="O133" s="7"/>
      <c r="P133" s="7"/>
      <c r="Q133" s="23"/>
      <c r="R133" s="23"/>
      <c r="S133" s="35">
        <f t="shared" si="45"/>
        <v>1</v>
      </c>
      <c r="T133" s="50" t="str">
        <f t="shared" si="27"/>
        <v>Southbound</v>
      </c>
      <c r="U133" s="17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17:26:44-700',mode:absolute,to:'2016-11-10 20:19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3" s="52" t="str">
        <f t="shared" si="29"/>
        <v>N</v>
      </c>
      <c r="X133" s="178">
        <f t="shared" si="43"/>
        <v>1</v>
      </c>
      <c r="Y133" s="67">
        <f t="shared" si="41"/>
        <v>23.299399999999999</v>
      </c>
      <c r="Z133" s="67">
        <f t="shared" si="42"/>
        <v>2.47E-2</v>
      </c>
      <c r="AA133" s="67">
        <f t="shared" si="30"/>
        <v>23.274699999999999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1"/>
        <v>0214-10</v>
      </c>
      <c r="AE133" s="91" t="str">
        <f t="shared" si="32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33" s="88" t="str">
        <f t="shared" si="33"/>
        <v>"C:\Program Files (x86)\AstroGrep\AstroGrep.exe" /spath="%USERPROFILE%\AppData\Local\Temp\OnboardLogs" /stypes="app*4001*20161111*" /stext=" 02:.+((SYSTEM_STATE.+slice.+state.+changed )|(ment ac)|(system.+state.+changed )|(\[timeout)|(PRM\|1\|D)|(kpr)|(kdp)|(\|lc)|(penalty))" /e /r /s</v>
      </c>
      <c r="AG133" s="1" t="str">
        <f t="shared" si="34"/>
        <v>EC</v>
      </c>
      <c r="AH133" s="92" t="str">
        <f t="shared" si="36"/>
        <v>"%USERPROFILE%\Documents\GitHub\eaglep3\Utilities\RefineRTDCRunTimes.py" --tripid 214-10 --locoid 4001 --swversion DE.1.0.8.0 --startMP 204:232994 --initTime 2016-11-10T18:26:44 --startdatetime 2016-11-10T18:41:24 --delay 1 --endMP 204:247 --enddatetime 2016-11-10T19:19:24 --enforcementcount 0 &gt;&gt;C:\Users\stu\Documents\GitHub\eaglep3-reporting\EC\2016-11-10-refined-times.txt</v>
      </c>
      <c r="AI133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{"issue":{"subject":"","project_id":79,"tracker_id":40,"status_id":1,"priority_id":2,"assigned_to_id":23,"start_date":"2016-11-10","description":"","custom_fields":[{"id":1,"name":"Subdivision","value":"EC"},{"id":4,"name":"Milepost","value":"0.0247"},{"id":17,"name":"Train ID","value":"214-10"},{"id":16,"name":"Locomotive ID","value":"4001"},{"id":130,"name":"Impact","value":""},{"id":150,"name":"Time of Event (Mountain Time)","value":"19:19:24"},{"id":151,"name":"Denver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564</v>
      </c>
      <c r="B134" s="7">
        <v>4053</v>
      </c>
      <c r="C134" s="22" t="s">
        <v>226</v>
      </c>
      <c r="D134" s="22" t="s">
        <v>201</v>
      </c>
      <c r="E134" s="13">
        <v>42684.748171296298</v>
      </c>
      <c r="F134" s="13">
        <v>42684.752210648148</v>
      </c>
      <c r="G134" s="7">
        <v>1</v>
      </c>
      <c r="H134" s="22" t="s">
        <v>691</v>
      </c>
      <c r="I134" s="13">
        <v>42684.778217592589</v>
      </c>
      <c r="J134" s="7">
        <v>0</v>
      </c>
      <c r="K134" s="109" t="str">
        <f t="shared" si="25"/>
        <v>4053/4054</v>
      </c>
      <c r="L134" s="22" t="str">
        <f>VLOOKUP(A134,'Trips&amp;Operators'!$C$1:$E$10000,3,FALSE)</f>
        <v>HILLS</v>
      </c>
      <c r="M134" s="6">
        <f t="shared" si="26"/>
        <v>2.6006944441178348E-2</v>
      </c>
      <c r="N134" s="7">
        <f t="shared" si="44"/>
        <v>37.449999995296821</v>
      </c>
      <c r="O134" s="7"/>
      <c r="P134" s="7"/>
      <c r="Q134" s="23"/>
      <c r="R134" s="23"/>
      <c r="S134" s="35">
        <f t="shared" si="45"/>
        <v>1</v>
      </c>
      <c r="T134" s="50" t="str">
        <f t="shared" si="27"/>
        <v>NorthBound</v>
      </c>
      <c r="U134" s="17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16:57:22-700',mode:absolute,to:'2016-11-10 19:40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4" s="52" t="str">
        <f t="shared" si="29"/>
        <v>N</v>
      </c>
      <c r="X134" s="178">
        <f t="shared" si="43"/>
        <v>1</v>
      </c>
      <c r="Y134" s="67">
        <f t="shared" si="41"/>
        <v>4.53E-2</v>
      </c>
      <c r="Z134" s="67">
        <f t="shared" si="42"/>
        <v>23.3338</v>
      </c>
      <c r="AA134" s="67">
        <f t="shared" si="30"/>
        <v>23.288499999999999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1"/>
        <v>0215-10</v>
      </c>
      <c r="AE134" s="91" t="str">
        <f t="shared" si="32"/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134" s="88" t="str">
        <f t="shared" si="33"/>
        <v>"C:\Program Files (x86)\AstroGrep\AstroGrep.exe" /spath="%USERPROFILE%\AppData\Local\Temp\OnboardLogs" /stypes="app*4053*20161111*" /stext=" 01:.+((SYSTEM_STATE.+slice.+state.+changed )|(ment ac)|(system.+state.+changed )|(\[timeout)|(PRM\|1\|D)|(kpr)|(kdp)|(\|lc)|(penalty))" /e /r /s</v>
      </c>
      <c r="AG134" s="1" t="str">
        <f t="shared" si="34"/>
        <v>EC</v>
      </c>
      <c r="AH134" s="92" t="str">
        <f t="shared" si="36"/>
        <v>"%USERPROFILE%\Documents\GitHub\eaglep3\Utilities\RefineRTDCRunTimes.py" --tripid 215-10 --locoid 4053 --swversion DE.1.0.8.0 --startMP 204:453 --initTime 2016-11-10T17:57:22 --startdatetime 2016-11-10T18:03:11 --delay 1 --endMP 204:233338 --enddatetime 2016-11-10T18:40:38 --enforcementcount 0 &gt;&gt;C:\Users\stu\Documents\GitHub\eaglep3-reporting\EC\2016-11-10-refined-times.txt</v>
      </c>
      <c r="AI134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{"issue":{"subject":"","project_id":79,"tracker_id":40,"status_id":1,"priority_id":2,"assigned_to_id":23,"start_date":"2016-11-10","description":"","custom_fields":[{"id":1,"name":"Subdivision","value":"EC"},{"id":4,"name":"Milepost","value":"23.3338"},{"id":17,"name":"Train ID","value":"215-10"},{"id":16,"name":"Locomotive ID","value":"4053"},{"id":130,"name":"Impact","value":""},{"id":150,"name":"Time of Event (Mountain Time)","value":"18:40:38"},{"id":151,"name":"Denver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575</v>
      </c>
      <c r="B135" s="7">
        <v>4054</v>
      </c>
      <c r="C135" s="22" t="s">
        <v>226</v>
      </c>
      <c r="D135" s="22" t="s">
        <v>692</v>
      </c>
      <c r="E135" s="13">
        <v>42684.782407407409</v>
      </c>
      <c r="F135" s="13">
        <v>42684.789212962962</v>
      </c>
      <c r="G135" s="7">
        <v>1</v>
      </c>
      <c r="H135" s="22" t="s">
        <v>693</v>
      </c>
      <c r="I135" s="13">
        <v>42684.814895833333</v>
      </c>
      <c r="J135" s="7">
        <v>0</v>
      </c>
      <c r="K135" s="109" t="str">
        <f t="shared" si="25"/>
        <v>4053/4054</v>
      </c>
      <c r="L135" s="22" t="str">
        <f>VLOOKUP(A135,'Trips&amp;Operators'!$C$1:$E$10000,3,FALSE)</f>
        <v>HILLS</v>
      </c>
      <c r="M135" s="6">
        <f t="shared" si="26"/>
        <v>2.5682870371383615E-2</v>
      </c>
      <c r="N135" s="7">
        <f t="shared" si="44"/>
        <v>36.983333334792405</v>
      </c>
      <c r="O135" s="7"/>
      <c r="P135" s="7"/>
      <c r="Q135" s="23"/>
      <c r="R135" s="23"/>
      <c r="S135" s="35">
        <f t="shared" si="45"/>
        <v>1</v>
      </c>
      <c r="T135" s="50" t="str">
        <f t="shared" si="27"/>
        <v>Southbound</v>
      </c>
      <c r="U135" s="17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17:46:40-700',mode:absolute,to:'2016-11-10 20:33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5" s="52" t="str">
        <f t="shared" si="29"/>
        <v>N</v>
      </c>
      <c r="X135" s="178">
        <f t="shared" si="43"/>
        <v>1</v>
      </c>
      <c r="Y135" s="67">
        <f t="shared" si="41"/>
        <v>23.3017</v>
      </c>
      <c r="Z135" s="67">
        <f t="shared" si="42"/>
        <v>8.9999999999999993E-3</v>
      </c>
      <c r="AA135" s="67">
        <f t="shared" si="30"/>
        <v>23.2927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1"/>
        <v>0216-10</v>
      </c>
      <c r="AE135" s="91" t="str">
        <f t="shared" si="32"/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135" s="88" t="str">
        <f t="shared" si="33"/>
        <v>"C:\Program Files (x86)\AstroGrep\AstroGrep.exe" /spath="%USERPROFILE%\AppData\Local\Temp\OnboardLogs" /stypes="app*4054*20161111*" /stext=" 02:.+((SYSTEM_STATE.+slice.+state.+changed )|(ment ac)|(system.+state.+changed )|(\[timeout)|(PRM\|1\|D)|(kpr)|(kdp)|(\|lc)|(penalty))" /e /r /s</v>
      </c>
      <c r="AG135" s="1" t="str">
        <f t="shared" si="34"/>
        <v>EC</v>
      </c>
      <c r="AH135" s="92" t="str">
        <f t="shared" si="36"/>
        <v>"%USERPROFILE%\Documents\GitHub\eaglep3\Utilities\RefineRTDCRunTimes.py" --tripid 216-10 --locoid 4054 --swversion DE.1.0.8.0 --startMP 204:233017 --initTime 2016-11-10T18:46:40 --startdatetime 2016-11-10T18:56:28 --delay 1 --endMP 204:90 --enddatetime 2016-11-10T19:33:27 --enforcementcount 0 &gt;&gt;C:\Users\stu\Documents\GitHub\eaglep3-reporting\EC\2016-11-10-refined-times.txt</v>
      </c>
      <c r="AI135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{"issue":{"subject":"","project_id":79,"tracker_id":40,"status_id":1,"priority_id":2,"assigned_to_id":23,"start_date":"2016-11-10","description":"","custom_fields":[{"id":1,"name":"Subdivision","value":"EC"},{"id":4,"name":"Milepost","value":"0.009"},{"id":17,"name":"Train ID","value":"216-10"},{"id":16,"name":"Locomotive ID","value":"4054"},{"id":130,"name":"Impact","value":""},{"id":150,"name":"Time of Event (Mountain Time)","value":"19:33:27"},{"id":151,"name":"Denver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567</v>
      </c>
      <c r="B136" s="7">
        <v>4038</v>
      </c>
      <c r="C136" s="22" t="s">
        <v>226</v>
      </c>
      <c r="D136" s="22" t="s">
        <v>694</v>
      </c>
      <c r="E136" s="13">
        <v>42684.75576388889</v>
      </c>
      <c r="F136" s="13">
        <v>42684.760740740741</v>
      </c>
      <c r="G136" s="7">
        <v>2</v>
      </c>
      <c r="H136" s="22" t="s">
        <v>695</v>
      </c>
      <c r="I136" s="13">
        <v>42684.785729166666</v>
      </c>
      <c r="J136" s="7">
        <v>0</v>
      </c>
      <c r="K136" s="109" t="str">
        <f t="shared" si="25"/>
        <v>4037/4038</v>
      </c>
      <c r="L136" s="22" t="str">
        <f>VLOOKUP(A136,'Trips&amp;Operators'!$C$1:$E$10000,3,FALSE)</f>
        <v>LEVIN</v>
      </c>
      <c r="M136" s="6">
        <f t="shared" si="26"/>
        <v>2.4988425924675539E-2</v>
      </c>
      <c r="N136" s="7">
        <f t="shared" si="44"/>
        <v>35.983333331532776</v>
      </c>
      <c r="O136" s="7"/>
      <c r="P136" s="7"/>
      <c r="Q136" s="23"/>
      <c r="R136" s="23"/>
      <c r="S136" s="35">
        <f t="shared" si="45"/>
        <v>1</v>
      </c>
      <c r="T136" s="50" t="str">
        <f t="shared" si="27"/>
        <v>NorthBound</v>
      </c>
      <c r="U136" s="17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17:08:18-700',mode:absolute,to:'2016-11-10 19:51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6" s="52" t="str">
        <f t="shared" si="29"/>
        <v>N</v>
      </c>
      <c r="X136" s="178">
        <f t="shared" si="43"/>
        <v>1</v>
      </c>
      <c r="Y136" s="67">
        <f t="shared" si="41"/>
        <v>5.0900000000000001E-2</v>
      </c>
      <c r="Z136" s="67">
        <f t="shared" si="42"/>
        <v>23.332999999999998</v>
      </c>
      <c r="AA136" s="67">
        <f t="shared" si="30"/>
        <v>23.2821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1"/>
        <v>0217-10</v>
      </c>
      <c r="AE136" s="91" t="str">
        <f t="shared" si="32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136" s="88" t="str">
        <f t="shared" si="33"/>
        <v>"C:\Program Files (x86)\AstroGrep\AstroGrep.exe" /spath="%USERPROFILE%\AppData\Local\Temp\OnboardLogs" /stypes="app*4038*20161111*" /stext=" 01:.+((SYSTEM_STATE.+slice.+state.+changed )|(ment ac)|(system.+state.+changed )|(\[timeout)|(PRM\|1\|D)|(kpr)|(kdp)|(\|lc)|(penalty))" /e /r /s</v>
      </c>
      <c r="AG136" s="1" t="str">
        <f t="shared" si="34"/>
        <v>EC</v>
      </c>
      <c r="AH136" s="92" t="str">
        <f t="shared" si="36"/>
        <v>"%USERPROFILE%\Documents\GitHub\eaglep3\Utilities\RefineRTDCRunTimes.py" --tripid 217-10 --locoid 4038 --swversion DE.1.0.8.0 --startMP 204:509 --initTime 2016-11-10T18:08:18 --startdatetime 2016-11-10T18:15:28 --delay 2 --endMP 204:233330 --enddatetime 2016-11-10T18:51:27 --enforcementcount 0 &gt;&gt;C:\Users\stu\Documents\GitHub\eaglep3-reporting\EC\2016-11-10-refined-times.txt</v>
      </c>
      <c r="AI136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{"issue":{"subject":"","project_id":79,"tracker_id":40,"status_id":1,"priority_id":2,"assigned_to_id":23,"start_date":"2016-11-10","description":"","custom_fields":[{"id":1,"name":"Subdivision","value":"EC"},{"id":4,"name":"Milepost","value":"23.333"},{"id":17,"name":"Train ID","value":"217-10"},{"id":16,"name":"Locomotive ID","value":"4038"},{"id":130,"name":"Impact","value":""},{"id":150,"name":"Time of Event (Mountain Time)","value":"18:51:27"},{"id":151,"name":"Denver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577</v>
      </c>
      <c r="B137" s="7">
        <v>4037</v>
      </c>
      <c r="C137" s="22" t="s">
        <v>226</v>
      </c>
      <c r="D137" s="22" t="s">
        <v>696</v>
      </c>
      <c r="E137" s="13">
        <v>42684.793668981481</v>
      </c>
      <c r="F137" s="13">
        <v>42684.79960648148</v>
      </c>
      <c r="G137" s="7">
        <v>1</v>
      </c>
      <c r="H137" s="22" t="s">
        <v>697</v>
      </c>
      <c r="I137" s="13">
        <v>42684.825289351851</v>
      </c>
      <c r="J137" s="7">
        <v>0</v>
      </c>
      <c r="K137" s="109" t="str">
        <f t="shared" si="25"/>
        <v>4037/4038</v>
      </c>
      <c r="L137" s="22" t="str">
        <f>VLOOKUP(A137,'Trips&amp;Operators'!$C$1:$E$10000,3,FALSE)</f>
        <v>LEVIN</v>
      </c>
      <c r="M137" s="6">
        <f t="shared" si="26"/>
        <v>2.5682870371383615E-2</v>
      </c>
      <c r="N137" s="7">
        <f t="shared" si="44"/>
        <v>36.983333334792405</v>
      </c>
      <c r="O137" s="7"/>
      <c r="P137" s="7"/>
      <c r="Q137" s="23"/>
      <c r="R137" s="23"/>
      <c r="S137" s="35">
        <f t="shared" si="45"/>
        <v>1</v>
      </c>
      <c r="T137" s="50" t="str">
        <f t="shared" si="27"/>
        <v>Southbound</v>
      </c>
      <c r="U137" s="17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18:02:53-700',mode:absolute,to:'2016-11-10 20:48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7" s="52" t="str">
        <f t="shared" si="29"/>
        <v>N</v>
      </c>
      <c r="X137" s="178">
        <f t="shared" si="43"/>
        <v>1</v>
      </c>
      <c r="Y137" s="67">
        <f t="shared" si="41"/>
        <v>23.300699999999999</v>
      </c>
      <c r="Z137" s="67">
        <f t="shared" si="42"/>
        <v>1.2999999999999999E-2</v>
      </c>
      <c r="AA137" s="67">
        <f t="shared" si="30"/>
        <v>23.287699999999997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1"/>
        <v>0218-10</v>
      </c>
      <c r="AE137" s="91" t="str">
        <f t="shared" si="32"/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137" s="88" t="str">
        <f t="shared" si="33"/>
        <v>"C:\Program Files (x86)\AstroGrep\AstroGrep.exe" /spath="%USERPROFILE%\AppData\Local\Temp\OnboardLogs" /stypes="app*4037*20161111*" /stext=" 02:.+((SYSTEM_STATE.+slice.+state.+changed )|(ment ac)|(system.+state.+changed )|(\[timeout)|(PRM\|1\|D)|(kpr)|(kdp)|(\|lc)|(penalty))" /e /r /s</v>
      </c>
      <c r="AG137" s="1" t="str">
        <f t="shared" si="34"/>
        <v>EC</v>
      </c>
      <c r="AH137" s="92" t="str">
        <f t="shared" si="36"/>
        <v>"%USERPROFILE%\Documents\GitHub\eaglep3\Utilities\RefineRTDCRunTimes.py" --tripid 218-10 --locoid 4037 --swversion DE.1.0.8.0 --startMP 204:233007 --initTime 2016-11-10T19:02:53 --startdatetime 2016-11-10T19:11:26 --delay 1 --endMP 204:130 --enddatetime 2016-11-10T19:48:25 --enforcementcount 0 &gt;&gt;C:\Users\stu\Documents\GitHub\eaglep3-reporting\EC\2016-11-10-refined-times.txt</v>
      </c>
      <c r="AI137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{"issue":{"subject":"","project_id":79,"tracker_id":40,"status_id":1,"priority_id":2,"assigned_to_id":23,"start_date":"2016-11-10","description":"","custom_fields":[{"id":1,"name":"Subdivision","value":"EC"},{"id":4,"name":"Milepost","value":"0.013"},{"id":17,"name":"Train ID","value":"218-10"},{"id":16,"name":"Locomotive ID","value":"4037"},{"id":130,"name":"Impact","value":""},{"id":150,"name":"Time of Event (Mountain Time)","value":"19:48:25"},{"id":151,"name":"Denver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570</v>
      </c>
      <c r="B138" s="7">
        <v>4011</v>
      </c>
      <c r="C138" s="22" t="s">
        <v>226</v>
      </c>
      <c r="D138" s="22" t="s">
        <v>284</v>
      </c>
      <c r="E138" s="13">
        <v>42684.766122685185</v>
      </c>
      <c r="F138" s="13">
        <v>42684.771354166667</v>
      </c>
      <c r="G138" s="7">
        <v>2</v>
      </c>
      <c r="H138" s="22" t="s">
        <v>615</v>
      </c>
      <c r="I138" s="13">
        <v>42684.795844907407</v>
      </c>
      <c r="J138" s="7">
        <v>0</v>
      </c>
      <c r="K138" s="109" t="str">
        <f t="shared" si="25"/>
        <v>4011/4012</v>
      </c>
      <c r="L138" s="22" t="str">
        <f>VLOOKUP(A138,'Trips&amp;Operators'!$C$1:$E$10000,3,FALSE)</f>
        <v>STAMBAUGH</v>
      </c>
      <c r="M138" s="6">
        <f t="shared" si="26"/>
        <v>2.4490740739565808E-2</v>
      </c>
      <c r="N138" s="7">
        <f t="shared" si="44"/>
        <v>35.266666664974764</v>
      </c>
      <c r="O138" s="7"/>
      <c r="P138" s="7"/>
      <c r="Q138" s="23"/>
      <c r="R138" s="23"/>
      <c r="S138" s="35">
        <f t="shared" si="45"/>
        <v>1</v>
      </c>
      <c r="T138" s="50" t="str">
        <f t="shared" si="27"/>
        <v>NorthBound</v>
      </c>
      <c r="U138" s="17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17:23:13-700',mode:absolute,to:'2016-11-10 20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8" s="52" t="str">
        <f t="shared" si="29"/>
        <v>N</v>
      </c>
      <c r="X138" s="178">
        <f t="shared" si="43"/>
        <v>1</v>
      </c>
      <c r="Y138" s="67">
        <f t="shared" si="41"/>
        <v>4.7800000000000002E-2</v>
      </c>
      <c r="Z138" s="67">
        <f t="shared" si="42"/>
        <v>23.331399999999999</v>
      </c>
      <c r="AA138" s="67">
        <f t="shared" si="30"/>
        <v>23.2836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1"/>
        <v>0219-10</v>
      </c>
      <c r="AE138" s="91" t="str">
        <f t="shared" si="32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138" s="88" t="str">
        <f t="shared" si="33"/>
        <v>"C:\Program Files (x86)\AstroGrep\AstroGrep.exe" /spath="%USERPROFILE%\AppData\Local\Temp\OnboardLogs" /stypes="app*4011*20161111*" /stext=" 02:.+((SYSTEM_STATE.+slice.+state.+changed )|(ment ac)|(system.+state.+changed )|(\[timeout)|(PRM\|1\|D)|(kpr)|(kdp)|(\|lc)|(penalty))" /e /r /s</v>
      </c>
      <c r="AG138" s="1" t="str">
        <f t="shared" si="34"/>
        <v>EC</v>
      </c>
      <c r="AH138" s="92" t="str">
        <f t="shared" si="36"/>
        <v>"%USERPROFILE%\Documents\GitHub\eaglep3\Utilities\RefineRTDCRunTimes.py" --tripid 219-10 --locoid 4011 --swversion DE.1.0.8.0 --startMP 204:478 --initTime 2016-11-10T18:23:13 --startdatetime 2016-11-10T18:30:45 --delay 2 --endMP 204:233314 --enddatetime 2016-11-10T19:06:01 --enforcementcount 0 &gt;&gt;C:\Users\stu\Documents\GitHub\eaglep3-reporting\EC\2016-11-10-refined-times.txt</v>
      </c>
      <c r="AI138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{"issue":{"subject":"","project_id":79,"tracker_id":40,"status_id":1,"priority_id":2,"assigned_to_id":23,"start_date":"2016-11-10","description":"","custom_fields":[{"id":1,"name":"Subdivision","value":"EC"},{"id":4,"name":"Milepost","value":"23.3314"},{"id":17,"name":"Train ID","value":"219-10"},{"id":16,"name":"Locomotive ID","value":"4011"},{"id":130,"name":"Impact","value":""},{"id":150,"name":"Time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581</v>
      </c>
      <c r="B139" s="7">
        <v>4012</v>
      </c>
      <c r="C139" s="22" t="s">
        <v>226</v>
      </c>
      <c r="D139" s="22" t="s">
        <v>251</v>
      </c>
      <c r="E139" s="13">
        <v>42684.80636574074</v>
      </c>
      <c r="F139" s="13">
        <v>42684.809976851851</v>
      </c>
      <c r="G139" s="7">
        <v>1</v>
      </c>
      <c r="H139" s="22" t="s">
        <v>176</v>
      </c>
      <c r="I139" s="13">
        <v>42684.837233796294</v>
      </c>
      <c r="J139" s="7">
        <v>0</v>
      </c>
      <c r="K139" s="109" t="str">
        <f t="shared" si="25"/>
        <v>4011/4012</v>
      </c>
      <c r="L139" s="22" t="str">
        <f>VLOOKUP(A139,'Trips&amp;Operators'!$C$1:$E$10000,3,FALSE)</f>
        <v>STAMBAUGH</v>
      </c>
      <c r="M139" s="6">
        <f t="shared" si="26"/>
        <v>2.7256944442342501E-2</v>
      </c>
      <c r="N139" s="7">
        <f t="shared" si="44"/>
        <v>39.249999996973202</v>
      </c>
      <c r="O139" s="7"/>
      <c r="P139" s="7"/>
      <c r="Q139" s="23"/>
      <c r="R139" s="23" t="s">
        <v>809</v>
      </c>
      <c r="S139" s="35">
        <f t="shared" si="45"/>
        <v>1</v>
      </c>
      <c r="T139" s="50" t="str">
        <f t="shared" si="27"/>
        <v>Southbound</v>
      </c>
      <c r="U139" s="17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18:21:10-700',mode:absolute,to:'2016-11-10 21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9" s="52" t="str">
        <f t="shared" si="29"/>
        <v>N</v>
      </c>
      <c r="X139" s="178">
        <f t="shared" si="43"/>
        <v>1</v>
      </c>
      <c r="Y139" s="67">
        <f t="shared" si="41"/>
        <v>23.299099999999999</v>
      </c>
      <c r="Z139" s="67">
        <f t="shared" si="42"/>
        <v>1.52E-2</v>
      </c>
      <c r="AA139" s="67">
        <f t="shared" si="30"/>
        <v>23.283899999999999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1"/>
        <v>0220-10</v>
      </c>
      <c r="AE139" s="91" t="str">
        <f t="shared" si="32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139" s="88" t="str">
        <f t="shared" si="33"/>
        <v>"C:\Program Files (x86)\AstroGrep\AstroGrep.exe" /spath="%USERPROFILE%\AppData\Local\Temp\OnboardLogs" /stypes="app*4012*20161111*" /stext=" 03:.+((SYSTEM_STATE.+slice.+state.+changed )|(ment ac)|(system.+state.+changed )|(\[timeout)|(PRM\|1\|D)|(kpr)|(kdp)|(\|lc)|(penalty))" /e /r /s</v>
      </c>
      <c r="AG139" s="1" t="str">
        <f t="shared" si="34"/>
        <v>EC</v>
      </c>
      <c r="AH139" s="92" t="str">
        <f t="shared" si="36"/>
        <v>"%USERPROFILE%\Documents\GitHub\eaglep3\Utilities\RefineRTDCRunTimes.py" --tripid 220-10 --locoid 4012 --swversion DE.1.0.8.0 --startMP 204:232991 --initTime 2016-11-10T19:21:10 --startdatetime 2016-11-10T19:26:22 --delay 1 --endMP 204:152 --enddatetime 2016-11-10T20:05:37 --enforcementcount 0 &gt;&gt;C:\Users\stu\Documents\GitHub\eaglep3-reporting\EC\2016-11-10-refined-times.txt</v>
      </c>
      <c r="AI139" s="119" t="str">
        <f t="shared" si="37"/>
        <v>echo {"issue":{"subject":"Onboard in-route failure caused comm failure","project_id":79,"tracker_id":40,"status_id":1,"priority_id":2,"assigned_to_id":23,"start_date":"2016-11-10","description":"","custom_fields":[{"id":1,"name":"Subdivision","value":"EC"},{"id":4,"name":"Milepost","value":"0.0152"},{"id":17,"name":"Train ID","value":"220-10"},{"id":16,"name":"Locomotive ID","value":"4012"},{"id":130,"name":"Impact","value":""},{"id":150,"name":"Time of Event (Mountain Time)","value":"20:05:37"},{"id":151,"name":"Denver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576</v>
      </c>
      <c r="B140" s="7">
        <v>4022</v>
      </c>
      <c r="C140" s="22" t="s">
        <v>226</v>
      </c>
      <c r="D140" s="22" t="s">
        <v>624</v>
      </c>
      <c r="E140" s="13">
        <v>42684.788622685184</v>
      </c>
      <c r="F140" s="13">
        <v>42684.791967592595</v>
      </c>
      <c r="G140" s="7">
        <v>1</v>
      </c>
      <c r="H140" s="22" t="s">
        <v>684</v>
      </c>
      <c r="I140" s="13">
        <v>42684.81722222222</v>
      </c>
      <c r="J140" s="7">
        <v>0</v>
      </c>
      <c r="K140" s="109" t="str">
        <f t="shared" si="25"/>
        <v>4021/4022</v>
      </c>
      <c r="L140" s="22" t="str">
        <f>VLOOKUP(A140,'Trips&amp;Operators'!$C$1:$E$10000,3,FALSE)</f>
        <v>BADERTSCHER</v>
      </c>
      <c r="M140" s="6">
        <f t="shared" si="26"/>
        <v>2.5254629625123926E-2</v>
      </c>
      <c r="N140" s="7">
        <f t="shared" si="44"/>
        <v>36.366666660178453</v>
      </c>
      <c r="O140" s="7"/>
      <c r="P140" s="7"/>
      <c r="Q140" s="23"/>
      <c r="R140" s="23"/>
      <c r="S140" s="35">
        <f t="shared" si="45"/>
        <v>1</v>
      </c>
      <c r="T140" s="50" t="str">
        <f t="shared" si="27"/>
        <v>NorthBound</v>
      </c>
      <c r="U140" s="17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https://search-rtdc-monitor-bjffxe2xuh6vdkpspy63sjmuny.us-east-1.es.amazonaws.com/_plugin/kibana/#/discover/Steve-Slow-Train-Analysis-(2080s-and-2083s)?_g=(refreshInterval:(display:Off,section:0,value:0),time:(from:'2016-11-10 17:55:37-700',mode:absolute,to:'2016-11-10 20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0" s="52" t="str">
        <f t="shared" si="29"/>
        <v>N</v>
      </c>
      <c r="X140" s="178">
        <f t="shared" si="43"/>
        <v>1</v>
      </c>
      <c r="Y140" s="67">
        <f t="shared" si="41"/>
        <v>4.6600000000000003E-2</v>
      </c>
      <c r="Z140" s="67">
        <f t="shared" si="42"/>
        <v>23.326599999999999</v>
      </c>
      <c r="AA140" s="67">
        <f t="shared" si="30"/>
        <v>23.279999999999998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1"/>
        <v>0221-10</v>
      </c>
      <c r="AE140" s="91" t="str">
        <f t="shared" si="32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40" s="88" t="str">
        <f t="shared" si="33"/>
        <v>"C:\Program Files (x86)\AstroGrep\AstroGrep.exe" /spath="%USERPROFILE%\AppData\Local\Temp\OnboardLogs" /stypes="app*4022*20161111*" /stext=" 02:.+((SYSTEM_STATE.+slice.+state.+changed )|(ment ac)|(system.+state.+changed )|(\[timeout)|(PRM\|1\|D)|(kpr)|(kdp)|(\|lc)|(penalty))" /e /r /s</v>
      </c>
      <c r="AG140" s="1" t="str">
        <f t="shared" si="34"/>
        <v>EC</v>
      </c>
      <c r="AH140" s="92" t="str">
        <f t="shared" si="36"/>
        <v>"%USERPROFILE%\Documents\GitHub\eaglep3\Utilities\RefineRTDCRunTimes.py" --tripid 221-10 --locoid 4022 --swversion DE.1.0.8.0 --startMP 204:466 --initTime 2016-11-10T18:55:37 --startdatetime 2016-11-10T19:00:26 --delay 1 --endMP 204:233266 --enddatetime 2016-11-10T19:36:48 --enforcementcount 0 &gt;&gt;C:\Users\stu\Documents\GitHub\eaglep3-reporting\EC\2016-11-10-refined-times.txt</v>
      </c>
      <c r="AI140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{"issue":{"subject":"","project_id":79,"tracker_id":40,"status_id":1,"priority_id":2,"assigned_to_id":23,"start_date":"2016-11-10","description":"","custom_fields":[{"id":1,"name":"Subdivision","value":"EC"},{"id":4,"name":"Milepost","value":"23.3266"},{"id":17,"name":"Train ID","value":"221-10"},{"id":16,"name":"Locomotive ID","value":"4022"},{"id":130,"name":"Impact","value":""},{"id":150,"name":"Time of Event (Mountain Time)","value":"19:36:48"},{"id":151,"name":"Denver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583</v>
      </c>
      <c r="B141" s="7">
        <v>4021</v>
      </c>
      <c r="C141" s="22" t="s">
        <v>226</v>
      </c>
      <c r="D141" s="22" t="s">
        <v>698</v>
      </c>
      <c r="E141" s="13">
        <v>42684.826099537036</v>
      </c>
      <c r="F141" s="13">
        <v>42684.830740740741</v>
      </c>
      <c r="G141" s="7">
        <v>1</v>
      </c>
      <c r="H141" s="22" t="s">
        <v>257</v>
      </c>
      <c r="I141" s="13">
        <v>42684.859027777777</v>
      </c>
      <c r="J141" s="7">
        <v>0</v>
      </c>
      <c r="K141" s="109" t="str">
        <f t="shared" ref="K141:K204" si="46">IF(ISEVEN(B141),(B141-1)&amp;"/"&amp;B141,B141&amp;"/"&amp;(B141+1))</f>
        <v>4021/4022</v>
      </c>
      <c r="L141" s="22" t="str">
        <f>VLOOKUP(A141,'Trips&amp;Operators'!$C$1:$E$10000,3,FALSE)</f>
        <v>BADERTSCHER</v>
      </c>
      <c r="M141" s="6">
        <f t="shared" ref="M141:M204" si="47">I141-F141</f>
        <v>2.8287037035624962E-2</v>
      </c>
      <c r="N141" s="7">
        <f t="shared" si="44"/>
        <v>40.733333331299946</v>
      </c>
      <c r="O141" s="7"/>
      <c r="P141" s="7"/>
      <c r="Q141" s="23"/>
      <c r="R141" s="23"/>
      <c r="S141" s="35">
        <f t="shared" si="45"/>
        <v>1</v>
      </c>
      <c r="T141" s="50" t="str">
        <f t="shared" ref="T141:T204" si="48">IF(ISEVEN(LEFT(AD141,4)),"Southbound","NorthBound")</f>
        <v>Southbound</v>
      </c>
      <c r="U141" s="17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49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https://search-rtdc-monitor-bjffxe2xuh6vdkpspy63sjmuny.us-east-1.es.amazonaws.com/_plugin/kibana/#/discover/Steve-Slow-Train-Analysis-(2080s-and-2083s)?_g=(refreshInterval:(display:Off,section:0,value:0),time:(from:'2016-11-10 18:49:35-700',mode:absolute,to:'2016-11-10 21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1" s="52" t="str">
        <f t="shared" ref="W141:W204" si="50">IF(AA141&lt;IF(AG141="EC",23,5.65),"Y","N")</f>
        <v>N</v>
      </c>
      <c r="X141" s="178">
        <f t="shared" si="43"/>
        <v>1</v>
      </c>
      <c r="Y141" s="67">
        <f t="shared" si="41"/>
        <v>23.295100000000001</v>
      </c>
      <c r="Z141" s="67">
        <f t="shared" si="42"/>
        <v>1.6E-2</v>
      </c>
      <c r="AA141" s="67">
        <f t="shared" ref="AA141:AA204" si="51">ABS(Z141-Y141)</f>
        <v>23.279100000000003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52">IF(LEN(A141)=6,"0"&amp;A141,A141)</f>
        <v>0222-10</v>
      </c>
      <c r="AE141" s="91" t="str">
        <f t="shared" ref="AE141:AE204" si="5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41" s="88" t="str">
        <f t="shared" ref="AF141:AF204" si="54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/stypes="app*4021*20161111*" /stext=" 03:.+((SYSTEM_STATE.+slice.+state.+changed )|(ment ac)|(system.+state.+changed )|(\[timeout)|(PRM\|1\|D)|(kpr)|(kdp)|(\|lc)|(penalty))" /e /r /s</v>
      </c>
      <c r="AG141" s="1" t="str">
        <f t="shared" ref="AG141:AG204" si="55">IFERROR(IF(VALUE(LEFT(AD141,2))&lt;=2,"EC",IF(OR(VALUE(LEFT(AD141,2))=8,VALUE(LEFT(AD141,2))=18),"NW","Other")),"Other")</f>
        <v>EC</v>
      </c>
      <c r="AH141" s="92" t="str">
        <f t="shared" si="36"/>
        <v>"%USERPROFILE%\Documents\GitHub\eaglep3\Utilities\RefineRTDCRunTimes.py" --tripid 222-10 --locoid 4021 --swversion DE.1.0.8.0 --startMP 204:232951 --initTime 2016-11-10T19:49:35 --startdatetime 2016-11-10T19:56:16 --delay 1 --endMP 204:160 --enddatetime 2016-11-10T20:37:00 --enforcementcount 0 &gt;&gt;C:\Users\stu\Documents\GitHub\eaglep3-reporting\EC\2016-11-10-refined-times.txt</v>
      </c>
      <c r="AI141" s="119" t="str">
        <f t="shared" si="37"/>
        <v>echo {"issue":{"subject":"","project_id":79,"tracker_id":40,"status_id":1,"priority_id":2,"assigned_to_id":23,"start_date":"2016-11-10","description":"","custom_fields":[{"id":1,"name":"Subdivision","value":"EC"},{"id":4,"name":"Milepost","value":"0.016"},{"id":17,"name":"Train ID","value":"222-10"},{"id":16,"name":"Locomotive ID","value":"4021"},{"id":130,"name":"Impact","value":""},{"id":150,"name":"Time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421</v>
      </c>
      <c r="B142" s="7">
        <v>4002</v>
      </c>
      <c r="C142" s="22" t="s">
        <v>226</v>
      </c>
      <c r="D142" s="22" t="s">
        <v>699</v>
      </c>
      <c r="E142" s="13">
        <v>42684.807118055556</v>
      </c>
      <c r="F142" s="13">
        <v>42684.812708333331</v>
      </c>
      <c r="G142" s="7">
        <v>1</v>
      </c>
      <c r="H142" s="22" t="s">
        <v>250</v>
      </c>
      <c r="I142" s="13">
        <v>42684.839074074072</v>
      </c>
      <c r="J142" s="7">
        <v>0</v>
      </c>
      <c r="K142" s="109" t="str">
        <f t="shared" si="46"/>
        <v>4001/4002</v>
      </c>
      <c r="L142" s="22" t="str">
        <f>VLOOKUP(A142,'Trips&amp;Operators'!$C$1:$E$10000,3,FALSE)</f>
        <v>HOLCOMB</v>
      </c>
      <c r="M142" s="6">
        <f t="shared" si="47"/>
        <v>2.6365740741312038E-2</v>
      </c>
      <c r="N142" s="7">
        <f t="shared" si="44"/>
        <v>37.966666667489335</v>
      </c>
      <c r="O142" s="7"/>
      <c r="P142" s="7"/>
      <c r="Q142" s="23"/>
      <c r="R142" s="23"/>
      <c r="S142" s="35">
        <f t="shared" si="45"/>
        <v>1</v>
      </c>
      <c r="T142" s="50" t="str">
        <f t="shared" si="48"/>
        <v>NorthBound</v>
      </c>
      <c r="U142" s="17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18:22:15-700',mode:absolute,to:'2016-11-10 21:08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2" s="52" t="str">
        <f t="shared" si="50"/>
        <v>N</v>
      </c>
      <c r="X142" s="178">
        <f t="shared" si="43"/>
        <v>1</v>
      </c>
      <c r="Y142" s="67">
        <f t="shared" si="41"/>
        <v>5.2600000000000001E-2</v>
      </c>
      <c r="Z142" s="67">
        <f t="shared" si="42"/>
        <v>23.3306</v>
      </c>
      <c r="AA142" s="67">
        <f t="shared" si="51"/>
        <v>23.277999999999999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2"/>
        <v>0223-10</v>
      </c>
      <c r="AE142" s="91" t="str">
        <f t="shared" si="53"/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42" s="88" t="str">
        <f t="shared" si="54"/>
        <v>"C:\Program Files (x86)\AstroGrep\AstroGrep.exe" /spath="%USERPROFILE%\AppData\Local\Temp\OnboardLogs" /stypes="app*4002*20161111*" /stext=" 03:.+((SYSTEM_STATE.+slice.+state.+changed )|(ment ac)|(system.+state.+changed )|(\[timeout)|(PRM\|1\|D)|(kpr)|(kdp)|(\|lc)|(penalty))" /e /r /s</v>
      </c>
      <c r="AG142" s="1" t="str">
        <f t="shared" si="55"/>
        <v>EC</v>
      </c>
      <c r="AH142" s="92" t="str">
        <f t="shared" ref="AH142:AH204" si="5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223-10 --locoid 4002 --swversion DE.1.0.8.0 --startMP 204:526 --initTime 2016-11-10T19:22:15 --startdatetime 2016-11-10T19:30:18 --delay 1 --endMP 204:233306 --enddatetime 2016-11-10T20:08:16 --enforcementcount 0 &gt;&gt;C:\Users\stu\Documents\GitHub\eaglep3-reporting\EC\2016-11-10-refined-times.txt</v>
      </c>
      <c r="AI142" s="119" t="str">
        <f t="shared" ref="AI142:AI204" si="5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{"issue":{"subject":"","project_id":79,"tracker_id":40,"status_id":1,"priority_id":2,"assigned_to_id":23,"start_date":"2016-11-10","description":"","custom_fields":[{"id":1,"name":"Subdivision","value":"EC"},{"id":4,"name":"Milepost","value":"23.3306"},{"id":17,"name":"Train ID","value":"223-10"},{"id":16,"name":"Locomotive ID","value":"4002"},{"id":130,"name":"Impact","value":""},{"id":150,"name":"Time of Event (Mountain Time)","value":"20:08:16"},{"id":151,"name":"Denver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585</v>
      </c>
      <c r="B143" s="7">
        <v>4001</v>
      </c>
      <c r="C143" s="22" t="s">
        <v>226</v>
      </c>
      <c r="D143" s="22" t="s">
        <v>251</v>
      </c>
      <c r="E143" s="13">
        <v>42684.844293981485</v>
      </c>
      <c r="F143" s="13">
        <v>42684.852303240739</v>
      </c>
      <c r="G143" s="7">
        <v>1</v>
      </c>
      <c r="H143" s="22" t="s">
        <v>269</v>
      </c>
      <c r="I143" s="13">
        <v>42684.877789351849</v>
      </c>
      <c r="J143" s="7">
        <v>0</v>
      </c>
      <c r="K143" s="109" t="str">
        <f t="shared" si="46"/>
        <v>4001/4002</v>
      </c>
      <c r="L143" s="22" t="str">
        <f>VLOOKUP(A143,'Trips&amp;Operators'!$C$1:$E$10000,3,FALSE)</f>
        <v>HOLCOMB</v>
      </c>
      <c r="M143" s="6">
        <f t="shared" si="47"/>
        <v>2.548611110978527E-2</v>
      </c>
      <c r="N143" s="7">
        <f t="shared" si="44"/>
        <v>36.699999998090789</v>
      </c>
      <c r="O143" s="7"/>
      <c r="P143" s="7"/>
      <c r="Q143" s="23"/>
      <c r="R143" s="23"/>
      <c r="S143" s="35">
        <f t="shared" si="45"/>
        <v>1</v>
      </c>
      <c r="T143" s="50" t="str">
        <f t="shared" si="48"/>
        <v>Southbound</v>
      </c>
      <c r="U143" s="17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19:15:47-700',mode:absolute,to:'2016-11-10 22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3" s="52" t="str">
        <f t="shared" si="50"/>
        <v>N</v>
      </c>
      <c r="X143" s="178">
        <f t="shared" si="43"/>
        <v>1</v>
      </c>
      <c r="Y143" s="67">
        <f t="shared" si="41"/>
        <v>23.299099999999999</v>
      </c>
      <c r="Z143" s="67">
        <f t="shared" si="42"/>
        <v>1.6899999999999998E-2</v>
      </c>
      <c r="AA143" s="67">
        <f t="shared" si="51"/>
        <v>23.2822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2"/>
        <v>0224-10</v>
      </c>
      <c r="AE143" s="91" t="str">
        <f t="shared" si="53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43" s="88" t="str">
        <f t="shared" si="54"/>
        <v>"C:\Program Files (x86)\AstroGrep\AstroGrep.exe" /spath="%USERPROFILE%\AppData\Local\Temp\OnboardLogs" /stypes="app*4001*20161111*" /stext=" 04:.+((SYSTEM_STATE.+slice.+state.+changed )|(ment ac)|(system.+state.+changed )|(\[timeout)|(PRM\|1\|D)|(kpr)|(kdp)|(\|lc)|(penalty))" /e /r /s</v>
      </c>
      <c r="AG143" s="1" t="str">
        <f t="shared" si="55"/>
        <v>EC</v>
      </c>
      <c r="AH143" s="92" t="str">
        <f t="shared" si="56"/>
        <v>"%USERPROFILE%\Documents\GitHub\eaglep3\Utilities\RefineRTDCRunTimes.py" --tripid 224-10 --locoid 4001 --swversion DE.1.0.8.0 --startMP 204:232991 --initTime 2016-11-10T20:15:47 --startdatetime 2016-11-10T20:27:19 --delay 1 --endMP 204:169 --enddatetime 2016-11-10T21:04:01 --enforcementcount 0 &gt;&gt;C:\Users\stu\Documents\GitHub\eaglep3-reporting\EC\2016-11-10-refined-times.txt</v>
      </c>
      <c r="AI143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{"issue":{"subject":"","project_id":79,"tracker_id":40,"status_id":1,"priority_id":2,"assigned_to_id":23,"start_date":"2016-11-10","description":"","custom_fields":[{"id":1,"name":"Subdivision","value":"EC"},{"id":4,"name":"Milepost","value":"0.0169"},{"id":17,"name":"Train ID","value":"224-10"},{"id":16,"name":"Locomotive ID","value":"4001"},{"id":130,"name":"Impact","value":""},{"id":150,"name":"Time of Event (Mountain Time)","value":"21:04:01"},{"id":151,"name":"Denver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422</v>
      </c>
      <c r="B144" s="7">
        <v>4038</v>
      </c>
      <c r="C144" s="22" t="s">
        <v>226</v>
      </c>
      <c r="D144" s="22" t="s">
        <v>359</v>
      </c>
      <c r="E144" s="13">
        <v>42684.829050925924</v>
      </c>
      <c r="F144" s="13">
        <v>42684.83353009259</v>
      </c>
      <c r="G144" s="7">
        <v>1</v>
      </c>
      <c r="H144" s="22" t="s">
        <v>700</v>
      </c>
      <c r="I144" s="13">
        <v>42684.858159722222</v>
      </c>
      <c r="J144" s="7">
        <v>0</v>
      </c>
      <c r="K144" s="109" t="str">
        <f t="shared" si="46"/>
        <v>4037/4038</v>
      </c>
      <c r="L144" s="22" t="str">
        <f>VLOOKUP(A144,'Trips&amp;Operators'!$C$1:$E$10000,3,FALSE)</f>
        <v>LEVIN</v>
      </c>
      <c r="M144" s="6">
        <f t="shared" si="47"/>
        <v>2.4629629631817807E-2</v>
      </c>
      <c r="N144" s="7">
        <f t="shared" si="44"/>
        <v>35.466666669817641</v>
      </c>
      <c r="O144" s="7"/>
      <c r="P144" s="7"/>
      <c r="Q144" s="23"/>
      <c r="R144" s="23"/>
      <c r="S144" s="35">
        <f t="shared" si="45"/>
        <v>1</v>
      </c>
      <c r="T144" s="50" t="str">
        <f t="shared" si="48"/>
        <v>NorthBound</v>
      </c>
      <c r="U144" s="17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18:53:50-700',mode:absolute,to:'2016-11-10 21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4" s="52" t="str">
        <f t="shared" si="50"/>
        <v>N</v>
      </c>
      <c r="X144" s="178">
        <f t="shared" si="43"/>
        <v>1</v>
      </c>
      <c r="Y144" s="67">
        <f t="shared" si="41"/>
        <v>4.24E-2</v>
      </c>
      <c r="Z144" s="67">
        <f t="shared" si="42"/>
        <v>23.332899999999999</v>
      </c>
      <c r="AA144" s="67">
        <f t="shared" si="51"/>
        <v>23.290499999999998</v>
      </c>
      <c r="AB144" s="64" t="str">
        <f>VLOOKUP(A144,Enforcements!$C$7:$K$20,8,0)</f>
        <v>Speed (6)</v>
      </c>
      <c r="AC144" s="60" t="str">
        <f>VLOOKUP(A144,Enforcements!$C$7:$E$20,3,0)</f>
        <v>PERMANENT SPEED RESTRICTION</v>
      </c>
      <c r="AD144" s="61" t="str">
        <f t="shared" si="52"/>
        <v>0225-10</v>
      </c>
      <c r="AE144" s="91" t="str">
        <f t="shared" si="53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144" s="88" t="str">
        <f t="shared" si="54"/>
        <v>"C:\Program Files (x86)\AstroGrep\AstroGrep.exe" /spath="%USERPROFILE%\AppData\Local\Temp\OnboardLogs" /stypes="app*4038*20161111*" /stext=" 03:.+((SYSTEM_STATE.+slice.+state.+changed )|(ment ac)|(system.+state.+changed )|(\[timeout)|(PRM\|1\|D)|(kpr)|(kdp)|(\|lc)|(penalty))" /e /r /s</v>
      </c>
      <c r="AG144" s="1" t="str">
        <f t="shared" si="55"/>
        <v>EC</v>
      </c>
      <c r="AH144" s="92" t="str">
        <f t="shared" si="56"/>
        <v>"%USERPROFILE%\Documents\GitHub\eaglep3\Utilities\RefineRTDCRunTimes.py" --tripid 225-10 --locoid 4038 --swversion DE.1.0.8.0 --startMP 204:424 --initTime 2016-11-10T19:53:50 --startdatetime 2016-11-10T20:00:17 --delay 1 --endMP 204:233329 --enddatetime 2016-11-10T20:35:45 --enforcementcount 0 &gt;&gt;C:\Users\stu\Documents\GitHub\eaglep3-reporting\EC\2016-11-10-refined-times.txt</v>
      </c>
      <c r="AI144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{"issue":{"subject":"","project_id":79,"tracker_id":40,"status_id":1,"priority_id":2,"assigned_to_id":23,"start_date":"2016-11-10","description":"","custom_fields":[{"id":1,"name":"Subdivision","value":"EC"},{"id":4,"name":"Milepost","value":"23.3329"},{"id":17,"name":"Train ID","value":"225-10"},{"id":16,"name":"Locomotive ID","value":"4038"},{"id":130,"name":"Impact","value":""},{"id":150,"name":"Time of Event (Mountain Time)","value":"20:35:45"},{"id":151,"name":"Denver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x14ac:dyDescent="0.25">
      <c r="A145" s="37" t="s">
        <v>589</v>
      </c>
      <c r="B145" s="7">
        <v>4037</v>
      </c>
      <c r="C145" s="22" t="s">
        <v>226</v>
      </c>
      <c r="D145" s="22" t="s">
        <v>701</v>
      </c>
      <c r="E145" s="13">
        <v>42684.869699074072</v>
      </c>
      <c r="F145" s="13">
        <v>42684.872395833336</v>
      </c>
      <c r="G145" s="7">
        <v>1</v>
      </c>
      <c r="H145" s="22" t="s">
        <v>622</v>
      </c>
      <c r="I145" s="13">
        <v>42684.898009259261</v>
      </c>
      <c r="J145" s="7">
        <v>0</v>
      </c>
      <c r="K145" s="109" t="str">
        <f t="shared" si="46"/>
        <v>4037/4038</v>
      </c>
      <c r="L145" s="22" t="str">
        <f>VLOOKUP(A145,'Trips&amp;Operators'!$C$1:$E$10000,3,FALSE)</f>
        <v>LEVIN</v>
      </c>
      <c r="M145" s="6">
        <f t="shared" si="47"/>
        <v>2.5613425925257616E-2</v>
      </c>
      <c r="N145" s="7">
        <f t="shared" si="44"/>
        <v>36.883333332370967</v>
      </c>
      <c r="O145" s="7"/>
      <c r="P145" s="7"/>
      <c r="Q145" s="23"/>
      <c r="R145" s="23"/>
      <c r="S145" s="35">
        <f t="shared" si="45"/>
        <v>1</v>
      </c>
      <c r="T145" s="50" t="str">
        <f t="shared" si="48"/>
        <v>Southbound</v>
      </c>
      <c r="U145" s="17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19:52:22-700',mode:absolute,to:'2016-11-10 22:33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5" s="52" t="str">
        <f t="shared" si="50"/>
        <v>N</v>
      </c>
      <c r="X145" s="178">
        <f t="shared" si="43"/>
        <v>1</v>
      </c>
      <c r="Y145" s="67">
        <f t="shared" si="41"/>
        <v>23.301100000000002</v>
      </c>
      <c r="Z145" s="67">
        <f t="shared" si="42"/>
        <v>1.38E-2</v>
      </c>
      <c r="AA145" s="67">
        <f t="shared" si="51"/>
        <v>23.287300000000002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2"/>
        <v>0226-10</v>
      </c>
      <c r="AE145" s="91" t="str">
        <f t="shared" si="53"/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145" s="88" t="str">
        <f t="shared" si="54"/>
        <v>"C:\Program Files (x86)\AstroGrep\AstroGrep.exe" /spath="%USERPROFILE%\AppData\Local\Temp\OnboardLogs" /stypes="app*4037*20161111*" /stext=" 04:.+((SYSTEM_STATE.+slice.+state.+changed )|(ment ac)|(system.+state.+changed )|(\[timeout)|(PRM\|1\|D)|(kpr)|(kdp)|(\|lc)|(penalty))" /e /r /s</v>
      </c>
      <c r="AG145" s="1" t="str">
        <f t="shared" si="55"/>
        <v>EC</v>
      </c>
      <c r="AH145" s="92" t="str">
        <f t="shared" si="56"/>
        <v>"%USERPROFILE%\Documents\GitHub\eaglep3\Utilities\RefineRTDCRunTimes.py" --tripid 226-10 --locoid 4037 --swversion DE.1.0.8.0 --startMP 204:233011 --initTime 2016-11-10T20:52:22 --startdatetime 2016-11-10T20:56:15 --delay 1 --endMP 204:138 --enddatetime 2016-11-10T21:33:08 --enforcementcount 0 &gt;&gt;C:\Users\stu\Documents\GitHub\eaglep3-reporting\EC\2016-11-10-refined-times.txt</v>
      </c>
      <c r="AI145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{"issue":{"subject":"","project_id":79,"tracker_id":40,"status_id":1,"priority_id":2,"assigned_to_id":23,"start_date":"2016-11-10","description":"","custom_fields":[{"id":1,"name":"Subdivision","value":"EC"},{"id":4,"name":"Milepost","value":"0.0138"},{"id":17,"name":"Train ID","value":"226-10"},{"id":16,"name":"Locomotive ID","value":"4037"},{"id":130,"name":"Impact","value":""},{"id":150,"name":"Time of Event (Mountain Time)","value":"21:33:08"},{"id":151,"name":"Denver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584</v>
      </c>
      <c r="B146" s="7">
        <v>4011</v>
      </c>
      <c r="C146" s="22" t="s">
        <v>226</v>
      </c>
      <c r="D146" s="22" t="s">
        <v>222</v>
      </c>
      <c r="E146" s="13">
        <v>42684.843055555553</v>
      </c>
      <c r="F146" s="13">
        <v>42684.854479166665</v>
      </c>
      <c r="G146" s="7">
        <v>1</v>
      </c>
      <c r="H146" s="22" t="s">
        <v>242</v>
      </c>
      <c r="I146" s="13">
        <v>42684.878553240742</v>
      </c>
      <c r="J146" s="7">
        <v>0</v>
      </c>
      <c r="K146" s="109" t="str">
        <f t="shared" si="46"/>
        <v>4011/4012</v>
      </c>
      <c r="L146" s="22" t="str">
        <f>VLOOKUP(A146,'Trips&amp;Operators'!$C$1:$E$10000,3,FALSE)</f>
        <v>STAMBAUGH</v>
      </c>
      <c r="M146" s="6">
        <f t="shared" si="47"/>
        <v>2.4074074077361729E-2</v>
      </c>
      <c r="N146" s="7">
        <f t="shared" si="44"/>
        <v>34.66666667140089</v>
      </c>
      <c r="O146" s="7"/>
      <c r="P146" s="7"/>
      <c r="Q146" s="23"/>
      <c r="R146" s="23"/>
      <c r="S146" s="35">
        <f t="shared" si="45"/>
        <v>1</v>
      </c>
      <c r="T146" s="50" t="str">
        <f t="shared" si="48"/>
        <v>NorthBound</v>
      </c>
      <c r="U146" s="17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19:14:00-700',mode:absolute,to:'2016-11-10 22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6" s="52" t="str">
        <f t="shared" si="50"/>
        <v>N</v>
      </c>
      <c r="X146" s="178">
        <f t="shared" si="43"/>
        <v>1</v>
      </c>
      <c r="Y146" s="67">
        <f t="shared" si="41"/>
        <v>4.5699999999999998E-2</v>
      </c>
      <c r="Z146" s="67">
        <f t="shared" si="42"/>
        <v>23.329799999999999</v>
      </c>
      <c r="AA146" s="67">
        <f t="shared" si="51"/>
        <v>23.284099999999999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2"/>
        <v>0227-10</v>
      </c>
      <c r="AE146" s="91" t="str">
        <f t="shared" si="53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146" s="88" t="str">
        <f t="shared" si="54"/>
        <v>"C:\Program Files (x86)\AstroGrep\AstroGrep.exe" /spath="%USERPROFILE%\AppData\Local\Temp\OnboardLogs" /stypes="app*4011*20161111*" /stext=" 04:.+((SYSTEM_STATE.+slice.+state.+changed )|(ment ac)|(system.+state.+changed )|(\[timeout)|(PRM\|1\|D)|(kpr)|(kdp)|(\|lc)|(penalty))" /e /r /s</v>
      </c>
      <c r="AG146" s="1" t="str">
        <f t="shared" si="55"/>
        <v>EC</v>
      </c>
      <c r="AH146" s="92" t="str">
        <f t="shared" si="56"/>
        <v>"%USERPROFILE%\Documents\GitHub\eaglep3\Utilities\RefineRTDCRunTimes.py" --tripid 227-10 --locoid 4011 --swversion DE.1.0.8.0 --startMP 204:457 --initTime 2016-11-10T20:14:00 --startdatetime 2016-11-10T20:30:27 --delay 1 --endMP 204:233298 --enddatetime 2016-11-10T21:05:07 --enforcementcount 0 &gt;&gt;C:\Users\stu\Documents\GitHub\eaglep3-reporting\EC\2016-11-10-refined-times.txt</v>
      </c>
      <c r="AI146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{"issue":{"subject":"","project_id":79,"tracker_id":40,"status_id":1,"priority_id":2,"assigned_to_id":23,"start_date":"2016-11-10","description":"","custom_fields":[{"id":1,"name":"Subdivision","value":"EC"},{"id":4,"name":"Milepost","value":"23.3298"},{"id":17,"name":"Train ID","value":"227-10"},{"id":16,"name":"Locomotive ID","value":"4011"},{"id":130,"name":"Impact","value":""},{"id":150,"name":"Time of Event (Mountain Time)","value":"21:05:07"},{"id":151,"name":"Denver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591</v>
      </c>
      <c r="B147" s="7">
        <v>4012</v>
      </c>
      <c r="C147" s="22" t="s">
        <v>226</v>
      </c>
      <c r="D147" s="22" t="s">
        <v>303</v>
      </c>
      <c r="E147" s="13">
        <v>42684.888518518521</v>
      </c>
      <c r="F147" s="13">
        <v>42684.893692129626</v>
      </c>
      <c r="G147" s="7">
        <v>1</v>
      </c>
      <c r="H147" s="22" t="s">
        <v>614</v>
      </c>
      <c r="I147" s="13">
        <v>42684.918923611112</v>
      </c>
      <c r="J147" s="7">
        <v>0</v>
      </c>
      <c r="K147" s="109" t="str">
        <f t="shared" si="46"/>
        <v>4011/4012</v>
      </c>
      <c r="L147" s="22" t="str">
        <f>VLOOKUP(A147,'Trips&amp;Operators'!$C$1:$E$10000,3,FALSE)</f>
        <v>STAMBAUGH</v>
      </c>
      <c r="M147" s="6">
        <f t="shared" si="47"/>
        <v>2.5231481486116536E-2</v>
      </c>
      <c r="N147" s="7">
        <f t="shared" si="44"/>
        <v>36.333333340007812</v>
      </c>
      <c r="O147" s="7"/>
      <c r="P147" s="7"/>
      <c r="Q147" s="23"/>
      <c r="R147" s="23"/>
      <c r="S147" s="35">
        <f t="shared" si="45"/>
        <v>1</v>
      </c>
      <c r="T147" s="50" t="str">
        <f t="shared" si="48"/>
        <v>Southbound</v>
      </c>
      <c r="U147" s="17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20:19:28-700',mode:absolute,to:'2016-11-10 23:03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7" s="52" t="str">
        <f t="shared" si="50"/>
        <v>N</v>
      </c>
      <c r="X147" s="178">
        <f t="shared" ref="X147:X178" si="58">VALUE(LEFT(AD147,4))-VALUE(LEFT(AD146,4))</f>
        <v>1</v>
      </c>
      <c r="Y147" s="67">
        <f t="shared" si="41"/>
        <v>23.298100000000002</v>
      </c>
      <c r="Z147" s="67">
        <f t="shared" si="42"/>
        <v>1.54E-2</v>
      </c>
      <c r="AA147" s="67">
        <f t="shared" si="51"/>
        <v>23.282700000000002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2"/>
        <v>0228-10</v>
      </c>
      <c r="AE147" s="91" t="str">
        <f t="shared" si="53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147" s="88" t="str">
        <f t="shared" si="54"/>
        <v>"C:\Program Files (x86)\AstroGrep\AstroGrep.exe" /spath="%USERPROFILE%\AppData\Local\Temp\OnboardLogs" /stypes="app*4012*20161111*" /stext=" 05:.+((SYSTEM_STATE.+slice.+state.+changed )|(ment ac)|(system.+state.+changed )|(\[timeout)|(PRM\|1\|D)|(kpr)|(kdp)|(\|lc)|(penalty))" /e /r /s</v>
      </c>
      <c r="AG147" s="1" t="str">
        <f t="shared" si="55"/>
        <v>EC</v>
      </c>
      <c r="AH147" s="92" t="str">
        <f t="shared" si="56"/>
        <v>"%USERPROFILE%\Documents\GitHub\eaglep3\Utilities\RefineRTDCRunTimes.py" --tripid 228-10 --locoid 4012 --swversion DE.1.0.8.0 --startMP 204:232981 --initTime 2016-11-10T21:19:28 --startdatetime 2016-11-10T21:26:55 --delay 1 --endMP 204:154 --enddatetime 2016-11-10T22:03:15 --enforcementcount 0 &gt;&gt;C:\Users\stu\Documents\GitHub\eaglep3-reporting\EC\2016-11-10-refined-times.txt</v>
      </c>
      <c r="AI147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{"issue":{"subject":"","project_id":79,"tracker_id":40,"status_id":1,"priority_id":2,"assigned_to_id":23,"start_date":"2016-11-10","description":"","custom_fields":[{"id":1,"name":"Subdivision","value":"EC"},{"id":4,"name":"Milepost","value":"0.0154"},{"id":17,"name":"Train ID","value":"228-10"},{"id":16,"name":"Locomotive ID","value":"4012"},{"id":130,"name":"Impact","value":""},{"id":150,"name":"Time of Event (Mountain Time)","value":"22:03:15"},{"id":151,"name":"Denver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588</v>
      </c>
      <c r="B148" s="7">
        <v>4022</v>
      </c>
      <c r="C148" s="22" t="s">
        <v>226</v>
      </c>
      <c r="D148" s="22" t="s">
        <v>264</v>
      </c>
      <c r="E148" s="13">
        <v>42684.867604166669</v>
      </c>
      <c r="F148" s="13">
        <v>42684.8752662037</v>
      </c>
      <c r="G148" s="7">
        <v>1</v>
      </c>
      <c r="H148" s="22" t="s">
        <v>231</v>
      </c>
      <c r="I148" s="13">
        <v>42684.900289351855</v>
      </c>
      <c r="J148" s="7">
        <v>0</v>
      </c>
      <c r="K148" s="109" t="str">
        <f t="shared" si="46"/>
        <v>4021/4022</v>
      </c>
      <c r="L148" s="22" t="str">
        <f>VLOOKUP(A148,'Trips&amp;Operators'!$C$1:$E$10000,3,FALSE)</f>
        <v>BADERTSCHER</v>
      </c>
      <c r="M148" s="6">
        <f t="shared" si="47"/>
        <v>2.5023148155014496E-2</v>
      </c>
      <c r="N148" s="7">
        <f t="shared" si="44"/>
        <v>36.033333343220875</v>
      </c>
      <c r="O148" s="7"/>
      <c r="P148" s="7"/>
      <c r="Q148" s="23"/>
      <c r="R148" s="23"/>
      <c r="S148" s="35">
        <f t="shared" si="45"/>
        <v>1</v>
      </c>
      <c r="T148" s="50" t="str">
        <f t="shared" si="48"/>
        <v>NorthBound</v>
      </c>
      <c r="U148" s="17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19:49:21-700',mode:absolute,to:'2016-11-10 22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8" s="52" t="str">
        <f t="shared" si="50"/>
        <v>N</v>
      </c>
      <c r="X148" s="178">
        <f t="shared" si="58"/>
        <v>1</v>
      </c>
      <c r="Y148" s="67">
        <f t="shared" si="41"/>
        <v>4.6699999999999998E-2</v>
      </c>
      <c r="Z148" s="67">
        <f t="shared" si="42"/>
        <v>23.328900000000001</v>
      </c>
      <c r="AA148" s="67">
        <f t="shared" si="51"/>
        <v>23.2822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2"/>
        <v>0229-10</v>
      </c>
      <c r="AE148" s="91" t="str">
        <f t="shared" si="53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48" s="88" t="str">
        <f t="shared" si="54"/>
        <v>"C:\Program Files (x86)\AstroGrep\AstroGrep.exe" /spath="%USERPROFILE%\AppData\Local\Temp\OnboardLogs" /stypes="app*4022*20161111*" /stext=" 04:.+((SYSTEM_STATE.+slice.+state.+changed )|(ment ac)|(system.+state.+changed )|(\[timeout)|(PRM\|1\|D)|(kpr)|(kdp)|(\|lc)|(penalty))" /e /r /s</v>
      </c>
      <c r="AG148" s="1" t="str">
        <f t="shared" si="55"/>
        <v>EC</v>
      </c>
      <c r="AH148" s="92" t="str">
        <f t="shared" si="56"/>
        <v>"%USERPROFILE%\Documents\GitHub\eaglep3\Utilities\RefineRTDCRunTimes.py" --tripid 229-10 --locoid 4022 --swversion DE.1.0.8.0 --startMP 204:467 --initTime 2016-11-10T20:49:21 --startdatetime 2016-11-10T21:00:23 --delay 1 --endMP 204:233289 --enddatetime 2016-11-10T21:36:25 --enforcementcount 0 &gt;&gt;C:\Users\stu\Documents\GitHub\eaglep3-reporting\EC\2016-11-10-refined-times.txt</v>
      </c>
      <c r="AI148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{"issue":{"subject":"","project_id":79,"tracker_id":40,"status_id":1,"priority_id":2,"assigned_to_id":23,"start_date":"2016-11-10","description":"","custom_fields":[{"id":1,"name":"Subdivision","value":"EC"},{"id":4,"name":"Milepost","value":"23.3289"},{"id":17,"name":"Train ID","value":"229-10"},{"id":16,"name":"Locomotive ID","value":"4022"},{"id":130,"name":"Impact","value":""},{"id":150,"name":"Time of Event (Mountain Time)","value":"21:36:25"},{"id":151,"name":"Denver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593</v>
      </c>
      <c r="B149" s="7">
        <v>4021</v>
      </c>
      <c r="C149" s="22" t="s">
        <v>226</v>
      </c>
      <c r="D149" s="22" t="s">
        <v>303</v>
      </c>
      <c r="E149" s="13">
        <v>42684.909814814811</v>
      </c>
      <c r="F149" s="13">
        <v>42684.914131944446</v>
      </c>
      <c r="G149" s="7">
        <v>1</v>
      </c>
      <c r="H149" s="22" t="s">
        <v>269</v>
      </c>
      <c r="I149" s="13">
        <v>42684.941157407404</v>
      </c>
      <c r="J149" s="7">
        <v>0</v>
      </c>
      <c r="K149" s="109" t="str">
        <f t="shared" si="46"/>
        <v>4021/4022</v>
      </c>
      <c r="L149" s="22" t="str">
        <f>VLOOKUP(A149,'Trips&amp;Operators'!$C$1:$E$10000,3,FALSE)</f>
        <v>BADERTSCHER</v>
      </c>
      <c r="M149" s="6">
        <f t="shared" si="47"/>
        <v>2.7025462957681157E-2</v>
      </c>
      <c r="N149" s="7">
        <f t="shared" si="44"/>
        <v>38.916666659060866</v>
      </c>
      <c r="O149" s="7"/>
      <c r="P149" s="7"/>
      <c r="Q149" s="23"/>
      <c r="R149" s="23"/>
      <c r="S149" s="35">
        <f t="shared" si="45"/>
        <v>1</v>
      </c>
      <c r="T149" s="50" t="str">
        <f t="shared" si="48"/>
        <v>Southbound</v>
      </c>
      <c r="U149" s="17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20:50:08-700',mode:absolute,to:'2016-11-10 23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9" s="52" t="str">
        <f t="shared" si="50"/>
        <v>N</v>
      </c>
      <c r="X149" s="178">
        <f t="shared" si="58"/>
        <v>1</v>
      </c>
      <c r="Y149" s="67">
        <f t="shared" si="41"/>
        <v>23.298100000000002</v>
      </c>
      <c r="Z149" s="67">
        <f t="shared" si="42"/>
        <v>1.6899999999999998E-2</v>
      </c>
      <c r="AA149" s="67">
        <f t="shared" si="51"/>
        <v>23.281200000000002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2"/>
        <v>0230-10</v>
      </c>
      <c r="AE149" s="91" t="str">
        <f t="shared" si="53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49" s="88" t="str">
        <f t="shared" si="54"/>
        <v>"C:\Program Files (x86)\AstroGrep\AstroGrep.exe" /spath="%USERPROFILE%\AppData\Local\Temp\OnboardLogs" /stypes="app*4021*20161111*" /stext=" 05:.+((SYSTEM_STATE.+slice.+state.+changed )|(ment ac)|(system.+state.+changed )|(\[timeout)|(PRM\|1\|D)|(kpr)|(kdp)|(\|lc)|(penalty))" /e /r /s</v>
      </c>
      <c r="AG149" s="1" t="str">
        <f t="shared" si="55"/>
        <v>EC</v>
      </c>
      <c r="AH149" s="92" t="str">
        <f t="shared" si="56"/>
        <v>"%USERPROFILE%\Documents\GitHub\eaglep3\Utilities\RefineRTDCRunTimes.py" --tripid 230-10 --locoid 4021 --swversion DE.1.0.8.0 --startMP 204:232981 --initTime 2016-11-10T21:50:08 --startdatetime 2016-11-10T21:56:21 --delay 1 --endMP 204:169 --enddatetime 2016-11-10T22:35:16 --enforcementcount 0 &gt;&gt;C:\Users\stu\Documents\GitHub\eaglep3-reporting\EC\2016-11-10-refined-times.txt</v>
      </c>
      <c r="AI149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{"issue":{"subject":"","project_id":79,"tracker_id":40,"status_id":1,"priority_id":2,"assigned_to_id":23,"start_date":"2016-11-10","description":"","custom_fields":[{"id":1,"name":"Subdivision","value":"EC"},{"id":4,"name":"Milepost","value":"0.0169"},{"id":17,"name":"Train ID","value":"230-10"},{"id":16,"name":"Locomotive ID","value":"4021"},{"id":130,"name":"Impact","value":""},{"id":150,"name":"Time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590</v>
      </c>
      <c r="B150" s="7">
        <v>4002</v>
      </c>
      <c r="C150" s="22" t="s">
        <v>226</v>
      </c>
      <c r="D150" s="22" t="s">
        <v>343</v>
      </c>
      <c r="E150" s="13">
        <v>42684.885000000002</v>
      </c>
      <c r="F150" s="13">
        <v>42684.896157407406</v>
      </c>
      <c r="G150" s="7">
        <v>1</v>
      </c>
      <c r="H150" s="22" t="s">
        <v>300</v>
      </c>
      <c r="I150" s="13">
        <v>42684.921817129631</v>
      </c>
      <c r="J150" s="7">
        <v>0</v>
      </c>
      <c r="K150" s="109" t="str">
        <f t="shared" si="46"/>
        <v>4001/4002</v>
      </c>
      <c r="L150" s="22" t="str">
        <f>VLOOKUP(A150,'Trips&amp;Operators'!$C$1:$E$10000,3,FALSE)</f>
        <v>HOLCOMB</v>
      </c>
      <c r="M150" s="6">
        <f t="shared" si="47"/>
        <v>2.5659722225100268E-2</v>
      </c>
      <c r="N150" s="7">
        <f t="shared" si="44"/>
        <v>36.950000004144385</v>
      </c>
      <c r="O150" s="7"/>
      <c r="P150" s="7"/>
      <c r="Q150" s="23"/>
      <c r="R150" s="23"/>
      <c r="S150" s="35">
        <f t="shared" si="45"/>
        <v>1</v>
      </c>
      <c r="T150" s="50" t="str">
        <f t="shared" si="48"/>
        <v>NorthBound</v>
      </c>
      <c r="U150" s="17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20:14:24-700',mode:absolute,to:'2016-11-10 23:07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0" s="52" t="str">
        <f t="shared" si="50"/>
        <v>N</v>
      </c>
      <c r="X150" s="178">
        <f t="shared" si="58"/>
        <v>1</v>
      </c>
      <c r="Y150" s="67">
        <f t="shared" si="41"/>
        <v>4.7300000000000002E-2</v>
      </c>
      <c r="Z150" s="67">
        <f t="shared" si="42"/>
        <v>23.330200000000001</v>
      </c>
      <c r="AA150" s="67">
        <f t="shared" si="51"/>
        <v>23.282900000000001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52"/>
        <v>0231-10</v>
      </c>
      <c r="AE150" s="91" t="str">
        <f t="shared" si="53"/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50" s="88" t="str">
        <f t="shared" si="54"/>
        <v>"C:\Program Files (x86)\AstroGrep\AstroGrep.exe" /spath="%USERPROFILE%\AppData\Local\Temp\OnboardLogs" /stypes="app*4002*20161111*" /stext=" 05:.+((SYSTEM_STATE.+slice.+state.+changed )|(ment ac)|(system.+state.+changed )|(\[timeout)|(PRM\|1\|D)|(kpr)|(kdp)|(\|lc)|(penalty))" /e /r /s</v>
      </c>
      <c r="AG150" s="1" t="str">
        <f t="shared" si="55"/>
        <v>EC</v>
      </c>
      <c r="AH150" s="92" t="str">
        <f t="shared" si="56"/>
        <v>"%USERPROFILE%\Documents\GitHub\eaglep3\Utilities\RefineRTDCRunTimes.py" --tripid 231-10 --locoid 4002 --swversion DE.1.0.8.0 --startMP 204:473 --initTime 2016-11-10T21:14:24 --startdatetime 2016-11-10T21:30:28 --delay 1 --endMP 204:233302 --enddatetime 2016-11-10T22:07:25 --enforcementcount 0 &gt;&gt;C:\Users\stu\Documents\GitHub\eaglep3-reporting\EC\2016-11-10-refined-times.txt</v>
      </c>
      <c r="AI150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{"issue":{"subject":"","project_id":79,"tracker_id":40,"status_id":1,"priority_id":2,"assigned_to_id":23,"start_date":"2016-11-10","description":"","custom_fields":[{"id":1,"name":"Subdivision","value":"EC"},{"id":4,"name":"Milepost","value":"23.3302"},{"id":17,"name":"Train ID","value":"231-10"},{"id":16,"name":"Locomotive ID","value":"4002"},{"id":130,"name":"Impact","value":""},{"id":150,"name":"Time of Event (Mountain Time)","value":"22:07:25"},{"id":151,"name":"Denver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424</v>
      </c>
      <c r="B151" s="7">
        <v>4001</v>
      </c>
      <c r="C151" s="22" t="s">
        <v>226</v>
      </c>
      <c r="D151" s="22" t="s">
        <v>347</v>
      </c>
      <c r="E151" s="13">
        <v>42684.923368055555</v>
      </c>
      <c r="F151" s="13">
        <v>42684.935277777775</v>
      </c>
      <c r="G151" s="7">
        <v>1</v>
      </c>
      <c r="H151" s="22" t="s">
        <v>622</v>
      </c>
      <c r="I151" s="13">
        <v>42684.961215277777</v>
      </c>
      <c r="J151" s="7">
        <v>0</v>
      </c>
      <c r="K151" s="109" t="str">
        <f t="shared" si="46"/>
        <v>4001/4002</v>
      </c>
      <c r="L151" s="22" t="str">
        <f>VLOOKUP(A151,'Trips&amp;Operators'!$C$1:$E$10000,3,FALSE)</f>
        <v>HOLCOMB</v>
      </c>
      <c r="M151" s="6">
        <f t="shared" si="47"/>
        <v>2.5937500002328306E-2</v>
      </c>
      <c r="N151" s="7">
        <f t="shared" si="44"/>
        <v>37.350000003352761</v>
      </c>
      <c r="O151" s="7"/>
      <c r="P151" s="7"/>
      <c r="Q151" s="23"/>
      <c r="R151" s="23"/>
      <c r="S151" s="35">
        <f t="shared" si="45"/>
        <v>1</v>
      </c>
      <c r="T151" s="50" t="str">
        <f t="shared" si="48"/>
        <v>Southbound</v>
      </c>
      <c r="U151" s="17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21:09:39-700',mode:absolute,to:'2016-11-11 00:04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1" s="52" t="str">
        <f t="shared" si="50"/>
        <v>N</v>
      </c>
      <c r="X151" s="178">
        <f t="shared" si="58"/>
        <v>1</v>
      </c>
      <c r="Y151" s="67">
        <f t="shared" si="41"/>
        <v>23.299299999999999</v>
      </c>
      <c r="Z151" s="67">
        <f t="shared" si="42"/>
        <v>1.38E-2</v>
      </c>
      <c r="AA151" s="67">
        <f t="shared" si="51"/>
        <v>23.285499999999999</v>
      </c>
      <c r="AB151" s="64" t="str">
        <f>VLOOKUP(A151,Enforcements!$C$7:$K$20,8,0)</f>
        <v>Bulletin (2)</v>
      </c>
      <c r="AC151" s="60" t="str">
        <f>VLOOKUP(A151,Enforcements!$C$7:$E$20,3,0)</f>
        <v>GRADE CROSSING</v>
      </c>
      <c r="AD151" s="61" t="str">
        <f t="shared" si="52"/>
        <v>0232-10</v>
      </c>
      <c r="AE151" s="91" t="str">
        <f t="shared" si="53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51" s="88" t="str">
        <f t="shared" si="54"/>
        <v>"C:\Program Files (x86)\AstroGrep\AstroGrep.exe" /spath="%USERPROFILE%\AppData\Local\Temp\OnboardLogs" /stypes="app*4001*20161111*" /stext=" 06:.+((SYSTEM_STATE.+slice.+state.+changed )|(ment ac)|(system.+state.+changed )|(\[timeout)|(PRM\|1\|D)|(kpr)|(kdp)|(\|lc)|(penalty))" /e /r /s</v>
      </c>
      <c r="AG151" s="1" t="str">
        <f t="shared" si="55"/>
        <v>EC</v>
      </c>
      <c r="AH151" s="92" t="str">
        <f t="shared" si="56"/>
        <v>"%USERPROFILE%\Documents\GitHub\eaglep3\Utilities\RefineRTDCRunTimes.py" --tripid 232-10 --locoid 4001 --swversion DE.1.0.8.0 --startMP 204:232993 --initTime 2016-11-10T22:09:39 --startdatetime 2016-11-10T22:26:48 --delay 1 --endMP 204:138 --enddatetime 2016-11-10T23:04:09 --enforcementcount 0 &gt;&gt;C:\Users\stu\Documents\GitHub\eaglep3-reporting\EC\2016-11-10-refined-times.txt</v>
      </c>
      <c r="AI151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{"issue":{"subject":"","project_id":79,"tracker_id":40,"status_id":1,"priority_id":2,"assigned_to_id":23,"start_date":"2016-11-10","description":"","custom_fields":[{"id":1,"name":"Subdivision","value":"EC"},{"id":4,"name":"Milepost","value":"0.0138"},{"id":17,"name":"Train ID","value":"232-10"},{"id":16,"name":"Locomotive ID","value":"4001"},{"id":130,"name":"Impact","value":""},{"id":150,"name":"Time of Event (Mountain Time)","value":"23:04:09"},{"id":151,"name":"Denver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594</v>
      </c>
      <c r="B152" s="7">
        <v>4038</v>
      </c>
      <c r="C152" s="22" t="s">
        <v>226</v>
      </c>
      <c r="D152" s="22" t="s">
        <v>682</v>
      </c>
      <c r="E152" s="13">
        <v>42684.913611111115</v>
      </c>
      <c r="F152" s="13">
        <v>42684.916863425926</v>
      </c>
      <c r="G152" s="7">
        <v>1</v>
      </c>
      <c r="H152" s="22" t="s">
        <v>350</v>
      </c>
      <c r="I152" s="13">
        <v>42684.941319444442</v>
      </c>
      <c r="J152" s="7">
        <v>0</v>
      </c>
      <c r="K152" s="109" t="str">
        <f t="shared" si="46"/>
        <v>4037/4038</v>
      </c>
      <c r="L152" s="22" t="str">
        <f>VLOOKUP(A152,'Trips&amp;Operators'!$C$1:$E$10000,3,FALSE)</f>
        <v>LEVIN</v>
      </c>
      <c r="M152" s="6">
        <f t="shared" si="47"/>
        <v>2.4456018516502809E-2</v>
      </c>
      <c r="N152" s="7">
        <f t="shared" si="44"/>
        <v>35.216666663764045</v>
      </c>
      <c r="O152" s="7"/>
      <c r="P152" s="7"/>
      <c r="Q152" s="23"/>
      <c r="R152" s="23"/>
      <c r="S152" s="35">
        <f t="shared" si="45"/>
        <v>1</v>
      </c>
      <c r="T152" s="50" t="str">
        <f t="shared" si="48"/>
        <v>NorthBound</v>
      </c>
      <c r="U152" s="17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20:55:36-700',mode:absolute,to:'2016-11-10 23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2" s="52" t="str">
        <f t="shared" si="50"/>
        <v>N</v>
      </c>
      <c r="X152" s="178">
        <f t="shared" si="58"/>
        <v>1</v>
      </c>
      <c r="Y152" s="67">
        <f t="shared" si="41"/>
        <v>4.4900000000000002E-2</v>
      </c>
      <c r="Z152" s="67">
        <f t="shared" si="42"/>
        <v>23.332699999999999</v>
      </c>
      <c r="AA152" s="67">
        <f t="shared" si="51"/>
        <v>23.287800000000001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2"/>
        <v>0233-10</v>
      </c>
      <c r="AE152" s="91" t="str">
        <f t="shared" si="53"/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152" s="88" t="str">
        <f t="shared" si="54"/>
        <v>"C:\Program Files (x86)\AstroGrep\AstroGrep.exe" /spath="%USERPROFILE%\AppData\Local\Temp\OnboardLogs" /stypes="app*4038*20161111*" /stext=" 05:.+((SYSTEM_STATE.+slice.+state.+changed )|(ment ac)|(system.+state.+changed )|(\[timeout)|(PRM\|1\|D)|(kpr)|(kdp)|(\|lc)|(penalty))" /e /r /s</v>
      </c>
      <c r="AG152" s="1" t="str">
        <f t="shared" si="55"/>
        <v>EC</v>
      </c>
      <c r="AH152" s="92" t="str">
        <f t="shared" si="56"/>
        <v>"%USERPROFILE%\Documents\GitHub\eaglep3\Utilities\RefineRTDCRunTimes.py" --tripid 233-10 --locoid 4038 --swversion DE.1.0.8.0 --startMP 204:449 --initTime 2016-11-10T21:55:36 --startdatetime 2016-11-10T22:00:17 --delay 1 --endMP 204:233327 --enddatetime 2016-11-10T22:35:30 --enforcementcount 0 &gt;&gt;C:\Users\stu\Documents\GitHub\eaglep3-reporting\EC\2016-11-10-refined-times.txt</v>
      </c>
      <c r="AI152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{"issue":{"subject":"","project_id":79,"tracker_id":40,"status_id":1,"priority_id":2,"assigned_to_id":23,"start_date":"2016-11-10","description":"","custom_fields":[{"id":1,"name":"Subdivision","value":"EC"},{"id":4,"name":"Milepost","value":"23.3327"},{"id":17,"name":"Train ID","value":"233-10"},{"id":16,"name":"Locomotive ID","value":"4038"},{"id":130,"name":"Impact","value":""},{"id":150,"name":"Time of Event (Mountain Time)","value":"22:35:30"},{"id":151,"name":"Denver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598</v>
      </c>
      <c r="B153" s="7">
        <v>4037</v>
      </c>
      <c r="C153" s="22" t="s">
        <v>226</v>
      </c>
      <c r="D153" s="22" t="s">
        <v>702</v>
      </c>
      <c r="E153" s="13">
        <v>42684.94903935185</v>
      </c>
      <c r="F153" s="13">
        <v>42684.955879629626</v>
      </c>
      <c r="G153" s="7">
        <v>0</v>
      </c>
      <c r="H153" s="22" t="s">
        <v>703</v>
      </c>
      <c r="I153" s="13">
        <v>42684.98170138889</v>
      </c>
      <c r="J153" s="7">
        <v>0</v>
      </c>
      <c r="K153" s="109" t="str">
        <f t="shared" si="46"/>
        <v>4037/4038</v>
      </c>
      <c r="L153" s="22" t="str">
        <f>VLOOKUP(A153,'Trips&amp;Operators'!$C$1:$E$10000,3,FALSE)</f>
        <v>LEVIN</v>
      </c>
      <c r="M153" s="6">
        <f t="shared" si="47"/>
        <v>2.5821759263635613E-2</v>
      </c>
      <c r="N153" s="7">
        <f t="shared" si="44"/>
        <v>37.183333339635283</v>
      </c>
      <c r="O153" s="7"/>
      <c r="P153" s="7"/>
      <c r="Q153" s="23"/>
      <c r="R153" s="23"/>
      <c r="S153" s="35">
        <f t="shared" si="45"/>
        <v>1</v>
      </c>
      <c r="T153" s="50" t="str">
        <f t="shared" si="48"/>
        <v>Southbound</v>
      </c>
      <c r="U153" s="17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21:46:37-700',mode:absolute,to:'2016-11-11 00:33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3" s="52" t="str">
        <f t="shared" si="50"/>
        <v>N</v>
      </c>
      <c r="X153" s="178">
        <f t="shared" si="58"/>
        <v>1</v>
      </c>
      <c r="Y153" s="67">
        <f t="shared" si="41"/>
        <v>23.300799999999999</v>
      </c>
      <c r="Z153" s="67">
        <f t="shared" si="42"/>
        <v>1.23E-2</v>
      </c>
      <c r="AA153" s="67">
        <f t="shared" si="51"/>
        <v>23.288499999999999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2"/>
        <v>0234-10</v>
      </c>
      <c r="AE153" s="91" t="str">
        <f t="shared" si="53"/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153" s="88" t="str">
        <f t="shared" si="54"/>
        <v>"C:\Program Files (x86)\AstroGrep\AstroGrep.exe" /spath="%USERPROFILE%\AppData\Local\Temp\OnboardLogs" /stypes="app*4037*20161111*" /stext=" 06:.+((SYSTEM_STATE.+slice.+state.+changed )|(ment ac)|(system.+state.+changed )|(\[timeout)|(PRM\|1\|D)|(kpr)|(kdp)|(\|lc)|(penalty))" /e /r /s</v>
      </c>
      <c r="AG153" s="1" t="str">
        <f t="shared" si="55"/>
        <v>EC</v>
      </c>
      <c r="AH153" s="92" t="str">
        <f t="shared" si="56"/>
        <v>"%USERPROFILE%\Documents\GitHub\eaglep3\Utilities\RefineRTDCRunTimes.py" --tripid 234-10 --locoid 4037 --swversion DE.1.0.8.0 --startMP 204:233008 --initTime 2016-11-10T22:46:37 --startdatetime 2016-11-10T22:56:28 --delay 0 --endMP 204:123 --enddatetime 2016-11-10T23:33:39 --enforcementcount 0 &gt;&gt;C:\Users\stu\Documents\GitHub\eaglep3-reporting\EC\2016-11-10-refined-times.txt</v>
      </c>
      <c r="AI153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{"issue":{"subject":"","project_id":79,"tracker_id":40,"status_id":1,"priority_id":2,"assigned_to_id":23,"start_date":"2016-11-10","description":"","custom_fields":[{"id":1,"name":"Subdivision","value":"EC"},{"id":4,"name":"Milepost","value":"0.0123"},{"id":17,"name":"Train ID","value":"234-10"},{"id":16,"name":"Locomotive ID","value":"4037"},{"id":130,"name":"Impact","value":""},{"id":150,"name":"Time of Event (Mountain Time)","value":"23:33:39"},{"id":151,"name":"Denver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596</v>
      </c>
      <c r="B154" s="7">
        <v>4011</v>
      </c>
      <c r="C154" s="22" t="s">
        <v>226</v>
      </c>
      <c r="D154" s="22" t="s">
        <v>204</v>
      </c>
      <c r="E154" s="13">
        <v>42684.933611111112</v>
      </c>
      <c r="F154" s="13">
        <v>42684.937731481485</v>
      </c>
      <c r="G154" s="7">
        <v>3</v>
      </c>
      <c r="H154" s="22" t="s">
        <v>250</v>
      </c>
      <c r="I154" s="13">
        <v>42684.96193287037</v>
      </c>
      <c r="J154" s="7">
        <v>0</v>
      </c>
      <c r="K154" s="109" t="str">
        <f t="shared" si="46"/>
        <v>4011/4012</v>
      </c>
      <c r="L154" s="22" t="str">
        <f>VLOOKUP(A154,'Trips&amp;Operators'!$C$1:$E$10000,3,FALSE)</f>
        <v>STAMBAUGH</v>
      </c>
      <c r="M154" s="6">
        <f t="shared" si="47"/>
        <v>2.4201388885558117E-2</v>
      </c>
      <c r="N154" s="7">
        <f t="shared" si="44"/>
        <v>34.849999995203689</v>
      </c>
      <c r="O154" s="7"/>
      <c r="P154" s="7"/>
      <c r="Q154" s="23"/>
      <c r="R154" s="23"/>
      <c r="S154" s="35">
        <f t="shared" si="45"/>
        <v>1</v>
      </c>
      <c r="T154" s="50" t="str">
        <f t="shared" si="48"/>
        <v>NorthBound</v>
      </c>
      <c r="U154" s="17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21:24:24-700',mode:absolute,to:'2016-11-11 00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4" s="52" t="str">
        <f t="shared" si="50"/>
        <v>N</v>
      </c>
      <c r="X154" s="178">
        <f t="shared" si="58"/>
        <v>1</v>
      </c>
      <c r="Y154" s="67">
        <f t="shared" si="41"/>
        <v>4.5999999999999999E-2</v>
      </c>
      <c r="Z154" s="67">
        <f t="shared" si="42"/>
        <v>23.3306</v>
      </c>
      <c r="AA154" s="67">
        <f t="shared" si="51"/>
        <v>23.284600000000001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52"/>
        <v>0235-10</v>
      </c>
      <c r="AE154" s="91" t="str">
        <f t="shared" si="53"/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154" s="88" t="str">
        <f t="shared" si="54"/>
        <v>"C:\Program Files (x86)\AstroGrep\AstroGrep.exe" /spath="%USERPROFILE%\AppData\Local\Temp\OnboardLogs" /stypes="app*4011*20161111*" /stext=" 06:.+((SYSTEM_STATE.+slice.+state.+changed )|(ment ac)|(system.+state.+changed )|(\[timeout)|(PRM\|1\|D)|(kpr)|(kdp)|(\|lc)|(penalty))" /e /r /s</v>
      </c>
      <c r="AG154" s="1" t="str">
        <f t="shared" si="55"/>
        <v>EC</v>
      </c>
      <c r="AH154" s="92" t="str">
        <f t="shared" si="56"/>
        <v>"%USERPROFILE%\Documents\GitHub\eaglep3\Utilities\RefineRTDCRunTimes.py" --tripid 235-10 --locoid 4011 --swversion DE.1.0.8.0 --startMP 204:460 --initTime 2016-11-10T22:24:24 --startdatetime 2016-11-10T22:30:20 --delay 3 --endMP 204:233306 --enddatetime 2016-11-10T23:05:11 --enforcementcount 0 &gt;&gt;C:\Users\stu\Documents\GitHub\eaglep3-reporting\EC\2016-11-10-refined-times.txt</v>
      </c>
      <c r="AI154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{"issue":{"subject":"","project_id":79,"tracker_id":40,"status_id":1,"priority_id":2,"assigned_to_id":23,"start_date":"2016-11-10","description":"","custom_fields":[{"id":1,"name":"Subdivision","value":"EC"},{"id":4,"name":"Milepost","value":"23.3306"},{"id":17,"name":"Train ID","value":"235-10"},{"id":16,"name":"Locomotive ID","value":"4011"},{"id":130,"name":"Impact","value":""},{"id":150,"name":"Time of Event (Mountain Time)","value":"23:05:11"},{"id":151,"name":"Denver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425</v>
      </c>
      <c r="B155" s="7">
        <v>4012</v>
      </c>
      <c r="C155" s="22" t="s">
        <v>226</v>
      </c>
      <c r="D155" s="22" t="s">
        <v>251</v>
      </c>
      <c r="E155" s="13">
        <v>42684.971319444441</v>
      </c>
      <c r="F155" s="13">
        <v>42684.977303240739</v>
      </c>
      <c r="G155" s="7">
        <v>3</v>
      </c>
      <c r="H155" s="22" t="s">
        <v>258</v>
      </c>
      <c r="I155" s="13">
        <v>42685.008113425924</v>
      </c>
      <c r="J155" s="7">
        <v>0</v>
      </c>
      <c r="K155" s="109" t="str">
        <f t="shared" si="46"/>
        <v>4011/4012</v>
      </c>
      <c r="L155" s="22" t="str">
        <f>VLOOKUP(A155,'Trips&amp;Operators'!$C$1:$E$10000,3,FALSE)</f>
        <v>STAMBAUGH</v>
      </c>
      <c r="M155" s="6">
        <f t="shared" si="47"/>
        <v>3.0810185184236616E-2</v>
      </c>
      <c r="N155" s="7">
        <f t="shared" si="44"/>
        <v>44.366666665300727</v>
      </c>
      <c r="O155" s="7"/>
      <c r="P155" s="7"/>
      <c r="Q155" s="23"/>
      <c r="R155" s="23"/>
      <c r="S155" s="35">
        <f t="shared" si="45"/>
        <v>1</v>
      </c>
      <c r="T155" s="50" t="str">
        <f t="shared" si="48"/>
        <v>Southbound</v>
      </c>
      <c r="U155" s="17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22:18:42-700',mode:absolute,to:'2016-11-11 01:11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5" s="52" t="str">
        <f t="shared" si="50"/>
        <v>N</v>
      </c>
      <c r="X155" s="178">
        <f t="shared" si="58"/>
        <v>1</v>
      </c>
      <c r="Y155" s="67">
        <f t="shared" si="41"/>
        <v>23.299099999999999</v>
      </c>
      <c r="Z155" s="67">
        <f t="shared" si="42"/>
        <v>1.4999999999999999E-2</v>
      </c>
      <c r="AA155" s="67">
        <f t="shared" si="51"/>
        <v>23.284099999999999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2"/>
        <v>0236-10</v>
      </c>
      <c r="AE155" s="91" t="str">
        <f t="shared" si="53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155" s="88" t="str">
        <f t="shared" si="54"/>
        <v>"C:\Program Files (x86)\AstroGrep\AstroGrep.exe" /spath="%USERPROFILE%\AppData\Local\Temp\OnboardLogs" /stypes="app*4012*20161111*" /stext=" 07:.+((SYSTEM_STATE.+slice.+state.+changed )|(ment ac)|(system.+state.+changed )|(\[timeout)|(PRM\|1\|D)|(kpr)|(kdp)|(\|lc)|(penalty))" /e /r /s</v>
      </c>
      <c r="AG155" s="1" t="str">
        <f t="shared" si="55"/>
        <v>EC</v>
      </c>
      <c r="AH155" s="92" t="str">
        <f t="shared" si="56"/>
        <v>"%USERPROFILE%\Documents\GitHub\eaglep3\Utilities\RefineRTDCRunTimes.py" --tripid 236-10 --locoid 4012 --swversion DE.1.0.8.0 --startMP 204:232991 --initTime 2016-11-10T23:18:42 --startdatetime 2016-11-10T23:27:19 --delay 3 --endMP 204:150 --enddatetime 2016-11-11T00:11:41 --enforcementcount 0 &gt;&gt;C:\Users\stu\Documents\GitHub\eaglep3-reporting\EC\2016-11-10-refined-times.txt</v>
      </c>
      <c r="AI155" s="119" t="str">
        <f t="shared" si="57"/>
        <v>echo {"issue":{"subject":"","project_id":79,"tracker_id":40,"status_id":1,"priority_id":2,"assigned_to_id":23,"start_date":"2016-11-11","description":"","custom_fields":[{"id":1,"name":"Subdivision","value":"EC"},{"id":4,"name":"Milepost","value":"0.015"},{"id":17,"name":"Train ID","value":"236-10"},{"id":16,"name":"Locomotive ID","value":"4012"},{"id":130,"name":"Impact","value":""},{"id":150,"name":"Time of Event (Mountain Time)","value":"00:11:41"},{"id":151,"name":"Denver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599</v>
      </c>
      <c r="B156" s="7">
        <v>4022</v>
      </c>
      <c r="C156" s="22" t="s">
        <v>226</v>
      </c>
      <c r="D156" s="22" t="s">
        <v>267</v>
      </c>
      <c r="E156" s="13">
        <v>42684.950694444444</v>
      </c>
      <c r="F156" s="13">
        <v>42684.958645833336</v>
      </c>
      <c r="G156" s="7">
        <v>1</v>
      </c>
      <c r="H156" s="22" t="s">
        <v>345</v>
      </c>
      <c r="I156" s="13">
        <v>42684.984490740739</v>
      </c>
      <c r="J156" s="7">
        <v>0</v>
      </c>
      <c r="K156" s="109" t="str">
        <f t="shared" si="46"/>
        <v>4021/4022</v>
      </c>
      <c r="L156" s="22" t="str">
        <f>VLOOKUP(A156,'Trips&amp;Operators'!$C$1:$E$10000,3,FALSE)</f>
        <v>BADERTSCHER</v>
      </c>
      <c r="M156" s="6">
        <f t="shared" si="47"/>
        <v>2.5844907402643003E-2</v>
      </c>
      <c r="N156" s="7">
        <f t="shared" si="44"/>
        <v>37.216666659805924</v>
      </c>
      <c r="O156" s="7"/>
      <c r="P156" s="7"/>
      <c r="Q156" s="23"/>
      <c r="R156" s="23"/>
      <c r="S156" s="35">
        <f t="shared" si="45"/>
        <v>1</v>
      </c>
      <c r="T156" s="50" t="str">
        <f t="shared" si="48"/>
        <v>NorthBound</v>
      </c>
      <c r="U156" s="17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21:49:00-700',mode:absolute,to:'2016-11-11 00:37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6" s="52" t="str">
        <f t="shared" si="50"/>
        <v>N</v>
      </c>
      <c r="X156" s="178">
        <f t="shared" si="58"/>
        <v>1</v>
      </c>
      <c r="Y156" s="67">
        <f t="shared" si="41"/>
        <v>4.3999999999999997E-2</v>
      </c>
      <c r="Z156" s="67">
        <f t="shared" si="42"/>
        <v>23.330400000000001</v>
      </c>
      <c r="AA156" s="67">
        <f t="shared" si="51"/>
        <v>23.2864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52"/>
        <v>0237-10</v>
      </c>
      <c r="AE156" s="91" t="str">
        <f t="shared" si="53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56" s="88" t="str">
        <f t="shared" si="54"/>
        <v>"C:\Program Files (x86)\AstroGrep\AstroGrep.exe" /spath="%USERPROFILE%\AppData\Local\Temp\OnboardLogs" /stypes="app*4022*20161111*" /stext=" 06:.+((SYSTEM_STATE.+slice.+state.+changed )|(ment ac)|(system.+state.+changed )|(\[timeout)|(PRM\|1\|D)|(kpr)|(kdp)|(\|lc)|(penalty))" /e /r /s</v>
      </c>
      <c r="AG156" s="1" t="str">
        <f t="shared" si="55"/>
        <v>EC</v>
      </c>
      <c r="AH156" s="92" t="str">
        <f t="shared" si="56"/>
        <v>"%USERPROFILE%\Documents\GitHub\eaglep3\Utilities\RefineRTDCRunTimes.py" --tripid 237-10 --locoid 4022 --swversion DE.1.0.8.0 --startMP 204:440 --initTime 2016-11-10T22:49:00 --startdatetime 2016-11-10T23:00:27 --delay 1 --endMP 204:233304 --enddatetime 2016-11-10T23:37:40 --enforcementcount 0 &gt;&gt;C:\Users\stu\Documents\GitHub\eaglep3-reporting\EC\2016-11-10-refined-times.txt</v>
      </c>
      <c r="AI156" s="119" t="str">
        <f t="shared" si="57"/>
        <v>echo {"issue":{"subject":"","project_id":79,"tracker_id":40,"status_id":1,"priority_id":2,"assigned_to_id":23,"start_date":"2016-11-10","description":"","custom_fields":[{"id":1,"name":"Subdivision","value":"EC"},{"id":4,"name":"Milepost","value":"23.3304"},{"id":17,"name":"Train ID","value":"237-10"},{"id":16,"name":"Locomotive ID","value":"4022"},{"id":130,"name":"Impact","value":""},{"id":150,"name":"Time of Event (Mountain Time)","value":"23:37:40"},{"id":151,"name":"Denver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600</v>
      </c>
      <c r="B157" s="7">
        <v>4021</v>
      </c>
      <c r="C157" s="22" t="s">
        <v>226</v>
      </c>
      <c r="D157" s="22" t="s">
        <v>255</v>
      </c>
      <c r="E157" s="13">
        <v>42684.991597222222</v>
      </c>
      <c r="F157" s="13">
        <v>42684.997499999998</v>
      </c>
      <c r="G157" s="7">
        <v>1</v>
      </c>
      <c r="H157" s="22" t="s">
        <v>614</v>
      </c>
      <c r="I157" s="13">
        <v>42685.02685185185</v>
      </c>
      <c r="J157" s="7">
        <v>0</v>
      </c>
      <c r="K157" s="109" t="str">
        <f t="shared" si="46"/>
        <v>4021/4022</v>
      </c>
      <c r="L157" s="22" t="str">
        <f>VLOOKUP(A157,'Trips&amp;Operators'!$C$1:$E$10000,3,FALSE)</f>
        <v>BADERTSCHER</v>
      </c>
      <c r="M157" s="6">
        <f t="shared" si="47"/>
        <v>2.9351851851970423E-2</v>
      </c>
      <c r="N157" s="7">
        <f t="shared" si="44"/>
        <v>42.266666666837409</v>
      </c>
      <c r="O157" s="7"/>
      <c r="P157" s="7"/>
      <c r="Q157" s="23"/>
      <c r="R157" s="23"/>
      <c r="S157" s="35">
        <f t="shared" si="45"/>
        <v>1</v>
      </c>
      <c r="T157" s="50" t="str">
        <f t="shared" si="48"/>
        <v>Southbound</v>
      </c>
      <c r="U157" s="17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22:47:54-700',mode:absolute,to:'2016-11-11 01:38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7" s="52" t="str">
        <f t="shared" si="50"/>
        <v>N</v>
      </c>
      <c r="X157" s="178">
        <f t="shared" si="58"/>
        <v>1</v>
      </c>
      <c r="Y157" s="67">
        <f t="shared" si="41"/>
        <v>23.299399999999999</v>
      </c>
      <c r="Z157" s="67">
        <f t="shared" si="42"/>
        <v>1.54E-2</v>
      </c>
      <c r="AA157" s="67">
        <f t="shared" si="51"/>
        <v>23.283999999999999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52"/>
        <v>0238-10</v>
      </c>
      <c r="AE157" s="91" t="str">
        <f t="shared" si="53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57" s="88" t="str">
        <f t="shared" si="54"/>
        <v>"C:\Program Files (x86)\AstroGrep\AstroGrep.exe" /spath="%USERPROFILE%\AppData\Local\Temp\OnboardLogs" /stypes="app*4021*20161111*" /stext=" 07:.+((SYSTEM_STATE.+slice.+state.+changed )|(ment ac)|(system.+state.+changed )|(\[timeout)|(PRM\|1\|D)|(kpr)|(kdp)|(\|lc)|(penalty))" /e /r /s</v>
      </c>
      <c r="AG157" s="1" t="str">
        <f t="shared" si="55"/>
        <v>EC</v>
      </c>
      <c r="AH157" s="92" t="str">
        <f t="shared" si="56"/>
        <v>"%USERPROFILE%\Documents\GitHub\eaglep3\Utilities\RefineRTDCRunTimes.py" --tripid 238-10 --locoid 4021 --swversion DE.1.0.8.0 --startMP 204:232994 --initTime 2016-11-10T23:47:54 --startdatetime 2016-11-10T23:56:24 --delay 1 --endMP 204:154 --enddatetime 2016-11-11T00:38:40 --enforcementcount 0 &gt;&gt;C:\Users\stu\Documents\GitHub\eaglep3-reporting\EC\2016-11-10-refined-times.txt</v>
      </c>
      <c r="AI157" s="119" t="str">
        <f t="shared" si="57"/>
        <v>echo {"issue":{"subject":"","project_id":79,"tracker_id":40,"status_id":1,"priority_id":2,"assigned_to_id":23,"start_date":"2016-11-11","description":"","custom_fields":[{"id":1,"name":"Subdivision","value":"EC"},{"id":4,"name":"Milepost","value":"0.0154"},{"id":17,"name":"Train ID","value":"238-10"},{"id":16,"name":"Locomotive ID","value":"4021"},{"id":130,"name":"Impact","value":""},{"id":150,"name":"Time of Event (Mountain Time)","value":"00:38:40"},{"id":151,"name":"Denver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426</v>
      </c>
      <c r="B158" s="7">
        <v>4002</v>
      </c>
      <c r="C158" s="22" t="s">
        <v>226</v>
      </c>
      <c r="D158" s="22" t="s">
        <v>353</v>
      </c>
      <c r="E158" s="13">
        <v>42684.966886574075</v>
      </c>
      <c r="F158" s="13">
        <v>42684.979456018518</v>
      </c>
      <c r="G158" s="7">
        <v>1</v>
      </c>
      <c r="H158" s="22" t="s">
        <v>298</v>
      </c>
      <c r="I158" s="13">
        <v>42685.007233796299</v>
      </c>
      <c r="J158" s="7">
        <v>0</v>
      </c>
      <c r="K158" s="109" t="str">
        <f t="shared" si="46"/>
        <v>4001/4002</v>
      </c>
      <c r="L158" s="22" t="str">
        <f>VLOOKUP(A158,'Trips&amp;Operators'!$C$1:$E$10000,3,FALSE)</f>
        <v>HOLCOMB</v>
      </c>
      <c r="M158" s="6">
        <f t="shared" si="47"/>
        <v>2.7777777781011537E-2</v>
      </c>
      <c r="N158" s="7">
        <f t="shared" si="44"/>
        <v>40.000000004656613</v>
      </c>
      <c r="O158" s="7"/>
      <c r="P158" s="7"/>
      <c r="Q158" s="23"/>
      <c r="R158" s="23"/>
      <c r="S158" s="35">
        <f t="shared" si="45"/>
        <v>1</v>
      </c>
      <c r="T158" s="50" t="str">
        <f t="shared" si="48"/>
        <v>NorthBound</v>
      </c>
      <c r="U158" s="17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22:12:19-700',mode:absolute,to:'2016-11-11 01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8" s="52" t="str">
        <f t="shared" si="50"/>
        <v>N</v>
      </c>
      <c r="X158" s="178">
        <f t="shared" si="58"/>
        <v>1</v>
      </c>
      <c r="Y158" s="67">
        <f t="shared" si="41"/>
        <v>4.4200000000000003E-2</v>
      </c>
      <c r="Z158" s="67">
        <f t="shared" si="42"/>
        <v>23.329899999999999</v>
      </c>
      <c r="AA158" s="67">
        <f t="shared" si="51"/>
        <v>23.285699999999999</v>
      </c>
      <c r="AB158" s="64" t="str">
        <f>VLOOKUP(A158,Enforcements!$C$7:$K$20,8,0)</f>
        <v>Bulletin (2)</v>
      </c>
      <c r="AC158" s="60" t="str">
        <f>VLOOKUP(A158,Enforcements!$C$7:$E$20,3,0)</f>
        <v>GRADE CROSSING</v>
      </c>
      <c r="AD158" s="61" t="str">
        <f t="shared" si="52"/>
        <v>0239-10</v>
      </c>
      <c r="AE158" s="91" t="str">
        <f t="shared" si="53"/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58" s="88" t="str">
        <f t="shared" si="54"/>
        <v>"C:\Program Files (x86)\AstroGrep\AstroGrep.exe" /spath="%USERPROFILE%\AppData\Local\Temp\OnboardLogs" /stypes="app*4002*20161111*" /stext=" 07:.+((SYSTEM_STATE.+slice.+state.+changed )|(ment ac)|(system.+state.+changed )|(\[timeout)|(PRM\|1\|D)|(kpr)|(kdp)|(\|lc)|(penalty))" /e /r /s</v>
      </c>
      <c r="AG158" s="1" t="str">
        <f t="shared" si="55"/>
        <v>EC</v>
      </c>
      <c r="AH158" s="92" t="str">
        <f t="shared" si="56"/>
        <v>"%USERPROFILE%\Documents\GitHub\eaglep3\Utilities\RefineRTDCRunTimes.py" --tripid 239-10 --locoid 4002 --swversion DE.1.0.8.0 --startMP 204:442 --initTime 2016-11-10T23:12:19 --startdatetime 2016-11-10T23:30:25 --delay 1 --endMP 204:233299 --enddatetime 2016-11-11T00:10:25 --enforcementcount 0 &gt;&gt;C:\Users\stu\Documents\GitHub\eaglep3-reporting\EC\2016-11-10-refined-times.txt</v>
      </c>
      <c r="AI158" s="119" t="str">
        <f t="shared" si="57"/>
        <v>echo {"issue":{"subject":"","project_id":79,"tracker_id":40,"status_id":1,"priority_id":2,"assigned_to_id":23,"start_date":"2016-11-11","description":"","custom_fields":[{"id":1,"name":"Subdivision","value":"EC"},{"id":4,"name":"Milepost","value":"23.3299"},{"id":17,"name":"Train ID","value":"239-10"},{"id":16,"name":"Locomotive ID","value":"4002"},{"id":130,"name":"Impact","value":""},{"id":150,"name":"Time of Event (Mountain Time)","value":"00:10:25"},{"id":151,"name":"Denver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602</v>
      </c>
      <c r="B159" s="7">
        <v>4001</v>
      </c>
      <c r="C159" s="22" t="s">
        <v>226</v>
      </c>
      <c r="D159" s="22" t="s">
        <v>214</v>
      </c>
      <c r="E159" s="13">
        <v>42685.011574074073</v>
      </c>
      <c r="F159" s="13">
        <v>42685.018738425926</v>
      </c>
      <c r="G159" s="7">
        <v>1</v>
      </c>
      <c r="H159" s="22" t="s">
        <v>614</v>
      </c>
      <c r="I159" s="13">
        <v>42685.046018518522</v>
      </c>
      <c r="J159" s="7">
        <v>0</v>
      </c>
      <c r="K159" s="109" t="str">
        <f t="shared" si="46"/>
        <v>4001/4002</v>
      </c>
      <c r="L159" s="22" t="str">
        <f>VLOOKUP(A159,'Trips&amp;Operators'!$C$1:$E$10000,3,FALSE)</f>
        <v>HOLCOMB</v>
      </c>
      <c r="M159" s="6">
        <f t="shared" si="47"/>
        <v>2.7280092595901806E-2</v>
      </c>
      <c r="N159" s="7">
        <f t="shared" ref="N159:N191" si="59">24*60*SUM($M159:$M159)</f>
        <v>39.283333338098601</v>
      </c>
      <c r="O159" s="7"/>
      <c r="P159" s="7"/>
      <c r="Q159" s="23"/>
      <c r="R159" s="23"/>
      <c r="S159" s="35">
        <f t="shared" ref="S159:S190" si="60">SUM(U159:U159)/IF(AG159="EC",12,1)</f>
        <v>1</v>
      </c>
      <c r="T159" s="50" t="str">
        <f t="shared" si="48"/>
        <v>Southbound</v>
      </c>
      <c r="U159" s="17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23:16:40-700',mode:absolute,to:'2016-11-11 02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9" s="52" t="str">
        <f t="shared" si="50"/>
        <v>N</v>
      </c>
      <c r="X159" s="178">
        <f t="shared" si="58"/>
        <v>1</v>
      </c>
      <c r="Y159" s="67">
        <f t="shared" si="41"/>
        <v>23.297699999999999</v>
      </c>
      <c r="Z159" s="67">
        <f t="shared" si="42"/>
        <v>1.54E-2</v>
      </c>
      <c r="AA159" s="67">
        <f t="shared" si="51"/>
        <v>23.282299999999999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2"/>
        <v>0240-10</v>
      </c>
      <c r="AE159" s="91" t="str">
        <f t="shared" si="53"/>
        <v>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 &amp; aws s3 cp s3://rtdc.mdm.uploadarchive.raw/RTDC4001/ "%USERPROFILE%\AppData\Local\Temp\OnboardLogs"\RTDC4001\2016-11-12 --exclude "*" --recursive --include "*20161112*" &amp; "%USERPROFILE%\Documents\GitHub\mrs-test-scripts\Headless Mode &amp; Sideloading\WalkAndUnGZ.bat" "%USERPROFILE%\AppData\Local\Temp\OnboardLogs"\RTDC4001\2016-11-12</v>
      </c>
      <c r="AF159" s="88" t="str">
        <f t="shared" si="54"/>
        <v>"C:\Program Files (x86)\AstroGrep\AstroGrep.exe" /spath="%USERPROFILE%\AppData\Local\Temp\OnboardLogs" /stypes="app*4001*20161111*" /stext=" 08:.+((SYSTEM_STATE.+slice.+state.+changed )|(ment ac)|(system.+state.+changed )|(\[timeout)|(PRM\|1\|D)|(kpr)|(kdp)|(\|lc)|(penalty))" /e /r /s</v>
      </c>
      <c r="AG159" s="1" t="str">
        <f t="shared" si="55"/>
        <v>EC</v>
      </c>
      <c r="AH159" s="92" t="str">
        <f t="shared" si="56"/>
        <v>"%USERPROFILE%\Documents\GitHub\eaglep3\Utilities\RefineRTDCRunTimes.py" --tripid 240-10 --locoid 4001 --swversion DE.1.0.8.0 --startMP 204:232977 --initTime 2016-11-11T00:16:40 --startdatetime 2016-11-11T00:26:59 --delay 1 --endMP 204:154 --enddatetime 2016-11-11T01:06:16 --enforcementcount 0 &gt;&gt;C:\Users\stu\Documents\GitHub\eaglep3-reporting\EC\2016-11-10-refined-times.txt</v>
      </c>
      <c r="AI159" s="119" t="str">
        <f t="shared" si="57"/>
        <v>echo {"issue":{"subject":"","project_id":79,"tracker_id":40,"status_id":1,"priority_id":2,"assigned_to_id":23,"start_date":"2016-11-11","description":"","custom_fields":[{"id":1,"name":"Subdivision","value":"EC"},{"id":4,"name":"Milepost","value":"0.0154"},{"id":17,"name":"Train ID","value":"240-10"},{"id":16,"name":"Locomotive ID","value":"4001"},{"id":130,"name":"Impact","value":""},{"id":150,"name":"Time of Event (Mountain Time)","value":"01:06:16"},{"id":151,"name":"Denver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601</v>
      </c>
      <c r="B160" s="7">
        <v>4038</v>
      </c>
      <c r="C160" s="22" t="s">
        <v>226</v>
      </c>
      <c r="D160" s="22" t="s">
        <v>200</v>
      </c>
      <c r="E160" s="13">
        <v>42684.995347222219</v>
      </c>
      <c r="F160" s="13">
        <v>42685.000185185185</v>
      </c>
      <c r="G160" s="7">
        <v>1</v>
      </c>
      <c r="H160" s="22" t="s">
        <v>704</v>
      </c>
      <c r="I160" s="13">
        <v>42685.035138888888</v>
      </c>
      <c r="J160" s="7">
        <v>0</v>
      </c>
      <c r="K160" s="109" t="str">
        <f t="shared" si="46"/>
        <v>4037/4038</v>
      </c>
      <c r="L160" s="22" t="str">
        <f>VLOOKUP(A160,'Trips&amp;Operators'!$C$1:$E$10000,3,FALSE)</f>
        <v>LEVIN</v>
      </c>
      <c r="M160" s="6">
        <f t="shared" si="47"/>
        <v>3.4953703703649808E-2</v>
      </c>
      <c r="N160" s="7">
        <f t="shared" si="59"/>
        <v>50.333333333255723</v>
      </c>
      <c r="O160" s="7"/>
      <c r="P160" s="7"/>
      <c r="Q160" s="23"/>
      <c r="R160" s="23"/>
      <c r="S160" s="35">
        <f t="shared" si="60"/>
        <v>1</v>
      </c>
      <c r="T160" s="50" t="str">
        <f t="shared" si="48"/>
        <v>NorthBound</v>
      </c>
      <c r="U160" s="17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22:53:18-700',mode:absolute,to:'2016-11-11 01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0" s="52" t="str">
        <f t="shared" si="50"/>
        <v>N</v>
      </c>
      <c r="X160" s="178">
        <f t="shared" si="58"/>
        <v>1</v>
      </c>
      <c r="Y160" s="67">
        <f t="shared" si="41"/>
        <v>4.4699999999999997E-2</v>
      </c>
      <c r="Z160" s="67">
        <f t="shared" si="42"/>
        <v>23.3322</v>
      </c>
      <c r="AA160" s="67">
        <f t="shared" si="51"/>
        <v>23.287500000000001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2"/>
        <v>0241-10</v>
      </c>
      <c r="AE160" s="91" t="str">
        <f t="shared" si="53"/>
        <v>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 &amp; 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</v>
      </c>
      <c r="AF160" s="88" t="str">
        <f t="shared" si="54"/>
        <v>"C:\Program Files (x86)\AstroGrep\AstroGrep.exe" /spath="%USERPROFILE%\AppData\Local\Temp\OnboardLogs" /stypes="app*4038*20161111*" /stext=" 07:.+((SYSTEM_STATE.+slice.+state.+changed )|(ment ac)|(system.+state.+changed )|(\[timeout)|(PRM\|1\|D)|(kpr)|(kdp)|(\|lc)|(penalty))" /e /r /s</v>
      </c>
      <c r="AG160" s="1" t="str">
        <f t="shared" si="55"/>
        <v>EC</v>
      </c>
      <c r="AH160" s="92" t="str">
        <f t="shared" si="56"/>
        <v>"%USERPROFILE%\Documents\GitHub\eaglep3\Utilities\RefineRTDCRunTimes.py" --tripid 241-10 --locoid 4038 --swversion DE.1.0.8.0 --startMP 204:447 --initTime 2016-11-10T23:53:18 --startdatetime 2016-11-11T00:00:16 --delay 1 --endMP 204:233322 --enddatetime 2016-11-11T00:50:36 --enforcementcount 0 &gt;&gt;C:\Users\stu\Documents\GitHub\eaglep3-reporting\EC\2016-11-10-refined-times.txt</v>
      </c>
      <c r="AI160" s="119" t="str">
        <f t="shared" si="57"/>
        <v>echo {"issue":{"subject":"","project_id":79,"tracker_id":40,"status_id":1,"priority_id":2,"assigned_to_id":23,"start_date":"2016-11-11","description":"","custom_fields":[{"id":1,"name":"Subdivision","value":"EC"},{"id":4,"name":"Milepost","value":"23.3322"},{"id":17,"name":"Train ID","value":"241-10"},{"id":16,"name":"Locomotive ID","value":"4038"},{"id":130,"name":"Impact","value":""},{"id":150,"name":"Time of Event (Mountain Time)","value":"00:50:36"},{"id":151,"name":"Denver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605</v>
      </c>
      <c r="B161" s="7">
        <v>4037</v>
      </c>
      <c r="C161" s="22" t="s">
        <v>226</v>
      </c>
      <c r="D161" s="22" t="s">
        <v>701</v>
      </c>
      <c r="E161" s="13">
        <v>42685.038888888892</v>
      </c>
      <c r="F161" s="13">
        <v>42685.041319444441</v>
      </c>
      <c r="G161" s="7">
        <v>1</v>
      </c>
      <c r="H161" s="22" t="s">
        <v>269</v>
      </c>
      <c r="I161" s="13">
        <v>42685.069884259261</v>
      </c>
      <c r="J161" s="7">
        <v>0</v>
      </c>
      <c r="K161" s="109" t="str">
        <f t="shared" si="46"/>
        <v>4037/4038</v>
      </c>
      <c r="L161" s="22" t="str">
        <f>VLOOKUP(A161,'Trips&amp;Operators'!$C$1:$E$10000,3,FALSE)</f>
        <v>LEVIN</v>
      </c>
      <c r="M161" s="6">
        <f t="shared" si="47"/>
        <v>2.8564814820128959E-2</v>
      </c>
      <c r="N161" s="7">
        <f t="shared" si="59"/>
        <v>41.1333333409857</v>
      </c>
      <c r="O161" s="7"/>
      <c r="P161" s="7"/>
      <c r="Q161" s="23"/>
      <c r="R161" s="23"/>
      <c r="S161" s="35">
        <f t="shared" si="60"/>
        <v>1</v>
      </c>
      <c r="T161" s="50" t="str">
        <f t="shared" si="48"/>
        <v>Southbound</v>
      </c>
      <c r="U161" s="17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23:56:00-700',mode:absolute,to:'2016-11-11 02:40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1" s="52" t="str">
        <f t="shared" si="50"/>
        <v>N</v>
      </c>
      <c r="X161" s="178">
        <f t="shared" si="58"/>
        <v>1</v>
      </c>
      <c r="Y161" s="67">
        <f t="shared" si="41"/>
        <v>23.301100000000002</v>
      </c>
      <c r="Z161" s="67">
        <f t="shared" si="42"/>
        <v>1.6899999999999998E-2</v>
      </c>
      <c r="AA161" s="67">
        <f t="shared" si="51"/>
        <v>23.284200000000002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2"/>
        <v>0242-10</v>
      </c>
      <c r="AE161" s="91" t="str">
        <f t="shared" si="53"/>
        <v>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 &amp; 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</v>
      </c>
      <c r="AF161" s="88" t="str">
        <f t="shared" si="54"/>
        <v>"C:\Program Files (x86)\AstroGrep\AstroGrep.exe" /spath="%USERPROFILE%\AppData\Local\Temp\OnboardLogs" /stypes="app*4037*20161111*" /stext=" 08:.+((SYSTEM_STATE.+slice.+state.+changed )|(ment ac)|(system.+state.+changed )|(\[timeout)|(PRM\|1\|D)|(kpr)|(kdp)|(\|lc)|(penalty))" /e /r /s</v>
      </c>
      <c r="AG161" s="1" t="str">
        <f t="shared" si="55"/>
        <v>EC</v>
      </c>
      <c r="AH161" s="92" t="str">
        <f t="shared" si="56"/>
        <v>"%USERPROFILE%\Documents\GitHub\eaglep3\Utilities\RefineRTDCRunTimes.py" --tripid 242-10 --locoid 4037 --swversion DE.1.0.8.0 --startMP 204:233011 --initTime 2016-11-11T00:56:00 --startdatetime 2016-11-11T00:59:30 --delay 1 --endMP 204:169 --enddatetime 2016-11-11T01:40:38 --enforcementcount 0 &gt;&gt;C:\Users\stu\Documents\GitHub\eaglep3-reporting\EC\2016-11-10-refined-times.txt</v>
      </c>
      <c r="AI161" s="119" t="str">
        <f t="shared" si="57"/>
        <v>echo {"issue":{"subject":"","project_id":79,"tracker_id":40,"status_id":1,"priority_id":2,"assigned_to_id":23,"start_date":"2016-11-11","description":"","custom_fields":[{"id":1,"name":"Subdivision","value":"EC"},{"id":4,"name":"Milepost","value":"0.0169"},{"id":17,"name":"Train ID","value":"242-10"},{"id":16,"name":"Locomotive ID","value":"4037"},{"id":130,"name":"Impact","value":""},{"id":150,"name":"Time of Event (Mountain Time)","value":"01:40:38"},{"id":151,"name":"Denver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603</v>
      </c>
      <c r="B162" s="7">
        <v>4011</v>
      </c>
      <c r="C162" s="22" t="s">
        <v>226</v>
      </c>
      <c r="D162" s="22" t="s">
        <v>307</v>
      </c>
      <c r="E162" s="13">
        <v>42685.015879629631</v>
      </c>
      <c r="F162" s="13">
        <v>42685.021145833336</v>
      </c>
      <c r="G162" s="7">
        <v>1</v>
      </c>
      <c r="H162" s="22" t="s">
        <v>358</v>
      </c>
      <c r="I162" s="13">
        <v>42685.047210648147</v>
      </c>
      <c r="J162" s="7">
        <v>0</v>
      </c>
      <c r="K162" s="109" t="str">
        <f t="shared" si="46"/>
        <v>4011/4012</v>
      </c>
      <c r="L162" s="22" t="str">
        <f>VLOOKUP(A162,'Trips&amp;Operators'!$C$1:$E$10000,3,FALSE)</f>
        <v>STAMBAUGH</v>
      </c>
      <c r="M162" s="6">
        <f t="shared" si="47"/>
        <v>2.6064814810524695E-2</v>
      </c>
      <c r="N162" s="7">
        <f t="shared" si="59"/>
        <v>37.53333332715556</v>
      </c>
      <c r="O162" s="7"/>
      <c r="P162" s="7"/>
      <c r="Q162" s="23"/>
      <c r="R162" s="23"/>
      <c r="S162" s="35">
        <f t="shared" si="60"/>
        <v>1</v>
      </c>
      <c r="T162" s="50" t="str">
        <f t="shared" si="48"/>
        <v>NorthBound</v>
      </c>
      <c r="U162" s="17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23:22:52-700',mode:absolute,to:'2016-11-11 02:07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2" s="52" t="str">
        <f t="shared" si="50"/>
        <v>N</v>
      </c>
      <c r="X162" s="178">
        <f t="shared" si="58"/>
        <v>1</v>
      </c>
      <c r="Y162" s="67">
        <f t="shared" ref="Y162:Y225" si="61">RIGHT(D162,LEN(D162)-4)/10000</f>
        <v>4.4600000000000001E-2</v>
      </c>
      <c r="Z162" s="67">
        <f t="shared" ref="Z162:Z225" si="62">RIGHT(H162,LEN(H162)-4)/10000</f>
        <v>23.328700000000001</v>
      </c>
      <c r="AA162" s="67">
        <f t="shared" si="51"/>
        <v>23.284100000000002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2"/>
        <v>0243-10</v>
      </c>
      <c r="AE162" s="91" t="str">
        <f t="shared" si="53"/>
        <v>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 &amp; 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</v>
      </c>
      <c r="AF162" s="88" t="str">
        <f t="shared" si="54"/>
        <v>"C:\Program Files (x86)\AstroGrep\AstroGrep.exe" /spath="%USERPROFILE%\AppData\Local\Temp\OnboardLogs" /stypes="app*4011*20161111*" /stext=" 08:.+((SYSTEM_STATE.+slice.+state.+changed )|(ment ac)|(system.+state.+changed )|(\[timeout)|(PRM\|1\|D)|(kpr)|(kdp)|(\|lc)|(penalty))" /e /r /s</v>
      </c>
      <c r="AG162" s="1" t="str">
        <f t="shared" si="55"/>
        <v>EC</v>
      </c>
      <c r="AH162" s="92" t="str">
        <f t="shared" si="56"/>
        <v>"%USERPROFILE%\Documents\GitHub\eaglep3\Utilities\RefineRTDCRunTimes.py" --tripid 243-10 --locoid 4011 --swversion DE.1.0.8.0 --startMP 204:446 --initTime 2016-11-11T00:22:52 --startdatetime 2016-11-11T00:30:27 --delay 1 --endMP 204:233287 --enddatetime 2016-11-11T01:07:59 --enforcementcount 0 &gt;&gt;C:\Users\stu\Documents\GitHub\eaglep3-reporting\EC\2016-11-10-refined-times.txt</v>
      </c>
      <c r="AI162" s="119" t="str">
        <f t="shared" si="57"/>
        <v>echo {"issue":{"subject":"","project_id":79,"tracker_id":40,"status_id":1,"priority_id":2,"assigned_to_id":23,"start_date":"2016-11-11","description":"","custom_fields":[{"id":1,"name":"Subdivision","value":"EC"},{"id":4,"name":"Milepost","value":"23.3287"},{"id":17,"name":"Train ID","value":"243-10"},{"id":16,"name":"Locomotive ID","value":"4011"},{"id":130,"name":"Impact","value":""},{"id":150,"name":"Time of Event (Mountain Time)","value":"01:07:59"},{"id":151,"name":"Denver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607</v>
      </c>
      <c r="B163" s="7">
        <v>4012</v>
      </c>
      <c r="C163" s="22" t="s">
        <v>226</v>
      </c>
      <c r="D163" s="22" t="s">
        <v>705</v>
      </c>
      <c r="E163" s="13">
        <v>42685.056134259263</v>
      </c>
      <c r="F163" s="13">
        <v>42685.060324074075</v>
      </c>
      <c r="G163" s="7">
        <v>0</v>
      </c>
      <c r="H163" s="22" t="s">
        <v>269</v>
      </c>
      <c r="I163" s="13">
        <v>42685.086284722223</v>
      </c>
      <c r="J163" s="7">
        <v>0</v>
      </c>
      <c r="K163" s="109" t="str">
        <f t="shared" si="46"/>
        <v>4011/4012</v>
      </c>
      <c r="L163" s="22" t="str">
        <f>VLOOKUP(A163,'Trips&amp;Operators'!$C$1:$E$10000,3,FALSE)</f>
        <v>STAMBAUGH</v>
      </c>
      <c r="M163" s="6">
        <f t="shared" si="47"/>
        <v>2.5960648148611654E-2</v>
      </c>
      <c r="N163" s="7">
        <f t="shared" si="59"/>
        <v>37.383333334000781</v>
      </c>
      <c r="O163" s="7"/>
      <c r="P163" s="7"/>
      <c r="Q163" s="23"/>
      <c r="R163" s="23"/>
      <c r="S163" s="35">
        <f t="shared" si="60"/>
        <v>1</v>
      </c>
      <c r="T163" s="50" t="str">
        <f t="shared" si="48"/>
        <v>Southbound</v>
      </c>
      <c r="U163" s="17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https://search-rtdc-monitor-bjffxe2xuh6vdkpspy63sjmuny.us-east-1.es.amazonaws.com/_plugin/kibana/#/discover/Steve-Slow-Train-Analysis-(2080s-and-2083s)?_g=(refreshInterval:(display:Off,section:0,value:0),time:(from:'2016-11-11 00:20:50-700',mode:absolute,to:'2016-11-11 03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3" s="52" t="str">
        <f t="shared" si="50"/>
        <v>N</v>
      </c>
      <c r="X163" s="178">
        <f t="shared" si="58"/>
        <v>1</v>
      </c>
      <c r="Y163" s="67">
        <f t="shared" si="61"/>
        <v>23.297599999999999</v>
      </c>
      <c r="Z163" s="67">
        <f t="shared" si="62"/>
        <v>1.6899999999999998E-2</v>
      </c>
      <c r="AA163" s="67">
        <f t="shared" si="51"/>
        <v>23.2807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2"/>
        <v>0244-10</v>
      </c>
      <c r="AE163" s="91" t="str">
        <f t="shared" si="53"/>
        <v>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 &amp; 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</v>
      </c>
      <c r="AF163" s="88" t="str">
        <f t="shared" si="54"/>
        <v>"C:\Program Files (x86)\AstroGrep\AstroGrep.exe" /spath="%USERPROFILE%\AppData\Local\Temp\OnboardLogs" /stypes="app*4012*20161111*" /stext=" 09:.+((SYSTEM_STATE.+slice.+state.+changed )|(ment ac)|(system.+state.+changed )|(\[timeout)|(PRM\|1\|D)|(kpr)|(kdp)|(\|lc)|(penalty))" /e /r /s</v>
      </c>
      <c r="AG163" s="1" t="str">
        <f t="shared" si="55"/>
        <v>EC</v>
      </c>
      <c r="AH163" s="92" t="str">
        <f t="shared" si="56"/>
        <v>"%USERPROFILE%\Documents\GitHub\eaglep3\Utilities\RefineRTDCRunTimes.py" --tripid 244-10 --locoid 4012 --swversion DE.1.0.8.0 --startMP 204:232976 --initTime 2016-11-11T01:20:50 --startdatetime 2016-11-11T01:26:52 --delay 0 --endMP 204:169 --enddatetime 2016-11-11T02:04:15 --enforcementcount 0 &gt;&gt;C:\Users\stu\Documents\GitHub\eaglep3-reporting\EC\2016-11-10-refined-times.txt</v>
      </c>
      <c r="AI163" s="119" t="str">
        <f t="shared" si="57"/>
        <v>echo {"issue":{"subject":"","project_id":79,"tracker_id":40,"status_id":1,"priority_id":2,"assigned_to_id":23,"start_date":"2016-11-11","description":"","custom_fields":[{"id":1,"name":"Subdivision","value":"EC"},{"id":4,"name":"Milepost","value":"0.0169"},{"id":17,"name":"Train ID","value":"244-10"},{"id":16,"name":"Locomotive ID","value":"4012"},{"id":130,"name":"Impact","value":""},{"id":150,"name":"Time of Event (Mountain Time)","value":"02:04:15"},{"id":151,"name":"Denver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440</v>
      </c>
      <c r="B164" s="7">
        <v>4004</v>
      </c>
      <c r="C164" s="22" t="s">
        <v>226</v>
      </c>
      <c r="D164" s="22" t="s">
        <v>312</v>
      </c>
      <c r="E164" s="13">
        <v>42684.213645833333</v>
      </c>
      <c r="F164" s="13">
        <v>42684.215162037035</v>
      </c>
      <c r="G164" s="7">
        <v>1</v>
      </c>
      <c r="H164" s="22" t="s">
        <v>368</v>
      </c>
      <c r="I164" s="13">
        <v>42684.226736111108</v>
      </c>
      <c r="J164" s="7">
        <v>0</v>
      </c>
      <c r="K164" s="109" t="str">
        <f t="shared" si="46"/>
        <v>4003/4004</v>
      </c>
      <c r="L164" s="22" t="str">
        <f>VLOOKUP(A164,'Trips&amp;Operators'!$C$1:$E$10000,3,FALSE)</f>
        <v>OUN</v>
      </c>
      <c r="M164" s="6">
        <f t="shared" si="47"/>
        <v>1.1574074072996154E-2</v>
      </c>
      <c r="N164" s="7">
        <f t="shared" si="59"/>
        <v>16.666666665114462</v>
      </c>
      <c r="O164" s="7"/>
      <c r="P164" s="7"/>
      <c r="Q164" s="23"/>
      <c r="R164" s="23"/>
      <c r="S164" s="35">
        <f t="shared" si="60"/>
        <v>1</v>
      </c>
      <c r="T164" s="50" t="str">
        <f t="shared" si="48"/>
        <v>Southbound</v>
      </c>
      <c r="U164" s="17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04:07:39-700',mode:absolute,to:'2016-11-10 06:26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4" s="52" t="str">
        <f t="shared" si="50"/>
        <v>N</v>
      </c>
      <c r="X164" s="178">
        <f t="shared" si="58"/>
        <v>556</v>
      </c>
      <c r="Y164" s="67">
        <f t="shared" si="61"/>
        <v>5.8628</v>
      </c>
      <c r="Z164" s="67">
        <f t="shared" si="62"/>
        <v>6.7500000000000004E-2</v>
      </c>
      <c r="AA164" s="67">
        <f t="shared" si="51"/>
        <v>5.7953000000000001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2"/>
        <v>0800-10</v>
      </c>
      <c r="AE164" s="91" t="str">
        <f t="shared" si="53"/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64" s="88" t="str">
        <f t="shared" si="54"/>
        <v>"C:\Program Files (x86)\AstroGrep\AstroGrep.exe" /spath="%USERPROFILE%\AppData\Local\Temp\OnboardLogs" /stypes="app*4004*20161110*" /stext=" 12:.+((SYSTEM_STATE.+slice.+state.+changed )|(ment ac)|(system.+state.+changed )|(\[timeout)|(PRM\|1\|D)|(kpr)|(kdp)|(\|lc)|(penalty))" /e /r /s</v>
      </c>
      <c r="AG164" s="1" t="str">
        <f t="shared" si="55"/>
        <v>NW</v>
      </c>
      <c r="AH164" s="92" t="str">
        <f t="shared" si="56"/>
        <v>"%USERPROFILE%\Documents\GitHub\eaglep3\Utilities\RefineRTDCRunTimes.py" --tripid 800-10 --locoid 4004 --swversion DE.1.0.8.0 --startMP 300:58628 --initTime 2016-11-10T05:07:39 --startdatetime 2016-11-10T05:09:50 --delay 1 --endMP 204:675 --enddatetime 2016-11-10T05:26:30 --enforcementcount 0 &gt;&gt;C:\Users\stu\Documents\GitHub\eaglep3-reporting\EC\2016-11-10-refined-times.txt</v>
      </c>
      <c r="AI164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{"issue":{"subject":"","project_id":79,"tracker_id":40,"status_id":1,"priority_id":2,"assigned_to_id":23,"start_date":"2016-11-10","description":"","custom_fields":[{"id":1,"name":"Subdivision","value":"NW"},{"id":4,"name":"Milepost","value":"0.0675"},{"id":17,"name":"Train ID","value":"800-10"},{"id":16,"name":"Locomotive ID","value":"4004"},{"id":130,"name":"Impact","value":""},{"id":150,"name":"Time of Event (Mountain Time)","value":"05:26:30"},{"id":151,"name":"Denver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446</v>
      </c>
      <c r="B165" s="7">
        <v>4003</v>
      </c>
      <c r="C165" s="22" t="s">
        <v>226</v>
      </c>
      <c r="D165" s="22" t="s">
        <v>737</v>
      </c>
      <c r="E165" s="13">
        <v>42684.239201388889</v>
      </c>
      <c r="F165" s="13">
        <v>42684.243969907409</v>
      </c>
      <c r="G165" s="7">
        <v>1</v>
      </c>
      <c r="H165" s="22" t="s">
        <v>375</v>
      </c>
      <c r="I165" s="13">
        <v>42684.254189814812</v>
      </c>
      <c r="J165" s="7">
        <v>0</v>
      </c>
      <c r="K165" s="109" t="str">
        <f t="shared" si="46"/>
        <v>4003/4004</v>
      </c>
      <c r="L165" s="22" t="str">
        <f>VLOOKUP(A165,'Trips&amp;Operators'!$C$1:$E$10000,3,FALSE)</f>
        <v>OUN</v>
      </c>
      <c r="M165" s="6">
        <f t="shared" si="47"/>
        <v>1.0219907402643003E-2</v>
      </c>
      <c r="N165" s="7">
        <f t="shared" si="59"/>
        <v>14.716666659805924</v>
      </c>
      <c r="O165" s="7"/>
      <c r="P165" s="7"/>
      <c r="Q165" s="23"/>
      <c r="R165" s="23"/>
      <c r="S165" s="35">
        <f t="shared" si="60"/>
        <v>1</v>
      </c>
      <c r="T165" s="50" t="str">
        <f t="shared" si="48"/>
        <v>NorthBound</v>
      </c>
      <c r="U165" s="17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04:44:27-700',mode:absolute,to:'2016-11-10 07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5" s="52" t="str">
        <f t="shared" si="50"/>
        <v>N</v>
      </c>
      <c r="X165" s="178">
        <f t="shared" si="58"/>
        <v>1</v>
      </c>
      <c r="Y165" s="67">
        <f t="shared" si="61"/>
        <v>9.64E-2</v>
      </c>
      <c r="Z165" s="67">
        <f t="shared" si="62"/>
        <v>5.8940999999999999</v>
      </c>
      <c r="AA165" s="67">
        <f t="shared" si="51"/>
        <v>5.7976999999999999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2"/>
        <v>0801-10</v>
      </c>
      <c r="AE165" s="91" t="str">
        <f t="shared" si="53"/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65" s="88" t="str">
        <f t="shared" si="54"/>
        <v>"C:\Program Files (x86)\AstroGrep\AstroGrep.exe" /spath="%USERPROFILE%\AppData\Local\Temp\OnboardLogs" /stypes="app*4003*20161110*" /stext=" 13:.+((SYSTEM_STATE.+slice.+state.+changed )|(ment ac)|(system.+state.+changed )|(\[timeout)|(PRM\|1\|D)|(kpr)|(kdp)|(\|lc)|(penalty))" /e /r /s</v>
      </c>
      <c r="AG165" s="1" t="str">
        <f t="shared" si="55"/>
        <v>NW</v>
      </c>
      <c r="AH165" s="92" t="str">
        <f t="shared" si="56"/>
        <v>"%USERPROFILE%\Documents\GitHub\eaglep3\Utilities\RefineRTDCRunTimes.py" --tripid 801-10 --locoid 4003 --swversion DE.1.0.8.0 --startMP 204:964 --initTime 2016-11-10T05:44:27 --startdatetime 2016-11-10T05:51:19 --delay 1 --endMP 300:58941 --enddatetime 2016-11-10T06:06:02 --enforcementcount 0 &gt;&gt;C:\Users\stu\Documents\GitHub\eaglep3-reporting\EC\2016-11-10-refined-times.txt</v>
      </c>
      <c r="AI165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{"issue":{"subject":"","project_id":79,"tracker_id":40,"status_id":1,"priority_id":2,"assigned_to_id":23,"start_date":"2016-11-10","description":"","custom_fields":[{"id":1,"name":"Subdivision","value":"NW"},{"id":4,"name":"Milepost","value":"5.8941"},{"id":17,"name":"Train ID","value":"801-10"},{"id":16,"name":"Locomotive ID","value":"4003"},{"id":130,"name":"Impact","value":""},{"id":150,"name":"Time of Event (Mountain Time)","value":"06:06:02"},{"id":151,"name":"Denver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450</v>
      </c>
      <c r="B166" s="7">
        <v>4004</v>
      </c>
      <c r="C166" s="22" t="s">
        <v>226</v>
      </c>
      <c r="D166" s="22" t="s">
        <v>738</v>
      </c>
      <c r="E166" s="13">
        <v>42684.255312499998</v>
      </c>
      <c r="F166" s="13">
        <v>42684.256840277776</v>
      </c>
      <c r="G166" s="7">
        <v>1</v>
      </c>
      <c r="H166" s="22" t="s">
        <v>314</v>
      </c>
      <c r="I166" s="13">
        <v>42684.268888888888</v>
      </c>
      <c r="J166" s="7">
        <v>0</v>
      </c>
      <c r="K166" s="109" t="str">
        <f t="shared" si="46"/>
        <v>4003/4004</v>
      </c>
      <c r="L166" s="22" t="str">
        <f>VLOOKUP(A166,'Trips&amp;Operators'!$C$1:$E$10000,3,FALSE)</f>
        <v>OUN</v>
      </c>
      <c r="M166" s="6">
        <f t="shared" si="47"/>
        <v>1.2048611111822538E-2</v>
      </c>
      <c r="N166" s="7">
        <f t="shared" si="59"/>
        <v>17.350000001024455</v>
      </c>
      <c r="O166" s="7"/>
      <c r="P166" s="7"/>
      <c r="Q166" s="23"/>
      <c r="R166" s="23"/>
      <c r="S166" s="35">
        <f t="shared" si="60"/>
        <v>1</v>
      </c>
      <c r="T166" s="50" t="str">
        <f t="shared" si="48"/>
        <v>Southbound</v>
      </c>
      <c r="U166" s="17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05:07:39-700',mode:absolute,to:'2016-11-10 07:27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6" s="52" t="str">
        <f t="shared" si="50"/>
        <v>N</v>
      </c>
      <c r="X166" s="178">
        <f t="shared" si="58"/>
        <v>1</v>
      </c>
      <c r="Y166" s="67">
        <f t="shared" si="61"/>
        <v>5.8605999999999998</v>
      </c>
      <c r="Z166" s="67">
        <f t="shared" si="62"/>
        <v>6.8699999999999997E-2</v>
      </c>
      <c r="AA166" s="67">
        <f t="shared" si="51"/>
        <v>5.7919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2"/>
        <v>0802-10</v>
      </c>
      <c r="AE166" s="91" t="str">
        <f t="shared" si="53"/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66" s="88" t="str">
        <f t="shared" si="54"/>
        <v>"C:\Program Files (x86)\AstroGrep\AstroGrep.exe" /spath="%USERPROFILE%\AppData\Local\Temp\OnboardLogs" /stypes="app*4004*20161110*" /stext=" 13:.+((SYSTEM_STATE.+slice.+state.+changed )|(ment ac)|(system.+state.+changed )|(\[timeout)|(PRM\|1\|D)|(kpr)|(kdp)|(\|lc)|(penalty))" /e /r /s</v>
      </c>
      <c r="AG166" s="1" t="str">
        <f t="shared" si="55"/>
        <v>NW</v>
      </c>
      <c r="AH166" s="92" t="str">
        <f t="shared" si="56"/>
        <v>"%USERPROFILE%\Documents\GitHub\eaglep3\Utilities\RefineRTDCRunTimes.py" --tripid 802-10 --locoid 4004 --swversion DE.1.0.8.0 --startMP 300:58606 --initTime 2016-11-10T06:07:39 --startdatetime 2016-11-10T06:09:51 --delay 1 --endMP 204:687 --enddatetime 2016-11-10T06:27:12 --enforcementcount 0 &gt;&gt;C:\Users\stu\Documents\GitHub\eaglep3-reporting\EC\2016-11-10-refined-times.txt</v>
      </c>
      <c r="AI166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{"issue":{"subject":"","project_id":79,"tracker_id":40,"status_id":1,"priority_id":2,"assigned_to_id":23,"start_date":"2016-11-10","description":"","custom_fields":[{"id":1,"name":"Subdivision","value":"NW"},{"id":4,"name":"Milepost","value":"0.0687"},{"id":17,"name":"Train ID","value":"802-10"},{"id":16,"name":"Locomotive ID","value":"4004"},{"id":130,"name":"Impact","value":""},{"id":150,"name":"Time of Event (Mountain Time)","value":"06:27:12"},{"id":151,"name":"Denver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383</v>
      </c>
      <c r="B167" s="7">
        <v>4044</v>
      </c>
      <c r="C167" s="22" t="s">
        <v>226</v>
      </c>
      <c r="D167" s="22" t="s">
        <v>739</v>
      </c>
      <c r="E167" s="13">
        <v>42684.261643518519</v>
      </c>
      <c r="F167" s="13">
        <v>42684.264756944445</v>
      </c>
      <c r="G167" s="7">
        <v>2</v>
      </c>
      <c r="H167" s="22" t="s">
        <v>740</v>
      </c>
      <c r="I167" s="13">
        <v>42684.274201388886</v>
      </c>
      <c r="J167" s="7">
        <v>0</v>
      </c>
      <c r="K167" s="109" t="str">
        <f t="shared" si="46"/>
        <v>4043/4044</v>
      </c>
      <c r="L167" s="22" t="str">
        <f>VLOOKUP(A167,'Trips&amp;Operators'!$C$1:$E$10000,3,FALSE)</f>
        <v>MACDONALD</v>
      </c>
      <c r="M167" s="6">
        <f t="shared" si="47"/>
        <v>9.444444440305233E-3</v>
      </c>
      <c r="N167" s="7">
        <f t="shared" si="59"/>
        <v>13.599999994039536</v>
      </c>
      <c r="O167" s="7"/>
      <c r="P167" s="7"/>
      <c r="Q167" s="23"/>
      <c r="R167" s="23"/>
      <c r="S167" s="35">
        <f t="shared" si="60"/>
        <v>1</v>
      </c>
      <c r="T167" s="50" t="str">
        <f t="shared" si="48"/>
        <v>NorthBound</v>
      </c>
      <c r="U167" s="17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05:16:46-700',mode:absolute,to:'2016-11-10 07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7" s="52" t="str">
        <f t="shared" si="50"/>
        <v>N</v>
      </c>
      <c r="X167" s="178">
        <f t="shared" si="58"/>
        <v>1</v>
      </c>
      <c r="Y167" s="67">
        <f t="shared" si="61"/>
        <v>9.74E-2</v>
      </c>
      <c r="Z167" s="67">
        <f t="shared" si="62"/>
        <v>5.9008000000000003</v>
      </c>
      <c r="AA167" s="67">
        <f t="shared" si="51"/>
        <v>5.8033999999999999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2"/>
        <v>0803-10</v>
      </c>
      <c r="AE167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67" s="88" t="str">
        <f t="shared" si="54"/>
        <v>"C:\Program Files (x86)\AstroGrep\AstroGrep.exe" /spath="%USERPROFILE%\AppData\Local\Temp\OnboardLogs" /stypes="app*4044*20161110*" /stext=" 13:.+((SYSTEM_STATE.+slice.+state.+changed )|(ment ac)|(system.+state.+changed )|(\[timeout)|(PRM\|1\|D)|(kpr)|(kdp)|(\|lc)|(penalty))" /e /r /s</v>
      </c>
      <c r="AG167" s="1" t="str">
        <f t="shared" si="55"/>
        <v>NW</v>
      </c>
      <c r="AH167" s="92" t="str">
        <f t="shared" si="56"/>
        <v>"%USERPROFILE%\Documents\GitHub\eaglep3\Utilities\RefineRTDCRunTimes.py" --tripid 803-10 --locoid 4044 --swversion DE.1.0.8.0 --startMP 204:974 --initTime 2016-11-10T06:16:46 --startdatetime 2016-11-10T06:21:15 --delay 2 --endMP 300:59008 --enddatetime 2016-11-10T06:34:51 --enforcementcount 0 &gt;&gt;C:\Users\stu\Documents\GitHub\eaglep3-reporting\EC\2016-11-10-refined-times.txt</v>
      </c>
      <c r="AI167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{"issue":{"subject":"","project_id":79,"tracker_id":40,"status_id":1,"priority_id":2,"assigned_to_id":23,"start_date":"2016-11-10","description":"","custom_fields":[{"id":1,"name":"Subdivision","value":"NW"},{"id":4,"name":"Milepost","value":"5.9008"},{"id":17,"name":"Train ID","value":"803-10"},{"id":16,"name":"Locomotive ID","value":"4044"},{"id":130,"name":"Impact","value":""},{"id":150,"name":"Time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453</v>
      </c>
      <c r="B168" s="7">
        <v>4043</v>
      </c>
      <c r="C168" s="22" t="s">
        <v>226</v>
      </c>
      <c r="D168" s="22" t="s">
        <v>741</v>
      </c>
      <c r="E168" s="13">
        <v>42684.276064814818</v>
      </c>
      <c r="F168" s="13">
        <v>42684.278298611112</v>
      </c>
      <c r="G168" s="7">
        <v>1</v>
      </c>
      <c r="H168" s="22" t="s">
        <v>313</v>
      </c>
      <c r="I168" s="13">
        <v>42684.288854166669</v>
      </c>
      <c r="J168" s="7">
        <v>0</v>
      </c>
      <c r="K168" s="109" t="str">
        <f t="shared" si="46"/>
        <v>4043/4044</v>
      </c>
      <c r="L168" s="22" t="str">
        <f>VLOOKUP(A168,'Trips&amp;Operators'!$C$1:$E$10000,3,FALSE)</f>
        <v>MACDONALD</v>
      </c>
      <c r="M168" s="6">
        <f t="shared" si="47"/>
        <v>1.0555555556493346E-2</v>
      </c>
      <c r="N168" s="7">
        <f t="shared" si="59"/>
        <v>15.200000001350418</v>
      </c>
      <c r="O168" s="7"/>
      <c r="P168" s="7"/>
      <c r="Q168" s="23"/>
      <c r="R168" s="23"/>
      <c r="S168" s="35">
        <f t="shared" si="60"/>
        <v>1</v>
      </c>
      <c r="T168" s="50" t="str">
        <f t="shared" si="48"/>
        <v>Southbound</v>
      </c>
      <c r="U168" s="17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05:37:32-700',mode:absolute,to:'2016-11-10 07:55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8" s="52" t="str">
        <f t="shared" si="50"/>
        <v>N</v>
      </c>
      <c r="X168" s="178">
        <f t="shared" si="58"/>
        <v>1</v>
      </c>
      <c r="Y168" s="67">
        <f t="shared" si="61"/>
        <v>5.8693999999999997</v>
      </c>
      <c r="Z168" s="67">
        <f t="shared" si="62"/>
        <v>6.9099999999999995E-2</v>
      </c>
      <c r="AA168" s="67">
        <f t="shared" si="51"/>
        <v>5.8003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2"/>
        <v>0804-10</v>
      </c>
      <c r="AE168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68" s="88" t="str">
        <f t="shared" si="54"/>
        <v>"C:\Program Files (x86)\AstroGrep\AstroGrep.exe" /spath="%USERPROFILE%\AppData\Local\Temp\OnboardLogs" /stypes="app*4043*20161110*" /stext=" 13:.+((SYSTEM_STATE.+slice.+state.+changed )|(ment ac)|(system.+state.+changed )|(\[timeout)|(PRM\|1\|D)|(kpr)|(kdp)|(\|lc)|(penalty))" /e /r /s</v>
      </c>
      <c r="AG168" s="1" t="str">
        <f t="shared" si="55"/>
        <v>NW</v>
      </c>
      <c r="AH168" s="92" t="str">
        <f t="shared" si="56"/>
        <v>"%USERPROFILE%\Documents\GitHub\eaglep3\Utilities\RefineRTDCRunTimes.py" --tripid 804-10 --locoid 4043 --swversion DE.1.0.8.0 --startMP 300:58694 --initTime 2016-11-10T06:37:32 --startdatetime 2016-11-10T06:40:45 --delay 1 --endMP 204:691 --enddatetime 2016-11-10T06:55:57 --enforcementcount 0 &gt;&gt;C:\Users\stu\Documents\GitHub\eaglep3-reporting\EC\2016-11-10-refined-times.txt</v>
      </c>
      <c r="AI168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{"issue":{"subject":"","project_id":79,"tracker_id":40,"status_id":1,"priority_id":2,"assigned_to_id":23,"start_date":"2016-11-10","description":"","custom_fields":[{"id":1,"name":"Subdivision","value":"NW"},{"id":4,"name":"Milepost","value":"0.0691"},{"id":17,"name":"Train ID","value":"804-10"},{"id":16,"name":"Locomotive ID","value":"4043"},{"id":130,"name":"Impact","value":""},{"id":150,"name":"Time of Event (Mountain Time)","value":"06:55:57"},{"id":151,"name":"Denver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385</v>
      </c>
      <c r="B169" s="7">
        <v>4003</v>
      </c>
      <c r="C169" s="22" t="s">
        <v>226</v>
      </c>
      <c r="D169" s="22" t="s">
        <v>742</v>
      </c>
      <c r="E169" s="13">
        <v>42684.280624999999</v>
      </c>
      <c r="F169" s="13">
        <v>42684.285636574074</v>
      </c>
      <c r="G169" s="7">
        <v>1</v>
      </c>
      <c r="H169" s="22" t="s">
        <v>743</v>
      </c>
      <c r="I169" s="13">
        <v>42684.295787037037</v>
      </c>
      <c r="J169" s="7">
        <v>0</v>
      </c>
      <c r="K169" s="109" t="str">
        <f t="shared" si="46"/>
        <v>4003/4004</v>
      </c>
      <c r="L169" s="22" t="str">
        <f>VLOOKUP(A169,'Trips&amp;Operators'!$C$1:$E$10000,3,FALSE)</f>
        <v>OUN</v>
      </c>
      <c r="M169" s="6">
        <f t="shared" si="47"/>
        <v>1.0150462963792961E-2</v>
      </c>
      <c r="N169" s="7">
        <f t="shared" si="59"/>
        <v>14.616666667861864</v>
      </c>
      <c r="O169" s="7"/>
      <c r="P169" s="7"/>
      <c r="Q169" s="23"/>
      <c r="R169" s="23"/>
      <c r="S169" s="35">
        <f t="shared" si="60"/>
        <v>1</v>
      </c>
      <c r="T169" s="50" t="str">
        <f t="shared" si="48"/>
        <v>NorthBound</v>
      </c>
      <c r="U169" s="17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05:44:06-700',mode:absolute,to:'2016-11-10 08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9" s="52" t="str">
        <f t="shared" si="50"/>
        <v>N</v>
      </c>
      <c r="X169" s="178">
        <f t="shared" si="58"/>
        <v>1</v>
      </c>
      <c r="Y169" s="67">
        <f t="shared" si="61"/>
        <v>9.7600000000000006E-2</v>
      </c>
      <c r="Z169" s="67">
        <f t="shared" si="62"/>
        <v>5.8929</v>
      </c>
      <c r="AA169" s="67">
        <f t="shared" si="51"/>
        <v>5.7953000000000001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2"/>
        <v>0805-10</v>
      </c>
      <c r="AE169" s="91" t="str">
        <f t="shared" si="53"/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69" s="88" t="str">
        <f t="shared" si="54"/>
        <v>"C:\Program Files (x86)\AstroGrep\AstroGrep.exe" /spath="%USERPROFILE%\AppData\Local\Temp\OnboardLogs" /stypes="app*4003*20161110*" /stext=" 14:.+((SYSTEM_STATE.+slice.+state.+changed )|(ment ac)|(system.+state.+changed )|(\[timeout)|(PRM\|1\|D)|(kpr)|(kdp)|(\|lc)|(penalty))" /e /r /s</v>
      </c>
      <c r="AG169" s="1" t="str">
        <f t="shared" si="55"/>
        <v>NW</v>
      </c>
      <c r="AH169" s="92" t="str">
        <f t="shared" si="56"/>
        <v>"%USERPROFILE%\Documents\GitHub\eaglep3\Utilities\RefineRTDCRunTimes.py" --tripid 805-10 --locoid 4003 --swversion DE.1.0.8.0 --startMP 204:976 --initTime 2016-11-10T06:44:06 --startdatetime 2016-11-10T06:51:19 --delay 1 --endMP 300:58929 --enddatetime 2016-11-10T07:05:56 --enforcementcount 0 &gt;&gt;C:\Users\stu\Documents\GitHub\eaglep3-reporting\EC\2016-11-10-refined-times.txt</v>
      </c>
      <c r="AI169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{"issue":{"subject":"","project_id":79,"tracker_id":40,"status_id":1,"priority_id":2,"assigned_to_id":23,"start_date":"2016-11-10","description":"","custom_fields":[{"id":1,"name":"Subdivision","value":"NW"},{"id":4,"name":"Milepost","value":"5.8929"},{"id":17,"name":"Train ID","value":"805-10"},{"id":16,"name":"Locomotive ID","value":"4003"},{"id":130,"name":"Impact","value":""},{"id":150,"name":"Time of Event (Mountain Time)","value":"07:05:56"},{"id":151,"name":"Denver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458</v>
      </c>
      <c r="B170" s="7">
        <v>4004</v>
      </c>
      <c r="C170" s="22" t="s">
        <v>226</v>
      </c>
      <c r="D170" s="22" t="s">
        <v>744</v>
      </c>
      <c r="E170" s="13">
        <v>42684.297164351854</v>
      </c>
      <c r="F170" s="13">
        <v>42684.298622685186</v>
      </c>
      <c r="G170" s="7">
        <v>1</v>
      </c>
      <c r="H170" s="22" t="s">
        <v>366</v>
      </c>
      <c r="I170" s="13">
        <v>42684.310115740744</v>
      </c>
      <c r="J170" s="7">
        <v>0</v>
      </c>
      <c r="K170" s="109" t="str">
        <f t="shared" si="46"/>
        <v>4003/4004</v>
      </c>
      <c r="L170" s="22" t="str">
        <f>VLOOKUP(A170,'Trips&amp;Operators'!$C$1:$E$10000,3,FALSE)</f>
        <v>OUN</v>
      </c>
      <c r="M170" s="6">
        <f t="shared" si="47"/>
        <v>1.1493055557366461E-2</v>
      </c>
      <c r="N170" s="7">
        <f t="shared" si="59"/>
        <v>16.550000002607703</v>
      </c>
      <c r="O170" s="7"/>
      <c r="P170" s="7"/>
      <c r="Q170" s="23"/>
      <c r="R170" s="23"/>
      <c r="S170" s="35">
        <f t="shared" si="60"/>
        <v>1</v>
      </c>
      <c r="T170" s="50" t="str">
        <f t="shared" si="48"/>
        <v>Southbound</v>
      </c>
      <c r="U170" s="17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06:07:55-700',mode:absolute,to:'2016-11-10 08:26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0" s="52" t="str">
        <f t="shared" si="50"/>
        <v>N</v>
      </c>
      <c r="X170" s="178">
        <f t="shared" si="58"/>
        <v>1</v>
      </c>
      <c r="Y170" s="67">
        <f t="shared" si="61"/>
        <v>5.8616999999999999</v>
      </c>
      <c r="Z170" s="67">
        <f t="shared" si="62"/>
        <v>6.8500000000000005E-2</v>
      </c>
      <c r="AA170" s="67">
        <f t="shared" si="51"/>
        <v>5.7931999999999997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2"/>
        <v>0806-10</v>
      </c>
      <c r="AE170" s="91" t="str">
        <f t="shared" si="53"/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70" s="88" t="str">
        <f t="shared" si="54"/>
        <v>"C:\Program Files (x86)\AstroGrep\AstroGrep.exe" /spath="%USERPROFILE%\AppData\Local\Temp\OnboardLogs" /stypes="app*4004*20161110*" /stext=" 14:.+((SYSTEM_STATE.+slice.+state.+changed )|(ment ac)|(system.+state.+changed )|(\[timeout)|(PRM\|1\|D)|(kpr)|(kdp)|(\|lc)|(penalty))" /e /r /s</v>
      </c>
      <c r="AG170" s="1" t="str">
        <f t="shared" si="55"/>
        <v>NW</v>
      </c>
      <c r="AH170" s="92" t="str">
        <f t="shared" si="56"/>
        <v>"%USERPROFILE%\Documents\GitHub\eaglep3\Utilities\RefineRTDCRunTimes.py" --tripid 806-10 --locoid 4004 --swversion DE.1.0.8.0 --startMP 300:58617 --initTime 2016-11-10T07:07:55 --startdatetime 2016-11-10T07:10:01 --delay 1 --endMP 204:685 --enddatetime 2016-11-10T07:26:34 --enforcementcount 0 &gt;&gt;C:\Users\stu\Documents\GitHub\eaglep3-reporting\EC\2016-11-10-refined-times.txt</v>
      </c>
      <c r="AI170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{"issue":{"subject":"","project_id":79,"tracker_id":40,"status_id":1,"priority_id":2,"assigned_to_id":23,"start_date":"2016-11-10","description":"","custom_fields":[{"id":1,"name":"Subdivision","value":"NW"},{"id":4,"name":"Milepost","value":"0.0685"},{"id":17,"name":"Train ID","value":"806-10"},{"id":16,"name":"Locomotive ID","value":"4004"},{"id":130,"name":"Impact","value":""},{"id":150,"name":"Time of Event (Mountain Time)","value":"07:26:34"},{"id":151,"name":"Denver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460</v>
      </c>
      <c r="B171" s="7">
        <v>4044</v>
      </c>
      <c r="C171" s="22" t="s">
        <v>226</v>
      </c>
      <c r="D171" s="22" t="s">
        <v>742</v>
      </c>
      <c r="E171" s="13">
        <v>42684.303171296298</v>
      </c>
      <c r="F171" s="13">
        <v>42684.306481481479</v>
      </c>
      <c r="G171" s="7">
        <v>1</v>
      </c>
      <c r="H171" s="22" t="s">
        <v>369</v>
      </c>
      <c r="I171" s="13">
        <v>42684.315879629627</v>
      </c>
      <c r="J171" s="7">
        <v>0</v>
      </c>
      <c r="K171" s="109" t="str">
        <f t="shared" si="46"/>
        <v>4043/4044</v>
      </c>
      <c r="L171" s="22" t="str">
        <f>VLOOKUP(A171,'Trips&amp;Operators'!$C$1:$E$10000,3,FALSE)</f>
        <v>MACDONALD</v>
      </c>
      <c r="M171" s="6">
        <f t="shared" si="47"/>
        <v>9.3981481477385387E-3</v>
      </c>
      <c r="N171" s="7">
        <f t="shared" si="59"/>
        <v>13.533333332743496</v>
      </c>
      <c r="O171" s="7"/>
      <c r="P171" s="7"/>
      <c r="Q171" s="23"/>
      <c r="R171" s="23"/>
      <c r="S171" s="35">
        <f t="shared" si="60"/>
        <v>1</v>
      </c>
      <c r="T171" s="50" t="str">
        <f t="shared" si="48"/>
        <v>NorthBound</v>
      </c>
      <c r="U171" s="17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06:16:34-700',mode:absolute,to:'2016-11-10 08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1" s="52" t="str">
        <f t="shared" si="50"/>
        <v>N</v>
      </c>
      <c r="X171" s="178">
        <f t="shared" si="58"/>
        <v>1</v>
      </c>
      <c r="Y171" s="67">
        <f t="shared" si="61"/>
        <v>9.7600000000000006E-2</v>
      </c>
      <c r="Z171" s="67">
        <f t="shared" si="62"/>
        <v>5.8987999999999996</v>
      </c>
      <c r="AA171" s="67">
        <f t="shared" si="51"/>
        <v>5.8011999999999997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2"/>
        <v>0807-10</v>
      </c>
      <c r="AE171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71" s="88" t="str">
        <f t="shared" si="54"/>
        <v>"C:\Program Files (x86)\AstroGrep\AstroGrep.exe" /spath="%USERPROFILE%\AppData\Local\Temp\OnboardLogs" /stypes="app*4044*20161110*" /stext=" 14:.+((SYSTEM_STATE.+slice.+state.+changed )|(ment ac)|(system.+state.+changed )|(\[timeout)|(PRM\|1\|D)|(kpr)|(kdp)|(\|lc)|(penalty))" /e /r /s</v>
      </c>
      <c r="AG171" s="1" t="str">
        <f t="shared" si="55"/>
        <v>NW</v>
      </c>
      <c r="AH171" s="92" t="str">
        <f t="shared" si="56"/>
        <v>"%USERPROFILE%\Documents\GitHub\eaglep3\Utilities\RefineRTDCRunTimes.py" --tripid 807-10 --locoid 4044 --swversion DE.1.0.8.0 --startMP 204:976 --initTime 2016-11-10T07:16:34 --startdatetime 2016-11-10T07:21:20 --delay 1 --endMP 300:58988 --enddatetime 2016-11-10T07:34:52 --enforcementcount 0 &gt;&gt;C:\Users\stu\Documents\GitHub\eaglep3-reporting\EC\2016-11-10-refined-times.txt</v>
      </c>
      <c r="AI171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{"issue":{"subject":"","project_id":79,"tracker_id":40,"status_id":1,"priority_id":2,"assigned_to_id":23,"start_date":"2016-11-10","description":"","custom_fields":[{"id":1,"name":"Subdivision","value":"NW"},{"id":4,"name":"Milepost","value":"5.8988"},{"id":17,"name":"Train ID","value":"807-10"},{"id":16,"name":"Locomotive ID","value":"4044"},{"id":130,"name":"Impact","value":""},{"id":150,"name":"Time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463</v>
      </c>
      <c r="B172" s="7">
        <v>4043</v>
      </c>
      <c r="C172" s="22" t="s">
        <v>226</v>
      </c>
      <c r="D172" s="22" t="s">
        <v>745</v>
      </c>
      <c r="E172" s="13">
        <v>42684.317129629628</v>
      </c>
      <c r="F172" s="13">
        <v>42684.319131944445</v>
      </c>
      <c r="G172" s="7">
        <v>1</v>
      </c>
      <c r="H172" s="22" t="s">
        <v>287</v>
      </c>
      <c r="I172" s="13">
        <v>42684.330590277779</v>
      </c>
      <c r="J172" s="7">
        <v>0</v>
      </c>
      <c r="K172" s="109" t="str">
        <f t="shared" si="46"/>
        <v>4043/4044</v>
      </c>
      <c r="L172" s="22" t="str">
        <f>VLOOKUP(A172,'Trips&amp;Operators'!$C$1:$E$10000,3,FALSE)</f>
        <v>MACDONALD</v>
      </c>
      <c r="M172" s="6">
        <f t="shared" si="47"/>
        <v>1.1458333334303461E-2</v>
      </c>
      <c r="N172" s="7">
        <f t="shared" si="59"/>
        <v>16.500000001396984</v>
      </c>
      <c r="O172" s="7"/>
      <c r="P172" s="7"/>
      <c r="Q172" s="23"/>
      <c r="R172" s="23"/>
      <c r="S172" s="35">
        <f t="shared" si="60"/>
        <v>1</v>
      </c>
      <c r="T172" s="50" t="str">
        <f t="shared" si="48"/>
        <v>Southbound</v>
      </c>
      <c r="U172" s="17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06:36:40-700',mode:absolute,to:'2016-11-10 08:56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2" s="52" t="str">
        <f t="shared" si="50"/>
        <v>N</v>
      </c>
      <c r="X172" s="178">
        <f t="shared" si="58"/>
        <v>1</v>
      </c>
      <c r="Y172" s="67">
        <f t="shared" si="61"/>
        <v>5.8672000000000004</v>
      </c>
      <c r="Z172" s="67">
        <f t="shared" si="62"/>
        <v>6.7699999999999996E-2</v>
      </c>
      <c r="AA172" s="67">
        <f t="shared" si="51"/>
        <v>5.7995000000000001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2"/>
        <v>0808-10</v>
      </c>
      <c r="AE172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72" s="88" t="str">
        <f t="shared" si="54"/>
        <v>"C:\Program Files (x86)\AstroGrep\AstroGrep.exe" /spath="%USERPROFILE%\AppData\Local\Temp\OnboardLogs" /stypes="app*4043*20161110*" /stext=" 14:.+((SYSTEM_STATE.+slice.+state.+changed )|(ment ac)|(system.+state.+changed )|(\[timeout)|(PRM\|1\|D)|(kpr)|(kdp)|(\|lc)|(penalty))" /e /r /s</v>
      </c>
      <c r="AG172" s="1" t="str">
        <f t="shared" si="55"/>
        <v>NW</v>
      </c>
      <c r="AH172" s="92" t="str">
        <f t="shared" si="56"/>
        <v>"%USERPROFILE%\Documents\GitHub\eaglep3\Utilities\RefineRTDCRunTimes.py" --tripid 808-10 --locoid 4043 --swversion DE.1.0.8.0 --startMP 300:58672 --initTime 2016-11-10T07:36:40 --startdatetime 2016-11-10T07:39:33 --delay 1 --endMP 204:677 --enddatetime 2016-11-10T07:56:03 --enforcementcount 0 &gt;&gt;C:\Users\stu\Documents\GitHub\eaglep3-reporting\EC\2016-11-10-refined-times.txt</v>
      </c>
      <c r="AI172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{"issue":{"subject":"","project_id":79,"tracker_id":40,"status_id":1,"priority_id":2,"assigned_to_id":23,"start_date":"2016-11-10","description":"","custom_fields":[{"id":1,"name":"Subdivision","value":"NW"},{"id":4,"name":"Milepost","value":"0.0677"},{"id":17,"name":"Train ID","value":"808-10"},{"id":16,"name":"Locomotive ID","value":"4043"},{"id":130,"name":"Impact","value":""},{"id":150,"name":"Time of Event (Mountain Time)","value":"07:56:03"},{"id":151,"name":"Denver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464</v>
      </c>
      <c r="B173" s="7">
        <v>4003</v>
      </c>
      <c r="C173" s="22" t="s">
        <v>226</v>
      </c>
      <c r="D173" s="22" t="s">
        <v>746</v>
      </c>
      <c r="E173" s="13">
        <v>42684.319282407407</v>
      </c>
      <c r="F173" s="13">
        <v>42684.327349537038</v>
      </c>
      <c r="G173" s="7">
        <v>1</v>
      </c>
      <c r="H173" s="22" t="s">
        <v>747</v>
      </c>
      <c r="I173" s="13">
        <v>42684.338113425925</v>
      </c>
      <c r="J173" s="7">
        <v>0</v>
      </c>
      <c r="K173" s="109" t="str">
        <f t="shared" si="46"/>
        <v>4003/4004</v>
      </c>
      <c r="L173" s="22" t="str">
        <f>VLOOKUP(A173,'Trips&amp;Operators'!$C$1:$E$10000,3,FALSE)</f>
        <v>OUN</v>
      </c>
      <c r="M173" s="6">
        <f t="shared" si="47"/>
        <v>1.0763888887595385E-2</v>
      </c>
      <c r="N173" s="7">
        <f t="shared" si="59"/>
        <v>15.499999998137355</v>
      </c>
      <c r="O173" s="7"/>
      <c r="P173" s="7"/>
      <c r="Q173" s="23"/>
      <c r="R173" s="23"/>
      <c r="S173" s="35">
        <f t="shared" si="60"/>
        <v>1</v>
      </c>
      <c r="T173" s="50" t="str">
        <f t="shared" si="48"/>
        <v>NorthBound</v>
      </c>
      <c r="U173" s="17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06:39:46-700',mode:absolute,to:'2016-11-10 09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3" s="52" t="str">
        <f t="shared" si="50"/>
        <v>N</v>
      </c>
      <c r="X173" s="178">
        <f t="shared" si="58"/>
        <v>1</v>
      </c>
      <c r="Y173" s="67">
        <f t="shared" si="61"/>
        <v>9.69E-2</v>
      </c>
      <c r="Z173" s="67">
        <f t="shared" si="62"/>
        <v>5.8921999999999999</v>
      </c>
      <c r="AA173" s="67">
        <f t="shared" si="51"/>
        <v>5.7953000000000001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2"/>
        <v>0809-10</v>
      </c>
      <c r="AE173" s="91" t="str">
        <f t="shared" si="53"/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73" s="88" t="str">
        <f t="shared" si="54"/>
        <v>"C:\Program Files (x86)\AstroGrep\AstroGrep.exe" /spath="%USERPROFILE%\AppData\Local\Temp\OnboardLogs" /stypes="app*4003*20161110*" /stext=" 15:.+((SYSTEM_STATE.+slice.+state.+changed )|(ment ac)|(system.+state.+changed )|(\[timeout)|(PRM\|1\|D)|(kpr)|(kdp)|(\|lc)|(penalty))" /e /r /s</v>
      </c>
      <c r="AG173" s="1" t="str">
        <f t="shared" si="55"/>
        <v>NW</v>
      </c>
      <c r="AH173" s="92" t="str">
        <f t="shared" si="56"/>
        <v>"%USERPROFILE%\Documents\GitHub\eaglep3\Utilities\RefineRTDCRunTimes.py" --tripid 809-10 --locoid 4003 --swversion DE.1.0.8.0 --startMP 204:969 --initTime 2016-11-10T07:39:46 --startdatetime 2016-11-10T07:51:23 --delay 1 --endMP 300:58922 --enddatetime 2016-11-10T08:06:53 --enforcementcount 0 &gt;&gt;C:\Users\stu\Documents\GitHub\eaglep3-reporting\EC\2016-11-10-refined-times.txt</v>
      </c>
      <c r="AI173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{"issue":{"subject":"","project_id":79,"tracker_id":40,"status_id":1,"priority_id":2,"assigned_to_id":23,"start_date":"2016-11-10","description":"","custom_fields":[{"id":1,"name":"Subdivision","value":"NW"},{"id":4,"name":"Milepost","value":"5.8922"},{"id":17,"name":"Train ID","value":"809-10"},{"id":16,"name":"Locomotive ID","value":"4003"},{"id":130,"name":"Impact","value":""},{"id":150,"name":"Time of Event (Mountain Time)","value":"08:06:53"},{"id":151,"name":"Denver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471</v>
      </c>
      <c r="B174" s="7">
        <v>4004</v>
      </c>
      <c r="C174" s="22" t="s">
        <v>226</v>
      </c>
      <c r="D174" s="22" t="s">
        <v>748</v>
      </c>
      <c r="E174" s="13">
        <v>42684.339363425926</v>
      </c>
      <c r="F174" s="13">
        <v>42684.340914351851</v>
      </c>
      <c r="G174" s="7">
        <v>1</v>
      </c>
      <c r="H174" s="22" t="s">
        <v>269</v>
      </c>
      <c r="I174" s="13">
        <v>42684.351712962962</v>
      </c>
      <c r="J174" s="7">
        <v>0</v>
      </c>
      <c r="K174" s="109" t="str">
        <f t="shared" si="46"/>
        <v>4003/4004</v>
      </c>
      <c r="L174" s="22" t="str">
        <f>VLOOKUP(A174,'Trips&amp;Operators'!$C$1:$E$10000,3,FALSE)</f>
        <v>OUN</v>
      </c>
      <c r="M174" s="6">
        <f t="shared" si="47"/>
        <v>1.0798611110658385E-2</v>
      </c>
      <c r="N174" s="7">
        <f t="shared" si="59"/>
        <v>15.549999999348074</v>
      </c>
      <c r="O174" s="7"/>
      <c r="P174" s="7"/>
      <c r="Q174" s="23"/>
      <c r="R174" s="23"/>
      <c r="S174" s="35">
        <f t="shared" si="60"/>
        <v>1</v>
      </c>
      <c r="T174" s="50" t="str">
        <f t="shared" si="48"/>
        <v>Southbound</v>
      </c>
      <c r="U174" s="17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07:08:41-700',mode:absolute,to:'2016-11-10 09:26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4" s="52" t="str">
        <f t="shared" si="50"/>
        <v>N</v>
      </c>
      <c r="X174" s="178">
        <f t="shared" si="58"/>
        <v>1</v>
      </c>
      <c r="Y174" s="67">
        <f t="shared" si="61"/>
        <v>5.8604000000000003</v>
      </c>
      <c r="Z174" s="67">
        <f t="shared" si="62"/>
        <v>1.6899999999999998E-2</v>
      </c>
      <c r="AA174" s="67">
        <f t="shared" si="51"/>
        <v>5.8435000000000006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2"/>
        <v>0810-10</v>
      </c>
      <c r="AE174" s="91" t="str">
        <f t="shared" si="53"/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74" s="88" t="str">
        <f t="shared" si="54"/>
        <v>"C:\Program Files (x86)\AstroGrep\AstroGrep.exe" /spath="%USERPROFILE%\AppData\Local\Temp\OnboardLogs" /stypes="app*4004*20161110*" /stext=" 15:.+((SYSTEM_STATE.+slice.+state.+changed )|(ment ac)|(system.+state.+changed )|(\[timeout)|(PRM\|1\|D)|(kpr)|(kdp)|(\|lc)|(penalty))" /e /r /s</v>
      </c>
      <c r="AG174" s="1" t="str">
        <f t="shared" si="55"/>
        <v>NW</v>
      </c>
      <c r="AH174" s="92" t="str">
        <f t="shared" si="56"/>
        <v>"%USERPROFILE%\Documents\GitHub\eaglep3\Utilities\RefineRTDCRunTimes.py" --tripid 810-10 --locoid 4004 --swversion DE.1.0.8.0 --startMP 300:58604 --initTime 2016-11-10T08:08:41 --startdatetime 2016-11-10T08:10:55 --delay 1 --endMP 204:169 --enddatetime 2016-11-10T08:26:28 --enforcementcount 0 &gt;&gt;C:\Users\stu\Documents\GitHub\eaglep3-reporting\EC\2016-11-10-refined-times.txt</v>
      </c>
      <c r="AI174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{"issue":{"subject":"","project_id":79,"tracker_id":40,"status_id":1,"priority_id":2,"assigned_to_id":23,"start_date":"2016-11-10","description":"","custom_fields":[{"id":1,"name":"Subdivision","value":"NW"},{"id":4,"name":"Milepost","value":"0.0169"},{"id":17,"name":"Train ID","value":"810-10"},{"id":16,"name":"Locomotive ID","value":"4004"},{"id":130,"name":"Impact","value":""},{"id":150,"name":"Time of Event (Mountain Time)","value":"08:26:28"},{"id":151,"name":"Denver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467</v>
      </c>
      <c r="B175" s="7">
        <v>4044</v>
      </c>
      <c r="C175" s="22" t="s">
        <v>226</v>
      </c>
      <c r="D175" s="22" t="s">
        <v>739</v>
      </c>
      <c r="E175" s="13">
        <v>42684.331956018519</v>
      </c>
      <c r="F175" s="13">
        <v>42684.349305555559</v>
      </c>
      <c r="G175" s="7">
        <v>1</v>
      </c>
      <c r="H175" s="22" t="s">
        <v>374</v>
      </c>
      <c r="I175" s="13">
        <v>42684.358252314814</v>
      </c>
      <c r="J175" s="7">
        <v>0</v>
      </c>
      <c r="K175" s="109" t="str">
        <f t="shared" si="46"/>
        <v>4043/4044</v>
      </c>
      <c r="L175" s="22" t="str">
        <f>VLOOKUP(A175,'Trips&amp;Operators'!$C$1:$E$10000,3,FALSE)</f>
        <v>MACDONALD</v>
      </c>
      <c r="M175" s="6">
        <f t="shared" si="47"/>
        <v>8.9467592551955022E-3</v>
      </c>
      <c r="N175" s="7">
        <f t="shared" si="59"/>
        <v>12.883333327481523</v>
      </c>
      <c r="O175" s="7"/>
      <c r="P175" s="7"/>
      <c r="Q175" s="23"/>
      <c r="R175" s="23"/>
      <c r="S175" s="35">
        <f t="shared" si="60"/>
        <v>1</v>
      </c>
      <c r="T175" s="50" t="str">
        <f t="shared" si="48"/>
        <v>NorthBound</v>
      </c>
      <c r="U175" s="17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06:58:01-700',mode:absolute,to:'2016-11-10 09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5" s="52" t="str">
        <f t="shared" si="50"/>
        <v>N</v>
      </c>
      <c r="X175" s="178">
        <f t="shared" si="58"/>
        <v>1</v>
      </c>
      <c r="Y175" s="67">
        <f t="shared" si="61"/>
        <v>9.74E-2</v>
      </c>
      <c r="Z175" s="67">
        <f t="shared" si="62"/>
        <v>5.8975</v>
      </c>
      <c r="AA175" s="67">
        <f t="shared" si="51"/>
        <v>5.8000999999999996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2"/>
        <v>0811-10</v>
      </c>
      <c r="AE175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75" s="88" t="str">
        <f t="shared" si="54"/>
        <v>"C:\Program Files (x86)\AstroGrep\AstroGrep.exe" /spath="%USERPROFILE%\AppData\Local\Temp\OnboardLogs" /stypes="app*4044*20161110*" /stext=" 15:.+((SYSTEM_STATE.+slice.+state.+changed )|(ment ac)|(system.+state.+changed )|(\[timeout)|(PRM\|1\|D)|(kpr)|(kdp)|(\|lc)|(penalty))" /e /r /s</v>
      </c>
      <c r="AG175" s="1" t="str">
        <f t="shared" si="55"/>
        <v>NW</v>
      </c>
      <c r="AH175" s="92" t="str">
        <f t="shared" si="56"/>
        <v>"%USERPROFILE%\Documents\GitHub\eaglep3\Utilities\RefineRTDCRunTimes.py" --tripid 811-10 --locoid 4044 --swversion DE.1.0.8.0 --startMP 204:974 --initTime 2016-11-10T07:58:01 --startdatetime 2016-11-10T08:23:00 --delay 1 --endMP 300:58975 --enddatetime 2016-11-10T08:35:53 --enforcementcount 0 &gt;&gt;C:\Users\stu\Documents\GitHub\eaglep3-reporting\EC\2016-11-10-refined-times.txt</v>
      </c>
      <c r="AI175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{"issue":{"subject":"","project_id":79,"tracker_id":40,"status_id":1,"priority_id":2,"assigned_to_id":23,"start_date":"2016-11-10","description":"","custom_fields":[{"id":1,"name":"Subdivision","value":"NW"},{"id":4,"name":"Milepost","value":"5.8975"},{"id":17,"name":"Train ID","value":"811-10"},{"id":16,"name":"Locomotive ID","value":"4044"},{"id":130,"name":"Impact","value":""},{"id":150,"name":"Time of Event (Mountain Time)","value":"08:35:53"},{"id":151,"name":"Denver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474</v>
      </c>
      <c r="B176" s="7">
        <v>4043</v>
      </c>
      <c r="C176" s="22" t="s">
        <v>226</v>
      </c>
      <c r="D176" s="22" t="s">
        <v>372</v>
      </c>
      <c r="E176" s="13">
        <v>42684.3590625</v>
      </c>
      <c r="F176" s="13">
        <v>42684.360590277778</v>
      </c>
      <c r="G176" s="7">
        <v>1</v>
      </c>
      <c r="H176" s="22" t="s">
        <v>749</v>
      </c>
      <c r="I176" s="13">
        <v>42684.371412037035</v>
      </c>
      <c r="J176" s="7">
        <v>0</v>
      </c>
      <c r="K176" s="109" t="str">
        <f t="shared" si="46"/>
        <v>4043/4044</v>
      </c>
      <c r="L176" s="22" t="str">
        <f>VLOOKUP(A176,'Trips&amp;Operators'!$C$1:$E$10000,3,FALSE)</f>
        <v>MACDONALD</v>
      </c>
      <c r="M176" s="6">
        <f t="shared" si="47"/>
        <v>1.0821759256941732E-2</v>
      </c>
      <c r="N176" s="7">
        <f t="shared" si="59"/>
        <v>15.583333329996094</v>
      </c>
      <c r="O176" s="7"/>
      <c r="P176" s="7"/>
      <c r="Q176" s="23"/>
      <c r="R176" s="23"/>
      <c r="S176" s="35">
        <f t="shared" si="60"/>
        <v>1</v>
      </c>
      <c r="T176" s="50" t="str">
        <f t="shared" si="48"/>
        <v>Southbound</v>
      </c>
      <c r="U176" s="17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07:37:03-700',mode:absolute,to:'2016-11-10 09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6" s="52" t="str">
        <f t="shared" si="50"/>
        <v>N</v>
      </c>
      <c r="X176" s="178">
        <f t="shared" si="58"/>
        <v>1</v>
      </c>
      <c r="Y176" s="67">
        <f t="shared" si="61"/>
        <v>5.8667999999999996</v>
      </c>
      <c r="Z176" s="67">
        <f t="shared" si="62"/>
        <v>6.6799999999999998E-2</v>
      </c>
      <c r="AA176" s="67">
        <f t="shared" si="51"/>
        <v>5.8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2"/>
        <v>0812-10</v>
      </c>
      <c r="AE176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76" s="88" t="str">
        <f t="shared" si="54"/>
        <v>"C:\Program Files (x86)\AstroGrep\AstroGrep.exe" /spath="%USERPROFILE%\AppData\Local\Temp\OnboardLogs" /stypes="app*4043*20161110*" /stext=" 15:.+((SYSTEM_STATE.+slice.+state.+changed )|(ment ac)|(system.+state.+changed )|(\[timeout)|(PRM\|1\|D)|(kpr)|(kdp)|(\|lc)|(penalty))" /e /r /s</v>
      </c>
      <c r="AG176" s="1" t="str">
        <f t="shared" si="55"/>
        <v>NW</v>
      </c>
      <c r="AH176" s="92" t="str">
        <f t="shared" si="56"/>
        <v>"%USERPROFILE%\Documents\GitHub\eaglep3\Utilities\RefineRTDCRunTimes.py" --tripid 812-10 --locoid 4043 --swversion DE.1.0.8.0 --startMP 300:58668 --initTime 2016-11-10T08:37:03 --startdatetime 2016-11-10T08:39:15 --delay 1 --endMP 204:668 --enddatetime 2016-11-10T08:54:50 --enforcementcount 0 &gt;&gt;C:\Users\stu\Documents\GitHub\eaglep3-reporting\EC\2016-11-10-refined-times.txt</v>
      </c>
      <c r="AI176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{"issue":{"subject":"","project_id":79,"tracker_id":40,"status_id":1,"priority_id":2,"assigned_to_id":23,"start_date":"2016-11-10","description":"","custom_fields":[{"id":1,"name":"Subdivision","value":"NW"},{"id":4,"name":"Milepost","value":"0.0668"},{"id":17,"name":"Train ID","value":"812-10"},{"id":16,"name":"Locomotive ID","value":"4043"},{"id":130,"name":"Impact","value":""},{"id":150,"name":"Time of Event (Mountain Time)","value":"08:54:50"},{"id":151,"name":"Denver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481</v>
      </c>
      <c r="B177" s="7">
        <v>4044</v>
      </c>
      <c r="C177" s="22" t="s">
        <v>226</v>
      </c>
      <c r="D177" s="22" t="s">
        <v>737</v>
      </c>
      <c r="E177" s="13">
        <v>42684.38616898148</v>
      </c>
      <c r="F177" s="13">
        <v>42684.389745370368</v>
      </c>
      <c r="G177" s="7">
        <v>1</v>
      </c>
      <c r="H177" s="22" t="s">
        <v>750</v>
      </c>
      <c r="I177" s="13">
        <v>42684.398773148147</v>
      </c>
      <c r="J177" s="7">
        <v>0</v>
      </c>
      <c r="K177" s="109" t="str">
        <f t="shared" si="46"/>
        <v>4043/4044</v>
      </c>
      <c r="L177" s="22" t="str">
        <f>VLOOKUP(A177,'Trips&amp;Operators'!$C$1:$E$10000,3,FALSE)</f>
        <v>GEBRETEKLE</v>
      </c>
      <c r="M177" s="6">
        <f t="shared" si="47"/>
        <v>9.0277777781011537E-3</v>
      </c>
      <c r="N177" s="7">
        <f t="shared" si="59"/>
        <v>13.000000000465661</v>
      </c>
      <c r="O177" s="7"/>
      <c r="P177" s="7"/>
      <c r="Q177" s="23"/>
      <c r="R177" s="23"/>
      <c r="S177" s="35">
        <f t="shared" si="60"/>
        <v>1</v>
      </c>
      <c r="T177" s="50" t="str">
        <f t="shared" si="48"/>
        <v>NorthBound</v>
      </c>
      <c r="U177" s="17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08:16:05-700',mode:absolute,to:'2016-11-10 10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7" s="52" t="str">
        <f t="shared" si="50"/>
        <v>N</v>
      </c>
      <c r="X177" s="178">
        <f t="shared" si="58"/>
        <v>1</v>
      </c>
      <c r="Y177" s="67">
        <f t="shared" si="61"/>
        <v>9.64E-2</v>
      </c>
      <c r="Z177" s="67">
        <f t="shared" si="62"/>
        <v>5.8986000000000001</v>
      </c>
      <c r="AA177" s="67">
        <f t="shared" si="51"/>
        <v>5.8022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2"/>
        <v>0813-10</v>
      </c>
      <c r="AE177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77" s="88" t="str">
        <f t="shared" si="54"/>
        <v>"C:\Program Files (x86)\AstroGrep\AstroGrep.exe" /spath="%USERPROFILE%\AppData\Local\Temp\OnboardLogs" /stypes="app*4044*20161110*" /stext=" 16:.+((SYSTEM_STATE.+slice.+state.+changed )|(ment ac)|(system.+state.+changed )|(\[timeout)|(PRM\|1\|D)|(kpr)|(kdp)|(\|lc)|(penalty))" /e /r /s</v>
      </c>
      <c r="AG177" s="1" t="str">
        <f t="shared" si="55"/>
        <v>NW</v>
      </c>
      <c r="AH177" s="92" t="str">
        <f t="shared" si="56"/>
        <v>"%USERPROFILE%\Documents\GitHub\eaglep3\Utilities\RefineRTDCRunTimes.py" --tripid 813-10 --locoid 4044 --swversion DE.1.0.8.0 --startMP 204:964 --initTime 2016-11-10T09:16:05 --startdatetime 2016-11-10T09:21:14 --delay 1 --endMP 300:58986 --enddatetime 2016-11-10T09:34:14 --enforcementcount 0 &gt;&gt;C:\Users\stu\Documents\GitHub\eaglep3-reporting\EC\2016-11-10-refined-times.txt</v>
      </c>
      <c r="AI177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{"issue":{"subject":"","project_id":79,"tracker_id":40,"status_id":1,"priority_id":2,"assigned_to_id":23,"start_date":"2016-11-10","description":"","custom_fields":[{"id":1,"name":"Subdivision","value":"NW"},{"id":4,"name":"Milepost","value":"5.8986"},{"id":17,"name":"Train ID","value":"813-10"},{"id":16,"name":"Locomotive ID","value":"4044"},{"id":130,"name":"Impact","value":""},{"id":150,"name":"Time of Event (Mountain Time)","value":"09:34:14"},{"id":151,"name":"Denver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484</v>
      </c>
      <c r="B178" s="7">
        <v>4043</v>
      </c>
      <c r="C178" s="22" t="s">
        <v>226</v>
      </c>
      <c r="D178" s="22" t="s">
        <v>370</v>
      </c>
      <c r="E178" s="13">
        <v>42684.399988425925</v>
      </c>
      <c r="F178" s="13">
        <v>42684.401863425926</v>
      </c>
      <c r="G178" s="7">
        <v>2</v>
      </c>
      <c r="H178" s="22" t="s">
        <v>314</v>
      </c>
      <c r="I178" s="13">
        <v>42684.413032407407</v>
      </c>
      <c r="J178" s="7">
        <v>0</v>
      </c>
      <c r="K178" s="109" t="str">
        <f t="shared" si="46"/>
        <v>4043/4044</v>
      </c>
      <c r="L178" s="22" t="str">
        <f>VLOOKUP(A178,'Trips&amp;Operators'!$C$1:$E$10000,3,FALSE)</f>
        <v>GEBRETEKLE</v>
      </c>
      <c r="M178" s="6">
        <f t="shared" si="47"/>
        <v>1.116898148029577E-2</v>
      </c>
      <c r="N178" s="7">
        <f t="shared" si="59"/>
        <v>16.083333331625909</v>
      </c>
      <c r="O178" s="7"/>
      <c r="P178" s="7"/>
      <c r="Q178" s="23"/>
      <c r="R178" s="23"/>
      <c r="S178" s="35">
        <f t="shared" si="60"/>
        <v>1</v>
      </c>
      <c r="T178" s="50" t="str">
        <f t="shared" si="48"/>
        <v>Southbound</v>
      </c>
      <c r="U178" s="17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08:35:59-700',mode:absolute,to:'2016-11-10 10:54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8" s="52" t="str">
        <f t="shared" si="50"/>
        <v>N</v>
      </c>
      <c r="X178" s="178">
        <f t="shared" si="58"/>
        <v>1</v>
      </c>
      <c r="Y178" s="67">
        <f t="shared" si="61"/>
        <v>5.8673000000000002</v>
      </c>
      <c r="Z178" s="67">
        <f t="shared" si="62"/>
        <v>6.8699999999999997E-2</v>
      </c>
      <c r="AA178" s="67">
        <f t="shared" si="51"/>
        <v>5.7986000000000004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2"/>
        <v>0814-10</v>
      </c>
      <c r="AE178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78" s="88" t="str">
        <f t="shared" si="54"/>
        <v>"C:\Program Files (x86)\AstroGrep\AstroGrep.exe" /spath="%USERPROFILE%\AppData\Local\Temp\OnboardLogs" /stypes="app*4043*20161110*" /stext=" 16:.+((SYSTEM_STATE.+slice.+state.+changed )|(ment ac)|(system.+state.+changed )|(\[timeout)|(PRM\|1\|D)|(kpr)|(kdp)|(\|lc)|(penalty))" /e /r /s</v>
      </c>
      <c r="AG178" s="1" t="str">
        <f t="shared" si="55"/>
        <v>NW</v>
      </c>
      <c r="AH178" s="92" t="str">
        <f t="shared" si="56"/>
        <v>"%USERPROFILE%\Documents\GitHub\eaglep3\Utilities\RefineRTDCRunTimes.py" --tripid 814-10 --locoid 4043 --swversion DE.1.0.8.0 --startMP 300:58673 --initTime 2016-11-10T09:35:59 --startdatetime 2016-11-10T09:38:41 --delay 2 --endMP 204:687 --enddatetime 2016-11-10T09:54:46 --enforcementcount 0 &gt;&gt;C:\Users\stu\Documents\GitHub\eaglep3-reporting\EC\2016-11-10-refined-times.txt</v>
      </c>
      <c r="AI178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{"issue":{"subject":"","project_id":79,"tracker_id":40,"status_id":1,"priority_id":2,"assigned_to_id":23,"start_date":"2016-11-10","description":"","custom_fields":[{"id":1,"name":"Subdivision","value":"NW"},{"id":4,"name":"Milepost","value":"0.0687"},{"id":17,"name":"Train ID","value":"814-10"},{"id":16,"name":"Locomotive ID","value":"4043"},{"id":130,"name":"Impact","value":""},{"id":150,"name":"Time of Event (Mountain Time)","value":"09:54:46"},{"id":151,"name":"Denver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488</v>
      </c>
      <c r="B179" s="7">
        <v>4044</v>
      </c>
      <c r="C179" s="22" t="s">
        <v>226</v>
      </c>
      <c r="D179" s="22" t="s">
        <v>365</v>
      </c>
      <c r="E179" s="13">
        <v>42684.429224537038</v>
      </c>
      <c r="F179" s="13">
        <v>42684.43141203704</v>
      </c>
      <c r="G179" s="7">
        <v>1</v>
      </c>
      <c r="H179" s="22" t="s">
        <v>750</v>
      </c>
      <c r="I179" s="13">
        <v>42684.44021990741</v>
      </c>
      <c r="J179" s="7">
        <v>0</v>
      </c>
      <c r="K179" s="109" t="str">
        <f t="shared" si="46"/>
        <v>4043/4044</v>
      </c>
      <c r="L179" s="22" t="str">
        <f>VLOOKUP(A179,'Trips&amp;Operators'!$C$1:$E$10000,3,FALSE)</f>
        <v>GEBRETEKLE</v>
      </c>
      <c r="M179" s="6">
        <f t="shared" si="47"/>
        <v>8.8078703702194616E-3</v>
      </c>
      <c r="N179" s="7">
        <f t="shared" si="59"/>
        <v>12.683333333116025</v>
      </c>
      <c r="O179" s="7"/>
      <c r="P179" s="7"/>
      <c r="Q179" s="23"/>
      <c r="R179" s="23"/>
      <c r="S179" s="35">
        <f t="shared" si="60"/>
        <v>1</v>
      </c>
      <c r="T179" s="50" t="str">
        <f t="shared" si="48"/>
        <v>NorthBound</v>
      </c>
      <c r="U179" s="17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09:18:05-700',mode:absolute,to:'2016-11-10 11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9" s="52" t="str">
        <f t="shared" si="50"/>
        <v>N</v>
      </c>
      <c r="X179" s="178">
        <f t="shared" ref="X179:X192" si="63">VALUE(LEFT(AD179,4))-VALUE(LEFT(AD178,4))</f>
        <v>1</v>
      </c>
      <c r="Y179" s="67">
        <f t="shared" si="61"/>
        <v>9.7900000000000001E-2</v>
      </c>
      <c r="Z179" s="67">
        <f t="shared" si="62"/>
        <v>5.8986000000000001</v>
      </c>
      <c r="AA179" s="67">
        <f t="shared" si="51"/>
        <v>5.8007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2"/>
        <v>0815-10</v>
      </c>
      <c r="AE179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79" s="88" t="str">
        <f t="shared" si="54"/>
        <v>"C:\Program Files (x86)\AstroGrep\AstroGrep.exe" /spath="%USERPROFILE%\AppData\Local\Temp\OnboardLogs" /stypes="app*4044*20161110*" /stext=" 17:.+((SYSTEM_STATE.+slice.+state.+changed )|(ment ac)|(system.+state.+changed )|(\[timeout)|(PRM\|1\|D)|(kpr)|(kdp)|(\|lc)|(penalty))" /e /r /s</v>
      </c>
      <c r="AG179" s="1" t="str">
        <f t="shared" si="55"/>
        <v>NW</v>
      </c>
      <c r="AH179" s="92" t="str">
        <f t="shared" si="56"/>
        <v>"%USERPROFILE%\Documents\GitHub\eaglep3\Utilities\RefineRTDCRunTimes.py" --tripid 815-10 --locoid 4044 --swversion DE.1.0.8.0 --startMP 204:979 --initTime 2016-11-10T10:18:05 --startdatetime 2016-11-10T10:21:14 --delay 1 --endMP 300:58986 --enddatetime 2016-11-10T10:33:55 --enforcementcount 0 &gt;&gt;C:\Users\stu\Documents\GitHub\eaglep3-reporting\EC\2016-11-10-refined-times.txt</v>
      </c>
      <c r="AI179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{"issue":{"subject":"","project_id":79,"tracker_id":40,"status_id":1,"priority_id":2,"assigned_to_id":23,"start_date":"2016-11-10","description":"","custom_fields":[{"id":1,"name":"Subdivision","value":"NW"},{"id":4,"name":"Milepost","value":"5.8986"},{"id":17,"name":"Train ID","value":"815-10"},{"id":16,"name":"Locomotive ID","value":"4044"},{"id":130,"name":"Impact","value":""},{"id":150,"name":"Time of Event (Mountain Time)","value":"10:33:55"},{"id":151,"name":"Denver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491</v>
      </c>
      <c r="B180" s="7">
        <v>4043</v>
      </c>
      <c r="C180" s="22" t="s">
        <v>226</v>
      </c>
      <c r="D180" s="22" t="s">
        <v>745</v>
      </c>
      <c r="E180" s="13">
        <v>42684.441724537035</v>
      </c>
      <c r="F180" s="13">
        <v>42684.44326388889</v>
      </c>
      <c r="G180" s="7">
        <v>1</v>
      </c>
      <c r="H180" s="22" t="s">
        <v>751</v>
      </c>
      <c r="I180" s="13">
        <v>42684.455335648148</v>
      </c>
      <c r="J180" s="7">
        <v>0</v>
      </c>
      <c r="K180" s="109" t="str">
        <f t="shared" si="46"/>
        <v>4043/4044</v>
      </c>
      <c r="L180" s="22" t="str">
        <f>VLOOKUP(A180,'Trips&amp;Operators'!$C$1:$E$10000,3,FALSE)</f>
        <v>GEBRETEKLE</v>
      </c>
      <c r="M180" s="6">
        <f t="shared" si="47"/>
        <v>1.2071759258105885E-2</v>
      </c>
      <c r="N180" s="7">
        <f t="shared" si="59"/>
        <v>17.383333331672475</v>
      </c>
      <c r="O180" s="7"/>
      <c r="P180" s="7"/>
      <c r="Q180" s="23"/>
      <c r="R180" s="23"/>
      <c r="S180" s="35">
        <f t="shared" si="60"/>
        <v>1</v>
      </c>
      <c r="T180" s="50" t="str">
        <f t="shared" si="48"/>
        <v>Southbound</v>
      </c>
      <c r="U180" s="17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09:36:05-700',mode:absolute,to:'2016-11-10 11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0" s="52" t="str">
        <f t="shared" si="50"/>
        <v>N</v>
      </c>
      <c r="X180" s="178">
        <f t="shared" si="63"/>
        <v>1</v>
      </c>
      <c r="Y180" s="67">
        <f t="shared" si="61"/>
        <v>5.8672000000000004</v>
      </c>
      <c r="Z180" s="67">
        <f t="shared" si="62"/>
        <v>7.0499999999999993E-2</v>
      </c>
      <c r="AA180" s="67">
        <f t="shared" si="51"/>
        <v>5.7967000000000004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2"/>
        <v>0816-10</v>
      </c>
      <c r="AE180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80" s="88" t="str">
        <f t="shared" si="54"/>
        <v>"C:\Program Files (x86)\AstroGrep\AstroGrep.exe" /spath="%USERPROFILE%\AppData\Local\Temp\OnboardLogs" /stypes="app*4043*20161110*" /stext=" 17:.+((SYSTEM_STATE.+slice.+state.+changed )|(ment ac)|(system.+state.+changed )|(\[timeout)|(PRM\|1\|D)|(kpr)|(kdp)|(\|lc)|(penalty))" /e /r /s</v>
      </c>
      <c r="AG180" s="1" t="str">
        <f t="shared" si="55"/>
        <v>NW</v>
      </c>
      <c r="AH180" s="92" t="str">
        <f t="shared" si="56"/>
        <v>"%USERPROFILE%\Documents\GitHub\eaglep3\Utilities\RefineRTDCRunTimes.py" --tripid 816-10 --locoid 4043 --swversion DE.1.0.8.0 --startMP 300:58672 --initTime 2016-11-10T10:36:05 --startdatetime 2016-11-10T10:38:18 --delay 1 --endMP 204:705 --enddatetime 2016-11-10T10:55:41 --enforcementcount 0 &gt;&gt;C:\Users\stu\Documents\GitHub\eaglep3-reporting\EC\2016-11-10-refined-times.txt</v>
      </c>
      <c r="AI180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{"issue":{"subject":"","project_id":79,"tracker_id":40,"status_id":1,"priority_id":2,"assigned_to_id":23,"start_date":"2016-11-10","description":"","custom_fields":[{"id":1,"name":"Subdivision","value":"NW"},{"id":4,"name":"Milepost","value":"0.0705"},{"id":17,"name":"Train ID","value":"816-10"},{"id":16,"name":"Locomotive ID","value":"4043"},{"id":130,"name":"Impact","value":""},{"id":150,"name":"Time of Event (Mountain Time)","value":"10:55:41"},{"id":151,"name":"Denver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404</v>
      </c>
      <c r="B181" s="7">
        <v>4044</v>
      </c>
      <c r="C181" s="22" t="s">
        <v>226</v>
      </c>
      <c r="D181" s="22" t="s">
        <v>752</v>
      </c>
      <c r="E181" s="13">
        <v>42684.470324074071</v>
      </c>
      <c r="F181" s="13">
        <v>42684.473078703704</v>
      </c>
      <c r="G181" s="7">
        <v>1</v>
      </c>
      <c r="H181" s="22" t="s">
        <v>369</v>
      </c>
      <c r="I181" s="13">
        <v>42684.481851851851</v>
      </c>
      <c r="J181" s="7">
        <v>0</v>
      </c>
      <c r="K181" s="109" t="str">
        <f t="shared" si="46"/>
        <v>4043/4044</v>
      </c>
      <c r="L181" s="22" t="str">
        <f>VLOOKUP(A181,'Trips&amp;Operators'!$C$1:$E$10000,3,FALSE)</f>
        <v>GEBRETEKLE</v>
      </c>
      <c r="M181" s="6">
        <f t="shared" si="47"/>
        <v>8.7731481471564621E-3</v>
      </c>
      <c r="N181" s="7">
        <f t="shared" si="59"/>
        <v>12.633333331905305</v>
      </c>
      <c r="O181" s="7"/>
      <c r="P181" s="7"/>
      <c r="Q181" s="23"/>
      <c r="R181" s="23"/>
      <c r="S181" s="35">
        <f t="shared" si="60"/>
        <v>1</v>
      </c>
      <c r="T181" s="50" t="str">
        <f t="shared" si="48"/>
        <v>NorthBound</v>
      </c>
      <c r="U181" s="17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10:17:16-700',mode:absolute,to:'2016-11-10 12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1" s="52" t="str">
        <f t="shared" si="50"/>
        <v>N</v>
      </c>
      <c r="X181" s="178">
        <f t="shared" si="63"/>
        <v>1</v>
      </c>
      <c r="Y181" s="67">
        <f t="shared" si="61"/>
        <v>9.9000000000000005E-2</v>
      </c>
      <c r="Z181" s="67">
        <f t="shared" si="62"/>
        <v>5.8987999999999996</v>
      </c>
      <c r="AA181" s="67">
        <f t="shared" si="51"/>
        <v>5.7997999999999994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2"/>
        <v>0817-10</v>
      </c>
      <c r="AE181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81" s="88" t="str">
        <f t="shared" si="54"/>
        <v>"C:\Program Files (x86)\AstroGrep\AstroGrep.exe" /spath="%USERPROFILE%\AppData\Local\Temp\OnboardLogs" /stypes="app*4044*20161110*" /stext=" 18:.+((SYSTEM_STATE.+slice.+state.+changed )|(ment ac)|(system.+state.+changed )|(\[timeout)|(PRM\|1\|D)|(kpr)|(kdp)|(\|lc)|(penalty))" /e /r /s</v>
      </c>
      <c r="AG181" s="1" t="str">
        <f t="shared" si="55"/>
        <v>NW</v>
      </c>
      <c r="AH181" s="92" t="str">
        <f t="shared" si="56"/>
        <v>"%USERPROFILE%\Documents\GitHub\eaglep3\Utilities\RefineRTDCRunTimes.py" --tripid 817-10 --locoid 4044 --swversion DE.1.0.8.0 --startMP 204:990 --initTime 2016-11-10T11:17:16 --startdatetime 2016-11-10T11:21:14 --delay 1 --endMP 300:58988 --enddatetime 2016-11-10T11:33:52 --enforcementcount 0 &gt;&gt;C:\Users\stu\Documents\GitHub\eaglep3-reporting\EC\2016-11-10-refined-times.txt</v>
      </c>
      <c r="AI181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{"issue":{"subject":"","project_id":79,"tracker_id":40,"status_id":1,"priority_id":2,"assigned_to_id":23,"start_date":"2016-11-10","description":"","custom_fields":[{"id":1,"name":"Subdivision","value":"NW"},{"id":4,"name":"Milepost","value":"5.8988"},{"id":17,"name":"Train ID","value":"817-10"},{"id":16,"name":"Locomotive ID","value":"4044"},{"id":130,"name":"Impact","value":""},{"id":150,"name":"Time of Event (Mountain Time)","value":"11:33:52"},{"id":151,"name":"Denver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502</v>
      </c>
      <c r="B182" s="7">
        <v>4043</v>
      </c>
      <c r="C182" s="22" t="s">
        <v>226</v>
      </c>
      <c r="D182" s="22" t="s">
        <v>372</v>
      </c>
      <c r="E182" s="13">
        <v>42684.483877314815</v>
      </c>
      <c r="F182" s="13">
        <v>42684.485358796293</v>
      </c>
      <c r="G182" s="7">
        <v>1</v>
      </c>
      <c r="H182" s="22" t="s">
        <v>753</v>
      </c>
      <c r="I182" s="13">
        <v>42684.496134259258</v>
      </c>
      <c r="J182" s="7">
        <v>0</v>
      </c>
      <c r="K182" s="109" t="str">
        <f t="shared" si="46"/>
        <v>4043/4044</v>
      </c>
      <c r="L182" s="22" t="str">
        <f>VLOOKUP(A182,'Trips&amp;Operators'!$C$1:$E$10000,3,FALSE)</f>
        <v>GEBRETEKLE</v>
      </c>
      <c r="M182" s="6">
        <f t="shared" si="47"/>
        <v>1.0775462964375038E-2</v>
      </c>
      <c r="N182" s="7">
        <f t="shared" si="59"/>
        <v>15.516666668700054</v>
      </c>
      <c r="O182" s="7"/>
      <c r="P182" s="7"/>
      <c r="Q182" s="23"/>
      <c r="R182" s="23"/>
      <c r="S182" s="35">
        <f t="shared" si="60"/>
        <v>1</v>
      </c>
      <c r="T182" s="50" t="str">
        <f t="shared" si="48"/>
        <v>Southbound</v>
      </c>
      <c r="U182" s="17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10:36:47-700',mode:absolute,to:'2016-11-10 12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2" s="52" t="str">
        <f t="shared" si="50"/>
        <v>N</v>
      </c>
      <c r="X182" s="178">
        <f t="shared" si="63"/>
        <v>1</v>
      </c>
      <c r="Y182" s="67">
        <f t="shared" si="61"/>
        <v>5.8667999999999996</v>
      </c>
      <c r="Z182" s="67">
        <f t="shared" si="62"/>
        <v>7.0300000000000001E-2</v>
      </c>
      <c r="AA182" s="67">
        <f t="shared" si="51"/>
        <v>5.7965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2"/>
        <v>0818-10</v>
      </c>
      <c r="AE182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82" s="88" t="str">
        <f t="shared" si="54"/>
        <v>"C:\Program Files (x86)\AstroGrep\AstroGrep.exe" /spath="%USERPROFILE%\AppData\Local\Temp\OnboardLogs" /stypes="app*4043*20161110*" /stext=" 18:.+((SYSTEM_STATE.+slice.+state.+changed )|(ment ac)|(system.+state.+changed )|(\[timeout)|(PRM\|1\|D)|(kpr)|(kdp)|(\|lc)|(penalty))" /e /r /s</v>
      </c>
      <c r="AG182" s="1" t="str">
        <f t="shared" si="55"/>
        <v>NW</v>
      </c>
      <c r="AH182" s="92" t="str">
        <f t="shared" si="56"/>
        <v>"%USERPROFILE%\Documents\GitHub\eaglep3\Utilities\RefineRTDCRunTimes.py" --tripid 818-10 --locoid 4043 --swversion DE.1.0.8.0 --startMP 300:58668 --initTime 2016-11-10T11:36:47 --startdatetime 2016-11-10T11:38:55 --delay 1 --endMP 204:703 --enddatetime 2016-11-10T11:54:26 --enforcementcount 0 &gt;&gt;C:\Users\stu\Documents\GitHub\eaglep3-reporting\EC\2016-11-10-refined-times.txt</v>
      </c>
      <c r="AI182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{"issue":{"subject":"","project_id":79,"tracker_id":40,"status_id":1,"priority_id":2,"assigned_to_id":23,"start_date":"2016-11-10","description":"","custom_fields":[{"id":1,"name":"Subdivision","value":"NW"},{"id":4,"name":"Milepost","value":"0.0703"},{"id":17,"name":"Train ID","value":"818-10"},{"id":16,"name":"Locomotive ID","value":"4043"},{"id":130,"name":"Impact","value":""},{"id":150,"name":"Time of Event (Mountain Time)","value":"11:54:26"},{"id":151,"name":"Denver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508</v>
      </c>
      <c r="B183" s="7">
        <v>4044</v>
      </c>
      <c r="C183" s="22" t="s">
        <v>226</v>
      </c>
      <c r="D183" s="22" t="s">
        <v>373</v>
      </c>
      <c r="E183" s="13">
        <v>42684.511504629627</v>
      </c>
      <c r="F183" s="13">
        <v>42684.514756944445</v>
      </c>
      <c r="G183" s="7">
        <v>1</v>
      </c>
      <c r="H183" s="22" t="s">
        <v>754</v>
      </c>
      <c r="I183" s="13">
        <v>42684.523923611108</v>
      </c>
      <c r="J183" s="7">
        <v>0</v>
      </c>
      <c r="K183" s="109" t="str">
        <f t="shared" si="46"/>
        <v>4043/4044</v>
      </c>
      <c r="L183" s="22" t="str">
        <f>VLOOKUP(A183,'Trips&amp;Operators'!$C$1:$E$10000,3,FALSE)</f>
        <v>GEBRETEKLE</v>
      </c>
      <c r="M183" s="6">
        <f t="shared" si="47"/>
        <v>9.1666666630771942E-3</v>
      </c>
      <c r="N183" s="7">
        <f t="shared" si="59"/>
        <v>13.19999999483116</v>
      </c>
      <c r="O183" s="7"/>
      <c r="P183" s="7"/>
      <c r="Q183" s="23"/>
      <c r="R183" s="23"/>
      <c r="S183" s="35">
        <f t="shared" si="60"/>
        <v>1</v>
      </c>
      <c r="T183" s="50" t="str">
        <f t="shared" si="48"/>
        <v>NorthBound</v>
      </c>
      <c r="U183" s="17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11:16:34-700',mode:absolute,to:'2016-11-10 13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3" s="52" t="str">
        <f t="shared" si="50"/>
        <v>N</v>
      </c>
      <c r="X183" s="178">
        <f t="shared" si="63"/>
        <v>1</v>
      </c>
      <c r="Y183" s="67">
        <f t="shared" si="61"/>
        <v>9.9199999999999997E-2</v>
      </c>
      <c r="Z183" s="67">
        <f t="shared" si="62"/>
        <v>5.8994999999999997</v>
      </c>
      <c r="AA183" s="67">
        <f t="shared" si="51"/>
        <v>5.8003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2"/>
        <v>0819-10</v>
      </c>
      <c r="AE183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83" s="88" t="str">
        <f t="shared" si="54"/>
        <v>"C:\Program Files (x86)\AstroGrep\AstroGrep.exe" /spath="%USERPROFILE%\AppData\Local\Temp\OnboardLogs" /stypes="app*4044*20161110*" /stext=" 19:.+((SYSTEM_STATE.+slice.+state.+changed )|(ment ac)|(system.+state.+changed )|(\[timeout)|(PRM\|1\|D)|(kpr)|(kdp)|(\|lc)|(penalty))" /e /r /s</v>
      </c>
      <c r="AG183" s="1" t="str">
        <f t="shared" si="55"/>
        <v>NW</v>
      </c>
      <c r="AH183" s="92" t="str">
        <f t="shared" si="56"/>
        <v>"%USERPROFILE%\Documents\GitHub\eaglep3\Utilities\RefineRTDCRunTimes.py" --tripid 819-10 --locoid 4044 --swversion DE.1.0.8.0 --startMP 204:992 --initTime 2016-11-10T12:16:34 --startdatetime 2016-11-10T12:21:15 --delay 1 --endMP 300:58995 --enddatetime 2016-11-10T12:34:27 --enforcementcount 0 &gt;&gt;C:\Users\stu\Documents\GitHub\eaglep3-reporting\EC\2016-11-10-refined-times.txt</v>
      </c>
      <c r="AI183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{"issue":{"subject":"","project_id":79,"tracker_id":40,"status_id":1,"priority_id":2,"assigned_to_id":23,"start_date":"2016-11-10","description":"","custom_fields":[{"id":1,"name":"Subdivision","value":"NW"},{"id":4,"name":"Milepost","value":"5.8995"},{"id":17,"name":"Train ID","value":"819-10"},{"id":16,"name":"Locomotive ID","value":"4044"},{"id":130,"name":"Impact","value":""},{"id":150,"name":"Time of Event (Mountain Time)","value":"12:34:27"},{"id":151,"name":"Denver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512</v>
      </c>
      <c r="B184" s="7">
        <v>4043</v>
      </c>
      <c r="C184" s="22" t="s">
        <v>226</v>
      </c>
      <c r="D184" s="22" t="s">
        <v>755</v>
      </c>
      <c r="E184" s="13">
        <v>42684.52548611111</v>
      </c>
      <c r="F184" s="13">
        <v>42684.526967592596</v>
      </c>
      <c r="G184" s="7">
        <v>1</v>
      </c>
      <c r="H184" s="22" t="s">
        <v>753</v>
      </c>
      <c r="I184" s="13">
        <v>42684.537754629629</v>
      </c>
      <c r="J184" s="7">
        <v>0</v>
      </c>
      <c r="K184" s="109" t="str">
        <f t="shared" si="46"/>
        <v>4043/4044</v>
      </c>
      <c r="L184" s="22" t="str">
        <f>VLOOKUP(A184,'Trips&amp;Operators'!$C$1:$E$10000,3,FALSE)</f>
        <v>GEBRETEKLE</v>
      </c>
      <c r="M184" s="6">
        <f t="shared" si="47"/>
        <v>1.0787037033878732E-2</v>
      </c>
      <c r="N184" s="7">
        <f t="shared" si="59"/>
        <v>15.533333328785375</v>
      </c>
      <c r="O184" s="7"/>
      <c r="P184" s="7"/>
      <c r="Q184" s="23"/>
      <c r="R184" s="23"/>
      <c r="S184" s="35">
        <f t="shared" si="60"/>
        <v>1</v>
      </c>
      <c r="T184" s="50" t="str">
        <f t="shared" si="48"/>
        <v>Southbound</v>
      </c>
      <c r="U184" s="17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11:36:42-700',mode:absolute,to:'2016-11-10 13:54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4" s="52" t="str">
        <f t="shared" si="50"/>
        <v>N</v>
      </c>
      <c r="X184" s="178">
        <f t="shared" si="63"/>
        <v>1</v>
      </c>
      <c r="Y184" s="67">
        <f t="shared" si="61"/>
        <v>5.8686999999999996</v>
      </c>
      <c r="Z184" s="67">
        <f t="shared" si="62"/>
        <v>7.0300000000000001E-2</v>
      </c>
      <c r="AA184" s="67">
        <f t="shared" si="51"/>
        <v>5.7984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2"/>
        <v>0820-10</v>
      </c>
      <c r="AE184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84" s="88" t="str">
        <f t="shared" si="54"/>
        <v>"C:\Program Files (x86)\AstroGrep\AstroGrep.exe" /spath="%USERPROFILE%\AppData\Local\Temp\OnboardLogs" /stypes="app*4043*20161110*" /stext=" 19:.+((SYSTEM_STATE.+slice.+state.+changed )|(ment ac)|(system.+state.+changed )|(\[timeout)|(PRM\|1\|D)|(kpr)|(kdp)|(\|lc)|(penalty))" /e /r /s</v>
      </c>
      <c r="AG184" s="1" t="str">
        <f t="shared" si="55"/>
        <v>NW</v>
      </c>
      <c r="AH184" s="92" t="str">
        <f t="shared" si="56"/>
        <v>"%USERPROFILE%\Documents\GitHub\eaglep3\Utilities\RefineRTDCRunTimes.py" --tripid 820-10 --locoid 4043 --swversion DE.1.0.8.0 --startMP 300:58687 --initTime 2016-11-10T12:36:42 --startdatetime 2016-11-10T12:38:50 --delay 1 --endMP 204:703 --enddatetime 2016-11-10T12:54:22 --enforcementcount 0 &gt;&gt;C:\Users\stu\Documents\GitHub\eaglep3-reporting\EC\2016-11-10-refined-times.txt</v>
      </c>
      <c r="AI184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{"issue":{"subject":"","project_id":79,"tracker_id":40,"status_id":1,"priority_id":2,"assigned_to_id":23,"start_date":"2016-11-10","description":"","custom_fields":[{"id":1,"name":"Subdivision","value":"NW"},{"id":4,"name":"Milepost","value":"0.0703"},{"id":17,"name":"Train ID","value":"820-10"},{"id":16,"name":"Locomotive ID","value":"4043"},{"id":130,"name":"Impact","value":""},{"id":150,"name":"Time of Event (Mountain Time)","value":"12:54:22"},{"id":151,"name":"Denver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409</v>
      </c>
      <c r="B185" s="7">
        <v>4044</v>
      </c>
      <c r="C185" s="22" t="s">
        <v>226</v>
      </c>
      <c r="D185" s="22" t="s">
        <v>365</v>
      </c>
      <c r="E185" s="13">
        <v>42684.553240740737</v>
      </c>
      <c r="F185" s="13">
        <v>42684.556562500002</v>
      </c>
      <c r="G185" s="7">
        <v>1</v>
      </c>
      <c r="H185" s="22" t="s">
        <v>743</v>
      </c>
      <c r="I185" s="13">
        <v>42684.567141203705</v>
      </c>
      <c r="J185" s="7">
        <v>0</v>
      </c>
      <c r="K185" s="109" t="str">
        <f t="shared" si="46"/>
        <v>4043/4044</v>
      </c>
      <c r="L185" s="22" t="str">
        <f>VLOOKUP(A185,'Trips&amp;Operators'!$C$1:$E$10000,3,FALSE)</f>
        <v>DAVIDSON</v>
      </c>
      <c r="M185" s="6">
        <f t="shared" si="47"/>
        <v>1.0578703702776693E-2</v>
      </c>
      <c r="N185" s="7">
        <f t="shared" si="59"/>
        <v>15.233333331998438</v>
      </c>
      <c r="O185" s="7"/>
      <c r="P185" s="7"/>
      <c r="Q185" s="23"/>
      <c r="R185" s="23"/>
      <c r="S185" s="35">
        <f t="shared" si="60"/>
        <v>1</v>
      </c>
      <c r="T185" s="50" t="str">
        <f t="shared" si="48"/>
        <v>NorthBound</v>
      </c>
      <c r="U185" s="17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12:16:40-700',mode:absolute,to:'2016-11-10 14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5" s="52" t="str">
        <f t="shared" si="50"/>
        <v>N</v>
      </c>
      <c r="X185" s="178">
        <f t="shared" si="63"/>
        <v>1</v>
      </c>
      <c r="Y185" s="67">
        <f t="shared" si="61"/>
        <v>9.7900000000000001E-2</v>
      </c>
      <c r="Z185" s="67">
        <f t="shared" si="62"/>
        <v>5.8929</v>
      </c>
      <c r="AA185" s="67">
        <f t="shared" si="51"/>
        <v>5.7949999999999999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2"/>
        <v>0821-10</v>
      </c>
      <c r="AE185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85" s="88" t="str">
        <f t="shared" si="54"/>
        <v>"C:\Program Files (x86)\AstroGrep\AstroGrep.exe" /spath="%USERPROFILE%\AppData\Local\Temp\OnboardLogs" /stypes="app*4044*20161110*" /stext=" 20:.+((SYSTEM_STATE.+slice.+state.+changed )|(ment ac)|(system.+state.+changed )|(\[timeout)|(PRM\|1\|D)|(kpr)|(kdp)|(\|lc)|(penalty))" /e /r /s</v>
      </c>
      <c r="AG185" s="1" t="str">
        <f t="shared" si="55"/>
        <v>NW</v>
      </c>
      <c r="AH185" s="92" t="str">
        <f t="shared" si="56"/>
        <v>"%USERPROFILE%\Documents\GitHub\eaglep3\Utilities\RefineRTDCRunTimes.py" --tripid 821-10 --locoid 4044 --swversion DE.1.0.8.0 --startMP 204:979 --initTime 2016-11-10T13:16:40 --startdatetime 2016-11-10T13:21:27 --delay 1 --endMP 300:58929 --enddatetime 2016-11-10T13:36:41 --enforcementcount 0 &gt;&gt;C:\Users\stu\Documents\GitHub\eaglep3-reporting\EC\2016-11-10-refined-times.txt</v>
      </c>
      <c r="AI185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{"issue":{"subject":"","project_id":79,"tracker_id":40,"status_id":1,"priority_id":2,"assigned_to_id":23,"start_date":"2016-11-10","description":"","custom_fields":[{"id":1,"name":"Subdivision","value":"NW"},{"id":4,"name":"Milepost","value":"5.8929"},{"id":17,"name":"Train ID","value":"821-10"},{"id":16,"name":"Locomotive ID","value":"4044"},{"id":130,"name":"Impact","value":""},{"id":150,"name":"Time of Event (Mountain Time)","value":"13:36:41"},{"id":151,"name":"Denver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520</v>
      </c>
      <c r="B186" s="7">
        <v>4043</v>
      </c>
      <c r="C186" s="22" t="s">
        <v>226</v>
      </c>
      <c r="D186" s="22" t="s">
        <v>756</v>
      </c>
      <c r="E186" s="13">
        <v>42684.568379629629</v>
      </c>
      <c r="F186" s="13">
        <v>42684.571122685185</v>
      </c>
      <c r="G186" s="7">
        <v>1</v>
      </c>
      <c r="H186" s="22" t="s">
        <v>340</v>
      </c>
      <c r="I186" s="13">
        <v>42684.580763888887</v>
      </c>
      <c r="J186" s="7">
        <v>0</v>
      </c>
      <c r="K186" s="109" t="str">
        <f t="shared" si="46"/>
        <v>4043/4044</v>
      </c>
      <c r="L186" s="22" t="str">
        <f>VLOOKUP(A186,'Trips&amp;Operators'!$C$1:$E$10000,3,FALSE)</f>
        <v>DAVIDSON</v>
      </c>
      <c r="M186" s="6">
        <f t="shared" si="47"/>
        <v>9.6412037019035779E-3</v>
      </c>
      <c r="N186" s="7">
        <f t="shared" si="59"/>
        <v>13.883333330741152</v>
      </c>
      <c r="O186" s="7"/>
      <c r="P186" s="7"/>
      <c r="Q186" s="23"/>
      <c r="R186" s="23"/>
      <c r="S186" s="35">
        <f t="shared" si="60"/>
        <v>1</v>
      </c>
      <c r="T186" s="50" t="str">
        <f t="shared" si="48"/>
        <v>Southbound</v>
      </c>
      <c r="U186" s="17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12:38:28-700',mode:absolute,to:'2016-11-10 14:56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6" s="52" t="str">
        <f t="shared" si="50"/>
        <v>N</v>
      </c>
      <c r="X186" s="178">
        <f t="shared" si="63"/>
        <v>1</v>
      </c>
      <c r="Y186" s="67">
        <f t="shared" si="61"/>
        <v>5.8623000000000003</v>
      </c>
      <c r="Z186" s="67">
        <f t="shared" si="62"/>
        <v>7.0800000000000002E-2</v>
      </c>
      <c r="AA186" s="67">
        <f t="shared" si="51"/>
        <v>5.7915000000000001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2"/>
        <v>0822-10</v>
      </c>
      <c r="AE186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86" s="88" t="str">
        <f t="shared" si="54"/>
        <v>"C:\Program Files (x86)\AstroGrep\AstroGrep.exe" /spath="%USERPROFILE%\AppData\Local\Temp\OnboardLogs" /stypes="app*4043*20161110*" /stext=" 20:.+((SYSTEM_STATE.+slice.+state.+changed )|(ment ac)|(system.+state.+changed )|(\[timeout)|(PRM\|1\|D)|(kpr)|(kdp)|(\|lc)|(penalty))" /e /r /s</v>
      </c>
      <c r="AG186" s="1" t="str">
        <f t="shared" si="55"/>
        <v>NW</v>
      </c>
      <c r="AH186" s="92" t="str">
        <f t="shared" si="56"/>
        <v>"%USERPROFILE%\Documents\GitHub\eaglep3\Utilities\RefineRTDCRunTimes.py" --tripid 822-10 --locoid 4043 --swversion DE.1.0.8.0 --startMP 300:58623 --initTime 2016-11-10T13:38:28 --startdatetime 2016-11-10T13:42:25 --delay 1 --endMP 204:708 --enddatetime 2016-11-10T13:56:18 --enforcementcount 0 &gt;&gt;C:\Users\stu\Documents\GitHub\eaglep3-reporting\EC\2016-11-10-refined-times.txt</v>
      </c>
      <c r="AI186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{"issue":{"subject":"","project_id":79,"tracker_id":40,"status_id":1,"priority_id":2,"assigned_to_id":23,"start_date":"2016-11-10","description":"","custom_fields":[{"id":1,"name":"Subdivision","value":"NW"},{"id":4,"name":"Milepost","value":"0.0708"},{"id":17,"name":"Train ID","value":"822-10"},{"id":16,"name":"Locomotive ID","value":"4043"},{"id":130,"name":"Impact","value":""},{"id":150,"name":"Time of Event (Mountain Time)","value":"13:56:18"},{"id":151,"name":"Denver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524</v>
      </c>
      <c r="B187" s="7">
        <v>4044</v>
      </c>
      <c r="C187" s="22" t="s">
        <v>226</v>
      </c>
      <c r="D187" s="22" t="s">
        <v>308</v>
      </c>
      <c r="E187" s="13">
        <v>42684.58965277778</v>
      </c>
      <c r="F187" s="13">
        <v>42684.598171296297</v>
      </c>
      <c r="G187" s="7">
        <v>1</v>
      </c>
      <c r="H187" s="22" t="s">
        <v>757</v>
      </c>
      <c r="I187" s="13">
        <v>42684.608206018522</v>
      </c>
      <c r="J187" s="7">
        <v>0</v>
      </c>
      <c r="K187" s="109" t="str">
        <f t="shared" si="46"/>
        <v>4043/4044</v>
      </c>
      <c r="L187" s="22" t="str">
        <f>VLOOKUP(A187,'Trips&amp;Operators'!$C$1:$E$10000,3,FALSE)</f>
        <v>DAVIDSON</v>
      </c>
      <c r="M187" s="6">
        <f t="shared" si="47"/>
        <v>1.0034722225100268E-2</v>
      </c>
      <c r="N187" s="7">
        <f t="shared" si="59"/>
        <v>14.450000004144385</v>
      </c>
      <c r="O187" s="7"/>
      <c r="P187" s="7"/>
      <c r="Q187" s="23"/>
      <c r="R187" s="23"/>
      <c r="S187" s="35">
        <f t="shared" si="60"/>
        <v>1</v>
      </c>
      <c r="T187" s="50" t="str">
        <f t="shared" si="48"/>
        <v>NorthBound</v>
      </c>
      <c r="U187" s="17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13:09:06-700',mode:absolute,to:'2016-11-10 15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7" s="52" t="str">
        <f t="shared" si="50"/>
        <v>N</v>
      </c>
      <c r="X187" s="178">
        <f t="shared" si="63"/>
        <v>1</v>
      </c>
      <c r="Y187" s="67">
        <f t="shared" si="61"/>
        <v>0.1</v>
      </c>
      <c r="Z187" s="67">
        <f t="shared" si="62"/>
        <v>5.8925999999999998</v>
      </c>
      <c r="AA187" s="67">
        <f t="shared" si="51"/>
        <v>5.7926000000000002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2"/>
        <v>0823-10</v>
      </c>
      <c r="AE187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87" s="88" t="str">
        <f t="shared" si="54"/>
        <v>"C:\Program Files (x86)\AstroGrep\AstroGrep.exe" /spath="%USERPROFILE%\AppData\Local\Temp\OnboardLogs" /stypes="app*4044*20161110*" /stext=" 21:.+((SYSTEM_STATE.+slice.+state.+changed )|(ment ac)|(system.+state.+changed )|(\[timeout)|(PRM\|1\|D)|(kpr)|(kdp)|(\|lc)|(penalty))" /e /r /s</v>
      </c>
      <c r="AG187" s="1" t="str">
        <f t="shared" si="55"/>
        <v>NW</v>
      </c>
      <c r="AH187" s="92" t="str">
        <f t="shared" si="56"/>
        <v>"%USERPROFILE%\Documents\GitHub\eaglep3\Utilities\RefineRTDCRunTimes.py" --tripid 823-10 --locoid 4044 --swversion DE.1.0.8.0 --startMP 204:1000 --initTime 2016-11-10T14:09:06 --startdatetime 2016-11-10T14:21:22 --delay 1 --endMP 300:58926 --enddatetime 2016-11-10T14:35:49 --enforcementcount 0 &gt;&gt;C:\Users\stu\Documents\GitHub\eaglep3-reporting\EC\2016-11-10-refined-times.txt</v>
      </c>
      <c r="AI187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{"issue":{"subject":"","project_id":79,"tracker_id":40,"status_id":1,"priority_id":2,"assigned_to_id":23,"start_date":"2016-11-10","description":"","custom_fields":[{"id":1,"name":"Subdivision","value":"NW"},{"id":4,"name":"Milepost","value":"5.8926"},{"id":17,"name":"Train ID","value":"823-10"},{"id":16,"name":"Locomotive ID","value":"4044"},{"id":130,"name":"Impact","value":""},{"id":150,"name":"Time of Event (Mountain Time)","value":"14:35:49"},{"id":151,"name":"Denver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529</v>
      </c>
      <c r="B188" s="7">
        <v>4043</v>
      </c>
      <c r="C188" s="22" t="s">
        <v>226</v>
      </c>
      <c r="D188" s="22" t="s">
        <v>758</v>
      </c>
      <c r="E188" s="13">
        <v>42684.609386574077</v>
      </c>
      <c r="F188" s="13">
        <v>42684.611226851855</v>
      </c>
      <c r="G188" s="7">
        <v>1</v>
      </c>
      <c r="H188" s="22" t="s">
        <v>759</v>
      </c>
      <c r="I188" s="13">
        <v>42684.622569444444</v>
      </c>
      <c r="J188" s="7">
        <v>0</v>
      </c>
      <c r="K188" s="109" t="str">
        <f t="shared" si="46"/>
        <v>4043/4044</v>
      </c>
      <c r="L188" s="22" t="str">
        <f>VLOOKUP(A188,'Trips&amp;Operators'!$C$1:$E$10000,3,FALSE)</f>
        <v>DAVIDSON</v>
      </c>
      <c r="M188" s="6">
        <f t="shared" si="47"/>
        <v>1.134259258833481E-2</v>
      </c>
      <c r="N188" s="7">
        <f t="shared" si="59"/>
        <v>16.333333327202126</v>
      </c>
      <c r="O188" s="7"/>
      <c r="P188" s="7"/>
      <c r="Q188" s="23"/>
      <c r="R188" s="23"/>
      <c r="S188" s="35">
        <f t="shared" si="60"/>
        <v>1</v>
      </c>
      <c r="T188" s="50" t="str">
        <f t="shared" si="48"/>
        <v>Southbound</v>
      </c>
      <c r="U188" s="17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13:37:31-700',mode:absolute,to:'2016-11-10 15:56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8" s="52" t="str">
        <f t="shared" si="50"/>
        <v>N</v>
      </c>
      <c r="X188" s="178">
        <f t="shared" si="63"/>
        <v>1</v>
      </c>
      <c r="Y188" s="67">
        <f t="shared" si="61"/>
        <v>5.8620999999999999</v>
      </c>
      <c r="Z188" s="67">
        <f t="shared" si="62"/>
        <v>7.0599999999999996E-2</v>
      </c>
      <c r="AA188" s="67">
        <f t="shared" si="51"/>
        <v>5.7915000000000001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2"/>
        <v>0824-10</v>
      </c>
      <c r="AE188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88" s="88" t="str">
        <f t="shared" si="54"/>
        <v>"C:\Program Files (x86)\AstroGrep\AstroGrep.exe" /spath="%USERPROFILE%\AppData\Local\Temp\OnboardLogs" /stypes="app*4043*20161110*" /stext=" 21:.+((SYSTEM_STATE.+slice.+state.+changed )|(ment ac)|(system.+state.+changed )|(\[timeout)|(PRM\|1\|D)|(kpr)|(kdp)|(\|lc)|(penalty))" /e /r /s</v>
      </c>
      <c r="AG188" s="1" t="str">
        <f t="shared" si="55"/>
        <v>NW</v>
      </c>
      <c r="AH188" s="92" t="str">
        <f t="shared" si="56"/>
        <v>"%USERPROFILE%\Documents\GitHub\eaglep3\Utilities\RefineRTDCRunTimes.py" --tripid 824-10 --locoid 4043 --swversion DE.1.0.8.0 --startMP 300:58621 --initTime 2016-11-10T14:37:31 --startdatetime 2016-11-10T14:40:10 --delay 1 --endMP 204:706 --enddatetime 2016-11-10T14:56:30 --enforcementcount 0 &gt;&gt;C:\Users\stu\Documents\GitHub\eaglep3-reporting\EC\2016-11-10-refined-times.txt</v>
      </c>
      <c r="AI188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{"issue":{"subject":"","project_id":79,"tracker_id":40,"status_id":1,"priority_id":2,"assigned_to_id":23,"start_date":"2016-11-10","description":"","custom_fields":[{"id":1,"name":"Subdivision","value":"NW"},{"id":4,"name":"Milepost","value":"0.0706"},{"id":17,"name":"Train ID","value":"824-10"},{"id":16,"name":"Locomotive ID","value":"4043"},{"id":130,"name":"Impact","value":""},{"id":150,"name":"Time of Event (Mountain Time)","value":"14:56:30"},{"id":151,"name":"Denver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534</v>
      </c>
      <c r="B189" s="7">
        <v>4044</v>
      </c>
      <c r="C189" s="22" t="s">
        <v>226</v>
      </c>
      <c r="D189" s="22" t="s">
        <v>760</v>
      </c>
      <c r="E189" s="13">
        <v>42684.634548611109</v>
      </c>
      <c r="F189" s="13">
        <v>42684.639837962961</v>
      </c>
      <c r="G189" s="7">
        <v>0</v>
      </c>
      <c r="H189" s="22" t="s">
        <v>761</v>
      </c>
      <c r="I189" s="13">
        <v>42684.649629629632</v>
      </c>
      <c r="J189" s="7">
        <v>0</v>
      </c>
      <c r="K189" s="109" t="str">
        <f t="shared" si="46"/>
        <v>4043/4044</v>
      </c>
      <c r="L189" s="22" t="str">
        <f>VLOOKUP(A189,'Trips&amp;Operators'!$C$1:$E$10000,3,FALSE)</f>
        <v>DAVIDSON</v>
      </c>
      <c r="M189" s="6">
        <f t="shared" si="47"/>
        <v>9.7916666709352285E-3</v>
      </c>
      <c r="N189" s="7">
        <f t="shared" si="59"/>
        <v>14.100000006146729</v>
      </c>
      <c r="O189" s="7"/>
      <c r="P189" s="7"/>
      <c r="Q189" s="23"/>
      <c r="R189" s="23"/>
      <c r="S189" s="35">
        <f t="shared" si="60"/>
        <v>1</v>
      </c>
      <c r="T189" s="50" t="str">
        <f t="shared" si="48"/>
        <v>NorthBound</v>
      </c>
      <c r="U189" s="17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14:13:45-700',mode:absolute,to:'2016-11-10 16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9" s="52" t="str">
        <f t="shared" si="50"/>
        <v>N</v>
      </c>
      <c r="X189" s="178">
        <f t="shared" si="63"/>
        <v>1</v>
      </c>
      <c r="Y189" s="67">
        <f t="shared" si="61"/>
        <v>9.8100000000000007E-2</v>
      </c>
      <c r="Z189" s="67">
        <f t="shared" si="62"/>
        <v>5.8933</v>
      </c>
      <c r="AA189" s="67">
        <f t="shared" si="51"/>
        <v>5.7952000000000004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2"/>
        <v>0825-10</v>
      </c>
      <c r="AE189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89" s="88" t="str">
        <f t="shared" si="54"/>
        <v>"C:\Program Files (x86)\AstroGrep\AstroGrep.exe" /spath="%USERPROFILE%\AppData\Local\Temp\OnboardLogs" /stypes="app*4044*20161110*" /stext=" 22:.+((SYSTEM_STATE.+slice.+state.+changed )|(ment ac)|(system.+state.+changed )|(\[timeout)|(PRM\|1\|D)|(kpr)|(kdp)|(\|lc)|(penalty))" /e /r /s</v>
      </c>
      <c r="AG189" s="1" t="str">
        <f t="shared" si="55"/>
        <v>NW</v>
      </c>
      <c r="AH189" s="92" t="str">
        <f t="shared" si="56"/>
        <v>"%USERPROFILE%\Documents\GitHub\eaglep3\Utilities\RefineRTDCRunTimes.py" --tripid 825-10 --locoid 4044 --swversion DE.1.0.8.0 --startMP 204:981 --initTime 2016-11-10T15:13:45 --startdatetime 2016-11-10T15:21:22 --delay 0 --endMP 300:58933 --enddatetime 2016-11-10T15:35:28 --enforcementcount 0 &gt;&gt;C:\Users\stu\Documents\GitHub\eaglep3-reporting\EC\2016-11-10-refined-times.txt</v>
      </c>
      <c r="AI189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{"issue":{"subject":"","project_id":79,"tracker_id":40,"status_id":1,"priority_id":2,"assigned_to_id":23,"start_date":"2016-11-10","description":"","custom_fields":[{"id":1,"name":"Subdivision","value":"NW"},{"id":4,"name":"Milepost","value":"5.8933"},{"id":17,"name":"Train ID","value":"825-10"},{"id":16,"name":"Locomotive ID","value":"4044"},{"id":130,"name":"Impact","value":""},{"id":150,"name":"Time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539</v>
      </c>
      <c r="B190" s="7">
        <v>4043</v>
      </c>
      <c r="C190" s="22" t="s">
        <v>226</v>
      </c>
      <c r="D190" s="22" t="s">
        <v>756</v>
      </c>
      <c r="E190" s="13">
        <v>42684.650694444441</v>
      </c>
      <c r="F190" s="13">
        <v>42684.652557870373</v>
      </c>
      <c r="G190" s="7">
        <v>1</v>
      </c>
      <c r="H190" s="22" t="s">
        <v>616</v>
      </c>
      <c r="I190" s="13">
        <v>42684.664652777778</v>
      </c>
      <c r="J190" s="7">
        <v>0</v>
      </c>
      <c r="K190" s="109" t="str">
        <f t="shared" si="46"/>
        <v>4043/4044</v>
      </c>
      <c r="L190" s="22" t="str">
        <f>VLOOKUP(A190,'Trips&amp;Operators'!$C$1:$E$10000,3,FALSE)</f>
        <v>DAVIDSON</v>
      </c>
      <c r="M190" s="6">
        <f t="shared" si="47"/>
        <v>1.2094907404389232E-2</v>
      </c>
      <c r="N190" s="7">
        <f t="shared" si="59"/>
        <v>17.416666662320495</v>
      </c>
      <c r="O190" s="7"/>
      <c r="P190" s="7"/>
      <c r="Q190" s="23"/>
      <c r="R190" s="23"/>
      <c r="S190" s="35">
        <f t="shared" si="60"/>
        <v>1</v>
      </c>
      <c r="T190" s="50" t="str">
        <f t="shared" si="48"/>
        <v>Southbound</v>
      </c>
      <c r="U190" s="17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14:37:00-700',mode:absolute,to:'2016-11-10 16:57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0" s="52" t="str">
        <f t="shared" si="50"/>
        <v>N</v>
      </c>
      <c r="X190" s="178">
        <f t="shared" si="63"/>
        <v>1</v>
      </c>
      <c r="Y190" s="67">
        <f t="shared" si="61"/>
        <v>5.8623000000000003</v>
      </c>
      <c r="Z190" s="67">
        <f t="shared" si="62"/>
        <v>7.5200000000000003E-2</v>
      </c>
      <c r="AA190" s="67">
        <f t="shared" si="51"/>
        <v>5.7871000000000006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2"/>
        <v>0826-10</v>
      </c>
      <c r="AE190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90" s="88" t="str">
        <f t="shared" si="54"/>
        <v>"C:\Program Files (x86)\AstroGrep\AstroGrep.exe" /spath="%USERPROFILE%\AppData\Local\Temp\OnboardLogs" /stypes="app*4043*20161110*" /stext=" 22:.+((SYSTEM_STATE.+slice.+state.+changed )|(ment ac)|(system.+state.+changed )|(\[timeout)|(PRM\|1\|D)|(kpr)|(kdp)|(\|lc)|(penalty))" /e /r /s</v>
      </c>
      <c r="AG190" s="1" t="str">
        <f t="shared" si="55"/>
        <v>NW</v>
      </c>
      <c r="AH190" s="92" t="str">
        <f t="shared" si="56"/>
        <v>"%USERPROFILE%\Documents\GitHub\eaglep3\Utilities\RefineRTDCRunTimes.py" --tripid 826-10 --locoid 4043 --swversion DE.1.0.8.0 --startMP 300:58623 --initTime 2016-11-10T15:37:00 --startdatetime 2016-11-10T15:39:41 --delay 1 --endMP 204:752 --enddatetime 2016-11-10T15:57:06 --enforcementcount 0 &gt;&gt;C:\Users\stu\Documents\GitHub\eaglep3-reporting\EC\2016-11-10-refined-times.txt</v>
      </c>
      <c r="AI190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{"issue":{"subject":"","project_id":79,"tracker_id":40,"status_id":1,"priority_id":2,"assigned_to_id":23,"start_date":"2016-11-10","description":"","custom_fields":[{"id":1,"name":"Subdivision","value":"NW"},{"id":4,"name":"Milepost","value":"0.0752"},{"id":17,"name":"Train ID","value":"826-10"},{"id":16,"name":"Locomotive ID","value":"4043"},{"id":130,"name":"Impact","value":""},{"id":150,"name":"Time of Event (Mountain Time)","value":"15:57:06"},{"id":151,"name":"Denver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412</v>
      </c>
      <c r="B191" s="7">
        <v>4003</v>
      </c>
      <c r="C191" s="22" t="s">
        <v>226</v>
      </c>
      <c r="D191" s="22" t="s">
        <v>762</v>
      </c>
      <c r="E191" s="13">
        <v>42684.647233796299</v>
      </c>
      <c r="F191" s="13">
        <v>42684.660613425927</v>
      </c>
      <c r="G191" s="7">
        <v>2</v>
      </c>
      <c r="H191" s="22" t="s">
        <v>757</v>
      </c>
      <c r="I191" s="13">
        <v>42684.670740740738</v>
      </c>
      <c r="J191" s="7">
        <v>0</v>
      </c>
      <c r="K191" s="109" t="str">
        <f t="shared" si="46"/>
        <v>4003/4004</v>
      </c>
      <c r="L191" s="22" t="str">
        <f>VLOOKUP(A191,'Trips&amp;Operators'!$C$1:$E$10000,3,FALSE)</f>
        <v>MAGEE</v>
      </c>
      <c r="M191" s="6">
        <f t="shared" si="47"/>
        <v>1.0127314810233656E-2</v>
      </c>
      <c r="N191" s="7">
        <f t="shared" si="59"/>
        <v>14.583333326736465</v>
      </c>
      <c r="O191" s="7"/>
      <c r="P191" s="7"/>
      <c r="Q191" s="23"/>
      <c r="R191" s="23"/>
      <c r="S191" s="35">
        <f t="shared" ref="S191:S222" si="64">SUM(U191:U191)/IF(AG191="EC",12,1)</f>
        <v>1</v>
      </c>
      <c r="T191" s="50" t="str">
        <f t="shared" si="48"/>
        <v>NorthBound</v>
      </c>
      <c r="U191" s="17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14:32:01-700',mode:absolute,to:'2016-11-10 17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1" s="52" t="str">
        <f t="shared" si="50"/>
        <v>N</v>
      </c>
      <c r="X191" s="178">
        <f t="shared" si="63"/>
        <v>1</v>
      </c>
      <c r="Y191" s="67">
        <f t="shared" si="61"/>
        <v>9.2499999999999999E-2</v>
      </c>
      <c r="Z191" s="67">
        <f t="shared" si="62"/>
        <v>5.8925999999999998</v>
      </c>
      <c r="AA191" s="67">
        <f t="shared" si="51"/>
        <v>5.8000999999999996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2"/>
        <v>0827-10</v>
      </c>
      <c r="AE191" s="91" t="str">
        <f t="shared" si="53"/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91" s="88" t="str">
        <f t="shared" si="54"/>
        <v>"C:\Program Files (x86)\AstroGrep\AstroGrep.exe" /spath="%USERPROFILE%\AppData\Local\Temp\OnboardLogs" /stypes="app*4003*20161110*" /stext=" 23:.+((SYSTEM_STATE.+slice.+state.+changed )|(ment ac)|(system.+state.+changed )|(\[timeout)|(PRM\|1\|D)|(kpr)|(kdp)|(\|lc)|(penalty))" /e /r /s</v>
      </c>
      <c r="AG191" s="1" t="str">
        <f t="shared" si="55"/>
        <v>NW</v>
      </c>
      <c r="AH191" s="92" t="str">
        <f t="shared" si="56"/>
        <v>"%USERPROFILE%\Documents\GitHub\eaglep3\Utilities\RefineRTDCRunTimes.py" --tripid 827-10 --locoid 4003 --swversion DE.1.0.8.0 --startMP 204:925 --initTime 2016-11-10T15:32:01 --startdatetime 2016-11-10T15:51:17 --delay 2 --endMP 300:58926 --enddatetime 2016-11-10T16:05:52 --enforcementcount 0 &gt;&gt;C:\Users\stu\Documents\GitHub\eaglep3-reporting\EC\2016-11-10-refined-times.txt</v>
      </c>
      <c r="AI191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{"issue":{"subject":"","project_id":79,"tracker_id":40,"status_id":1,"priority_id":2,"assigned_to_id":23,"start_date":"2016-11-10","description":"","custom_fields":[{"id":1,"name":"Subdivision","value":"NW"},{"id":4,"name":"Milepost","value":"5.8926"},{"id":17,"name":"Train ID","value":"827-10"},{"id":16,"name":"Locomotive ID","value":"4003"},{"id":130,"name":"Impact","value":""},{"id":150,"name":"Time of Event (Mountain Time)","value":"16:05:52"},{"id":151,"name":"Denver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413</v>
      </c>
      <c r="B192" s="7">
        <v>4004</v>
      </c>
      <c r="C192" s="22" t="s">
        <v>226</v>
      </c>
      <c r="D192" s="22" t="s">
        <v>309</v>
      </c>
      <c r="E192" s="13">
        <v>42684.672037037039</v>
      </c>
      <c r="F192" s="13">
        <v>42684.673379629632</v>
      </c>
      <c r="G192" s="7">
        <v>1</v>
      </c>
      <c r="H192" s="22" t="s">
        <v>763</v>
      </c>
      <c r="I192" s="13">
        <v>42684.673668981479</v>
      </c>
      <c r="J192" s="7">
        <v>0</v>
      </c>
      <c r="K192" s="109" t="str">
        <f t="shared" si="46"/>
        <v>4003/4004</v>
      </c>
      <c r="L192" s="22" t="str">
        <f>VLOOKUP(A192,'Trips&amp;Operators'!$C$1:$E$10000,3,FALSE)</f>
        <v>MAGEE</v>
      </c>
      <c r="M192" s="6">
        <f t="shared" si="47"/>
        <v>2.8935184673173353E-4</v>
      </c>
      <c r="N192" s="7"/>
      <c r="O192" s="7"/>
      <c r="P192" s="7">
        <v>1</v>
      </c>
      <c r="Q192" s="23"/>
      <c r="R192" s="23" t="s">
        <v>316</v>
      </c>
      <c r="S192" s="35">
        <f t="shared" si="64"/>
        <v>0</v>
      </c>
      <c r="T192" s="50" t="str">
        <f t="shared" si="48"/>
        <v>Southbound</v>
      </c>
      <c r="U192" s="17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15:07:44-700',mode:absolute,to:'2016-11-10 17:10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2" s="52" t="str">
        <f t="shared" si="50"/>
        <v>Y</v>
      </c>
      <c r="X192" s="178">
        <f t="shared" si="63"/>
        <v>1</v>
      </c>
      <c r="Y192" s="67">
        <f t="shared" si="61"/>
        <v>5.8611000000000004</v>
      </c>
      <c r="Z192" s="67">
        <f t="shared" si="62"/>
        <v>5.7698</v>
      </c>
      <c r="AA192" s="67">
        <f t="shared" si="51"/>
        <v>9.1300000000000381E-2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2"/>
        <v>0828-10</v>
      </c>
      <c r="AE192" s="91" t="str">
        <f t="shared" si="53"/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92" s="88" t="str">
        <f t="shared" si="54"/>
        <v>"C:\Program Files (x86)\AstroGrep\AstroGrep.exe" /spath="%USERPROFILE%\AppData\Local\Temp\OnboardLogs" /stypes="app*4004*20161110*" /stext=" 23:.+((SYSTEM_STATE.+slice.+state.+changed )|(ment ac)|(system.+state.+changed )|(\[timeout)|(PRM\|1\|D)|(kpr)|(kdp)|(\|lc)|(penalty))" /e /r /s</v>
      </c>
      <c r="AG192" s="1" t="str">
        <f t="shared" si="55"/>
        <v>NW</v>
      </c>
      <c r="AH192" s="92" t="str">
        <f t="shared" si="56"/>
        <v>"%USERPROFILE%\Documents\GitHub\eaglep3\Utilities\RefineRTDCRunTimes.py" --tripid 828-10 --locoid 4004 --swversion DE.1.0.8.0 --startMP 300:58611 --initTime 2016-11-10T16:07:44 --startdatetime 2016-11-10T16:09:40 --delay 1 --endMP 300:57698 --enddatetime 2016-11-10T16:10:05 --enforcementcount 0 &gt;&gt;C:\Users\stu\Documents\GitHub\eaglep3-reporting\EC\2016-11-10-refined-times.txt</v>
      </c>
      <c r="AI192" s="119" t="str">
        <f t="shared" si="57"/>
        <v>echo {"issue":{"subject":"Onboard in-route failure","project_id":79,"tracker_id":40,"status_id":1,"priority_id":2,"assigned_to_id":23,"start_date":"2016-11-10","description":"Primary slice change around 2016/11/10 23:08:59.586:SYSTEM_STATE:slice state changed [PRIMARY]-&gt;[SECONDARY] - didn't have a multiple cpu faults, but wreaked enough havoc that the train was enforced and had to cut out","custom_fields":[{"id":1,"name":"Subdivision","value":"NW"},{"id":4,"name":"Milepost","value":"5.7698"},{"id":17,"name":"Train ID","value":"828-10"},{"id":16,"name":"Locomotive ID","value":"4004"},{"id":130,"name":"Impact","value":"Failed State"},{"id":150,"name":"Time of Event (Mountain Time)","value":"16:10:05"},{"id":151,"name":"Denver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92" s="53" t="s">
        <v>810</v>
      </c>
      <c r="AK192" s="53" t="s">
        <v>128</v>
      </c>
      <c r="AL192" s="53" t="s">
        <v>178</v>
      </c>
    </row>
    <row r="193" spans="1:91" s="21" customFormat="1" x14ac:dyDescent="0.25">
      <c r="A193" s="37" t="s">
        <v>544</v>
      </c>
      <c r="B193" s="7">
        <v>4044</v>
      </c>
      <c r="C193" s="22" t="s">
        <v>226</v>
      </c>
      <c r="D193" s="22" t="s">
        <v>764</v>
      </c>
      <c r="E193" s="13">
        <v>42684.678877314815</v>
      </c>
      <c r="F193" s="13">
        <v>42684.674895833334</v>
      </c>
      <c r="G193" s="7">
        <v>8</v>
      </c>
      <c r="H193" s="22" t="s">
        <v>765</v>
      </c>
      <c r="I193" s="13">
        <v>42684.695138888892</v>
      </c>
      <c r="J193" s="7">
        <v>0</v>
      </c>
      <c r="K193" s="109" t="str">
        <f t="shared" si="46"/>
        <v>4043/4044</v>
      </c>
      <c r="L193" s="22" t="str">
        <f>VLOOKUP(A193,'Trips&amp;Operators'!$C$1:$E$10000,3,FALSE)</f>
        <v>DAVIDSON</v>
      </c>
      <c r="M193" s="6">
        <f t="shared" si="47"/>
        <v>2.0243055558239575E-2</v>
      </c>
      <c r="N193" s="7">
        <f t="shared" ref="N193:N236" si="65">24*60*SUM($M193:$M193)</f>
        <v>29.150000003864989</v>
      </c>
      <c r="O193" s="7"/>
      <c r="P193" s="7"/>
      <c r="Q193" s="23"/>
      <c r="R193" s="23" t="s">
        <v>811</v>
      </c>
      <c r="S193" s="35">
        <f t="shared" si="64"/>
        <v>1</v>
      </c>
      <c r="T193" s="50" t="str">
        <f t="shared" si="48"/>
        <v>NorthBound</v>
      </c>
      <c r="U193" s="17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15:17:35-700',mode:absolute,to:'2016-11-10 17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3" s="52" t="str">
        <f t="shared" si="50"/>
        <v>N</v>
      </c>
      <c r="X193" s="178">
        <f t="shared" ref="X193:X197" si="66">VALUE(LEFT(AD193,4))-VALUE(LEFT(AD192,4))</f>
        <v>1</v>
      </c>
      <c r="Y193" s="67">
        <f t="shared" si="61"/>
        <v>0.10199999999999999</v>
      </c>
      <c r="Z193" s="67">
        <f t="shared" si="62"/>
        <v>5.8924000000000003</v>
      </c>
      <c r="AA193" s="67">
        <f t="shared" si="51"/>
        <v>5.7904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2"/>
        <v>0829-10</v>
      </c>
      <c r="AE193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93" s="88" t="str">
        <f t="shared" si="54"/>
        <v>"C:\Program Files (x86)\AstroGrep\AstroGrep.exe" /spath="%USERPROFILE%\AppData\Local\Temp\OnboardLogs" /stypes="app*4044*20161110*" /stext=" 23:.+((SYSTEM_STATE.+slice.+state.+changed )|(ment ac)|(system.+state.+changed )|(\[timeout)|(PRM\|1\|D)|(kpr)|(kdp)|(\|lc)|(penalty))" /e /r /s</v>
      </c>
      <c r="AG193" s="1" t="str">
        <f t="shared" si="55"/>
        <v>NW</v>
      </c>
      <c r="AH193" s="92" t="str">
        <f t="shared" si="56"/>
        <v>"%USERPROFILE%\Documents\GitHub\eaglep3\Utilities\RefineRTDCRunTimes.py" --tripid 829-10 --locoid 4044 --swversion DE.1.0.8.0 --startMP 204:1020 --initTime 2016-11-10T16:17:35 --startdatetime 2016-11-10T16:11:51 --delay 8 --endMP 300:58924 --enddatetime 2016-11-10T16:41:00 --enforcementcount 0 &gt;&gt;C:\Users\stu\Documents\GitHub\eaglep3-reporting\EC\2016-11-10-refined-times.txt</v>
      </c>
      <c r="AI193" s="119" t="str">
        <f t="shared" si="57"/>
        <v>echo {"issue":{"subject":"Onboard in-route failure delayed departure","project_id":79,"tracker_id":40,"status_id":1,"priority_id":2,"assigned_to_id":23,"start_date":"2016-11-10","description":"2016-11-10 16:11:33 denver time -  multiple cpu faults","custom_fields":[{"id":1,"name":"Subdivision","value":"NW"},{"id":4,"name":"Milepost","value":"5.8924"},{"id":17,"name":"Train ID","value":"829-10"},{"id":16,"name":"Locomotive ID","value":"4044"},{"id":130,"name":"Impact","value":"Failed State"},{"id":150,"name":"Time of Event (Mountain Time)","value":"16:41:00"},{"id":151,"name":"Denver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93" s="53" t="s">
        <v>812</v>
      </c>
      <c r="AK193" s="53" t="s">
        <v>128</v>
      </c>
      <c r="AL193" s="53" t="s">
        <v>178</v>
      </c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549</v>
      </c>
      <c r="B194" s="7">
        <v>4043</v>
      </c>
      <c r="C194" s="22" t="s">
        <v>226</v>
      </c>
      <c r="D194" s="22" t="s">
        <v>766</v>
      </c>
      <c r="E194" s="13">
        <v>42684.695891203701</v>
      </c>
      <c r="F194" s="13">
        <v>42684.697141203702</v>
      </c>
      <c r="G194" s="7">
        <v>0</v>
      </c>
      <c r="H194" s="22" t="s">
        <v>767</v>
      </c>
      <c r="I194" s="13">
        <v>42684.706932870373</v>
      </c>
      <c r="J194" s="7">
        <v>0</v>
      </c>
      <c r="K194" s="109" t="str">
        <f t="shared" si="46"/>
        <v>4043/4044</v>
      </c>
      <c r="L194" s="22" t="str">
        <f>VLOOKUP(A194,'Trips&amp;Operators'!$C$1:$E$10000,3,FALSE)</f>
        <v>DAVIDSON</v>
      </c>
      <c r="M194" s="6">
        <f t="shared" si="47"/>
        <v>9.7916666709352285E-3</v>
      </c>
      <c r="N194" s="7">
        <f t="shared" si="65"/>
        <v>14.100000006146729</v>
      </c>
      <c r="O194" s="7"/>
      <c r="P194" s="7"/>
      <c r="Q194" s="23"/>
      <c r="R194" s="23"/>
      <c r="S194" s="35">
        <f t="shared" si="64"/>
        <v>1</v>
      </c>
      <c r="T194" s="50" t="str">
        <f t="shared" si="48"/>
        <v>Southbound</v>
      </c>
      <c r="U194" s="17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15:42:05-700',mode:absolute,to:'2016-11-10 17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4" s="52" t="str">
        <f t="shared" si="50"/>
        <v>N</v>
      </c>
      <c r="X194" s="178">
        <f t="shared" si="66"/>
        <v>1</v>
      </c>
      <c r="Y194" s="67">
        <f t="shared" si="61"/>
        <v>5.8613</v>
      </c>
      <c r="Z194" s="67">
        <f t="shared" si="62"/>
        <v>7.4300000000000005E-2</v>
      </c>
      <c r="AA194" s="67">
        <f t="shared" si="51"/>
        <v>5.7869999999999999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2"/>
        <v>0830-10</v>
      </c>
      <c r="AE194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94" s="88" t="str">
        <f t="shared" si="54"/>
        <v>"C:\Program Files (x86)\AstroGrep\AstroGrep.exe" /spath="%USERPROFILE%\AppData\Local\Temp\OnboardLogs" /stypes="app*4043*20161110*" /stext=" 23:.+((SYSTEM_STATE.+slice.+state.+changed )|(ment ac)|(system.+state.+changed )|(\[timeout)|(PRM\|1\|D)|(kpr)|(kdp)|(\|lc)|(penalty))" /e /r /s</v>
      </c>
      <c r="AG194" s="1" t="str">
        <f t="shared" si="55"/>
        <v>NW</v>
      </c>
      <c r="AH194" s="92" t="str">
        <f t="shared" si="56"/>
        <v>"%USERPROFILE%\Documents\GitHub\eaglep3\Utilities\RefineRTDCRunTimes.py" --tripid 830-10 --locoid 4043 --swversion DE.1.0.8.0 --startMP 300:58613 --initTime 2016-11-10T16:42:05 --startdatetime 2016-11-10T16:43:53 --delay 0 --endMP 204:743 --enddatetime 2016-11-10T16:57:59 --enforcementcount 0 &gt;&gt;C:\Users\stu\Documents\GitHub\eaglep3-reporting\EC\2016-11-10-refined-times.txt</v>
      </c>
      <c r="AI194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{"issue":{"subject":"","project_id":79,"tracker_id":40,"status_id":1,"priority_id":2,"assigned_to_id":23,"start_date":"2016-11-10","description":"","custom_fields":[{"id":1,"name":"Subdivision","value":"NW"},{"id":4,"name":"Milepost","value":"0.0743"},{"id":17,"name":"Train ID","value":"830-10"},{"id":16,"name":"Locomotive ID","value":"4043"},{"id":130,"name":"Impact","value":""},{"id":150,"name":"Time of Event (Mountain Time)","value":"16:57:59"},{"id":151,"name":"Denver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415</v>
      </c>
      <c r="B195" s="7">
        <v>4003</v>
      </c>
      <c r="C195" s="22" t="s">
        <v>226</v>
      </c>
      <c r="D195" s="22" t="s">
        <v>768</v>
      </c>
      <c r="E195" s="13">
        <v>42684.698958333334</v>
      </c>
      <c r="F195" s="13">
        <v>42684.702361111114</v>
      </c>
      <c r="G195" s="7">
        <v>1</v>
      </c>
      <c r="H195" s="22" t="s">
        <v>765</v>
      </c>
      <c r="I195" s="13">
        <v>42684.713391203702</v>
      </c>
      <c r="J195" s="7">
        <v>0</v>
      </c>
      <c r="K195" s="109" t="str">
        <f t="shared" si="46"/>
        <v>4003/4004</v>
      </c>
      <c r="L195" s="22" t="str">
        <f>VLOOKUP(A195,'Trips&amp;Operators'!$C$1:$E$10000,3,FALSE)</f>
        <v>MAGEE</v>
      </c>
      <c r="M195" s="6">
        <f t="shared" si="47"/>
        <v>1.1030092588043772E-2</v>
      </c>
      <c r="N195" s="7">
        <f t="shared" si="65"/>
        <v>15.883333326783031</v>
      </c>
      <c r="O195" s="7"/>
      <c r="P195" s="7"/>
      <c r="Q195" s="23"/>
      <c r="R195" s="23"/>
      <c r="S195" s="35">
        <f t="shared" si="64"/>
        <v>1</v>
      </c>
      <c r="T195" s="50" t="str">
        <f t="shared" si="48"/>
        <v>NorthBound</v>
      </c>
      <c r="U195" s="17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15:46:30-700',mode:absolute,to:'2016-11-10 18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5" s="52" t="str">
        <f t="shared" si="50"/>
        <v>N</v>
      </c>
      <c r="X195" s="178">
        <f t="shared" si="66"/>
        <v>1</v>
      </c>
      <c r="Y195" s="67">
        <f t="shared" si="61"/>
        <v>9.6500000000000002E-2</v>
      </c>
      <c r="Z195" s="67">
        <f t="shared" si="62"/>
        <v>5.8924000000000003</v>
      </c>
      <c r="AA195" s="67">
        <f t="shared" si="51"/>
        <v>5.7959000000000005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2"/>
        <v>0831-10</v>
      </c>
      <c r="AE195" s="91" t="str">
        <f t="shared" si="53"/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95" s="88" t="str">
        <f t="shared" si="54"/>
        <v>"C:\Program Files (x86)\AstroGrep\AstroGrep.exe" /spath="%USERPROFILE%\AppData\Local\Temp\OnboardLogs" /stypes="app*4003*20161111*" /stext=" 00:.+((SYSTEM_STATE.+slice.+state.+changed )|(ment ac)|(system.+state.+changed )|(\[timeout)|(PRM\|1\|D)|(kpr)|(kdp)|(\|lc)|(penalty))" /e /r /s</v>
      </c>
      <c r="AG195" s="1" t="str">
        <f t="shared" si="55"/>
        <v>NW</v>
      </c>
      <c r="AH195" s="92" t="str">
        <f t="shared" si="56"/>
        <v>"%USERPROFILE%\Documents\GitHub\eaglep3\Utilities\RefineRTDCRunTimes.py" --tripid 831-10 --locoid 4003 --swversion DE.1.0.8.0 --startMP 204:965 --initTime 2016-11-10T16:46:30 --startdatetime 2016-11-10T16:51:24 --delay 1 --endMP 300:58924 --enddatetime 2016-11-10T17:07:17 --enforcementcount 0 &gt;&gt;C:\Users\stu\Documents\GitHub\eaglep3-reporting\EC\2016-11-10-refined-times.txt</v>
      </c>
      <c r="AI195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{"issue":{"subject":"","project_id":79,"tracker_id":40,"status_id":1,"priority_id":2,"assigned_to_id":23,"start_date":"2016-11-10","description":"","custom_fields":[{"id":1,"name":"Subdivision","value":"NW"},{"id":4,"name":"Milepost","value":"5.8924"},{"id":17,"name":"Train ID","value":"831-10"},{"id":16,"name":"Locomotive ID","value":"4003"},{"id":130,"name":"Impact","value":""},{"id":150,"name":"Time of Event (Mountain Time)","value":"17:07:17"},{"id":151,"name":"Denver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553</v>
      </c>
      <c r="B196" s="7">
        <v>4004</v>
      </c>
      <c r="C196" s="22" t="s">
        <v>226</v>
      </c>
      <c r="D196" s="22" t="s">
        <v>738</v>
      </c>
      <c r="E196" s="13">
        <v>42684.714456018519</v>
      </c>
      <c r="F196" s="13">
        <v>42684.716238425928</v>
      </c>
      <c r="G196" s="7">
        <v>1</v>
      </c>
      <c r="H196" s="22" t="s">
        <v>769</v>
      </c>
      <c r="I196" s="13">
        <v>42684.726631944446</v>
      </c>
      <c r="J196" s="7">
        <v>0</v>
      </c>
      <c r="K196" s="109" t="str">
        <f t="shared" si="46"/>
        <v>4003/4004</v>
      </c>
      <c r="L196" s="22" t="str">
        <f>VLOOKUP(A196,'Trips&amp;Operators'!$C$1:$E$10000,3,FALSE)</f>
        <v>MAGEE</v>
      </c>
      <c r="M196" s="6">
        <f t="shared" si="47"/>
        <v>1.0393518517958E-2</v>
      </c>
      <c r="N196" s="7">
        <f t="shared" si="65"/>
        <v>14.96666666585952</v>
      </c>
      <c r="O196" s="7"/>
      <c r="P196" s="7"/>
      <c r="Q196" s="23"/>
      <c r="R196" s="23"/>
      <c r="S196" s="35">
        <f t="shared" si="64"/>
        <v>1</v>
      </c>
      <c r="T196" s="50" t="str">
        <f t="shared" si="48"/>
        <v>Southbound</v>
      </c>
      <c r="U196" s="17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16:08:49-700',mode:absolute,to:'2016-11-10 18:26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6" s="52" t="str">
        <f t="shared" si="50"/>
        <v>N</v>
      </c>
      <c r="X196" s="178">
        <f t="shared" si="66"/>
        <v>1</v>
      </c>
      <c r="Y196" s="67">
        <f t="shared" si="61"/>
        <v>5.8605999999999998</v>
      </c>
      <c r="Z196" s="67">
        <f t="shared" si="62"/>
        <v>6.8199999999999997E-2</v>
      </c>
      <c r="AA196" s="67">
        <f t="shared" si="51"/>
        <v>5.7923999999999998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2"/>
        <v>0832-10</v>
      </c>
      <c r="AE196" s="91" t="str">
        <f t="shared" si="53"/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96" s="88" t="str">
        <f t="shared" si="54"/>
        <v>"C:\Program Files (x86)\AstroGrep\AstroGrep.exe" /spath="%USERPROFILE%\AppData\Local\Temp\OnboardLogs" /stypes="app*4004*20161111*" /stext=" 00:.+((SYSTEM_STATE.+slice.+state.+changed )|(ment ac)|(system.+state.+changed )|(\[timeout)|(PRM\|1\|D)|(kpr)|(kdp)|(\|lc)|(penalty))" /e /r /s</v>
      </c>
      <c r="AG196" s="1" t="str">
        <f t="shared" si="55"/>
        <v>NW</v>
      </c>
      <c r="AH196" s="92" t="str">
        <f t="shared" si="56"/>
        <v>"%USERPROFILE%\Documents\GitHub\eaglep3\Utilities\RefineRTDCRunTimes.py" --tripid 832-10 --locoid 4004 --swversion DE.1.0.8.0 --startMP 300:58606 --initTime 2016-11-10T17:08:49 --startdatetime 2016-11-10T17:11:23 --delay 1 --endMP 204:682 --enddatetime 2016-11-10T17:26:21 --enforcementcount 0 &gt;&gt;C:\Users\stu\Documents\GitHub\eaglep3-reporting\EC\2016-11-10-refined-times.txt</v>
      </c>
      <c r="AI196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{"issue":{"subject":"","project_id":79,"tracker_id":40,"status_id":1,"priority_id":2,"assigned_to_id":23,"start_date":"2016-11-10","description":"","custom_fields":[{"id":1,"name":"Subdivision","value":"NW"},{"id":4,"name":"Milepost","value":"0.0682"},{"id":17,"name":"Train ID","value":"832-10"},{"id":16,"name":"Locomotive ID","value":"4004"},{"id":130,"name":"Impact","value":""},{"id":150,"name":"Time of Event (Mountain Time)","value":"17:26:21"},{"id":151,"name":"Denver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555</v>
      </c>
      <c r="B197" s="7">
        <v>4044</v>
      </c>
      <c r="C197" s="22" t="s">
        <v>226</v>
      </c>
      <c r="D197" s="22" t="s">
        <v>363</v>
      </c>
      <c r="E197" s="13">
        <v>42684.718043981484</v>
      </c>
      <c r="F197" s="13">
        <v>42684.72315972222</v>
      </c>
      <c r="G197" s="7">
        <v>1</v>
      </c>
      <c r="H197" s="22" t="s">
        <v>770</v>
      </c>
      <c r="I197" s="13">
        <v>42684.734803240739</v>
      </c>
      <c r="J197" s="7">
        <v>0</v>
      </c>
      <c r="K197" s="109" t="str">
        <f t="shared" si="46"/>
        <v>4043/4044</v>
      </c>
      <c r="L197" s="22" t="str">
        <f>VLOOKUP(A197,'Trips&amp;Operators'!$C$1:$E$10000,3,FALSE)</f>
        <v>DAVIDSON</v>
      </c>
      <c r="M197" s="6">
        <f t="shared" si="47"/>
        <v>1.1643518519122154E-2</v>
      </c>
      <c r="N197" s="7">
        <f t="shared" si="65"/>
        <v>16.766666667535901</v>
      </c>
      <c r="O197" s="7"/>
      <c r="P197" s="7"/>
      <c r="Q197" s="23"/>
      <c r="R197" s="23"/>
      <c r="S197" s="35">
        <f t="shared" si="64"/>
        <v>1</v>
      </c>
      <c r="T197" s="50" t="str">
        <f t="shared" si="48"/>
        <v>NorthBound</v>
      </c>
      <c r="U197" s="17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16:13:59-700',mode:absolute,to:'2016-11-10 18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7" s="52" t="str">
        <f t="shared" si="50"/>
        <v>N</v>
      </c>
      <c r="X197" s="178">
        <f t="shared" si="66"/>
        <v>1</v>
      </c>
      <c r="Y197" s="67">
        <f t="shared" si="61"/>
        <v>0.1016</v>
      </c>
      <c r="Z197" s="67">
        <f t="shared" si="62"/>
        <v>5.8916000000000004</v>
      </c>
      <c r="AA197" s="67">
        <f t="shared" si="51"/>
        <v>5.79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2"/>
        <v>0833-10</v>
      </c>
      <c r="AE197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97" s="88" t="str">
        <f t="shared" si="54"/>
        <v>"C:\Program Files (x86)\AstroGrep\AstroGrep.exe" /spath="%USERPROFILE%\AppData\Local\Temp\OnboardLogs" /stypes="app*4044*20161111*" /stext=" 00:.+((SYSTEM_STATE.+slice.+state.+changed )|(ment ac)|(system.+state.+changed )|(\[timeout)|(PRM\|1\|D)|(kpr)|(kdp)|(\|lc)|(penalty))" /e /r /s</v>
      </c>
      <c r="AG197" s="1" t="str">
        <f t="shared" si="55"/>
        <v>NW</v>
      </c>
      <c r="AH197" s="92" t="str">
        <f t="shared" si="56"/>
        <v>"%USERPROFILE%\Documents\GitHub\eaglep3\Utilities\RefineRTDCRunTimes.py" --tripid 833-10 --locoid 4044 --swversion DE.1.0.8.0 --startMP 204:1016 --initTime 2016-11-10T17:13:59 --startdatetime 2016-11-10T17:21:21 --delay 1 --endMP 300:58916 --enddatetime 2016-11-10T17:38:07 --enforcementcount 0 &gt;&gt;C:\Users\stu\Documents\GitHub\eaglep3-reporting\EC\2016-11-10-refined-times.txt</v>
      </c>
      <c r="AI197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{"issue":{"subject":"","project_id":79,"tracker_id":40,"status_id":1,"priority_id":2,"assigned_to_id":23,"start_date":"2016-11-10","description":"","custom_fields":[{"id":1,"name":"Subdivision","value":"NW"},{"id":4,"name":"Milepost","value":"5.8916"},{"id":17,"name":"Train ID","value":"833-10"},{"id":16,"name":"Locomotive ID","value":"4044"},{"id":130,"name":"Impact","value":""},{"id":150,"name":"Time of Event (Mountain Time)","value":"17:38:07"},{"id":151,"name":"Denver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561</v>
      </c>
      <c r="B198" s="7">
        <v>4043</v>
      </c>
      <c r="C198" s="22" t="s">
        <v>226</v>
      </c>
      <c r="D198" s="22" t="s">
        <v>738</v>
      </c>
      <c r="E198" s="13">
        <v>42684.735844907409</v>
      </c>
      <c r="F198" s="13">
        <v>42684.738206018519</v>
      </c>
      <c r="G198" s="7">
        <v>1</v>
      </c>
      <c r="H198" s="22" t="s">
        <v>771</v>
      </c>
      <c r="I198" s="13">
        <v>42684.749467592592</v>
      </c>
      <c r="J198" s="7">
        <v>0</v>
      </c>
      <c r="K198" s="109" t="str">
        <f t="shared" si="46"/>
        <v>4043/4044</v>
      </c>
      <c r="L198" s="22" t="str">
        <f>VLOOKUP(A198,'Trips&amp;Operators'!$C$1:$E$10000,3,FALSE)</f>
        <v>DAVIDSON</v>
      </c>
      <c r="M198" s="6">
        <f t="shared" si="47"/>
        <v>1.1261574072705116E-2</v>
      </c>
      <c r="N198" s="7">
        <f t="shared" si="65"/>
        <v>16.216666664695367</v>
      </c>
      <c r="O198" s="7"/>
      <c r="P198" s="7"/>
      <c r="Q198" s="23"/>
      <c r="R198" s="23"/>
      <c r="S198" s="35">
        <f t="shared" si="64"/>
        <v>1</v>
      </c>
      <c r="T198" s="50" t="str">
        <f t="shared" si="48"/>
        <v>Southbound</v>
      </c>
      <c r="U198" s="17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16:39:37-700',mode:absolute,to:'2016-11-10 18:59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8" s="52" t="str">
        <f t="shared" si="50"/>
        <v>N</v>
      </c>
      <c r="X198" s="178">
        <f t="shared" ref="X198:X236" si="67">VALUE(LEFT(AD198,4))-VALUE(LEFT(AD197,4))</f>
        <v>1</v>
      </c>
      <c r="Y198" s="67">
        <f t="shared" si="61"/>
        <v>5.8605999999999998</v>
      </c>
      <c r="Z198" s="67">
        <f t="shared" si="62"/>
        <v>7.0999999999999994E-2</v>
      </c>
      <c r="AA198" s="67">
        <f t="shared" si="51"/>
        <v>5.7896000000000001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2"/>
        <v>0834-10</v>
      </c>
      <c r="AE198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98" s="88" t="str">
        <f t="shared" si="54"/>
        <v>"C:\Program Files (x86)\AstroGrep\AstroGrep.exe" /spath="%USERPROFILE%\AppData\Local\Temp\OnboardLogs" /stypes="app*4043*20161111*" /stext=" 00:.+((SYSTEM_STATE.+slice.+state.+changed )|(ment ac)|(system.+state.+changed )|(\[timeout)|(PRM\|1\|D)|(kpr)|(kdp)|(\|lc)|(penalty))" /e /r /s</v>
      </c>
      <c r="AG198" s="1" t="str">
        <f t="shared" si="55"/>
        <v>NW</v>
      </c>
      <c r="AH198" s="92" t="str">
        <f t="shared" si="56"/>
        <v>"%USERPROFILE%\Documents\GitHub\eaglep3\Utilities\RefineRTDCRunTimes.py" --tripid 834-10 --locoid 4043 --swversion DE.1.0.8.0 --startMP 300:58606 --initTime 2016-11-10T17:39:37 --startdatetime 2016-11-10T17:43:01 --delay 1 --endMP 204:710 --enddatetime 2016-11-10T17:59:14 --enforcementcount 0 &gt;&gt;C:\Users\stu\Documents\GitHub\eaglep3-reporting\EC\2016-11-10-refined-times.txt</v>
      </c>
      <c r="AI198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{"issue":{"subject":"","project_id":79,"tracker_id":40,"status_id":1,"priority_id":2,"assigned_to_id":23,"start_date":"2016-11-10","description":"","custom_fields":[{"id":1,"name":"Subdivision","value":"NW"},{"id":4,"name":"Milepost","value":"0.071"},{"id":17,"name":"Train ID","value":"834-10"},{"id":16,"name":"Locomotive ID","value":"4043"},{"id":130,"name":"Impact","value":""},{"id":150,"name":"Time of Event (Mountain Time)","value":"17:59:14"},{"id":151,"name":"Denver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562</v>
      </c>
      <c r="B199" s="7">
        <v>4003</v>
      </c>
      <c r="C199" s="22" t="s">
        <v>226</v>
      </c>
      <c r="D199" s="22" t="s">
        <v>746</v>
      </c>
      <c r="E199" s="13">
        <v>42684.740648148145</v>
      </c>
      <c r="F199" s="13">
        <v>42684.743923611109</v>
      </c>
      <c r="G199" s="7">
        <v>1</v>
      </c>
      <c r="H199" s="22" t="s">
        <v>747</v>
      </c>
      <c r="I199" s="13">
        <v>42684.753807870373</v>
      </c>
      <c r="J199" s="7">
        <v>0</v>
      </c>
      <c r="K199" s="109" t="str">
        <f t="shared" si="46"/>
        <v>4003/4004</v>
      </c>
      <c r="L199" s="22" t="str">
        <f>VLOOKUP(A199,'Trips&amp;Operators'!$C$1:$E$10000,3,FALSE)</f>
        <v>MAGEE</v>
      </c>
      <c r="M199" s="6">
        <f t="shared" si="47"/>
        <v>9.8842592633445747E-3</v>
      </c>
      <c r="N199" s="7">
        <f t="shared" si="65"/>
        <v>14.233333339216188</v>
      </c>
      <c r="O199" s="7"/>
      <c r="P199" s="7"/>
      <c r="Q199" s="23"/>
      <c r="R199" s="23"/>
      <c r="S199" s="35">
        <f t="shared" si="64"/>
        <v>1</v>
      </c>
      <c r="T199" s="50" t="str">
        <f t="shared" si="48"/>
        <v>NorthBound</v>
      </c>
      <c r="U199" s="17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16:46:32-700',mode:absolute,to:'2016-11-10 19:05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9" s="52" t="str">
        <f t="shared" si="50"/>
        <v>N</v>
      </c>
      <c r="X199" s="178">
        <f t="shared" si="67"/>
        <v>1</v>
      </c>
      <c r="Y199" s="67">
        <f t="shared" si="61"/>
        <v>9.69E-2</v>
      </c>
      <c r="Z199" s="67">
        <f t="shared" si="62"/>
        <v>5.8921999999999999</v>
      </c>
      <c r="AA199" s="67">
        <f t="shared" si="51"/>
        <v>5.7953000000000001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2"/>
        <v>0835-10</v>
      </c>
      <c r="AE199" s="91" t="str">
        <f t="shared" si="53"/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99" s="88" t="str">
        <f t="shared" si="54"/>
        <v>"C:\Program Files (x86)\AstroGrep\AstroGrep.exe" /spath="%USERPROFILE%\AppData\Local\Temp\OnboardLogs" /stypes="app*4003*20161111*" /stext=" 01:.+((SYSTEM_STATE.+slice.+state.+changed )|(ment ac)|(system.+state.+changed )|(\[timeout)|(PRM\|1\|D)|(kpr)|(kdp)|(\|lc)|(penalty))" /e /r /s</v>
      </c>
      <c r="AG199" s="1" t="str">
        <f t="shared" si="55"/>
        <v>NW</v>
      </c>
      <c r="AH199" s="92" t="str">
        <f t="shared" si="56"/>
        <v>"%USERPROFILE%\Documents\GitHub\eaglep3\Utilities\RefineRTDCRunTimes.py" --tripid 835-10 --locoid 4003 --swversion DE.1.0.8.0 --startMP 204:969 --initTime 2016-11-10T17:46:32 --startdatetime 2016-11-10T17:51:15 --delay 1 --endMP 300:58922 --enddatetime 2016-11-10T18:05:29 --enforcementcount 0 &gt;&gt;C:\Users\stu\Documents\GitHub\eaglep3-reporting\EC\2016-11-10-refined-times.txt</v>
      </c>
      <c r="AI199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{"issue":{"subject":"","project_id":79,"tracker_id":40,"status_id":1,"priority_id":2,"assigned_to_id":23,"start_date":"2016-11-10","description":"","custom_fields":[{"id":1,"name":"Subdivision","value":"NW"},{"id":4,"name":"Milepost","value":"5.8922"},{"id":17,"name":"Train ID","value":"835-10"},{"id":16,"name":"Locomotive ID","value":"4003"},{"id":130,"name":"Impact","value":""},{"id":150,"name":"Time of Event (Mountain Time)","value":"18:05:29"},{"id":151,"name":"Denver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418</v>
      </c>
      <c r="B200" s="7">
        <v>4004</v>
      </c>
      <c r="C200" s="22" t="s">
        <v>226</v>
      </c>
      <c r="D200" s="22" t="s">
        <v>772</v>
      </c>
      <c r="E200" s="13">
        <v>42684.754872685182</v>
      </c>
      <c r="F200" s="13">
        <v>42684.756284722222</v>
      </c>
      <c r="G200" s="7">
        <v>1</v>
      </c>
      <c r="H200" s="22" t="s">
        <v>773</v>
      </c>
      <c r="I200" s="13">
        <v>42684.769733796296</v>
      </c>
      <c r="J200" s="7">
        <v>0</v>
      </c>
      <c r="K200" s="109" t="str">
        <f t="shared" si="46"/>
        <v>4003/4004</v>
      </c>
      <c r="L200" s="22" t="str">
        <f>VLOOKUP(A200,'Trips&amp;Operators'!$C$1:$E$10000,3,FALSE)</f>
        <v>MAGEE</v>
      </c>
      <c r="M200" s="6">
        <f t="shared" si="47"/>
        <v>1.3449074074742384E-2</v>
      </c>
      <c r="N200" s="7">
        <f t="shared" si="65"/>
        <v>19.366666667629033</v>
      </c>
      <c r="O200" s="7"/>
      <c r="P200" s="7"/>
      <c r="Q200" s="23"/>
      <c r="R200" s="23"/>
      <c r="S200" s="35">
        <f t="shared" si="64"/>
        <v>1</v>
      </c>
      <c r="T200" s="50" t="str">
        <f t="shared" si="48"/>
        <v>Southbound</v>
      </c>
      <c r="U200" s="17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17:07:01-700',mode:absolute,to:'2016-11-10 19:28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0" s="52" t="str">
        <f t="shared" si="50"/>
        <v>N</v>
      </c>
      <c r="X200" s="178">
        <f t="shared" si="67"/>
        <v>1</v>
      </c>
      <c r="Y200" s="67">
        <f t="shared" si="61"/>
        <v>5.8608000000000002</v>
      </c>
      <c r="Z200" s="67">
        <f t="shared" si="62"/>
        <v>6.59E-2</v>
      </c>
      <c r="AA200" s="67">
        <f t="shared" si="51"/>
        <v>5.7949000000000002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2"/>
        <v>0836-10</v>
      </c>
      <c r="AE200" s="91" t="str">
        <f t="shared" si="53"/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200" s="88" t="str">
        <f t="shared" si="54"/>
        <v>"C:\Program Files (x86)\AstroGrep\AstroGrep.exe" /spath="%USERPROFILE%\AppData\Local\Temp\OnboardLogs" /stypes="app*4004*20161111*" /stext=" 01:.+((SYSTEM_STATE.+slice.+state.+changed )|(ment ac)|(system.+state.+changed )|(\[timeout)|(PRM\|1\|D)|(kpr)|(kdp)|(\|lc)|(penalty))" /e /r /s</v>
      </c>
      <c r="AG200" s="1" t="str">
        <f t="shared" si="55"/>
        <v>NW</v>
      </c>
      <c r="AH200" s="92" t="str">
        <f t="shared" si="56"/>
        <v>"%USERPROFILE%\Documents\GitHub\eaglep3\Utilities\RefineRTDCRunTimes.py" --tripid 836-10 --locoid 4004 --swversion DE.1.0.8.0 --startMP 300:58608 --initTime 2016-11-10T18:07:01 --startdatetime 2016-11-10T18:09:03 --delay 1 --endMP 204:659 --enddatetime 2016-11-10T18:28:25 --enforcementcount 0 &gt;&gt;C:\Users\stu\Documents\GitHub\eaglep3-reporting\EC\2016-11-10-refined-times.txt</v>
      </c>
      <c r="AI200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{"issue":{"subject":"","project_id":79,"tracker_id":40,"status_id":1,"priority_id":2,"assigned_to_id":23,"start_date":"2016-11-10","description":"","custom_fields":[{"id":1,"name":"Subdivision","value":"NW"},{"id":4,"name":"Milepost","value":"0.0659"},{"id":17,"name":"Train ID","value":"836-10"},{"id":16,"name":"Locomotive ID","value":"4004"},{"id":130,"name":"Impact","value":""},{"id":150,"name":"Time of Event (Mountain Time)","value":"18:28:25"},{"id":151,"name":"Denver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568</v>
      </c>
      <c r="B201" s="7">
        <v>4044</v>
      </c>
      <c r="C201" s="22" t="s">
        <v>226</v>
      </c>
      <c r="D201" s="22" t="s">
        <v>373</v>
      </c>
      <c r="E201" s="13">
        <v>42684.757974537039</v>
      </c>
      <c r="F201" s="13">
        <v>42684.764872685184</v>
      </c>
      <c r="G201" s="7">
        <v>1</v>
      </c>
      <c r="H201" s="22" t="s">
        <v>774</v>
      </c>
      <c r="I201" s="13">
        <v>42684.776134259257</v>
      </c>
      <c r="J201" s="7">
        <v>0</v>
      </c>
      <c r="K201" s="109" t="str">
        <f t="shared" si="46"/>
        <v>4043/4044</v>
      </c>
      <c r="L201" s="22" t="str">
        <f>VLOOKUP(A201,'Trips&amp;Operators'!$C$1:$E$10000,3,FALSE)</f>
        <v>DAVIDSON</v>
      </c>
      <c r="M201" s="6">
        <f t="shared" si="47"/>
        <v>1.1261574072705116E-2</v>
      </c>
      <c r="N201" s="7">
        <f t="shared" si="65"/>
        <v>16.216666664695367</v>
      </c>
      <c r="O201" s="7"/>
      <c r="P201" s="7"/>
      <c r="Q201" s="23"/>
      <c r="R201" s="23"/>
      <c r="S201" s="35">
        <f t="shared" si="64"/>
        <v>1</v>
      </c>
      <c r="T201" s="50" t="str">
        <f t="shared" si="48"/>
        <v>NorthBound</v>
      </c>
      <c r="U201" s="17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17:11:29-700',mode:absolute,to:'2016-11-10 19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1" s="52" t="str">
        <f t="shared" si="50"/>
        <v>N</v>
      </c>
      <c r="X201" s="178">
        <f t="shared" si="67"/>
        <v>1</v>
      </c>
      <c r="Y201" s="67">
        <f t="shared" si="61"/>
        <v>9.9199999999999997E-2</v>
      </c>
      <c r="Z201" s="67">
        <f t="shared" si="62"/>
        <v>5.8912000000000004</v>
      </c>
      <c r="AA201" s="67">
        <f t="shared" si="51"/>
        <v>5.7920000000000007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2"/>
        <v>0837-10</v>
      </c>
      <c r="AE201" s="91" t="str">
        <f t="shared" si="53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201" s="88" t="str">
        <f t="shared" si="54"/>
        <v>"C:\Program Files (x86)\AstroGrep\AstroGrep.exe" /spath="%USERPROFILE%\AppData\Local\Temp\OnboardLogs" /stypes="app*4044*20161111*" /stext=" 01:.+((SYSTEM_STATE.+slice.+state.+changed )|(ment ac)|(system.+state.+changed )|(\[timeout)|(PRM\|1\|D)|(kpr)|(kdp)|(\|lc)|(penalty))" /e /r /s</v>
      </c>
      <c r="AG201" s="1" t="str">
        <f t="shared" si="55"/>
        <v>NW</v>
      </c>
      <c r="AH201" s="92" t="str">
        <f t="shared" si="56"/>
        <v>"%USERPROFILE%\Documents\GitHub\eaglep3\Utilities\RefineRTDCRunTimes.py" --tripid 837-10 --locoid 4044 --swversion DE.1.0.8.0 --startMP 204:992 --initTime 2016-11-10T18:11:29 --startdatetime 2016-11-10T18:21:25 --delay 1 --endMP 300:58912 --enddatetime 2016-11-10T18:37:38 --enforcementcount 0 &gt;&gt;C:\Users\stu\Documents\GitHub\eaglep3-reporting\EC\2016-11-10-refined-times.txt</v>
      </c>
      <c r="AI201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{"issue":{"subject":"","project_id":79,"tracker_id":40,"status_id":1,"priority_id":2,"assigned_to_id":23,"start_date":"2016-11-10","description":"","custom_fields":[{"id":1,"name":"Subdivision","value":"NW"},{"id":4,"name":"Milepost","value":"5.8912"},{"id":17,"name":"Train ID","value":"837-10"},{"id":16,"name":"Locomotive ID","value":"4044"},{"id":130,"name":"Impact","value":""},{"id":150,"name":"Time of Event (Mountain Time)","value":"18:37:38"},{"id":151,"name":"Denver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573</v>
      </c>
      <c r="B202" s="7">
        <v>4043</v>
      </c>
      <c r="C202" s="22" t="s">
        <v>226</v>
      </c>
      <c r="D202" s="22" t="s">
        <v>775</v>
      </c>
      <c r="E202" s="13">
        <v>42684.777326388888</v>
      </c>
      <c r="F202" s="13">
        <v>42684.779675925929</v>
      </c>
      <c r="G202" s="7">
        <v>1</v>
      </c>
      <c r="H202" s="22" t="s">
        <v>776</v>
      </c>
      <c r="I202" s="13">
        <v>42684.790844907409</v>
      </c>
      <c r="J202" s="7">
        <v>0</v>
      </c>
      <c r="K202" s="109" t="str">
        <f t="shared" si="46"/>
        <v>4043/4044</v>
      </c>
      <c r="L202" s="22" t="str">
        <f>VLOOKUP(A202,'Trips&amp;Operators'!$C$1:$E$10000,3,FALSE)</f>
        <v>DAVIDSON</v>
      </c>
      <c r="M202" s="6">
        <f t="shared" si="47"/>
        <v>1.116898148029577E-2</v>
      </c>
      <c r="N202" s="7">
        <f t="shared" si="65"/>
        <v>16.083333331625909</v>
      </c>
      <c r="O202" s="7"/>
      <c r="P202" s="7"/>
      <c r="Q202" s="23"/>
      <c r="R202" s="23"/>
      <c r="S202" s="35">
        <f t="shared" si="64"/>
        <v>1</v>
      </c>
      <c r="T202" s="50" t="str">
        <f t="shared" si="48"/>
        <v>Southbound</v>
      </c>
      <c r="U202" s="17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17:39:21-700',mode:absolute,to:'2016-11-10 19:58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2" s="52" t="str">
        <f t="shared" si="50"/>
        <v>N</v>
      </c>
      <c r="X202" s="178">
        <f t="shared" si="67"/>
        <v>1</v>
      </c>
      <c r="Y202" s="67">
        <f t="shared" si="61"/>
        <v>5.8593999999999999</v>
      </c>
      <c r="Z202" s="67">
        <f t="shared" si="62"/>
        <v>6.6400000000000001E-2</v>
      </c>
      <c r="AA202" s="67">
        <f t="shared" si="51"/>
        <v>5.7930000000000001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2"/>
        <v>0838-10</v>
      </c>
      <c r="AE202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202" s="88" t="str">
        <f t="shared" si="54"/>
        <v>"C:\Program Files (x86)\AstroGrep\AstroGrep.exe" /spath="%USERPROFILE%\AppData\Local\Temp\OnboardLogs" /stypes="app*4043*20161111*" /stext=" 01:.+((SYSTEM_STATE.+slice.+state.+changed )|(ment ac)|(system.+state.+changed )|(\[timeout)|(PRM\|1\|D)|(kpr)|(kdp)|(\|lc)|(penalty))" /e /r /s</v>
      </c>
      <c r="AG202" s="1" t="str">
        <f t="shared" si="55"/>
        <v>NW</v>
      </c>
      <c r="AH202" s="92" t="str">
        <f t="shared" si="56"/>
        <v>"%USERPROFILE%\Documents\GitHub\eaglep3\Utilities\RefineRTDCRunTimes.py" --tripid 838-10 --locoid 4043 --swversion DE.1.0.8.0 --startMP 300:58594 --initTime 2016-11-10T18:39:21 --startdatetime 2016-11-10T18:42:44 --delay 1 --endMP 204:664 --enddatetime 2016-11-10T18:58:49 --enforcementcount 0 &gt;&gt;C:\Users\stu\Documents\GitHub\eaglep3-reporting\EC\2016-11-10-refined-times.txt</v>
      </c>
      <c r="AI202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{"issue":{"subject":"","project_id":79,"tracker_id":40,"status_id":1,"priority_id":2,"assigned_to_id":23,"start_date":"2016-11-10","description":"","custom_fields":[{"id":1,"name":"Subdivision","value":"NW"},{"id":4,"name":"Milepost","value":"0.0664"},{"id":17,"name":"Train ID","value":"838-10"},{"id":16,"name":"Locomotive ID","value":"4043"},{"id":130,"name":"Impact","value":""},{"id":150,"name":"Time of Event (Mountain Time)","value":"18:58:49"},{"id":151,"name":"Denver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572</v>
      </c>
      <c r="B203" s="7">
        <v>4003</v>
      </c>
      <c r="C203" s="22" t="s">
        <v>226</v>
      </c>
      <c r="D203" s="22" t="s">
        <v>777</v>
      </c>
      <c r="E203" s="13">
        <v>42684.776979166665</v>
      </c>
      <c r="F203" s="13">
        <v>42684.785601851851</v>
      </c>
      <c r="G203" s="7">
        <v>1</v>
      </c>
      <c r="H203" s="22" t="s">
        <v>778</v>
      </c>
      <c r="I203" s="13">
        <v>42684.795682870368</v>
      </c>
      <c r="J203" s="7">
        <v>0</v>
      </c>
      <c r="K203" s="109" t="str">
        <f t="shared" si="46"/>
        <v>4003/4004</v>
      </c>
      <c r="L203" s="22" t="str">
        <f>VLOOKUP(A203,'Trips&amp;Operators'!$C$1:$E$10000,3,FALSE)</f>
        <v>MAGEE</v>
      </c>
      <c r="M203" s="6">
        <f t="shared" si="47"/>
        <v>1.0081018517666962E-2</v>
      </c>
      <c r="N203" s="7">
        <f t="shared" si="65"/>
        <v>14.516666665440425</v>
      </c>
      <c r="O203" s="7"/>
      <c r="P203" s="7"/>
      <c r="Q203" s="23"/>
      <c r="R203" s="23"/>
      <c r="S203" s="35">
        <f t="shared" si="64"/>
        <v>1</v>
      </c>
      <c r="T203" s="50" t="str">
        <f t="shared" si="48"/>
        <v>NorthBound</v>
      </c>
      <c r="U203" s="17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17:38:51-700',mode:absolute,to:'2016-11-10 20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3" s="52" t="str">
        <f t="shared" si="50"/>
        <v>N</v>
      </c>
      <c r="X203" s="178">
        <f t="shared" si="67"/>
        <v>1</v>
      </c>
      <c r="Y203" s="67">
        <f t="shared" si="61"/>
        <v>9.5500000000000002E-2</v>
      </c>
      <c r="Z203" s="67">
        <f t="shared" si="62"/>
        <v>5.8901000000000003</v>
      </c>
      <c r="AA203" s="67">
        <f t="shared" si="51"/>
        <v>5.7946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52"/>
        <v>0839-10</v>
      </c>
      <c r="AE203" s="91" t="str">
        <f t="shared" si="53"/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203" s="88" t="str">
        <f t="shared" si="54"/>
        <v>"C:\Program Files (x86)\AstroGrep\AstroGrep.exe" /spath="%USERPROFILE%\AppData\Local\Temp\OnboardLogs" /stypes="app*4003*20161111*" /stext=" 02:.+((SYSTEM_STATE.+slice.+state.+changed )|(ment ac)|(system.+state.+changed )|(\[timeout)|(PRM\|1\|D)|(kpr)|(kdp)|(\|lc)|(penalty))" /e /r /s</v>
      </c>
      <c r="AG203" s="1" t="str">
        <f t="shared" si="55"/>
        <v>NW</v>
      </c>
      <c r="AH203" s="92" t="str">
        <f t="shared" si="56"/>
        <v>"%USERPROFILE%\Documents\GitHub\eaglep3\Utilities\RefineRTDCRunTimes.py" --tripid 839-10 --locoid 4003 --swversion DE.1.0.8.0 --startMP 204:955 --initTime 2016-11-10T18:38:51 --startdatetime 2016-11-10T18:51:16 --delay 1 --endMP 300:58901 --enddatetime 2016-11-10T19:05:47 --enforcementcount 0 &gt;&gt;C:\Users\stu\Documents\GitHub\eaglep3-reporting\EC\2016-11-10-refined-times.txt</v>
      </c>
      <c r="AI203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{"issue":{"subject":"","project_id":79,"tracker_id":40,"status_id":1,"priority_id":2,"assigned_to_id":23,"start_date":"2016-11-10","description":"","custom_fields":[{"id":1,"name":"Subdivision","value":"NW"},{"id":4,"name":"Milepost","value":"5.8901"},{"id":17,"name":"Train ID","value":"839-10"},{"id":16,"name":"Locomotive ID","value":"4003"},{"id":130,"name":"Impact","value":""},{"id":150,"name":"Time of Event (Mountain Time)","value":"19:05:47"},{"id":151,"name":"Denver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420</v>
      </c>
      <c r="B204" s="7">
        <v>4043</v>
      </c>
      <c r="C204" s="22" t="s">
        <v>226</v>
      </c>
      <c r="D204" s="22" t="s">
        <v>367</v>
      </c>
      <c r="E204" s="13">
        <v>42684.818564814814</v>
      </c>
      <c r="F204" s="13">
        <v>42684.820185185185</v>
      </c>
      <c r="G204" s="7">
        <v>1</v>
      </c>
      <c r="H204" s="22" t="s">
        <v>616</v>
      </c>
      <c r="I204" s="13">
        <v>42684.831412037034</v>
      </c>
      <c r="J204" s="7">
        <v>0</v>
      </c>
      <c r="K204" s="109" t="str">
        <f t="shared" si="46"/>
        <v>4043/4044</v>
      </c>
      <c r="L204" s="22" t="str">
        <f>VLOOKUP(A204,'Trips&amp;Operators'!$C$1:$E$10000,3,FALSE)</f>
        <v>DAVIDSON</v>
      </c>
      <c r="M204" s="6">
        <f t="shared" si="47"/>
        <v>1.1226851849642117E-2</v>
      </c>
      <c r="N204" s="7">
        <f t="shared" si="65"/>
        <v>16.166666663484648</v>
      </c>
      <c r="O204" s="7"/>
      <c r="P204" s="7"/>
      <c r="Q204" s="23"/>
      <c r="R204" s="23"/>
      <c r="S204" s="35">
        <f t="shared" si="64"/>
        <v>1</v>
      </c>
      <c r="T204" s="50" t="str">
        <f t="shared" si="48"/>
        <v>Southbound</v>
      </c>
      <c r="U204" s="17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49"/>
        <v>https://search-rtdc-monitor-bjffxe2xuh6vdkpspy63sjmuny.us-east-1.es.amazonaws.com/_plugin/kibana/#/discover/Steve-Slow-Train-Analysis-(2080s-and-2083s)?_g=(refreshInterval:(display:Off,section:0,value:0),time:(from:'2016-11-10 18:38:44-700',mode:absolute,to:'2016-11-10 20:57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4" s="52" t="str">
        <f t="shared" si="50"/>
        <v>N</v>
      </c>
      <c r="X204" s="178">
        <f t="shared" si="67"/>
        <v>1</v>
      </c>
      <c r="Y204" s="67">
        <f t="shared" si="61"/>
        <v>5.8619000000000003</v>
      </c>
      <c r="Z204" s="67">
        <f t="shared" si="62"/>
        <v>7.5200000000000003E-2</v>
      </c>
      <c r="AA204" s="67">
        <f t="shared" si="51"/>
        <v>5.7867000000000006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52"/>
        <v>0840-10</v>
      </c>
      <c r="AE204" s="91" t="str">
        <f t="shared" si="53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204" s="88" t="str">
        <f t="shared" si="54"/>
        <v>"C:\Program Files (x86)\AstroGrep\AstroGrep.exe" /spath="%USERPROFILE%\AppData\Local\Temp\OnboardLogs" /stypes="app*4043*20161111*" /stext=" 02:.+((SYSTEM_STATE.+slice.+state.+changed )|(ment ac)|(system.+state.+changed )|(\[timeout)|(PRM\|1\|D)|(kpr)|(kdp)|(\|lc)|(penalty))" /e /r /s</v>
      </c>
      <c r="AG204" s="1" t="str">
        <f t="shared" si="55"/>
        <v>NW</v>
      </c>
      <c r="AH204" s="92" t="str">
        <f t="shared" si="56"/>
        <v>"%USERPROFILE%\Documents\GitHub\eaglep3\Utilities\RefineRTDCRunTimes.py" --tripid 840-10 --locoid 4043 --swversion DE.1.0.8.0 --startMP 300:58619 --initTime 2016-11-10T19:38:44 --startdatetime 2016-11-10T19:41:04 --delay 1 --endMP 204:752 --enddatetime 2016-11-10T19:57:14 --enforcementcount 0 &gt;&gt;C:\Users\stu\Documents\GitHub\eaglep3-reporting\EC\2016-11-10-refined-times.txt</v>
      </c>
      <c r="AI204" s="119" t="str">
        <f t="shared" si="57"/>
        <v>echo {"issue":{"subject":"","project_id":79,"tracker_id":40,"status_id":1,"priority_id":2,"assigned_to_id":23,"start_date":"2016-11-10","description":"","custom_fields":[{"id":1,"name":"Subdivision","value":"NW"},{"id":4,"name":"Milepost","value":"0.0752"},{"id":17,"name":"Train ID","value":"840-10"},{"id":16,"name":"Locomotive ID","value":"4043"},{"id":130,"name":"Impact","value":""},{"id":150,"name":"Time of Event (Mountain Time)","value":"19:57:14"},{"id":151,"name":"Denver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579</v>
      </c>
      <c r="B205" s="7">
        <v>4044</v>
      </c>
      <c r="C205" s="22" t="s">
        <v>226</v>
      </c>
      <c r="D205" s="22" t="s">
        <v>779</v>
      </c>
      <c r="E205" s="13">
        <v>42684.798356481479</v>
      </c>
      <c r="F205" s="13">
        <v>42684.806493055556</v>
      </c>
      <c r="G205" s="7">
        <v>1</v>
      </c>
      <c r="H205" s="22" t="s">
        <v>364</v>
      </c>
      <c r="I205" s="13">
        <v>42684.81690972222</v>
      </c>
      <c r="J205" s="7">
        <v>0</v>
      </c>
      <c r="K205" s="109" t="str">
        <f t="shared" ref="K205:K236" si="68">IF(ISEVEN(B205),(B205-1)&amp;"/"&amp;B205,B205&amp;"/"&amp;(B205+1))</f>
        <v>4043/4044</v>
      </c>
      <c r="L205" s="22" t="str">
        <f>VLOOKUP(A205,'Trips&amp;Operators'!$C$1:$E$10000,3,FALSE)</f>
        <v>DAVIDSON</v>
      </c>
      <c r="M205" s="6">
        <f t="shared" ref="M205:M236" si="69">I205-F205</f>
        <v>1.0416666664241347E-2</v>
      </c>
      <c r="N205" s="7">
        <f t="shared" si="65"/>
        <v>14.99999999650754</v>
      </c>
      <c r="O205" s="7"/>
      <c r="P205" s="7"/>
      <c r="Q205" s="23"/>
      <c r="R205" s="23"/>
      <c r="S205" s="35">
        <f t="shared" si="64"/>
        <v>1</v>
      </c>
      <c r="T205" s="50" t="str">
        <f t="shared" ref="T205:T236" si="70">IF(ISEVEN(LEFT(AD205,4)),"Southbound","NorthBound")</f>
        <v>NorthBound</v>
      </c>
      <c r="U205" s="17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16" si="71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https://search-rtdc-monitor-bjffxe2xuh6vdkpspy63sjmuny.us-east-1.es.amazonaws.com/_plugin/kibana/#/discover/Steve-Slow-Train-Analysis-(2080s-and-2083s)?_g=(refreshInterval:(display:Off,section:0,value:0),time:(from:'2016-11-10 18:09:38-700',mode:absolute,to:'2016-11-10 20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5" s="52" t="str">
        <f t="shared" ref="W205:W236" si="72">IF(AA205&lt;IF(AG205="EC",23,5.65),"Y","N")</f>
        <v>N</v>
      </c>
      <c r="X205" s="178">
        <f t="shared" si="67"/>
        <v>1</v>
      </c>
      <c r="Y205" s="67">
        <f t="shared" si="61"/>
        <v>9.8500000000000004E-2</v>
      </c>
      <c r="Z205" s="67">
        <f t="shared" si="62"/>
        <v>5.8936999999999999</v>
      </c>
      <c r="AA205" s="67">
        <f t="shared" ref="AA205:AA268" si="73">ABS(Z205-Y205)</f>
        <v>5.7952000000000004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36" si="74">IF(LEN(A205)=6,"0"&amp;A205,A205)</f>
        <v>0841-10</v>
      </c>
      <c r="AE205" s="91" t="str">
        <f t="shared" ref="AE205:AE236" si="7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205" s="88" t="str">
        <f t="shared" ref="AF205:AF236" si="7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/stypes="app*4044*20161111*" /stext=" 02:.+((SYSTEM_STATE.+slice.+state.+changed )|(ment ac)|(system.+state.+changed )|(\[timeout)|(PRM\|1\|D)|(kpr)|(kdp)|(\|lc)|(penalty))" /e /r /s</v>
      </c>
      <c r="AG205" s="1" t="str">
        <f t="shared" ref="AG205:AG236" si="77">IFERROR(IF(VALUE(LEFT(AD205,2))&lt;=2,"EC",IF(OR(VALUE(LEFT(AD205,2))=8,VALUE(LEFT(AD205,2))=18),"NW","Other")),"Other")</f>
        <v>NW</v>
      </c>
      <c r="AH205" s="92" t="str">
        <f t="shared" ref="AH205:AH236" si="7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841-10 --locoid 4044 --swversion DE.1.0.8.0 --startMP 204:985 --initTime 2016-11-10T19:09:38 --startdatetime 2016-11-10T19:21:21 --delay 1 --endMP 300:58937 --enddatetime 2016-11-10T19:36:21 --enforcementcount 0 &gt;&gt;C:\Users\stu\Documents\GitHub\eaglep3-reporting\EC\2016-11-10-refined-times.txt</v>
      </c>
      <c r="AI205" s="119" t="str">
        <f t="shared" ref="AI205:AI236" si="7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{"issue":{"subject":"","project_id":79,"tracker_id":40,"status_id":1,"priority_id":2,"assigned_to_id":23,"start_date":"2016-11-10","description":"","custom_fields":[{"id":1,"name":"Subdivision","value":"NW"},{"id":4,"name":"Milepost","value":"5.8937"},{"id":17,"name":"Train ID","value":"841-10"},{"id":16,"name":"Locomotive ID","value":"4044"},{"id":130,"name":"Impact","value":""},{"id":150,"name":"Time of Event (Mountain Time)","value":"19:36:21"},{"id":151,"name":"Denver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587</v>
      </c>
      <c r="B206" s="7">
        <v>4043</v>
      </c>
      <c r="C206" s="22" t="s">
        <v>226</v>
      </c>
      <c r="D206" s="22" t="s">
        <v>310</v>
      </c>
      <c r="E206" s="13">
        <v>42684.859027777777</v>
      </c>
      <c r="F206" s="13">
        <v>42684.860960648148</v>
      </c>
      <c r="G206" s="7">
        <v>1</v>
      </c>
      <c r="H206" s="22" t="s">
        <v>368</v>
      </c>
      <c r="I206" s="13">
        <v>42684.872418981482</v>
      </c>
      <c r="J206" s="7">
        <v>0</v>
      </c>
      <c r="K206" s="109" t="str">
        <f t="shared" si="68"/>
        <v>4043/4044</v>
      </c>
      <c r="L206" s="22" t="str">
        <f>VLOOKUP(A206,'Trips&amp;Operators'!$C$1:$E$10000,3,FALSE)</f>
        <v>DAVIDSON</v>
      </c>
      <c r="M206" s="6">
        <f t="shared" si="69"/>
        <v>1.1458333334303461E-2</v>
      </c>
      <c r="N206" s="7">
        <f t="shared" si="65"/>
        <v>16.500000001396984</v>
      </c>
      <c r="O206" s="7"/>
      <c r="P206" s="7"/>
      <c r="Q206" s="23"/>
      <c r="R206" s="23"/>
      <c r="S206" s="35">
        <f t="shared" si="64"/>
        <v>1</v>
      </c>
      <c r="T206" s="50" t="str">
        <f t="shared" si="70"/>
        <v>Southbound</v>
      </c>
      <c r="U206" s="17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19:37:00-700',mode:absolute,to:'2016-11-10 21:56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6" s="52" t="str">
        <f t="shared" si="72"/>
        <v>N</v>
      </c>
      <c r="X206" s="178">
        <f t="shared" si="67"/>
        <v>1</v>
      </c>
      <c r="Y206" s="67">
        <f t="shared" si="61"/>
        <v>5.8630000000000004</v>
      </c>
      <c r="Z206" s="67">
        <f t="shared" si="62"/>
        <v>6.7500000000000004E-2</v>
      </c>
      <c r="AA206" s="67">
        <f t="shared" si="73"/>
        <v>5.7955000000000005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74"/>
        <v>0842-10</v>
      </c>
      <c r="AE206" s="91" t="str">
        <f t="shared" si="75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206" s="88" t="str">
        <f t="shared" si="76"/>
        <v>"C:\Program Files (x86)\AstroGrep\AstroGrep.exe" /spath="%USERPROFILE%\AppData\Local\Temp\OnboardLogs" /stypes="app*4043*20161111*" /stext=" 03:.+((SYSTEM_STATE.+slice.+state.+changed )|(ment ac)|(system.+state.+changed )|(\[timeout)|(PRM\|1\|D)|(kpr)|(kdp)|(\|lc)|(penalty))" /e /r /s</v>
      </c>
      <c r="AG206" s="1" t="str">
        <f t="shared" si="77"/>
        <v>NW</v>
      </c>
      <c r="AH206" s="92" t="str">
        <f t="shared" si="78"/>
        <v>"%USERPROFILE%\Documents\GitHub\eaglep3\Utilities\RefineRTDCRunTimes.py" --tripid 842-10 --locoid 4043 --swversion DE.1.0.8.0 --startMP 300:58630 --initTime 2016-11-10T20:37:00 --startdatetime 2016-11-10T20:39:47 --delay 1 --endMP 204:675 --enddatetime 2016-11-10T20:56:17 --enforcementcount 0 &gt;&gt;C:\Users\stu\Documents\GitHub\eaglep3-reporting\EC\2016-11-10-refined-times.txt</v>
      </c>
      <c r="AI206" s="119" t="str">
        <f t="shared" si="79"/>
        <v>echo {"issue":{"subject":"","project_id":79,"tracker_id":40,"status_id":1,"priority_id":2,"assigned_to_id":23,"start_date":"2016-11-10","description":"","custom_fields":[{"id":1,"name":"Subdivision","value":"NW"},{"id":4,"name":"Milepost","value":"0.0675"},{"id":17,"name":"Train ID","value":"842-10"},{"id":16,"name":"Locomotive ID","value":"4043"},{"id":130,"name":"Impact","value":""},{"id":150,"name":"Time of Event (Mountain Time)","value":"20:56:17"},{"id":151,"name":"Denver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586</v>
      </c>
      <c r="B207" s="7">
        <v>4044</v>
      </c>
      <c r="C207" s="22" t="s">
        <v>226</v>
      </c>
      <c r="D207" s="22" t="s">
        <v>780</v>
      </c>
      <c r="E207" s="13">
        <v>42684.844502314816</v>
      </c>
      <c r="F207" s="13">
        <v>42684.848171296297</v>
      </c>
      <c r="G207" s="7">
        <v>1</v>
      </c>
      <c r="H207" s="22" t="s">
        <v>781</v>
      </c>
      <c r="I207" s="13">
        <v>42684.857997685183</v>
      </c>
      <c r="J207" s="7">
        <v>0</v>
      </c>
      <c r="K207" s="109" t="str">
        <f t="shared" si="68"/>
        <v>4043/4044</v>
      </c>
      <c r="L207" s="22" t="str">
        <f>VLOOKUP(A207,'Trips&amp;Operators'!$C$1:$E$10000,3,FALSE)</f>
        <v>DAVIDSON</v>
      </c>
      <c r="M207" s="6">
        <f t="shared" si="69"/>
        <v>9.8263888867222704E-3</v>
      </c>
      <c r="N207" s="7">
        <f t="shared" si="65"/>
        <v>14.149999996880069</v>
      </c>
      <c r="O207" s="7"/>
      <c r="P207" s="7"/>
      <c r="Q207" s="23"/>
      <c r="R207" s="23"/>
      <c r="S207" s="35">
        <f t="shared" si="64"/>
        <v>1</v>
      </c>
      <c r="T207" s="50" t="str">
        <f t="shared" si="70"/>
        <v>NorthBound</v>
      </c>
      <c r="U207" s="17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19:16:05-700',mode:absolute,to:'2016-11-10 21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7" s="52" t="str">
        <f t="shared" si="72"/>
        <v>N</v>
      </c>
      <c r="X207" s="178">
        <f t="shared" si="67"/>
        <v>1</v>
      </c>
      <c r="Y207" s="67">
        <f t="shared" si="61"/>
        <v>0.10489999999999999</v>
      </c>
      <c r="Z207" s="67">
        <f t="shared" si="62"/>
        <v>5.8943000000000003</v>
      </c>
      <c r="AA207" s="67">
        <f t="shared" si="73"/>
        <v>5.7894000000000005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74"/>
        <v>0843-10</v>
      </c>
      <c r="AE207" s="91" t="str">
        <f t="shared" si="75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207" s="88" t="str">
        <f t="shared" si="76"/>
        <v>"C:\Program Files (x86)\AstroGrep\AstroGrep.exe" /spath="%USERPROFILE%\AppData\Local\Temp\OnboardLogs" /stypes="app*4044*20161111*" /stext=" 03:.+((SYSTEM_STATE.+slice.+state.+changed )|(ment ac)|(system.+state.+changed )|(\[timeout)|(PRM\|1\|D)|(kpr)|(kdp)|(\|lc)|(penalty))" /e /r /s</v>
      </c>
      <c r="AG207" s="1" t="str">
        <f t="shared" si="77"/>
        <v>NW</v>
      </c>
      <c r="AH207" s="92" t="str">
        <f t="shared" si="78"/>
        <v>"%USERPROFILE%\Documents\GitHub\eaglep3\Utilities\RefineRTDCRunTimes.py" --tripid 843-10 --locoid 4044 --swversion DE.1.0.8.0 --startMP 204:1049 --initTime 2016-11-10T20:16:05 --startdatetime 2016-11-10T20:21:22 --delay 1 --endMP 300:58943 --enddatetime 2016-11-10T20:35:31 --enforcementcount 0 &gt;&gt;C:\Users\stu\Documents\GitHub\eaglep3-reporting\EC\2016-11-10-refined-times.txt</v>
      </c>
      <c r="AI207" s="119" t="str">
        <f t="shared" si="79"/>
        <v>echo {"issue":{"subject":"","project_id":79,"tracker_id":40,"status_id":1,"priority_id":2,"assigned_to_id":23,"start_date":"2016-11-10","description":"","custom_fields":[{"id":1,"name":"Subdivision","value":"NW"},{"id":4,"name":"Milepost","value":"5.8943"},{"id":17,"name":"Train ID","value":"843-10"},{"id":16,"name":"Locomotive ID","value":"4044"},{"id":130,"name":"Impact","value":""},{"id":150,"name":"Time of Event (Mountain Time)","value":"20:35:31"},{"id":151,"name":"Denver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592</v>
      </c>
      <c r="B208" s="7">
        <v>4043</v>
      </c>
      <c r="C208" s="22" t="s">
        <v>226</v>
      </c>
      <c r="D208" s="22" t="s">
        <v>288</v>
      </c>
      <c r="E208" s="13">
        <v>42684.899687500001</v>
      </c>
      <c r="F208" s="13">
        <v>42684.901134259257</v>
      </c>
      <c r="G208" s="7">
        <v>1</v>
      </c>
      <c r="H208" s="22" t="s">
        <v>782</v>
      </c>
      <c r="I208" s="13">
        <v>42684.913078703707</v>
      </c>
      <c r="J208" s="7">
        <v>0</v>
      </c>
      <c r="K208" s="109" t="str">
        <f t="shared" si="68"/>
        <v>4043/4044</v>
      </c>
      <c r="L208" s="22" t="str">
        <f>VLOOKUP(A208,'Trips&amp;Operators'!$C$1:$E$10000,3,FALSE)</f>
        <v>MAGEE</v>
      </c>
      <c r="M208" s="6">
        <f t="shared" si="69"/>
        <v>1.1944444449909497E-2</v>
      </c>
      <c r="N208" s="7">
        <f t="shared" si="65"/>
        <v>17.200000007869676</v>
      </c>
      <c r="O208" s="7"/>
      <c r="P208" s="7"/>
      <c r="Q208" s="23"/>
      <c r="R208" s="23"/>
      <c r="S208" s="35">
        <f t="shared" si="64"/>
        <v>1</v>
      </c>
      <c r="T208" s="50" t="str">
        <f t="shared" si="70"/>
        <v>Southbound</v>
      </c>
      <c r="U208" s="17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20:35:33-700',mode:absolute,to:'2016-11-10 22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8" s="52" t="str">
        <f t="shared" si="72"/>
        <v>N</v>
      </c>
      <c r="X208" s="178">
        <f t="shared" si="67"/>
        <v>1</v>
      </c>
      <c r="Y208" s="67">
        <f t="shared" si="61"/>
        <v>5.8624000000000001</v>
      </c>
      <c r="Z208" s="67">
        <f t="shared" si="62"/>
        <v>6.5600000000000006E-2</v>
      </c>
      <c r="AA208" s="67">
        <f t="shared" si="73"/>
        <v>5.7968000000000002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74"/>
        <v>0844-10</v>
      </c>
      <c r="AE208" s="91" t="str">
        <f t="shared" si="75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208" s="88" t="str">
        <f t="shared" si="76"/>
        <v>"C:\Program Files (x86)\AstroGrep\AstroGrep.exe" /spath="%USERPROFILE%\AppData\Local\Temp\OnboardLogs" /stypes="app*4043*20161111*" /stext=" 04:.+((SYSTEM_STATE.+slice.+state.+changed )|(ment ac)|(system.+state.+changed )|(\[timeout)|(PRM\|1\|D)|(kpr)|(kdp)|(\|lc)|(penalty))" /e /r /s</v>
      </c>
      <c r="AG208" s="1" t="str">
        <f t="shared" si="77"/>
        <v>NW</v>
      </c>
      <c r="AH208" s="92" t="str">
        <f t="shared" si="78"/>
        <v>"%USERPROFILE%\Documents\GitHub\eaglep3\Utilities\RefineRTDCRunTimes.py" --tripid 844-10 --locoid 4043 --swversion DE.1.0.8.0 --startMP 300:58624 --initTime 2016-11-10T21:35:33 --startdatetime 2016-11-10T21:37:38 --delay 1 --endMP 204:656 --enddatetime 2016-11-10T21:54:50 --enforcementcount 0 &gt;&gt;C:\Users\stu\Documents\GitHub\eaglep3-reporting\EC\2016-11-10-refined-times.txt</v>
      </c>
      <c r="AI208" s="119" t="str">
        <f t="shared" si="79"/>
        <v>echo {"issue":{"subject":"","project_id":79,"tracker_id":40,"status_id":1,"priority_id":2,"assigned_to_id":23,"start_date":"2016-11-10","description":"","custom_fields":[{"id":1,"name":"Subdivision","value":"NW"},{"id":4,"name":"Milepost","value":"0.0656"},{"id":17,"name":"Train ID","value":"844-10"},{"id":16,"name":"Locomotive ID","value":"4043"},{"id":130,"name":"Impact","value":""},{"id":150,"name":"Time of Event (Mountain Time)","value":"21:54:50"},{"id":151,"name":"Denver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423</v>
      </c>
      <c r="B209" s="7">
        <v>4044</v>
      </c>
      <c r="C209" s="22" t="s">
        <v>226</v>
      </c>
      <c r="D209" s="22" t="s">
        <v>371</v>
      </c>
      <c r="E209" s="13">
        <v>42684.880578703705</v>
      </c>
      <c r="F209" s="13">
        <v>42684.889768518522</v>
      </c>
      <c r="G209" s="7">
        <v>1</v>
      </c>
      <c r="H209" s="22" t="s">
        <v>783</v>
      </c>
      <c r="I209" s="13">
        <v>42684.898518518516</v>
      </c>
      <c r="J209" s="7">
        <v>0</v>
      </c>
      <c r="K209" s="109" t="str">
        <f t="shared" si="68"/>
        <v>4043/4044</v>
      </c>
      <c r="L209" s="22" t="str">
        <f>VLOOKUP(A209,'Trips&amp;Operators'!$C$1:$E$10000,3,FALSE)</f>
        <v>MAGEE</v>
      </c>
      <c r="M209" s="6">
        <f t="shared" si="69"/>
        <v>8.7499999935971573E-3</v>
      </c>
      <c r="N209" s="7">
        <f t="shared" si="65"/>
        <v>12.599999990779907</v>
      </c>
      <c r="O209" s="7"/>
      <c r="P209" s="7"/>
      <c r="Q209" s="23"/>
      <c r="R209" s="23"/>
      <c r="S209" s="35">
        <f t="shared" si="64"/>
        <v>1</v>
      </c>
      <c r="T209" s="50" t="str">
        <f t="shared" si="70"/>
        <v>NorthBound</v>
      </c>
      <c r="U209" s="17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20:08:02-700',mode:absolute,to:'2016-11-10 22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9" s="52" t="str">
        <f t="shared" si="72"/>
        <v>N</v>
      </c>
      <c r="X209" s="178">
        <f t="shared" si="67"/>
        <v>1</v>
      </c>
      <c r="Y209" s="67">
        <f t="shared" si="61"/>
        <v>9.5699999999999993E-2</v>
      </c>
      <c r="Z209" s="67">
        <f t="shared" si="62"/>
        <v>5.8890000000000002</v>
      </c>
      <c r="AA209" s="67">
        <f t="shared" si="73"/>
        <v>5.7933000000000003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74"/>
        <v>0845-10</v>
      </c>
      <c r="AE209" s="91" t="str">
        <f t="shared" si="75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209" s="88" t="str">
        <f t="shared" si="76"/>
        <v>"C:\Program Files (x86)\AstroGrep\AstroGrep.exe" /spath="%USERPROFILE%\AppData\Local\Temp\OnboardLogs" /stypes="app*4044*20161111*" /stext=" 04:.+((SYSTEM_STATE.+slice.+state.+changed )|(ment ac)|(system.+state.+changed )|(\[timeout)|(PRM\|1\|D)|(kpr)|(kdp)|(\|lc)|(penalty))" /e /r /s</v>
      </c>
      <c r="AG209" s="1" t="str">
        <f t="shared" si="77"/>
        <v>NW</v>
      </c>
      <c r="AH209" s="92" t="str">
        <f t="shared" si="78"/>
        <v>"%USERPROFILE%\Documents\GitHub\eaglep3\Utilities\RefineRTDCRunTimes.py" --tripid 845-10 --locoid 4044 --swversion DE.1.0.8.0 --startMP 204:957 --initTime 2016-11-10T21:08:02 --startdatetime 2016-11-10T21:21:16 --delay 1 --endMP 300:58890 --enddatetime 2016-11-10T21:33:52 --enforcementcount 0 &gt;&gt;C:\Users\stu\Documents\GitHub\eaglep3-reporting\EC\2016-11-10-refined-times.txt</v>
      </c>
      <c r="AI209" s="119" t="str">
        <f t="shared" si="79"/>
        <v>echo {"issue":{"subject":"","project_id":79,"tracker_id":40,"status_id":1,"priority_id":2,"assigned_to_id":23,"start_date":"2016-11-10","description":"","custom_fields":[{"id":1,"name":"Subdivision","value":"NW"},{"id":4,"name":"Milepost","value":"5.889"},{"id":17,"name":"Train ID","value":"845-10"},{"id":16,"name":"Locomotive ID","value":"4044"},{"id":130,"name":"Impact","value":""},{"id":150,"name":"Time of Event (Mountain Time)","value":"21:33:52"},{"id":151,"name":"Denver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595</v>
      </c>
      <c r="B210" s="7">
        <v>4044</v>
      </c>
      <c r="C210" s="22" t="s">
        <v>226</v>
      </c>
      <c r="D210" s="22" t="s">
        <v>784</v>
      </c>
      <c r="E210" s="13">
        <v>42684.913969907408</v>
      </c>
      <c r="F210" s="13">
        <v>42684.931504629632</v>
      </c>
      <c r="G210" s="7">
        <v>1</v>
      </c>
      <c r="H210" s="22" t="s">
        <v>364</v>
      </c>
      <c r="I210" s="13">
        <v>42684.940462962964</v>
      </c>
      <c r="J210" s="7">
        <v>0</v>
      </c>
      <c r="K210" s="109" t="str">
        <f t="shared" si="68"/>
        <v>4043/4044</v>
      </c>
      <c r="L210" s="22" t="str">
        <f>VLOOKUP(A210,'Trips&amp;Operators'!$C$1:$E$10000,3,FALSE)</f>
        <v>MAGEE</v>
      </c>
      <c r="M210" s="6">
        <f t="shared" si="69"/>
        <v>8.9583333319751546E-3</v>
      </c>
      <c r="N210" s="7">
        <f t="shared" si="65"/>
        <v>12.899999998044223</v>
      </c>
      <c r="O210" s="7"/>
      <c r="P210" s="7"/>
      <c r="Q210" s="23"/>
      <c r="R210" s="23"/>
      <c r="S210" s="35">
        <f t="shared" si="64"/>
        <v>1</v>
      </c>
      <c r="T210" s="50" t="str">
        <f t="shared" si="70"/>
        <v>NorthBound</v>
      </c>
      <c r="U210" s="17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20:56:07-700',mode:absolute,to:'2016-11-10 23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0" s="52" t="str">
        <f t="shared" si="72"/>
        <v>N</v>
      </c>
      <c r="X210" s="178">
        <f t="shared" si="67"/>
        <v>2</v>
      </c>
      <c r="Y210" s="67">
        <f t="shared" si="61"/>
        <v>9.4100000000000003E-2</v>
      </c>
      <c r="Z210" s="67">
        <f t="shared" si="62"/>
        <v>5.8936999999999999</v>
      </c>
      <c r="AA210" s="67">
        <f t="shared" si="73"/>
        <v>5.7995999999999999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74"/>
        <v>0847-10</v>
      </c>
      <c r="AE210" s="91" t="str">
        <f t="shared" si="75"/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210" s="88" t="str">
        <f t="shared" si="76"/>
        <v>"C:\Program Files (x86)\AstroGrep\AstroGrep.exe" /spath="%USERPROFILE%\AppData\Local\Temp\OnboardLogs" /stypes="app*4044*20161111*" /stext=" 05:.+((SYSTEM_STATE.+slice.+state.+changed )|(ment ac)|(system.+state.+changed )|(\[timeout)|(PRM\|1\|D)|(kpr)|(kdp)|(\|lc)|(penalty))" /e /r /s</v>
      </c>
      <c r="AG210" s="1" t="str">
        <f t="shared" si="77"/>
        <v>NW</v>
      </c>
      <c r="AH210" s="92" t="str">
        <f t="shared" si="78"/>
        <v>"%USERPROFILE%\Documents\GitHub\eaglep3\Utilities\RefineRTDCRunTimes.py" --tripid 847-10 --locoid 4044 --swversion DE.1.0.8.0 --startMP 204:941 --initTime 2016-11-10T21:56:07 --startdatetime 2016-11-10T22:21:22 --delay 1 --endMP 300:58937 --enddatetime 2016-11-10T22:34:16 --enforcementcount 0 &gt;&gt;C:\Users\stu\Documents\GitHub\eaglep3-reporting\EC\2016-11-10-refined-times.txt</v>
      </c>
      <c r="AI210" s="119" t="str">
        <f t="shared" si="79"/>
        <v>echo {"issue":{"subject":"","project_id":79,"tracker_id":40,"status_id":1,"priority_id":2,"assigned_to_id":23,"start_date":"2016-11-10","description":"","custom_fields":[{"id":1,"name":"Subdivision","value":"NW"},{"id":4,"name":"Milepost","value":"5.8937"},{"id":17,"name":"Train ID","value":"847-10"},{"id":16,"name":"Locomotive ID","value":"4044"},{"id":130,"name":"Impact","value":""},{"id":150,"name":"Time of Event (Mountain Time)","value":"22:34:16"},{"id":151,"name":"Denver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427</v>
      </c>
      <c r="B211" s="7">
        <v>4021</v>
      </c>
      <c r="C211" s="22" t="s">
        <v>226</v>
      </c>
      <c r="D211" s="22" t="s">
        <v>706</v>
      </c>
      <c r="E211" s="13">
        <v>42684.119583333333</v>
      </c>
      <c r="F211" s="13">
        <v>42684.121180555558</v>
      </c>
      <c r="G211" s="7">
        <v>1</v>
      </c>
      <c r="H211" s="22" t="s">
        <v>707</v>
      </c>
      <c r="I211" s="13">
        <v>42684.122488425928</v>
      </c>
      <c r="J211" s="7">
        <v>0</v>
      </c>
      <c r="K211" s="109" t="str">
        <f t="shared" si="68"/>
        <v>4021/4022</v>
      </c>
      <c r="L211" s="22" t="str">
        <f>VLOOKUP(A211,'Trips&amp;Operators'!$C$1:$E$10000,3,FALSE)</f>
        <v>MAELZER</v>
      </c>
      <c r="M211" s="6">
        <f t="shared" si="69"/>
        <v>1.3078703705104999E-3</v>
      </c>
      <c r="N211" s="7">
        <f t="shared" si="65"/>
        <v>1.8833333335351199</v>
      </c>
      <c r="O211" s="7"/>
      <c r="P211" s="7"/>
      <c r="Q211" s="23"/>
      <c r="R211" s="23"/>
      <c r="S211" s="35">
        <f t="shared" si="64"/>
        <v>0</v>
      </c>
      <c r="T211" s="50" t="str">
        <f t="shared" si="70"/>
        <v>Southbound</v>
      </c>
      <c r="U211" s="17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01:52:12-700',mode:absolute,to:'2016-11-10 03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1" s="52" t="str">
        <f t="shared" si="72"/>
        <v>Y</v>
      </c>
      <c r="X211" s="178">
        <f t="shared" si="67"/>
        <v>-545</v>
      </c>
      <c r="Y211" s="67">
        <f t="shared" si="61"/>
        <v>2.3144</v>
      </c>
      <c r="Z211" s="67">
        <f t="shared" si="62"/>
        <v>1.9128000000000001</v>
      </c>
      <c r="AA211" s="67">
        <f t="shared" si="73"/>
        <v>0.40159999999999996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74"/>
        <v>0302-10</v>
      </c>
      <c r="AE211" s="91" t="str">
        <f t="shared" si="75"/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211" s="88" t="str">
        <f t="shared" si="76"/>
        <v>"C:\Program Files (x86)\AstroGrep\AstroGrep.exe" /spath="%USERPROFILE%\AppData\Local\Temp\OnboardLogs" /stypes="app*4021*20161110*" /stext=" 09:.+((SYSTEM_STATE.+slice.+state.+changed )|(ment ac)|(system.+state.+changed )|(\[timeout)|(PRM\|1\|D)|(kpr)|(kdp)|(\|lc)|(penalty))" /e /r /s</v>
      </c>
      <c r="AG211" s="1" t="str">
        <f t="shared" si="77"/>
        <v>Other</v>
      </c>
      <c r="AH211" s="92" t="str">
        <f t="shared" si="78"/>
        <v>"%USERPROFILE%\Documents\GitHub\eaglep3\Utilities\RefineRTDCRunTimes.py" --tripid 302-10 --locoid 4021 --swversion DE.1.0.8.0 --startMP 300:23144 --initTime 2016-11-10T02:52:12 --startdatetime 2016-11-10T02:54:30 --delay 1 --endMP 300:19128 --enddatetime 2016-11-10T02:56:23 --enforcementcount 0 &gt;&gt;C:\Users\stu\Documents\GitHub\eaglep3-reporting\EC\2016-11-10-refined-times.txt</v>
      </c>
      <c r="AI211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{"issue":{"subject":"","project_id":79,"tracker_id":40,"status_id":1,"priority_id":2,"assigned_to_id":23,"start_date":"2016-11-10","description":"","custom_fields":[{"id":1,"name":"Subdivision","value":"Other"},{"id":4,"name":"Milepost","value":"1.9128"},{"id":17,"name":"Train ID","value":"302-10"},{"id":16,"name":"Locomotive ID","value":"4021"},{"id":130,"name":"Impact","value":""},{"id":150,"name":"Time of Event (Mountain Time)","value":"02:56:23"},{"id":151,"name":"Denver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574</v>
      </c>
      <c r="B212" s="7">
        <v>4025</v>
      </c>
      <c r="C212" s="22" t="s">
        <v>226</v>
      </c>
      <c r="D212" s="22" t="s">
        <v>355</v>
      </c>
      <c r="E212" s="13">
        <v>42684.777754629627</v>
      </c>
      <c r="F212" s="13">
        <v>25568.708333333332</v>
      </c>
      <c r="G212" s="7">
        <v>1</v>
      </c>
      <c r="H212" s="22" t="s">
        <v>708</v>
      </c>
      <c r="I212" s="13">
        <v>25568.708333333332</v>
      </c>
      <c r="J212" s="7">
        <v>0</v>
      </c>
      <c r="K212" s="109" t="str">
        <f t="shared" si="68"/>
        <v>4025/4026</v>
      </c>
      <c r="L212" s="22" t="str">
        <f>VLOOKUP(A212,'Trips&amp;Operators'!$C$1:$E$10000,3,FALSE)</f>
        <v>NEWELL</v>
      </c>
      <c r="M212" s="6">
        <f t="shared" si="69"/>
        <v>0</v>
      </c>
      <c r="N212" s="7">
        <f t="shared" si="65"/>
        <v>0</v>
      </c>
      <c r="O212" s="7"/>
      <c r="P212" s="7"/>
      <c r="Q212" s="23"/>
      <c r="R212" s="23"/>
      <c r="S212" s="35">
        <f t="shared" si="64"/>
        <v>1</v>
      </c>
      <c r="T212" s="50" t="str">
        <f t="shared" si="70"/>
        <v>NorthBound</v>
      </c>
      <c r="U212" s="17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17:39:58-700',mode:absolute,to:'1969-12-31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2" s="52" t="str">
        <f t="shared" si="72"/>
        <v>Y</v>
      </c>
      <c r="X212" s="178">
        <f t="shared" si="67"/>
        <v>1</v>
      </c>
      <c r="Y212" s="67">
        <f t="shared" si="61"/>
        <v>4.8000000000000001E-2</v>
      </c>
      <c r="Z212" s="67">
        <f t="shared" si="62"/>
        <v>2.3022</v>
      </c>
      <c r="AA212" s="67">
        <f t="shared" si="73"/>
        <v>2.2542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74"/>
        <v>0303-10</v>
      </c>
      <c r="AE212" s="91" t="str">
        <f t="shared" si="7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2" s="88" t="str">
        <f t="shared" si="76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212" s="1" t="str">
        <f t="shared" si="77"/>
        <v>Other</v>
      </c>
      <c r="AH212" s="92" t="str">
        <f t="shared" si="78"/>
        <v>"%USERPROFILE%\Documents\GitHub\eaglep3\Utilities\RefineRTDCRunTimes.py" --tripid 303-10 --locoid 4025 --swversion DE.1.0.8.0 --startMP 204:480 --initTime 2016-11-10T18:39:58 --startdatetime 1969-12-31T17:00:00 --delay 1 --endMP 300:23022 --enddatetime 1969-12-31T17:00:00 --enforcementcount 0 &gt;&gt;C:\Users\stu\Documents\GitHub\eaglep3-reporting\EC\2016-11-10-refined-times.txt</v>
      </c>
      <c r="AI212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{"issue":{"subject":"","project_id":79,"tracker_id":40,"status_id":1,"priority_id":2,"assigned_to_id":23,"start_date":"1969-12-31","description":"","custom_fields":[{"id":1,"name":"Subdivision","value":"Other"},{"id":4,"name":"Milepost","value":"2.3022"},{"id":17,"name":"Train ID","value":"303-10"},{"id":16,"name":"Locomotive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379</v>
      </c>
      <c r="B213" s="7">
        <v>4001</v>
      </c>
      <c r="C213" s="22" t="s">
        <v>226</v>
      </c>
      <c r="D213" s="22" t="s">
        <v>709</v>
      </c>
      <c r="E213" s="13">
        <v>42684.147569444445</v>
      </c>
      <c r="F213" s="13">
        <v>42684.149074074077</v>
      </c>
      <c r="G213" s="7">
        <v>1</v>
      </c>
      <c r="H213" s="22" t="s">
        <v>176</v>
      </c>
      <c r="I213" s="13">
        <v>42684.155636574076</v>
      </c>
      <c r="J213" s="7">
        <v>0</v>
      </c>
      <c r="K213" s="109" t="str">
        <f t="shared" si="68"/>
        <v>4001/4002</v>
      </c>
      <c r="L213" s="22" t="str">
        <f>VLOOKUP(A213,'Trips&amp;Operators'!$C$1:$E$10000,3,FALSE)</f>
        <v>SPECTOR</v>
      </c>
      <c r="M213" s="6">
        <f t="shared" si="69"/>
        <v>6.5624999988358468E-3</v>
      </c>
      <c r="N213" s="7">
        <f t="shared" si="65"/>
        <v>9.4499999983236194</v>
      </c>
      <c r="O213" s="7"/>
      <c r="P213" s="7"/>
      <c r="Q213" s="23"/>
      <c r="R213" s="23"/>
      <c r="S213" s="35">
        <f t="shared" si="64"/>
        <v>1</v>
      </c>
      <c r="T213" s="50" t="str">
        <f t="shared" si="70"/>
        <v>Southbound</v>
      </c>
      <c r="U213" s="17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02:32:30-700',mode:absolute,to:'2016-11-10 04:44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3" s="52" t="str">
        <f t="shared" si="72"/>
        <v>Y</v>
      </c>
      <c r="X213" s="178">
        <f t="shared" si="67"/>
        <v>1</v>
      </c>
      <c r="Y213" s="67">
        <f t="shared" si="61"/>
        <v>2.3193999999999999</v>
      </c>
      <c r="Z213" s="67">
        <f t="shared" si="62"/>
        <v>1.52E-2</v>
      </c>
      <c r="AA213" s="67">
        <f t="shared" si="73"/>
        <v>2.3041999999999998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74"/>
        <v>0304-10</v>
      </c>
      <c r="AE213" s="91" t="str">
        <f t="shared" si="75"/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213" s="88" t="str">
        <f t="shared" si="76"/>
        <v>"C:\Program Files (x86)\AstroGrep\AstroGrep.exe" /spath="%USERPROFILE%\AppData\Local\Temp\OnboardLogs" /stypes="app*4001*20161110*" /stext=" 10:.+((SYSTEM_STATE.+slice.+state.+changed )|(ment ac)|(system.+state.+changed )|(\[timeout)|(PRM\|1\|D)|(kpr)|(kdp)|(\|lc)|(penalty))" /e /r /s</v>
      </c>
      <c r="AG213" s="1" t="str">
        <f t="shared" si="77"/>
        <v>Other</v>
      </c>
      <c r="AH213" s="92" t="str">
        <f t="shared" si="78"/>
        <v>"%USERPROFILE%\Documents\GitHub\eaglep3\Utilities\RefineRTDCRunTimes.py" --tripid 304-10 --locoid 4001 --swversion DE.1.0.8.0 --startMP 300:23194 --initTime 2016-11-10T03:32:30 --startdatetime 2016-11-10T03:34:40 --delay 1 --endMP 204:152 --enddatetime 2016-11-10T03:44:07 --enforcementcount 0 &gt;&gt;C:\Users\stu\Documents\GitHub\eaglep3-reporting\EC\2016-11-10-refined-times.txt</v>
      </c>
      <c r="AI213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{"issue":{"subject":"","project_id":79,"tracker_id":40,"status_id":1,"priority_id":2,"assigned_to_id":23,"start_date":"2016-11-10","description":"","custom_fields":[{"id":1,"name":"Subdivision","value":"Other"},{"id":4,"name":"Milepost","value":"0.0152"},{"id":17,"name":"Train ID","value":"304-10"},{"id":16,"name":"Locomotive ID","value":"4001"},{"id":130,"name":"Impact","value":""},{"id":150,"name":"Time of Event (Mountain Time)","value":"03:44:07"},{"id":151,"name":"Denver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580</v>
      </c>
      <c r="B214" s="7">
        <v>4007</v>
      </c>
      <c r="C214" s="22" t="s">
        <v>226</v>
      </c>
      <c r="D214" s="22" t="s">
        <v>260</v>
      </c>
      <c r="E214" s="13">
        <v>42684.803773148145</v>
      </c>
      <c r="F214" s="13">
        <v>42684.804930555554</v>
      </c>
      <c r="G214" s="7">
        <v>1</v>
      </c>
      <c r="H214" s="22" t="s">
        <v>710</v>
      </c>
      <c r="I214" s="13">
        <v>42684.811701388891</v>
      </c>
      <c r="J214" s="7">
        <v>0</v>
      </c>
      <c r="K214" s="109" t="str">
        <f t="shared" si="68"/>
        <v>4007/4008</v>
      </c>
      <c r="L214" s="22" t="str">
        <f>VLOOKUP(A214,'Trips&amp;Operators'!$C$1:$E$10000,3,FALSE)</f>
        <v>YOUNG</v>
      </c>
      <c r="M214" s="6">
        <f t="shared" si="69"/>
        <v>6.7708333372138441E-3</v>
      </c>
      <c r="N214" s="7">
        <f t="shared" si="65"/>
        <v>9.7500000055879354</v>
      </c>
      <c r="O214" s="7"/>
      <c r="P214" s="7"/>
      <c r="Q214" s="23"/>
      <c r="R214" s="23"/>
      <c r="S214" s="35">
        <f t="shared" si="64"/>
        <v>1</v>
      </c>
      <c r="T214" s="50" t="str">
        <f t="shared" si="70"/>
        <v>NorthBound</v>
      </c>
      <c r="U214" s="17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18:17:26-700',mode:absolute,to:'2016-11-10 20:28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4" s="52" t="str">
        <f t="shared" si="72"/>
        <v>Y</v>
      </c>
      <c r="X214" s="178">
        <f t="shared" si="67"/>
        <v>1</v>
      </c>
      <c r="Y214" s="67">
        <f t="shared" si="61"/>
        <v>4.3700000000000003E-2</v>
      </c>
      <c r="Z214" s="67">
        <f t="shared" si="62"/>
        <v>2.2869000000000002</v>
      </c>
      <c r="AA214" s="67">
        <f t="shared" si="73"/>
        <v>2.2432000000000003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74"/>
        <v>0305-10</v>
      </c>
      <c r="AE214" s="91" t="str">
        <f t="shared" si="75"/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214" s="88" t="str">
        <f t="shared" si="76"/>
        <v>"C:\Program Files (x86)\AstroGrep\AstroGrep.exe" /spath="%USERPROFILE%\AppData\Local\Temp\OnboardLogs" /stypes="app*4007*20161111*" /stext=" 02:.+((SYSTEM_STATE.+slice.+state.+changed )|(ment ac)|(system.+state.+changed )|(\[timeout)|(PRM\|1\|D)|(kpr)|(kdp)|(\|lc)|(penalty))" /e /r /s</v>
      </c>
      <c r="AG214" s="1" t="str">
        <f t="shared" si="77"/>
        <v>Other</v>
      </c>
      <c r="AH214" s="92" t="str">
        <f t="shared" si="78"/>
        <v>"%USERPROFILE%\Documents\GitHub\eaglep3\Utilities\RefineRTDCRunTimes.py" --tripid 305-10 --locoid 4007 --swversion DE.1.0.8.0 --startMP 204:437 --initTime 2016-11-10T19:17:26 --startdatetime 2016-11-10T19:19:06 --delay 1 --endMP 300:22869 --enddatetime 2016-11-10T19:28:51 --enforcementcount 0 &gt;&gt;C:\Users\stu\Documents\GitHub\eaglep3-reporting\EC\2016-11-10-refined-times.txt</v>
      </c>
      <c r="AI214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{"issue":{"subject":"","project_id":79,"tracker_id":40,"status_id":1,"priority_id":2,"assigned_to_id":23,"start_date":"2016-11-10","description":"","custom_fields":[{"id":1,"name":"Subdivision","value":"Other"},{"id":4,"name":"Milepost","value":"2.2869"},{"id":17,"name":"Train ID","value":"305-10"},{"id":16,"name":"Locomotive ID","value":"4007"},{"id":130,"name":"Impact","value":""},{"id":150,"name":"Time of Event (Mountain Time)","value":"19:28:51"},{"id":151,"name":"Denver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s="21" customFormat="1" x14ac:dyDescent="0.25">
      <c r="A215" s="37" t="s">
        <v>429</v>
      </c>
      <c r="B215" s="7">
        <v>4054</v>
      </c>
      <c r="C215" s="22" t="s">
        <v>226</v>
      </c>
      <c r="D215" s="22" t="s">
        <v>711</v>
      </c>
      <c r="E215" s="13">
        <v>42684.156724537039</v>
      </c>
      <c r="F215" s="13">
        <v>42684.160532407404</v>
      </c>
      <c r="G215" s="7">
        <v>5</v>
      </c>
      <c r="H215" s="22" t="s">
        <v>258</v>
      </c>
      <c r="I215" s="13">
        <v>42684.167199074072</v>
      </c>
      <c r="J215" s="7">
        <v>0</v>
      </c>
      <c r="K215" s="109" t="str">
        <f t="shared" si="68"/>
        <v>4053/4054</v>
      </c>
      <c r="L215" s="22" t="str">
        <f>VLOOKUP(A215,'Trips&amp;Operators'!$C$1:$E$10000,3,FALSE)</f>
        <v>ISHMAEL</v>
      </c>
      <c r="M215" s="6">
        <f t="shared" si="69"/>
        <v>6.6666666680248454E-3</v>
      </c>
      <c r="N215" s="7">
        <f t="shared" si="65"/>
        <v>9.6000000019557774</v>
      </c>
      <c r="O215" s="7"/>
      <c r="P215" s="7"/>
      <c r="Q215" s="23"/>
      <c r="R215" s="23"/>
      <c r="S215" s="35">
        <f t="shared" si="64"/>
        <v>1</v>
      </c>
      <c r="T215" s="50" t="str">
        <f t="shared" si="70"/>
        <v>Southbound</v>
      </c>
      <c r="U215" s="17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02:45:41-700',mode:absolute,to:'2016-11-10 05:00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5" s="52" t="str">
        <f t="shared" si="72"/>
        <v>Y</v>
      </c>
      <c r="X215" s="178">
        <f t="shared" si="67"/>
        <v>1</v>
      </c>
      <c r="Y215" s="67">
        <f t="shared" si="61"/>
        <v>2.3252000000000002</v>
      </c>
      <c r="Z215" s="67">
        <f t="shared" si="62"/>
        <v>1.4999999999999999E-2</v>
      </c>
      <c r="AA215" s="67">
        <f t="shared" si="73"/>
        <v>2.3102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74"/>
        <v>0306-10</v>
      </c>
      <c r="AE215" s="91" t="str">
        <f t="shared" si="75"/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215" s="88" t="str">
        <f t="shared" si="76"/>
        <v>"C:\Program Files (x86)\AstroGrep\AstroGrep.exe" /spath="%USERPROFILE%\AppData\Local\Temp\OnboardLogs" /stypes="app*4054*20161110*" /stext=" 11:.+((SYSTEM_STATE.+slice.+state.+changed )|(ment ac)|(system.+state.+changed )|(\[timeout)|(PRM\|1\|D)|(kpr)|(kdp)|(\|lc)|(penalty))" /e /r /s</v>
      </c>
      <c r="AG215" s="1" t="str">
        <f t="shared" si="77"/>
        <v>Other</v>
      </c>
      <c r="AH215" s="92" t="str">
        <f t="shared" si="78"/>
        <v>"%USERPROFILE%\Documents\GitHub\eaglep3\Utilities\RefineRTDCRunTimes.py" --tripid 306-10 --locoid 4054 --swversion DE.1.0.8.0 --startMP 300:23252 --initTime 2016-11-10T03:45:41 --startdatetime 2016-11-10T03:51:10 --delay 5 --endMP 204:150 --enddatetime 2016-11-10T04:00:46 --enforcementcount 0 &gt;&gt;C:\Users\stu\Documents\GitHub\eaglep3-reporting\EC\2016-11-10-refined-times.txt</v>
      </c>
      <c r="AI215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{"issue":{"subject":"","project_id":79,"tracker_id":40,"status_id":1,"priority_id":2,"assigned_to_id":23,"start_date":"2016-11-10","description":"","custom_fields":[{"id":1,"name":"Subdivision","value":"Other"},{"id":4,"name":"Milepost","value":"0.015"},{"id":17,"name":"Train ID","value":"306-10"},{"id":16,"name":"Locomotive ID","value":"4054"},{"id":130,"name":"Impact","value":""},{"id":150,"name":"Time of Event (Mountain Time)","value":"04:00:46"},{"id":151,"name":"Denver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1" customFormat="1" x14ac:dyDescent="0.25">
      <c r="A216" s="37" t="s">
        <v>582</v>
      </c>
      <c r="B216" s="7">
        <v>4053</v>
      </c>
      <c r="C216" s="22" t="s">
        <v>226</v>
      </c>
      <c r="D216" s="22" t="s">
        <v>712</v>
      </c>
      <c r="E216" s="13">
        <v>42684.817280092589</v>
      </c>
      <c r="F216" s="13">
        <v>25568.708333333332</v>
      </c>
      <c r="G216" s="7">
        <v>1</v>
      </c>
      <c r="H216" s="22" t="s">
        <v>713</v>
      </c>
      <c r="I216" s="13">
        <v>25568.708333333332</v>
      </c>
      <c r="J216" s="7">
        <v>0</v>
      </c>
      <c r="K216" s="109" t="str">
        <f t="shared" si="68"/>
        <v>4053/4054</v>
      </c>
      <c r="L216" s="22" t="str">
        <f>VLOOKUP(A216,'Trips&amp;Operators'!$C$1:$E$10000,3,FALSE)</f>
        <v>HILLS</v>
      </c>
      <c r="M216" s="6">
        <f t="shared" si="69"/>
        <v>0</v>
      </c>
      <c r="N216" s="7">
        <f t="shared" si="65"/>
        <v>0</v>
      </c>
      <c r="O216" s="7"/>
      <c r="P216" s="7"/>
      <c r="Q216" s="23"/>
      <c r="R216" s="23"/>
      <c r="S216" s="35">
        <f t="shared" si="64"/>
        <v>1</v>
      </c>
      <c r="T216" s="50" t="str">
        <f t="shared" si="70"/>
        <v>NorthBound</v>
      </c>
      <c r="U216" s="17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https://search-rtdc-monitor-bjffxe2xuh6vdkpspy63sjmuny.us-east-1.es.amazonaws.com/_plugin/kibana/#/discover/Steve-Slow-Train-Analysis-(2080s-and-2083s)?_g=(refreshInterval:(display:Off,section:0,value:0),time:(from:'2016-11-10 18:36:53-700',mode:absolute,to:'1969-12-31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6" s="52" t="str">
        <f t="shared" si="72"/>
        <v>Y</v>
      </c>
      <c r="X216" s="178">
        <f t="shared" si="67"/>
        <v>1</v>
      </c>
      <c r="Y216" s="67">
        <f t="shared" si="61"/>
        <v>4.1099999999999998E-2</v>
      </c>
      <c r="Z216" s="67">
        <f t="shared" si="62"/>
        <v>2.3315999999999999</v>
      </c>
      <c r="AA216" s="67">
        <f t="shared" si="73"/>
        <v>2.2904999999999998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74"/>
        <v>0307-10</v>
      </c>
      <c r="AE216" s="91" t="str">
        <f t="shared" si="7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6" s="88" t="str">
        <f t="shared" si="76"/>
        <v>"C:\Program Files (x86)\AstroGrep\AstroGrep.exe" /spath="%USERPROFILE%\AppData\Local\Temp\OnboardLogs" /stypes="app*4053*19700101*" /stext=" 00:.+((SYSTEM_STATE.+slice.+state.+changed )|(ment ac)|(system.+state.+changed )|(\[timeout)|(PRM\|1\|D)|(kpr)|(kdp)|(\|lc)|(penalty))" /e /r /s</v>
      </c>
      <c r="AG216" s="1" t="str">
        <f t="shared" si="77"/>
        <v>Other</v>
      </c>
      <c r="AH216" s="92" t="str">
        <f t="shared" si="78"/>
        <v>"%USERPROFILE%\Documents\GitHub\eaglep3\Utilities\RefineRTDCRunTimes.py" --tripid 307-10 --locoid 4053 --swversion DE.1.0.8.0 --startMP 204:411 --initTime 2016-11-10T19:36:53 --startdatetime 1969-12-31T17:00:00 --delay 1 --endMP 300:23316 --enddatetime 1969-12-31T17:00:00 --enforcementcount 0 &gt;&gt;C:\Users\stu\Documents\GitHub\eaglep3-reporting\EC\2016-11-10-refined-times.txt</v>
      </c>
      <c r="AI216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ID","value":"307-10"},{"id":16,"name":"Locomotive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434</v>
      </c>
      <c r="B217" s="7">
        <v>4041</v>
      </c>
      <c r="C217" s="22" t="s">
        <v>226</v>
      </c>
      <c r="D217" s="22" t="s">
        <v>714</v>
      </c>
      <c r="E217" s="13">
        <v>42684.175324074073</v>
      </c>
      <c r="F217" s="13">
        <v>42684.17659722222</v>
      </c>
      <c r="G217" s="7">
        <v>1</v>
      </c>
      <c r="H217" s="22" t="s">
        <v>715</v>
      </c>
      <c r="I217" s="13">
        <v>42684.181875000002</v>
      </c>
      <c r="J217" s="7">
        <v>0</v>
      </c>
      <c r="K217" s="109" t="str">
        <f t="shared" si="68"/>
        <v>4041/4042</v>
      </c>
      <c r="L217" s="22" t="str">
        <f>VLOOKUP(A217,'Trips&amp;Operators'!$C$1:$E$10000,3,FALSE)</f>
        <v>JOHNSON</v>
      </c>
      <c r="M217" s="6">
        <f t="shared" si="69"/>
        <v>5.2777777818846516E-3</v>
      </c>
      <c r="N217" s="7">
        <f t="shared" si="65"/>
        <v>7.6000000059138983</v>
      </c>
      <c r="O217" s="7"/>
      <c r="P217" s="7"/>
      <c r="Q217" s="23"/>
      <c r="R217" s="23"/>
      <c r="S217" s="35">
        <f t="shared" si="64"/>
        <v>1</v>
      </c>
      <c r="T217" s="50" t="str">
        <f t="shared" si="70"/>
        <v>Southbound</v>
      </c>
      <c r="U217" s="17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">
        <v>816</v>
      </c>
      <c r="W217" s="52" t="str">
        <f t="shared" si="72"/>
        <v>Y</v>
      </c>
      <c r="X217" s="178">
        <f t="shared" si="67"/>
        <v>1</v>
      </c>
      <c r="Y217" s="67">
        <f t="shared" si="61"/>
        <v>2.1575000000000002</v>
      </c>
      <c r="Z217" s="67">
        <f t="shared" si="62"/>
        <v>1.41E-2</v>
      </c>
      <c r="AA217" s="67">
        <f t="shared" si="73"/>
        <v>2.1434000000000002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74"/>
        <v>0308-10</v>
      </c>
      <c r="AE217" s="91" t="str">
        <f t="shared" si="75"/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AF217" s="88" t="str">
        <f t="shared" si="76"/>
        <v>"C:\Program Files (x86)\AstroGrep\AstroGrep.exe" /spath="%USERPROFILE%\AppData\Local\Temp\OnboardLogs" /stypes="app*4041*20161110*" /stext=" 11:.+((SYSTEM_STATE.+slice.+state.+changed )|(ment ac)|(system.+state.+changed )|(\[timeout)|(PRM\|1\|D)|(kpr)|(kdp)|(\|lc)|(penalty))" /e /r /s</v>
      </c>
      <c r="AG217" s="1" t="str">
        <f t="shared" si="77"/>
        <v>Other</v>
      </c>
      <c r="AH217" s="92" t="str">
        <f t="shared" si="78"/>
        <v>"%USERPROFILE%\Documents\GitHub\eaglep3\Utilities\RefineRTDCRunTimes.py" --tripid 308-10 --locoid 4041 --swversion DE.1.0.8.0 --startMP 300:21575 --initTime 2016-11-10T04:12:28 --startdatetime 2016-11-10T04:14:18 --delay 1 --endMP 204:141 --enddatetime 2016-11-10T04:21:54 --enforcementcount 0 &gt;&gt;C:\Users\stu\Documents\GitHub\eaglep3-reporting\EC\2016-11-10-refined-times.txt</v>
      </c>
      <c r="AI217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{"issue":{"subject":"","project_id":79,"tracker_id":40,"status_id":1,"priority_id":2,"assigned_to_id":23,"start_date":"2016-11-10","description":"","custom_fields":[{"id":1,"name":"Subdivision","value":"Other"},{"id":4,"name":"Milepost","value":"0.0141"},{"id":17,"name":"Train ID","value":"308-10"},{"id":16,"name":"Locomotive ID","value":"4041"},{"id":130,"name":"Impact","value":""},{"id":150,"name":"Time of Event (Mountain Time)","value":"04:21:54"},{"id":151,"name":"Denver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7" t="s">
        <v>604</v>
      </c>
      <c r="B218" s="7">
        <v>4022</v>
      </c>
      <c r="C218" s="22" t="s">
        <v>226</v>
      </c>
      <c r="D218" s="22" t="s">
        <v>624</v>
      </c>
      <c r="E218" s="13">
        <v>42685.028877314813</v>
      </c>
      <c r="F218" s="13">
        <v>42685.035995370374</v>
      </c>
      <c r="G218" s="7">
        <v>1</v>
      </c>
      <c r="H218" s="22" t="s">
        <v>716</v>
      </c>
      <c r="I218" s="13">
        <v>42685.042430555557</v>
      </c>
      <c r="J218" s="7">
        <v>0</v>
      </c>
      <c r="K218" s="109" t="str">
        <f t="shared" si="68"/>
        <v>4021/4022</v>
      </c>
      <c r="L218" s="22" t="str">
        <f>VLOOKUP(A218,'Trips&amp;Operators'!$C$1:$E$10000,3,FALSE)</f>
        <v>BADERTSCHER</v>
      </c>
      <c r="M218" s="6">
        <f t="shared" si="69"/>
        <v>6.435185183363501E-3</v>
      </c>
      <c r="N218" s="7">
        <f t="shared" si="65"/>
        <v>9.2666666640434414</v>
      </c>
      <c r="O218" s="7"/>
      <c r="P218" s="7"/>
      <c r="Q218" s="23"/>
      <c r="R218" s="23"/>
      <c r="S218" s="35">
        <f t="shared" si="64"/>
        <v>1</v>
      </c>
      <c r="T218" s="50" t="str">
        <f t="shared" si="70"/>
        <v>NorthBound</v>
      </c>
      <c r="U218" s="17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ref="V218:V236" si="80"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https://search-rtdc-monitor-bjffxe2xuh6vdkpspy63sjmuny.us-east-1.es.amazonaws.com/_plugin/kibana/#/discover/Steve-Slow-Train-Analysis-(2080s-and-2083s)?_g=(refreshInterval:(display:Off,section:0,value:0),time:(from:'2016-11-10 23:41:35-700',mode:absolute,to:'2016-11-11 02:01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8" s="52" t="str">
        <f t="shared" si="72"/>
        <v>Y</v>
      </c>
      <c r="X218" s="178">
        <f t="shared" si="67"/>
        <v>1</v>
      </c>
      <c r="Y218" s="67">
        <f t="shared" si="61"/>
        <v>4.6600000000000003E-2</v>
      </c>
      <c r="Z218" s="67">
        <f t="shared" si="62"/>
        <v>2.2846000000000002</v>
      </c>
      <c r="AA218" s="67">
        <f t="shared" si="73"/>
        <v>2.238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74"/>
        <v>0309-10</v>
      </c>
      <c r="AE218" s="91" t="str">
        <f t="shared" si="75"/>
        <v>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 &amp; 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</v>
      </c>
      <c r="AF218" s="88" t="str">
        <f t="shared" si="76"/>
        <v>"C:\Program Files (x86)\AstroGrep\AstroGrep.exe" /spath="%USERPROFILE%\AppData\Local\Temp\OnboardLogs" /stypes="app*4022*20161111*" /stext=" 08:.+((SYSTEM_STATE.+slice.+state.+changed )|(ment ac)|(system.+state.+changed )|(\[timeout)|(PRM\|1\|D)|(kpr)|(kdp)|(\|lc)|(penalty))" /e /r /s</v>
      </c>
      <c r="AG218" s="1" t="str">
        <f t="shared" si="77"/>
        <v>Other</v>
      </c>
      <c r="AH218" s="92" t="str">
        <f t="shared" si="78"/>
        <v>"%USERPROFILE%\Documents\GitHub\eaglep3\Utilities\RefineRTDCRunTimes.py" --tripid 309-10 --locoid 4022 --swversion DE.1.0.8.0 --startMP 204:466 --initTime 2016-11-11T00:41:35 --startdatetime 2016-11-11T00:51:50 --delay 1 --endMP 300:22846 --enddatetime 2016-11-11T01:01:06 --enforcementcount 0 &gt;&gt;C:\Users\stu\Documents\GitHub\eaglep3-reporting\EC\2016-11-10-refined-times.txt</v>
      </c>
      <c r="AI218" s="119" t="str">
        <f t="shared" si="79"/>
        <v>echo {"issue":{"subject":"","project_id":79,"tracker_id":40,"status_id":1,"priority_id":2,"assigned_to_id":23,"start_date":"2016-11-11","description":"","custom_fields":[{"id":1,"name":"Subdivision","value":"Other"},{"id":4,"name":"Milepost","value":"2.2846"},{"id":17,"name":"Train ID","value":"309-10"},{"id":16,"name":"Locomotive ID","value":"4022"},{"id":130,"name":"Impact","value":""},{"id":150,"name":"Time of Event (Mountain Time)","value":"01:01:06"},{"id":151,"name":"Denver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x14ac:dyDescent="0.25">
      <c r="A219" s="37" t="s">
        <v>436</v>
      </c>
      <c r="B219" s="7">
        <v>4012</v>
      </c>
      <c r="C219" s="22" t="s">
        <v>226</v>
      </c>
      <c r="D219" s="22" t="s">
        <v>717</v>
      </c>
      <c r="E219" s="13">
        <v>42684.183865740742</v>
      </c>
      <c r="F219" s="13">
        <v>42684.185312499998</v>
      </c>
      <c r="G219" s="7">
        <v>1</v>
      </c>
      <c r="H219" s="22" t="s">
        <v>715</v>
      </c>
      <c r="I219" s="13">
        <v>42684.193483796298</v>
      </c>
      <c r="J219" s="7">
        <v>0</v>
      </c>
      <c r="K219" s="109" t="str">
        <f t="shared" si="68"/>
        <v>4011/4012</v>
      </c>
      <c r="L219" s="22" t="str">
        <f>VLOOKUP(A219,'Trips&amp;Operators'!$C$1:$E$10000,3,FALSE)</f>
        <v>PERKINS</v>
      </c>
      <c r="M219" s="6">
        <f t="shared" si="69"/>
        <v>8.1712963001336902E-3</v>
      </c>
      <c r="N219" s="7">
        <f t="shared" si="65"/>
        <v>11.766666672192514</v>
      </c>
      <c r="O219" s="7"/>
      <c r="P219" s="7"/>
      <c r="Q219" s="23"/>
      <c r="R219" s="23"/>
      <c r="S219" s="35">
        <f t="shared" si="64"/>
        <v>1</v>
      </c>
      <c r="T219" s="50" t="str">
        <f t="shared" si="70"/>
        <v>Southbound</v>
      </c>
      <c r="U219" s="17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03:24:46-700',mode:absolute,to:'2016-11-10 05:38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9" s="52" t="str">
        <f t="shared" si="72"/>
        <v>Y</v>
      </c>
      <c r="X219" s="178">
        <f t="shared" si="67"/>
        <v>1</v>
      </c>
      <c r="Y219" s="67">
        <f t="shared" si="61"/>
        <v>2.319</v>
      </c>
      <c r="Z219" s="67">
        <f t="shared" si="62"/>
        <v>1.41E-2</v>
      </c>
      <c r="AA219" s="67">
        <f t="shared" si="73"/>
        <v>2.3048999999999999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74"/>
        <v>0310-10</v>
      </c>
      <c r="AE219" s="91" t="str">
        <f t="shared" si="75"/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219" s="88" t="str">
        <f t="shared" si="76"/>
        <v>"C:\Program Files (x86)\AstroGrep\AstroGrep.exe" /spath="%USERPROFILE%\AppData\Local\Temp\OnboardLogs" /stypes="app*4012*20161110*" /stext=" 11:.+((SYSTEM_STATE.+slice.+state.+changed )|(ment ac)|(system.+state.+changed )|(\[timeout)|(PRM\|1\|D)|(kpr)|(kdp)|(\|lc)|(penalty))" /e /r /s</v>
      </c>
      <c r="AG219" s="1" t="str">
        <f t="shared" si="77"/>
        <v>Other</v>
      </c>
      <c r="AH219" s="92" t="str">
        <f t="shared" si="78"/>
        <v>"%USERPROFILE%\Documents\GitHub\eaglep3\Utilities\RefineRTDCRunTimes.py" --tripid 310-10 --locoid 4012 --swversion DE.1.0.8.0 --startMP 300:23190 --initTime 2016-11-10T04:24:46 --startdatetime 2016-11-10T04:26:51 --delay 1 --endMP 204:141 --enddatetime 2016-11-10T04:38:37 --enforcementcount 0 &gt;&gt;C:\Users\stu\Documents\GitHub\eaglep3-reporting\EC\2016-11-10-refined-times.txt</v>
      </c>
      <c r="AI219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{"issue":{"subject":"","project_id":79,"tracker_id":40,"status_id":1,"priority_id":2,"assigned_to_id":23,"start_date":"2016-11-10","description":"","custom_fields":[{"id":1,"name":"Subdivision","value":"Other"},{"id":4,"name":"Milepost","value":"0.0141"},{"id":17,"name":"Train ID","value":"310-10"},{"id":16,"name":"Locomotive ID","value":"4012"},{"id":130,"name":"Impact","value":""},{"id":150,"name":"Time of Event (Mountain Time)","value":"04:38:37"},{"id":151,"name":"Denver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606</v>
      </c>
      <c r="B220" s="7">
        <v>4002</v>
      </c>
      <c r="C220" s="22" t="s">
        <v>226</v>
      </c>
      <c r="D220" s="22" t="s">
        <v>627</v>
      </c>
      <c r="E220" s="13">
        <v>42685.049027777779</v>
      </c>
      <c r="F220" s="13">
        <v>25568.708333333332</v>
      </c>
      <c r="G220" s="7">
        <v>1</v>
      </c>
      <c r="H220" s="22" t="s">
        <v>718</v>
      </c>
      <c r="I220" s="13">
        <v>25568.708333333332</v>
      </c>
      <c r="J220" s="7">
        <v>0</v>
      </c>
      <c r="K220" s="109" t="str">
        <f t="shared" si="68"/>
        <v>4001/4002</v>
      </c>
      <c r="L220" s="22" t="str">
        <f>VLOOKUP(A220,'Trips&amp;Operators'!$C$1:$E$10000,3,FALSE)</f>
        <v>HOLCOMB</v>
      </c>
      <c r="M220" s="6">
        <f t="shared" si="69"/>
        <v>0</v>
      </c>
      <c r="N220" s="7">
        <f t="shared" si="65"/>
        <v>0</v>
      </c>
      <c r="O220" s="7"/>
      <c r="P220" s="7"/>
      <c r="Q220" s="23"/>
      <c r="R220" s="23"/>
      <c r="S220" s="35">
        <f t="shared" si="64"/>
        <v>1</v>
      </c>
      <c r="T220" s="50" t="str">
        <f t="shared" si="70"/>
        <v>NorthBound</v>
      </c>
      <c r="U220" s="17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https://search-rtdc-monitor-bjffxe2xuh6vdkpspy63sjmuny.us-east-1.es.amazonaws.com/_plugin/kibana/#/discover/Steve-Slow-Train-Analysis-(2080s-and-2083s)?_g=(refreshInterval:(display:Off,section:0,value:0),time:(from:'2016-11-11 00:10:36-700',mode:absolute,to:'1969-12-31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0" s="52" t="str">
        <f t="shared" si="72"/>
        <v>Y</v>
      </c>
      <c r="X220" s="178">
        <f t="shared" si="67"/>
        <v>1</v>
      </c>
      <c r="Y220" s="67">
        <f t="shared" si="61"/>
        <v>4.7500000000000001E-2</v>
      </c>
      <c r="Z220" s="67">
        <f t="shared" si="62"/>
        <v>2.3304</v>
      </c>
      <c r="AA220" s="67">
        <f t="shared" si="73"/>
        <v>2.2829000000000002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74"/>
        <v>0311-10</v>
      </c>
      <c r="AE220" s="91" t="str">
        <f t="shared" si="75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0" s="88" t="str">
        <f t="shared" si="76"/>
        <v>"C:\Program Files (x86)\AstroGrep\AstroGrep.exe" /spath="%USERPROFILE%\AppData\Local\Temp\OnboardLogs" /stypes="app*4002*19700101*" /stext=" 00:.+((SYSTEM_STATE.+slice.+state.+changed )|(ment ac)|(system.+state.+changed )|(\[timeout)|(PRM\|1\|D)|(kpr)|(kdp)|(\|lc)|(penalty))" /e /r /s</v>
      </c>
      <c r="AG220" s="1" t="str">
        <f t="shared" si="77"/>
        <v>Other</v>
      </c>
      <c r="AH220" s="92" t="str">
        <f t="shared" si="78"/>
        <v>"%USERPROFILE%\Documents\GitHub\eaglep3\Utilities\RefineRTDCRunTimes.py" --tripid 311-10 --locoid 4002 --swversion DE.1.0.8.0 --startMP 204:475 --initTime 2016-11-11T01:10:36 --startdatetime 1969-12-31T17:00:00 --delay 1 --endMP 300:23304 --enddatetime 1969-12-31T17:00:00 --enforcementcount 0 &gt;&gt;C:\Users\stu\Documents\GitHub\eaglep3-reporting\EC\2016-11-10-refined-times.txt</v>
      </c>
      <c r="AI220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ID","value":"311-10"},{"id":16,"name":"Locomotive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608</v>
      </c>
      <c r="B221" s="7">
        <v>4038</v>
      </c>
      <c r="C221" s="22" t="s">
        <v>226</v>
      </c>
      <c r="D221" s="22" t="s">
        <v>228</v>
      </c>
      <c r="E221" s="13">
        <v>42685.071145833332</v>
      </c>
      <c r="F221" s="13">
        <v>42685.072835648149</v>
      </c>
      <c r="G221" s="7">
        <v>2</v>
      </c>
      <c r="H221" s="22" t="s">
        <v>719</v>
      </c>
      <c r="I221" s="13">
        <v>42685.077789351853</v>
      </c>
      <c r="J221" s="7">
        <v>0</v>
      </c>
      <c r="K221" s="109" t="str">
        <f t="shared" si="68"/>
        <v>4037/4038</v>
      </c>
      <c r="L221" s="22" t="str">
        <f>VLOOKUP(A221,'Trips&amp;Operators'!$C$1:$E$10000,3,FALSE)</f>
        <v>LEVIN</v>
      </c>
      <c r="M221" s="6">
        <f t="shared" si="69"/>
        <v>4.9537037048139609E-3</v>
      </c>
      <c r="N221" s="7">
        <f t="shared" si="65"/>
        <v>7.1333333349321038</v>
      </c>
      <c r="O221" s="7"/>
      <c r="P221" s="7"/>
      <c r="Q221" s="23"/>
      <c r="R221" s="23"/>
      <c r="S221" s="35">
        <f t="shared" si="64"/>
        <v>1</v>
      </c>
      <c r="T221" s="50" t="str">
        <f t="shared" si="70"/>
        <v>NorthBound</v>
      </c>
      <c r="U221" s="17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https://search-rtdc-monitor-bjffxe2xuh6vdkpspy63sjmuny.us-east-1.es.amazonaws.com/_plugin/kibana/#/discover/Steve-Slow-Train-Analysis-(2080s-and-2083s)?_g=(refreshInterval:(display:Off,section:0,value:0),time:(from:'2016-11-11 00:42:27-700',mode:absolute,to:'2016-11-11 02:52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21" s="52" t="str">
        <f t="shared" si="72"/>
        <v>Y</v>
      </c>
      <c r="X221" s="178">
        <f t="shared" si="67"/>
        <v>2</v>
      </c>
      <c r="Y221" s="67">
        <f t="shared" si="61"/>
        <v>4.58E-2</v>
      </c>
      <c r="Z221" s="67">
        <f t="shared" si="62"/>
        <v>2.3313999999999999</v>
      </c>
      <c r="AA221" s="67">
        <f t="shared" si="73"/>
        <v>2.2856000000000001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74"/>
        <v>0313-10</v>
      </c>
      <c r="AE221" s="91" t="str">
        <f t="shared" si="75"/>
        <v>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 &amp; 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</v>
      </c>
      <c r="AF221" s="88" t="str">
        <f t="shared" si="76"/>
        <v>"C:\Program Files (x86)\AstroGrep\AstroGrep.exe" /spath="%USERPROFILE%\AppData\Local\Temp\OnboardLogs" /stypes="app*4038*20161111*" /stext=" 08:.+((SYSTEM_STATE.+slice.+state.+changed )|(ment ac)|(system.+state.+changed )|(\[timeout)|(PRM\|1\|D)|(kpr)|(kdp)|(\|lc)|(penalty))" /e /r /s</v>
      </c>
      <c r="AG221" s="1" t="str">
        <f t="shared" si="77"/>
        <v>Other</v>
      </c>
      <c r="AH221" s="92" t="str">
        <f t="shared" si="78"/>
        <v>"%USERPROFILE%\Documents\GitHub\eaglep3\Utilities\RefineRTDCRunTimes.py" --tripid 313-10 --locoid 4038 --swversion DE.1.0.8.0 --startMP 204:458 --initTime 2016-11-11T01:42:27 --startdatetime 2016-11-11T01:44:53 --delay 2 --endMP 300:23314 --enddatetime 2016-11-11T01:52:01 --enforcementcount 0 &gt;&gt;C:\Users\stu\Documents\GitHub\eaglep3-reporting\EC\2016-11-10-refined-times.txt</v>
      </c>
      <c r="AI221" s="119" t="str">
        <f t="shared" si="79"/>
        <v>echo {"issue":{"subject":"","project_id":79,"tracker_id":40,"status_id":1,"priority_id":2,"assigned_to_id":23,"start_date":"2016-11-11","description":"","custom_fields":[{"id":1,"name":"Subdivision","value":"Other"},{"id":4,"name":"Milepost","value":"2.3314"},{"id":17,"name":"Train ID","value":"313-10"},{"id":16,"name":"Locomotive ID","value":"4038"},{"id":130,"name":"Impact","value":""},{"id":150,"name":"Time of Event (Mountain Time)","value":"01:52:01"},{"id":151,"name":"Denver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449</v>
      </c>
      <c r="B222" s="7">
        <v>4043</v>
      </c>
      <c r="C222" s="22" t="s">
        <v>226</v>
      </c>
      <c r="D222" s="22" t="s">
        <v>785</v>
      </c>
      <c r="E222" s="13">
        <v>42684.251469907409</v>
      </c>
      <c r="F222" s="13">
        <v>42684.253900462965</v>
      </c>
      <c r="G222" s="7">
        <v>2</v>
      </c>
      <c r="H222" s="22" t="s">
        <v>311</v>
      </c>
      <c r="I222" s="13">
        <v>42684.259097222224</v>
      </c>
      <c r="J222" s="7">
        <v>0</v>
      </c>
      <c r="K222" s="109" t="str">
        <f t="shared" si="68"/>
        <v>4043/4044</v>
      </c>
      <c r="L222" s="22" t="str">
        <f>VLOOKUP(A222,'Trips&amp;Operators'!$C$1:$E$10000,3,FALSE)</f>
        <v>MACDONALD</v>
      </c>
      <c r="M222" s="6">
        <f t="shared" si="69"/>
        <v>5.1967592589790002E-3</v>
      </c>
      <c r="N222" s="7">
        <f t="shared" si="65"/>
        <v>7.4833333329297602</v>
      </c>
      <c r="O222" s="7"/>
      <c r="P222" s="7"/>
      <c r="Q222" s="23"/>
      <c r="R222" s="23"/>
      <c r="S222" s="35">
        <f t="shared" si="64"/>
        <v>1</v>
      </c>
      <c r="T222" s="50" t="str">
        <f t="shared" si="70"/>
        <v>Southbound</v>
      </c>
      <c r="U222" s="17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05:02:07-700',mode:absolute,to:'2016-11-10 07:13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2" s="52" t="str">
        <f t="shared" si="72"/>
        <v>Y</v>
      </c>
      <c r="X222" s="178">
        <f t="shared" si="67"/>
        <v>589</v>
      </c>
      <c r="Y222" s="67">
        <f t="shared" si="61"/>
        <v>2.2410000000000001</v>
      </c>
      <c r="Z222" s="67">
        <f t="shared" si="62"/>
        <v>6.9199999999999998E-2</v>
      </c>
      <c r="AA222" s="67">
        <f t="shared" si="73"/>
        <v>2.1718000000000002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74"/>
        <v>0902-10</v>
      </c>
      <c r="AE222" s="91" t="str">
        <f t="shared" si="75"/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222" s="88" t="str">
        <f t="shared" si="76"/>
        <v>"C:\Program Files (x86)\AstroGrep\AstroGrep.exe" /spath="%USERPROFILE%\AppData\Local\Temp\OnboardLogs" /stypes="app*4043*20161110*" /stext=" 13:.+((SYSTEM_STATE.+slice.+state.+changed )|(ment ac)|(system.+state.+changed )|(\[timeout)|(PRM\|1\|D)|(kpr)|(kdp)|(\|lc)|(penalty))" /e /r /s</v>
      </c>
      <c r="AG222" s="1" t="str">
        <f t="shared" si="77"/>
        <v>Other</v>
      </c>
      <c r="AH222" s="92" t="str">
        <f t="shared" si="78"/>
        <v>"%USERPROFILE%\Documents\GitHub\eaglep3\Utilities\RefineRTDCRunTimes.py" --tripid 902-10 --locoid 4043 --swversion DE.1.0.8.0 --startMP 300:22410 --initTime 2016-11-10T06:02:07 --startdatetime 2016-11-10T06:05:37 --delay 2 --endMP 204:692 --enddatetime 2016-11-10T06:13:06 --enforcementcount 0 &gt;&gt;C:\Users\stu\Documents\GitHub\eaglep3-reporting\EC\2016-11-10-refined-times.txt</v>
      </c>
      <c r="AI222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{"issue":{"subject":"","project_id":79,"tracker_id":40,"status_id":1,"priority_id":2,"assigned_to_id":23,"start_date":"2016-11-10","description":"","custom_fields":[{"id":1,"name":"Subdivision","value":"Other"},{"id":4,"name":"Milepost","value":"0.0692"},{"id":17,"name":"Train ID","value":"902-10"},{"id":16,"name":"Locomotive ID","value":"4043"},{"id":130,"name":"Impact","value":""},{"id":150,"name":"Time of Event (Mountain Time)","value":"06:13:06"},{"id":151,"name":"Denver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392</v>
      </c>
      <c r="B223" s="7">
        <v>4003</v>
      </c>
      <c r="C223" s="22" t="s">
        <v>226</v>
      </c>
      <c r="D223" s="22" t="s">
        <v>627</v>
      </c>
      <c r="E223" s="13">
        <v>42684.355914351851</v>
      </c>
      <c r="F223" s="13">
        <v>42684.357523148145</v>
      </c>
      <c r="G223" s="7">
        <v>1</v>
      </c>
      <c r="H223" s="22" t="s">
        <v>786</v>
      </c>
      <c r="I223" s="13">
        <v>42684.363125000003</v>
      </c>
      <c r="J223" s="7">
        <v>0</v>
      </c>
      <c r="K223" s="109" t="str">
        <f t="shared" si="68"/>
        <v>4003/4004</v>
      </c>
      <c r="L223" s="22" t="str">
        <f>VLOOKUP(A223,'Trips&amp;Operators'!$C$1:$E$10000,3,FALSE)</f>
        <v>OUN</v>
      </c>
      <c r="M223" s="6">
        <f t="shared" si="69"/>
        <v>5.6018518589553423E-3</v>
      </c>
      <c r="N223" s="7">
        <f t="shared" si="65"/>
        <v>8.0666666768956929</v>
      </c>
      <c r="O223" s="7"/>
      <c r="P223" s="7"/>
      <c r="Q223" s="23"/>
      <c r="R223" s="23"/>
      <c r="S223" s="35">
        <f t="shared" ref="S223:S236" si="81">SUM(U223:U223)/IF(AG223="EC",12,1)</f>
        <v>1</v>
      </c>
      <c r="T223" s="50" t="str">
        <f t="shared" si="70"/>
        <v>NorthBound</v>
      </c>
      <c r="U223" s="17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07:32:31-700',mode:absolute,to:'2016-11-10 09:42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3" s="52" t="str">
        <f t="shared" si="72"/>
        <v>Y</v>
      </c>
      <c r="X223" s="178">
        <f t="shared" si="67"/>
        <v>1</v>
      </c>
      <c r="Y223" s="67">
        <f t="shared" si="61"/>
        <v>4.7500000000000001E-2</v>
      </c>
      <c r="Z223" s="67">
        <f t="shared" si="62"/>
        <v>2.5605000000000002</v>
      </c>
      <c r="AA223" s="67">
        <f t="shared" si="73"/>
        <v>2.5130000000000003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74"/>
        <v>0903-10</v>
      </c>
      <c r="AE223" s="91" t="str">
        <f t="shared" si="75"/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223" s="88" t="str">
        <f t="shared" si="76"/>
        <v>"C:\Program Files (x86)\AstroGrep\AstroGrep.exe" /spath="%USERPROFILE%\AppData\Local\Temp\OnboardLogs" /stypes="app*4003*20161110*" /stext=" 15:.+((SYSTEM_STATE.+slice.+state.+changed )|(ment ac)|(system.+state.+changed )|(\[timeout)|(PRM\|1\|D)|(kpr)|(kdp)|(\|lc)|(penalty))" /e /r /s</v>
      </c>
      <c r="AG223" s="1" t="str">
        <f t="shared" si="77"/>
        <v>Other</v>
      </c>
      <c r="AH223" s="92" t="str">
        <f t="shared" si="78"/>
        <v>"%USERPROFILE%\Documents\GitHub\eaglep3\Utilities\RefineRTDCRunTimes.py" --tripid 903-10 --locoid 4003 --swversion DE.1.0.8.0 --startMP 204:475 --initTime 2016-11-10T08:32:31 --startdatetime 2016-11-10T08:34:50 --delay 1 --endMP 300:25605 --enddatetime 2016-11-10T08:42:54 --enforcementcount 0 &gt;&gt;C:\Users\stu\Documents\GitHub\eaglep3-reporting\EC\2016-11-10-refined-times.txt</v>
      </c>
      <c r="AI223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{"issue":{"subject":"","project_id":79,"tracker_id":40,"status_id":1,"priority_id":2,"assigned_to_id":23,"start_date":"2016-11-10","description":"","custom_fields":[{"id":1,"name":"Subdivision","value":"Other"},{"id":4,"name":"Milepost","value":"2.5605"},{"id":17,"name":"Train ID","value":"903-10"},{"id":16,"name":"Locomotive ID","value":"4003"},{"id":130,"name":"Impact","value":""},{"id":150,"name":"Time of Event (Mountain Time)","value":"08:42:54"},{"id":151,"name":"Denver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535</v>
      </c>
      <c r="B224" s="7">
        <v>4004</v>
      </c>
      <c r="C224" s="22" t="s">
        <v>226</v>
      </c>
      <c r="D224" s="22" t="s">
        <v>787</v>
      </c>
      <c r="E224" s="13">
        <v>42684.635740740741</v>
      </c>
      <c r="F224" s="13">
        <v>42684.640520833331</v>
      </c>
      <c r="G224" s="7">
        <v>6</v>
      </c>
      <c r="H224" s="22" t="s">
        <v>773</v>
      </c>
      <c r="I224" s="13">
        <v>42684.645601851851</v>
      </c>
      <c r="J224" s="7">
        <v>0</v>
      </c>
      <c r="K224" s="109" t="str">
        <f t="shared" si="68"/>
        <v>4003/4004</v>
      </c>
      <c r="L224" s="22" t="str">
        <f>VLOOKUP(A224,'Trips&amp;Operators'!$C$1:$E$10000,3,FALSE)</f>
        <v>MAGEE</v>
      </c>
      <c r="M224" s="6">
        <f t="shared" si="69"/>
        <v>5.0810185202863067E-3</v>
      </c>
      <c r="N224" s="7">
        <f t="shared" si="65"/>
        <v>7.3166666692122817</v>
      </c>
      <c r="O224" s="7"/>
      <c r="P224" s="7"/>
      <c r="Q224" s="23"/>
      <c r="R224" s="23"/>
      <c r="S224" s="35">
        <f t="shared" si="81"/>
        <v>1</v>
      </c>
      <c r="T224" s="50" t="str">
        <f t="shared" si="70"/>
        <v>Southbound</v>
      </c>
      <c r="U224" s="17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14:15:28-700',mode:absolute,to:'2016-11-10 16:29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4" s="52" t="str">
        <f t="shared" si="72"/>
        <v>Y</v>
      </c>
      <c r="X224" s="178">
        <f t="shared" si="67"/>
        <v>1</v>
      </c>
      <c r="Y224" s="67">
        <f t="shared" si="61"/>
        <v>2.3437999999999999</v>
      </c>
      <c r="Z224" s="67">
        <f t="shared" si="62"/>
        <v>6.59E-2</v>
      </c>
      <c r="AA224" s="67">
        <f t="shared" si="73"/>
        <v>2.2778999999999998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74"/>
        <v>0904-10</v>
      </c>
      <c r="AE224" s="91" t="str">
        <f t="shared" si="75"/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224" s="88" t="str">
        <f t="shared" si="76"/>
        <v>"C:\Program Files (x86)\AstroGrep\AstroGrep.exe" /spath="%USERPROFILE%\AppData\Local\Temp\OnboardLogs" /stypes="app*4004*20161110*" /stext=" 22:.+((SYSTEM_STATE.+slice.+state.+changed )|(ment ac)|(system.+state.+changed )|(\[timeout)|(PRM\|1\|D)|(kpr)|(kdp)|(\|lc)|(penalty))" /e /r /s</v>
      </c>
      <c r="AG224" s="1" t="str">
        <f t="shared" si="77"/>
        <v>Other</v>
      </c>
      <c r="AH224" s="92" t="str">
        <f t="shared" si="78"/>
        <v>"%USERPROFILE%\Documents\GitHub\eaglep3\Utilities\RefineRTDCRunTimes.py" --tripid 904-10 --locoid 4004 --swversion DE.1.0.8.0 --startMP 300:23438 --initTime 2016-11-10T15:15:28 --startdatetime 2016-11-10T15:22:21 --delay 6 --endMP 204:659 --enddatetime 2016-11-10T15:29:40 --enforcementcount 0 &gt;&gt;C:\Users\stu\Documents\GitHub\eaglep3-reporting\EC\2016-11-10-refined-times.txt</v>
      </c>
      <c r="AI224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{"issue":{"subject":"","project_id":79,"tracker_id":40,"status_id":1,"priority_id":2,"assigned_to_id":23,"start_date":"2016-11-10","description":"","custom_fields":[{"id":1,"name":"Subdivision","value":"Other"},{"id":4,"name":"Milepost","value":"0.0659"},{"id":17,"name":"Train ID","value":"904-10"},{"id":16,"name":"Locomotive ID","value":"4004"},{"id":130,"name":"Impact","value":""},{"id":150,"name":"Time of Event (Mountain Time)","value":"15:29:40"},{"id":151,"name":"Denver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578</v>
      </c>
      <c r="B225" s="7">
        <v>4004</v>
      </c>
      <c r="C225" s="22" t="s">
        <v>226</v>
      </c>
      <c r="D225" s="22" t="s">
        <v>788</v>
      </c>
      <c r="E225" s="13">
        <v>42684.796724537038</v>
      </c>
      <c r="F225" s="13">
        <v>25568.708333333332</v>
      </c>
      <c r="G225" s="7">
        <v>0</v>
      </c>
      <c r="H225" s="22" t="s">
        <v>789</v>
      </c>
      <c r="I225" s="13">
        <v>25568.708333333332</v>
      </c>
      <c r="J225" s="7">
        <v>0</v>
      </c>
      <c r="K225" s="109" t="str">
        <f t="shared" si="68"/>
        <v>4003/4004</v>
      </c>
      <c r="L225" s="22" t="str">
        <f>VLOOKUP(A225,'Trips&amp;Operators'!$C$1:$E$10000,3,FALSE)</f>
        <v>MAGEE</v>
      </c>
      <c r="M225" s="6">
        <f t="shared" si="69"/>
        <v>0</v>
      </c>
      <c r="N225" s="7">
        <f t="shared" si="65"/>
        <v>0</v>
      </c>
      <c r="O225" s="7"/>
      <c r="P225" s="7"/>
      <c r="Q225" s="23"/>
      <c r="R225" s="23"/>
      <c r="S225" s="35">
        <f t="shared" si="81"/>
        <v>0</v>
      </c>
      <c r="T225" s="50" t="str">
        <f t="shared" si="70"/>
        <v>Southbound</v>
      </c>
      <c r="U225" s="17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18:07:17-700',mode:absolute,to:'1969-12-31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5" s="52" t="str">
        <f t="shared" si="72"/>
        <v>Y</v>
      </c>
      <c r="X225" s="178">
        <f t="shared" si="67"/>
        <v>2</v>
      </c>
      <c r="Y225" s="67">
        <f t="shared" si="61"/>
        <v>5.8601999999999999</v>
      </c>
      <c r="Z225" s="67">
        <f t="shared" si="62"/>
        <v>2.8782000000000001</v>
      </c>
      <c r="AA225" s="67">
        <f t="shared" si="73"/>
        <v>2.9819999999999998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74"/>
        <v>0906-10</v>
      </c>
      <c r="AE225" s="91" t="str">
        <f t="shared" si="75"/>
        <v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v>
      </c>
      <c r="AF225" s="88" t="str">
        <f t="shared" si="76"/>
        <v>"C:\Program Files (x86)\AstroGrep\AstroGrep.exe" /spath="%USERPROFILE%\AppData\Local\Temp\OnboardLogs" /stypes="app*4004*19700101*" /stext=" 00:.+((SYSTEM_STATE.+slice.+state.+changed )|(ment ac)|(system.+state.+changed )|(\[timeout)|(PRM\|1\|D)|(kpr)|(kdp)|(\|lc)|(penalty))" /e /r /s</v>
      </c>
      <c r="AG225" s="1" t="str">
        <f t="shared" si="77"/>
        <v>Other</v>
      </c>
      <c r="AH225" s="92" t="str">
        <f t="shared" si="78"/>
        <v>"%USERPROFILE%\Documents\GitHub\eaglep3\Utilities\RefineRTDCRunTimes.py" --tripid 906-10 --locoid 4004 --swversion DE.1.0.8.0 --startMP 300:58602 --initTime 2016-11-10T19:07:17 --startdatetime 1969-12-31T17:00:00 --delay 0 --endMP 300:28782 --enddatetime 1969-12-31T17:00:00 --enforcementcount 0 &gt;&gt;C:\Users\stu\Documents\GitHub\eaglep3-reporting\EC\2016-11-10-refined-times.txt</v>
      </c>
      <c r="AI225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{"issue":{"subject":"","project_id":79,"tracker_id":40,"status_id":1,"priority_id":2,"assigned_to_id":23,"start_date":"1969-12-31","description":"","custom_fields":[{"id":1,"name":"Subdivision","value":"Other"},{"id":4,"name":"Milepost","value":"2.8782"},{"id":17,"name":"Train ID","value":"906-10"},{"id":16,"name":"Locomotive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398</v>
      </c>
      <c r="B226" s="7">
        <v>4028</v>
      </c>
      <c r="C226" s="22" t="s">
        <v>226</v>
      </c>
      <c r="D226" s="22" t="s">
        <v>720</v>
      </c>
      <c r="E226" s="13">
        <v>42684.436550925922</v>
      </c>
      <c r="F226" s="13">
        <v>42684.437905092593</v>
      </c>
      <c r="G226" s="7">
        <v>1</v>
      </c>
      <c r="H226" s="22">
        <v>8.5381944444444446</v>
      </c>
      <c r="I226" s="13">
        <v>42684.44321759259</v>
      </c>
      <c r="J226" s="7">
        <v>0</v>
      </c>
      <c r="K226" s="109" t="str">
        <f t="shared" si="68"/>
        <v>4027/4028</v>
      </c>
      <c r="L226" s="22" t="str">
        <f>VLOOKUP(A226,'Trips&amp;Operators'!$C$1:$E$10000,3,FALSE)</f>
        <v>HILLS</v>
      </c>
      <c r="M226" s="6">
        <f t="shared" si="69"/>
        <v>5.3124999976716936E-3</v>
      </c>
      <c r="N226" s="7">
        <f t="shared" si="65"/>
        <v>7.6499999966472387</v>
      </c>
      <c r="O226" s="7"/>
      <c r="P226" s="7"/>
      <c r="Q226" s="23"/>
      <c r="R226" s="23"/>
      <c r="S226" s="35">
        <f t="shared" si="81"/>
        <v>0</v>
      </c>
      <c r="T226" s="50" t="e">
        <f t="shared" si="70"/>
        <v>#VALUE!</v>
      </c>
      <c r="U226" s="17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09:28:38-700',mode:absolute,to:'2016-11-10 11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6" s="52" t="str">
        <f t="shared" si="72"/>
        <v>N</v>
      </c>
      <c r="X226" s="178" t="e">
        <f t="shared" si="67"/>
        <v>#VALUE!</v>
      </c>
      <c r="Y226" s="67">
        <f t="shared" ref="Y226:Y236" si="82">RIGHT(D226,LEN(D226)-4)/10000</f>
        <v>2.1791</v>
      </c>
      <c r="Z226" s="67">
        <f t="shared" ref="Z226:Z236" si="83">RIGHT(H226,LEN(H226)-4)/10000</f>
        <v>81944444.444399998</v>
      </c>
      <c r="AA226" s="67">
        <f t="shared" si="73"/>
        <v>81944442.265299991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74"/>
        <v>50-10</v>
      </c>
      <c r="AE226" s="91" t="str">
        <f t="shared" si="75"/>
        <v>aws s3 cp s3://rtdc.mdm.uploadarchive.raw/RTDC4028/ "%USERPROFILE%\AppData\Local\Temp\OnboardLogs"\RTDC4028\2016-11-10 --exclude "*" --recursive --include "*20161110*" &amp; "%USERPROFILE%\Documents\GitHub\mrs-test-scripts\Headless Mode &amp; Sideloading\WalkAndUnGZ.bat" "%USERPROFILE%\AppData\Local\Temp\OnboardLogs"\RTDC4028\2016-11-10 &amp; aws s3 cp s3://rtdc.mdm.uploadarchive.raw/RTDC4028/ "%USERPROFILE%\AppData\Local\Temp\OnboardLogs"\RTDC4028\2016-11-11 --exclude "*" --recursive --include "*20161111*" &amp; "%USERPROFILE%\Documents\GitHub\mrs-test-scripts\Headless Mode &amp; Sideloading\WalkAndUnGZ.bat" "%USERPROFILE%\AppData\Local\Temp\OnboardLogs"\RTDC4028\2016-11-11</v>
      </c>
      <c r="AF226" s="88" t="str">
        <f t="shared" si="76"/>
        <v>"C:\Program Files (x86)\AstroGrep\AstroGrep.exe" /spath="%USERPROFILE%\AppData\Local\Temp\OnboardLogs" /stypes="app*4028*20161110*" /stext=" 17:.+((SYSTEM_STATE.+slice.+state.+changed )|(ment ac)|(system.+state.+changed )|(\[timeout)|(PRM\|1\|D)|(kpr)|(kdp)|(\|lc)|(penalty))" /e /r /s</v>
      </c>
      <c r="AG226" s="1" t="str">
        <f t="shared" si="77"/>
        <v>Other</v>
      </c>
      <c r="AH226" s="92" t="str">
        <f t="shared" si="78"/>
        <v>"%USERPROFILE%\Documents\GitHub\eaglep3\Utilities\RefineRTDCRunTimes.py" --tripid 50-10 --locoid 4028 --swversion DE.1.0.8.0 --startMP 300:21791 --initTime 2016-11-10T10:28:38 --startdatetime 2016-11-10T10:30:35 --delay 1 --endMP 8.53819444444444 --enddatetime 2016-11-10T10:38:14 --enforcementcount 0 &gt;&gt;C:\Users\stu\Documents\GitHub\eaglep3-reporting\EC\2016-11-10-refined-times.txt</v>
      </c>
      <c r="AI226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81944444.4444"},{"id":17,"name":"Train ID","value":"50-10"},{"id":16,"name":"Locomotive ID","value":"4028"},{"id":130,"name":"Impact","value":""},{"id":150,"name":"Time of Event (Mountain Time)","value":"10:38:14"},{"id":151,"name":"Denver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500</v>
      </c>
      <c r="B227" s="7">
        <v>4027</v>
      </c>
      <c r="C227" s="22" t="s">
        <v>226</v>
      </c>
      <c r="D227" s="22" t="s">
        <v>721</v>
      </c>
      <c r="E227" s="13">
        <v>42684.462812500002</v>
      </c>
      <c r="F227" s="13">
        <v>42684.468321759261</v>
      </c>
      <c r="G227" s="7">
        <v>1</v>
      </c>
      <c r="H227" s="22" t="s">
        <v>722</v>
      </c>
      <c r="I227" s="13">
        <v>42684.474247685182</v>
      </c>
      <c r="J227" s="7">
        <v>0</v>
      </c>
      <c r="K227" s="109" t="str">
        <f t="shared" si="68"/>
        <v>4027/4028</v>
      </c>
      <c r="L227" s="22" t="str">
        <f>VLOOKUP(A227,'Trips&amp;Operators'!$C$1:$E$10000,3,FALSE)</f>
        <v>ROCHA</v>
      </c>
      <c r="M227" s="6">
        <f t="shared" si="69"/>
        <v>5.9259259214741178E-3</v>
      </c>
      <c r="N227" s="7">
        <f t="shared" si="65"/>
        <v>8.5333333269227296</v>
      </c>
      <c r="O227" s="7"/>
      <c r="P227" s="7"/>
      <c r="Q227" s="23"/>
      <c r="R227" s="23"/>
      <c r="S227" s="35">
        <f t="shared" si="81"/>
        <v>0</v>
      </c>
      <c r="T227" s="50" t="e">
        <f t="shared" si="70"/>
        <v>#VALUE!</v>
      </c>
      <c r="U227" s="17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10:06:27-700',mode:absolute,to:'2016-11-10 12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7" s="52" t="str">
        <f t="shared" si="72"/>
        <v>Y</v>
      </c>
      <c r="X227" s="178" t="e">
        <f t="shared" si="67"/>
        <v>#VALUE!</v>
      </c>
      <c r="Y227" s="67">
        <f t="shared" si="82"/>
        <v>3.56E-2</v>
      </c>
      <c r="Z227" s="67">
        <f t="shared" si="83"/>
        <v>2.4226999999999999</v>
      </c>
      <c r="AA227" s="67">
        <f t="shared" si="73"/>
        <v>2.3870999999999998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74"/>
        <v>51-10</v>
      </c>
      <c r="AE227" s="91" t="str">
        <f t="shared" si="75"/>
        <v>aws s3 cp s3://rtdc.mdm.uploadarchive.raw/RTDC4027/ "%USERPROFILE%\AppData\Local\Temp\OnboardLogs"\RTDC4027\2016-11-10 --exclude "*" --recursive --include "*20161110*" &amp; "%USERPROFILE%\Documents\GitHub\mrs-test-scripts\Headless Mode &amp; Sideloading\WalkAndUnGZ.bat" "%USERPROFILE%\AppData\Local\Temp\OnboardLogs"\RTDC4027\2016-11-10 &amp; aws s3 cp s3://rtdc.mdm.uploadarchive.raw/RTDC4027/ "%USERPROFILE%\AppData\Local\Temp\OnboardLogs"\RTDC4027\2016-11-11 --exclude "*" --recursive --include "*20161111*" &amp; "%USERPROFILE%\Documents\GitHub\mrs-test-scripts\Headless Mode &amp; Sideloading\WalkAndUnGZ.bat" "%USERPROFILE%\AppData\Local\Temp\OnboardLogs"\RTDC4027\2016-11-11</v>
      </c>
      <c r="AF227" s="88" t="str">
        <f t="shared" si="76"/>
        <v>"C:\Program Files (x86)\AstroGrep\AstroGrep.exe" /spath="%USERPROFILE%\AppData\Local\Temp\OnboardLogs" /stypes="app*4027*20161110*" /stext=" 18:.+((SYSTEM_STATE.+slice.+state.+changed )|(ment ac)|(system.+state.+changed )|(\[timeout)|(PRM\|1\|D)|(kpr)|(kdp)|(\|lc)|(penalty))" /e /r /s</v>
      </c>
      <c r="AG227" s="1" t="str">
        <f t="shared" si="77"/>
        <v>Other</v>
      </c>
      <c r="AH227" s="92" t="str">
        <f t="shared" si="78"/>
        <v>"%USERPROFILE%\Documents\GitHub\eaglep3\Utilities\RefineRTDCRunTimes.py" --tripid 51-10 --locoid 4027 --swversion DE.1.0.8.0 --startMP 204:356 --initTime 2016-11-10T11:06:27 --startdatetime 2016-11-10T11:14:23 --delay 1 --endMP 300:24227 --enddatetime 2016-11-10T11:22:55 --enforcementcount 0 &gt;&gt;C:\Users\stu\Documents\GitHub\eaglep3-reporting\EC\2016-11-10-refined-times.txt</v>
      </c>
      <c r="AI227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{"issue":{"subject":"","project_id":79,"tracker_id":40,"status_id":1,"priority_id":2,"assigned_to_id":23,"start_date":"2016-11-10","description":"","custom_fields":[{"id":1,"name":"Subdivision","value":"Other"},{"id":4,"name":"Milepost","value":"2.4227"},{"id":17,"name":"Train ID","value":"51-10"},{"id":16,"name":"Locomotive ID","value":"4027"},{"id":130,"name":"Impact","value":""},{"id":150,"name":"Time of Event (Mountain Time)","value":"11:22:55"},{"id":151,"name":"Denver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495</v>
      </c>
      <c r="B228" s="7">
        <v>4010</v>
      </c>
      <c r="C228" s="22" t="s">
        <v>226</v>
      </c>
      <c r="D228" s="22" t="s">
        <v>723</v>
      </c>
      <c r="E228" s="13">
        <v>42684.455995370372</v>
      </c>
      <c r="F228" s="13">
        <v>42684.467870370368</v>
      </c>
      <c r="G228" s="7">
        <v>17</v>
      </c>
      <c r="H228" s="22" t="s">
        <v>724</v>
      </c>
      <c r="I228" s="13">
        <v>42684.473067129627</v>
      </c>
      <c r="J228" s="7">
        <v>0</v>
      </c>
      <c r="K228" s="109" t="str">
        <f t="shared" si="68"/>
        <v>4009/4010</v>
      </c>
      <c r="L228" s="22" t="str">
        <f>VLOOKUP(A228,'Trips&amp;Operators'!$C$1:$E$10000,3,FALSE)</f>
        <v>NEWELL</v>
      </c>
      <c r="M228" s="6">
        <f t="shared" si="69"/>
        <v>5.1967592589790002E-3</v>
      </c>
      <c r="N228" s="7">
        <f t="shared" si="65"/>
        <v>7.4833333329297602</v>
      </c>
      <c r="O228" s="7"/>
      <c r="P228" s="7"/>
      <c r="Q228" s="23"/>
      <c r="R228" s="23"/>
      <c r="S228" s="35">
        <f t="shared" si="81"/>
        <v>0</v>
      </c>
      <c r="T228" s="50" t="e">
        <f t="shared" si="70"/>
        <v>#VALUE!</v>
      </c>
      <c r="U228" s="17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09:56:38-700',mode:absolute,to:'2016-11-10 12:21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8" s="52" t="str">
        <f t="shared" si="72"/>
        <v>Y</v>
      </c>
      <c r="X228" s="178" t="e">
        <f t="shared" si="67"/>
        <v>#VALUE!</v>
      </c>
      <c r="Y228" s="67">
        <f t="shared" si="82"/>
        <v>2.2172000000000001</v>
      </c>
      <c r="Z228" s="67">
        <f t="shared" si="83"/>
        <v>1.4200000000000001E-2</v>
      </c>
      <c r="AA228" s="67">
        <f t="shared" si="73"/>
        <v>2.2029999999999998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74"/>
        <v>52-10</v>
      </c>
      <c r="AE228" s="91" t="str">
        <f t="shared" si="75"/>
        <v>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 &amp; 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</v>
      </c>
      <c r="AF228" s="88" t="str">
        <f t="shared" si="76"/>
        <v>"C:\Program Files (x86)\AstroGrep\AstroGrep.exe" /spath="%USERPROFILE%\AppData\Local\Temp\OnboardLogs" /stypes="app*4010*20161110*" /stext=" 18:.+((SYSTEM_STATE.+slice.+state.+changed )|(ment ac)|(system.+state.+changed )|(\[timeout)|(PRM\|1\|D)|(kpr)|(kdp)|(\|lc)|(penalty))" /e /r /s</v>
      </c>
      <c r="AG228" s="1" t="str">
        <f t="shared" si="77"/>
        <v>Other</v>
      </c>
      <c r="AH228" s="92" t="str">
        <f t="shared" si="78"/>
        <v>"%USERPROFILE%\Documents\GitHub\eaglep3\Utilities\RefineRTDCRunTimes.py" --tripid 52-10 --locoid 4010 --swversion DE.1.0.8.0 --startMP 300:22172 --initTime 2016-11-10T10:56:38 --startdatetime 2016-11-10T11:13:44 --delay 17 --endMP 204:142 --enddatetime 2016-11-10T11:21:13 --enforcementcount 0 &gt;&gt;C:\Users\stu\Documents\GitHub\eaglep3-reporting\EC\2016-11-10-refined-times.txt</v>
      </c>
      <c r="AI228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{"issue":{"subject":"","project_id":79,"tracker_id":40,"status_id":1,"priority_id":2,"assigned_to_id":23,"start_date":"2016-11-10","description":"","custom_fields":[{"id":1,"name":"Subdivision","value":"Other"},{"id":4,"name":"Milepost","value":"0.0142"},{"id":17,"name":"Train ID","value":"52-10"},{"id":16,"name":"Locomotive ID","value":"4010"},{"id":130,"name":"Impact","value":""},{"id":150,"name":"Time of Event (Mountain Time)","value":"11:21:13"},{"id":151,"name":"Denver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565</v>
      </c>
      <c r="B229" s="7">
        <v>4027</v>
      </c>
      <c r="C229" s="22" t="s">
        <v>226</v>
      </c>
      <c r="D229" s="22" t="s">
        <v>725</v>
      </c>
      <c r="E229" s="13">
        <v>42684.754537037035</v>
      </c>
      <c r="F229" s="13">
        <v>25568.708333333332</v>
      </c>
      <c r="G229" s="7">
        <v>1</v>
      </c>
      <c r="H229" s="22" t="s">
        <v>722</v>
      </c>
      <c r="I229" s="13">
        <v>25568.708333333332</v>
      </c>
      <c r="J229" s="7">
        <v>0</v>
      </c>
      <c r="K229" s="109" t="str">
        <f t="shared" si="68"/>
        <v>4027/4028</v>
      </c>
      <c r="L229" s="22" t="str">
        <f>VLOOKUP(A229,'Trips&amp;Operators'!$C$1:$E$10000,3,FALSE)</f>
        <v>MOSES</v>
      </c>
      <c r="M229" s="6">
        <f t="shared" si="69"/>
        <v>0</v>
      </c>
      <c r="N229" s="7">
        <f t="shared" si="65"/>
        <v>0</v>
      </c>
      <c r="O229" s="7"/>
      <c r="P229" s="7"/>
      <c r="Q229" s="23"/>
      <c r="R229" s="23"/>
      <c r="S229" s="35">
        <f t="shared" si="81"/>
        <v>0</v>
      </c>
      <c r="T229" s="50" t="e">
        <f t="shared" si="70"/>
        <v>#VALUE!</v>
      </c>
      <c r="U229" s="17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17:06:32-700',mode:absolute,to:'1969-12-31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9" s="52" t="str">
        <f t="shared" si="72"/>
        <v>Y</v>
      </c>
      <c r="X229" s="178" t="e">
        <f t="shared" si="67"/>
        <v>#VALUE!</v>
      </c>
      <c r="Y229" s="67">
        <f t="shared" si="82"/>
        <v>6.4500000000000002E-2</v>
      </c>
      <c r="Z229" s="67">
        <f t="shared" si="83"/>
        <v>2.4226999999999999</v>
      </c>
      <c r="AA229" s="67">
        <f t="shared" si="73"/>
        <v>2.3582000000000001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74"/>
        <v>55-10</v>
      </c>
      <c r="AE229" s="91" t="str">
        <f t="shared" si="75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9" s="88" t="str">
        <f t="shared" si="76"/>
        <v>"C:\Program Files (x86)\AstroGrep\AstroGrep.exe" /spath="%USERPROFILE%\AppData\Local\Temp\OnboardLogs" /stypes="app*4027*19700101*" /stext=" 00:.+((SYSTEM_STATE.+slice.+state.+changed )|(ment ac)|(system.+state.+changed )|(\[timeout)|(PRM\|1\|D)|(kpr)|(kdp)|(\|lc)|(penalty))" /e /r /s</v>
      </c>
      <c r="AG229" s="1" t="str">
        <f t="shared" si="77"/>
        <v>Other</v>
      </c>
      <c r="AH229" s="92" t="str">
        <f t="shared" si="78"/>
        <v>"%USERPROFILE%\Documents\GitHub\eaglep3\Utilities\RefineRTDCRunTimes.py" --tripid 55-10 --locoid 4027 --swversion DE.1.0.8.0 --startMP 204:645 --initTime 2016-11-10T18:06:32 --startdatetime 1969-12-31T17:00:00 --delay 1 --endMP 300:24227 --enddatetime 1969-12-31T17:00:00 --enforcementcount 0 &gt;&gt;C:\Users\stu\Documents\GitHub\eaglep3-reporting\EC\2016-11-10-refined-times.txt</v>
      </c>
      <c r="AI229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{"issue":{"subject":"","project_id":79,"tracker_id":40,"status_id":1,"priority_id":2,"assigned_to_id":23,"start_date":"1969-12-31","description":"","custom_fields":[{"id":1,"name":"Subdivision","value":"Other"},{"id":4,"name":"Milepost","value":"2.4227"},{"id":17,"name":"Train ID","value":"55-10"},{"id":16,"name":"Locomotive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414</v>
      </c>
      <c r="B230" s="7">
        <v>4010</v>
      </c>
      <c r="C230" s="22" t="s">
        <v>226</v>
      </c>
      <c r="D230" s="22" t="s">
        <v>726</v>
      </c>
      <c r="E230" s="13">
        <v>42684.691388888888</v>
      </c>
      <c r="F230" s="13">
        <v>42684.692939814813</v>
      </c>
      <c r="G230" s="7">
        <v>1</v>
      </c>
      <c r="H230" s="22" t="s">
        <v>727</v>
      </c>
      <c r="I230" s="13">
        <v>42684.700324074074</v>
      </c>
      <c r="J230" s="7">
        <v>0</v>
      </c>
      <c r="K230" s="109" t="str">
        <f t="shared" si="68"/>
        <v>4009/4010</v>
      </c>
      <c r="L230" s="22" t="str">
        <f>VLOOKUP(A230,'Trips&amp;Operators'!$C$1:$E$10000,3,FALSE)</f>
        <v>BADERTSCHER</v>
      </c>
      <c r="M230" s="6">
        <f t="shared" si="69"/>
        <v>7.3842592610162683E-3</v>
      </c>
      <c r="N230" s="7">
        <f t="shared" si="65"/>
        <v>10.633333335863426</v>
      </c>
      <c r="O230" s="7"/>
      <c r="P230" s="7"/>
      <c r="Q230" s="23"/>
      <c r="R230" s="23"/>
      <c r="S230" s="35">
        <f t="shared" si="81"/>
        <v>0</v>
      </c>
      <c r="T230" s="50" t="e">
        <f t="shared" si="70"/>
        <v>#VALUE!</v>
      </c>
      <c r="U230" s="17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15:35:36-700',mode:absolute,to:'2016-11-10 17:48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30" s="52" t="str">
        <f t="shared" si="72"/>
        <v>Y</v>
      </c>
      <c r="X230" s="178" t="e">
        <f t="shared" si="67"/>
        <v>#VALUE!</v>
      </c>
      <c r="Y230" s="67">
        <f t="shared" si="82"/>
        <v>2.3268</v>
      </c>
      <c r="Z230" s="67">
        <f t="shared" si="83"/>
        <v>1.3100000000000001E-2</v>
      </c>
      <c r="AA230" s="67">
        <f t="shared" si="73"/>
        <v>2.3136999999999999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74"/>
        <v>56-10</v>
      </c>
      <c r="AE230" s="91" t="str">
        <f t="shared" si="75"/>
        <v>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 &amp; 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</v>
      </c>
      <c r="AF230" s="88" t="str">
        <f t="shared" si="76"/>
        <v>"C:\Program Files (x86)\AstroGrep\AstroGrep.exe" /spath="%USERPROFILE%\AppData\Local\Temp\OnboardLogs" /stypes="app*4010*20161110*" /stext=" 23:.+((SYSTEM_STATE.+slice.+state.+changed )|(ment ac)|(system.+state.+changed )|(\[timeout)|(PRM\|1\|D)|(kpr)|(kdp)|(\|lc)|(penalty))" /e /r /s</v>
      </c>
      <c r="AG230" s="1" t="str">
        <f t="shared" si="77"/>
        <v>Other</v>
      </c>
      <c r="AH230" s="92" t="str">
        <f t="shared" si="78"/>
        <v>"%USERPROFILE%\Documents\GitHub\eaglep3\Utilities\RefineRTDCRunTimes.py" --tripid 56-10 --locoid 4010 --swversion DE.1.0.8.0 --startMP 300:23268 --initTime 2016-11-10T16:35:36 --startdatetime 2016-11-10T16:37:50 --delay 1 --endMP 204:131 --enddatetime 2016-11-10T16:48:28 --enforcementcount 0 &gt;&gt;C:\Users\stu\Documents\GitHub\eaglep3-reporting\EC\2016-11-10-refined-times.txt</v>
      </c>
      <c r="AI230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{"issue":{"subject":"","project_id":79,"tracker_id":40,"status_id":1,"priority_id":2,"assigned_to_id":23,"start_date":"2016-11-10","description":"","custom_fields":[{"id":1,"name":"Subdivision","value":"Other"},{"id":4,"name":"Milepost","value":"0.0131"},{"id":17,"name":"Train ID","value":"56-10"},{"id":16,"name":"Locomotive ID","value":"4010"},{"id":130,"name":"Impact","value":""},{"id":150,"name":"Time of Event (Mountain Time)","value":"16:48:28"},{"id":151,"name":"Denver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571</v>
      </c>
      <c r="B231" s="7">
        <v>4009</v>
      </c>
      <c r="C231" s="22" t="s">
        <v>226</v>
      </c>
      <c r="D231" s="22" t="s">
        <v>728</v>
      </c>
      <c r="E231" s="13">
        <v>42684.768773148149</v>
      </c>
      <c r="F231" s="13">
        <v>42684.770324074074</v>
      </c>
      <c r="G231" s="7">
        <v>1</v>
      </c>
      <c r="H231" s="22" t="s">
        <v>729</v>
      </c>
      <c r="I231" s="13">
        <v>42684.77888888889</v>
      </c>
      <c r="J231" s="7">
        <v>0</v>
      </c>
      <c r="K231" s="109" t="str">
        <f t="shared" si="68"/>
        <v>4009/4010</v>
      </c>
      <c r="L231" s="22" t="str">
        <f>VLOOKUP(A231,'Trips&amp;Operators'!$C$1:$E$10000,3,FALSE)</f>
        <v>STORY</v>
      </c>
      <c r="M231" s="6">
        <f t="shared" si="69"/>
        <v>8.5648148160544224E-3</v>
      </c>
      <c r="N231" s="7">
        <f t="shared" si="65"/>
        <v>12.333333335118368</v>
      </c>
      <c r="O231" s="7"/>
      <c r="P231" s="7"/>
      <c r="Q231" s="23"/>
      <c r="R231" s="23"/>
      <c r="S231" s="35">
        <f t="shared" si="81"/>
        <v>0</v>
      </c>
      <c r="T231" s="50" t="e">
        <f t="shared" si="70"/>
        <v>#VALUE!</v>
      </c>
      <c r="U231" s="17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17:27:02-700',mode:absolute,to:'2016-11-10 19:41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1" s="52" t="str">
        <f t="shared" si="72"/>
        <v>Y</v>
      </c>
      <c r="X231" s="178" t="e">
        <f t="shared" si="67"/>
        <v>#VALUE!</v>
      </c>
      <c r="Y231" s="67">
        <f t="shared" si="82"/>
        <v>3.1800000000000002E-2</v>
      </c>
      <c r="Z231" s="67">
        <f t="shared" si="83"/>
        <v>2.4226000000000001</v>
      </c>
      <c r="AA231" s="67">
        <f t="shared" si="73"/>
        <v>2.3908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74"/>
        <v>59-10</v>
      </c>
      <c r="AE231" s="91" t="str">
        <f t="shared" si="75"/>
        <v>aws s3 cp s3://rtdc.mdm.uploadarchive.raw/RTDC4009/ "%USERPROFILE%\AppData\Local\Temp\OnboardLogs"\RTDC4009\2016-11-10 --exclude "*" --recursive --include "*20161110*" &amp; "%USERPROFILE%\Documents\GitHub\mrs-test-scripts\Headless Mode &amp; Sideloading\WalkAndUnGZ.bat" "%USERPROFILE%\AppData\Local\Temp\OnboardLogs"\RTDC4009\2016-11-10 &amp; 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</v>
      </c>
      <c r="AF231" s="88" t="str">
        <f t="shared" si="76"/>
        <v>"C:\Program Files (x86)\AstroGrep\AstroGrep.exe" /spath="%USERPROFILE%\AppData\Local\Temp\OnboardLogs" /stypes="app*4009*20161111*" /stext=" 01:.+((SYSTEM_STATE.+slice.+state.+changed )|(ment ac)|(system.+state.+changed )|(\[timeout)|(PRM\|1\|D)|(kpr)|(kdp)|(\|lc)|(penalty))" /e /r /s</v>
      </c>
      <c r="AG231" s="1" t="str">
        <f t="shared" si="77"/>
        <v>Other</v>
      </c>
      <c r="AH231" s="92" t="str">
        <f t="shared" si="78"/>
        <v>"%USERPROFILE%\Documents\GitHub\eaglep3\Utilities\RefineRTDCRunTimes.py" --tripid 59-10 --locoid 4009 --swversion DE.1.0.8.0 --startMP 204:318 --initTime 2016-11-10T18:27:02 --startdatetime 2016-11-10T18:29:16 --delay 1 --endMP 300:24226 --enddatetime 2016-11-10T18:41:36 --enforcementcount 0 &gt;&gt;C:\Users\stu\Documents\GitHub\eaglep3-reporting\EC\2016-11-10-refined-times.txt</v>
      </c>
      <c r="AI231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{"issue":{"subject":"","project_id":79,"tracker_id":40,"status_id":1,"priority_id":2,"assigned_to_id":23,"start_date":"2016-11-10","description":"","custom_fields":[{"id":1,"name":"Subdivision","value":"Other"},{"id":4,"name":"Milepost","value":"2.4226"},{"id":17,"name":"Train ID","value":"59-10"},{"id":16,"name":"Locomotive ID","value":"4009"},{"id":130,"name":"Impact","value":""},{"id":150,"name":"Time of Event (Mountain Time)","value":"18:41:36"},{"id":151,"name":"Denver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403</v>
      </c>
      <c r="B232" s="7">
        <v>4022</v>
      </c>
      <c r="C232" s="22" t="s">
        <v>226</v>
      </c>
      <c r="D232" s="22" t="s">
        <v>730</v>
      </c>
      <c r="E232" s="13">
        <v>42684.476655092592</v>
      </c>
      <c r="F232" s="13">
        <v>42684.488287037035</v>
      </c>
      <c r="G232" s="7">
        <v>1</v>
      </c>
      <c r="H232" s="22" t="s">
        <v>731</v>
      </c>
      <c r="I232" s="13">
        <v>42684.507939814815</v>
      </c>
      <c r="J232" s="7">
        <v>0</v>
      </c>
      <c r="K232" s="109" t="str">
        <f t="shared" si="68"/>
        <v>4021/4022</v>
      </c>
      <c r="L232" s="22" t="str">
        <f>VLOOKUP(A232,'Trips&amp;Operators'!$C$1:$E$10000,3,FALSE)</f>
        <v>BONDS</v>
      </c>
      <c r="M232" s="6">
        <f t="shared" si="69"/>
        <v>1.9652777780720498E-2</v>
      </c>
      <c r="N232" s="7">
        <f t="shared" si="65"/>
        <v>28.300000004237518</v>
      </c>
      <c r="O232" s="7"/>
      <c r="P232" s="7"/>
      <c r="Q232" s="23"/>
      <c r="R232" s="23"/>
      <c r="S232" s="35">
        <f t="shared" si="81"/>
        <v>0</v>
      </c>
      <c r="T232" s="50" t="e">
        <f t="shared" si="70"/>
        <v>#VALUE!</v>
      </c>
      <c r="U232" s="17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10:26:23-700',mode:absolute,to:'2016-11-10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2" s="52" t="str">
        <f t="shared" si="72"/>
        <v>Y</v>
      </c>
      <c r="X232" s="178" t="e">
        <f t="shared" si="67"/>
        <v>#VALUE!</v>
      </c>
      <c r="Y232" s="67">
        <f t="shared" si="82"/>
        <v>2.7016</v>
      </c>
      <c r="Z232" s="67">
        <f t="shared" si="83"/>
        <v>3.7755999999999998</v>
      </c>
      <c r="AA232" s="67">
        <f t="shared" si="73"/>
        <v>1.0739999999999998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 t="shared" si="74"/>
        <v>60-10</v>
      </c>
      <c r="AE232" s="91" t="str">
        <f t="shared" si="75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232" s="88" t="str">
        <f t="shared" si="76"/>
        <v>"C:\Program Files (x86)\AstroGrep\AstroGrep.exe" /spath="%USERPROFILE%\AppData\Local\Temp\OnboardLogs" /stypes="app*4022*20161110*" /stext=" 19:.+((SYSTEM_STATE.+slice.+state.+changed )|(ment ac)|(system.+state.+changed )|(\[timeout)|(PRM\|1\|D)|(kpr)|(kdp)|(\|lc)|(penalty))" /e /r /s</v>
      </c>
      <c r="AG232" s="1" t="str">
        <f t="shared" si="77"/>
        <v>Other</v>
      </c>
      <c r="AH232" s="92" t="str">
        <f t="shared" si="78"/>
        <v>"%USERPROFILE%\Documents\GitHub\eaglep3\Utilities\RefineRTDCRunTimes.py" --tripid 60-10 --locoid 4022 --swversion DE.1.0.8.0 --startMP 204:27016 --initTime 2016-11-10T11:26:23 --startdatetime 2016-11-10T11:43:08 --delay 1 --endMP 204:37756 --enddatetime 2016-11-10T12:11:26 --enforcementcount 0 &gt;&gt;C:\Users\stu\Documents\GitHub\eaglep3-reporting\EC\2016-11-10-refined-times.txt</v>
      </c>
      <c r="AI232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{"issue":{"subject":"","project_id":79,"tracker_id":40,"status_id":1,"priority_id":2,"assigned_to_id":23,"start_date":"2016-11-10","description":"","custom_fields":[{"id":1,"name":"Subdivision","value":"Other"},{"id":4,"name":"Milepost","value":"3.7756"},{"id":17,"name":"Train ID","value":"60-10"},{"id":16,"name":"Locomotive ID","value":"4022"},{"id":130,"name":"Impact","value":""},{"id":150,"name":"Time of Event (Mountain Time)","value":"12:11:26"},{"id":151,"name":"Denver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403</v>
      </c>
      <c r="B233" s="7">
        <v>4022</v>
      </c>
      <c r="C233" s="22" t="s">
        <v>226</v>
      </c>
      <c r="D233" s="22" t="s">
        <v>732</v>
      </c>
      <c r="E233" s="13">
        <v>42684.486539351848</v>
      </c>
      <c r="F233" s="13">
        <v>42684.488287037035</v>
      </c>
      <c r="G233" s="7">
        <v>1</v>
      </c>
      <c r="H233" s="22" t="s">
        <v>231</v>
      </c>
      <c r="I233" s="13">
        <v>42684.507939814815</v>
      </c>
      <c r="J233" s="7">
        <v>0</v>
      </c>
      <c r="K233" s="109" t="str">
        <f t="shared" si="68"/>
        <v>4021/4022</v>
      </c>
      <c r="L233" s="22" t="str">
        <f>VLOOKUP(A233,'Trips&amp;Operators'!$C$1:$E$10000,3,FALSE)</f>
        <v>BONDS</v>
      </c>
      <c r="M233" s="6">
        <f t="shared" si="69"/>
        <v>1.9652777780720498E-2</v>
      </c>
      <c r="N233" s="7">
        <f t="shared" si="65"/>
        <v>28.300000004237518</v>
      </c>
      <c r="O233" s="7"/>
      <c r="P233" s="7"/>
      <c r="Q233" s="23"/>
      <c r="R233" s="23"/>
      <c r="S233" s="35">
        <f t="shared" si="81"/>
        <v>0</v>
      </c>
      <c r="T233" s="50" t="e">
        <f t="shared" si="70"/>
        <v>#VALUE!</v>
      </c>
      <c r="U233" s="17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10:40:37-700',mode:absolute,to:'2016-11-10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3" s="52" t="str">
        <f t="shared" si="72"/>
        <v>N</v>
      </c>
      <c r="X233" s="178" t="e">
        <f t="shared" si="67"/>
        <v>#VALUE!</v>
      </c>
      <c r="Y233" s="67">
        <f t="shared" si="82"/>
        <v>4.2747999999999999</v>
      </c>
      <c r="Z233" s="67">
        <f t="shared" si="83"/>
        <v>23.328900000000001</v>
      </c>
      <c r="AA233" s="67">
        <f t="shared" si="73"/>
        <v>19.054100000000002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 t="shared" si="74"/>
        <v>60-10</v>
      </c>
      <c r="AE233" s="91" t="str">
        <f t="shared" si="75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233" s="88" t="str">
        <f t="shared" si="76"/>
        <v>"C:\Program Files (x86)\AstroGrep\AstroGrep.exe" /spath="%USERPROFILE%\AppData\Local\Temp\OnboardLogs" /stypes="app*4022*20161110*" /stext=" 19:.+((SYSTEM_STATE.+slice.+state.+changed )|(ment ac)|(system.+state.+changed )|(\[timeout)|(PRM\|1\|D)|(kpr)|(kdp)|(\|lc)|(penalty))" /e /r /s</v>
      </c>
      <c r="AG233" s="1" t="str">
        <f t="shared" si="77"/>
        <v>Other</v>
      </c>
      <c r="AH233" s="92" t="str">
        <f t="shared" si="78"/>
        <v>"%USERPROFILE%\Documents\GitHub\eaglep3\Utilities\RefineRTDCRunTimes.py" --tripid 60-10 --locoid 4022 --swversion DE.1.0.8.0 --startMP 204:42748 --initTime 2016-11-10T11:40:37 --startdatetime 2016-11-10T11:43:08 --delay 1 --endMP 204:233289 --enddatetime 2016-11-10T12:11:26 --enforcementcount 0 &gt;&gt;C:\Users\stu\Documents\GitHub\eaglep3-reporting\EC\2016-11-10-refined-times.txt</v>
      </c>
      <c r="AI233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{"issue":{"subject":"","project_id":79,"tracker_id":40,"status_id":1,"priority_id":2,"assigned_to_id":23,"start_date":"2016-11-10","description":"","custom_fields":[{"id":1,"name":"Subdivision","value":"Other"},{"id":4,"name":"Milepost","value":"23.3289"},{"id":17,"name":"Train ID","value":"60-10"},{"id":16,"name":"Locomotive ID","value":"4022"},{"id":130,"name":"Impact","value":""},{"id":150,"name":"Time of Event (Mountain Time)","value":"12:11:26"},{"id":151,"name":"Denver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403</v>
      </c>
      <c r="B234" s="7">
        <v>4022</v>
      </c>
      <c r="C234" s="22" t="s">
        <v>226</v>
      </c>
      <c r="D234" s="22" t="s">
        <v>307</v>
      </c>
      <c r="E234" s="13">
        <v>42684.460868055554</v>
      </c>
      <c r="F234" s="13">
        <v>42684.488287037035</v>
      </c>
      <c r="G234" s="7">
        <v>1</v>
      </c>
      <c r="H234" s="22" t="s">
        <v>733</v>
      </c>
      <c r="I234" s="13">
        <v>42684.507939814815</v>
      </c>
      <c r="J234" s="7">
        <v>0</v>
      </c>
      <c r="K234" s="109" t="str">
        <f t="shared" si="68"/>
        <v>4021/4022</v>
      </c>
      <c r="L234" s="22" t="str">
        <f>VLOOKUP(A234,'Trips&amp;Operators'!$C$1:$E$10000,3,FALSE)</f>
        <v>BONDS</v>
      </c>
      <c r="M234" s="6">
        <f t="shared" si="69"/>
        <v>1.9652777780720498E-2</v>
      </c>
      <c r="N234" s="7">
        <f t="shared" si="65"/>
        <v>28.300000004237518</v>
      </c>
      <c r="O234" s="7"/>
      <c r="P234" s="7"/>
      <c r="Q234" s="23"/>
      <c r="R234" s="23"/>
      <c r="S234" s="35">
        <f t="shared" si="81"/>
        <v>0</v>
      </c>
      <c r="T234" s="50" t="e">
        <f t="shared" si="70"/>
        <v>#VALUE!</v>
      </c>
      <c r="U234" s="17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10:03:39-700',mode:absolute,to:'2016-11-10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4" s="52" t="str">
        <f t="shared" si="72"/>
        <v>Y</v>
      </c>
      <c r="X234" s="178" t="e">
        <f t="shared" si="67"/>
        <v>#VALUE!</v>
      </c>
      <c r="Y234" s="67">
        <f t="shared" si="82"/>
        <v>4.4600000000000001E-2</v>
      </c>
      <c r="Z234" s="67">
        <f t="shared" si="83"/>
        <v>1.9305000000000001</v>
      </c>
      <c r="AA234" s="67">
        <f t="shared" si="73"/>
        <v>1.8859000000000001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 t="shared" si="74"/>
        <v>60-10</v>
      </c>
      <c r="AE234" s="91" t="str">
        <f t="shared" si="75"/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234" s="88" t="str">
        <f t="shared" si="76"/>
        <v>"C:\Program Files (x86)\AstroGrep\AstroGrep.exe" /spath="%USERPROFILE%\AppData\Local\Temp\OnboardLogs" /stypes="app*4022*20161110*" /stext=" 19:.+((SYSTEM_STATE.+slice.+state.+changed )|(ment ac)|(system.+state.+changed )|(\[timeout)|(PRM\|1\|D)|(kpr)|(kdp)|(\|lc)|(penalty))" /e /r /s</v>
      </c>
      <c r="AG234" s="1" t="str">
        <f t="shared" si="77"/>
        <v>Other</v>
      </c>
      <c r="AH234" s="92" t="str">
        <f t="shared" si="78"/>
        <v>"%USERPROFILE%\Documents\GitHub\eaglep3\Utilities\RefineRTDCRunTimes.py" --tripid 60-10 --locoid 4022 --swversion DE.1.0.8.0 --startMP 204:446 --initTime 2016-11-10T11:03:39 --startdatetime 2016-11-10T11:43:08 --delay 1 --endMP 204:19305 --enddatetime 2016-11-10T12:11:26 --enforcementcount 0 &gt;&gt;C:\Users\stu\Documents\GitHub\eaglep3-reporting\EC\2016-11-10-refined-times.txt</v>
      </c>
      <c r="AI234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{"issue":{"subject":"","project_id":79,"tracker_id":40,"status_id":1,"priority_id":2,"assigned_to_id":23,"start_date":"2016-11-10","description":"","custom_fields":[{"id":1,"name":"Subdivision","value":"Other"},{"id":4,"name":"Milepost","value":"1.9305"},{"id":17,"name":"Train ID","value":"60-10"},{"id":16,"name":"Locomotive ID","value":"4022"},{"id":130,"name":"Impact","value":""},{"id":150,"name":"Time of Event (Mountain Time)","value":"12:11:26"},{"id":151,"name":"Denver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563</v>
      </c>
      <c r="B235" s="7">
        <v>4028</v>
      </c>
      <c r="C235" s="22" t="s">
        <v>226</v>
      </c>
      <c r="D235" s="22" t="s">
        <v>734</v>
      </c>
      <c r="E235" s="13">
        <v>42684.745370370372</v>
      </c>
      <c r="F235" s="13">
        <v>42684.747141203705</v>
      </c>
      <c r="G235" s="7">
        <v>2</v>
      </c>
      <c r="H235" s="22" t="s">
        <v>362</v>
      </c>
      <c r="I235" s="13">
        <v>42684.752465277779</v>
      </c>
      <c r="J235" s="7">
        <v>0</v>
      </c>
      <c r="K235" s="109" t="str">
        <f t="shared" si="68"/>
        <v>4027/4028</v>
      </c>
      <c r="L235" s="22" t="str">
        <f>VLOOKUP(A235,'Trips&amp;Operators'!$C$1:$E$10000,3,FALSE)</f>
        <v>STAMBAUGH</v>
      </c>
      <c r="M235" s="6">
        <f t="shared" si="69"/>
        <v>5.324074074451346E-3</v>
      </c>
      <c r="N235" s="7">
        <f t="shared" si="65"/>
        <v>7.6666666672099382</v>
      </c>
      <c r="O235" s="7"/>
      <c r="P235" s="7"/>
      <c r="Q235" s="23"/>
      <c r="R235" s="23"/>
      <c r="S235" s="35">
        <f t="shared" si="81"/>
        <v>0</v>
      </c>
      <c r="T235" s="50" t="e">
        <f t="shared" si="70"/>
        <v>#VALUE!</v>
      </c>
      <c r="U235" s="17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16:53:20-700',mode:absolute,to:'2016-11-10 19:03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35" s="52" t="str">
        <f t="shared" si="72"/>
        <v>Y</v>
      </c>
      <c r="X235" s="178" t="e">
        <f t="shared" si="67"/>
        <v>#VALUE!</v>
      </c>
      <c r="Y235" s="67">
        <f t="shared" si="82"/>
        <v>2.3376999999999999</v>
      </c>
      <c r="Z235" s="67">
        <f t="shared" si="83"/>
        <v>3.4299999999999997E-2</v>
      </c>
      <c r="AA235" s="67">
        <f t="shared" si="73"/>
        <v>2.3033999999999999</v>
      </c>
      <c r="AB235" s="64" t="e">
        <f>VLOOKUP(A235,Enforcements!$C$7:$K$20,8,0)</f>
        <v>#N/A</v>
      </c>
      <c r="AC235" s="60" t="e">
        <f>VLOOKUP(A235,Enforcements!$C$7:$E$20,3,0)</f>
        <v>#N/A</v>
      </c>
      <c r="AD235" s="61" t="str">
        <f t="shared" si="74"/>
        <v>62-10</v>
      </c>
      <c r="AE235" s="91" t="str">
        <f t="shared" si="75"/>
        <v>aws s3 cp s3://rtdc.mdm.uploadarchive.raw/RTDC4028/ "%USERPROFILE%\AppData\Local\Temp\OnboardLogs"\RTDC4028\2016-11-10 --exclude "*" --recursive --include "*20161110*" &amp; "%USERPROFILE%\Documents\GitHub\mrs-test-scripts\Headless Mode &amp; Sideloading\WalkAndUnGZ.bat" "%USERPROFILE%\AppData\Local\Temp\OnboardLogs"\RTDC4028\2016-11-10 &amp; aws s3 cp s3://rtdc.mdm.uploadarchive.raw/RTDC4028/ "%USERPROFILE%\AppData\Local\Temp\OnboardLogs"\RTDC4028\2016-11-11 --exclude "*" --recursive --include "*20161111*" &amp; "%USERPROFILE%\Documents\GitHub\mrs-test-scripts\Headless Mode &amp; Sideloading\WalkAndUnGZ.bat" "%USERPROFILE%\AppData\Local\Temp\OnboardLogs"\RTDC4028\2016-11-11</v>
      </c>
      <c r="AF235" s="88" t="str">
        <f t="shared" si="76"/>
        <v>"C:\Program Files (x86)\AstroGrep\AstroGrep.exe" /spath="%USERPROFILE%\AppData\Local\Temp\OnboardLogs" /stypes="app*4028*20161111*" /stext=" 01:.+((SYSTEM_STATE.+slice.+state.+changed )|(ment ac)|(system.+state.+changed )|(\[timeout)|(PRM\|1\|D)|(kpr)|(kdp)|(\|lc)|(penalty))" /e /r /s</v>
      </c>
      <c r="AG235" s="1" t="str">
        <f t="shared" si="77"/>
        <v>Other</v>
      </c>
      <c r="AH235" s="92" t="str">
        <f t="shared" si="78"/>
        <v>"%USERPROFILE%\Documents\GitHub\eaglep3\Utilities\RefineRTDCRunTimes.py" --tripid 62-10 --locoid 4028 --swversion DE.1.0.8.0 --startMP 300:23377 --initTime 2016-11-10T17:53:20 --startdatetime 2016-11-10T17:55:53 --delay 2 --endMP 204:343 --enddatetime 2016-11-10T18:03:33 --enforcementcount 0 &gt;&gt;C:\Users\stu\Documents\GitHub\eaglep3-reporting\EC\2016-11-10-refined-times.txt</v>
      </c>
      <c r="AI235" s="119" t="str">
        <f t="shared" si="79"/>
        <v>echo {"issue":{"subject":"","project_id":79,"tracker_id":40,"status_id":1,"priority_id":2,"assigned_to_id":23,"start_date":"2016-11-10","description":"","custom_fields":[{"id":1,"name":"Subdivision","value":"Other"},{"id":4,"name":"Milepost","value":"0.0343"},{"id":17,"name":"Train ID","value":"62-10"},{"id":16,"name":"Locomotive ID","value":"4028"},{"id":130,"name":"Impact","value":""},{"id":150,"name":"Time of Event (Mountain Time)","value":"18:03:33"},{"id":151,"name":"Denver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559</v>
      </c>
      <c r="B236" s="7">
        <v>4016</v>
      </c>
      <c r="C236" s="22" t="s">
        <v>226</v>
      </c>
      <c r="D236" s="22" t="s">
        <v>735</v>
      </c>
      <c r="E236" s="13">
        <v>42684.733946759261</v>
      </c>
      <c r="F236" s="13">
        <v>25568.708333333332</v>
      </c>
      <c r="G236" s="7">
        <v>1</v>
      </c>
      <c r="H236" s="22" t="s">
        <v>736</v>
      </c>
      <c r="I236" s="13">
        <v>25568.708333333332</v>
      </c>
      <c r="J236" s="7">
        <v>0</v>
      </c>
      <c r="K236" s="109" t="str">
        <f t="shared" si="68"/>
        <v>4015/4016</v>
      </c>
      <c r="L236" s="22" t="str">
        <f>VLOOKUP(A236,'Trips&amp;Operators'!$C$1:$E$10000,3,FALSE)</f>
        <v>SMITH</v>
      </c>
      <c r="M236" s="6">
        <f t="shared" si="69"/>
        <v>0</v>
      </c>
      <c r="N236" s="7">
        <f t="shared" si="65"/>
        <v>0</v>
      </c>
      <c r="O236" s="7"/>
      <c r="P236" s="7"/>
      <c r="Q236" s="23"/>
      <c r="R236" s="23"/>
      <c r="S236" s="35">
        <f t="shared" si="81"/>
        <v>0</v>
      </c>
      <c r="T236" s="50" t="e">
        <f t="shared" si="70"/>
        <v>#VALUE!</v>
      </c>
      <c r="U236" s="17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https://search-rtdc-monitor-bjffxe2xuh6vdkpspy63sjmuny.us-east-1.es.amazonaws.com/_plugin/kibana/#/discover/Steve-Slow-Train-Analysis-(2080s-and-2083s)?_g=(refreshInterval:(display:Off,section:0,value:0),time:(from:'2016-11-10 16:36:53-700',mode:absolute,to:'1969-12-31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6" s="52" t="str">
        <f t="shared" si="72"/>
        <v>Y</v>
      </c>
      <c r="X236" s="178" t="e">
        <f t="shared" si="67"/>
        <v>#VALUE!</v>
      </c>
      <c r="Y236" s="67">
        <f t="shared" si="82"/>
        <v>0.14810000000000001</v>
      </c>
      <c r="Z236" s="67">
        <f t="shared" si="83"/>
        <v>2.331</v>
      </c>
      <c r="AA236" s="67">
        <f t="shared" si="73"/>
        <v>2.1829000000000001</v>
      </c>
      <c r="AB236" s="64" t="e">
        <f>VLOOKUP(A236,Enforcements!$C$7:$K$20,8,0)</f>
        <v>#N/A</v>
      </c>
      <c r="AC236" s="60" t="e">
        <f>VLOOKUP(A236,Enforcements!$C$7:$E$20,3,0)</f>
        <v>#N/A</v>
      </c>
      <c r="AD236" s="61" t="str">
        <f t="shared" si="74"/>
        <v>63-10</v>
      </c>
      <c r="AE236" s="91" t="str">
        <f t="shared" si="75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36" s="88" t="str">
        <f t="shared" si="76"/>
        <v>"C:\Program Files (x86)\AstroGrep\AstroGrep.exe" /spath="%USERPROFILE%\AppData\Local\Temp\OnboardLogs" /stypes="app*4016*19700101*" /stext=" 00:.+((SYSTEM_STATE.+slice.+state.+changed )|(ment ac)|(system.+state.+changed )|(\[timeout)|(PRM\|1\|D)|(kpr)|(kdp)|(\|lc)|(penalty))" /e /r /s</v>
      </c>
      <c r="AG236" s="1" t="str">
        <f t="shared" si="77"/>
        <v>Other</v>
      </c>
      <c r="AH236" s="92" t="str">
        <f t="shared" si="78"/>
        <v>"%USERPROFILE%\Documents\GitHub\eaglep3\Utilities\RefineRTDCRunTimes.py" --tripid 63-10 --locoid 4016 --swversion DE.1.0.8.0 --startMP 204:1481 --initTime 2016-11-10T17:36:53 --startdatetime 1969-12-31T17:00:00 --delay 1 --endMP 300:23310 --enddatetime 1969-12-31T17:00:00 --enforcementcount 0 &gt;&gt;C:\Users\stu\Documents\GitHub\eaglep3-reporting\EC\2016-11-10-refined-times.txt</v>
      </c>
      <c r="AI236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ID","value":"63-10"},{"id":16,"name":"Locomotive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</sheetData>
  <autoFilter ref="A12:AG260">
    <sortState ref="A13:AG261">
      <sortCondition ref="AG13:AG237"/>
      <sortCondition ref="AD13:AD237"/>
    </sortState>
  </autoFilter>
  <sortState ref="A13:AH200">
    <sortCondition ref="AG13:AG200"/>
    <sortCondition ref="AD13:AD200"/>
  </sortState>
  <mergeCells count="1">
    <mergeCell ref="A11:P11"/>
  </mergeCells>
  <conditionalFormatting sqref="W11:W12 W261:X1048576 W13:X236">
    <cfRule type="cellIs" dxfId="9" priority="344" operator="equal">
      <formula>"Y"</formula>
    </cfRule>
  </conditionalFormatting>
  <conditionalFormatting sqref="X261:X1048576 X13:X236">
    <cfRule type="cellIs" dxfId="8" priority="327" operator="greaterThan">
      <formula>1</formula>
    </cfRule>
  </conditionalFormatting>
  <conditionalFormatting sqref="X261:X1048576 X12:X236">
    <cfRule type="cellIs" dxfId="7" priority="324" operator="equal">
      <formula>0</formula>
    </cfRule>
  </conditionalFormatting>
  <conditionalFormatting sqref="A13:S236">
    <cfRule type="expression" dxfId="6" priority="318" stopIfTrue="1">
      <formula>$P13&gt;0</formula>
    </cfRule>
    <cfRule type="expression" dxfId="5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P7" sqref="A7:P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6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29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6"/>
      <c r="P1" s="136"/>
      <c r="R1" s="89"/>
      <c r="S1" s="101"/>
      <c r="T1" s="86"/>
      <c r="V1" s="48"/>
      <c r="AC1" s="138"/>
    </row>
    <row r="2" spans="1:29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1">
        <f>COUNTIF($O$7:$O$335,"=Y")</f>
        <v>16</v>
      </c>
      <c r="P2" s="133"/>
      <c r="R2" s="89"/>
      <c r="S2" s="101"/>
      <c r="T2" s="86"/>
      <c r="V2" s="48"/>
      <c r="AC2" s="139"/>
    </row>
    <row r="3" spans="1:29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2">
        <f>COUNTA($O$7:$O$335)-O2</f>
        <v>45</v>
      </c>
      <c r="P3" s="133"/>
      <c r="R3" s="89"/>
      <c r="S3" s="101"/>
      <c r="T3" s="86"/>
      <c r="V3" s="48"/>
      <c r="AC3" s="139"/>
    </row>
    <row r="4" spans="1:29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6"/>
      <c r="P4" s="136"/>
      <c r="R4" s="89"/>
      <c r="S4" s="101"/>
      <c r="T4" s="86"/>
      <c r="V4" s="48"/>
      <c r="AC4" s="139"/>
    </row>
    <row r="5" spans="1:29" s="10" customFormat="1" ht="15" customHeight="1" x14ac:dyDescent="0.25">
      <c r="A5" s="186" t="str">
        <f>"Eagle P3 Braking Events - "&amp;TEXT(Variables!$A$2,"YYYY-mm-dd")</f>
        <v>Eagle P3 Braking Events - 2016-11-10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1"/>
      <c r="R5" s="99"/>
      <c r="S5" s="102"/>
      <c r="T5" s="104"/>
      <c r="V5" s="49"/>
      <c r="AC5" s="140"/>
    </row>
    <row r="6" spans="1:29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3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180</v>
      </c>
    </row>
    <row r="7" spans="1:29" s="1" customFormat="1" x14ac:dyDescent="0.25">
      <c r="A7" s="36">
        <v>42684.440497685187</v>
      </c>
      <c r="B7" s="31" t="s">
        <v>290</v>
      </c>
      <c r="C7" s="31" t="s">
        <v>399</v>
      </c>
      <c r="D7" s="31" t="s">
        <v>400</v>
      </c>
      <c r="E7" s="31" t="s">
        <v>154</v>
      </c>
      <c r="F7" s="47">
        <v>0</v>
      </c>
      <c r="G7" s="47">
        <v>32</v>
      </c>
      <c r="H7" s="47">
        <v>27092</v>
      </c>
      <c r="I7" s="47">
        <v>27097</v>
      </c>
      <c r="J7" s="31" t="s">
        <v>153</v>
      </c>
      <c r="K7" s="47">
        <v>27052</v>
      </c>
      <c r="L7" s="154" t="s">
        <v>50</v>
      </c>
      <c r="M7" s="155">
        <f t="shared" ref="M7:M38" si="0">CONVERT((I7-K7)/10000,"mi","ft")*IF(L7="Increasing Mileposts (1)",-1,1)</f>
        <v>-23.76</v>
      </c>
      <c r="N7" s="156" t="str">
        <f>VLOOKUP(C7,'Trips&amp;Operators'!$C$1:$E$99999,3,FALSE)</f>
        <v>CUSHING</v>
      </c>
      <c r="O7" s="184" t="s">
        <v>206</v>
      </c>
      <c r="P7" s="157" t="s">
        <v>377</v>
      </c>
      <c r="Q7" s="31"/>
      <c r="R7" s="100" t="str">
        <f>VLOOKUP(C7,'Train Runs'!$A$13:$AE$10004,31,0)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S7" s="103" t="str">
        <f>VLOOKUP(C7,'Train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09:32:24-700',mode:absolute,to:'2016-11-10 11:44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/stypes="*4016*201611101*" /stext=" 17:.+((SYSTEM_STATE.+slice.+state.+changed )|(ment ac)|(system.+state.+changed )|(\[timeout)|(PRM\|1\|D)|(kpr)|(kdp)|(\|lc)|(penalty))" /e /r /s</v>
      </c>
      <c r="U7" s="9" t="str">
        <f t="shared" ref="U7:U38" si="2">MID(B7,13,4)</f>
        <v>4016</v>
      </c>
      <c r="V7" s="36">
        <f t="shared" ref="V7:V38" si="3">A7-utc_offset/24</f>
        <v>42684.732164351852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1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C","project_id":79,"tracker_id":40,"status_id":1,"priority_id":2,"assigned_to_id":23,"start_date":"2016-11-10","description":"","custom_fields":[{"id":1,"name":"Subdivision","value":"EC"},{"id":4,"name":"Milepost","value":"2.7052"},{"id":17,"name":"Train ID","value":"153-10"},{"id":16,"name":"Locomotive ID","value":"4016"},{"id":130,"name":"Impact","value":""},{"id":150,"name":"Time of Event (Mountain Time)","value":"10:34:19"},{"id":151,"name":"Denver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"%USERPROFILE%\AppData\Local\Temp\OnboardLogs"\RTDC4016\*4016*201611101* | grep -SE "((Enforcement Ac)|(PRM))" -</v>
      </c>
    </row>
    <row r="8" spans="1:29" s="1" customFormat="1" x14ac:dyDescent="0.25">
      <c r="A8" s="36">
        <v>42684.955995370372</v>
      </c>
      <c r="B8" s="31" t="s">
        <v>272</v>
      </c>
      <c r="C8" s="31" t="s">
        <v>424</v>
      </c>
      <c r="D8" s="31" t="s">
        <v>98</v>
      </c>
      <c r="E8" s="31" t="s">
        <v>154</v>
      </c>
      <c r="F8" s="47">
        <v>190</v>
      </c>
      <c r="G8" s="47">
        <v>245</v>
      </c>
      <c r="H8" s="47">
        <v>26981</v>
      </c>
      <c r="I8" s="47">
        <v>26480</v>
      </c>
      <c r="J8" s="31" t="s">
        <v>153</v>
      </c>
      <c r="K8" s="47">
        <v>27350</v>
      </c>
      <c r="L8" s="154" t="s">
        <v>51</v>
      </c>
      <c r="M8" s="155">
        <f t="shared" si="0"/>
        <v>-459.36</v>
      </c>
      <c r="N8" s="156" t="str">
        <f>VLOOKUP(C8,'Trips&amp;Operators'!$C$1:$E$99999,3,FALSE)</f>
        <v>HOLCOMB</v>
      </c>
      <c r="O8" s="184" t="s">
        <v>206</v>
      </c>
      <c r="P8" s="157" t="s">
        <v>815</v>
      </c>
      <c r="Q8" s="31"/>
      <c r="R8" s="100" t="str">
        <f>VLOOKUP(C8,'Train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8" s="103" t="str">
        <f>VLOOKUP(C8,'Train Runs'!$A$13:$AE$10004,22,0)</f>
        <v>https://search-rtdc-monitor-bjffxe2xuh6vdkpspy63sjmuny.us-east-1.es.amazonaws.com/_plugin/kibana/#/discover/Steve-Slow-Train-Analysis-(2080s-and-2083s)?_g=(refreshInterval:(display:Off,section:0,value:0),time:(from:'2016-11-10 21:09:39-700',mode:absolute,to:'2016-11-11 00:04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8" s="105" t="str">
        <f t="shared" si="1"/>
        <v>"C:\Program Files (x86)\AstroGrep\AstroGrep.exe" /spath="%USERPROFILE%\AppData\Local\Temp\OnboardLogs" /stypes="*4001*201611110*" /stext=" 05:.+((SYSTEM_STATE.+slice.+state.+changed )|(ment ac)|(system.+state.+changed )|(\[timeout)|(PRM\|1\|D)|(kpr)|(kdp)|(\|lc)|(penalty))" /e /r /s</v>
      </c>
      <c r="U8" s="9" t="str">
        <f t="shared" si="2"/>
        <v>4001</v>
      </c>
      <c r="V8" s="36">
        <f t="shared" si="3"/>
        <v>42685.247662037036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arrival","project_id":79,"tracker_id":40,"status_id":1,"priority_id":2,"assigned_to_id":23,"start_date":"2016-11-10","description":"","custom_fields":[{"id":1,"name":"Subdivision","value":"EC"},{"id":4,"name":"Milepost","value":"2.735"},{"id":17,"name":"Train ID","value":"232-10"},{"id":16,"name":"Locomotive ID","value":"4001"},{"id":130,"name":"Impact","value":""},{"id":150,"name":"Time of Event (Mountain Time)","value":"22:56:38"},{"id":151,"name":"Denver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"%USERPROFILE%\AppData\Local\Temp\OnboardLogs"\RTDC4001\*4001*201611110* | grep -SE "((Enforcement Ac)|(PRM))" -</v>
      </c>
    </row>
    <row r="9" spans="1:29" s="1" customFormat="1" x14ac:dyDescent="0.25">
      <c r="A9" s="36">
        <v>42684.217106481483</v>
      </c>
      <c r="B9" s="31" t="s">
        <v>272</v>
      </c>
      <c r="C9" s="31" t="s">
        <v>380</v>
      </c>
      <c r="D9" s="31" t="s">
        <v>49</v>
      </c>
      <c r="E9" s="31" t="s">
        <v>154</v>
      </c>
      <c r="F9" s="47">
        <v>0</v>
      </c>
      <c r="G9" s="47">
        <v>187</v>
      </c>
      <c r="H9" s="47">
        <v>32102</v>
      </c>
      <c r="I9" s="47">
        <v>31652</v>
      </c>
      <c r="J9" s="31" t="s">
        <v>153</v>
      </c>
      <c r="K9" s="47">
        <v>30970</v>
      </c>
      <c r="L9" s="154" t="s">
        <v>51</v>
      </c>
      <c r="M9" s="155">
        <f t="shared" si="0"/>
        <v>360.096</v>
      </c>
      <c r="N9" s="156" t="str">
        <f>VLOOKUP(C9,'Trips&amp;Operators'!$C$1:$E$99999,3,FALSE)</f>
        <v>SPECTOR</v>
      </c>
      <c r="O9" s="184" t="s">
        <v>206</v>
      </c>
      <c r="P9" s="157" t="s">
        <v>377</v>
      </c>
      <c r="Q9" s="31"/>
      <c r="R9" s="100" t="str">
        <f>VLOOKUP(C9,'Train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9" s="103" t="str">
        <f>VLOOKUP(C9,'Train Runs'!$A$13:$AE$10004,22,0)</f>
        <v>https://search-rtdc-monitor-bjffxe2xuh6vdkpspy63sjmuny.us-east-1.es.amazonaws.com/_plugin/kibana/#/discover/Steve-Slow-Train-Analysis-(2080s-and-2083s)?_g=(refreshInterval:(display:Off,section:0,value:0),time:(from:'2016-11-10 03:37:17-700',mode:absolute,to:'2016-11-10 06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9" s="105" t="str">
        <f t="shared" si="1"/>
        <v>"C:\Program Files (x86)\AstroGrep\AstroGrep.exe" /spath="%USERPROFILE%\AppData\Local\Temp\OnboardLogs" /stypes="*4001*201611101*" /stext=" 12:.+((SYSTEM_STATE.+slice.+state.+changed )|(ment ac)|(system.+state.+changed )|(\[timeout)|(PRM\|1\|D)|(kpr)|(kdp)|(\|lc)|(penalty))" /e /r /s</v>
      </c>
      <c r="U9" s="9" t="str">
        <f t="shared" si="2"/>
        <v>4001</v>
      </c>
      <c r="V9" s="36">
        <f t="shared" si="3"/>
        <v>42684.508773148147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{"issue":{"subject":"Form C","project_id":79,"tracker_id":40,"status_id":1,"priority_id":2,"assigned_to_id":23,"start_date":"2016-11-10","description":"","custom_fields":[{"id":1,"name":"Subdivision","value":"EC"},{"id":4,"name":"Milepost","value":"3.097"},{"id":17,"name":"Train ID","value":"104-10"},{"id":16,"name":"Locomotive ID","value":"4001"},{"id":130,"name":"Impact","value":""},{"id":150,"name":"Time of Event (Mountain Time)","value":"05:12:38"},{"id":151,"name":"Denver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"%USERPROFILE%\AppData\Local\Temp\OnboardLogs"\RTDC4001\*4001*201611101* | grep -SE "((Enforcement Ac)|(PRM))" -</v>
      </c>
    </row>
    <row r="10" spans="1:29" s="1" customFormat="1" x14ac:dyDescent="0.25">
      <c r="A10" s="36">
        <v>42684.436226851853</v>
      </c>
      <c r="B10" s="31" t="s">
        <v>321</v>
      </c>
      <c r="C10" s="31" t="s">
        <v>397</v>
      </c>
      <c r="D10" s="31" t="s">
        <v>49</v>
      </c>
      <c r="E10" s="31" t="s">
        <v>154</v>
      </c>
      <c r="F10" s="47">
        <v>0</v>
      </c>
      <c r="G10" s="47">
        <v>183</v>
      </c>
      <c r="H10" s="47">
        <v>32073</v>
      </c>
      <c r="I10" s="47">
        <v>31730</v>
      </c>
      <c r="J10" s="31" t="s">
        <v>153</v>
      </c>
      <c r="K10" s="47">
        <v>30970</v>
      </c>
      <c r="L10" s="154" t="s">
        <v>51</v>
      </c>
      <c r="M10" s="155">
        <f t="shared" si="0"/>
        <v>401.28</v>
      </c>
      <c r="N10" s="156" t="str">
        <f>VLOOKUP(C10,'Trips&amp;Operators'!$C$1:$E$99999,3,FALSE)</f>
        <v>MAELZER</v>
      </c>
      <c r="O10" s="184" t="s">
        <v>206</v>
      </c>
      <c r="P10" s="157" t="s">
        <v>377</v>
      </c>
      <c r="Q10" s="31"/>
      <c r="R10" s="100" t="str">
        <f>VLOOKUP(C10,'Train Runs'!$A$13:$AE$10004,31,0)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S10" s="103" t="str">
        <f>VLOOKUP(C10,'Train Runs'!$A$13:$AE$10004,22,0)</f>
        <v>https://search-rtdc-monitor-bjffxe2xuh6vdkpspy63sjmuny.us-east-1.es.amazonaws.com/_plugin/kibana/#/discover/Steve-Slow-Train-Analysis-(2080s-and-2083s)?_g=(refreshInterval:(display:Off,section:0,value:0),time:(from:'2016-11-10 08:50:30-700',mode:absolute,to:'2016-11-10 11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0" s="105" t="str">
        <f t="shared" si="1"/>
        <v>"C:\Program Files (x86)\AstroGrep\AstroGrep.exe" /spath="%USERPROFILE%\AppData\Local\Temp\OnboardLogs" /stypes="*4021*201611101*" /stext=" 17:.+((SYSTEM_STATE.+slice.+state.+changed )|(ment ac)|(system.+state.+changed )|(\[timeout)|(PRM\|1\|D)|(kpr)|(kdp)|(\|lc)|(penalty))" /e /r /s</v>
      </c>
      <c r="U10" s="9" t="str">
        <f t="shared" si="2"/>
        <v>4021</v>
      </c>
      <c r="V10" s="36">
        <f t="shared" si="3"/>
        <v>42684.727893518517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{"issue":{"subject":"Form C","project_id":79,"tracker_id":40,"status_id":1,"priority_id":2,"assigned_to_id":23,"start_date":"2016-11-10","description":"","custom_fields":[{"id":1,"name":"Subdivision","value":"EC"},{"id":4,"name":"Milepost","value":"3.097"},{"id":17,"name":"Train ID","value":"144-10"},{"id":16,"name":"Locomotive ID","value":"4021"},{"id":130,"name":"Impact","value":""},{"id":150,"name":"Time of Event (Mountain Time)","value":"10:28:10"},{"id":151,"name":"Denver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"%USERPROFILE%\AppData\Local\Temp\OnboardLogs"\RTDC4021\*4021*201611101* | grep -SE "((Enforcement Ac)|(PRM))" -</v>
      </c>
    </row>
    <row r="11" spans="1:29" s="1" customFormat="1" x14ac:dyDescent="0.25">
      <c r="A11" s="36">
        <v>42684.746481481481</v>
      </c>
      <c r="B11" s="31" t="s">
        <v>273</v>
      </c>
      <c r="C11" s="31" t="s">
        <v>417</v>
      </c>
      <c r="D11" s="31" t="s">
        <v>49</v>
      </c>
      <c r="E11" s="31" t="s">
        <v>154</v>
      </c>
      <c r="F11" s="47">
        <v>300</v>
      </c>
      <c r="G11" s="47">
        <v>355</v>
      </c>
      <c r="H11" s="47">
        <v>31651</v>
      </c>
      <c r="I11" s="47">
        <v>32412</v>
      </c>
      <c r="J11" s="31" t="s">
        <v>153</v>
      </c>
      <c r="K11" s="47">
        <v>33137</v>
      </c>
      <c r="L11" s="154" t="s">
        <v>50</v>
      </c>
      <c r="M11" s="155">
        <f t="shared" si="0"/>
        <v>382.8</v>
      </c>
      <c r="N11" s="156" t="str">
        <f>VLOOKUP(C11,'Trips&amp;Operators'!$C$1:$E$99999,3,FALSE)</f>
        <v>HOLCOMB</v>
      </c>
      <c r="O11" s="184" t="s">
        <v>206</v>
      </c>
      <c r="P11" s="157" t="s">
        <v>815</v>
      </c>
      <c r="Q11" s="31"/>
      <c r="R11" s="100" t="str">
        <f>VLOOKUP(C11,'Train Runs'!$A$13:$AE$10004,31,0)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S11" s="103" t="str">
        <f>VLOOKUP(C11,'Train Runs'!$A$13:$AE$10004,22,0)</f>
        <v>https://search-rtdc-monitor-bjffxe2xuh6vdkpspy63sjmuny.us-east-1.es.amazonaws.com/_plugin/kibana/#/discover/Steve-Slow-Train-Analysis-(2080s-and-2083s)?_g=(refreshInterval:(display:Off,section:0,value:0),time:(from:'2016-11-10 16:40:27-700',mode:absolute,to:'2016-11-10 19:23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1" s="105" t="str">
        <f t="shared" si="1"/>
        <v>"C:\Program Files (x86)\AstroGrep\AstroGrep.exe" /spath="%USERPROFILE%\AppData\Local\Temp\OnboardLogs" /stypes="*4002*201611110*" /stext=" 00:.+((SYSTEM_STATE.+slice.+state.+changed )|(ment ac)|(system.+state.+changed )|(\[timeout)|(PRM\|1\|D)|(kpr)|(kdp)|(\|lc)|(penalty))" /e /r /s</v>
      </c>
      <c r="U11" s="9" t="str">
        <f t="shared" si="2"/>
        <v>4002</v>
      </c>
      <c r="V11" s="36">
        <f t="shared" si="3"/>
        <v>42685.038148148145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arrival","project_id":79,"tracker_id":40,"status_id":1,"priority_id":2,"assigned_to_id":23,"start_date":"2016-11-10","description":"","custom_fields":[{"id":1,"name":"Subdivision","value":"EC"},{"id":4,"name":"Milepost","value":"3.3137"},{"id":17,"name":"Train ID","value":"213-10"},{"id":16,"name":"Locomotive ID","value":"4002"},{"id":130,"name":"Impact","value":""},{"id":150,"name":"Time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"%USERPROFILE%\AppData\Local\Temp\OnboardLogs"\RTDC4002\*4002*201611110* | grep -SE "((Enforcement Ac)|(PRM))" -</v>
      </c>
    </row>
    <row r="12" spans="1:29" s="1" customFormat="1" x14ac:dyDescent="0.25">
      <c r="A12" s="36">
        <v>42684.480474537035</v>
      </c>
      <c r="B12" s="31" t="s">
        <v>253</v>
      </c>
      <c r="C12" s="31" t="s">
        <v>402</v>
      </c>
      <c r="D12" s="31" t="s">
        <v>49</v>
      </c>
      <c r="E12" s="31" t="s">
        <v>154</v>
      </c>
      <c r="F12" s="47">
        <v>0</v>
      </c>
      <c r="G12" s="47">
        <v>83</v>
      </c>
      <c r="H12" s="47">
        <v>42291</v>
      </c>
      <c r="I12" s="47">
        <v>42352</v>
      </c>
      <c r="J12" s="31" t="s">
        <v>153</v>
      </c>
      <c r="K12" s="47">
        <v>42779</v>
      </c>
      <c r="L12" s="154" t="s">
        <v>50</v>
      </c>
      <c r="M12" s="155">
        <f t="shared" si="0"/>
        <v>225.45599999999999</v>
      </c>
      <c r="N12" s="156" t="str">
        <f>VLOOKUP(C12,'Trips&amp;Operators'!$C$1:$E$99999,3,FALSE)</f>
        <v>STARKS</v>
      </c>
      <c r="O12" s="184" t="s">
        <v>206</v>
      </c>
      <c r="P12" s="157" t="s">
        <v>377</v>
      </c>
      <c r="Q12" s="31"/>
      <c r="R12" s="100" t="str">
        <f>VLOOKUP(C12,'Train Runs'!$A$13:$AE$10004,31,0)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S12" s="103" t="str">
        <f>VLOOKUP(C12,'Train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10:05:59-700',mode:absolute,to:'2016-11-10 12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2" s="105" t="str">
        <f t="shared" si="1"/>
        <v>"C:\Program Files (x86)\AstroGrep\AstroGrep.exe" /spath="%USERPROFILE%\AppData\Local\Temp\OnboardLogs" /stypes="*4025*201611101*" /stext=" 18:.+((SYSTEM_STATE.+slice.+state.+changed )|(ment ac)|(system.+state.+changed )|(\[timeout)|(PRM\|1\|D)|(kpr)|(kdp)|(\|lc)|(penalty))" /e /r /s</v>
      </c>
      <c r="U12" s="9" t="str">
        <f t="shared" si="2"/>
        <v>4025</v>
      </c>
      <c r="V12" s="36">
        <f t="shared" si="3"/>
        <v>42684.772141203699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{"issue":{"subject":"Form C","project_id":79,"tracker_id":40,"status_id":1,"priority_id":2,"assigned_to_id":23,"start_date":"2016-11-10","description":"","custom_fields":[{"id":1,"name":"Subdivision","value":"EC"},{"id":4,"name":"Milepost","value":"4.2779"},{"id":17,"name":"Train ID","value":"157-10"},{"id":16,"name":"Locomotive ID","value":"4025"},{"id":130,"name":"Impact","value":""},{"id":150,"name":"Time of Event (Mountain Time)","value":"11:31:53"},{"id":151,"name":"Denver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"%USERPROFILE%\AppData\Local\Temp\OnboardLogs"\RTDC4025\*4025*201611101* | grep -SE "((Enforcement Ac)|(PRM))" -</v>
      </c>
    </row>
    <row r="13" spans="1:29" s="1" customFormat="1" x14ac:dyDescent="0.25">
      <c r="A13" s="36">
        <v>42684.987395833334</v>
      </c>
      <c r="B13" s="31" t="s">
        <v>273</v>
      </c>
      <c r="C13" s="31" t="s">
        <v>426</v>
      </c>
      <c r="D13" s="31" t="s">
        <v>49</v>
      </c>
      <c r="E13" s="31" t="s">
        <v>154</v>
      </c>
      <c r="F13" s="47">
        <v>440</v>
      </c>
      <c r="G13" s="47">
        <v>538</v>
      </c>
      <c r="H13" s="47">
        <v>41970</v>
      </c>
      <c r="I13" s="47">
        <v>43672</v>
      </c>
      <c r="J13" s="31" t="s">
        <v>153</v>
      </c>
      <c r="K13" s="47">
        <v>42779</v>
      </c>
      <c r="L13" s="154" t="s">
        <v>50</v>
      </c>
      <c r="M13" s="155">
        <f t="shared" si="0"/>
        <v>-471.50400000000002</v>
      </c>
      <c r="N13" s="156" t="str">
        <f>VLOOKUP(C13,'Trips&amp;Operators'!$C$1:$E$99999,3,FALSE)</f>
        <v>HOLCOMB</v>
      </c>
      <c r="O13" s="184" t="s">
        <v>206</v>
      </c>
      <c r="P13" s="157" t="s">
        <v>815</v>
      </c>
      <c r="Q13" s="31"/>
      <c r="R13" s="100" t="str">
        <f>VLOOKUP(C13,'Train Runs'!$A$13:$AE$10004,31,0)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S13" s="103" t="str">
        <f>VLOOKUP(C13,'Train Runs'!$A$13:$AE$10004,22,0)</f>
        <v>https://search-rtdc-monitor-bjffxe2xuh6vdkpspy63sjmuny.us-east-1.es.amazonaws.com/_plugin/kibana/#/discover/Steve-Slow-Train-Analysis-(2080s-and-2083s)?_g=(refreshInterval:(display:Off,section:0,value:0),time:(from:'2016-11-10 22:12:19-700',mode:absolute,to:'2016-11-11 01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3" s="105" t="str">
        <f t="shared" si="1"/>
        <v>"C:\Program Files (x86)\AstroGrep\AstroGrep.exe" /spath="%USERPROFILE%\AppData\Local\Temp\OnboardLogs" /stypes="*4002*201611110*" /stext=" 06:.+((SYSTEM_STATE.+slice.+state.+changed )|(ment ac)|(system.+state.+changed )|(\[timeout)|(PRM\|1\|D)|(kpr)|(kdp)|(\|lc)|(penalty))" /e /r /s</v>
      </c>
      <c r="U13" s="9" t="str">
        <f t="shared" si="2"/>
        <v>4002</v>
      </c>
      <c r="V13" s="36">
        <f t="shared" si="3"/>
        <v>42685.279062499998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{"issue":{"subject":"Early arrival","project_id":79,"tracker_id":40,"status_id":1,"priority_id":2,"assigned_to_id":23,"start_date":"2016-11-10","description":"","custom_fields":[{"id":1,"name":"Subdivision","value":"EC"},{"id":4,"name":"Milepost","value":"4.2779"},{"id":17,"name":"Train ID","value":"239-10"},{"id":16,"name":"Locomotive ID","value":"4002"},{"id":130,"name":"Impact","value":""},{"id":150,"name":"Time of Event (Mountain Time)","value":"23:41:51"},{"id":151,"name":"Denver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"%USERPROFILE%\AppData\Local\Temp\OnboardLogs"\RTDC4002\*4002*201611110* | grep -SE "((Enforcement Ac)|(PRM))" -</v>
      </c>
    </row>
    <row r="14" spans="1:29" s="1" customFormat="1" x14ac:dyDescent="0.25">
      <c r="A14" s="36">
        <v>42684.495347222219</v>
      </c>
      <c r="B14" s="31" t="s">
        <v>293</v>
      </c>
      <c r="C14" s="31" t="s">
        <v>406</v>
      </c>
      <c r="D14" s="31" t="s">
        <v>49</v>
      </c>
      <c r="E14" s="31" t="s">
        <v>154</v>
      </c>
      <c r="F14" s="47">
        <v>0</v>
      </c>
      <c r="G14" s="47">
        <v>41</v>
      </c>
      <c r="H14" s="47">
        <v>43082</v>
      </c>
      <c r="I14" s="47">
        <v>43034</v>
      </c>
      <c r="J14" s="31" t="s">
        <v>153</v>
      </c>
      <c r="K14" s="47">
        <v>42961</v>
      </c>
      <c r="L14" s="154" t="s">
        <v>51</v>
      </c>
      <c r="M14" s="155">
        <f t="shared" si="0"/>
        <v>38.543999999999997</v>
      </c>
      <c r="N14" s="156" t="str">
        <f>VLOOKUP(C14,'Trips&amp;Operators'!$C$1:$E$99999,3,FALSE)</f>
        <v>CUSHING</v>
      </c>
      <c r="O14" s="184" t="s">
        <v>206</v>
      </c>
      <c r="P14" s="157" t="s">
        <v>377</v>
      </c>
      <c r="Q14" s="31"/>
      <c r="R14" s="100" t="str">
        <f>VLOOKUP(C14,'Train Runs'!$A$13:$AE$10004,31,0)</f>
        <v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v>
      </c>
      <c r="S14" s="103" t="str">
        <f>VLOOKUP(C14,'Train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10:24:11-700',mode:absolute,to:'2016-11-10 13:11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4" s="105" t="str">
        <f t="shared" si="1"/>
        <v>"C:\Program Files (x86)\AstroGrep\AstroGrep.exe" /spath="%USERPROFILE%\AppData\Local\Temp\OnboardLogs" /stypes="*4015*201611101*" /stext=" 18:.+((SYSTEM_STATE.+slice.+state.+changed )|(ment ac)|(system.+state.+changed )|(\[timeout)|(PRM\|1\|D)|(kpr)|(kdp)|(\|lc)|(penalty))" /e /r /s</v>
      </c>
      <c r="U14" s="9" t="str">
        <f t="shared" si="2"/>
        <v>4015</v>
      </c>
      <c r="V14" s="36">
        <f t="shared" si="3"/>
        <v>42684.787013888883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{"issue":{"subject":"Form C","project_id":79,"tracker_id":40,"status_id":1,"priority_id":2,"assigned_to_id":23,"start_date":"2016-11-10","description":"","custom_fields":[{"id":1,"name":"Subdivision","value":"EC"},{"id":4,"name":"Milepost","value":"4.2961"},{"id":17,"name":"Train ID","value":"154-10"},{"id":16,"name":"Locomotive ID","value":"4015"},{"id":130,"name":"Impact","value":""},{"id":150,"name":"Time of Event (Mountain Time)","value":"11:53:18"},{"id":151,"name":"Denver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"%USERPROFILE%\AppData\Local\Temp\OnboardLogs"\RTDC4015\*4015*201611101* | grep -SE "((Enforcement Ac)|(PRM))" -</v>
      </c>
    </row>
    <row r="15" spans="1:29" s="1" customFormat="1" x14ac:dyDescent="0.25">
      <c r="A15" s="36">
        <v>42684.222094907411</v>
      </c>
      <c r="B15" s="31" t="s">
        <v>272</v>
      </c>
      <c r="C15" s="31" t="s">
        <v>380</v>
      </c>
      <c r="D15" s="31" t="s">
        <v>49</v>
      </c>
      <c r="E15" s="31" t="s">
        <v>207</v>
      </c>
      <c r="F15" s="47">
        <v>200</v>
      </c>
      <c r="G15" s="47">
        <v>352</v>
      </c>
      <c r="H15" s="47">
        <v>6908</v>
      </c>
      <c r="I15" s="47">
        <v>6111</v>
      </c>
      <c r="J15" s="31" t="s">
        <v>208</v>
      </c>
      <c r="K15" s="47">
        <v>5457</v>
      </c>
      <c r="L15" s="154" t="s">
        <v>51</v>
      </c>
      <c r="M15" s="155">
        <f t="shared" si="0"/>
        <v>345.31200000000001</v>
      </c>
      <c r="N15" s="156" t="str">
        <f>VLOOKUP(C15,'Trips&amp;Operators'!$C$1:$E$99999,3,FALSE)</f>
        <v>SPECTOR</v>
      </c>
      <c r="O15" s="184" t="s">
        <v>206</v>
      </c>
      <c r="P15" s="157"/>
      <c r="Q15" s="31"/>
      <c r="R15" s="100" t="str">
        <f>VLOOKUP(C15,'Train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15" s="103" t="str">
        <f>VLOOKUP(C15,'Train Runs'!$A$13:$AE$10004,22,0)</f>
        <v>https://search-rtdc-monitor-bjffxe2xuh6vdkpspy63sjmuny.us-east-1.es.amazonaws.com/_plugin/kibana/#/discover/Steve-Slow-Train-Analysis-(2080s-and-2083s)?_g=(refreshInterval:(display:Off,section:0,value:0),time:(from:'2016-11-10 03:37:17-700',mode:absolute,to:'2016-11-10 06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5" s="105" t="str">
        <f t="shared" si="1"/>
        <v>"C:\Program Files (x86)\AstroGrep\AstroGrep.exe" /spath="%USERPROFILE%\AppData\Local\Temp\OnboardLogs" /stypes="*4001*201611101*" /stext=" 12:.+((SYSTEM_STATE.+slice.+state.+changed )|(ment ac)|(system.+state.+changed )|(\[timeout)|(PRM\|1\|D)|(kpr)|(kdp)|(\|lc)|(penalty))" /e /r /s</v>
      </c>
      <c r="U15" s="9" t="str">
        <f t="shared" si="2"/>
        <v>4001</v>
      </c>
      <c r="V15" s="36">
        <f t="shared" si="3"/>
        <v>42684.513761574075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{"issue":{"subject":"","project_id":79,"tracker_id":40,"status_id":1,"priority_id":2,"assigned_to_id":23,"start_date":"2016-11-10","description":"","custom_fields":[{"id":1,"name":"Subdivision","value":"EC"},{"id":4,"name":"Milepost","value":"0.5457"},{"id":17,"name":"Train ID","value":"104-10"},{"id":16,"name":"Locomotive ID","value":"4001"},{"id":130,"name":"Impact","value":""},{"id":150,"name":"Time of Event (Mountain Time)","value":"05:19:49"},{"id":151,"name":"Denver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"%USERPROFILE%\AppData\Local\Temp\OnboardLogs"\RTDC4001\*4001*201611101* | grep -SE "((Enforcement Ac)|(PRM))" -</v>
      </c>
    </row>
    <row r="16" spans="1:29" s="1" customFormat="1" x14ac:dyDescent="0.25">
      <c r="A16" s="36">
        <v>42684.357418981483</v>
      </c>
      <c r="B16" s="31" t="s">
        <v>317</v>
      </c>
      <c r="C16" s="31" t="s">
        <v>390</v>
      </c>
      <c r="D16" s="31" t="s">
        <v>49</v>
      </c>
      <c r="E16" s="31" t="s">
        <v>207</v>
      </c>
      <c r="F16" s="47">
        <v>200</v>
      </c>
      <c r="G16" s="47">
        <v>287</v>
      </c>
      <c r="H16" s="47">
        <v>6308</v>
      </c>
      <c r="I16" s="47">
        <v>5811</v>
      </c>
      <c r="J16" s="31" t="s">
        <v>208</v>
      </c>
      <c r="K16" s="47">
        <v>5457</v>
      </c>
      <c r="L16" s="154" t="s">
        <v>51</v>
      </c>
      <c r="M16" s="155">
        <f t="shared" si="0"/>
        <v>186.91200000000001</v>
      </c>
      <c r="N16" s="156" t="str">
        <f>VLOOKUP(C16,'Trips&amp;Operators'!$C$1:$E$99999,3,FALSE)</f>
        <v>STARKS</v>
      </c>
      <c r="O16" s="184" t="s">
        <v>206</v>
      </c>
      <c r="P16" s="157"/>
      <c r="Q16" s="31"/>
      <c r="R16" s="100" t="str">
        <f>VLOOKUP(C16,'Train Runs'!$A$13:$AE$10004,31,0)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S16" s="103" t="str">
        <f>VLOOKUP(C16,'Train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06:37:38-700',mode:absolute,to:'2016-11-10 09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6" s="105" t="str">
        <f t="shared" si="1"/>
        <v>"C:\Program Files (x86)\AstroGrep\AstroGrep.exe" /spath="%USERPROFILE%\AppData\Local\Temp\OnboardLogs" /stypes="*4026*201611101*" /stext=" 15:.+((SYSTEM_STATE.+slice.+state.+changed )|(ment ac)|(system.+state.+changed )|(\[timeout)|(PRM\|1\|D)|(kpr)|(kdp)|(\|lc)|(penalty))" /e /r /s</v>
      </c>
      <c r="U16" s="9" t="str">
        <f t="shared" si="2"/>
        <v>4026</v>
      </c>
      <c r="V16" s="36">
        <f t="shared" si="3"/>
        <v>42684.649085648147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{"issue":{"subject":"","project_id":79,"tracker_id":40,"status_id":1,"priority_id":2,"assigned_to_id":23,"start_date":"2016-11-10","description":"","custom_fields":[{"id":1,"name":"Subdivision","value":"EC"},{"id":4,"name":"Milepost","value":"0.5457"},{"id":17,"name":"Train ID","value":"126-10"},{"id":16,"name":"Locomotive ID","value":"4026"},{"id":130,"name":"Impact","value":""},{"id":150,"name":"Time of Event (Mountain Time)","value":"08:34:41"},{"id":151,"name":"Denver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"%USERPROFILE%\AppData\Local\Temp\OnboardLogs"\RTDC4026\*4026*201611101* | grep -SE "((Enforcement Ac)|(PRM))" -</v>
      </c>
    </row>
    <row r="17" spans="1:30" s="1" customFormat="1" x14ac:dyDescent="0.25">
      <c r="A17" s="36">
        <v>42684.27716435185</v>
      </c>
      <c r="B17" s="31" t="s">
        <v>317</v>
      </c>
      <c r="C17" s="31" t="s">
        <v>384</v>
      </c>
      <c r="D17" s="31" t="s">
        <v>49</v>
      </c>
      <c r="E17" s="31" t="s">
        <v>207</v>
      </c>
      <c r="F17" s="47">
        <v>200</v>
      </c>
      <c r="G17" s="47">
        <v>263</v>
      </c>
      <c r="H17" s="47">
        <v>32417</v>
      </c>
      <c r="I17" s="47">
        <v>31934</v>
      </c>
      <c r="J17" s="31" t="s">
        <v>208</v>
      </c>
      <c r="K17" s="47">
        <v>30562</v>
      </c>
      <c r="L17" s="154" t="s">
        <v>51</v>
      </c>
      <c r="M17" s="155">
        <f t="shared" si="0"/>
        <v>724.41600000000005</v>
      </c>
      <c r="N17" s="156" t="str">
        <f>VLOOKUP(C17,'Trips&amp;Operators'!$C$1:$E$99999,3,FALSE)</f>
        <v>STARKS</v>
      </c>
      <c r="O17" s="184" t="s">
        <v>206</v>
      </c>
      <c r="P17" s="157"/>
      <c r="Q17" s="31"/>
      <c r="R17" s="100" t="str">
        <f>VLOOKUP(C17,'Train Runs'!$A$13:$AE$10004,31,0)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S17" s="103" t="str">
        <f>VLOOKUP(C17,'Train Runs'!$A$13:$AE$10004,22,0)</f>
        <v>https://search-rtdc-monitor-bjffxe2xuh6vdkpspy63sjmuny.us-east-1.es.amazonaws.com/_plugin/kibana/#/discover/Steve-Slow-Train-Analysis-(2080s-and-2083s)?_g=(refreshInterval:(display:Off,section:0,value:0),time:(from:'2016-11-10 04:53:22-700',mode:absolute,to:'2016-11-10 07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7" s="105" t="str">
        <f t="shared" si="1"/>
        <v>"C:\Program Files (x86)\AstroGrep\AstroGrep.exe" /spath="%USERPROFILE%\AppData\Local\Temp\OnboardLogs" /stypes="*4026*201611101*" /stext=" 13:.+((SYSTEM_STATE.+slice.+state.+changed )|(ment ac)|(system.+state.+changed )|(\[timeout)|(PRM\|1\|D)|(kpr)|(kdp)|(\|lc)|(penalty))" /e /r /s</v>
      </c>
      <c r="U17" s="9" t="str">
        <f t="shared" si="2"/>
        <v>4026</v>
      </c>
      <c r="V17" s="36">
        <f t="shared" si="3"/>
        <v>42684.568831018514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{"issue":{"subject":"","project_id":79,"tracker_id":40,"status_id":1,"priority_id":2,"assigned_to_id":23,"start_date":"2016-11-10","description":"","custom_fields":[{"id":1,"name":"Subdivision","value":"EC"},{"id":4,"name":"Milepost","value":"3.0562"},{"id":17,"name":"Train ID","value":"112-10"},{"id":16,"name":"Locomotive ID","value":"4026"},{"id":130,"name":"Impact","value":""},{"id":150,"name":"Time of Event (Mountain Time)","value":"06:39:07"},{"id":151,"name":"Denver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"%USERPROFILE%\AppData\Local\Temp\OnboardLogs"\RTDC4026\*4026*201611101* | grep -SE "((Enforcement Ac)|(PRM))" -</v>
      </c>
    </row>
    <row r="18" spans="1:30" s="1" customFormat="1" x14ac:dyDescent="0.25">
      <c r="A18" s="36">
        <v>42684.406782407408</v>
      </c>
      <c r="B18" s="31" t="s">
        <v>393</v>
      </c>
      <c r="C18" s="31" t="s">
        <v>394</v>
      </c>
      <c r="D18" s="31" t="s">
        <v>49</v>
      </c>
      <c r="E18" s="31" t="s">
        <v>207</v>
      </c>
      <c r="F18" s="47">
        <v>400</v>
      </c>
      <c r="G18" s="47">
        <v>587</v>
      </c>
      <c r="H18" s="47">
        <v>114858</v>
      </c>
      <c r="I18" s="47">
        <v>116803</v>
      </c>
      <c r="J18" s="31" t="s">
        <v>208</v>
      </c>
      <c r="K18" s="47">
        <v>116838</v>
      </c>
      <c r="L18" s="154" t="s">
        <v>50</v>
      </c>
      <c r="M18" s="155">
        <f t="shared" si="0"/>
        <v>18.48</v>
      </c>
      <c r="N18" s="156" t="str">
        <f>VLOOKUP(C18,'Trips&amp;Operators'!$C$1:$E$99999,3,FALSE)</f>
        <v>RICHARDSON</v>
      </c>
      <c r="O18" s="184" t="s">
        <v>206</v>
      </c>
      <c r="P18" s="157"/>
      <c r="Q18" s="31"/>
      <c r="R18" s="100" t="str">
        <f>VLOOKUP(C18,'Train Runs'!$A$13:$AE$10004,31,0)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S18" s="103" t="str">
        <f>VLOOKUP(C18,'Train Runs'!$A$13:$AE$10004,22,0)</f>
        <v>https://search-rtdc-monitor-bjffxe2xuh6vdkpspy63sjmuny.us-east-1.es.amazonaws.com/_plugin/kibana/#/discover/Steve-Slow-Train-Analysis-(2080s-and-2083s)?_g=(refreshInterval:(display:Off,section:0,value:0),time:(from:'2016-11-10 08:08:22-700',mode:absolute,to:'2016-11-10 11:01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8" s="105" t="str">
        <f t="shared" si="1"/>
        <v>"C:\Program Files (x86)\AstroGrep\AstroGrep.exe" /spath="%USERPROFILE%\AppData\Local\Temp\OnboardLogs" /stypes="*4007*201611101*" /stext=" 16:.+((SYSTEM_STATE.+slice.+state.+changed )|(ment ac)|(system.+state.+changed )|(\[timeout)|(PRM\|1\|D)|(kpr)|(kdp)|(\|lc)|(penalty))" /e /r /s</v>
      </c>
      <c r="U18" s="9" t="str">
        <f t="shared" si="2"/>
        <v>4007</v>
      </c>
      <c r="V18" s="36">
        <f t="shared" si="3"/>
        <v>42684.698449074072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{"issue":{"subject":"","project_id":79,"tracker_id":40,"status_id":1,"priority_id":2,"assigned_to_id":23,"start_date":"2016-11-10","description":"","custom_fields":[{"id":1,"name":"Subdivision","value":"EC"},{"id":4,"name":"Milepost","value":"11.6838"},{"id":17,"name":"Train ID","value":"145-10"},{"id":16,"name":"Locomotive ID","value":"4007"},{"id":130,"name":"Impact","value":""},{"id":150,"name":"Time of Event (Mountain Time)","value":"09:45:46"},{"id":151,"name":"Denver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"%USERPROFILE%\AppData\Local\Temp\OnboardLogs"\RTDC4007\*4007*201611101* | grep -SE "((Enforcement Ac)|(PRM))" -</v>
      </c>
    </row>
    <row r="19" spans="1:30" s="1" customFormat="1" x14ac:dyDescent="0.25">
      <c r="A19" s="36">
        <v>42684.560717592591</v>
      </c>
      <c r="B19" s="31" t="s">
        <v>221</v>
      </c>
      <c r="C19" s="31" t="s">
        <v>410</v>
      </c>
      <c r="D19" s="31" t="s">
        <v>49</v>
      </c>
      <c r="E19" s="31" t="s">
        <v>207</v>
      </c>
      <c r="F19" s="47">
        <v>400</v>
      </c>
      <c r="G19" s="47">
        <v>689</v>
      </c>
      <c r="H19" s="47">
        <v>113306</v>
      </c>
      <c r="I19" s="47">
        <v>116349</v>
      </c>
      <c r="J19" s="31" t="s">
        <v>208</v>
      </c>
      <c r="K19" s="47">
        <v>116838</v>
      </c>
      <c r="L19" s="154" t="s">
        <v>50</v>
      </c>
      <c r="M19" s="155">
        <f t="shared" si="0"/>
        <v>258.19200000000001</v>
      </c>
      <c r="N19" s="156" t="str">
        <f>VLOOKUP(C19,'Trips&amp;Operators'!$C$1:$E$99999,3,FALSE)</f>
        <v>STORY</v>
      </c>
      <c r="O19" s="184" t="s">
        <v>206</v>
      </c>
      <c r="P19" s="157"/>
      <c r="Q19" s="31"/>
      <c r="R19" s="100" t="str">
        <f>VLOOKUP(C19,'Train Runs'!$A$13:$AE$10004,31,0)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S19" s="103" t="str">
        <f>VLOOKUP(C19,'Train Runs'!$A$13:$AE$10004,22,0)</f>
        <v>https://search-rtdc-monitor-bjffxe2xuh6vdkpspy63sjmuny.us-east-1.es.amazonaws.com/_plugin/kibana/#/discover/Steve-Slow-Train-Analysis-(2080s-and-2083s)?_g=(refreshInterval:(display:Off,section:0,value:0),time:(from:'2016-11-10 11:47:42-700',mode:absolute,to:'2016-11-10 14:43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9" s="105" t="str">
        <f t="shared" si="1"/>
        <v>"C:\Program Files (x86)\AstroGrep\AstroGrep.exe" /spath="%USERPROFILE%\AppData\Local\Temp\OnboardLogs" /stypes="*4011*201611102*" /stext=" 20:.+((SYSTEM_STATE.+slice.+state.+changed )|(ment ac)|(system.+state.+changed )|(\[timeout)|(PRM\|1\|D)|(kpr)|(kdp)|(\|lc)|(penalty))" /e /r /s</v>
      </c>
      <c r="U19" s="9" t="str">
        <f t="shared" si="2"/>
        <v>4011</v>
      </c>
      <c r="V19" s="36">
        <f t="shared" si="3"/>
        <v>42684.852384259255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{"issue":{"subject":"","project_id":79,"tracker_id":40,"status_id":1,"priority_id":2,"assigned_to_id":23,"start_date":"2016-11-10","description":"","custom_fields":[{"id":1,"name":"Subdivision","value":"EC"},{"id":4,"name":"Milepost","value":"11.6838"},{"id":17,"name":"Train ID","value":"173-10"},{"id":16,"name":"Locomotive ID","value":"4011"},{"id":130,"name":"Impact","value":""},{"id":150,"name":"Time of Event (Mountain Time)","value":"13:27:26"},{"id":151,"name":"Denver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"%USERPROFILE%\AppData\Local\Temp\OnboardLogs"\RTDC4011\*4011*201611102* | grep -SE "((Enforcement Ac)|(PRM))" -</v>
      </c>
    </row>
    <row r="20" spans="1:30" s="1" customFormat="1" x14ac:dyDescent="0.25">
      <c r="A20" s="36">
        <v>42684.847280092596</v>
      </c>
      <c r="B20" s="31" t="s">
        <v>407</v>
      </c>
      <c r="C20" s="31" t="s">
        <v>422</v>
      </c>
      <c r="D20" s="31" t="s">
        <v>49</v>
      </c>
      <c r="E20" s="31" t="s">
        <v>207</v>
      </c>
      <c r="F20" s="47">
        <v>400</v>
      </c>
      <c r="G20" s="47">
        <v>672</v>
      </c>
      <c r="H20" s="47">
        <v>113751</v>
      </c>
      <c r="I20" s="47">
        <v>116584</v>
      </c>
      <c r="J20" s="31" t="s">
        <v>208</v>
      </c>
      <c r="K20" s="47">
        <v>116838</v>
      </c>
      <c r="L20" s="154" t="s">
        <v>50</v>
      </c>
      <c r="M20" s="155">
        <f t="shared" si="0"/>
        <v>134.11199999999999</v>
      </c>
      <c r="N20" s="156" t="str">
        <f>VLOOKUP(C20,'Trips&amp;Operators'!$C$1:$E$99999,3,FALSE)</f>
        <v>LEVIN</v>
      </c>
      <c r="O20" s="184" t="s">
        <v>206</v>
      </c>
      <c r="P20" s="157"/>
      <c r="Q20" s="31"/>
      <c r="R20" s="100" t="str">
        <f>VLOOKUP(C20,'Train Runs'!$A$13:$AE$10004,31,0)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S20" s="103" t="str">
        <f>VLOOKUP(C20,'Train Runs'!$A$13:$AE$10004,22,0)</f>
        <v>https://search-rtdc-monitor-bjffxe2xuh6vdkpspy63sjmuny.us-east-1.es.amazonaws.com/_plugin/kibana/#/discover/Steve-Slow-Train-Analysis-(2080s-and-2083s)?_g=(refreshInterval:(display:Off,section:0,value:0),time:(from:'2016-11-10 18:53:50-700',mode:absolute,to:'2016-11-10 21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0" s="105" t="str">
        <f t="shared" si="1"/>
        <v>"C:\Program Files (x86)\AstroGrep\AstroGrep.exe" /spath="%USERPROFILE%\AppData\Local\Temp\OnboardLogs" /stypes="*4038*201611110*" /stext=" 03:.+((SYSTEM_STATE.+slice.+state.+changed )|(ment ac)|(system.+state.+changed )|(\[timeout)|(PRM\|1\|D)|(kpr)|(kdp)|(\|lc)|(penalty))" /e /r /s</v>
      </c>
      <c r="U20" s="9" t="str">
        <f t="shared" si="2"/>
        <v>4038</v>
      </c>
      <c r="V20" s="36">
        <f t="shared" si="3"/>
        <v>42685.13894675926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{"issue":{"subject":"","project_id":79,"tracker_id":40,"status_id":1,"priority_id":2,"assigned_to_id":23,"start_date":"2016-11-10","description":"","custom_fields":[{"id":1,"name":"Subdivision","value":"EC"},{"id":4,"name":"Milepost","value":"11.6838"},{"id":17,"name":"Train ID","value":"225-10"},{"id":16,"name":"Locomotive ID","value":"4038"},{"id":130,"name":"Impact","value":""},{"id":150,"name":"Time of Event (Mountain Time)","value":"20:20:05"},{"id":151,"name":"Denver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"%USERPROFILE%\AppData\Local\Temp\OnboardLogs"\RTDC4038\*4038*201611110* | grep -SE "((Enforcement Ac)|(PRM))" -</v>
      </c>
    </row>
    <row r="21" spans="1:30" x14ac:dyDescent="0.25">
      <c r="A21" s="36">
        <v>42684.311851851853</v>
      </c>
      <c r="B21" s="31" t="s">
        <v>253</v>
      </c>
      <c r="C21" s="31" t="s">
        <v>388</v>
      </c>
      <c r="D21" s="31" t="s">
        <v>49</v>
      </c>
      <c r="E21" s="31" t="s">
        <v>207</v>
      </c>
      <c r="F21" s="47">
        <v>150</v>
      </c>
      <c r="G21" s="47">
        <v>299</v>
      </c>
      <c r="H21" s="47">
        <v>227069</v>
      </c>
      <c r="I21" s="47">
        <v>228086</v>
      </c>
      <c r="J21" s="31" t="s">
        <v>208</v>
      </c>
      <c r="K21" s="47">
        <v>228668</v>
      </c>
      <c r="L21" s="154" t="s">
        <v>50</v>
      </c>
      <c r="M21" s="155">
        <f t="shared" si="0"/>
        <v>307.29599999999999</v>
      </c>
      <c r="N21" s="156" t="str">
        <f>VLOOKUP(C21,'Trips&amp;Operators'!$C$1:$E$99999,3,FALSE)</f>
        <v>STARKS</v>
      </c>
      <c r="O21" s="184" t="s">
        <v>206</v>
      </c>
      <c r="P21" s="157"/>
      <c r="Q21" s="31"/>
      <c r="R21" s="100" t="str">
        <f>VLOOKUP(C21,'Train Runs'!$A$13:$AE$10004,31,0)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S21" s="103" t="str">
        <f>VLOOKUP(C21,'Train Runs'!$A$13:$AE$10004,22,0)</f>
        <v>https://search-rtdc-monitor-bjffxe2xuh6vdkpspy63sjmuny.us-east-1.es.amazonaws.com/_plugin/kibana/#/discover/Steve-Slow-Train-Analysis-(2080s-and-2083s)?_g=(refreshInterval:(display:Off,section:0,value:0),time:(from:'2016-11-10 05:50:04-700',mode:absolute,to:'2016-11-10 08:31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1" s="105" t="str">
        <f t="shared" si="1"/>
        <v>"C:\Program Files (x86)\AstroGrep\AstroGrep.exe" /spath="%USERPROFILE%\AppData\Local\Temp\OnboardLogs" /stypes="*4025*201611101*" /stext=" 14:.+((SYSTEM_STATE.+slice.+state.+changed )|(ment ac)|(system.+state.+changed )|(\[timeout)|(PRM\|1\|D)|(kpr)|(kdp)|(\|lc)|(penalty))" /e /r /s</v>
      </c>
      <c r="U21" s="9" t="str">
        <f t="shared" si="2"/>
        <v>4025</v>
      </c>
      <c r="V21" s="36">
        <f t="shared" si="3"/>
        <v>42684.603518518517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{"issue":{"subject":"","project_id":79,"tracker_id":40,"status_id":1,"priority_id":2,"assigned_to_id":23,"start_date":"2016-11-10","description":"","custom_fields":[{"id":1,"name":"Subdivision","value":"EC"},{"id":4,"name":"Milepost","value":"22.8668"},{"id":17,"name":"Train ID","value":"125-10"},{"id":16,"name":"Locomotive ID","value":"4025"},{"id":130,"name":"Impact","value":""},{"id":150,"name":"Time of Event (Mountain Time)","value":"07:29:04"},{"id":151,"name":"Denver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"%USERPROFILE%\AppData\Local\Temp\OnboardLogs"\RTDC4025\*4025*201611101* | grep -SE "((Enforcement Ac)|(PRM))" -</v>
      </c>
      <c r="AD21" s="1"/>
    </row>
    <row r="22" spans="1:30" x14ac:dyDescent="0.25">
      <c r="A22" s="36">
        <v>42684.718645833331</v>
      </c>
      <c r="B22" s="31" t="s">
        <v>381</v>
      </c>
      <c r="C22" s="31" t="s">
        <v>416</v>
      </c>
      <c r="D22" s="31" t="s">
        <v>98</v>
      </c>
      <c r="E22" s="31" t="s">
        <v>207</v>
      </c>
      <c r="F22" s="47">
        <v>350</v>
      </c>
      <c r="G22" s="47">
        <v>404</v>
      </c>
      <c r="H22" s="47">
        <v>225922</v>
      </c>
      <c r="I22" s="47">
        <v>224938</v>
      </c>
      <c r="J22" s="31" t="s">
        <v>208</v>
      </c>
      <c r="K22" s="47">
        <v>228668</v>
      </c>
      <c r="L22" s="154" t="s">
        <v>51</v>
      </c>
      <c r="M22" s="155">
        <f t="shared" si="0"/>
        <v>-1969.44</v>
      </c>
      <c r="N22" s="156" t="str">
        <f>VLOOKUP(C22,'Trips&amp;Operators'!$C$1:$E$99999,3,FALSE)</f>
        <v>BROWN</v>
      </c>
      <c r="O22" s="184" t="s">
        <v>206</v>
      </c>
      <c r="P22" s="157"/>
      <c r="Q22" s="31"/>
      <c r="R22" s="100" t="str">
        <f>VLOOKUP(C22,'Train Runs'!$A$13:$AE$10004,31,0)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S22" s="103" t="str">
        <f>VLOOKUP(C22,'Train Runs'!$A$13:$AE$10004,22,0)</f>
        <v>https://search-rtdc-monitor-bjffxe2xuh6vdkpspy63sjmuny.us-east-1.es.amazonaws.com/_plugin/kibana/#/discover/Steve-Slow-Train-Analysis-(2080s-and-2083s)?_g=(refreshInterval:(display:Off,section:0,value:0),time:(from:'2016-11-10 16:00:17-700',mode:absolute,to:'2016-11-10 18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2" s="105" t="str">
        <f t="shared" si="1"/>
        <v>"C:\Program Files (x86)\AstroGrep\AstroGrep.exe" /spath="%USERPROFILE%\AppData\Local\Temp\OnboardLogs" /stypes="*4054*201611110*" /stext=" 00:.+((SYSTEM_STATE.+slice.+state.+changed )|(ment ac)|(system.+state.+changed )|(\[timeout)|(PRM\|1\|D)|(kpr)|(kdp)|(\|lc)|(penalty))" /e /r /s</v>
      </c>
      <c r="U22" s="9" t="str">
        <f t="shared" si="2"/>
        <v>4054</v>
      </c>
      <c r="V22" s="36">
        <f t="shared" si="3"/>
        <v>42685.010312499995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{"issue":{"subject":"","project_id":79,"tracker_id":40,"status_id":1,"priority_id":2,"assigned_to_id":23,"start_date":"2016-11-10","description":"","custom_fields":[{"id":1,"name":"Subdivision","value":"EC"},{"id":4,"name":"Milepost","value":"22.8668"},{"id":17,"name":"Train ID","value":"202-10"},{"id":16,"name":"Locomotive ID","value":"4054"},{"id":130,"name":"Impact","value":""},{"id":150,"name":"Time of Event (Mountain Time)","value":"17:14:51"},{"id":151,"name":"Denver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"%USERPROFILE%\AppData\Local\Temp\OnboardLogs"\RTDC4054\*4054*201611110* | grep -SE "((Enforcement Ac)|(PRM))" -</v>
      </c>
      <c r="AD22" s="1"/>
    </row>
    <row r="23" spans="1:30" x14ac:dyDescent="0.25">
      <c r="A23" s="36">
        <v>42684.837604166663</v>
      </c>
      <c r="B23" s="31" t="s">
        <v>273</v>
      </c>
      <c r="C23" s="31" t="s">
        <v>421</v>
      </c>
      <c r="D23" s="31" t="s">
        <v>49</v>
      </c>
      <c r="E23" s="31" t="s">
        <v>207</v>
      </c>
      <c r="F23" s="47">
        <v>150</v>
      </c>
      <c r="G23" s="47">
        <v>302</v>
      </c>
      <c r="H23" s="47">
        <v>229441</v>
      </c>
      <c r="I23" s="47">
        <v>229975</v>
      </c>
      <c r="J23" s="31" t="s">
        <v>208</v>
      </c>
      <c r="K23" s="47">
        <v>230436</v>
      </c>
      <c r="L23" s="154" t="s">
        <v>50</v>
      </c>
      <c r="M23" s="155">
        <f t="shared" si="0"/>
        <v>243.40799999999999</v>
      </c>
      <c r="N23" s="156" t="str">
        <f>VLOOKUP(C23,'Trips&amp;Operators'!$C$1:$E$99999,3,FALSE)</f>
        <v>HOLCOMB</v>
      </c>
      <c r="O23" s="184" t="s">
        <v>206</v>
      </c>
      <c r="P23" s="157"/>
      <c r="Q23" s="31"/>
      <c r="R23" s="100" t="str">
        <f>VLOOKUP(C23,'Train Runs'!$A$13:$AE$10004,31,0)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S23" s="103" t="str">
        <f>VLOOKUP(C23,'Train Runs'!$A$13:$AE$10004,22,0)</f>
        <v>https://search-rtdc-monitor-bjffxe2xuh6vdkpspy63sjmuny.us-east-1.es.amazonaws.com/_plugin/kibana/#/discover/Steve-Slow-Train-Analysis-(2080s-and-2083s)?_g=(refreshInterval:(display:Off,section:0,value:0),time:(from:'2016-11-10 18:22:15-700',mode:absolute,to:'2016-11-10 21:08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23" s="105" t="str">
        <f t="shared" si="1"/>
        <v>"C:\Program Files (x86)\AstroGrep\AstroGrep.exe" /spath="%USERPROFILE%\AppData\Local\Temp\OnboardLogs" /stypes="*4002*201611110*" /stext=" 03:.+((SYSTEM_STATE.+slice.+state.+changed )|(ment ac)|(system.+state.+changed )|(\[timeout)|(PRM\|1\|D)|(kpr)|(kdp)|(\|lc)|(penalty))" /e /r /s</v>
      </c>
      <c r="U23" s="9" t="str">
        <f t="shared" si="2"/>
        <v>4002</v>
      </c>
      <c r="V23" s="36">
        <f t="shared" si="3"/>
        <v>42685.129270833328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{"issue":{"subject":"","project_id":79,"tracker_id":40,"status_id":1,"priority_id":2,"assigned_to_id":23,"start_date":"2016-11-10","description":"","custom_fields":[{"id":1,"name":"Subdivision","value":"EC"},{"id":4,"name":"Milepost","value":"23.0436"},{"id":17,"name":"Train ID","value":"223-10"},{"id":16,"name":"Locomotive ID","value":"4002"},{"id":130,"name":"Impact","value":""},{"id":150,"name":"Time of Event (Mountain Time)","value":"20:06:09"},{"id":151,"name":"Denver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"%USERPROFILE%\AppData\Local\Temp\OnboardLogs"\RTDC4002\*4002*201611110* | grep -SE "((Enforcement Ac)|(PRM))" -</v>
      </c>
      <c r="AD23" s="1"/>
    </row>
    <row r="24" spans="1:30" ht="15" customHeight="1" x14ac:dyDescent="0.25">
      <c r="A24" s="36">
        <v>42684.977847222224</v>
      </c>
      <c r="B24" s="31" t="s">
        <v>256</v>
      </c>
      <c r="C24" s="31" t="s">
        <v>425</v>
      </c>
      <c r="D24" s="31" t="s">
        <v>98</v>
      </c>
      <c r="E24" s="31" t="s">
        <v>207</v>
      </c>
      <c r="F24" s="47">
        <v>150</v>
      </c>
      <c r="G24" s="47">
        <v>200</v>
      </c>
      <c r="H24" s="47">
        <v>231191</v>
      </c>
      <c r="I24" s="47">
        <v>230884</v>
      </c>
      <c r="J24" s="31" t="s">
        <v>208</v>
      </c>
      <c r="K24" s="47">
        <v>231269</v>
      </c>
      <c r="L24" s="154" t="s">
        <v>51</v>
      </c>
      <c r="M24" s="155">
        <f t="shared" si="0"/>
        <v>-203.28</v>
      </c>
      <c r="N24" s="156" t="str">
        <f>VLOOKUP(C24,'Trips&amp;Operators'!$C$1:$E$99999,3,FALSE)</f>
        <v>STAMBAUGH</v>
      </c>
      <c r="O24" s="184" t="s">
        <v>206</v>
      </c>
      <c r="P24" s="157"/>
      <c r="Q24" s="31"/>
      <c r="R24" s="100" t="str">
        <f>VLOOKUP(C24,'Train Runs'!$A$13:$AE$10004,31,0)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S24" s="103" t="str">
        <f>VLOOKUP(C24,'Train Runs'!$A$13:$AE$10004,22,0)</f>
        <v>https://search-rtdc-monitor-bjffxe2xuh6vdkpspy63sjmuny.us-east-1.es.amazonaws.com/_plugin/kibana/#/discover/Steve-Slow-Train-Analysis-(2080s-and-2083s)?_g=(refreshInterval:(display:Off,section:0,value:0),time:(from:'2016-11-10 22:18:42-700',mode:absolute,to:'2016-11-11 01:11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5" t="str">
        <f t="shared" si="1"/>
        <v>"C:\Program Files (x86)\AstroGrep\AstroGrep.exe" /spath="%USERPROFILE%\AppData\Local\Temp\OnboardLogs" /stypes="*4012*201611110*" /stext=" 06:.+((SYSTEM_STATE.+slice.+state.+changed )|(ment ac)|(system.+state.+changed )|(\[timeout)|(PRM\|1\|D)|(kpr)|(kdp)|(\|lc)|(penalty))" /e /r /s</v>
      </c>
      <c r="U24" s="9" t="str">
        <f t="shared" si="2"/>
        <v>4012</v>
      </c>
      <c r="V24" s="36">
        <f t="shared" si="3"/>
        <v>42685.269513888888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{"issue":{"subject":"","project_id":79,"tracker_id":40,"status_id":1,"priority_id":2,"assigned_to_id":23,"start_date":"2016-11-10","description":"","custom_fields":[{"id":1,"name":"Subdivision","value":"EC"},{"id":4,"name":"Milepost","value":"23.1269"},{"id":17,"name":"Train ID","value":"236-10"},{"id":16,"name":"Locomotive ID","value":"4012"},{"id":130,"name":"Impact","value":""},{"id":150,"name":"Time of Event (Mountain Time)","value":"23:28:06"},{"id":151,"name":"Denver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"%USERPROFILE%\AppData\Local\Temp\OnboardLogs"\RTDC4012\*4012*201611110* | grep -SE "((Enforcement Ac)|(PRM))" -</v>
      </c>
      <c r="AD24" s="1"/>
    </row>
    <row r="25" spans="1:30" x14ac:dyDescent="0.25">
      <c r="A25" s="36">
        <v>42684.446446759262</v>
      </c>
      <c r="B25" s="31" t="s">
        <v>221</v>
      </c>
      <c r="C25" s="31" t="s">
        <v>401</v>
      </c>
      <c r="D25" s="31" t="s">
        <v>49</v>
      </c>
      <c r="E25" s="31" t="s">
        <v>209</v>
      </c>
      <c r="F25" s="47">
        <v>0</v>
      </c>
      <c r="G25" s="47">
        <v>64</v>
      </c>
      <c r="H25" s="47">
        <v>20386</v>
      </c>
      <c r="I25" s="47">
        <v>20479</v>
      </c>
      <c r="J25" s="31" t="s">
        <v>210</v>
      </c>
      <c r="K25" s="47">
        <v>20617</v>
      </c>
      <c r="L25" s="154" t="s">
        <v>50</v>
      </c>
      <c r="M25" s="155">
        <f t="shared" si="0"/>
        <v>72.864000000000004</v>
      </c>
      <c r="N25" s="156" t="str">
        <f>VLOOKUP(C25,'Trips&amp;Operators'!$C$1:$E$99999,3,FALSE)</f>
        <v>OUN</v>
      </c>
      <c r="O25" s="184" t="s">
        <v>239</v>
      </c>
      <c r="P25" s="157" t="s">
        <v>819</v>
      </c>
      <c r="Q25" s="31"/>
      <c r="R25" s="100" t="str">
        <f>VLOOKUP(C25,'Train Runs'!$A$13:$AE$10004,31,0)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S25" s="103" t="str">
        <f>VLOOKUP(C25,'Train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09:44:20-700',mode:absolute,to:'2016-11-10 12:02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5" s="105" t="str">
        <f t="shared" si="1"/>
        <v>"C:\Program Files (x86)\AstroGrep\AstroGrep.exe" /spath="%USERPROFILE%\AppData\Local\Temp\OnboardLogs" /stypes="*4011*201611101*" /stext=" 17:.+((SYSTEM_STATE.+slice.+state.+changed )|(ment ac)|(system.+state.+changed )|(\[timeout)|(PRM\|1\|D)|(kpr)|(kdp)|(\|lc)|(penalty))" /e /r /s</v>
      </c>
      <c r="U25" s="9" t="str">
        <f t="shared" si="2"/>
        <v>4011</v>
      </c>
      <c r="V25" s="36">
        <f t="shared" si="3"/>
        <v>42684.738113425927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EC0206RH)","project_id":79,"tracker_id":40,"status_id":1,"priority_id":2,"assigned_to_id":23,"start_date":"2016-11-10","description":"","custom_fields":[{"id":1,"name":"Subdivision","value":"EC"},{"id":4,"name":"Milepost","value":"2.0617"},{"id":17,"name":"Train ID","value":"155-10"},{"id":16,"name":"Locomotive ID","value":"4011"},{"id":130,"name":"Impact","value":""},{"id":150,"name":"Time of Event (Mountain Time)","value":"10:42:53"},{"id":151,"name":"Denver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"%USERPROFILE%\AppData\Local\Temp\OnboardLogs"\RTDC4011\*4011*201611101* | grep -SE "((Enforcement Ac)|(PRM))" -</v>
      </c>
      <c r="AD25" s="1"/>
    </row>
    <row r="26" spans="1:30" x14ac:dyDescent="0.25">
      <c r="A26" s="36">
        <v>42684.465312499997</v>
      </c>
      <c r="B26" s="31" t="s">
        <v>253</v>
      </c>
      <c r="C26" s="31" t="s">
        <v>402</v>
      </c>
      <c r="D26" s="31" t="s">
        <v>49</v>
      </c>
      <c r="E26" s="31" t="s">
        <v>209</v>
      </c>
      <c r="F26" s="47">
        <v>0</v>
      </c>
      <c r="G26" s="47">
        <v>64</v>
      </c>
      <c r="H26" s="47">
        <v>20383</v>
      </c>
      <c r="I26" s="47">
        <v>20475</v>
      </c>
      <c r="J26" s="31" t="s">
        <v>210</v>
      </c>
      <c r="K26" s="47">
        <v>20617</v>
      </c>
      <c r="L26" s="154" t="s">
        <v>50</v>
      </c>
      <c r="M26" s="155">
        <f t="shared" si="0"/>
        <v>74.975999999999999</v>
      </c>
      <c r="N26" s="156" t="str">
        <f>VLOOKUP(C26,'Trips&amp;Operators'!$C$1:$E$99999,3,FALSE)</f>
        <v>STARKS</v>
      </c>
      <c r="O26" s="184" t="s">
        <v>239</v>
      </c>
      <c r="P26" s="157" t="s">
        <v>819</v>
      </c>
      <c r="Q26" s="31"/>
      <c r="R26" s="100" t="str">
        <f>VLOOKUP(C26,'Train Runs'!$A$13:$AE$10004,31,0)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S26" s="103" t="str">
        <f>VLOOKUP(C26,'Train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10:05:59-700',mode:absolute,to:'2016-11-10 12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6" s="105" t="str">
        <f t="shared" si="1"/>
        <v>"C:\Program Files (x86)\AstroGrep\AstroGrep.exe" /spath="%USERPROFILE%\AppData\Local\Temp\OnboardLogs" /stypes="*4025*201611101*" /stext=" 18:.+((SYSTEM_STATE.+slice.+state.+changed )|(ment ac)|(system.+state.+changed )|(\[timeout)|(PRM\|1\|D)|(kpr)|(kdp)|(\|lc)|(penalty))" /e /r /s</v>
      </c>
      <c r="U26" s="9" t="str">
        <f t="shared" si="2"/>
        <v>4025</v>
      </c>
      <c r="V26" s="36">
        <f t="shared" si="3"/>
        <v>42684.756979166661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EC0206RH)","project_id":79,"tracker_id":40,"status_id":1,"priority_id":2,"assigned_to_id":23,"start_date":"2016-11-10","description":"","custom_fields":[{"id":1,"name":"Subdivision","value":"EC"},{"id":4,"name":"Milepost","value":"2.0617"},{"id":17,"name":"Train ID","value":"157-10"},{"id":16,"name":"Locomotive ID","value":"4025"},{"id":130,"name":"Impact","value":""},{"id":150,"name":"Time of Event (Mountain Time)","value":"11:10:03"},{"id":151,"name":"Denver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"%USERPROFILE%\AppData\Local\Temp\OnboardLogs"\RTDC4025\*4025*201611101* | grep -SE "((Enforcement Ac)|(PRM))" -</v>
      </c>
      <c r="AD26" s="1"/>
    </row>
    <row r="27" spans="1:30" x14ac:dyDescent="0.25">
      <c r="A27" s="36">
        <v>42684.484826388885</v>
      </c>
      <c r="B27" s="31" t="s">
        <v>393</v>
      </c>
      <c r="C27" s="31" t="s">
        <v>405</v>
      </c>
      <c r="D27" s="31" t="s">
        <v>49</v>
      </c>
      <c r="E27" s="31" t="s">
        <v>209</v>
      </c>
      <c r="F27" s="47">
        <v>0</v>
      </c>
      <c r="G27" s="47">
        <v>121</v>
      </c>
      <c r="H27" s="47">
        <v>27946</v>
      </c>
      <c r="I27" s="47">
        <v>28034</v>
      </c>
      <c r="J27" s="31" t="s">
        <v>210</v>
      </c>
      <c r="K27" s="47">
        <v>28054</v>
      </c>
      <c r="L27" s="154" t="s">
        <v>50</v>
      </c>
      <c r="M27" s="155">
        <f t="shared" si="0"/>
        <v>10.56</v>
      </c>
      <c r="N27" s="156" t="str">
        <f>VLOOKUP(C27,'Trips&amp;Operators'!$C$1:$E$99999,3,FALSE)</f>
        <v>SHOOK</v>
      </c>
      <c r="O27" s="184" t="s">
        <v>239</v>
      </c>
      <c r="P27" s="157" t="s">
        <v>819</v>
      </c>
      <c r="Q27" s="31"/>
      <c r="R27" s="100" t="str">
        <f>VLOOKUP(C27,'Train Runs'!$A$13:$AE$10004,31,0)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S27" s="103" t="str">
        <f>VLOOKUP(C27,'Train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10:36:32-700',mode:absolute,to:'2016-11-10 12:49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7" s="105" t="str">
        <f t="shared" si="1"/>
        <v>"C:\Program Files (x86)\AstroGrep\AstroGrep.exe" /spath="%USERPROFILE%\AppData\Local\Temp\OnboardLogs" /stypes="*4007*201611101*" /stext=" 18:.+((SYSTEM_STATE.+slice.+state.+changed )|(ment ac)|(system.+state.+changed )|(\[timeout)|(PRM\|1\|D)|(kpr)|(kdp)|(\|lc)|(penalty))" /e /r /s</v>
      </c>
      <c r="U27" s="9" t="str">
        <f t="shared" si="2"/>
        <v>4007</v>
      </c>
      <c r="V27" s="36">
        <f t="shared" si="3"/>
        <v>42684.77649305555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EC0206RH)","project_id":79,"tracker_id":40,"status_id":1,"priority_id":2,"assigned_to_id":23,"start_date":"2016-11-10","description":"","custom_fields":[{"id":1,"name":"Subdivision","value":"EC"},{"id":4,"name":"Milepost","value":"2.8054"},{"id":17,"name":"Train ID","value":"161-10"},{"id":16,"name":"Locomotive ID","value":"4007"},{"id":130,"name":"Impact","value":""},{"id":150,"name":"Time of Event (Mountain Time)","value":"11:38:09"},{"id":151,"name":"Denver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"%USERPROFILE%\AppData\Local\Temp\OnboardLogs"\RTDC4007\*4007*201611101* | grep -SE "((Enforcement Ac)|(PRM))" -</v>
      </c>
      <c r="AD27" s="1"/>
    </row>
    <row r="28" spans="1:30" x14ac:dyDescent="0.25">
      <c r="A28" s="36">
        <v>42684.43277777778</v>
      </c>
      <c r="B28" s="31" t="s">
        <v>395</v>
      </c>
      <c r="C28" s="31" t="s">
        <v>396</v>
      </c>
      <c r="D28" s="31" t="s">
        <v>49</v>
      </c>
      <c r="E28" s="31" t="s">
        <v>209</v>
      </c>
      <c r="F28" s="47">
        <v>0</v>
      </c>
      <c r="G28" s="47">
        <v>29</v>
      </c>
      <c r="H28" s="47">
        <v>38532</v>
      </c>
      <c r="I28" s="47">
        <v>38577</v>
      </c>
      <c r="J28" s="31" t="s">
        <v>210</v>
      </c>
      <c r="K28" s="47">
        <v>38639</v>
      </c>
      <c r="L28" s="154" t="s">
        <v>50</v>
      </c>
      <c r="M28" s="155">
        <f t="shared" si="0"/>
        <v>32.735999999999997</v>
      </c>
      <c r="N28" s="156" t="str">
        <f>VLOOKUP(C28,'Trips&amp;Operators'!$C$1:$E$99999,3,FALSE)</f>
        <v>GRASTON</v>
      </c>
      <c r="O28" s="184" t="s">
        <v>239</v>
      </c>
      <c r="P28" s="157" t="s">
        <v>819</v>
      </c>
      <c r="Q28" s="31"/>
      <c r="R28" s="100" t="str">
        <f>VLOOKUP(C28,'Train Runs'!$A$13:$AE$10004,31,0)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S28" s="103" t="str">
        <f>VLOOKUP(C28,'Train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09:09:35-700',mode:absolute,to:'2016-11-10 11:23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8" s="105" t="str">
        <f t="shared" si="1"/>
        <v>"C:\Program Files (x86)\AstroGrep\AstroGrep.exe" /spath="%USERPROFILE%\AppData\Local\Temp\OnboardLogs" /stypes="*4053*201611101*" /stext=" 17:.+((SYSTEM_STATE.+slice.+state.+changed )|(ment ac)|(system.+state.+changed )|(\[timeout)|(PRM\|1\|D)|(kpr)|(kdp)|(\|lc)|(penalty))" /e /r /s</v>
      </c>
      <c r="U28" s="9" t="str">
        <f t="shared" si="2"/>
        <v>4053</v>
      </c>
      <c r="V28" s="36">
        <f t="shared" si="3"/>
        <v>42684.724444444444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EC0206RH)","project_id":79,"tracker_id":40,"status_id":1,"priority_id":2,"assigned_to_id":23,"start_date":"2016-11-10","description":"","custom_fields":[{"id":1,"name":"Subdivision","value":"EC"},{"id":4,"name":"Milepost","value":"3.8639"},{"id":17,"name":"Train ID","value":"151-10"},{"id":16,"name":"Locomotive ID","value":"4053"},{"id":130,"name":"Impact","value":""},{"id":150,"name":"Time of Event (Mountain Time)","value":"10:23:12"},{"id":151,"name":"Denver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"%USERPROFILE%\AppData\Local\Temp\OnboardLogs"\RTDC4053\*4053*201611101* | grep -SE "((Enforcement Ac)|(PRM))" -</v>
      </c>
      <c r="AD28" s="1"/>
    </row>
    <row r="29" spans="1:30" x14ac:dyDescent="0.25">
      <c r="A29" s="36">
        <v>42684.459317129629</v>
      </c>
      <c r="B29" s="31" t="s">
        <v>221</v>
      </c>
      <c r="C29" s="31" t="s">
        <v>401</v>
      </c>
      <c r="D29" s="31" t="s">
        <v>49</v>
      </c>
      <c r="E29" s="31" t="s">
        <v>209</v>
      </c>
      <c r="F29" s="47">
        <v>0</v>
      </c>
      <c r="G29" s="47">
        <v>28</v>
      </c>
      <c r="H29" s="47">
        <v>38562</v>
      </c>
      <c r="I29" s="47">
        <v>38594</v>
      </c>
      <c r="J29" s="31" t="s">
        <v>210</v>
      </c>
      <c r="K29" s="47">
        <v>38639</v>
      </c>
      <c r="L29" s="154" t="s">
        <v>50</v>
      </c>
      <c r="M29" s="155">
        <f t="shared" si="0"/>
        <v>23.76</v>
      </c>
      <c r="N29" s="156" t="str">
        <f>VLOOKUP(C29,'Trips&amp;Operators'!$C$1:$E$99999,3,FALSE)</f>
        <v>OUN</v>
      </c>
      <c r="O29" s="184" t="s">
        <v>239</v>
      </c>
      <c r="P29" s="157" t="s">
        <v>819</v>
      </c>
      <c r="Q29" s="31"/>
      <c r="R29" s="100" t="str">
        <f>VLOOKUP(C29,'Train Runs'!$A$13:$AE$10004,31,0)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S29" s="103" t="str">
        <f>VLOOKUP(C29,'Train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09:44:20-700',mode:absolute,to:'2016-11-10 12:02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9" s="105" t="str">
        <f t="shared" si="1"/>
        <v>"C:\Program Files (x86)\AstroGrep\AstroGrep.exe" /spath="%USERPROFILE%\AppData\Local\Temp\OnboardLogs" /stypes="*4011*201611101*" /stext=" 18:.+((SYSTEM_STATE.+slice.+state.+changed )|(ment ac)|(system.+state.+changed )|(\[timeout)|(PRM\|1\|D)|(kpr)|(kdp)|(\|lc)|(penalty))" /e /r /s</v>
      </c>
      <c r="U29" s="9" t="str">
        <f t="shared" si="2"/>
        <v>4011</v>
      </c>
      <c r="V29" s="36">
        <f t="shared" si="3"/>
        <v>42684.750983796293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EC0206RH)","project_id":79,"tracker_id":40,"status_id":1,"priority_id":2,"assigned_to_id":23,"start_date":"2016-11-10","description":"","custom_fields":[{"id":1,"name":"Subdivision","value":"EC"},{"id":4,"name":"Milepost","value":"3.8639"},{"id":17,"name":"Train ID","value":"155-10"},{"id":16,"name":"Locomotive ID","value":"4011"},{"id":130,"name":"Impact","value":""},{"id":150,"name":"Time of Event (Mountain Time)","value":"11:01:25"},{"id":151,"name":"Denver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"%USERPROFILE%\AppData\Local\Temp\OnboardLogs"\RTDC4011\*4011*201611101* | grep -SE "((Enforcement Ac)|(PRM))" -</v>
      </c>
      <c r="AD29" s="1"/>
    </row>
    <row r="30" spans="1:30" ht="15" customHeight="1" x14ac:dyDescent="0.25">
      <c r="A30" s="36">
        <v>42684.477488425924</v>
      </c>
      <c r="B30" s="31" t="s">
        <v>253</v>
      </c>
      <c r="C30" s="31" t="s">
        <v>402</v>
      </c>
      <c r="D30" s="31" t="s">
        <v>49</v>
      </c>
      <c r="E30" s="31" t="s">
        <v>209</v>
      </c>
      <c r="F30" s="47">
        <v>0</v>
      </c>
      <c r="G30" s="47">
        <v>60</v>
      </c>
      <c r="H30" s="47">
        <v>38326</v>
      </c>
      <c r="I30" s="47">
        <v>38354</v>
      </c>
      <c r="J30" s="31" t="s">
        <v>210</v>
      </c>
      <c r="K30" s="47">
        <v>38639</v>
      </c>
      <c r="L30" s="154" t="s">
        <v>50</v>
      </c>
      <c r="M30" s="155">
        <f t="shared" si="0"/>
        <v>150.47999999999999</v>
      </c>
      <c r="N30" s="156" t="str">
        <f>VLOOKUP(C30,'Trips&amp;Operators'!$C$1:$E$99999,3,FALSE)</f>
        <v>STARKS</v>
      </c>
      <c r="O30" s="184" t="s">
        <v>239</v>
      </c>
      <c r="P30" s="157" t="s">
        <v>819</v>
      </c>
      <c r="Q30" s="31"/>
      <c r="R30" s="100" t="str">
        <f>VLOOKUP(C30,'Train Runs'!$A$13:$AE$10004,31,0)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S30" s="103" t="str">
        <f>VLOOKUP(C30,'Train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10:05:59-700',mode:absolute,to:'2016-11-10 12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0" s="105" t="str">
        <f t="shared" si="1"/>
        <v>"C:\Program Files (x86)\AstroGrep\AstroGrep.exe" /spath="%USERPROFILE%\AppData\Local\Temp\OnboardLogs" /stypes="*4025*201611101*" /stext=" 18:.+((SYSTEM_STATE.+slice.+state.+changed )|(ment ac)|(system.+state.+changed )|(\[timeout)|(PRM\|1\|D)|(kpr)|(kdp)|(\|lc)|(penalty))" /e /r /s</v>
      </c>
      <c r="U30" s="9" t="str">
        <f t="shared" si="2"/>
        <v>4025</v>
      </c>
      <c r="V30" s="36">
        <f t="shared" si="3"/>
        <v>42684.769155092588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EC0206RH)","project_id":79,"tracker_id":40,"status_id":1,"priority_id":2,"assigned_to_id":23,"start_date":"2016-11-10","description":"","custom_fields":[{"id":1,"name":"Subdivision","value":"EC"},{"id":4,"name":"Milepost","value":"3.8639"},{"id":17,"name":"Train ID","value":"157-10"},{"id":16,"name":"Locomotive ID","value":"4025"},{"id":130,"name":"Impact","value":""},{"id":150,"name":"Time of Event (Mountain Time)","value":"11:27:35"},{"id":151,"name":"Denver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"%USERPROFILE%\AppData\Local\Temp\OnboardLogs"\RTDC4025\*4025*201611101* | grep -SE "((Enforcement Ac)|(PRM))" -</v>
      </c>
      <c r="AD30" s="1"/>
    </row>
    <row r="31" spans="1:30" x14ac:dyDescent="0.25">
      <c r="A31" s="36">
        <v>42684.515081018515</v>
      </c>
      <c r="B31" s="31" t="s">
        <v>407</v>
      </c>
      <c r="C31" s="31" t="s">
        <v>408</v>
      </c>
      <c r="D31" s="31" t="s">
        <v>49</v>
      </c>
      <c r="E31" s="31" t="s">
        <v>209</v>
      </c>
      <c r="F31" s="47">
        <v>0</v>
      </c>
      <c r="G31" s="47">
        <v>50</v>
      </c>
      <c r="H31" s="47">
        <v>38472</v>
      </c>
      <c r="I31" s="47">
        <v>38519</v>
      </c>
      <c r="J31" s="31" t="s">
        <v>210</v>
      </c>
      <c r="K31" s="47">
        <v>38639</v>
      </c>
      <c r="L31" s="154" t="s">
        <v>50</v>
      </c>
      <c r="M31" s="155">
        <f t="shared" si="0"/>
        <v>63.36</v>
      </c>
      <c r="N31" s="156" t="str">
        <f>VLOOKUP(C31,'Trips&amp;Operators'!$C$1:$E$99999,3,FALSE)</f>
        <v>NEWELL</v>
      </c>
      <c r="O31" s="184" t="s">
        <v>239</v>
      </c>
      <c r="P31" s="157" t="s">
        <v>819</v>
      </c>
      <c r="Q31" s="31"/>
      <c r="R31" s="100" t="str">
        <f>VLOOKUP(C31,'Train Runs'!$A$13:$AE$10004,31,0)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S31" s="103" t="str">
        <f>VLOOKUP(C31,'Train Runs'!$A$13:$AE$10004,22,0)</f>
        <v>https://search-rtdc-monitor-bjffxe2xuh6vdkpspy63sjmuny.us-east-1.es.amazonaws.com/_plugin/kibana/#/discover/Steve-Slow-Train-Analysis-(2080s-and-2083s)?_g=(refreshInterval:(display:Off,section:0,value:0),time:(from:'2016-11-10 11:10:05-700',mode:absolute,to:'2016-11-10 13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1" s="105" t="str">
        <f t="shared" si="1"/>
        <v>"C:\Program Files (x86)\AstroGrep\AstroGrep.exe" /spath="%USERPROFILE%\AppData\Local\Temp\OnboardLogs" /stypes="*4038*201611101*" /stext=" 19:.+((SYSTEM_STATE.+slice.+state.+changed )|(ment ac)|(system.+state.+changed )|(\[timeout)|(PRM\|1\|D)|(kpr)|(kdp)|(\|lc)|(penalty))" /e /r /s</v>
      </c>
      <c r="U31" s="9" t="str">
        <f t="shared" si="2"/>
        <v>4038</v>
      </c>
      <c r="V31" s="36">
        <f t="shared" si="3"/>
        <v>42684.806747685179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EC0206RH)","project_id":79,"tracker_id":40,"status_id":1,"priority_id":2,"assigned_to_id":23,"start_date":"2016-11-10","description":"","custom_fields":[{"id":1,"name":"Subdivision","value":"EC"},{"id":4,"name":"Milepost","value":"3.8639"},{"id":17,"name":"Train ID","value":"165-10"},{"id":16,"name":"Locomotive ID","value":"4038"},{"id":130,"name":"Impact","value":""},{"id":150,"name":"Time of Event (Mountain Time)","value":"12:21:43"},{"id":151,"name":"Denver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"%USERPROFILE%\AppData\Local\Temp\OnboardLogs"\RTDC4038\*4038*201611101* | grep -SE "((Enforcement Ac)|(PRM))" -</v>
      </c>
      <c r="AD31" s="1"/>
    </row>
    <row r="32" spans="1:30" ht="15" customHeight="1" x14ac:dyDescent="0.25">
      <c r="A32" s="36">
        <v>42684.516377314816</v>
      </c>
      <c r="B32" s="31" t="s">
        <v>407</v>
      </c>
      <c r="C32" s="31" t="s">
        <v>408</v>
      </c>
      <c r="D32" s="31" t="s">
        <v>49</v>
      </c>
      <c r="E32" s="31" t="s">
        <v>209</v>
      </c>
      <c r="F32" s="47">
        <v>0</v>
      </c>
      <c r="G32" s="47">
        <v>17</v>
      </c>
      <c r="H32" s="47">
        <v>38534</v>
      </c>
      <c r="I32" s="47">
        <v>38545</v>
      </c>
      <c r="J32" s="31" t="s">
        <v>210</v>
      </c>
      <c r="K32" s="47">
        <v>38639</v>
      </c>
      <c r="L32" s="154" t="s">
        <v>50</v>
      </c>
      <c r="M32" s="155">
        <f t="shared" si="0"/>
        <v>49.631999999999998</v>
      </c>
      <c r="N32" s="156" t="str">
        <f>VLOOKUP(C32,'Trips&amp;Operators'!$C$1:$E$99999,3,FALSE)</f>
        <v>NEWELL</v>
      </c>
      <c r="O32" s="184" t="s">
        <v>239</v>
      </c>
      <c r="P32" s="157" t="s">
        <v>819</v>
      </c>
      <c r="Q32" s="31"/>
      <c r="R32" s="100" t="str">
        <f>VLOOKUP(C32,'Train Runs'!$A$13:$AE$10004,31,0)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S32" s="103" t="str">
        <f>VLOOKUP(C32,'Train Runs'!$A$13:$AE$10004,22,0)</f>
        <v>https://search-rtdc-monitor-bjffxe2xuh6vdkpspy63sjmuny.us-east-1.es.amazonaws.com/_plugin/kibana/#/discover/Steve-Slow-Train-Analysis-(2080s-and-2083s)?_g=(refreshInterval:(display:Off,section:0,value:0),time:(from:'2016-11-10 11:10:05-700',mode:absolute,to:'2016-11-10 13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2" s="105" t="str">
        <f t="shared" si="1"/>
        <v>"C:\Program Files (x86)\AstroGrep\AstroGrep.exe" /spath="%USERPROFILE%\AppData\Local\Temp\OnboardLogs" /stypes="*4038*201611101*" /stext=" 19:.+((SYSTEM_STATE.+slice.+state.+changed )|(ment ac)|(system.+state.+changed )|(\[timeout)|(PRM\|1\|D)|(kpr)|(kdp)|(\|lc)|(penalty))" /e /r /s</v>
      </c>
      <c r="U32" s="9" t="str">
        <f t="shared" si="2"/>
        <v>4038</v>
      </c>
      <c r="V32" s="36">
        <f t="shared" si="3"/>
        <v>42684.80804398148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EC0206RH)","project_id":79,"tracker_id":40,"status_id":1,"priority_id":2,"assigned_to_id":23,"start_date":"2016-11-10","description":"","custom_fields":[{"id":1,"name":"Subdivision","value":"EC"},{"id":4,"name":"Milepost","value":"3.8639"},{"id":17,"name":"Train ID","value":"165-10"},{"id":16,"name":"Locomotive ID","value":"4038"},{"id":130,"name":"Impact","value":""},{"id":150,"name":"Time of Event (Mountain Time)","value":"12:23:35"},{"id":151,"name":"Denver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"%USERPROFILE%\AppData\Local\Temp\OnboardLogs"\RTDC4038\*4038*201611101* | grep -SE "((Enforcement Ac)|(PRM))" -</v>
      </c>
      <c r="AD32" s="1"/>
    </row>
    <row r="33" spans="1:30" x14ac:dyDescent="0.25">
      <c r="A33" s="36">
        <v>42684.451504629629</v>
      </c>
      <c r="B33" s="31" t="s">
        <v>290</v>
      </c>
      <c r="C33" s="31" t="s">
        <v>399</v>
      </c>
      <c r="D33" s="31" t="s">
        <v>49</v>
      </c>
      <c r="E33" s="31" t="s">
        <v>209</v>
      </c>
      <c r="F33" s="47">
        <v>0</v>
      </c>
      <c r="G33" s="47">
        <v>108</v>
      </c>
      <c r="H33" s="47">
        <v>43067</v>
      </c>
      <c r="I33" s="47">
        <v>43184</v>
      </c>
      <c r="J33" s="31" t="s">
        <v>210</v>
      </c>
      <c r="K33" s="47">
        <v>43651</v>
      </c>
      <c r="L33" s="154" t="s">
        <v>50</v>
      </c>
      <c r="M33" s="155">
        <f t="shared" si="0"/>
        <v>246.57599999999999</v>
      </c>
      <c r="N33" s="156" t="str">
        <f>VLOOKUP(C33,'Trips&amp;Operators'!$C$1:$E$99999,3,FALSE)</f>
        <v>CUSHING</v>
      </c>
      <c r="O33" s="184" t="s">
        <v>239</v>
      </c>
      <c r="P33" s="157" t="s">
        <v>819</v>
      </c>
      <c r="Q33" s="31"/>
      <c r="R33" s="100" t="str">
        <f>VLOOKUP(C33,'Train Runs'!$A$13:$AE$10004,31,0)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S33" s="103" t="str">
        <f>VLOOKUP(C33,'Train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09:32:24-700',mode:absolute,to:'2016-11-10 11:44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3" s="105" t="str">
        <f t="shared" si="1"/>
        <v>"C:\Program Files (x86)\AstroGrep\AstroGrep.exe" /spath="%USERPROFILE%\AppData\Local\Temp\OnboardLogs" /stypes="*4016*201611101*" /stext=" 17:.+((SYSTEM_STATE.+slice.+state.+changed )|(ment ac)|(system.+state.+changed )|(\[timeout)|(PRM\|1\|D)|(kpr)|(kdp)|(\|lc)|(penalty))" /e /r /s</v>
      </c>
      <c r="U33" s="9" t="str">
        <f t="shared" si="2"/>
        <v>4016</v>
      </c>
      <c r="V33" s="36">
        <f t="shared" si="3"/>
        <v>42684.743171296293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EC0206RH)","project_id":79,"tracker_id":40,"status_id":1,"priority_id":2,"assigned_to_id":23,"start_date":"2016-11-10","description":"","custom_fields":[{"id":1,"name":"Subdivision","value":"EC"},{"id":4,"name":"Milepost","value":"4.3651"},{"id":17,"name":"Train ID","value":"153-10"},{"id":16,"name":"Locomotive ID","value":"4016"},{"id":130,"name":"Impact","value":""},{"id":150,"name":"Time of Event (Mountain Time)","value":"10:50:10"},{"id":151,"name":"Denver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"%USERPROFILE%\AppData\Local\Temp\OnboardLogs"\RTDC4016\*4016*201611101* | grep -SE "((Enforcement Ac)|(PRM))" -</v>
      </c>
      <c r="AD33" s="1"/>
    </row>
    <row r="34" spans="1:30" x14ac:dyDescent="0.25">
      <c r="A34" s="36">
        <v>42684.495625000003</v>
      </c>
      <c r="B34" s="31" t="s">
        <v>393</v>
      </c>
      <c r="C34" s="31" t="s">
        <v>405</v>
      </c>
      <c r="D34" s="31" t="s">
        <v>49</v>
      </c>
      <c r="E34" s="31" t="s">
        <v>209</v>
      </c>
      <c r="F34" s="47">
        <v>0</v>
      </c>
      <c r="G34" s="47">
        <v>126</v>
      </c>
      <c r="H34" s="47">
        <v>43414</v>
      </c>
      <c r="I34" s="47">
        <v>43687</v>
      </c>
      <c r="J34" s="31" t="s">
        <v>210</v>
      </c>
      <c r="K34" s="47">
        <v>43651</v>
      </c>
      <c r="L34" s="154" t="s">
        <v>50</v>
      </c>
      <c r="M34" s="155">
        <f t="shared" si="0"/>
        <v>-19.007999999999999</v>
      </c>
      <c r="N34" s="156" t="str">
        <f>VLOOKUP(C34,'Trips&amp;Operators'!$C$1:$E$99999,3,FALSE)</f>
        <v>SHOOK</v>
      </c>
      <c r="O34" s="184" t="s">
        <v>239</v>
      </c>
      <c r="P34" s="157" t="s">
        <v>819</v>
      </c>
      <c r="Q34" s="31"/>
      <c r="R34" s="100" t="str">
        <f>VLOOKUP(C34,'Train Runs'!$A$13:$AE$10004,31,0)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S34" s="103" t="str">
        <f>VLOOKUP(C34,'Train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10:36:32-700',mode:absolute,to:'2016-11-10 12:49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4" s="105" t="str">
        <f t="shared" si="1"/>
        <v>"C:\Program Files (x86)\AstroGrep\AstroGrep.exe" /spath="%USERPROFILE%\AppData\Local\Temp\OnboardLogs" /stypes="*4007*201611101*" /stext=" 18:.+((SYSTEM_STATE.+slice.+state.+changed )|(ment ac)|(system.+state.+changed )|(\[timeout)|(PRM\|1\|D)|(kpr)|(kdp)|(\|lc)|(penalty))" /e /r /s</v>
      </c>
      <c r="U34" s="9" t="str">
        <f t="shared" si="2"/>
        <v>4007</v>
      </c>
      <c r="V34" s="36">
        <f t="shared" si="3"/>
        <v>42684.787291666667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EC0206RH)","project_id":79,"tracker_id":40,"status_id":1,"priority_id":2,"assigned_to_id":23,"start_date":"2016-11-10","description":"","custom_fields":[{"id":1,"name":"Subdivision","value":"EC"},{"id":4,"name":"Milepost","value":"4.3651"},{"id":17,"name":"Train ID","value":"161-10"},{"id":16,"name":"Locomotive ID","value":"4007"},{"id":130,"name":"Impact","value":""},{"id":150,"name":"Time of Event (Mountain Time)","value":"11:53:42"},{"id":151,"name":"Denver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"%USERPROFILE%\AppData\Local\Temp\OnboardLogs"\RTDC4007\*4007*201611101* | grep -SE "((Enforcement Ac)|(PRM))" -</v>
      </c>
      <c r="AD34" s="1"/>
    </row>
    <row r="35" spans="1:30" x14ac:dyDescent="0.25">
      <c r="A35" s="36">
        <v>42684.520543981482</v>
      </c>
      <c r="B35" s="31" t="s">
        <v>407</v>
      </c>
      <c r="C35" s="31" t="s">
        <v>408</v>
      </c>
      <c r="D35" s="31" t="s">
        <v>49</v>
      </c>
      <c r="E35" s="31" t="s">
        <v>209</v>
      </c>
      <c r="F35" s="47">
        <v>0</v>
      </c>
      <c r="G35" s="47">
        <v>29</v>
      </c>
      <c r="H35" s="47">
        <v>43577</v>
      </c>
      <c r="I35" s="47">
        <v>43627</v>
      </c>
      <c r="J35" s="31" t="s">
        <v>210</v>
      </c>
      <c r="K35" s="47">
        <v>43651</v>
      </c>
      <c r="L35" s="154" t="s">
        <v>50</v>
      </c>
      <c r="M35" s="155">
        <f t="shared" si="0"/>
        <v>12.672000000000001</v>
      </c>
      <c r="N35" s="156" t="str">
        <f>VLOOKUP(C35,'Trips&amp;Operators'!$C$1:$E$99999,3,FALSE)</f>
        <v>NEWELL</v>
      </c>
      <c r="O35" s="184" t="s">
        <v>239</v>
      </c>
      <c r="P35" s="157" t="s">
        <v>819</v>
      </c>
      <c r="Q35" s="31"/>
      <c r="R35" s="100" t="str">
        <f>VLOOKUP(C35,'Train Runs'!$A$13:$AE$10004,31,0)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S35" s="103" t="str">
        <f>VLOOKUP(C35,'Train Runs'!$A$13:$AE$10004,22,0)</f>
        <v>https://search-rtdc-monitor-bjffxe2xuh6vdkpspy63sjmuny.us-east-1.es.amazonaws.com/_plugin/kibana/#/discover/Steve-Slow-Train-Analysis-(2080s-and-2083s)?_g=(refreshInterval:(display:Off,section:0,value:0),time:(from:'2016-11-10 11:10:05-700',mode:absolute,to:'2016-11-10 13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5" s="105" t="str">
        <f t="shared" si="1"/>
        <v>"C:\Program Files (x86)\AstroGrep\AstroGrep.exe" /spath="%USERPROFILE%\AppData\Local\Temp\OnboardLogs" /stypes="*4038*201611101*" /stext=" 19:.+((SYSTEM_STATE.+slice.+state.+changed )|(ment ac)|(system.+state.+changed )|(\[timeout)|(PRM\|1\|D)|(kpr)|(kdp)|(\|lc)|(penalty))" /e /r /s</v>
      </c>
      <c r="U35" s="9" t="str">
        <f t="shared" si="2"/>
        <v>4038</v>
      </c>
      <c r="V35" s="36">
        <f t="shared" si="3"/>
        <v>42684.812210648146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EC0206RH)","project_id":79,"tracker_id":40,"status_id":1,"priority_id":2,"assigned_to_id":23,"start_date":"2016-11-10","description":"","custom_fields":[{"id":1,"name":"Subdivision","value":"EC"},{"id":4,"name":"Milepost","value":"4.3651"},{"id":17,"name":"Train ID","value":"165-10"},{"id":16,"name":"Locomotive ID","value":"4038"},{"id":130,"name":"Impact","value":""},{"id":150,"name":"Time of Event (Mountain Time)","value":"12:29:35"},{"id":151,"name":"Denver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"%USERPROFILE%\AppData\Local\Temp\OnboardLogs"\RTDC4038\*4038*201611101* | grep -SE "((Enforcement Ac)|(PRM))" -</v>
      </c>
      <c r="AD35" s="1"/>
    </row>
    <row r="36" spans="1:30" x14ac:dyDescent="0.25">
      <c r="A36" s="36">
        <v>42684.316099537034</v>
      </c>
      <c r="B36" s="31" t="s">
        <v>246</v>
      </c>
      <c r="C36" s="31" t="s">
        <v>389</v>
      </c>
      <c r="D36" s="31" t="s">
        <v>49</v>
      </c>
      <c r="E36" s="31" t="s">
        <v>209</v>
      </c>
      <c r="F36" s="47">
        <v>0</v>
      </c>
      <c r="G36" s="47">
        <v>321</v>
      </c>
      <c r="H36" s="47">
        <v>128726</v>
      </c>
      <c r="I36" s="47">
        <v>128122</v>
      </c>
      <c r="J36" s="31" t="s">
        <v>210</v>
      </c>
      <c r="K36" s="47">
        <v>127587</v>
      </c>
      <c r="L36" s="154" t="s">
        <v>51</v>
      </c>
      <c r="M36" s="155">
        <f t="shared" si="0"/>
        <v>282.48</v>
      </c>
      <c r="N36" s="156" t="str">
        <f>VLOOKUP(C36,'Trips&amp;Operators'!$C$1:$E$99999,3,FALSE)</f>
        <v>JOHNSON</v>
      </c>
      <c r="O36" s="184" t="s">
        <v>206</v>
      </c>
      <c r="P36" s="157" t="s">
        <v>378</v>
      </c>
      <c r="Q36" s="31"/>
      <c r="R36" s="100" t="str">
        <f>VLOOKUP(C36,'Train Runs'!$A$13:$AE$10004,31,0)</f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S36" s="103" t="str">
        <f>VLOOKUP(C36,'Train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06:19:38-700',mode:absolute,to:'2016-11-10 09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6" s="105" t="str">
        <f t="shared" si="1"/>
        <v>"C:\Program Files (x86)\AstroGrep\AstroGrep.exe" /spath="%USERPROFILE%\AppData\Local\Temp\OnboardLogs" /stypes="*4041*201611101*" /stext=" 14:.+((SYSTEM_STATE.+slice.+state.+changed )|(ment ac)|(system.+state.+changed )|(\[timeout)|(PRM\|1\|D)|(kpr)|(kdp)|(\|lc)|(penalty))" /e /r /s</v>
      </c>
      <c r="U36" s="9" t="str">
        <f t="shared" si="2"/>
        <v>4041</v>
      </c>
      <c r="V36" s="36">
        <f t="shared" si="3"/>
        <v>42684.607766203699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{"issue":{"subject":"40th 4S STOP, cleared afterward","project_id":79,"tracker_id":40,"status_id":1,"priority_id":2,"assigned_to_id":23,"start_date":"2016-11-10","description":"","custom_fields":[{"id":1,"name":"Subdivision","value":"EC"},{"id":4,"name":"Milepost","value":"12.7587"},{"id":17,"name":"Train ID","value":"122-10"},{"id":16,"name":"Locomotive ID","value":"4041"},{"id":130,"name":"Impact","value":""},{"id":150,"name":"Time of Event (Mountain Time)","value":"07:35:11"},{"id":151,"name":"Denver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"%USERPROFILE%\AppData\Local\Temp\OnboardLogs"\RTDC4041\*4041*201611101* | grep -SE "((Enforcement Ac)|(PRM))" -</v>
      </c>
      <c r="AD36" s="1"/>
    </row>
    <row r="37" spans="1:30" x14ac:dyDescent="0.25">
      <c r="A37" s="36">
        <v>42684.333368055559</v>
      </c>
      <c r="B37" s="31" t="s">
        <v>317</v>
      </c>
      <c r="C37" s="31" t="s">
        <v>390</v>
      </c>
      <c r="D37" s="31" t="s">
        <v>49</v>
      </c>
      <c r="E37" s="31" t="s">
        <v>209</v>
      </c>
      <c r="F37" s="47">
        <v>0</v>
      </c>
      <c r="G37" s="47">
        <v>97</v>
      </c>
      <c r="H37" s="47">
        <v>127935</v>
      </c>
      <c r="I37" s="47">
        <v>127845</v>
      </c>
      <c r="J37" s="31" t="s">
        <v>210</v>
      </c>
      <c r="K37" s="47">
        <v>127587</v>
      </c>
      <c r="L37" s="154" t="s">
        <v>51</v>
      </c>
      <c r="M37" s="155">
        <f t="shared" si="0"/>
        <v>136.22399999999999</v>
      </c>
      <c r="N37" s="156" t="str">
        <f>VLOOKUP(C37,'Trips&amp;Operators'!$C$1:$E$99999,3,FALSE)</f>
        <v>STARKS</v>
      </c>
      <c r="O37" s="184" t="s">
        <v>206</v>
      </c>
      <c r="P37" s="157" t="s">
        <v>378</v>
      </c>
      <c r="Q37" s="31"/>
      <c r="R37" s="100" t="str">
        <f>VLOOKUP(C37,'Train Runs'!$A$13:$AE$10004,31,0)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S37" s="103" t="str">
        <f>VLOOKUP(C37,'Train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06:37:38-700',mode:absolute,to:'2016-11-10 09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7" s="105" t="str">
        <f t="shared" si="1"/>
        <v>"C:\Program Files (x86)\AstroGrep\AstroGrep.exe" /spath="%USERPROFILE%\AppData\Local\Temp\OnboardLogs" /stypes="*4026*201611101*" /stext=" 15:.+((SYSTEM_STATE.+slice.+state.+changed )|(ment ac)|(system.+state.+changed )|(\[timeout)|(PRM\|1\|D)|(kpr)|(kdp)|(\|lc)|(penalty))" /e /r /s</v>
      </c>
      <c r="U37" s="9" t="str">
        <f t="shared" si="2"/>
        <v>4026</v>
      </c>
      <c r="V37" s="36">
        <f t="shared" si="3"/>
        <v>42684.625034722223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{"issue":{"subject":"40th 4S STOP, cleared afterward","project_id":79,"tracker_id":40,"status_id":1,"priority_id":2,"assigned_to_id":23,"start_date":"2016-11-10","description":"","custom_fields":[{"id":1,"name":"Subdivision","value":"EC"},{"id":4,"name":"Milepost","value":"12.7587"},{"id":17,"name":"Train ID","value":"126-10"},{"id":16,"name":"Locomotive ID","value":"4026"},{"id":130,"name":"Impact","value":""},{"id":150,"name":"Time of Event (Mountain Time)","value":"08:00:03"},{"id":151,"name":"Denver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"%USERPROFILE%\AppData\Local\Temp\OnboardLogs"\RTDC4026\*4026*201611101* | grep -SE "((Enforcement Ac)|(PRM))" -</v>
      </c>
      <c r="AD37" s="1"/>
    </row>
    <row r="38" spans="1:30" x14ac:dyDescent="0.25">
      <c r="A38" s="36">
        <v>42684.342858796299</v>
      </c>
      <c r="B38" s="31" t="s">
        <v>246</v>
      </c>
      <c r="C38" s="31" t="s">
        <v>389</v>
      </c>
      <c r="D38" s="31" t="s">
        <v>98</v>
      </c>
      <c r="E38" s="31" t="s">
        <v>320</v>
      </c>
      <c r="F38" s="47">
        <v>0</v>
      </c>
      <c r="G38" s="47">
        <v>152</v>
      </c>
      <c r="H38" s="47">
        <v>3891</v>
      </c>
      <c r="I38" s="47">
        <v>3630</v>
      </c>
      <c r="J38" s="31" t="s">
        <v>292</v>
      </c>
      <c r="K38" s="47">
        <v>3902</v>
      </c>
      <c r="L38" s="154" t="s">
        <v>51</v>
      </c>
      <c r="M38" s="155">
        <f t="shared" si="0"/>
        <v>-143.61600000000001</v>
      </c>
      <c r="N38" s="156" t="str">
        <f>VLOOKUP(C38,'Trips&amp;Operators'!$C$1:$E$99999,3,FALSE)</f>
        <v>JOHNSON</v>
      </c>
      <c r="O38" s="184" t="s">
        <v>239</v>
      </c>
      <c r="P38" s="157" t="s">
        <v>289</v>
      </c>
      <c r="Q38" s="31"/>
      <c r="R38" s="100" t="str">
        <f>VLOOKUP(C38,'Train Runs'!$A$13:$AE$10004,31,0)</f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S38" s="103" t="str">
        <f>VLOOKUP(C38,'Train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06:19:38-700',mode:absolute,to:'2016-11-10 09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8" s="105" t="str">
        <f t="shared" si="1"/>
        <v>"C:\Program Files (x86)\AstroGrep\AstroGrep.exe" /spath="%USERPROFILE%\AppData\Local\Temp\OnboardLogs" /stypes="*4041*201611101*" /stext=" 15:.+((SYSTEM_STATE.+slice.+state.+changed )|(ment ac)|(system.+state.+changed )|(\[timeout)|(PRM\|1\|D)|(kpr)|(kdp)|(\|lc)|(penalty))" /e /r /s</v>
      </c>
      <c r="U38" s="9" t="str">
        <f t="shared" si="2"/>
        <v>4041</v>
      </c>
      <c r="V38" s="36">
        <f t="shared" si="3"/>
        <v>42684.634525462963</v>
      </c>
      <c r="W38" s="50" t="str">
        <f t="shared" si="4"/>
        <v>EC</v>
      </c>
      <c r="X38" s="50" t="str">
        <f t="shared" si="5"/>
        <v>KEEP</v>
      </c>
      <c r="Y38" s="119" t="str">
        <f t="shared" si="6"/>
        <v>echo {"issue":{"subject":"Wi-MAX data drop","project_id":79,"tracker_id":40,"status_id":1,"priority_id":2,"assigned_to_id":23,"start_date":"2016-11-10","description":"http://stevetu21.github.io/eaglep3/load_kml.html?kml=http://rtdc.gmaps-snips.s3.amazonaws.com/9388ceee-7678-493e-9501-f78194504606.kml","custom_fields":[{"id":1,"name":"Subdivision","value":"EC"},{"id":4,"name":"Milepost","value":"0.3902"},{"id":17,"name":"Train ID","value":"122-10"},{"id":16,"name":"Locomotive ID","value":"4041"},{"id":130,"name":"Impact","value":"Enforcement"},{"id":150,"name":"Time of Event (Mountain Time)","value":"08:13:43"},{"id":151,"name":"Denver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8" s="162" t="s">
        <v>817</v>
      </c>
      <c r="AA38" s="53" t="s">
        <v>125</v>
      </c>
      <c r="AB38" s="53" t="s">
        <v>138</v>
      </c>
      <c r="AC38" s="138" t="str">
        <f t="shared" si="7"/>
        <v>grep -hSE -A100 "Enforcement Action" "%USERPROFILE%\AppData\Local\Temp\OnboardLogs"\RTDC4041\*4041*201611101* | grep -SE "((Enforcement Ac)|(PRM))" -</v>
      </c>
      <c r="AD38" s="1"/>
    </row>
    <row r="39" spans="1:30" x14ac:dyDescent="0.25">
      <c r="A39" s="36">
        <v>42684.362650462965</v>
      </c>
      <c r="B39" s="31" t="s">
        <v>321</v>
      </c>
      <c r="C39" s="31" t="s">
        <v>391</v>
      </c>
      <c r="D39" s="31" t="s">
        <v>49</v>
      </c>
      <c r="E39" s="31" t="s">
        <v>320</v>
      </c>
      <c r="F39" s="47">
        <v>0</v>
      </c>
      <c r="G39" s="47">
        <v>166</v>
      </c>
      <c r="H39" s="47">
        <v>5318</v>
      </c>
      <c r="I39" s="47">
        <v>5008</v>
      </c>
      <c r="J39" s="31" t="s">
        <v>292</v>
      </c>
      <c r="K39" s="47">
        <v>4677</v>
      </c>
      <c r="L39" s="154" t="s">
        <v>51</v>
      </c>
      <c r="M39" s="155">
        <f t="shared" ref="M39:M70" si="8">CONVERT((I39-K39)/10000,"mi","ft")*IF(L39="Increasing Mileposts (1)",-1,1)</f>
        <v>174.76799999999997</v>
      </c>
      <c r="N39" s="156" t="str">
        <f>VLOOKUP(C39,'Trips&amp;Operators'!$C$1:$E$99999,3,FALSE)</f>
        <v>MAELZER</v>
      </c>
      <c r="O39" s="184" t="s">
        <v>239</v>
      </c>
      <c r="P39" s="157" t="s">
        <v>289</v>
      </c>
      <c r="Q39" s="31"/>
      <c r="R39" s="100" t="str">
        <f>VLOOKUP(C39,'Train Runs'!$A$13:$AE$10004,31,0)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S39" s="103" t="str">
        <f>VLOOKUP(C39,'Train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06:51:43-700',mode:absolute,to:'2016-11-10 09:45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9" s="105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/stypes="*4021*201611101*" /stext=" 15:.+((SYSTEM_STATE.+slice.+state.+changed )|(ment ac)|(system.+state.+changed )|(\[timeout)|(PRM\|1\|D)|(kpr)|(kdp)|(\|lc)|(penalty))" /e /r /s</v>
      </c>
      <c r="U39" s="9" t="str">
        <f t="shared" ref="U39:U67" si="10">MID(B39,13,4)</f>
        <v>4021</v>
      </c>
      <c r="V39" s="36">
        <f t="shared" ref="V39:V67" si="11">A39-utc_offset/24</f>
        <v>42684.654317129629</v>
      </c>
      <c r="W39" s="50" t="str">
        <f t="shared" ref="W39:W67" si="12">IF(VALUE(LEFT(IF(LEN(C39)=6,"0"&amp;C39,C39),2))&lt;=2,"EC",IF(OR(VALUE(LEFT(IF(LEN(C39)=6,"0"&amp;C39,C39),2))=8,VALUE(LEFT(IF(LEN(C39)=6,"0"&amp;C39,C39),2))=18),"NW","Other"))</f>
        <v>EC</v>
      </c>
      <c r="X39" s="50" t="str">
        <f t="shared" ref="X39:X67" si="13">IF(AND(E39="TRACK WARRANT AUTHORITY",G39&lt;10),"OMIT","KEEP")</f>
        <v>KEEP</v>
      </c>
      <c r="Y39" s="119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-10","description":"http://stevetu21.github.io/eaglep3/load_kml.html?kml=http://rtdc.gmaps-snips.s3.amazonaws.com/da4a3b77-2e3e-4894-b3b3-e5072e40497e.kml","custom_fields":[{"id":1,"name":"Subdivision","value":"EC"},{"id":4,"name":"Milepost","value":"0.4677"},{"id":17,"name":"Train ID","value":"128-10"},{"id":16,"name":"Locomotive ID","value":"4021"},{"id":130,"name":"Impact","value":"Enforcement"},{"id":150,"name":"Time of Event (Mountain Time)","value":"08:42:13"},{"id":151,"name":"Denver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9" s="162" t="s">
        <v>818</v>
      </c>
      <c r="AA39" s="53" t="s">
        <v>125</v>
      </c>
      <c r="AB39" s="53" t="s">
        <v>138</v>
      </c>
      <c r="AC39" s="138" t="str">
        <f t="shared" ref="AC39:AC67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"%USERPROFILE%\AppData\Local\Temp\OnboardLogs"\RTDC4021\*4021*201611101* | grep -SE "((Enforcement Ac)|(PRM))" -</v>
      </c>
      <c r="AD39" s="1"/>
    </row>
    <row r="40" spans="1:30" x14ac:dyDescent="0.25">
      <c r="A40" s="36">
        <v>42684.224259259259</v>
      </c>
      <c r="B40" s="31" t="s">
        <v>272</v>
      </c>
      <c r="C40" s="31" t="s">
        <v>380</v>
      </c>
      <c r="D40" s="31" t="s">
        <v>49</v>
      </c>
      <c r="E40" s="31" t="s">
        <v>211</v>
      </c>
      <c r="F40" s="47">
        <v>0</v>
      </c>
      <c r="G40" s="47">
        <v>50</v>
      </c>
      <c r="H40" s="47">
        <v>183</v>
      </c>
      <c r="I40" s="47">
        <v>138</v>
      </c>
      <c r="J40" s="31" t="s">
        <v>212</v>
      </c>
      <c r="K40" s="47">
        <v>1</v>
      </c>
      <c r="L40" s="154" t="s">
        <v>51</v>
      </c>
      <c r="M40" s="155">
        <f t="shared" si="8"/>
        <v>72.335999999999999</v>
      </c>
      <c r="N40" s="156" t="str">
        <f>VLOOKUP(C40,'Trips&amp;Operators'!$C$1:$E$99999,3,FALSE)</f>
        <v>SPECTOR</v>
      </c>
      <c r="O40" s="184" t="s">
        <v>206</v>
      </c>
      <c r="P40" s="157"/>
      <c r="Q40" s="31"/>
      <c r="R40" s="100" t="str">
        <f>VLOOKUP(C40,'Train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40" s="103" t="str">
        <f>VLOOKUP(C40,'Train Runs'!$A$13:$AE$10004,22,0)</f>
        <v>https://search-rtdc-monitor-bjffxe2xuh6vdkpspy63sjmuny.us-east-1.es.amazonaws.com/_plugin/kibana/#/discover/Steve-Slow-Train-Analysis-(2080s-and-2083s)?_g=(refreshInterval:(display:Off,section:0,value:0),time:(from:'2016-11-10 03:37:17-700',mode:absolute,to:'2016-11-10 06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0" s="105" t="str">
        <f t="shared" si="9"/>
        <v>"C:\Program Files (x86)\AstroGrep\AstroGrep.exe" /spath="%USERPROFILE%\AppData\Local\Temp\OnboardLogs" /stypes="*4001*201611101*" /stext=" 12:.+((SYSTEM_STATE.+slice.+state.+changed )|(ment ac)|(system.+state.+changed )|(\[timeout)|(PRM\|1\|D)|(kpr)|(kdp)|(\|lc)|(penalty))" /e /r /s</v>
      </c>
      <c r="U40" s="9" t="str">
        <f t="shared" si="10"/>
        <v>4001</v>
      </c>
      <c r="V40" s="36">
        <f t="shared" si="11"/>
        <v>42684.515925925924</v>
      </c>
      <c r="W40" s="50" t="str">
        <f t="shared" si="12"/>
        <v>EC</v>
      </c>
      <c r="X40" s="50" t="str">
        <f t="shared" si="13"/>
        <v>KEEP</v>
      </c>
      <c r="Y40" s="119" t="str">
        <f t="shared" si="14"/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ID","value":"104-10"},{"id":16,"name":"Locomotive ID","value":"4001"},{"id":130,"name":"Impact","value":""},{"id":150,"name":"Time of Event (Mountain Time)","value":"05:22:56"},{"id":151,"name":"Denver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15"/>
        <v>grep -hSE -A100 "Enforcement Action" "%USERPROFILE%\AppData\Local\Temp\OnboardLogs"\RTDC4001\*4001*201611101* | grep -SE "((Enforcement Ac)|(PRM))" -</v>
      </c>
      <c r="AD40" s="1"/>
    </row>
    <row r="41" spans="1:30" x14ac:dyDescent="0.25">
      <c r="A41" s="36">
        <v>42684.247164351851</v>
      </c>
      <c r="B41" s="31" t="s">
        <v>381</v>
      </c>
      <c r="C41" s="31" t="s">
        <v>382</v>
      </c>
      <c r="D41" s="31" t="s">
        <v>49</v>
      </c>
      <c r="E41" s="31" t="s">
        <v>211</v>
      </c>
      <c r="F41" s="47">
        <v>0</v>
      </c>
      <c r="G41" s="47">
        <v>32</v>
      </c>
      <c r="H41" s="47">
        <v>145</v>
      </c>
      <c r="I41" s="47">
        <v>119</v>
      </c>
      <c r="J41" s="31" t="s">
        <v>212</v>
      </c>
      <c r="K41" s="47">
        <v>1</v>
      </c>
      <c r="L41" s="154" t="s">
        <v>51</v>
      </c>
      <c r="M41" s="155">
        <f t="shared" si="8"/>
        <v>62.304000000000002</v>
      </c>
      <c r="N41" s="156" t="str">
        <f>VLOOKUP(C41,'Trips&amp;Operators'!$C$1:$E$99999,3,FALSE)</f>
        <v>ISHMAEL</v>
      </c>
      <c r="O41" s="184" t="s">
        <v>206</v>
      </c>
      <c r="P41" s="157"/>
      <c r="Q41" s="31"/>
      <c r="R41" s="100" t="str">
        <f>VLOOKUP(C41,'Train Runs'!$A$13:$AE$10004,31,0)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S41" s="103" t="str">
        <f>VLOOKUP(C41,'Train Runs'!$A$13:$AE$10004,22,0)</f>
        <v>https://search-rtdc-monitor-bjffxe2xuh6vdkpspy63sjmuny.us-east-1.es.amazonaws.com/_plugin/kibana/#/discover/Steve-Slow-Train-Analysis-(2080s-and-2083s)?_g=(refreshInterval:(display:Off,section:0,value:0),time:(from:'2016-11-10 04:04:06-700',mode:absolute,to:'2016-11-10 06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1" s="105" t="str">
        <f t="shared" si="9"/>
        <v>"C:\Program Files (x86)\AstroGrep\AstroGrep.exe" /spath="%USERPROFILE%\AppData\Local\Temp\OnboardLogs" /stypes="*4054*201611101*" /stext=" 12:.+((SYSTEM_STATE.+slice.+state.+changed )|(ment ac)|(system.+state.+changed )|(\[timeout)|(PRM\|1\|D)|(kpr)|(kdp)|(\|lc)|(penalty))" /e /r /s</v>
      </c>
      <c r="U41" s="9" t="str">
        <f t="shared" si="10"/>
        <v>4054</v>
      </c>
      <c r="V41" s="36">
        <f t="shared" si="11"/>
        <v>42684.538831018515</v>
      </c>
      <c r="W41" s="50" t="str">
        <f t="shared" si="12"/>
        <v>EC</v>
      </c>
      <c r="X41" s="50" t="str">
        <f t="shared" si="13"/>
        <v>KEEP</v>
      </c>
      <c r="Y41" s="119" t="str">
        <f t="shared" si="14"/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ID","value":"106-10"},{"id":16,"name":"Locomotive ID","value":"4054"},{"id":130,"name":"Impact","value":""},{"id":150,"name":"Time of Event (Mountain Time)","value":"05:55:55"},{"id":151,"name":"Denver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15"/>
        <v>grep -hSE -A100 "Enforcement Action" "%USERPROFILE%\AppData\Local\Temp\OnboardLogs"\RTDC4054\*4054*201611101* | grep -SE "((Enforcement Ac)|(PRM))" -</v>
      </c>
      <c r="AD41" s="1"/>
    </row>
    <row r="42" spans="1:30" x14ac:dyDescent="0.25">
      <c r="A42" s="36">
        <v>42684.283414351848</v>
      </c>
      <c r="B42" s="31" t="s">
        <v>317</v>
      </c>
      <c r="C42" s="31" t="s">
        <v>384</v>
      </c>
      <c r="D42" s="31" t="s">
        <v>49</v>
      </c>
      <c r="E42" s="31" t="s">
        <v>211</v>
      </c>
      <c r="F42" s="47">
        <v>0</v>
      </c>
      <c r="G42" s="47">
        <v>34</v>
      </c>
      <c r="H42" s="47">
        <v>141</v>
      </c>
      <c r="I42" s="47">
        <v>107</v>
      </c>
      <c r="J42" s="31" t="s">
        <v>212</v>
      </c>
      <c r="K42" s="47">
        <v>1</v>
      </c>
      <c r="L42" s="154" t="s">
        <v>51</v>
      </c>
      <c r="M42" s="155">
        <f t="shared" si="8"/>
        <v>55.968000000000004</v>
      </c>
      <c r="N42" s="156" t="str">
        <f>VLOOKUP(C42,'Trips&amp;Operators'!$C$1:$E$99999,3,FALSE)</f>
        <v>STARKS</v>
      </c>
      <c r="O42" s="184" t="s">
        <v>206</v>
      </c>
      <c r="P42" s="157"/>
      <c r="Q42" s="31"/>
      <c r="R42" s="100" t="str">
        <f>VLOOKUP(C42,'Train Runs'!$A$13:$AE$10004,31,0)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S42" s="103" t="str">
        <f>VLOOKUP(C42,'Train Runs'!$A$13:$AE$10004,22,0)</f>
        <v>https://search-rtdc-monitor-bjffxe2xuh6vdkpspy63sjmuny.us-east-1.es.amazonaws.com/_plugin/kibana/#/discover/Steve-Slow-Train-Analysis-(2080s-and-2083s)?_g=(refreshInterval:(display:Off,section:0,value:0),time:(from:'2016-11-10 04:53:22-700',mode:absolute,to:'2016-11-10 07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2" s="105" t="str">
        <f t="shared" si="9"/>
        <v>"C:\Program Files (x86)\AstroGrep\AstroGrep.exe" /spath="%USERPROFILE%\AppData\Local\Temp\OnboardLogs" /stypes="*4026*201611101*" /stext=" 13:.+((SYSTEM_STATE.+slice.+state.+changed )|(ment ac)|(system.+state.+changed )|(\[timeout)|(PRM\|1\|D)|(kpr)|(kdp)|(\|lc)|(penalty))" /e /r /s</v>
      </c>
      <c r="U42" s="9" t="str">
        <f t="shared" si="10"/>
        <v>4026</v>
      </c>
      <c r="V42" s="36">
        <f t="shared" si="11"/>
        <v>42684.575081018513</v>
      </c>
      <c r="W42" s="50" t="str">
        <f t="shared" si="12"/>
        <v>EC</v>
      </c>
      <c r="X42" s="50" t="str">
        <f t="shared" si="13"/>
        <v>KEEP</v>
      </c>
      <c r="Y42" s="119" t="str">
        <f t="shared" si="14"/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ID","value":"112-10"},{"id":16,"name":"Locomotive ID","value":"4026"},{"id":130,"name":"Impact","value":""},{"id":150,"name":"Time of Event (Mountain Time)","value":"06:48:07"},{"id":151,"name":"Denver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15"/>
        <v>grep -hSE -A100 "Enforcement Action" "%USERPROFILE%\AppData\Local\Temp\OnboardLogs"\RTDC4026\*4026*201611101* | grep -SE "((Enforcement Ac)|(PRM))" -</v>
      </c>
      <c r="AD42" s="1"/>
    </row>
    <row r="43" spans="1:30" x14ac:dyDescent="0.25">
      <c r="A43" s="36">
        <v>42684.294976851852</v>
      </c>
      <c r="B43" s="31" t="s">
        <v>386</v>
      </c>
      <c r="C43" s="31" t="s">
        <v>387</v>
      </c>
      <c r="D43" s="31" t="s">
        <v>49</v>
      </c>
      <c r="E43" s="31" t="s">
        <v>211</v>
      </c>
      <c r="F43" s="47">
        <v>0</v>
      </c>
      <c r="G43" s="47">
        <v>68</v>
      </c>
      <c r="H43" s="47">
        <v>201</v>
      </c>
      <c r="I43" s="47">
        <v>145</v>
      </c>
      <c r="J43" s="31" t="s">
        <v>212</v>
      </c>
      <c r="K43" s="47">
        <v>1</v>
      </c>
      <c r="L43" s="154" t="s">
        <v>51</v>
      </c>
      <c r="M43" s="155">
        <f t="shared" si="8"/>
        <v>76.031999999999996</v>
      </c>
      <c r="N43" s="156" t="str">
        <f>VLOOKUP(C43,'Trips&amp;Operators'!$C$1:$E$99999,3,FALSE)</f>
        <v>RICHARDSON</v>
      </c>
      <c r="O43" s="184" t="s">
        <v>206</v>
      </c>
      <c r="P43" s="157"/>
      <c r="Q43" s="31"/>
      <c r="R43" s="100" t="str">
        <f>VLOOKUP(C43,'Train Runs'!$A$13:$AE$10004,31,0)</f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S43" s="103" t="str">
        <f>VLOOKUP(C43,'Train Runs'!$A$13:$AE$10004,22,0)</f>
        <v>https://search-rtdc-monitor-bjffxe2xuh6vdkpspy63sjmuny.us-east-1.es.amazonaws.com/_plugin/kibana/#/discover/Steve-Slow-Train-Analysis-(2080s-and-2083s)?_g=(refreshInterval:(display:Off,section:0,value:0),time:(from:'2016-11-10 05:18:40-700',mode:absolute,to:'2016-11-10 08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3" s="105" t="str">
        <f t="shared" si="9"/>
        <v>"C:\Program Files (x86)\AstroGrep\AstroGrep.exe" /spath="%USERPROFILE%\AppData\Local\Temp\OnboardLogs" /stypes="*4008*201611101*" /stext=" 14:.+((SYSTEM_STATE.+slice.+state.+changed )|(ment ac)|(system.+state.+changed )|(\[timeout)|(PRM\|1\|D)|(kpr)|(kdp)|(\|lc)|(penalty))" /e /r /s</v>
      </c>
      <c r="U43" s="9" t="str">
        <f t="shared" si="10"/>
        <v>4008</v>
      </c>
      <c r="V43" s="36">
        <f t="shared" si="11"/>
        <v>42684.586643518516</v>
      </c>
      <c r="W43" s="50" t="str">
        <f t="shared" si="12"/>
        <v>EC</v>
      </c>
      <c r="X43" s="50" t="str">
        <f t="shared" si="13"/>
        <v>KEEP</v>
      </c>
      <c r="Y43" s="119" t="str">
        <f t="shared" si="14"/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ID","value":"116-10"},{"id":16,"name":"Locomotive ID","value":"4008"},{"id":130,"name":"Impact","value":""},{"id":150,"name":"Time of Event (Mountain Time)","value":"07:04:46"},{"id":151,"name":"Denver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15"/>
        <v>grep -hSE -A100 "Enforcement Action" "%USERPROFILE%\AppData\Local\Temp\OnboardLogs"\RTDC4008\*4008*201611101* | grep -SE "((Enforcement Ac)|(PRM))" -</v>
      </c>
      <c r="AD43" s="1"/>
    </row>
    <row r="44" spans="1:30" x14ac:dyDescent="0.25">
      <c r="A44" s="36">
        <v>42684.359699074077</v>
      </c>
      <c r="B44" s="31" t="s">
        <v>317</v>
      </c>
      <c r="C44" s="31" t="s">
        <v>390</v>
      </c>
      <c r="D44" s="31" t="s">
        <v>49</v>
      </c>
      <c r="E44" s="31" t="s">
        <v>211</v>
      </c>
      <c r="F44" s="47">
        <v>0</v>
      </c>
      <c r="G44" s="47">
        <v>65</v>
      </c>
      <c r="H44" s="47">
        <v>247</v>
      </c>
      <c r="I44" s="47">
        <v>201</v>
      </c>
      <c r="J44" s="31" t="s">
        <v>212</v>
      </c>
      <c r="K44" s="47">
        <v>1</v>
      </c>
      <c r="L44" s="154" t="s">
        <v>51</v>
      </c>
      <c r="M44" s="155">
        <f t="shared" si="8"/>
        <v>105.6</v>
      </c>
      <c r="N44" s="156" t="str">
        <f>VLOOKUP(C44,'Trips&amp;Operators'!$C$1:$E$99999,3,FALSE)</f>
        <v>STARKS</v>
      </c>
      <c r="O44" s="184" t="s">
        <v>206</v>
      </c>
      <c r="P44" s="157"/>
      <c r="Q44" s="31"/>
      <c r="R44" s="100" t="str">
        <f>VLOOKUP(C44,'Train Runs'!$A$13:$AE$10004,31,0)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S44" s="103" t="str">
        <f>VLOOKUP(C44,'Train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06:37:38-700',mode:absolute,to:'2016-11-10 09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4" s="105" t="str">
        <f t="shared" si="9"/>
        <v>"C:\Program Files (x86)\AstroGrep\AstroGrep.exe" /spath="%USERPROFILE%\AppData\Local\Temp\OnboardLogs" /stypes="*4026*201611101*" /stext=" 15:.+((SYSTEM_STATE.+slice.+state.+changed )|(ment ac)|(system.+state.+changed )|(\[timeout)|(PRM\|1\|D)|(kpr)|(kdp)|(\|lc)|(penalty))" /e /r /s</v>
      </c>
      <c r="U44" s="9" t="str">
        <f t="shared" si="10"/>
        <v>4026</v>
      </c>
      <c r="V44" s="36">
        <f t="shared" si="11"/>
        <v>42684.651365740741</v>
      </c>
      <c r="W44" s="50" t="str">
        <f t="shared" si="12"/>
        <v>EC</v>
      </c>
      <c r="X44" s="50" t="str">
        <f t="shared" si="13"/>
        <v>KEEP</v>
      </c>
      <c r="Y44" s="119" t="str">
        <f t="shared" si="14"/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ID","value":"126-10"},{"id":16,"name":"Locomotive ID","value":"4026"},{"id":130,"name":"Impact","value":""},{"id":150,"name":"Time of Event (Mountain Time)","value":"08:37:58"},{"id":151,"name":"Denver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15"/>
        <v>grep -hSE -A100 "Enforcement Action" "%USERPROFILE%\AppData\Local\Temp\OnboardLogs"\RTDC4026\*4026*201611101* | grep -SE "((Enforcement Ac)|(PRM))" -</v>
      </c>
      <c r="AD44" s="1"/>
    </row>
    <row r="45" spans="1:30" x14ac:dyDescent="0.25">
      <c r="A45" s="36">
        <v>42684.443043981482</v>
      </c>
      <c r="B45" s="31" t="s">
        <v>321</v>
      </c>
      <c r="C45" s="31" t="s">
        <v>397</v>
      </c>
      <c r="D45" s="31" t="s">
        <v>49</v>
      </c>
      <c r="E45" s="31" t="s">
        <v>211</v>
      </c>
      <c r="F45" s="47">
        <v>0</v>
      </c>
      <c r="G45" s="47">
        <v>39</v>
      </c>
      <c r="H45" s="47">
        <v>145</v>
      </c>
      <c r="I45" s="47">
        <v>121</v>
      </c>
      <c r="J45" s="31" t="s">
        <v>212</v>
      </c>
      <c r="K45" s="47">
        <v>1</v>
      </c>
      <c r="L45" s="154" t="s">
        <v>51</v>
      </c>
      <c r="M45" s="155">
        <f t="shared" si="8"/>
        <v>63.36</v>
      </c>
      <c r="N45" s="156" t="str">
        <f>VLOOKUP(C45,'Trips&amp;Operators'!$C$1:$E$99999,3,FALSE)</f>
        <v>MAELZER</v>
      </c>
      <c r="O45" s="184" t="s">
        <v>206</v>
      </c>
      <c r="P45" s="157"/>
      <c r="Q45" s="31"/>
      <c r="R45" s="100" t="str">
        <f>VLOOKUP(C45,'Train Runs'!$A$13:$AE$10004,31,0)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S45" s="103" t="str">
        <f>VLOOKUP(C45,'Train Runs'!$A$13:$AE$10004,22,0)</f>
        <v>https://search-rtdc-monitor-bjffxe2xuh6vdkpspy63sjmuny.us-east-1.es.amazonaws.com/_plugin/kibana/#/discover/Steve-Slow-Train-Analysis-(2080s-and-2083s)?_g=(refreshInterval:(display:Off,section:0,value:0),time:(from:'2016-11-10 08:50:30-700',mode:absolute,to:'2016-11-10 11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5" s="105" t="str">
        <f t="shared" si="9"/>
        <v>"C:\Program Files (x86)\AstroGrep\AstroGrep.exe" /spath="%USERPROFILE%\AppData\Local\Temp\OnboardLogs" /stypes="*4021*201611101*" /stext=" 17:.+((SYSTEM_STATE.+slice.+state.+changed )|(ment ac)|(system.+state.+changed )|(\[timeout)|(PRM\|1\|D)|(kpr)|(kdp)|(\|lc)|(penalty))" /e /r /s</v>
      </c>
      <c r="U45" s="9" t="str">
        <f t="shared" si="10"/>
        <v>4021</v>
      </c>
      <c r="V45" s="36">
        <f t="shared" si="11"/>
        <v>42684.734710648147</v>
      </c>
      <c r="W45" s="50" t="str">
        <f t="shared" si="12"/>
        <v>EC</v>
      </c>
      <c r="X45" s="50" t="str">
        <f t="shared" si="13"/>
        <v>KEEP</v>
      </c>
      <c r="Y45" s="119" t="str">
        <f t="shared" si="14"/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ID","value":"144-10"},{"id":16,"name":"Locomotive ID","value":"4021"},{"id":130,"name":"Impact","value":""},{"id":150,"name":"Time of Event (Mountain Time)","value":"10:37:59"},{"id":151,"name":"Denver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15"/>
        <v>grep -hSE -A100 "Enforcement Action" "%USERPROFILE%\AppData\Local\Temp\OnboardLogs"\RTDC4021\*4021*201611101* | grep -SE "((Enforcement Ac)|(PRM))" -</v>
      </c>
      <c r="AD45" s="1"/>
    </row>
    <row r="46" spans="1:30" x14ac:dyDescent="0.25">
      <c r="A46" s="36">
        <v>42684.595069444447</v>
      </c>
      <c r="B46" s="31" t="s">
        <v>381</v>
      </c>
      <c r="C46" s="31" t="s">
        <v>411</v>
      </c>
      <c r="D46" s="31" t="s">
        <v>49</v>
      </c>
      <c r="E46" s="31" t="s">
        <v>211</v>
      </c>
      <c r="F46" s="47">
        <v>0</v>
      </c>
      <c r="G46" s="47">
        <v>94</v>
      </c>
      <c r="H46" s="47">
        <v>340</v>
      </c>
      <c r="I46" s="47">
        <v>203</v>
      </c>
      <c r="J46" s="31" t="s">
        <v>212</v>
      </c>
      <c r="K46" s="47">
        <v>1</v>
      </c>
      <c r="L46" s="154" t="s">
        <v>51</v>
      </c>
      <c r="M46" s="155">
        <f t="shared" si="8"/>
        <v>106.65600000000001</v>
      </c>
      <c r="N46" s="156" t="str">
        <f>VLOOKUP(C46,'Trips&amp;Operators'!$C$1:$E$99999,3,FALSE)</f>
        <v>YOUNG</v>
      </c>
      <c r="O46" s="184" t="s">
        <v>206</v>
      </c>
      <c r="P46" s="157"/>
      <c r="Q46" s="31"/>
      <c r="R46" s="100" t="str">
        <f>VLOOKUP(C46,'Train Runs'!$A$13:$AE$10004,31,0)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S46" s="103" t="str">
        <f>VLOOKUP(C46,'Train Runs'!$A$13:$AE$10004,22,0)</f>
        <v>https://search-rtdc-monitor-bjffxe2xuh6vdkpspy63sjmuny.us-east-1.es.amazonaws.com/_plugin/kibana/#/discover/Steve-Slow-Train-Analysis-(2080s-and-2083s)?_g=(refreshInterval:(display:Off,section:0,value:0),time:(from:'2016-11-10 12:26:38-700',mode:absolute,to:'2016-11-10 15:16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6" s="105" t="str">
        <f t="shared" si="9"/>
        <v>"C:\Program Files (x86)\AstroGrep\AstroGrep.exe" /spath="%USERPROFILE%\AppData\Local\Temp\OnboardLogs" /stypes="*4054*201611102*" /stext=" 21:.+((SYSTEM_STATE.+slice.+state.+changed )|(ment ac)|(system.+state.+changed )|(\[timeout)|(PRM\|1\|D)|(kpr)|(kdp)|(\|lc)|(penalty))" /e /r /s</v>
      </c>
      <c r="U46" s="9" t="str">
        <f t="shared" si="10"/>
        <v>4054</v>
      </c>
      <c r="V46" s="36">
        <f t="shared" si="11"/>
        <v>42684.886736111112</v>
      </c>
      <c r="W46" s="50" t="str">
        <f t="shared" si="12"/>
        <v>EC</v>
      </c>
      <c r="X46" s="50" t="str">
        <f t="shared" si="13"/>
        <v>KEEP</v>
      </c>
      <c r="Y46" s="119" t="str">
        <f t="shared" si="14"/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ID","value":"172-10"},{"id":16,"name":"Locomotive ID","value":"4054"},{"id":130,"name":"Impact","value":""},{"id":150,"name":"Time of Event (Mountain Time)","value":"14:16:54"},{"id":151,"name":"Denver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15"/>
        <v>grep -hSE -A100 "Enforcement Action" "%USERPROFILE%\AppData\Local\Temp\OnboardLogs"\RTDC4054\*4054*201611102* | grep -SE "((Enforcement Ac)|(PRM))" -</v>
      </c>
      <c r="AD46" s="1"/>
    </row>
    <row r="47" spans="1:30" x14ac:dyDescent="0.25">
      <c r="A47" s="36">
        <v>42684.805138888885</v>
      </c>
      <c r="B47" s="31" t="s">
        <v>272</v>
      </c>
      <c r="C47" s="31" t="s">
        <v>419</v>
      </c>
      <c r="D47" s="31" t="s">
        <v>49</v>
      </c>
      <c r="E47" s="31" t="s">
        <v>211</v>
      </c>
      <c r="F47" s="47">
        <v>0</v>
      </c>
      <c r="G47" s="47">
        <v>78</v>
      </c>
      <c r="H47" s="47">
        <v>280</v>
      </c>
      <c r="I47" s="47">
        <v>196</v>
      </c>
      <c r="J47" s="31" t="s">
        <v>212</v>
      </c>
      <c r="K47" s="47">
        <v>1</v>
      </c>
      <c r="L47" s="154" t="s">
        <v>51</v>
      </c>
      <c r="M47" s="155">
        <f t="shared" si="8"/>
        <v>102.96</v>
      </c>
      <c r="N47" s="156" t="str">
        <f>VLOOKUP(C47,'Trips&amp;Operators'!$C$1:$E$99999,3,FALSE)</f>
        <v>HOLCOMB</v>
      </c>
      <c r="O47" s="184" t="s">
        <v>206</v>
      </c>
      <c r="P47" s="157"/>
      <c r="Q47" s="31"/>
      <c r="R47" s="100" t="str">
        <f>VLOOKUP(C47,'Train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47" s="103" t="str">
        <f>VLOOKUP(C47,'Train Runs'!$A$13:$AE$10004,22,0)</f>
        <v>https://search-rtdc-monitor-bjffxe2xuh6vdkpspy63sjmuny.us-east-1.es.amazonaws.com/_plugin/kibana/#/discover/Steve-Slow-Train-Analysis-(2080s-and-2083s)?_g=(refreshInterval:(display:Off,section:0,value:0),time:(from:'2016-11-10 17:26:44-700',mode:absolute,to:'2016-11-10 20:19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7" s="105" t="str">
        <f t="shared" si="9"/>
        <v>"C:\Program Files (x86)\AstroGrep\AstroGrep.exe" /spath="%USERPROFILE%\AppData\Local\Temp\OnboardLogs" /stypes="*4001*201611110*" /stext=" 02:.+((SYSTEM_STATE.+slice.+state.+changed )|(ment ac)|(system.+state.+changed )|(\[timeout)|(PRM\|1\|D)|(kpr)|(kdp)|(\|lc)|(penalty))" /e /r /s</v>
      </c>
      <c r="U47" s="9" t="str">
        <f t="shared" si="10"/>
        <v>4001</v>
      </c>
      <c r="V47" s="36">
        <f t="shared" si="11"/>
        <v>42685.09680555555</v>
      </c>
      <c r="W47" s="50" t="str">
        <f t="shared" si="12"/>
        <v>EC</v>
      </c>
      <c r="X47" s="50" t="str">
        <f t="shared" si="13"/>
        <v>KEEP</v>
      </c>
      <c r="Y47" s="119" t="str">
        <f t="shared" si="14"/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ID","value":"214-10"},{"id":16,"name":"Locomotive ID","value":"4001"},{"id":130,"name":"Impact","value":""},{"id":150,"name":"Time of Event (Mountain Time)","value":"19:19:24"},{"id":151,"name":"Denver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15"/>
        <v>grep -hSE -A100 "Enforcement Action" "%USERPROFILE%\AppData\Local\Temp\OnboardLogs"\RTDC4001\*4001*201611110* | grep -SE "((Enforcement Ac)|(PRM))" -</v>
      </c>
      <c r="AD47" s="1"/>
    </row>
    <row r="48" spans="1:30" x14ac:dyDescent="0.25">
      <c r="A48" s="36">
        <v>42684.344351851854</v>
      </c>
      <c r="B48" s="31" t="s">
        <v>246</v>
      </c>
      <c r="C48" s="31" t="s">
        <v>389</v>
      </c>
      <c r="D48" s="31" t="s">
        <v>49</v>
      </c>
      <c r="E48" s="31" t="s">
        <v>211</v>
      </c>
      <c r="F48" s="47">
        <v>0</v>
      </c>
      <c r="G48" s="47">
        <v>60</v>
      </c>
      <c r="H48" s="47">
        <v>1084</v>
      </c>
      <c r="I48" s="47">
        <v>1024</v>
      </c>
      <c r="J48" s="31" t="s">
        <v>212</v>
      </c>
      <c r="K48" s="47">
        <v>839</v>
      </c>
      <c r="L48" s="154" t="s">
        <v>51</v>
      </c>
      <c r="M48" s="155">
        <f t="shared" si="8"/>
        <v>97.68</v>
      </c>
      <c r="N48" s="156" t="str">
        <f>VLOOKUP(C48,'Trips&amp;Operators'!$C$1:$E$99999,3,FALSE)</f>
        <v>JOHNSON</v>
      </c>
      <c r="O48" s="184" t="s">
        <v>206</v>
      </c>
      <c r="P48" s="157"/>
      <c r="Q48" s="31"/>
      <c r="R48" s="100" t="str">
        <f>VLOOKUP(C48,'Train Runs'!$A$13:$AE$10004,31,0)</f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S48" s="103" t="str">
        <f>VLOOKUP(C48,'Train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06:19:38-700',mode:absolute,to:'2016-11-10 09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8" s="105" t="str">
        <f t="shared" si="9"/>
        <v>"C:\Program Files (x86)\AstroGrep\AstroGrep.exe" /spath="%USERPROFILE%\AppData\Local\Temp\OnboardLogs" /stypes="*4041*201611101*" /stext=" 15:.+((SYSTEM_STATE.+slice.+state.+changed )|(ment ac)|(system.+state.+changed )|(\[timeout)|(PRM\|1\|D)|(kpr)|(kdp)|(\|lc)|(penalty))" /e /r /s</v>
      </c>
      <c r="U48" s="9" t="str">
        <f t="shared" si="10"/>
        <v>4041</v>
      </c>
      <c r="V48" s="36">
        <f t="shared" si="11"/>
        <v>42684.636018518519</v>
      </c>
      <c r="W48" s="50" t="str">
        <f t="shared" si="12"/>
        <v>EC</v>
      </c>
      <c r="X48" s="50" t="str">
        <f t="shared" si="13"/>
        <v>KEEP</v>
      </c>
      <c r="Y48" s="119" t="str">
        <f t="shared" si="14"/>
        <v>echo {"issue":{"subject":"","project_id":79,"tracker_id":40,"status_id":1,"priority_id":2,"assigned_to_id":23,"start_date":"2016-11-10","description":"","custom_fields":[{"id":1,"name":"Subdivision","value":"EC"},{"id":4,"name":"Milepost","value":"0.0839"},{"id":17,"name":"Train ID","value":"122-10"},{"id":16,"name":"Locomotive ID","value":"4041"},{"id":130,"name":"Impact","value":""},{"id":150,"name":"Time of Event (Mountain Time)","value":"08:15:52"},{"id":151,"name":"Denver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15"/>
        <v>grep -hSE -A100 "Enforcement Action" "%USERPROFILE%\AppData\Local\Temp\OnboardLogs"\RTDC4041\*4041*201611101* | grep -SE "((Enforcement Ac)|(PRM))" -</v>
      </c>
      <c r="AD48" s="1"/>
    </row>
    <row r="49" spans="1:30" x14ac:dyDescent="0.25">
      <c r="A49" s="36">
        <v>42684.765243055554</v>
      </c>
      <c r="B49" s="31" t="s">
        <v>240</v>
      </c>
      <c r="C49" s="31" t="s">
        <v>418</v>
      </c>
      <c r="D49" s="31" t="s">
        <v>49</v>
      </c>
      <c r="E49" s="31" t="s">
        <v>154</v>
      </c>
      <c r="F49" s="47">
        <v>320</v>
      </c>
      <c r="G49" s="47">
        <v>471</v>
      </c>
      <c r="H49" s="47">
        <v>17625</v>
      </c>
      <c r="I49" s="47">
        <v>15960</v>
      </c>
      <c r="J49" s="31" t="s">
        <v>153</v>
      </c>
      <c r="K49" s="47">
        <v>15777</v>
      </c>
      <c r="L49" s="154" t="s">
        <v>51</v>
      </c>
      <c r="M49" s="155">
        <f t="shared" si="8"/>
        <v>96.623999999999995</v>
      </c>
      <c r="N49" s="156" t="str">
        <f>VLOOKUP(C49,'Trips&amp;Operators'!$C$1:$E$99999,3,FALSE)</f>
        <v>MAGEE</v>
      </c>
      <c r="O49" s="184" t="s">
        <v>239</v>
      </c>
      <c r="P49" s="157" t="s">
        <v>813</v>
      </c>
      <c r="Q49" s="31"/>
      <c r="R49" s="100" t="str">
        <f>VLOOKUP(C49,'Train Runs'!$A$13:$AE$10004,31,0)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S49" s="103" t="str">
        <f>VLOOKUP(C49,'Train Runs'!$A$13:$AE$10004,22,0)</f>
        <v>https://search-rtdc-monitor-bjffxe2xuh6vdkpspy63sjmuny.us-east-1.es.amazonaws.com/_plugin/kibana/#/discover/Steve-Slow-Train-Analysis-(2080s-and-2083s)?_g=(refreshInterval:(display:Off,section:0,value:0),time:(from:'2016-11-10 17:07:01-700',mode:absolute,to:'2016-11-10 19:28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9" s="105" t="str">
        <f t="shared" si="9"/>
        <v>"C:\Program Files (x86)\AstroGrep\AstroGrep.exe" /spath="%USERPROFILE%\AppData\Local\Temp\OnboardLogs" /stypes="*4004*201611110*" /stext=" 01:.+((SYSTEM_STATE.+slice.+state.+changed )|(ment ac)|(system.+state.+changed )|(\[timeout)|(PRM\|1\|D)|(kpr)|(kdp)|(\|lc)|(penalty))" /e /r /s</v>
      </c>
      <c r="U49" s="9" t="str">
        <f t="shared" si="10"/>
        <v>4004</v>
      </c>
      <c r="V49" s="36">
        <f t="shared" si="11"/>
        <v>42685.056909722218</v>
      </c>
      <c r="W49" s="50" t="str">
        <f t="shared" si="12"/>
        <v>NW</v>
      </c>
      <c r="X49" s="50" t="str">
        <f t="shared" si="13"/>
        <v>KEEP</v>
      </c>
      <c r="Y49" s="119" t="str">
        <f t="shared" si="14"/>
        <v>echo {"issue":{"subject":"Early arrival @ 41st","project_id":79,"tracker_id":40,"status_id":1,"priority_id":2,"assigned_to_id":23,"start_date":"2016-11-10","description":"","custom_fields":[{"id":1,"name":"Subdivision","value":"NW"},{"id":4,"name":"Milepost","value":"1.5777"},{"id":17,"name":"Train ID","value":"836-10"},{"id":16,"name":"Locomotive ID","value":"4004"},{"id":130,"name":"Impact","value":""},{"id":150,"name":"Time of Event (Mountain Time)","value":"18:21:57"},{"id":151,"name":"Denver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15"/>
        <v>grep -hSE -A100 "Enforcement Action" "%USERPROFILE%\AppData\Local\Temp\OnboardLogs"\RTDC4004\*4004*201611110* | grep -SE "((Enforcement Ac)|(PRM))" -</v>
      </c>
      <c r="AD49" s="1"/>
    </row>
    <row r="50" spans="1:30" x14ac:dyDescent="0.25">
      <c r="A50" s="36">
        <v>42684.287291666667</v>
      </c>
      <c r="B50" s="31" t="s">
        <v>234</v>
      </c>
      <c r="C50" s="31" t="s">
        <v>385</v>
      </c>
      <c r="D50" s="31" t="s">
        <v>98</v>
      </c>
      <c r="E50" s="31" t="s">
        <v>207</v>
      </c>
      <c r="F50" s="47">
        <v>200</v>
      </c>
      <c r="G50" s="47">
        <v>250</v>
      </c>
      <c r="H50" s="47">
        <v>6356</v>
      </c>
      <c r="I50" s="47">
        <v>6969</v>
      </c>
      <c r="J50" s="31" t="s">
        <v>208</v>
      </c>
      <c r="K50" s="47">
        <v>5315</v>
      </c>
      <c r="L50" s="154" t="s">
        <v>50</v>
      </c>
      <c r="M50" s="155">
        <f t="shared" si="8"/>
        <v>-873.31200000000001</v>
      </c>
      <c r="N50" s="156" t="str">
        <f>VLOOKUP(C50,'Trips&amp;Operators'!$C$1:$E$99999,3,FALSE)</f>
        <v>OUN</v>
      </c>
      <c r="O50" s="184" t="s">
        <v>206</v>
      </c>
      <c r="P50" s="157"/>
      <c r="Q50" s="31"/>
      <c r="R50" s="100" t="str">
        <f>VLOOKUP(C50,'Train Runs'!$A$13:$AE$10004,31,0)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S50" s="103" t="str">
        <f>VLOOKUP(C50,'Train Runs'!$A$13:$AE$10004,22,0)</f>
        <v>https://search-rtdc-monitor-bjffxe2xuh6vdkpspy63sjmuny.us-east-1.es.amazonaws.com/_plugin/kibana/#/discover/Steve-Slow-Train-Analysis-(2080s-and-2083s)?_g=(refreshInterval:(display:Off,section:0,value:0),time:(from:'2016-11-10 05:44:06-700',mode:absolute,to:'2016-11-10 08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0" s="105" t="str">
        <f t="shared" si="9"/>
        <v>"C:\Program Files (x86)\AstroGrep\AstroGrep.exe" /spath="%USERPROFILE%\AppData\Local\Temp\OnboardLogs" /stypes="*4003*201611101*" /stext=" 13:.+((SYSTEM_STATE.+slice.+state.+changed )|(ment ac)|(system.+state.+changed )|(\[timeout)|(PRM\|1\|D)|(kpr)|(kdp)|(\|lc)|(penalty))" /e /r /s</v>
      </c>
      <c r="U50" s="9" t="str">
        <f t="shared" si="10"/>
        <v>4003</v>
      </c>
      <c r="V50" s="36">
        <f t="shared" si="11"/>
        <v>42684.578958333332</v>
      </c>
      <c r="W50" s="50" t="str">
        <f t="shared" si="12"/>
        <v>NW</v>
      </c>
      <c r="X50" s="50" t="str">
        <f t="shared" si="13"/>
        <v>KEEP</v>
      </c>
      <c r="Y50" s="119" t="str">
        <f t="shared" si="14"/>
        <v>echo {"issue":{"subject":"","project_id":79,"tracker_id":40,"status_id":1,"priority_id":2,"assigned_to_id":23,"start_date":"2016-11-10","description":"","custom_fields":[{"id":1,"name":"Subdivision","value":"NW"},{"id":4,"name":"Milepost","value":"0.5315"},{"id":17,"name":"Train ID","value":"805-10"},{"id":16,"name":"Locomotive ID","value":"4003"},{"id":130,"name":"Impact","value":""},{"id":150,"name":"Time of Event (Mountain Time)","value":"06:53:42"},{"id":151,"name":"Denver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15"/>
        <v>grep -hSE -A100 "Enforcement Action" "%USERPROFILE%\AppData\Local\Temp\OnboardLogs"\RTDC4003\*4003*201611101* | grep -SE "((Enforcement Ac)|(PRM))" -</v>
      </c>
      <c r="AD50" s="1"/>
    </row>
    <row r="51" spans="1:30" x14ac:dyDescent="0.25">
      <c r="A51" s="36">
        <v>42684.558206018519</v>
      </c>
      <c r="B51" s="31" t="s">
        <v>189</v>
      </c>
      <c r="C51" s="31" t="s">
        <v>409</v>
      </c>
      <c r="D51" s="31" t="s">
        <v>98</v>
      </c>
      <c r="E51" s="31" t="s">
        <v>207</v>
      </c>
      <c r="F51" s="47">
        <v>200</v>
      </c>
      <c r="G51" s="47">
        <v>256</v>
      </c>
      <c r="H51" s="47">
        <v>6352</v>
      </c>
      <c r="I51" s="47">
        <v>6917</v>
      </c>
      <c r="J51" s="31" t="s">
        <v>208</v>
      </c>
      <c r="K51" s="47">
        <v>5315</v>
      </c>
      <c r="L51" s="154" t="s">
        <v>50</v>
      </c>
      <c r="M51" s="155">
        <f t="shared" si="8"/>
        <v>-845.85599999999999</v>
      </c>
      <c r="N51" s="156" t="str">
        <f>VLOOKUP(C51,'Trips&amp;Operators'!$C$1:$E$99999,3,FALSE)</f>
        <v>DAVIDSON</v>
      </c>
      <c r="O51" s="184" t="s">
        <v>206</v>
      </c>
      <c r="P51" s="157"/>
      <c r="Q51" s="31"/>
      <c r="R51" s="100" t="str">
        <f>VLOOKUP(C51,'Train Runs'!$A$13:$AE$10004,31,0)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S51" s="103" t="str">
        <f>VLOOKUP(C51,'Train Runs'!$A$13:$AE$10004,22,0)</f>
        <v>https://search-rtdc-monitor-bjffxe2xuh6vdkpspy63sjmuny.us-east-1.es.amazonaws.com/_plugin/kibana/#/discover/Steve-Slow-Train-Analysis-(2080s-and-2083s)?_g=(refreshInterval:(display:Off,section:0,value:0),time:(from:'2016-11-10 12:16:40-700',mode:absolute,to:'2016-11-10 14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51" s="105" t="str">
        <f t="shared" si="9"/>
        <v>"C:\Program Files (x86)\AstroGrep\AstroGrep.exe" /spath="%USERPROFILE%\AppData\Local\Temp\OnboardLogs" /stypes="*4044*201611102*" /stext=" 20:.+((SYSTEM_STATE.+slice.+state.+changed )|(ment ac)|(system.+state.+changed )|(\[timeout)|(PRM\|1\|D)|(kpr)|(kdp)|(\|lc)|(penalty))" /e /r /s</v>
      </c>
      <c r="U51" s="9" t="str">
        <f t="shared" si="10"/>
        <v>4044</v>
      </c>
      <c r="V51" s="36">
        <f t="shared" si="11"/>
        <v>42684.849872685183</v>
      </c>
      <c r="W51" s="50" t="str">
        <f t="shared" si="12"/>
        <v>NW</v>
      </c>
      <c r="X51" s="50" t="str">
        <f t="shared" si="13"/>
        <v>KEEP</v>
      </c>
      <c r="Y51" s="119" t="str">
        <f t="shared" si="14"/>
        <v>echo {"issue":{"subject":"","project_id":79,"tracker_id":40,"status_id":1,"priority_id":2,"assigned_to_id":23,"start_date":"2016-11-10","description":"","custom_fields":[{"id":1,"name":"Subdivision","value":"NW"},{"id":4,"name":"Milepost","value":"0.5315"},{"id":17,"name":"Train ID","value":"821-10"},{"id":16,"name":"Locomotive ID","value":"4044"},{"id":130,"name":"Impact","value":""},{"id":150,"name":"Time of Event (Mountain Time)","value":"13:23:49"},{"id":151,"name":"Denver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15"/>
        <v>grep -hSE -A100 "Enforcement Action" "%USERPROFILE%\AppData\Local\Temp\OnboardLogs"\RTDC4044\*4044*201611102* | grep -SE "((Enforcement Ac)|(PRM))" -</v>
      </c>
      <c r="AD51" s="1"/>
    </row>
    <row r="52" spans="1:30" x14ac:dyDescent="0.25">
      <c r="A52" s="36">
        <v>42684.70884259259</v>
      </c>
      <c r="B52" s="31" t="s">
        <v>234</v>
      </c>
      <c r="C52" s="31" t="s">
        <v>415</v>
      </c>
      <c r="D52" s="31" t="s">
        <v>98</v>
      </c>
      <c r="E52" s="31" t="s">
        <v>207</v>
      </c>
      <c r="F52" s="47">
        <v>300</v>
      </c>
      <c r="G52" s="47">
        <v>355</v>
      </c>
      <c r="H52" s="47">
        <v>42184</v>
      </c>
      <c r="I52" s="47">
        <v>43208</v>
      </c>
      <c r="J52" s="31" t="s">
        <v>208</v>
      </c>
      <c r="K52" s="47">
        <v>39716</v>
      </c>
      <c r="L52" s="154" t="s">
        <v>50</v>
      </c>
      <c r="M52" s="155">
        <f t="shared" si="8"/>
        <v>-1843.7760000000001</v>
      </c>
      <c r="N52" s="156" t="str">
        <f>VLOOKUP(C52,'Trips&amp;Operators'!$C$1:$E$99999,3,FALSE)</f>
        <v>MAGEE</v>
      </c>
      <c r="O52" s="184" t="s">
        <v>206</v>
      </c>
      <c r="P52" s="157"/>
      <c r="Q52" s="31"/>
      <c r="R52" s="100" t="str">
        <f>VLOOKUP(C52,'Train Runs'!$A$13:$AE$10004,31,0)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S52" s="103" t="str">
        <f>VLOOKUP(C52,'Train Runs'!$A$13:$AE$10004,22,0)</f>
        <v>https://search-rtdc-monitor-bjffxe2xuh6vdkpspy63sjmuny.us-east-1.es.amazonaws.com/_plugin/kibana/#/discover/Steve-Slow-Train-Analysis-(2080s-and-2083s)?_g=(refreshInterval:(display:Off,section:0,value:0),time:(from:'2016-11-10 15:46:30-700',mode:absolute,to:'2016-11-10 18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2" s="105" t="str">
        <f t="shared" si="9"/>
        <v>"C:\Program Files (x86)\AstroGrep\AstroGrep.exe" /spath="%USERPROFILE%\AppData\Local\Temp\OnboardLogs" /stypes="*4003*201611110*" /stext=" 00:.+((SYSTEM_STATE.+slice.+state.+changed )|(ment ac)|(system.+state.+changed )|(\[timeout)|(PRM\|1\|D)|(kpr)|(kdp)|(\|lc)|(penalty))" /e /r /s</v>
      </c>
      <c r="U52" s="9" t="str">
        <f t="shared" si="10"/>
        <v>4003</v>
      </c>
      <c r="V52" s="36">
        <f t="shared" si="11"/>
        <v>42685.000509259255</v>
      </c>
      <c r="W52" s="50" t="str">
        <f t="shared" si="12"/>
        <v>NW</v>
      </c>
      <c r="X52" s="50" t="str">
        <f t="shared" si="13"/>
        <v>KEEP</v>
      </c>
      <c r="Y52" s="119" t="str">
        <f t="shared" si="14"/>
        <v>echo {"issue":{"subject":"","project_id":79,"tracker_id":40,"status_id":1,"priority_id":2,"assigned_to_id":23,"start_date":"2016-11-10","description":"","custom_fields":[{"id":1,"name":"Subdivision","value":"NW"},{"id":4,"name":"Milepost","value":"3.9716"},{"id":17,"name":"Train ID","value":"831-10"},{"id":16,"name":"Locomotive ID","value":"4003"},{"id":130,"name":"Impact","value":""},{"id":150,"name":"Time of Event (Mountain Time)","value":"17:00:44"},{"id":151,"name":"Denver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 t="shared" si="15"/>
        <v>grep -hSE -A100 "Enforcement Action" "%USERPROFILE%\AppData\Local\Temp\OnboardLogs"\RTDC4003\*4003*201611110* | grep -SE "((Enforcement Ac)|(PRM))" -</v>
      </c>
      <c r="AD52" s="1"/>
    </row>
    <row r="53" spans="1:30" x14ac:dyDescent="0.25">
      <c r="A53" s="36">
        <v>42684.667094907411</v>
      </c>
      <c r="B53" s="31" t="s">
        <v>234</v>
      </c>
      <c r="C53" s="31" t="s">
        <v>412</v>
      </c>
      <c r="D53" s="31" t="s">
        <v>98</v>
      </c>
      <c r="E53" s="31" t="s">
        <v>207</v>
      </c>
      <c r="F53" s="47">
        <v>400</v>
      </c>
      <c r="G53" s="47">
        <v>450</v>
      </c>
      <c r="H53" s="47">
        <v>43439</v>
      </c>
      <c r="I53" s="47">
        <v>44797</v>
      </c>
      <c r="J53" s="31" t="s">
        <v>208</v>
      </c>
      <c r="K53" s="47">
        <v>41797</v>
      </c>
      <c r="L53" s="154" t="s">
        <v>50</v>
      </c>
      <c r="M53" s="155">
        <f t="shared" si="8"/>
        <v>-1584</v>
      </c>
      <c r="N53" s="156" t="str">
        <f>VLOOKUP(C53,'Trips&amp;Operators'!$C$1:$E$99999,3,FALSE)</f>
        <v>MAGEE</v>
      </c>
      <c r="O53" s="184" t="s">
        <v>206</v>
      </c>
      <c r="P53" s="157"/>
      <c r="Q53" s="31"/>
      <c r="R53" s="100" t="str">
        <f>VLOOKUP(C53,'Train Runs'!$A$13:$AE$10004,31,0)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S53" s="103" t="str">
        <f>VLOOKUP(C53,'Train Runs'!$A$13:$AE$10004,22,0)</f>
        <v>https://search-rtdc-monitor-bjffxe2xuh6vdkpspy63sjmuny.us-east-1.es.amazonaws.com/_plugin/kibana/#/discover/Steve-Slow-Train-Analysis-(2080s-and-2083s)?_g=(refreshInterval:(display:Off,section:0,value:0),time:(from:'2016-11-10 14:32:01-700',mode:absolute,to:'2016-11-10 17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3" s="105" t="str">
        <f t="shared" si="9"/>
        <v>"C:\Program Files (x86)\AstroGrep\AstroGrep.exe" /spath="%USERPROFILE%\AppData\Local\Temp\OnboardLogs" /stypes="*4003*201611102*" /stext=" 23:.+((SYSTEM_STATE.+slice.+state.+changed )|(ment ac)|(system.+state.+changed )|(\[timeout)|(PRM\|1\|D)|(kpr)|(kdp)|(\|lc)|(penalty))" /e /r /s</v>
      </c>
      <c r="U53" s="9" t="str">
        <f t="shared" si="10"/>
        <v>4003</v>
      </c>
      <c r="V53" s="36">
        <f t="shared" si="11"/>
        <v>42684.958761574075</v>
      </c>
      <c r="W53" s="50" t="str">
        <f t="shared" si="12"/>
        <v>NW</v>
      </c>
      <c r="X53" s="50" t="str">
        <f t="shared" si="13"/>
        <v>KEEP</v>
      </c>
      <c r="Y53" s="119" t="str">
        <f t="shared" si="14"/>
        <v>echo {"issue":{"subject":"","project_id":79,"tracker_id":40,"status_id":1,"priority_id":2,"assigned_to_id":23,"start_date":"2016-11-10","description":"","custom_fields":[{"id":1,"name":"Subdivision","value":"NW"},{"id":4,"name":"Milepost","value":"4.1797"},{"id":17,"name":"Train ID","value":"827-10"},{"id":16,"name":"Locomotive ID","value":"4003"},{"id":130,"name":"Impact","value":""},{"id":150,"name":"Time of Event (Mountain Time)","value":"16:00:37"},{"id":151,"name":"Denver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 t="shared" si="15"/>
        <v>grep -hSE -A100 "Enforcement Action" "%USERPROFILE%\AppData\Local\Temp\OnboardLogs"\RTDC4003\*4003*201611102* | grep -SE "((Enforcement Ac)|(PRM))" -</v>
      </c>
      <c r="AD53" s="1"/>
    </row>
    <row r="54" spans="1:30" x14ac:dyDescent="0.25">
      <c r="A54" s="36">
        <v>42684.48033564815</v>
      </c>
      <c r="B54" s="31" t="s">
        <v>189</v>
      </c>
      <c r="C54" s="31" t="s">
        <v>404</v>
      </c>
      <c r="D54" s="31" t="s">
        <v>49</v>
      </c>
      <c r="E54" s="31" t="s">
        <v>207</v>
      </c>
      <c r="F54" s="47">
        <v>150</v>
      </c>
      <c r="G54" s="47">
        <v>282</v>
      </c>
      <c r="H54" s="47">
        <v>56471</v>
      </c>
      <c r="I54" s="47">
        <v>56919</v>
      </c>
      <c r="J54" s="31" t="s">
        <v>208</v>
      </c>
      <c r="K54" s="47">
        <v>57008</v>
      </c>
      <c r="L54" s="154" t="s">
        <v>50</v>
      </c>
      <c r="M54" s="155">
        <f t="shared" si="8"/>
        <v>46.991999999999997</v>
      </c>
      <c r="N54" s="156" t="str">
        <f>VLOOKUP(C54,'Trips&amp;Operators'!$C$1:$E$99999,3,FALSE)</f>
        <v>GEBRETEKLE</v>
      </c>
      <c r="O54" s="184" t="s">
        <v>206</v>
      </c>
      <c r="P54" s="157"/>
      <c r="Q54" s="31"/>
      <c r="R54" s="100" t="str">
        <f>VLOOKUP(C54,'Train Runs'!$A$13:$AE$10004,31,0)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S54" s="103" t="str">
        <f>VLOOKUP(C54,'Train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10:17:16-700',mode:absolute,to:'2016-11-10 12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54" s="105" t="str">
        <f t="shared" si="9"/>
        <v>"C:\Program Files (x86)\AstroGrep\AstroGrep.exe" /spath="%USERPROFILE%\AppData\Local\Temp\OnboardLogs" /stypes="*4044*201611101*" /stext=" 18:.+((SYSTEM_STATE.+slice.+state.+changed )|(ment ac)|(system.+state.+changed )|(\[timeout)|(PRM\|1\|D)|(kpr)|(kdp)|(\|lc)|(penalty))" /e /r /s</v>
      </c>
      <c r="U54" s="9" t="str">
        <f t="shared" si="10"/>
        <v>4044</v>
      </c>
      <c r="V54" s="36">
        <f t="shared" si="11"/>
        <v>42684.772002314814</v>
      </c>
      <c r="W54" s="50" t="str">
        <f t="shared" si="12"/>
        <v>NW</v>
      </c>
      <c r="X54" s="50" t="str">
        <f t="shared" si="13"/>
        <v>KEEP</v>
      </c>
      <c r="Y54" s="119" t="str">
        <f t="shared" si="14"/>
        <v>echo {"issue":{"subject":"","project_id":79,"tracker_id":40,"status_id":1,"priority_id":2,"assigned_to_id":23,"start_date":"2016-11-10","description":"","custom_fields":[{"id":1,"name":"Subdivision","value":"NW"},{"id":4,"name":"Milepost","value":"5.7008"},{"id":17,"name":"Train ID","value":"817-10"},{"id":16,"name":"Locomotive ID","value":"4044"},{"id":130,"name":"Impact","value":""},{"id":150,"name":"Time of Event (Mountain Time)","value":"11:31:41"},{"id":151,"name":"Denver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 t="shared" si="15"/>
        <v>grep -hSE -A100 "Enforcement Action" "%USERPROFILE%\AppData\Local\Temp\OnboardLogs"\RTDC4044\*4044*201611101* | grep -SE "((Enforcement Ac)|(PRM))" -</v>
      </c>
      <c r="AD54" s="1"/>
    </row>
    <row r="55" spans="1:30" x14ac:dyDescent="0.25">
      <c r="A55" s="36">
        <v>42684.668773148151</v>
      </c>
      <c r="B55" s="31" t="s">
        <v>234</v>
      </c>
      <c r="C55" s="31" t="s">
        <v>412</v>
      </c>
      <c r="D55" s="31" t="s">
        <v>49</v>
      </c>
      <c r="E55" s="31" t="s">
        <v>207</v>
      </c>
      <c r="F55" s="47">
        <v>150</v>
      </c>
      <c r="G55" s="47">
        <v>446</v>
      </c>
      <c r="H55" s="47">
        <v>54831</v>
      </c>
      <c r="I55" s="47">
        <v>56234</v>
      </c>
      <c r="J55" s="31" t="s">
        <v>208</v>
      </c>
      <c r="K55" s="47">
        <v>57008</v>
      </c>
      <c r="L55" s="154" t="s">
        <v>50</v>
      </c>
      <c r="M55" s="155">
        <f t="shared" si="8"/>
        <v>408.67200000000003</v>
      </c>
      <c r="N55" s="156" t="str">
        <f>VLOOKUP(C55,'Trips&amp;Operators'!$C$1:$E$99999,3,FALSE)</f>
        <v>MAGEE</v>
      </c>
      <c r="O55" s="184" t="s">
        <v>206</v>
      </c>
      <c r="P55" s="157"/>
      <c r="Q55" s="31"/>
      <c r="R55" s="100" t="str">
        <f>VLOOKUP(C55,'Train Runs'!$A$13:$AE$10004,31,0)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S55" s="103" t="str">
        <f>VLOOKUP(C55,'Train Runs'!$A$13:$AE$10004,22,0)</f>
        <v>https://search-rtdc-monitor-bjffxe2xuh6vdkpspy63sjmuny.us-east-1.es.amazonaws.com/_plugin/kibana/#/discover/Steve-Slow-Train-Analysis-(2080s-and-2083s)?_g=(refreshInterval:(display:Off,section:0,value:0),time:(from:'2016-11-10 14:32:01-700',mode:absolute,to:'2016-11-10 17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5" s="105" t="str">
        <f t="shared" si="9"/>
        <v>"C:\Program Files (x86)\AstroGrep\AstroGrep.exe" /spath="%USERPROFILE%\AppData\Local\Temp\OnboardLogs" /stypes="*4003*201611102*" /stext=" 23:.+((SYSTEM_STATE.+slice.+state.+changed )|(ment ac)|(system.+state.+changed )|(\[timeout)|(PRM\|1\|D)|(kpr)|(kdp)|(\|lc)|(penalty))" /e /r /s</v>
      </c>
      <c r="U55" s="9" t="str">
        <f t="shared" si="10"/>
        <v>4003</v>
      </c>
      <c r="V55" s="36">
        <f t="shared" si="11"/>
        <v>42684.960439814815</v>
      </c>
      <c r="W55" s="50" t="str">
        <f t="shared" si="12"/>
        <v>NW</v>
      </c>
      <c r="X55" s="50" t="str">
        <f t="shared" si="13"/>
        <v>KEEP</v>
      </c>
      <c r="Y55" s="119" t="str">
        <f t="shared" si="14"/>
        <v>echo {"issue":{"subject":"","project_id":79,"tracker_id":40,"status_id":1,"priority_id":2,"assigned_to_id":23,"start_date":"2016-11-10","description":"","custom_fields":[{"id":1,"name":"Subdivision","value":"NW"},{"id":4,"name":"Milepost","value":"5.7008"},{"id":17,"name":"Train ID","value":"827-10"},{"id":16,"name":"Locomotive ID","value":"4003"},{"id":130,"name":"Impact","value":""},{"id":150,"name":"Time of Event (Mountain Time)","value":"16:03:02"},{"id":151,"name":"Denver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 t="shared" si="15"/>
        <v>grep -hSE -A100 "Enforcement Action" "%USERPROFILE%\AppData\Local\Temp\OnboardLogs"\RTDC4003\*4003*201611102* | grep -SE "((Enforcement Ac)|(PRM))" -</v>
      </c>
      <c r="AD55" s="1"/>
    </row>
    <row r="56" spans="1:30" x14ac:dyDescent="0.25">
      <c r="A56" s="36">
        <v>42684.673668981479</v>
      </c>
      <c r="B56" s="31" t="s">
        <v>240</v>
      </c>
      <c r="C56" s="31" t="s">
        <v>413</v>
      </c>
      <c r="D56" s="31" t="s">
        <v>98</v>
      </c>
      <c r="E56" s="31" t="s">
        <v>207</v>
      </c>
      <c r="F56" s="47">
        <v>150</v>
      </c>
      <c r="G56" s="47">
        <v>200</v>
      </c>
      <c r="H56" s="47">
        <v>58114</v>
      </c>
      <c r="I56" s="47">
        <v>57783</v>
      </c>
      <c r="J56" s="31" t="s">
        <v>208</v>
      </c>
      <c r="K56" s="47">
        <v>59050</v>
      </c>
      <c r="L56" s="154" t="s">
        <v>51</v>
      </c>
      <c r="M56" s="155">
        <f t="shared" si="8"/>
        <v>-668.976</v>
      </c>
      <c r="N56" s="156" t="str">
        <f>VLOOKUP(C56,'Trips&amp;Operators'!$C$1:$E$99999,3,FALSE)</f>
        <v>MAGEE</v>
      </c>
      <c r="O56" s="184" t="s">
        <v>206</v>
      </c>
      <c r="P56" s="157"/>
      <c r="Q56" s="31"/>
      <c r="R56" s="100" t="str">
        <f>VLOOKUP(C56,'Train Runs'!$A$13:$AE$10004,31,0)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S56" s="103" t="str">
        <f>VLOOKUP(C56,'Train Runs'!$A$13:$AE$10004,22,0)</f>
        <v>https://search-rtdc-monitor-bjffxe2xuh6vdkpspy63sjmuny.us-east-1.es.amazonaws.com/_plugin/kibana/#/discover/Steve-Slow-Train-Analysis-(2080s-and-2083s)?_g=(refreshInterval:(display:Off,section:0,value:0),time:(from:'2016-11-10 15:07:44-700',mode:absolute,to:'2016-11-10 17:10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6" s="105" t="str">
        <f t="shared" si="9"/>
        <v>"C:\Program Files (x86)\AstroGrep\AstroGrep.exe" /spath="%USERPROFILE%\AppData\Local\Temp\OnboardLogs" /stypes="*4004*201611102*" /stext=" 23:.+((SYSTEM_STATE.+slice.+state.+changed )|(ment ac)|(system.+state.+changed )|(\[timeout)|(PRM\|1\|D)|(kpr)|(kdp)|(\|lc)|(penalty))" /e /r /s</v>
      </c>
      <c r="U56" s="9" t="str">
        <f t="shared" si="10"/>
        <v>4004</v>
      </c>
      <c r="V56" s="36">
        <f t="shared" si="11"/>
        <v>42684.965335648143</v>
      </c>
      <c r="W56" s="50" t="str">
        <f t="shared" si="12"/>
        <v>NW</v>
      </c>
      <c r="X56" s="50" t="str">
        <f t="shared" si="13"/>
        <v>KEEP</v>
      </c>
      <c r="Y56" s="119" t="str">
        <f t="shared" si="14"/>
        <v>echo {"issue":{"subject":"","project_id":79,"tracker_id":40,"status_id":1,"priority_id":2,"assigned_to_id":23,"start_date":"2016-11-10","description":"","custom_fields":[{"id":1,"name":"Subdivision","value":"NW"},{"id":4,"name":"Milepost","value":"5.905"},{"id":17,"name":"Train ID","value":"828-10"},{"id":16,"name":"Locomotive ID","value":"4004"},{"id":130,"name":"Impact","value":""},{"id":150,"name":"Time of Event (Mountain Time)","value":"16:10:05"},{"id":151,"name":"Denver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 t="shared" si="15"/>
        <v>grep -hSE -A100 "Enforcement Action" "%USERPROFILE%\AppData\Local\Temp\OnboardLogs"\RTDC4004\*4004*201611102* | grep -SE "((Enforcement Ac)|(PRM))" -</v>
      </c>
      <c r="AD56" s="1"/>
    </row>
    <row r="57" spans="1:30" x14ac:dyDescent="0.25">
      <c r="A57" s="36">
        <v>42684.827476851853</v>
      </c>
      <c r="B57" s="31" t="s">
        <v>294</v>
      </c>
      <c r="C57" s="31" t="s">
        <v>420</v>
      </c>
      <c r="D57" s="31" t="s">
        <v>98</v>
      </c>
      <c r="E57" s="31" t="s">
        <v>209</v>
      </c>
      <c r="F57" s="47">
        <v>0</v>
      </c>
      <c r="G57" s="47">
        <v>74</v>
      </c>
      <c r="H57" s="47">
        <v>11016</v>
      </c>
      <c r="I57" s="47">
        <v>10933</v>
      </c>
      <c r="J57" s="31" t="s">
        <v>210</v>
      </c>
      <c r="K57" s="47">
        <v>11016</v>
      </c>
      <c r="L57" s="154" t="s">
        <v>51</v>
      </c>
      <c r="M57" s="155">
        <f t="shared" si="8"/>
        <v>-43.823999999999998</v>
      </c>
      <c r="N57" s="156" t="str">
        <f>VLOOKUP(C57,'Trips&amp;Operators'!$C$1:$E$99999,3,FALSE)</f>
        <v>DAVIDSON</v>
      </c>
      <c r="O57" s="184" t="s">
        <v>239</v>
      </c>
      <c r="P57" s="157" t="s">
        <v>814</v>
      </c>
      <c r="Q57" s="31"/>
      <c r="R57" s="100" t="str">
        <f>VLOOKUP(C57,'Train Runs'!$A$13:$AE$10004,31,0)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S57" s="103" t="str">
        <f>VLOOKUP(C57,'Train Runs'!$A$13:$AE$10004,22,0)</f>
        <v>https://search-rtdc-monitor-bjffxe2xuh6vdkpspy63sjmuny.us-east-1.es.amazonaws.com/_plugin/kibana/#/discover/Steve-Slow-Train-Analysis-(2080s-and-2083s)?_g=(refreshInterval:(display:Off,section:0,value:0),time:(from:'2016-11-10 18:38:44-700',mode:absolute,to:'2016-11-10 20:57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57" s="105" t="str">
        <f t="shared" si="9"/>
        <v>"C:\Program Files (x86)\AstroGrep\AstroGrep.exe" /spath="%USERPROFILE%\AppData\Local\Temp\OnboardLogs" /stypes="*4043*201611110*" /stext=" 02:.+((SYSTEM_STATE.+slice.+state.+changed )|(ment ac)|(system.+state.+changed )|(\[timeout)|(PRM\|1\|D)|(kpr)|(kdp)|(\|lc)|(penalty))" /e /r /s</v>
      </c>
      <c r="U57" s="9" t="str">
        <f t="shared" si="10"/>
        <v>4043</v>
      </c>
      <c r="V57" s="36">
        <f t="shared" si="11"/>
        <v>42685.119143518517</v>
      </c>
      <c r="W57" s="50" t="str">
        <f t="shared" si="12"/>
        <v>NW</v>
      </c>
      <c r="X57" s="50" t="str">
        <f t="shared" si="13"/>
        <v>KEEP</v>
      </c>
      <c r="Y57" s="119" t="str">
        <f t="shared" si="14"/>
        <v>echo {"issue":{"subject":"GPS/tach disagreement under I-25 bridge","project_id":79,"tracker_id":40,"status_id":1,"priority_id":2,"assigned_to_id":23,"start_date":"2016-11-10","description":"See title","custom_fields":[{"id":1,"name":"Subdivision","value":"NW"},{"id":4,"name":"Milepost","value":"1.1016"},{"id":17,"name":"Train ID","value":"840-10"},{"id":16,"name":"Locomotive ID","value":"4043"},{"id":130,"name":"Impact","value":"Enforcement"},{"id":150,"name":"Time of Event (Mountain Time)","value":"19:51:34"},{"id":151,"name":"Denver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57" s="53" t="s">
        <v>376</v>
      </c>
      <c r="AA57" s="53" t="s">
        <v>125</v>
      </c>
      <c r="AB57" s="53" t="s">
        <v>178</v>
      </c>
      <c r="AC57" s="138" t="str">
        <f t="shared" si="15"/>
        <v>grep -hSE -A100 "Enforcement Action" "%USERPROFILE%\AppData\Local\Temp\OnboardLogs"\RTDC4043\*4043*201611110* | grep -SE "((Enforcement Ac)|(PRM))" -</v>
      </c>
      <c r="AD57" s="1"/>
    </row>
    <row r="58" spans="1:30" x14ac:dyDescent="0.25">
      <c r="A58" s="36">
        <v>42684.673981481479</v>
      </c>
      <c r="B58" s="31" t="s">
        <v>240</v>
      </c>
      <c r="C58" s="31" t="s">
        <v>413</v>
      </c>
      <c r="D58" s="31" t="s">
        <v>49</v>
      </c>
      <c r="E58" s="31" t="s">
        <v>209</v>
      </c>
      <c r="F58" s="47">
        <v>0</v>
      </c>
      <c r="G58" s="47">
        <v>71</v>
      </c>
      <c r="H58" s="47">
        <v>57737</v>
      </c>
      <c r="I58" s="47">
        <v>57665</v>
      </c>
      <c r="J58" s="31" t="s">
        <v>210</v>
      </c>
      <c r="K58" s="47">
        <v>24235</v>
      </c>
      <c r="L58" s="154" t="s">
        <v>51</v>
      </c>
      <c r="M58" s="155">
        <f t="shared" si="8"/>
        <v>17651.04</v>
      </c>
      <c r="N58" s="156" t="str">
        <f>VLOOKUP(C58,'Trips&amp;Operators'!$C$1:$E$99999,3,FALSE)</f>
        <v>MAGEE</v>
      </c>
      <c r="O58" s="184" t="s">
        <v>239</v>
      </c>
      <c r="P58" s="157" t="s">
        <v>316</v>
      </c>
      <c r="Q58" s="31"/>
      <c r="R58" s="100" t="str">
        <f>VLOOKUP(C58,'Train Runs'!$A$13:$AE$10004,31,0)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S58" s="103" t="str">
        <f>VLOOKUP(C58,'Train Runs'!$A$13:$AE$10004,22,0)</f>
        <v>https://search-rtdc-monitor-bjffxe2xuh6vdkpspy63sjmuny.us-east-1.es.amazonaws.com/_plugin/kibana/#/discover/Steve-Slow-Train-Analysis-(2080s-and-2083s)?_g=(refreshInterval:(display:Off,section:0,value:0),time:(from:'2016-11-10 15:07:44-700',mode:absolute,to:'2016-11-10 17:10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8" s="105" t="str">
        <f t="shared" si="9"/>
        <v>"C:\Program Files (x86)\AstroGrep\AstroGrep.exe" /spath="%USERPROFILE%\AppData\Local\Temp\OnboardLogs" /stypes="*4004*201611102*" /stext=" 23:.+((SYSTEM_STATE.+slice.+state.+changed )|(ment ac)|(system.+state.+changed )|(\[timeout)|(PRM\|1\|D)|(kpr)|(kdp)|(\|lc)|(penalty))" /e /r /s</v>
      </c>
      <c r="U58" s="9" t="str">
        <f t="shared" si="10"/>
        <v>4004</v>
      </c>
      <c r="V58" s="36">
        <f t="shared" si="11"/>
        <v>42684.965648148143</v>
      </c>
      <c r="W58" s="50" t="str">
        <f t="shared" si="12"/>
        <v>NW</v>
      </c>
      <c r="X58" s="50" t="str">
        <f t="shared" si="13"/>
        <v>KEEP</v>
      </c>
      <c r="Y58" s="119" t="str">
        <f t="shared" si="14"/>
        <v>echo {"issue":{"subject":"Onboard in-route failure","project_id":79,"tracker_id":40,"status_id":1,"priority_id":2,"assigned_to_id":23,"start_date":"2016-11-10","description":"","custom_fields":[{"id":1,"name":"Subdivision","value":"NW"},{"id":4,"name":"Milepost","value":"2.4235"},{"id":17,"name":"Train ID","value":"828-10"},{"id":16,"name":"Locomotive ID","value":"4004"},{"id":130,"name":"Impact","value":""},{"id":150,"name":"Time of Event (Mountain Time)","value":"16:10:32"},{"id":151,"name":"Denver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38" t="str">
        <f t="shared" si="15"/>
        <v>grep -hSE -A100 "Enforcement Action" "%USERPROFILE%\AppData\Local\Temp\OnboardLogs"\RTDC4004\*4004*201611102* | grep -SE "((Enforcement Ac)|(PRM))" -</v>
      </c>
      <c r="AD58" s="1"/>
    </row>
    <row r="59" spans="1:30" x14ac:dyDescent="0.25">
      <c r="A59" s="36">
        <v>42684.274201388886</v>
      </c>
      <c r="B59" s="31" t="s">
        <v>189</v>
      </c>
      <c r="C59" s="31" t="s">
        <v>383</v>
      </c>
      <c r="D59" s="31" t="s">
        <v>98</v>
      </c>
      <c r="E59" s="31" t="s">
        <v>211</v>
      </c>
      <c r="F59" s="47">
        <v>0</v>
      </c>
      <c r="G59" s="47">
        <v>3</v>
      </c>
      <c r="H59" s="47">
        <v>59048</v>
      </c>
      <c r="I59" s="47">
        <v>59046</v>
      </c>
      <c r="J59" s="31" t="s">
        <v>212</v>
      </c>
      <c r="K59" s="47">
        <v>59048</v>
      </c>
      <c r="L59" s="154" t="s">
        <v>50</v>
      </c>
      <c r="M59" s="155">
        <f t="shared" si="8"/>
        <v>1.056</v>
      </c>
      <c r="N59" s="156" t="str">
        <f>VLOOKUP(C59,'Trips&amp;Operators'!$C$1:$E$99999,3,FALSE)</f>
        <v>MACDONALD</v>
      </c>
      <c r="O59" s="184" t="s">
        <v>206</v>
      </c>
      <c r="P59" s="157"/>
      <c r="Q59" s="31"/>
      <c r="R59" s="100" t="str">
        <f>VLOOKUP(C59,'Train Runs'!$A$13:$AE$10004,31,0)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S59" s="103" t="str">
        <f>VLOOKUP(C59,'Train Runs'!$A$13:$AE$10004,22,0)</f>
        <v>https://search-rtdc-monitor-bjffxe2xuh6vdkpspy63sjmuny.us-east-1.es.amazonaws.com/_plugin/kibana/#/discover/Steve-Slow-Train-Analysis-(2080s-and-2083s)?_g=(refreshInterval:(display:Off,section:0,value:0),time:(from:'2016-11-10 05:16:46-700',mode:absolute,to:'2016-11-10 07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59" s="105" t="str">
        <f t="shared" si="9"/>
        <v>"C:\Program Files (x86)\AstroGrep\AstroGrep.exe" /spath="%USERPROFILE%\AppData\Local\Temp\OnboardLogs" /stypes="*4044*201611101*" /stext=" 13:.+((SYSTEM_STATE.+slice.+state.+changed )|(ment ac)|(system.+state.+changed )|(\[timeout)|(PRM\|1\|D)|(kpr)|(kdp)|(\|lc)|(penalty))" /e /r /s</v>
      </c>
      <c r="U59" s="9" t="str">
        <f t="shared" si="10"/>
        <v>4044</v>
      </c>
      <c r="V59" s="36">
        <f t="shared" si="11"/>
        <v>42684.56586805555</v>
      </c>
      <c r="W59" s="50" t="str">
        <f t="shared" si="12"/>
        <v>NW</v>
      </c>
      <c r="X59" s="50" t="str">
        <f t="shared" si="13"/>
        <v>OMIT</v>
      </c>
      <c r="Y59" s="119" t="str">
        <f t="shared" si="14"/>
        <v>echo {"issue":{"subject":"","project_id":79,"tracker_id":40,"status_id":1,"priority_id":2,"assigned_to_id":23,"start_date":"2016-11-10","description":"","custom_fields":[{"id":1,"name":"Subdivision","value":"NW"},{"id":4,"name":"Milepost","value":"5.9048"},{"id":17,"name":"Train ID","value":"803-10"},{"id":16,"name":"Locomotive ID","value":"4044"},{"id":130,"name":"Impact","value":""},{"id":150,"name":"Time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38" t="str">
        <f t="shared" si="15"/>
        <v>grep -hSE -A100 "Enforcement Action" "%USERPROFILE%\AppData\Local\Temp\OnboardLogs"\RTDC4044\*4044*201611101* | grep -SE "((Enforcement Ac)|(PRM))" -</v>
      </c>
      <c r="AD59" s="1"/>
    </row>
    <row r="60" spans="1:30" x14ac:dyDescent="0.25">
      <c r="A60" s="36">
        <v>42684.898518518516</v>
      </c>
      <c r="B60" s="31" t="s">
        <v>189</v>
      </c>
      <c r="C60" s="31" t="s">
        <v>423</v>
      </c>
      <c r="D60" s="31" t="s">
        <v>49</v>
      </c>
      <c r="E60" s="31" t="s">
        <v>211</v>
      </c>
      <c r="F60" s="47">
        <v>0</v>
      </c>
      <c r="G60" s="47">
        <v>60</v>
      </c>
      <c r="H60" s="47">
        <v>58860</v>
      </c>
      <c r="I60" s="47">
        <v>58924</v>
      </c>
      <c r="J60" s="31" t="s">
        <v>212</v>
      </c>
      <c r="K60" s="47">
        <v>59048</v>
      </c>
      <c r="L60" s="154" t="s">
        <v>50</v>
      </c>
      <c r="M60" s="155">
        <f t="shared" si="8"/>
        <v>65.471999999999994</v>
      </c>
      <c r="N60" s="156" t="str">
        <f>VLOOKUP(C60,'Trips&amp;Operators'!$C$1:$E$99999,3,FALSE)</f>
        <v>MAGEE</v>
      </c>
      <c r="O60" s="184" t="s">
        <v>206</v>
      </c>
      <c r="P60" s="157"/>
      <c r="Q60" s="31"/>
      <c r="R60" s="100" t="str">
        <f>VLOOKUP(C60,'Train Runs'!$A$13:$AE$10004,31,0)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S60" s="103" t="str">
        <f>VLOOKUP(C60,'Train Runs'!$A$13:$AE$10004,22,0)</f>
        <v>https://search-rtdc-monitor-bjffxe2xuh6vdkpspy63sjmuny.us-east-1.es.amazonaws.com/_plugin/kibana/#/discover/Steve-Slow-Train-Analysis-(2080s-and-2083s)?_g=(refreshInterval:(display:Off,section:0,value:0),time:(from:'2016-11-10 20:08:02-700',mode:absolute,to:'2016-11-10 22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60" s="105" t="str">
        <f t="shared" si="9"/>
        <v>"C:\Program Files (x86)\AstroGrep\AstroGrep.exe" /spath="%USERPROFILE%\AppData\Local\Temp\OnboardLogs" /stypes="*4044*201611110*" /stext=" 04:.+((SYSTEM_STATE.+slice.+state.+changed )|(ment ac)|(system.+state.+changed )|(\[timeout)|(PRM\|1\|D)|(kpr)|(kdp)|(\|lc)|(penalty))" /e /r /s</v>
      </c>
      <c r="U60" s="9" t="str">
        <f t="shared" si="10"/>
        <v>4044</v>
      </c>
      <c r="V60" s="36">
        <f t="shared" si="11"/>
        <v>42685.19018518518</v>
      </c>
      <c r="W60" s="50" t="str">
        <f t="shared" si="12"/>
        <v>NW</v>
      </c>
      <c r="X60" s="50" t="str">
        <f t="shared" si="13"/>
        <v>KEEP</v>
      </c>
      <c r="Y60" s="119" t="str">
        <f t="shared" si="14"/>
        <v>echo {"issue":{"subject":"","project_id":79,"tracker_id":40,"status_id":1,"priority_id":2,"assigned_to_id":23,"start_date":"2016-11-10","description":"","custom_fields":[{"id":1,"name":"Subdivision","value":"NW"},{"id":4,"name":"Milepost","value":"5.9048"},{"id":17,"name":"Train ID","value":"845-10"},{"id":16,"name":"Locomotive ID","value":"4044"},{"id":130,"name":"Impact","value":""},{"id":150,"name":"Time of Event (Mountain Time)","value":"21:33:52"},{"id":151,"name":"Denver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38" t="str">
        <f t="shared" si="15"/>
        <v>grep -hSE -A100 "Enforcement Action" "%USERPROFILE%\AppData\Local\Temp\OnboardLogs"\RTDC4044\*4044*201611110* | grep -SE "((Enforcement Ac)|(PRM))" -</v>
      </c>
      <c r="AD60" s="1"/>
    </row>
    <row r="61" spans="1:30" x14ac:dyDescent="0.25">
      <c r="A61" s="36">
        <v>42684.478310185186</v>
      </c>
      <c r="B61" s="31" t="s">
        <v>319</v>
      </c>
      <c r="C61" s="31" t="s">
        <v>403</v>
      </c>
      <c r="D61" s="31" t="s">
        <v>98</v>
      </c>
      <c r="E61" s="31" t="s">
        <v>154</v>
      </c>
      <c r="F61" s="47">
        <v>0</v>
      </c>
      <c r="G61" s="47">
        <v>101</v>
      </c>
      <c r="H61" s="47">
        <v>27269</v>
      </c>
      <c r="I61" s="47">
        <v>27373</v>
      </c>
      <c r="J61" s="31" t="s">
        <v>153</v>
      </c>
      <c r="K61" s="47">
        <v>27052</v>
      </c>
      <c r="L61" s="154" t="s">
        <v>50</v>
      </c>
      <c r="M61" s="155">
        <f t="shared" si="8"/>
        <v>-169.48799999999997</v>
      </c>
      <c r="N61" s="156" t="str">
        <f>VLOOKUP(C61,'Trips&amp;Operators'!$C$1:$E$99999,3,FALSE)</f>
        <v>BONDS</v>
      </c>
      <c r="O61" s="184" t="s">
        <v>206</v>
      </c>
      <c r="P61" s="157"/>
      <c r="Q61" s="31"/>
      <c r="R61" s="100" t="str">
        <f>VLOOKUP(C61,'Train Runs'!$A$13:$AE$10004,31,0)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S61" s="103" t="str">
        <f>VLOOKUP(C61,'Train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10:26:23-700',mode:absolute,to:'2016-11-10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61" s="105" t="str">
        <f t="shared" si="9"/>
        <v>"C:\Program Files (x86)\AstroGrep\AstroGrep.exe" /spath="%USERPROFILE%\AppData\Local\Temp\OnboardLogs" /stypes="*4022*201611101*" /stext=" 18:.+((SYSTEM_STATE.+slice.+state.+changed )|(ment ac)|(system.+state.+changed )|(\[timeout)|(PRM\|1\|D)|(kpr)|(kdp)|(\|lc)|(penalty))" /e /r /s</v>
      </c>
      <c r="U61" s="9" t="str">
        <f t="shared" si="10"/>
        <v>4022</v>
      </c>
      <c r="V61" s="36">
        <f t="shared" si="11"/>
        <v>42684.769976851851</v>
      </c>
      <c r="W61" s="50" t="str">
        <f t="shared" si="12"/>
        <v>Other</v>
      </c>
      <c r="X61" s="50" t="str">
        <f t="shared" si="13"/>
        <v>KEEP</v>
      </c>
      <c r="Y61" s="119" t="str">
        <f t="shared" si="14"/>
        <v>echo {"issue":{"subject":"","project_id":79,"tracker_id":40,"status_id":1,"priority_id":2,"assigned_to_id":23,"start_date":"2016-11-10","description":"","custom_fields":[{"id":1,"name":"Subdivision","value":"Other"},{"id":4,"name":"Milepost","value":"2.7052"},{"id":17,"name":"Train ID","value":"60-10"},{"id":16,"name":"Locomotive ID","value":"4022"},{"id":130,"name":"Impact","value":""},{"id":150,"name":"Time of Event (Mountain Time)","value":"11:28:46"},{"id":151,"name":"Denver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  <c r="AC61" s="138" t="str">
        <f t="shared" si="15"/>
        <v>grep -hSE -A100 "Enforcement Action" "%USERPROFILE%\AppData\Local\Temp\OnboardLogs"\RTDC4022\*4022*201611101* | grep -SE "((Enforcement Ac)|(PRM))" -</v>
      </c>
      <c r="AD61" s="1"/>
    </row>
    <row r="62" spans="1:30" x14ac:dyDescent="0.25">
      <c r="A62" s="36">
        <v>42684.488425925927</v>
      </c>
      <c r="B62" s="31" t="s">
        <v>319</v>
      </c>
      <c r="C62" s="31" t="s">
        <v>403</v>
      </c>
      <c r="D62" s="31" t="s">
        <v>98</v>
      </c>
      <c r="E62" s="31" t="s">
        <v>154</v>
      </c>
      <c r="F62" s="47">
        <v>0</v>
      </c>
      <c r="G62" s="47">
        <v>121</v>
      </c>
      <c r="H62" s="47">
        <v>42963</v>
      </c>
      <c r="I62" s="47">
        <v>43191</v>
      </c>
      <c r="J62" s="31" t="s">
        <v>153</v>
      </c>
      <c r="K62" s="47">
        <v>42779</v>
      </c>
      <c r="L62" s="154" t="s">
        <v>50</v>
      </c>
      <c r="M62" s="155">
        <f t="shared" si="8"/>
        <v>-217.536</v>
      </c>
      <c r="N62" s="156" t="str">
        <f>VLOOKUP(C62,'Trips&amp;Operators'!$C$1:$E$99999,3,FALSE)</f>
        <v>BONDS</v>
      </c>
      <c r="O62" s="184" t="s">
        <v>206</v>
      </c>
      <c r="P62" s="157"/>
      <c r="Q62" s="31"/>
      <c r="R62" s="100" t="str">
        <f>VLOOKUP(C62,'Train Runs'!$A$13:$AE$10004,31,0)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S62" s="103" t="str">
        <f>VLOOKUP(C62,'Train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10:26:23-700',mode:absolute,to:'2016-11-10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62" s="105" t="str">
        <f t="shared" si="9"/>
        <v>"C:\Program Files (x86)\AstroGrep\AstroGrep.exe" /spath="%USERPROFILE%\AppData\Local\Temp\OnboardLogs" /stypes="*4022*201611101*" /stext=" 18:.+((SYSTEM_STATE.+slice.+state.+changed )|(ment ac)|(system.+state.+changed )|(\[timeout)|(PRM\|1\|D)|(kpr)|(kdp)|(\|lc)|(penalty))" /e /r /s</v>
      </c>
      <c r="U62" s="9" t="str">
        <f t="shared" si="10"/>
        <v>4022</v>
      </c>
      <c r="V62" s="36">
        <f t="shared" si="11"/>
        <v>42684.780092592591</v>
      </c>
      <c r="W62" s="50" t="str">
        <f t="shared" si="12"/>
        <v>Other</v>
      </c>
      <c r="X62" s="50" t="str">
        <f t="shared" si="13"/>
        <v>KEEP</v>
      </c>
      <c r="Y62" s="119" t="str">
        <f t="shared" si="14"/>
        <v>echo {"issue":{"subject":"","project_id":79,"tracker_id":40,"status_id":1,"priority_id":2,"assigned_to_id":23,"start_date":"2016-11-10","description":"","custom_fields":[{"id":1,"name":"Subdivision","value":"Other"},{"id":4,"name":"Milepost","value":"4.2779"},{"id":17,"name":"Train ID","value":"60-10"},{"id":16,"name":"Locomotive ID","value":"4022"},{"id":130,"name":"Impact","value":""},{"id":150,"name":"Time of Event (Mountain Time)","value":"11:43:20"},{"id":151,"name":"Denver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3"/>
      <c r="AA62" s="53"/>
      <c r="AB62" s="53"/>
      <c r="AC62" s="138" t="str">
        <f t="shared" si="15"/>
        <v>grep -hSE -A100 "Enforcement Action" "%USERPROFILE%\AppData\Local\Temp\OnboardLogs"\RTDC4022\*4022*201611101* | grep -SE "((Enforcement Ac)|(PRM))" -</v>
      </c>
      <c r="AD62" s="1"/>
    </row>
    <row r="63" spans="1:30" x14ac:dyDescent="0.25">
      <c r="A63" s="36">
        <v>42684.696504629632</v>
      </c>
      <c r="B63" s="31" t="s">
        <v>318</v>
      </c>
      <c r="C63" s="31" t="s">
        <v>414</v>
      </c>
      <c r="D63" s="31" t="s">
        <v>49</v>
      </c>
      <c r="E63" s="31" t="s">
        <v>209</v>
      </c>
      <c r="F63" s="47">
        <v>0</v>
      </c>
      <c r="G63" s="47">
        <v>109</v>
      </c>
      <c r="H63" s="47">
        <v>11133</v>
      </c>
      <c r="I63" s="47">
        <v>10657</v>
      </c>
      <c r="J63" s="31" t="s">
        <v>210</v>
      </c>
      <c r="K63" s="47">
        <v>11016</v>
      </c>
      <c r="L63" s="154" t="s">
        <v>51</v>
      </c>
      <c r="M63" s="155">
        <f t="shared" si="8"/>
        <v>-189.55199999999999</v>
      </c>
      <c r="N63" s="156" t="str">
        <f>VLOOKUP(C63,'Trips&amp;Operators'!$C$1:$E$99999,3,FALSE)</f>
        <v>BADERTSCHER</v>
      </c>
      <c r="O63" s="184" t="s">
        <v>206</v>
      </c>
      <c r="P63" s="157"/>
      <c r="Q63" s="31"/>
      <c r="R63" s="100" t="str">
        <f>VLOOKUP(C63,'Train Runs'!$A$13:$AE$10004,31,0)</f>
        <v>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 &amp; 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</v>
      </c>
      <c r="S63" s="103" t="str">
        <f>VLOOKUP(C63,'Train Runs'!$A$13:$AE$10004,22,0)</f>
        <v>https://search-rtdc-monitor-bjffxe2xuh6vdkpspy63sjmuny.us-east-1.es.amazonaws.com/_plugin/kibana/#/discover/Steve-Slow-Train-Analysis-(2080s-and-2083s)?_g=(refreshInterval:(display:Off,section:0,value:0),time:(from:'2016-11-10 15:35:36-700',mode:absolute,to:'2016-11-10 17:48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63" s="105" t="str">
        <f t="shared" si="9"/>
        <v>"C:\Program Files (x86)\AstroGrep\AstroGrep.exe" /spath="%USERPROFILE%\AppData\Local\Temp\OnboardLogs" /stypes="*4010*201611102*" /stext=" 23:.+((SYSTEM_STATE.+slice.+state.+changed )|(ment ac)|(system.+state.+changed )|(\[timeout)|(PRM\|1\|D)|(kpr)|(kdp)|(\|lc)|(penalty))" /e /r /s</v>
      </c>
      <c r="U63" s="9" t="str">
        <f t="shared" si="10"/>
        <v>4010</v>
      </c>
      <c r="V63" s="36">
        <f t="shared" si="11"/>
        <v>42684.988171296296</v>
      </c>
      <c r="W63" s="50" t="str">
        <f t="shared" si="12"/>
        <v>Other</v>
      </c>
      <c r="X63" s="50" t="str">
        <f t="shared" si="13"/>
        <v>KEEP</v>
      </c>
      <c r="Y63" s="119" t="str">
        <f t="shared" si="14"/>
        <v>echo {"issue":{"subject":"","project_id":79,"tracker_id":40,"status_id":1,"priority_id":2,"assigned_to_id":23,"start_date":"2016-11-10","description":"","custom_fields":[{"id":1,"name":"Subdivision","value":"Other"},{"id":4,"name":"Milepost","value":"1.1016"},{"id":17,"name":"Train ID","value":"56-10"},{"id":16,"name":"Locomotive ID","value":"4010"},{"id":130,"name":"Impact","value":""},{"id":150,"name":"Time of Event (Mountain Time)","value":"16:42:58"},{"id":151,"name":"Denver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3"/>
      <c r="AA63" s="53"/>
      <c r="AB63" s="53"/>
      <c r="AC63" s="138" t="str">
        <f t="shared" si="15"/>
        <v>grep -hSE -A100 "Enforcement Action" "%USERPROFILE%\AppData\Local\Temp\OnboardLogs"\RTDC4010\*4010*201611102* | grep -SE "((Enforcement Ac)|(PRM))" -</v>
      </c>
      <c r="AD63" s="1"/>
    </row>
    <row r="64" spans="1:30" x14ac:dyDescent="0.25">
      <c r="A64" s="36">
        <v>42684.438171296293</v>
      </c>
      <c r="B64" s="31" t="s">
        <v>295</v>
      </c>
      <c r="C64" s="31" t="s">
        <v>398</v>
      </c>
      <c r="D64" s="31" t="s">
        <v>98</v>
      </c>
      <c r="E64" s="31" t="s">
        <v>209</v>
      </c>
      <c r="F64" s="47">
        <v>200</v>
      </c>
      <c r="G64" s="47">
        <v>356</v>
      </c>
      <c r="H64" s="47">
        <v>19231</v>
      </c>
      <c r="I64" s="47">
        <v>18098</v>
      </c>
      <c r="J64" s="31" t="s">
        <v>210</v>
      </c>
      <c r="K64" s="47">
        <v>24235</v>
      </c>
      <c r="L64" s="154" t="s">
        <v>51</v>
      </c>
      <c r="M64" s="155">
        <f t="shared" si="8"/>
        <v>-3240.3359999999998</v>
      </c>
      <c r="N64" s="156" t="str">
        <f>VLOOKUP(C64,'Trips&amp;Operators'!$C$1:$E$99999,3,FALSE)</f>
        <v>HILLS</v>
      </c>
      <c r="O64" s="184" t="s">
        <v>206</v>
      </c>
      <c r="P64" s="157"/>
      <c r="Q64" s="31"/>
      <c r="R64" s="100" t="str">
        <f>VLOOKUP(C64,'Train Runs'!$A$13:$AE$10004,31,0)</f>
        <v>aws s3 cp s3://rtdc.mdm.uploadarchive.raw/RTDC4028/ "%USERPROFILE%\AppData\Local\Temp\OnboardLogs"\RTDC4028\2016-11-10 --exclude "*" --recursive --include "*20161110*" &amp; "%USERPROFILE%\Documents\GitHub\mrs-test-scripts\Headless Mode &amp; Sideloading\WalkAndUnGZ.bat" "%USERPROFILE%\AppData\Local\Temp\OnboardLogs"\RTDC4028\2016-11-10 &amp; aws s3 cp s3://rtdc.mdm.uploadarchive.raw/RTDC4028/ "%USERPROFILE%\AppData\Local\Temp\OnboardLogs"\RTDC4028\2016-11-11 --exclude "*" --recursive --include "*20161111*" &amp; "%USERPROFILE%\Documents\GitHub\mrs-test-scripts\Headless Mode &amp; Sideloading\WalkAndUnGZ.bat" "%USERPROFILE%\AppData\Local\Temp\OnboardLogs"\RTDC4028\2016-11-11</v>
      </c>
      <c r="S64" s="103" t="str">
        <f>VLOOKUP(C64,'Train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09:28:38-700',mode:absolute,to:'2016-11-10 11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64" s="105" t="str">
        <f t="shared" si="9"/>
        <v>"C:\Program Files (x86)\AstroGrep\AstroGrep.exe" /spath="%USERPROFILE%\AppData\Local\Temp\OnboardLogs" /stypes="*4028*201611101*" /stext=" 17:.+((SYSTEM_STATE.+slice.+state.+changed )|(ment ac)|(system.+state.+changed )|(\[timeout)|(PRM\|1\|D)|(kpr)|(kdp)|(\|lc)|(penalty))" /e /r /s</v>
      </c>
      <c r="U64" s="9" t="str">
        <f t="shared" si="10"/>
        <v>4028</v>
      </c>
      <c r="V64" s="36">
        <f t="shared" si="11"/>
        <v>42684.729837962957</v>
      </c>
      <c r="W64" s="50" t="str">
        <f t="shared" si="12"/>
        <v>Other</v>
      </c>
      <c r="X64" s="50" t="str">
        <f t="shared" si="13"/>
        <v>KEEP</v>
      </c>
      <c r="Y64" s="119" t="str">
        <f t="shared" si="14"/>
        <v>echo {"issue":{"subject":"","project_id":79,"tracker_id":40,"status_id":1,"priority_id":2,"assigned_to_id":23,"start_date":"2016-11-10","description":"","custom_fields":[{"id":1,"name":"Subdivision","value":"Other"},{"id":4,"name":"Milepost","value":"2.4235"},{"id":17,"name":"Train ID","value":"50-10"},{"id":16,"name":"Locomotive ID","value":"4028"},{"id":130,"name":"Impact","value":""},{"id":150,"name":"Time of Event (Mountain Time)","value":"10:30:58"},{"id":151,"name":"Denver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3"/>
      <c r="AA64" s="53"/>
      <c r="AB64" s="53"/>
      <c r="AC64" s="138" t="str">
        <f t="shared" si="15"/>
        <v>grep -hSE -A100 "Enforcement Action" "%USERPROFILE%\AppData\Local\Temp\OnboardLogs"\RTDC4028\*4028*201611101* | grep -SE "((Enforcement Ac)|(PRM))" -</v>
      </c>
      <c r="AD64" s="1"/>
    </row>
    <row r="65" spans="1:30" x14ac:dyDescent="0.25">
      <c r="A65" s="36">
        <v>42684.364560185182</v>
      </c>
      <c r="B65" s="31" t="s">
        <v>234</v>
      </c>
      <c r="C65" s="31" t="s">
        <v>392</v>
      </c>
      <c r="D65" s="31" t="s">
        <v>49</v>
      </c>
      <c r="E65" s="31" t="s">
        <v>209</v>
      </c>
      <c r="F65" s="47">
        <v>0</v>
      </c>
      <c r="G65" s="47">
        <v>41</v>
      </c>
      <c r="H65" s="47">
        <v>25596</v>
      </c>
      <c r="I65" s="47">
        <v>25641</v>
      </c>
      <c r="J65" s="31" t="s">
        <v>210</v>
      </c>
      <c r="K65" s="47">
        <v>25696</v>
      </c>
      <c r="L65" s="154" t="s">
        <v>50</v>
      </c>
      <c r="M65" s="155">
        <f t="shared" si="8"/>
        <v>29.04</v>
      </c>
      <c r="N65" s="156" t="str">
        <f>VLOOKUP(C65,'Trips&amp;Operators'!$C$1:$E$99999,3,FALSE)</f>
        <v>OUN</v>
      </c>
      <c r="O65" s="184" t="s">
        <v>206</v>
      </c>
      <c r="P65" s="157"/>
      <c r="Q65" s="31"/>
      <c r="R65" s="100" t="str">
        <f>VLOOKUP(C65,'Train Runs'!$A$13:$AE$10004,31,0)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S65" s="103" t="str">
        <f>VLOOKUP(C65,'Train Runs'!$A$13:$AE$10004,22,0)</f>
        <v>https://search-rtdc-monitor-bjffxe2xuh6vdkpspy63sjmuny.us-east-1.es.amazonaws.com/_plugin/kibana/#/discover/Steve-Slow-Train-Analysis-(2080s-and-2083s)?_g=(refreshInterval:(display:Off,section:0,value:0),time:(from:'2016-11-10 07:32:31-700',mode:absolute,to:'2016-11-10 09:42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65" s="105" t="str">
        <f t="shared" si="9"/>
        <v>"C:\Program Files (x86)\AstroGrep\AstroGrep.exe" /spath="%USERPROFILE%\AppData\Local\Temp\OnboardLogs" /stypes="*4003*201611101*" /stext=" 15:.+((SYSTEM_STATE.+slice.+state.+changed )|(ment ac)|(system.+state.+changed )|(\[timeout)|(PRM\|1\|D)|(kpr)|(kdp)|(\|lc)|(penalty))" /e /r /s</v>
      </c>
      <c r="U65" s="9" t="str">
        <f t="shared" si="10"/>
        <v>4003</v>
      </c>
      <c r="V65" s="36">
        <f t="shared" si="11"/>
        <v>42684.656226851846</v>
      </c>
      <c r="W65" s="50" t="str">
        <f t="shared" si="12"/>
        <v>Other</v>
      </c>
      <c r="X65" s="50" t="str">
        <f t="shared" si="13"/>
        <v>KEEP</v>
      </c>
      <c r="Y65" s="119" t="str">
        <f t="shared" si="14"/>
        <v>echo {"issue":{"subject":"","project_id":79,"tracker_id":40,"status_id":1,"priority_id":2,"assigned_to_id":23,"start_date":"2016-11-10","description":"","custom_fields":[{"id":1,"name":"Subdivision","value":"Other"},{"id":4,"name":"Milepost","value":"2.5696"},{"id":17,"name":"Train ID","value":"903-10"},{"id":16,"name":"Locomotive ID","value":"4003"},{"id":130,"name":"Impact","value":""},{"id":150,"name":"Time of Event (Mountain Time)","value":"08:44:58"},{"id":151,"name":"Denver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3"/>
      <c r="AA65" s="53"/>
      <c r="AB65" s="53"/>
      <c r="AC65" s="138" t="str">
        <f t="shared" si="15"/>
        <v>grep -hSE -A100 "Enforcement Action" "%USERPROFILE%\AppData\Local\Temp\OnboardLogs"\RTDC4003\*4003*201611101* | grep -SE "((Enforcement Ac)|(PRM))" -</v>
      </c>
      <c r="AD65" s="1"/>
    </row>
    <row r="66" spans="1:30" x14ac:dyDescent="0.25">
      <c r="A66" s="36">
        <v>42684.484212962961</v>
      </c>
      <c r="B66" s="31" t="s">
        <v>319</v>
      </c>
      <c r="C66" s="31" t="s">
        <v>403</v>
      </c>
      <c r="D66" s="31" t="s">
        <v>49</v>
      </c>
      <c r="E66" s="31" t="s">
        <v>209</v>
      </c>
      <c r="F66" s="47">
        <v>0</v>
      </c>
      <c r="G66" s="47">
        <v>147</v>
      </c>
      <c r="H66" s="47">
        <v>37477</v>
      </c>
      <c r="I66" s="47">
        <v>37790</v>
      </c>
      <c r="J66" s="31" t="s">
        <v>210</v>
      </c>
      <c r="K66" s="47">
        <v>38639</v>
      </c>
      <c r="L66" s="154" t="s">
        <v>50</v>
      </c>
      <c r="M66" s="155">
        <f t="shared" si="8"/>
        <v>448.27199999999999</v>
      </c>
      <c r="N66" s="156" t="str">
        <f>VLOOKUP(C66,'Trips&amp;Operators'!$C$1:$E$99999,3,FALSE)</f>
        <v>BONDS</v>
      </c>
      <c r="O66" s="184" t="s">
        <v>206</v>
      </c>
      <c r="P66" s="157"/>
      <c r="Q66" s="31"/>
      <c r="R66" s="100" t="str">
        <f>VLOOKUP(C66,'Train Runs'!$A$13:$AE$10004,31,0)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S66" s="103" t="str">
        <f>VLOOKUP(C66,'Train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10:26:23-700',mode:absolute,to:'2016-11-10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66" s="105" t="str">
        <f t="shared" si="9"/>
        <v>"C:\Program Files (x86)\AstroGrep\AstroGrep.exe" /spath="%USERPROFILE%\AppData\Local\Temp\OnboardLogs" /stypes="*4022*201611101*" /stext=" 18:.+((SYSTEM_STATE.+slice.+state.+changed )|(ment ac)|(system.+state.+changed )|(\[timeout)|(PRM\|1\|D)|(kpr)|(kdp)|(\|lc)|(penalty))" /e /r /s</v>
      </c>
      <c r="U66" s="9" t="str">
        <f t="shared" si="10"/>
        <v>4022</v>
      </c>
      <c r="V66" s="36">
        <f t="shared" si="11"/>
        <v>42684.775879629626</v>
      </c>
      <c r="W66" s="50" t="str">
        <f t="shared" si="12"/>
        <v>Other</v>
      </c>
      <c r="X66" s="50" t="str">
        <f t="shared" si="13"/>
        <v>KEEP</v>
      </c>
      <c r="Y66" s="119" t="str">
        <f t="shared" si="14"/>
        <v>echo {"issue":{"subject":"","project_id":79,"tracker_id":40,"status_id":1,"priority_id":2,"assigned_to_id":23,"start_date":"2016-11-10","description":"","custom_fields":[{"id":1,"name":"Subdivision","value":"Other"},{"id":4,"name":"Milepost","value":"3.8639"},{"id":17,"name":"Train ID","value":"60-10"},{"id":16,"name":"Locomotive ID","value":"4022"},{"id":130,"name":"Impact","value":""},{"id":150,"name":"Time of Event (Mountain Time)","value":"11:37:16"},{"id":151,"name":"Denver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3"/>
      <c r="AA66" s="53"/>
      <c r="AB66" s="53"/>
      <c r="AC66" s="138" t="str">
        <f t="shared" si="15"/>
        <v>grep -hSE -A100 "Enforcement Action" "%USERPROFILE%\AppData\Local\Temp\OnboardLogs"\RTDC4022\*4022*201611101* | grep -SE "((Enforcement Ac)|(PRM))" -</v>
      </c>
      <c r="AD66" s="1"/>
    </row>
    <row r="67" spans="1:30" x14ac:dyDescent="0.25">
      <c r="A67" s="36">
        <v>42684.151631944442</v>
      </c>
      <c r="B67" s="31" t="s">
        <v>272</v>
      </c>
      <c r="C67" s="31" t="s">
        <v>379</v>
      </c>
      <c r="D67" s="31" t="s">
        <v>49</v>
      </c>
      <c r="E67" s="31" t="s">
        <v>322</v>
      </c>
      <c r="F67" s="47">
        <v>100</v>
      </c>
      <c r="G67" s="47">
        <v>152</v>
      </c>
      <c r="H67" s="47">
        <v>11376</v>
      </c>
      <c r="I67" s="47">
        <v>11123</v>
      </c>
      <c r="J67" s="31" t="s">
        <v>153</v>
      </c>
      <c r="K67" s="47">
        <v>11000</v>
      </c>
      <c r="L67" s="154" t="s">
        <v>51</v>
      </c>
      <c r="M67" s="155">
        <f t="shared" si="8"/>
        <v>64.944000000000003</v>
      </c>
      <c r="N67" s="156" t="str">
        <f>VLOOKUP(C67,'Trips&amp;Operators'!$C$1:$E$99999,3,FALSE)</f>
        <v>SPECTOR</v>
      </c>
      <c r="O67" s="184" t="s">
        <v>206</v>
      </c>
      <c r="P67" s="157"/>
      <c r="Q67" s="31"/>
      <c r="R67" s="100" t="str">
        <f>VLOOKUP(C67,'Train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67" s="103" t="str">
        <f>VLOOKUP(C67,'Train Runs'!$A$13:$AE$10004,22,0)</f>
        <v>https://search-rtdc-monitor-bjffxe2xuh6vdkpspy63sjmuny.us-east-1.es.amazonaws.com/_plugin/kibana/#/discover/Steve-Slow-Train-Analysis-(2080s-and-2083s)?_g=(refreshInterval:(display:Off,section:0,value:0),time:(from:'2016-11-10 02:32:30-700',mode:absolute,to:'2016-11-10 04:44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67" s="105" t="str">
        <f t="shared" si="9"/>
        <v>"C:\Program Files (x86)\AstroGrep\AstroGrep.exe" /spath="%USERPROFILE%\AppData\Local\Temp\OnboardLogs" /stypes="*4001*201611101*" /stext=" 10:.+((SYSTEM_STATE.+slice.+state.+changed )|(ment ac)|(system.+state.+changed )|(\[timeout)|(PRM\|1\|D)|(kpr)|(kdp)|(\|lc)|(penalty))" /e /r /s</v>
      </c>
      <c r="U67" s="9" t="str">
        <f t="shared" si="10"/>
        <v>4001</v>
      </c>
      <c r="V67" s="36">
        <f t="shared" si="11"/>
        <v>42684.443298611106</v>
      </c>
      <c r="W67" s="50" t="str">
        <f t="shared" si="12"/>
        <v>Other</v>
      </c>
      <c r="X67" s="50" t="str">
        <f t="shared" si="13"/>
        <v>KEEP</v>
      </c>
      <c r="Y67" s="119" t="str">
        <f t="shared" si="14"/>
        <v>echo {"issue":{"subject":"","project_id":79,"tracker_id":40,"status_id":1,"priority_id":2,"assigned_to_id":23,"start_date":"2016-11-10","description":"","custom_fields":[{"id":1,"name":"Subdivision","value":"Other"},{"id":4,"name":"Milepost","value":"1.1"},{"id":17,"name":"Train ID","value":"304-10"},{"id":16,"name":"Locomotive ID","value":"4001"},{"id":130,"name":"Impact","value":""},{"id":150,"name":"Time of Event (Mountain Time)","value":"03:38:21"},{"id":151,"name":"Denver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53"/>
      <c r="AA67" s="53"/>
      <c r="AB67" s="53"/>
      <c r="AC67" s="138" t="str">
        <f t="shared" si="15"/>
        <v>grep -hSE -A100 "Enforcement Action" "%USERPROFILE%\AppData\Local\Temp\OnboardLogs"\RTDC4001\*4001*201611101* | grep -SE "((Enforcement Ac)|(PRM))" -</v>
      </c>
      <c r="AD67" s="1"/>
    </row>
  </sheetData>
  <autoFilter ref="A6:AC43">
    <sortState ref="A7:AC68">
      <sortCondition ref="W7:W68"/>
      <sortCondition ref="E7:E68"/>
      <sortCondition ref="K7:K68"/>
      <sortCondition ref="F7:F68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36" operator="equal">
      <formula>"Y"</formula>
    </cfRule>
  </conditionalFormatting>
  <conditionalFormatting sqref="O2:O3">
    <cfRule type="cellIs" dxfId="1" priority="27" operator="equal">
      <formula>"Y"</formula>
    </cfRule>
  </conditionalFormatting>
  <conditionalFormatting sqref="A7:P67">
    <cfRule type="expression" dxfId="0" priority="20">
      <formula>$O7="Y"</formula>
    </cfRule>
  </conditionalFormatting>
  <hyperlinks>
    <hyperlink ref="Z38" r:id="rId1"/>
    <hyperlink ref="Z39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AA7:AA67</xm:sqref>
        </x14:dataValidation>
        <x14:dataValidation type="list" allowBlank="1" showInputMessage="1" showErrorMessage="1">
          <x14:formula1>
            <xm:f>'Redmine List Values'!$C$2:$C$15</xm:f>
          </x14:formula1>
          <xm:sqref>AB7:AB67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/>
  </sheetViews>
  <sheetFormatPr defaultRowHeight="15" x14ac:dyDescent="0.25"/>
  <cols>
    <col min="1" max="1" width="9.140625" style="166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6"/>
      <c r="B1" s="187" t="str">
        <f>"Trips that did not appear in PTC Data "&amp;TEXT(Variables!$A$2,"YYYY-mm-dd")</f>
        <v>Trips that did not appear in PTC Data 2016-11-10</v>
      </c>
      <c r="C1" s="187"/>
      <c r="D1" s="187"/>
      <c r="E1" s="187"/>
      <c r="F1" s="187"/>
    </row>
    <row r="2" spans="1:11" s="24" customFormat="1" ht="45" x14ac:dyDescent="0.25">
      <c r="A2" s="179" t="s">
        <v>155</v>
      </c>
      <c r="B2" s="110" t="s">
        <v>58</v>
      </c>
      <c r="C2" s="107" t="s">
        <v>59</v>
      </c>
      <c r="D2" s="163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0">
        <v>158</v>
      </c>
      <c r="B3" s="47" t="str">
        <f>A3&amp;"-"&amp;IF(DAY(Variables!$A$2)&lt;10,0,"")&amp;DAY(Variables!$A$2)</f>
        <v>158-10</v>
      </c>
      <c r="C3" s="158"/>
      <c r="D3" s="164"/>
      <c r="E3" s="31" t="s">
        <v>820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1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22158-10%22)),sort:!(Time,asc))</v>
      </c>
      <c r="J3" s="31" t="e">
        <f>VLOOKUP(B3,'Train Runs'!$A$13:$A$100001,1,FALSE)</f>
        <v>#N/A</v>
      </c>
      <c r="K3" s="31" t="e">
        <f t="shared" ref="K3:K11" si="1">IF(VLOOKUP(A3,$K$46:$K$69,1,FALSE),"Cancelled")</f>
        <v>#N/A</v>
      </c>
    </row>
    <row r="4" spans="1:11" s="21" customFormat="1" x14ac:dyDescent="0.25">
      <c r="A4" s="180">
        <v>159</v>
      </c>
      <c r="B4" s="47" t="str">
        <f>A4&amp;"-"&amp;IF(DAY(Variables!$A$2)&lt;10,0,"")&amp;DAY(Variables!$A$2)</f>
        <v>159-10</v>
      </c>
      <c r="C4" s="158"/>
      <c r="D4" s="164"/>
      <c r="E4" s="31" t="s">
        <v>807</v>
      </c>
      <c r="F4" s="22" t="str">
        <f>VLOOKUP(B4,'Trips&amp;Operators'!$C$2:$E$10000,3,FALSE)</f>
        <v>NELSON</v>
      </c>
      <c r="G4" s="22" t="str">
        <f>VLOOKUP(B4,'Trips&amp;Operators'!$C$1:$F$10000,4,FALSE)</f>
        <v>rtdc.l.rtdc.4022:itc</v>
      </c>
      <c r="H4" s="30">
        <f>VLOOKUP(B4,'Trips&amp;Operators'!$C$1:$H$10000,5,FALSE)</f>
        <v>42684.447268518517</v>
      </c>
      <c r="I4" s="50" t="str">
        <f t="shared" ref="I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22159-10%22)),sort:!(Time,asc))</v>
      </c>
      <c r="J4" s="31" t="e">
        <f>VLOOKUP(B4,'Train Runs'!$A$13:$A$100001,1,FALSE)</f>
        <v>#N/A</v>
      </c>
      <c r="K4" s="31" t="e">
        <f t="shared" ref="K4" si="3">IF(VLOOKUP(A4,$K$46:$K$69,1,FALSE),"Cancelled")</f>
        <v>#N/A</v>
      </c>
    </row>
    <row r="5" spans="1:11" x14ac:dyDescent="0.25">
      <c r="A5" s="180">
        <v>160</v>
      </c>
      <c r="B5" s="47" t="str">
        <f>A5&amp;"-"&amp;IF(DAY(Variables!$A$2)&lt;10,0,"")&amp;DAY(Variables!$A$2)</f>
        <v>160-10</v>
      </c>
      <c r="C5" s="158"/>
      <c r="D5" s="164"/>
      <c r="E5" s="31" t="s">
        <v>821</v>
      </c>
      <c r="F5" s="22" t="str">
        <f>VLOOKUP(B5,'Trips&amp;Operators'!$C$2:$E$10000,3,FALSE)</f>
        <v>BONDS</v>
      </c>
      <c r="G5" s="22" t="str">
        <f>VLOOKUP(B5,'Trips&amp;Operators'!$C$1:$F$10000,4,FALSE)</f>
        <v>rtdc.l.rtdc.4022:itc</v>
      </c>
      <c r="H5" s="30">
        <f>VLOOKUP(B5,'Trips&amp;Operators'!$C$1:$H$10000,5,FALSE)</f>
        <v>42684.460451388892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22160-10%22)),sort:!(Time,asc))</v>
      </c>
      <c r="J5" s="31" t="e">
        <f>VLOOKUP(B5,'Train Runs'!$A$13:$A$100001,1,FALSE)</f>
        <v>#N/A</v>
      </c>
      <c r="K5" s="31" t="e">
        <f t="shared" si="1"/>
        <v>#N/A</v>
      </c>
    </row>
    <row r="6" spans="1:11" x14ac:dyDescent="0.25">
      <c r="A6" s="180">
        <v>163</v>
      </c>
      <c r="B6" s="47" t="str">
        <f>A6&amp;"-"&amp;IF(DAY(Variables!$A$2)&lt;10,0,"")&amp;DAY(Variables!$A$2)</f>
        <v>163-10</v>
      </c>
      <c r="C6" s="158"/>
      <c r="D6" s="164"/>
      <c r="E6" s="31" t="s">
        <v>820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22163-10%22)),sort:!(Time,asc))</v>
      </c>
      <c r="J6" s="31" t="e">
        <f>VLOOKUP(B6,'Train Runs'!$A$13:$A$100001,1,FALSE)</f>
        <v>#N/A</v>
      </c>
      <c r="K6" s="31" t="e">
        <f t="shared" si="1"/>
        <v>#N/A</v>
      </c>
    </row>
    <row r="7" spans="1:11" x14ac:dyDescent="0.25">
      <c r="A7" s="180">
        <v>166</v>
      </c>
      <c r="B7" s="47" t="str">
        <f>A7&amp;"-"&amp;IF(DAY(Variables!$A$2)&lt;10,0,"")&amp;DAY(Variables!$A$2)</f>
        <v>166-10</v>
      </c>
      <c r="C7" s="158"/>
      <c r="D7" s="164"/>
      <c r="E7" s="31" t="s">
        <v>820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22166-10%22)),sort:!(Time,asc))</v>
      </c>
      <c r="J7" s="31" t="e">
        <f>VLOOKUP(B7,'Train Runs'!$A$13:$A$100001,1,FALSE)</f>
        <v>#N/A</v>
      </c>
      <c r="K7" s="31" t="e">
        <f t="shared" si="1"/>
        <v>#N/A</v>
      </c>
    </row>
    <row r="8" spans="1:11" x14ac:dyDescent="0.25">
      <c r="A8" s="172">
        <v>179</v>
      </c>
      <c r="B8" s="47" t="str">
        <f>A8&amp;"-"&amp;IF(DAY(Variables!$A$2)&lt;10,0,"")&amp;DAY(Variables!$A$2)</f>
        <v>179-10</v>
      </c>
      <c r="C8" s="158"/>
      <c r="D8" s="164"/>
      <c r="E8" s="31" t="s">
        <v>820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22179-10%22)),sort:!(Time,asc))</v>
      </c>
      <c r="J8" s="31" t="e">
        <f>VLOOKUP(B8,'Train Runs'!$A$13:$A$100001,1,FALSE)</f>
        <v>#N/A</v>
      </c>
      <c r="K8" s="31" t="e">
        <f t="shared" si="1"/>
        <v>#N/A</v>
      </c>
    </row>
    <row r="9" spans="1:11" x14ac:dyDescent="0.25">
      <c r="A9" s="172">
        <v>181</v>
      </c>
      <c r="B9" s="47" t="str">
        <f>A9&amp;"-"&amp;IF(DAY(Variables!$A$2)&lt;10,0,"")&amp;DAY(Variables!$A$2)</f>
        <v>181-10</v>
      </c>
      <c r="C9" s="158"/>
      <c r="D9" s="164"/>
      <c r="E9" s="31" t="s">
        <v>820</v>
      </c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22181-10%22)),sort:!(Time,asc))</v>
      </c>
      <c r="J9" s="31" t="e">
        <f>VLOOKUP(B9,'Train Runs'!$A$13:$A$100001,1,FALSE)</f>
        <v>#N/A</v>
      </c>
      <c r="K9" s="31" t="e">
        <f t="shared" si="1"/>
        <v>#N/A</v>
      </c>
    </row>
    <row r="10" spans="1:11" x14ac:dyDescent="0.25">
      <c r="A10" s="172">
        <v>182</v>
      </c>
      <c r="B10" s="47" t="str">
        <f>A10&amp;"-"&amp;IF(DAY(Variables!$A$2)&lt;10,0,"")&amp;DAY(Variables!$A$2)</f>
        <v>182-10</v>
      </c>
      <c r="C10" s="158"/>
      <c r="D10" s="164"/>
      <c r="E10" s="31" t="s">
        <v>820</v>
      </c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22182-10%22)),sort:!(Time,asc))</v>
      </c>
      <c r="J10" s="31" t="e">
        <f>VLOOKUP(B10,'Train Runs'!$A$13:$A$100001,1,FALSE)</f>
        <v>#N/A</v>
      </c>
      <c r="K10" s="31" t="e">
        <f t="shared" si="1"/>
        <v>#N/A</v>
      </c>
    </row>
    <row r="11" spans="1:11" x14ac:dyDescent="0.25">
      <c r="A11" s="172">
        <v>183</v>
      </c>
      <c r="B11" s="47" t="str">
        <f>A11&amp;"-"&amp;IF(DAY(Variables!$A$2)&lt;10,0,"")&amp;DAY(Variables!$A$2)</f>
        <v>183-10</v>
      </c>
      <c r="C11" s="158"/>
      <c r="D11" s="164"/>
      <c r="E11" s="31" t="s">
        <v>820</v>
      </c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22183-10%22)),sort:!(Time,asc))</v>
      </c>
      <c r="J11" s="31" t="e">
        <f>VLOOKUP(B11,'Train Runs'!$A$13:$A$100001,1,FALSE)</f>
        <v>#N/A</v>
      </c>
      <c r="K11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6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181</v>
      </c>
      <c r="B1" s="21" t="s">
        <v>182</v>
      </c>
      <c r="C1" s="21" t="s">
        <v>0</v>
      </c>
      <c r="D1" s="21" t="s">
        <v>183</v>
      </c>
      <c r="E1" s="21" t="s">
        <v>184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42683.990416666667</v>
      </c>
      <c r="B2" s="21" t="s">
        <v>218</v>
      </c>
      <c r="C2" s="21" t="s">
        <v>331</v>
      </c>
      <c r="D2" s="21">
        <v>2270000</v>
      </c>
      <c r="E2" s="21" t="s">
        <v>329</v>
      </c>
      <c r="F2" s="21" t="str">
        <f t="shared" ref="F2:F65" si="0">B2</f>
        <v>rtdc.l.rtdc.4030:itc</v>
      </c>
      <c r="G2" s="8">
        <f t="shared" ref="G2:G65" si="1">A2</f>
        <v>42683.990416666667</v>
      </c>
    </row>
    <row r="3" spans="1:7" x14ac:dyDescent="0.25">
      <c r="A3" s="8">
        <v>42683.995659722219</v>
      </c>
      <c r="B3" s="21" t="s">
        <v>262</v>
      </c>
      <c r="C3" s="21" t="s">
        <v>332</v>
      </c>
      <c r="D3" s="21">
        <v>1300000</v>
      </c>
      <c r="E3" s="21" t="s">
        <v>113</v>
      </c>
      <c r="F3" s="21" t="str">
        <f t="shared" si="0"/>
        <v>rtdc.l.rtdc.4046:itc</v>
      </c>
      <c r="G3" s="8">
        <f t="shared" si="1"/>
        <v>42683.995659722219</v>
      </c>
    </row>
    <row r="4" spans="1:7" x14ac:dyDescent="0.25">
      <c r="A4" s="8">
        <v>42684.006736111114</v>
      </c>
      <c r="B4" s="21" t="s">
        <v>237</v>
      </c>
      <c r="C4" s="21" t="s">
        <v>333</v>
      </c>
      <c r="D4" s="21">
        <v>1230000</v>
      </c>
      <c r="E4" s="21" t="s">
        <v>279</v>
      </c>
      <c r="F4" s="21" t="str">
        <f t="shared" si="0"/>
        <v>rtdc.l.rtdc.4039:itc</v>
      </c>
      <c r="G4" s="8">
        <f t="shared" si="1"/>
        <v>42684.006736111114</v>
      </c>
    </row>
    <row r="5" spans="1:7" x14ac:dyDescent="0.25">
      <c r="A5" s="8">
        <v>42684.015439814815</v>
      </c>
      <c r="B5" s="21" t="s">
        <v>252</v>
      </c>
      <c r="C5" s="21" t="s">
        <v>334</v>
      </c>
      <c r="D5" s="21">
        <v>2250000</v>
      </c>
      <c r="E5" s="21" t="s">
        <v>233</v>
      </c>
      <c r="F5" s="21" t="str">
        <f t="shared" si="0"/>
        <v>rtdc.l.rtdc.4031:itc</v>
      </c>
      <c r="G5" s="8">
        <f t="shared" si="1"/>
        <v>42684.015439814815</v>
      </c>
    </row>
    <row r="6" spans="1:7" x14ac:dyDescent="0.25">
      <c r="A6" s="8">
        <v>42684.028946759259</v>
      </c>
      <c r="B6" s="21" t="s">
        <v>217</v>
      </c>
      <c r="C6" s="21" t="s">
        <v>335</v>
      </c>
      <c r="D6" s="21">
        <v>2000000</v>
      </c>
      <c r="E6" s="21" t="s">
        <v>248</v>
      </c>
      <c r="F6" s="21" t="str">
        <f t="shared" si="0"/>
        <v>rtdc.l.rtdc.4029:itc</v>
      </c>
      <c r="G6" s="8">
        <f t="shared" si="1"/>
        <v>42684.028946759259</v>
      </c>
    </row>
    <row r="7" spans="1:7" x14ac:dyDescent="0.25">
      <c r="A7" s="8">
        <v>42684.032951388886</v>
      </c>
      <c r="B7" s="21" t="s">
        <v>261</v>
      </c>
      <c r="C7" s="21" t="s">
        <v>336</v>
      </c>
      <c r="D7" s="21">
        <v>1300000</v>
      </c>
      <c r="E7" s="21" t="s">
        <v>113</v>
      </c>
      <c r="F7" s="21" t="str">
        <f t="shared" si="0"/>
        <v>rtdc.l.rtdc.4045:itc</v>
      </c>
      <c r="G7" s="8">
        <f t="shared" si="1"/>
        <v>42684.032951388886</v>
      </c>
    </row>
    <row r="8" spans="1:7" x14ac:dyDescent="0.25">
      <c r="A8" s="8">
        <v>42684.046967592592</v>
      </c>
      <c r="B8" s="21" t="s">
        <v>227</v>
      </c>
      <c r="C8" s="21" t="s">
        <v>337</v>
      </c>
      <c r="D8" s="21">
        <v>1230000</v>
      </c>
      <c r="E8" s="21" t="s">
        <v>279</v>
      </c>
      <c r="F8" s="21" t="str">
        <f t="shared" si="0"/>
        <v>rtdc.l.rtdc.4040:itc</v>
      </c>
      <c r="G8" s="8">
        <f t="shared" si="1"/>
        <v>42684.046967592592</v>
      </c>
    </row>
    <row r="9" spans="1:7" ht="15.75" thickBot="1" x14ac:dyDescent="0.3">
      <c r="A9" s="25">
        <v>42684.04965277778</v>
      </c>
      <c r="B9" s="21" t="s">
        <v>238</v>
      </c>
      <c r="C9" s="21" t="s">
        <v>338</v>
      </c>
      <c r="D9" s="21">
        <v>2250000</v>
      </c>
      <c r="E9" s="21" t="s">
        <v>233</v>
      </c>
      <c r="F9" s="21" t="str">
        <f t="shared" si="0"/>
        <v>rtdc.l.rtdc.4032:itc</v>
      </c>
      <c r="G9" s="8">
        <f t="shared" si="1"/>
        <v>42684.04965277778</v>
      </c>
    </row>
    <row r="10" spans="1:7" x14ac:dyDescent="0.25">
      <c r="A10" s="8">
        <v>42684.067824074074</v>
      </c>
      <c r="B10" s="21" t="s">
        <v>262</v>
      </c>
      <c r="C10" s="21" t="s">
        <v>339</v>
      </c>
      <c r="D10" s="21">
        <v>1300000</v>
      </c>
      <c r="E10" s="21" t="s">
        <v>113</v>
      </c>
      <c r="F10" s="21" t="str">
        <f t="shared" si="0"/>
        <v>rtdc.l.rtdc.4046:itc</v>
      </c>
      <c r="G10" s="8">
        <f t="shared" si="1"/>
        <v>42684.067824074074</v>
      </c>
    </row>
    <row r="11" spans="1:7" x14ac:dyDescent="0.25">
      <c r="A11" s="8">
        <v>42684.120185185187</v>
      </c>
      <c r="B11" s="21" t="s">
        <v>321</v>
      </c>
      <c r="C11" s="21" t="s">
        <v>427</v>
      </c>
      <c r="D11" s="21">
        <v>2010000</v>
      </c>
      <c r="E11" s="21" t="s">
        <v>323</v>
      </c>
      <c r="F11" s="21" t="str">
        <f t="shared" si="0"/>
        <v>rtdc.l.rtdc.4021:itc</v>
      </c>
      <c r="G11" s="8">
        <f t="shared" si="1"/>
        <v>42684.120185185187</v>
      </c>
    </row>
    <row r="12" spans="1:7" x14ac:dyDescent="0.25">
      <c r="A12" s="8">
        <v>42684.131793981483</v>
      </c>
      <c r="B12" s="21" t="s">
        <v>253</v>
      </c>
      <c r="C12" s="21" t="s">
        <v>428</v>
      </c>
      <c r="D12" s="21">
        <v>2010000</v>
      </c>
      <c r="E12" s="21" t="s">
        <v>323</v>
      </c>
      <c r="F12" s="21" t="str">
        <f t="shared" si="0"/>
        <v>rtdc.l.rtdc.4025:itc</v>
      </c>
      <c r="G12" s="8">
        <f t="shared" si="1"/>
        <v>42684.131793981483</v>
      </c>
    </row>
    <row r="13" spans="1:7" x14ac:dyDescent="0.25">
      <c r="A13" s="8">
        <v>42684.146874999999</v>
      </c>
      <c r="B13" s="21" t="s">
        <v>272</v>
      </c>
      <c r="C13" s="21" t="s">
        <v>379</v>
      </c>
      <c r="D13" s="21">
        <v>1090000</v>
      </c>
      <c r="E13" s="21" t="s">
        <v>296</v>
      </c>
      <c r="F13" s="21" t="str">
        <f t="shared" si="0"/>
        <v>rtdc.l.rtdc.4001:itc</v>
      </c>
      <c r="G13" s="8">
        <f t="shared" si="1"/>
        <v>42684.146874999999</v>
      </c>
    </row>
    <row r="14" spans="1:7" x14ac:dyDescent="0.25">
      <c r="A14" s="8">
        <v>42684.148032407407</v>
      </c>
      <c r="B14" s="21" t="s">
        <v>272</v>
      </c>
      <c r="C14" s="21" t="s">
        <v>379</v>
      </c>
      <c r="D14" s="21">
        <v>1090000</v>
      </c>
      <c r="E14" s="21" t="s">
        <v>296</v>
      </c>
      <c r="F14" s="21" t="str">
        <f t="shared" si="0"/>
        <v>rtdc.l.rtdc.4001:itc</v>
      </c>
      <c r="G14" s="8">
        <f t="shared" si="1"/>
        <v>42684.148032407407</v>
      </c>
    </row>
    <row r="15" spans="1:7" x14ac:dyDescent="0.25">
      <c r="A15" s="8">
        <v>42684.157361111109</v>
      </c>
      <c r="B15" s="21" t="s">
        <v>381</v>
      </c>
      <c r="C15" s="21" t="s">
        <v>429</v>
      </c>
      <c r="D15" s="21">
        <v>2100000</v>
      </c>
      <c r="E15" s="21" t="s">
        <v>430</v>
      </c>
      <c r="F15" s="21" t="str">
        <f t="shared" si="0"/>
        <v>rtdc.l.rtdc.4054:itc</v>
      </c>
      <c r="G15" s="8">
        <f t="shared" si="1"/>
        <v>42684.157361111109</v>
      </c>
    </row>
    <row r="16" spans="1:7" x14ac:dyDescent="0.25">
      <c r="A16" s="8">
        <v>42684.158217592594</v>
      </c>
      <c r="B16" s="21" t="s">
        <v>393</v>
      </c>
      <c r="C16" s="21" t="s">
        <v>431</v>
      </c>
      <c r="D16" s="21">
        <v>1090000</v>
      </c>
      <c r="E16" s="21" t="s">
        <v>296</v>
      </c>
      <c r="F16" s="21" t="str">
        <f t="shared" si="0"/>
        <v>rtdc.l.rtdc.4007:itc</v>
      </c>
      <c r="G16" s="8">
        <f t="shared" si="1"/>
        <v>42684.158217592594</v>
      </c>
    </row>
    <row r="17" spans="1:7" x14ac:dyDescent="0.25">
      <c r="A17" s="8">
        <v>42684.168506944443</v>
      </c>
      <c r="B17" s="21" t="s">
        <v>321</v>
      </c>
      <c r="C17" s="21" t="s">
        <v>432</v>
      </c>
      <c r="D17" s="21">
        <v>2010000</v>
      </c>
      <c r="E17" s="21" t="s">
        <v>323</v>
      </c>
      <c r="F17" s="21" t="str">
        <f t="shared" si="0"/>
        <v>rtdc.l.rtdc.4021:itc</v>
      </c>
      <c r="G17" s="8">
        <f t="shared" si="1"/>
        <v>42684.168506944443</v>
      </c>
    </row>
    <row r="18" spans="1:7" x14ac:dyDescent="0.25">
      <c r="A18" s="8">
        <v>42684.170740740738</v>
      </c>
      <c r="B18" s="21" t="s">
        <v>407</v>
      </c>
      <c r="C18" s="21" t="s">
        <v>433</v>
      </c>
      <c r="D18" s="21">
        <v>2100000</v>
      </c>
      <c r="E18" s="21" t="s">
        <v>430</v>
      </c>
      <c r="F18" s="21" t="str">
        <f t="shared" si="0"/>
        <v>rtdc.l.rtdc.4038:itc</v>
      </c>
      <c r="G18" s="8">
        <f t="shared" si="1"/>
        <v>42684.170740740738</v>
      </c>
    </row>
    <row r="19" spans="1:7" x14ac:dyDescent="0.25">
      <c r="A19" s="8">
        <v>42684.175787037035</v>
      </c>
      <c r="B19" s="21" t="s">
        <v>246</v>
      </c>
      <c r="C19" s="21" t="s">
        <v>434</v>
      </c>
      <c r="D19" s="21">
        <v>2430000</v>
      </c>
      <c r="E19" s="21" t="s">
        <v>241</v>
      </c>
      <c r="F19" s="21" t="str">
        <f t="shared" si="0"/>
        <v>rtdc.l.rtdc.4041:itc</v>
      </c>
      <c r="G19" s="8">
        <f t="shared" si="1"/>
        <v>42684.175787037035</v>
      </c>
    </row>
    <row r="20" spans="1:7" x14ac:dyDescent="0.25">
      <c r="A20" s="8">
        <v>42684.184212962966</v>
      </c>
      <c r="B20" s="21" t="s">
        <v>247</v>
      </c>
      <c r="C20" s="21" t="s">
        <v>435</v>
      </c>
      <c r="D20" s="21">
        <v>2430000</v>
      </c>
      <c r="E20" s="21" t="s">
        <v>241</v>
      </c>
      <c r="F20" s="21" t="str">
        <f t="shared" si="0"/>
        <v>rtdc.l.rtdc.4042:itc</v>
      </c>
      <c r="G20" s="8">
        <f t="shared" si="1"/>
        <v>42684.184212962966</v>
      </c>
    </row>
    <row r="21" spans="1:7" x14ac:dyDescent="0.25">
      <c r="A21" s="8">
        <v>42684.184548611112</v>
      </c>
      <c r="B21" s="21" t="s">
        <v>256</v>
      </c>
      <c r="C21" s="21" t="s">
        <v>436</v>
      </c>
      <c r="D21" s="21">
        <v>2620000</v>
      </c>
      <c r="E21" s="21" t="s">
        <v>275</v>
      </c>
      <c r="F21" s="21" t="str">
        <f t="shared" si="0"/>
        <v>rtdc.l.rtdc.4012:itc</v>
      </c>
      <c r="G21" s="8">
        <f t="shared" si="1"/>
        <v>42684.184548611112</v>
      </c>
    </row>
    <row r="22" spans="1:7" x14ac:dyDescent="0.25">
      <c r="A22" s="27">
        <v>42684.193090277775</v>
      </c>
      <c r="B22" s="21" t="s">
        <v>272</v>
      </c>
      <c r="C22" s="21" t="s">
        <v>380</v>
      </c>
      <c r="D22" s="21">
        <v>1090000</v>
      </c>
      <c r="E22" s="21" t="s">
        <v>296</v>
      </c>
      <c r="F22" s="21" t="str">
        <f t="shared" si="0"/>
        <v>rtdc.l.rtdc.4001:itc</v>
      </c>
      <c r="G22" s="8">
        <f t="shared" si="1"/>
        <v>42684.193090277775</v>
      </c>
    </row>
    <row r="23" spans="1:7" x14ac:dyDescent="0.25">
      <c r="A23" s="8">
        <v>42684.194212962961</v>
      </c>
      <c r="B23" s="21" t="s">
        <v>221</v>
      </c>
      <c r="C23" s="21" t="s">
        <v>437</v>
      </c>
      <c r="D23" s="21">
        <v>2620000</v>
      </c>
      <c r="E23" s="21" t="s">
        <v>275</v>
      </c>
      <c r="F23" s="21" t="str">
        <f t="shared" si="0"/>
        <v>rtdc.l.rtdc.4011:itc</v>
      </c>
      <c r="G23" s="8">
        <f t="shared" si="1"/>
        <v>42684.194212962961</v>
      </c>
    </row>
    <row r="24" spans="1:7" x14ac:dyDescent="0.25">
      <c r="A24" s="8">
        <v>42684.205590277779</v>
      </c>
      <c r="B24" s="21" t="s">
        <v>253</v>
      </c>
      <c r="C24" s="21" t="s">
        <v>438</v>
      </c>
      <c r="D24" s="21">
        <v>1110000</v>
      </c>
      <c r="E24" s="21" t="s">
        <v>324</v>
      </c>
      <c r="F24" s="21" t="str">
        <f t="shared" si="0"/>
        <v>rtdc.l.rtdc.4025:itc</v>
      </c>
      <c r="G24" s="8">
        <f t="shared" si="1"/>
        <v>42684.205590277779</v>
      </c>
    </row>
    <row r="25" spans="1:7" x14ac:dyDescent="0.25">
      <c r="A25" s="8">
        <v>42684.210300925923</v>
      </c>
      <c r="B25" s="21" t="s">
        <v>319</v>
      </c>
      <c r="C25" s="21" t="s">
        <v>439</v>
      </c>
      <c r="D25" s="21">
        <v>2010000</v>
      </c>
      <c r="E25" s="21" t="s">
        <v>323</v>
      </c>
      <c r="F25" s="21" t="str">
        <f t="shared" si="0"/>
        <v>rtdc.l.rtdc.4022:itc</v>
      </c>
      <c r="G25" s="8">
        <f t="shared" si="1"/>
        <v>42684.210300925923</v>
      </c>
    </row>
    <row r="26" spans="1:7" x14ac:dyDescent="0.25">
      <c r="A26" s="8">
        <v>42684.211516203701</v>
      </c>
      <c r="B26" s="21" t="s">
        <v>381</v>
      </c>
      <c r="C26" s="21" t="s">
        <v>382</v>
      </c>
      <c r="D26" s="21">
        <v>2100000</v>
      </c>
      <c r="E26" s="21" t="s">
        <v>430</v>
      </c>
      <c r="F26" s="21" t="str">
        <f t="shared" si="0"/>
        <v>rtdc.l.rtdc.4054:itc</v>
      </c>
      <c r="G26" s="8">
        <f t="shared" si="1"/>
        <v>42684.211516203701</v>
      </c>
    </row>
    <row r="27" spans="1:7" x14ac:dyDescent="0.25">
      <c r="A27" s="8">
        <v>42684.214155092595</v>
      </c>
      <c r="B27" s="21" t="s">
        <v>240</v>
      </c>
      <c r="C27" s="21" t="s">
        <v>440</v>
      </c>
      <c r="D27" s="21">
        <v>2110000</v>
      </c>
      <c r="E27" s="21" t="s">
        <v>441</v>
      </c>
      <c r="F27" s="21" t="str">
        <f t="shared" si="0"/>
        <v>rtdc.l.rtdc.4004:itc</v>
      </c>
      <c r="G27" s="8">
        <f t="shared" si="1"/>
        <v>42684.214155092595</v>
      </c>
    </row>
    <row r="28" spans="1:7" x14ac:dyDescent="0.25">
      <c r="A28" s="8">
        <v>42684.222870370373</v>
      </c>
      <c r="B28" s="21" t="s">
        <v>246</v>
      </c>
      <c r="C28" s="21" t="s">
        <v>442</v>
      </c>
      <c r="D28" s="21">
        <v>2430000</v>
      </c>
      <c r="E28" s="21" t="s">
        <v>241</v>
      </c>
      <c r="F28" s="21" t="str">
        <f t="shared" si="0"/>
        <v>rtdc.l.rtdc.4041:itc</v>
      </c>
      <c r="G28" s="8">
        <f t="shared" si="1"/>
        <v>42684.222870370373</v>
      </c>
    </row>
    <row r="29" spans="1:7" x14ac:dyDescent="0.25">
      <c r="A29" s="8">
        <v>42684.22760416667</v>
      </c>
      <c r="B29" s="21" t="s">
        <v>393</v>
      </c>
      <c r="C29" s="21" t="s">
        <v>443</v>
      </c>
      <c r="D29" s="21">
        <v>2380000</v>
      </c>
      <c r="E29" s="21" t="s">
        <v>274</v>
      </c>
      <c r="F29" s="21" t="str">
        <f t="shared" si="0"/>
        <v>rtdc.l.rtdc.4007:itc</v>
      </c>
      <c r="G29" s="8">
        <f t="shared" si="1"/>
        <v>42684.22760416667</v>
      </c>
    </row>
    <row r="30" spans="1:7" x14ac:dyDescent="0.25">
      <c r="A30" s="8">
        <v>42684.232893518521</v>
      </c>
      <c r="B30" s="21" t="s">
        <v>273</v>
      </c>
      <c r="C30" s="21" t="s">
        <v>444</v>
      </c>
      <c r="D30" s="21">
        <v>1090000</v>
      </c>
      <c r="E30" s="21" t="s">
        <v>296</v>
      </c>
      <c r="F30" s="21" t="str">
        <f t="shared" si="0"/>
        <v>rtdc.l.rtdc.4002:itc</v>
      </c>
      <c r="G30" s="8">
        <f t="shared" si="1"/>
        <v>42684.232893518521</v>
      </c>
    </row>
    <row r="31" spans="1:7" x14ac:dyDescent="0.25">
      <c r="A31" s="8">
        <v>42684.234409722223</v>
      </c>
      <c r="B31" s="21" t="s">
        <v>273</v>
      </c>
      <c r="C31" s="21" t="s">
        <v>444</v>
      </c>
      <c r="D31" s="21">
        <v>1090000</v>
      </c>
      <c r="E31" s="21" t="s">
        <v>296</v>
      </c>
      <c r="F31" s="21" t="str">
        <f t="shared" si="0"/>
        <v>rtdc.l.rtdc.4002:itc</v>
      </c>
      <c r="G31" s="8">
        <f t="shared" si="1"/>
        <v>42684.234409722223</v>
      </c>
    </row>
    <row r="32" spans="1:7" x14ac:dyDescent="0.25">
      <c r="A32" s="8">
        <v>42684.235034722224</v>
      </c>
      <c r="B32" s="21" t="s">
        <v>256</v>
      </c>
      <c r="C32" s="21" t="s">
        <v>445</v>
      </c>
      <c r="D32" s="21">
        <v>2620000</v>
      </c>
      <c r="E32" s="21" t="s">
        <v>275</v>
      </c>
      <c r="F32" s="21" t="str">
        <f t="shared" si="0"/>
        <v>rtdc.l.rtdc.4012:itc</v>
      </c>
      <c r="G32" s="8">
        <f t="shared" si="1"/>
        <v>42684.235034722224</v>
      </c>
    </row>
    <row r="33" spans="1:7" x14ac:dyDescent="0.25">
      <c r="A33" s="8">
        <v>42684.239710648151</v>
      </c>
      <c r="B33" s="21" t="s">
        <v>234</v>
      </c>
      <c r="C33" s="21" t="s">
        <v>446</v>
      </c>
      <c r="D33" s="21">
        <v>2110000</v>
      </c>
      <c r="E33" s="21" t="s">
        <v>441</v>
      </c>
      <c r="F33" s="21" t="str">
        <f t="shared" si="0"/>
        <v>rtdc.l.rtdc.4003:itc</v>
      </c>
      <c r="G33" s="8">
        <f t="shared" si="1"/>
        <v>42684.239710648151</v>
      </c>
    </row>
    <row r="34" spans="1:7" x14ac:dyDescent="0.25">
      <c r="A34" s="8">
        <v>42684.246041666665</v>
      </c>
      <c r="B34" s="21" t="s">
        <v>317</v>
      </c>
      <c r="C34" s="21" t="s">
        <v>384</v>
      </c>
      <c r="D34" s="21">
        <v>1110000</v>
      </c>
      <c r="E34" s="21" t="s">
        <v>324</v>
      </c>
      <c r="F34" s="21" t="str">
        <f t="shared" si="0"/>
        <v>rtdc.l.rtdc.4026:itc</v>
      </c>
      <c r="G34" s="8">
        <f t="shared" si="1"/>
        <v>42684.246041666665</v>
      </c>
    </row>
    <row r="35" spans="1:7" x14ac:dyDescent="0.25">
      <c r="A35" s="8">
        <v>42684.252465277779</v>
      </c>
      <c r="B35" s="21" t="s">
        <v>321</v>
      </c>
      <c r="C35" s="21" t="s">
        <v>447</v>
      </c>
      <c r="D35" s="21">
        <v>2010000</v>
      </c>
      <c r="E35" s="21" t="s">
        <v>323</v>
      </c>
      <c r="F35" s="21" t="str">
        <f t="shared" si="0"/>
        <v>rtdc.l.rtdc.4021:itc</v>
      </c>
      <c r="G35" s="8">
        <f t="shared" si="1"/>
        <v>42684.252465277779</v>
      </c>
    </row>
    <row r="36" spans="1:7" x14ac:dyDescent="0.25">
      <c r="A36" s="8">
        <v>42684.252476851849</v>
      </c>
      <c r="B36" s="21" t="s">
        <v>407</v>
      </c>
      <c r="C36" s="21" t="s">
        <v>448</v>
      </c>
      <c r="D36" s="21">
        <v>2100000</v>
      </c>
      <c r="E36" s="21" t="s">
        <v>430</v>
      </c>
      <c r="F36" s="21" t="str">
        <f t="shared" si="0"/>
        <v>rtdc.l.rtdc.4038:itc</v>
      </c>
      <c r="G36" s="8">
        <f t="shared" si="1"/>
        <v>42684.252476851849</v>
      </c>
    </row>
    <row r="37" spans="1:7" x14ac:dyDescent="0.25">
      <c r="A37" s="8">
        <v>42684.252835648149</v>
      </c>
      <c r="B37" s="21" t="s">
        <v>294</v>
      </c>
      <c r="C37" s="21" t="s">
        <v>449</v>
      </c>
      <c r="D37" s="21">
        <v>2560000</v>
      </c>
      <c r="E37" s="21" t="s">
        <v>276</v>
      </c>
      <c r="F37" s="21" t="str">
        <f t="shared" si="0"/>
        <v>rtdc.l.rtdc.4043:itc</v>
      </c>
      <c r="G37" s="8">
        <f t="shared" si="1"/>
        <v>42684.252835648149</v>
      </c>
    </row>
    <row r="38" spans="1:7" x14ac:dyDescent="0.25">
      <c r="A38" s="8">
        <v>42684.255648148152</v>
      </c>
      <c r="B38" s="21" t="s">
        <v>240</v>
      </c>
      <c r="C38" s="21" t="s">
        <v>450</v>
      </c>
      <c r="D38" s="21">
        <v>2110000</v>
      </c>
      <c r="E38" s="21" t="s">
        <v>441</v>
      </c>
      <c r="F38" s="21" t="str">
        <f t="shared" si="0"/>
        <v>rtdc.l.rtdc.4004:itc</v>
      </c>
      <c r="G38" s="8">
        <f t="shared" si="1"/>
        <v>42684.255648148152</v>
      </c>
    </row>
    <row r="39" spans="1:7" x14ac:dyDescent="0.25">
      <c r="A39" s="8">
        <v>42684.259837962964</v>
      </c>
      <c r="B39" s="21" t="s">
        <v>247</v>
      </c>
      <c r="C39" s="21" t="s">
        <v>451</v>
      </c>
      <c r="D39" s="21">
        <v>2430000</v>
      </c>
      <c r="E39" s="21" t="s">
        <v>241</v>
      </c>
      <c r="F39" s="21" t="str">
        <f t="shared" si="0"/>
        <v>rtdc.l.rtdc.4042:itc</v>
      </c>
      <c r="G39" s="8">
        <f t="shared" si="1"/>
        <v>42684.259837962964</v>
      </c>
    </row>
    <row r="40" spans="1:7" x14ac:dyDescent="0.25">
      <c r="A40" s="8">
        <v>42684.262407407405</v>
      </c>
      <c r="B40" s="26" t="s">
        <v>189</v>
      </c>
      <c r="C40" s="21" t="s">
        <v>383</v>
      </c>
      <c r="D40" s="21">
        <v>2560000</v>
      </c>
      <c r="E40" s="21" t="s">
        <v>276</v>
      </c>
      <c r="F40" s="21" t="str">
        <f t="shared" si="0"/>
        <v>rtdc.l.rtdc.4044:itc</v>
      </c>
      <c r="G40" s="8">
        <f t="shared" si="1"/>
        <v>42684.262407407405</v>
      </c>
    </row>
    <row r="41" spans="1:7" x14ac:dyDescent="0.25">
      <c r="A41" s="8">
        <v>42684.264016203706</v>
      </c>
      <c r="B41" s="21" t="s">
        <v>386</v>
      </c>
      <c r="C41" s="21" t="s">
        <v>387</v>
      </c>
      <c r="D41" s="21">
        <v>2380000</v>
      </c>
      <c r="E41" s="21" t="s">
        <v>274</v>
      </c>
      <c r="F41" s="21" t="str">
        <f t="shared" si="0"/>
        <v>rtdc.l.rtdc.4008:itc</v>
      </c>
      <c r="G41" s="8">
        <f t="shared" si="1"/>
        <v>42684.264016203706</v>
      </c>
    </row>
    <row r="42" spans="1:7" x14ac:dyDescent="0.25">
      <c r="A42" s="8">
        <v>42684.269733796296</v>
      </c>
      <c r="B42" s="21" t="s">
        <v>221</v>
      </c>
      <c r="C42" s="21" t="s">
        <v>452</v>
      </c>
      <c r="D42" s="21">
        <v>2620000</v>
      </c>
      <c r="E42" s="21" t="s">
        <v>275</v>
      </c>
      <c r="F42" s="21" t="str">
        <f t="shared" si="0"/>
        <v>rtdc.l.rtdc.4011:itc</v>
      </c>
      <c r="G42" s="8">
        <f t="shared" si="1"/>
        <v>42684.269733796296</v>
      </c>
    </row>
    <row r="43" spans="1:7" x14ac:dyDescent="0.25">
      <c r="A43" s="8">
        <v>42684.276898148149</v>
      </c>
      <c r="B43" s="21" t="s">
        <v>294</v>
      </c>
      <c r="C43" s="21" t="s">
        <v>453</v>
      </c>
      <c r="D43" s="21">
        <v>2560000</v>
      </c>
      <c r="E43" s="21" t="s">
        <v>276</v>
      </c>
      <c r="F43" s="21" t="str">
        <f t="shared" si="0"/>
        <v>rtdc.l.rtdc.4043:itc</v>
      </c>
      <c r="G43" s="8">
        <f t="shared" si="1"/>
        <v>42684.276898148149</v>
      </c>
    </row>
    <row r="44" spans="1:7" x14ac:dyDescent="0.25">
      <c r="A44" s="8">
        <v>42684.278263888889</v>
      </c>
      <c r="B44" s="21" t="s">
        <v>272</v>
      </c>
      <c r="C44" s="21" t="s">
        <v>454</v>
      </c>
      <c r="D44" s="21">
        <v>1090000</v>
      </c>
      <c r="E44" s="21" t="s">
        <v>296</v>
      </c>
      <c r="F44" s="21" t="str">
        <f t="shared" si="0"/>
        <v>rtdc.l.rtdc.4001:itc</v>
      </c>
      <c r="G44" s="8">
        <f t="shared" si="1"/>
        <v>42684.278263888889</v>
      </c>
    </row>
    <row r="45" spans="1:7" x14ac:dyDescent="0.25">
      <c r="A45" s="8">
        <v>42684.2809837963</v>
      </c>
      <c r="B45" s="21" t="s">
        <v>234</v>
      </c>
      <c r="C45" s="21" t="s">
        <v>385</v>
      </c>
      <c r="D45" s="21">
        <v>2110000</v>
      </c>
      <c r="E45" s="21" t="s">
        <v>441</v>
      </c>
      <c r="F45" s="21" t="str">
        <f t="shared" si="0"/>
        <v>rtdc.l.rtdc.4003:itc</v>
      </c>
      <c r="G45" s="8">
        <f t="shared" si="1"/>
        <v>42684.2809837963</v>
      </c>
    </row>
    <row r="46" spans="1:7" x14ac:dyDescent="0.25">
      <c r="A46" s="8">
        <v>42684.285277777781</v>
      </c>
      <c r="B46" s="21" t="s">
        <v>253</v>
      </c>
      <c r="C46" s="21" t="s">
        <v>388</v>
      </c>
      <c r="D46" s="21">
        <v>1110000</v>
      </c>
      <c r="E46" s="21" t="s">
        <v>324</v>
      </c>
      <c r="F46" s="21" t="str">
        <f t="shared" si="0"/>
        <v>rtdc.l.rtdc.4025:itc</v>
      </c>
      <c r="G46" s="8">
        <f t="shared" si="1"/>
        <v>42684.285277777781</v>
      </c>
    </row>
    <row r="47" spans="1:7" x14ac:dyDescent="0.25">
      <c r="A47" s="8">
        <v>42684.285937499997</v>
      </c>
      <c r="B47" s="21" t="s">
        <v>455</v>
      </c>
      <c r="C47" s="21" t="s">
        <v>456</v>
      </c>
      <c r="D47" s="21">
        <v>2100000</v>
      </c>
      <c r="E47" s="21" t="s">
        <v>430</v>
      </c>
      <c r="F47" s="21" t="str">
        <f t="shared" si="0"/>
        <v>rtdc.l.rtdc.4037:itc</v>
      </c>
      <c r="G47" s="8">
        <f t="shared" si="1"/>
        <v>42684.285937499997</v>
      </c>
    </row>
    <row r="48" spans="1:7" x14ac:dyDescent="0.25">
      <c r="A48" s="8">
        <v>42684.289953703701</v>
      </c>
      <c r="B48" s="21" t="s">
        <v>319</v>
      </c>
      <c r="C48" s="21" t="s">
        <v>457</v>
      </c>
      <c r="D48" s="21">
        <v>2010000</v>
      </c>
      <c r="E48" s="21" t="s">
        <v>323</v>
      </c>
      <c r="F48" s="21" t="str">
        <f t="shared" si="0"/>
        <v>rtdc.l.rtdc.4022:itc</v>
      </c>
      <c r="G48" s="8">
        <f t="shared" si="1"/>
        <v>42684.289953703701</v>
      </c>
    </row>
    <row r="49" spans="1:7" x14ac:dyDescent="0.25">
      <c r="A49" s="8">
        <v>42684.297650462962</v>
      </c>
      <c r="B49" s="21" t="s">
        <v>240</v>
      </c>
      <c r="C49" s="21" t="s">
        <v>458</v>
      </c>
      <c r="D49" s="21">
        <v>2110000</v>
      </c>
      <c r="E49" s="21" t="s">
        <v>441</v>
      </c>
      <c r="F49" s="21" t="str">
        <f t="shared" si="0"/>
        <v>rtdc.l.rtdc.4004:itc</v>
      </c>
      <c r="G49" s="8">
        <f t="shared" si="1"/>
        <v>42684.297650462962</v>
      </c>
    </row>
    <row r="50" spans="1:7" x14ac:dyDescent="0.25">
      <c r="A50" s="8">
        <v>42684.298402777778</v>
      </c>
      <c r="B50" s="21" t="s">
        <v>393</v>
      </c>
      <c r="C50" s="21" t="s">
        <v>459</v>
      </c>
      <c r="D50" s="21">
        <v>2380000</v>
      </c>
      <c r="E50" s="21" t="s">
        <v>274</v>
      </c>
      <c r="F50" s="21" t="str">
        <f t="shared" si="0"/>
        <v>rtdc.l.rtdc.4007:itc</v>
      </c>
      <c r="G50" s="8">
        <f t="shared" si="1"/>
        <v>42684.298402777778</v>
      </c>
    </row>
    <row r="51" spans="1:7" x14ac:dyDescent="0.25">
      <c r="A51" s="8">
        <v>42684.303912037038</v>
      </c>
      <c r="B51" s="21" t="s">
        <v>189</v>
      </c>
      <c r="C51" s="21" t="s">
        <v>460</v>
      </c>
      <c r="D51" s="21">
        <v>2560000</v>
      </c>
      <c r="E51" s="21" t="s">
        <v>276</v>
      </c>
      <c r="F51" s="21" t="str">
        <f t="shared" si="0"/>
        <v>rtdc.l.rtdc.4044:itc</v>
      </c>
      <c r="G51" s="8">
        <f t="shared" si="1"/>
        <v>42684.303912037038</v>
      </c>
    </row>
    <row r="52" spans="1:7" x14ac:dyDescent="0.25">
      <c r="A52" s="8">
        <v>42684.30572916667</v>
      </c>
      <c r="B52" s="21" t="s">
        <v>246</v>
      </c>
      <c r="C52" s="21" t="s">
        <v>389</v>
      </c>
      <c r="D52" s="21">
        <v>2430000</v>
      </c>
      <c r="E52" s="21" t="s">
        <v>241</v>
      </c>
      <c r="F52" s="21" t="str">
        <f t="shared" si="0"/>
        <v>rtdc.l.rtdc.4041:itc</v>
      </c>
      <c r="G52" s="8">
        <f t="shared" si="1"/>
        <v>42684.30572916667</v>
      </c>
    </row>
    <row r="53" spans="1:7" x14ac:dyDescent="0.25">
      <c r="A53" s="8">
        <v>42684.309421296297</v>
      </c>
      <c r="B53" s="21" t="s">
        <v>273</v>
      </c>
      <c r="C53" s="21" t="s">
        <v>461</v>
      </c>
      <c r="D53" s="21">
        <v>1090000</v>
      </c>
      <c r="E53" s="21" t="s">
        <v>296</v>
      </c>
      <c r="F53" s="21" t="str">
        <f t="shared" si="0"/>
        <v>rtdc.l.rtdc.4002:itc</v>
      </c>
      <c r="G53" s="8">
        <f t="shared" si="1"/>
        <v>42684.309421296297</v>
      </c>
    </row>
    <row r="54" spans="1:7" x14ac:dyDescent="0.25">
      <c r="A54" s="8">
        <v>42684.310104166667</v>
      </c>
      <c r="B54" s="21" t="s">
        <v>256</v>
      </c>
      <c r="C54" s="21" t="s">
        <v>462</v>
      </c>
      <c r="D54" s="21">
        <v>2620000</v>
      </c>
      <c r="E54" s="21" t="s">
        <v>275</v>
      </c>
      <c r="F54" s="21" t="str">
        <f t="shared" si="0"/>
        <v>rtdc.l.rtdc.4012:itc</v>
      </c>
      <c r="G54" s="8">
        <f t="shared" si="1"/>
        <v>42684.310104166667</v>
      </c>
    </row>
    <row r="55" spans="1:7" x14ac:dyDescent="0.25">
      <c r="A55" s="8">
        <v>42684.31759259259</v>
      </c>
      <c r="B55" s="21" t="s">
        <v>294</v>
      </c>
      <c r="C55" s="21" t="s">
        <v>463</v>
      </c>
      <c r="D55" s="21">
        <v>2560000</v>
      </c>
      <c r="E55" s="21" t="s">
        <v>276</v>
      </c>
      <c r="F55" s="21" t="str">
        <f t="shared" si="0"/>
        <v>rtdc.l.rtdc.4043:itc</v>
      </c>
      <c r="G55" s="8">
        <f t="shared" si="1"/>
        <v>42684.31759259259</v>
      </c>
    </row>
    <row r="56" spans="1:7" x14ac:dyDescent="0.25">
      <c r="A56" s="8">
        <v>42684.318206018521</v>
      </c>
      <c r="B56" s="21" t="s">
        <v>317</v>
      </c>
      <c r="C56" s="21" t="s">
        <v>390</v>
      </c>
      <c r="D56" s="21">
        <v>1110000</v>
      </c>
      <c r="E56" s="21" t="s">
        <v>324</v>
      </c>
      <c r="F56" s="21" t="str">
        <f t="shared" si="0"/>
        <v>rtdc.l.rtdc.4026:itc</v>
      </c>
      <c r="G56" s="8">
        <f t="shared" si="1"/>
        <v>42684.318206018521</v>
      </c>
    </row>
    <row r="57" spans="1:7" x14ac:dyDescent="0.25">
      <c r="A57" s="8">
        <v>42684.319733796299</v>
      </c>
      <c r="B57" s="21" t="s">
        <v>234</v>
      </c>
      <c r="C57" s="21" t="s">
        <v>464</v>
      </c>
      <c r="D57" s="21">
        <v>2110000</v>
      </c>
      <c r="E57" s="21" t="s">
        <v>441</v>
      </c>
      <c r="F57" s="21" t="str">
        <f t="shared" si="0"/>
        <v>rtdc.l.rtdc.4003:itc</v>
      </c>
      <c r="G57" s="8">
        <f t="shared" si="1"/>
        <v>42684.319733796299</v>
      </c>
    </row>
    <row r="58" spans="1:7" x14ac:dyDescent="0.25">
      <c r="A58" s="8">
        <v>42684.319791666669</v>
      </c>
      <c r="B58" s="21" t="s">
        <v>407</v>
      </c>
      <c r="C58" s="21" t="s">
        <v>465</v>
      </c>
      <c r="D58" s="21">
        <v>2100000</v>
      </c>
      <c r="E58" s="21" t="s">
        <v>430</v>
      </c>
      <c r="F58" s="21" t="str">
        <f t="shared" si="0"/>
        <v>rtdc.l.rtdc.4038:itc</v>
      </c>
      <c r="G58" s="8">
        <f t="shared" si="1"/>
        <v>42684.319791666669</v>
      </c>
    </row>
    <row r="59" spans="1:7" x14ac:dyDescent="0.25">
      <c r="A59" s="8">
        <v>42684.324328703704</v>
      </c>
      <c r="B59" s="21" t="s">
        <v>395</v>
      </c>
      <c r="C59" s="21" t="s">
        <v>466</v>
      </c>
      <c r="D59" s="21">
        <v>1240000</v>
      </c>
      <c r="E59" s="21" t="s">
        <v>297</v>
      </c>
      <c r="F59" s="21" t="str">
        <f t="shared" si="0"/>
        <v>rtdc.l.rtdc.4053:itc</v>
      </c>
      <c r="G59" s="8">
        <f t="shared" si="1"/>
        <v>42684.324328703704</v>
      </c>
    </row>
    <row r="60" spans="1:7" x14ac:dyDescent="0.25">
      <c r="A60" s="8">
        <v>42684.327939814815</v>
      </c>
      <c r="B60" s="21" t="s">
        <v>321</v>
      </c>
      <c r="C60" s="21" t="s">
        <v>391</v>
      </c>
      <c r="D60" s="21">
        <v>2010000</v>
      </c>
      <c r="E60" s="21" t="s">
        <v>323</v>
      </c>
      <c r="F60" s="21" t="str">
        <f t="shared" si="0"/>
        <v>rtdc.l.rtdc.4021:itc</v>
      </c>
      <c r="G60" s="8">
        <f t="shared" si="1"/>
        <v>42684.327939814815</v>
      </c>
    </row>
    <row r="61" spans="1:7" x14ac:dyDescent="0.25">
      <c r="A61" s="8">
        <v>42684.33252314815</v>
      </c>
      <c r="B61" s="21" t="s">
        <v>189</v>
      </c>
      <c r="C61" s="21" t="s">
        <v>467</v>
      </c>
      <c r="D61" s="21">
        <v>2560000</v>
      </c>
      <c r="E61" s="21" t="s">
        <v>276</v>
      </c>
      <c r="F61" s="21" t="str">
        <f t="shared" si="0"/>
        <v>rtdc.l.rtdc.4044:itc</v>
      </c>
      <c r="G61" s="8">
        <f t="shared" si="1"/>
        <v>42684.33252314815</v>
      </c>
    </row>
    <row r="62" spans="1:7" x14ac:dyDescent="0.25">
      <c r="A62" s="8">
        <v>42684.335636574076</v>
      </c>
      <c r="B62" s="21" t="s">
        <v>290</v>
      </c>
      <c r="C62" s="21" t="s">
        <v>468</v>
      </c>
      <c r="D62" s="21">
        <v>1200000</v>
      </c>
      <c r="E62" s="21" t="s">
        <v>469</v>
      </c>
      <c r="F62" s="21" t="str">
        <f t="shared" si="0"/>
        <v>rtdc.l.rtdc.4016:itc</v>
      </c>
      <c r="G62" s="8">
        <f t="shared" si="1"/>
        <v>42684.335636574076</v>
      </c>
    </row>
    <row r="63" spans="1:7" x14ac:dyDescent="0.25">
      <c r="A63" s="8">
        <v>42684.336550925924</v>
      </c>
      <c r="B63" s="21" t="s">
        <v>386</v>
      </c>
      <c r="C63" s="21" t="s">
        <v>470</v>
      </c>
      <c r="D63" s="21">
        <v>2380000</v>
      </c>
      <c r="E63" s="21" t="s">
        <v>274</v>
      </c>
      <c r="F63" s="21" t="str">
        <f t="shared" si="0"/>
        <v>rtdc.l.rtdc.4008:itc</v>
      </c>
      <c r="G63" s="8">
        <f t="shared" si="1"/>
        <v>42684.336550925924</v>
      </c>
    </row>
    <row r="64" spans="1:7" x14ac:dyDescent="0.25">
      <c r="A64" s="27">
        <v>42684.339745370373</v>
      </c>
      <c r="B64" s="21" t="s">
        <v>240</v>
      </c>
      <c r="C64" s="21" t="s">
        <v>471</v>
      </c>
      <c r="D64" s="21">
        <v>2110000</v>
      </c>
      <c r="E64" s="21" t="s">
        <v>441</v>
      </c>
      <c r="F64" s="21" t="str">
        <f t="shared" si="0"/>
        <v>rtdc.l.rtdc.4004:itc</v>
      </c>
      <c r="G64" s="8">
        <f t="shared" si="1"/>
        <v>42684.339745370373</v>
      </c>
    </row>
    <row r="65" spans="1:7" x14ac:dyDescent="0.25">
      <c r="A65" s="8">
        <v>42684.350428240738</v>
      </c>
      <c r="B65" s="21" t="s">
        <v>272</v>
      </c>
      <c r="C65" s="21" t="s">
        <v>472</v>
      </c>
      <c r="D65" s="21">
        <v>1090000</v>
      </c>
      <c r="E65" s="21" t="s">
        <v>296</v>
      </c>
      <c r="F65" s="21" t="str">
        <f t="shared" si="0"/>
        <v>rtdc.l.rtdc.4001:itc</v>
      </c>
      <c r="G65" s="8">
        <f t="shared" si="1"/>
        <v>42684.350428240738</v>
      </c>
    </row>
    <row r="66" spans="1:7" x14ac:dyDescent="0.25">
      <c r="A66" s="8">
        <v>42684.353645833333</v>
      </c>
      <c r="B66" s="21" t="s">
        <v>221</v>
      </c>
      <c r="C66" s="21" t="s">
        <v>473</v>
      </c>
      <c r="D66" s="21">
        <v>2620000</v>
      </c>
      <c r="E66" s="21" t="s">
        <v>275</v>
      </c>
      <c r="F66" s="21" t="str">
        <f t="shared" ref="F66:F129" si="2">B66</f>
        <v>rtdc.l.rtdc.4011:itc</v>
      </c>
      <c r="G66" s="8">
        <f t="shared" ref="G66:G129" si="3">A66</f>
        <v>42684.353645833333</v>
      </c>
    </row>
    <row r="67" spans="1:7" x14ac:dyDescent="0.25">
      <c r="A67" s="8">
        <v>42684.35434027778</v>
      </c>
      <c r="B67" s="21" t="s">
        <v>221</v>
      </c>
      <c r="C67" s="21" t="s">
        <v>473</v>
      </c>
      <c r="D67" s="21">
        <v>2620000</v>
      </c>
      <c r="E67" s="21" t="s">
        <v>275</v>
      </c>
      <c r="F67" s="21" t="str">
        <f t="shared" si="2"/>
        <v>rtdc.l.rtdc.4011:itc</v>
      </c>
      <c r="G67" s="8">
        <f t="shared" si="3"/>
        <v>42684.35434027778</v>
      </c>
    </row>
    <row r="68" spans="1:7" x14ac:dyDescent="0.25">
      <c r="A68" s="8">
        <v>42684.355613425927</v>
      </c>
      <c r="B68" s="21" t="s">
        <v>221</v>
      </c>
      <c r="C68" s="21" t="s">
        <v>473</v>
      </c>
      <c r="D68" s="21">
        <v>2620000</v>
      </c>
      <c r="E68" s="21" t="s">
        <v>275</v>
      </c>
      <c r="F68" s="21" t="str">
        <f t="shared" si="2"/>
        <v>rtdc.l.rtdc.4011:itc</v>
      </c>
      <c r="G68" s="8">
        <f t="shared" si="3"/>
        <v>42684.355613425927</v>
      </c>
    </row>
    <row r="69" spans="1:7" x14ac:dyDescent="0.25">
      <c r="A69" s="8">
        <v>42684.356296296297</v>
      </c>
      <c r="B69" s="21" t="s">
        <v>234</v>
      </c>
      <c r="C69" s="21" t="s">
        <v>392</v>
      </c>
      <c r="D69" s="21">
        <v>2110000</v>
      </c>
      <c r="E69" s="21" t="s">
        <v>441</v>
      </c>
      <c r="F69" s="21" t="str">
        <f t="shared" si="2"/>
        <v>rtdc.l.rtdc.4003:itc</v>
      </c>
      <c r="G69" s="8">
        <f t="shared" si="3"/>
        <v>42684.356296296297</v>
      </c>
    </row>
    <row r="70" spans="1:7" x14ac:dyDescent="0.25">
      <c r="A70" s="8">
        <v>42684.359386574077</v>
      </c>
      <c r="B70" s="21" t="s">
        <v>294</v>
      </c>
      <c r="C70" s="21" t="s">
        <v>474</v>
      </c>
      <c r="D70" s="21">
        <v>2560000</v>
      </c>
      <c r="E70" s="21" t="s">
        <v>276</v>
      </c>
      <c r="F70" s="21" t="str">
        <f t="shared" si="2"/>
        <v>rtdc.l.rtdc.4043:itc</v>
      </c>
      <c r="G70" s="8">
        <f t="shared" si="3"/>
        <v>42684.359386574077</v>
      </c>
    </row>
    <row r="71" spans="1:7" x14ac:dyDescent="0.25">
      <c r="A71" s="8">
        <v>42684.362743055557</v>
      </c>
      <c r="B71" s="21" t="s">
        <v>253</v>
      </c>
      <c r="C71" s="21" t="s">
        <v>475</v>
      </c>
      <c r="D71" s="21">
        <v>1110000</v>
      </c>
      <c r="E71" s="21" t="s">
        <v>324</v>
      </c>
      <c r="F71" s="21" t="str">
        <f t="shared" si="2"/>
        <v>rtdc.l.rtdc.4025:itc</v>
      </c>
      <c r="G71" s="8">
        <f t="shared" si="3"/>
        <v>42684.362743055557</v>
      </c>
    </row>
    <row r="72" spans="1:7" x14ac:dyDescent="0.25">
      <c r="A72" s="8">
        <v>42684.366562499999</v>
      </c>
      <c r="B72" s="21" t="s">
        <v>455</v>
      </c>
      <c r="C72" s="21" t="s">
        <v>476</v>
      </c>
      <c r="D72" s="21">
        <v>2100000</v>
      </c>
      <c r="E72" s="21" t="s">
        <v>430</v>
      </c>
      <c r="F72" s="21" t="str">
        <f t="shared" si="2"/>
        <v>rtdc.l.rtdc.4037:itc</v>
      </c>
      <c r="G72" s="8">
        <f t="shared" si="3"/>
        <v>42684.366562499999</v>
      </c>
    </row>
    <row r="73" spans="1:7" x14ac:dyDescent="0.25">
      <c r="A73" s="8">
        <v>42684.367164351854</v>
      </c>
      <c r="B73" s="21" t="s">
        <v>455</v>
      </c>
      <c r="C73" s="21" t="s">
        <v>477</v>
      </c>
      <c r="D73" s="21">
        <v>2100000</v>
      </c>
      <c r="E73" s="21" t="s">
        <v>430</v>
      </c>
      <c r="F73" s="21" t="str">
        <f t="shared" si="2"/>
        <v>rtdc.l.rtdc.4037:itc</v>
      </c>
      <c r="G73" s="8">
        <f t="shared" si="3"/>
        <v>42684.367164351854</v>
      </c>
    </row>
    <row r="74" spans="1:7" x14ac:dyDescent="0.25">
      <c r="A74" s="8">
        <v>42684.367905092593</v>
      </c>
      <c r="B74" s="21" t="s">
        <v>319</v>
      </c>
      <c r="C74" s="21" t="s">
        <v>478</v>
      </c>
      <c r="D74" s="21">
        <v>2010000</v>
      </c>
      <c r="E74" s="21" t="s">
        <v>323</v>
      </c>
      <c r="F74" s="21" t="str">
        <f t="shared" si="2"/>
        <v>rtdc.l.rtdc.4022:itc</v>
      </c>
      <c r="G74" s="8">
        <f t="shared" si="3"/>
        <v>42684.367905092593</v>
      </c>
    </row>
    <row r="75" spans="1:7" x14ac:dyDescent="0.25">
      <c r="A75" s="8">
        <v>42684.36855324074</v>
      </c>
      <c r="B75" s="21" t="s">
        <v>319</v>
      </c>
      <c r="C75" s="21" t="s">
        <v>478</v>
      </c>
      <c r="D75" s="21">
        <v>2010000</v>
      </c>
      <c r="E75" s="21" t="s">
        <v>323</v>
      </c>
      <c r="F75" s="21" t="str">
        <f t="shared" si="2"/>
        <v>rtdc.l.rtdc.4022:itc</v>
      </c>
      <c r="G75" s="8">
        <f t="shared" si="3"/>
        <v>42684.36855324074</v>
      </c>
    </row>
    <row r="76" spans="1:7" x14ac:dyDescent="0.25">
      <c r="A76" s="8">
        <v>42684.369606481479</v>
      </c>
      <c r="B76" s="21" t="s">
        <v>319</v>
      </c>
      <c r="C76" s="21" t="s">
        <v>478</v>
      </c>
      <c r="D76" s="21">
        <v>2010000</v>
      </c>
      <c r="E76" s="21" t="s">
        <v>323</v>
      </c>
      <c r="F76" s="21" t="str">
        <f t="shared" si="2"/>
        <v>rtdc.l.rtdc.4022:itc</v>
      </c>
      <c r="G76" s="8">
        <f t="shared" si="3"/>
        <v>42684.369606481479</v>
      </c>
    </row>
    <row r="77" spans="1:7" x14ac:dyDescent="0.25">
      <c r="A77" s="8">
        <v>42684.369710648149</v>
      </c>
      <c r="B77" s="21" t="s">
        <v>381</v>
      </c>
      <c r="C77" s="21" t="s">
        <v>479</v>
      </c>
      <c r="D77" s="21">
        <v>1240000</v>
      </c>
      <c r="E77" s="21" t="s">
        <v>297</v>
      </c>
      <c r="F77" s="21" t="str">
        <f t="shared" si="2"/>
        <v>rtdc.l.rtdc.4054:itc</v>
      </c>
      <c r="G77" s="8">
        <f t="shared" si="3"/>
        <v>42684.369710648149</v>
      </c>
    </row>
    <row r="78" spans="1:7" x14ac:dyDescent="0.25">
      <c r="A78" s="8">
        <v>42684.379166666666</v>
      </c>
      <c r="B78" s="21" t="s">
        <v>293</v>
      </c>
      <c r="C78" s="21" t="s">
        <v>480</v>
      </c>
      <c r="D78" s="21">
        <v>1200000</v>
      </c>
      <c r="E78" s="21" t="s">
        <v>469</v>
      </c>
      <c r="F78" s="21" t="str">
        <f t="shared" si="2"/>
        <v>rtdc.l.rtdc.4015:itc</v>
      </c>
      <c r="G78" s="8">
        <f t="shared" si="3"/>
        <v>42684.379166666666</v>
      </c>
    </row>
    <row r="79" spans="1:7" x14ac:dyDescent="0.25">
      <c r="A79" s="8">
        <v>42684.381458333337</v>
      </c>
      <c r="B79" s="21" t="s">
        <v>393</v>
      </c>
      <c r="C79" s="21" t="s">
        <v>394</v>
      </c>
      <c r="D79" s="21">
        <v>2380000</v>
      </c>
      <c r="E79" s="21" t="s">
        <v>274</v>
      </c>
      <c r="F79" s="21" t="str">
        <f t="shared" si="2"/>
        <v>rtdc.l.rtdc.4007:itc</v>
      </c>
      <c r="G79" s="8">
        <f t="shared" si="3"/>
        <v>42684.381458333337</v>
      </c>
    </row>
    <row r="80" spans="1:7" x14ac:dyDescent="0.25">
      <c r="A80" s="8">
        <v>42684.386828703704</v>
      </c>
      <c r="B80" s="21" t="s">
        <v>189</v>
      </c>
      <c r="C80" s="21" t="s">
        <v>481</v>
      </c>
      <c r="D80" s="21">
        <v>1100000</v>
      </c>
      <c r="E80" s="21" t="s">
        <v>482</v>
      </c>
      <c r="F80" s="21" t="str">
        <f t="shared" si="2"/>
        <v>rtdc.l.rtdc.4044:itc</v>
      </c>
      <c r="G80" s="8">
        <f t="shared" si="3"/>
        <v>42684.386828703704</v>
      </c>
    </row>
    <row r="81" spans="1:7" x14ac:dyDescent="0.25">
      <c r="A81" s="8">
        <v>42684.388819444444</v>
      </c>
      <c r="B81" s="21" t="s">
        <v>273</v>
      </c>
      <c r="C81" s="21" t="s">
        <v>476</v>
      </c>
      <c r="D81" s="21">
        <v>1090000</v>
      </c>
      <c r="E81" s="21" t="s">
        <v>296</v>
      </c>
      <c r="F81" s="21" t="str">
        <f t="shared" si="2"/>
        <v>rtdc.l.rtdc.4002:itc</v>
      </c>
      <c r="G81" s="8">
        <f t="shared" si="3"/>
        <v>42684.388819444444</v>
      </c>
    </row>
    <row r="82" spans="1:7" x14ac:dyDescent="0.25">
      <c r="A82" s="8">
        <v>42684.391469907408</v>
      </c>
      <c r="B82" s="21" t="s">
        <v>256</v>
      </c>
      <c r="C82" s="21" t="s">
        <v>483</v>
      </c>
      <c r="D82" s="21">
        <v>2620000</v>
      </c>
      <c r="E82" s="21" t="s">
        <v>275</v>
      </c>
      <c r="F82" s="21" t="str">
        <f t="shared" si="2"/>
        <v>rtdc.l.rtdc.4012:itc</v>
      </c>
      <c r="G82" s="8">
        <f t="shared" si="3"/>
        <v>42684.391469907408</v>
      </c>
    </row>
    <row r="83" spans="1:7" x14ac:dyDescent="0.25">
      <c r="A83" s="8">
        <v>42684.400601851848</v>
      </c>
      <c r="B83" s="21" t="s">
        <v>294</v>
      </c>
      <c r="C83" s="21" t="s">
        <v>484</v>
      </c>
      <c r="D83" s="21">
        <v>1100000</v>
      </c>
      <c r="E83" s="21" t="s">
        <v>482</v>
      </c>
      <c r="F83" s="21" t="str">
        <f t="shared" si="2"/>
        <v>rtdc.l.rtdc.4043:itc</v>
      </c>
      <c r="G83" s="8">
        <f t="shared" si="3"/>
        <v>42684.400601851848</v>
      </c>
    </row>
    <row r="84" spans="1:7" x14ac:dyDescent="0.25">
      <c r="A84" s="8">
        <v>42684.401932870373</v>
      </c>
      <c r="B84" s="21" t="s">
        <v>317</v>
      </c>
      <c r="C84" s="21" t="s">
        <v>485</v>
      </c>
      <c r="D84" s="21">
        <v>1110000</v>
      </c>
      <c r="E84" s="21" t="s">
        <v>324</v>
      </c>
      <c r="F84" s="21" t="str">
        <f t="shared" si="2"/>
        <v>rtdc.l.rtdc.4026:itc</v>
      </c>
      <c r="G84" s="8">
        <f t="shared" si="3"/>
        <v>42684.401932870373</v>
      </c>
    </row>
    <row r="85" spans="1:7" x14ac:dyDescent="0.25">
      <c r="A85" s="8">
        <v>42684.403136574074</v>
      </c>
      <c r="B85" s="21" t="s">
        <v>407</v>
      </c>
      <c r="C85" s="21" t="s">
        <v>486</v>
      </c>
      <c r="D85" s="21">
        <v>2100000</v>
      </c>
      <c r="E85" s="21" t="s">
        <v>430</v>
      </c>
      <c r="F85" s="21" t="str">
        <f t="shared" si="2"/>
        <v>rtdc.l.rtdc.4038:itc</v>
      </c>
      <c r="G85" s="8">
        <f t="shared" si="3"/>
        <v>42684.403136574074</v>
      </c>
    </row>
    <row r="86" spans="1:7" x14ac:dyDescent="0.25">
      <c r="A86" s="8">
        <v>42684.409872685188</v>
      </c>
      <c r="B86" s="21" t="s">
        <v>273</v>
      </c>
      <c r="C86" s="21" t="s">
        <v>476</v>
      </c>
      <c r="D86" s="21">
        <v>1090000</v>
      </c>
      <c r="E86" s="21" t="s">
        <v>296</v>
      </c>
      <c r="F86" s="21" t="str">
        <f t="shared" si="2"/>
        <v>rtdc.l.rtdc.4002:itc</v>
      </c>
      <c r="G86" s="8">
        <f t="shared" si="3"/>
        <v>42684.409872685188</v>
      </c>
    </row>
    <row r="87" spans="1:7" x14ac:dyDescent="0.25">
      <c r="A87" s="8">
        <v>42684.410358796296</v>
      </c>
      <c r="B87" s="21" t="s">
        <v>321</v>
      </c>
      <c r="C87" s="21" t="s">
        <v>397</v>
      </c>
      <c r="D87" s="21">
        <v>2010000</v>
      </c>
      <c r="E87" s="21" t="s">
        <v>323</v>
      </c>
      <c r="F87" s="21" t="str">
        <f t="shared" si="2"/>
        <v>rtdc.l.rtdc.4021:itc</v>
      </c>
      <c r="G87" s="8">
        <f t="shared" si="3"/>
        <v>42684.410358796296</v>
      </c>
    </row>
    <row r="88" spans="1:7" x14ac:dyDescent="0.25">
      <c r="A88" s="8">
        <v>42684.412326388891</v>
      </c>
      <c r="B88" s="21" t="s">
        <v>395</v>
      </c>
      <c r="C88" s="21" t="s">
        <v>396</v>
      </c>
      <c r="D88" s="21">
        <v>1240000</v>
      </c>
      <c r="E88" s="21" t="s">
        <v>297</v>
      </c>
      <c r="F88" s="21" t="str">
        <f t="shared" si="2"/>
        <v>rtdc.l.rtdc.4053:itc</v>
      </c>
      <c r="G88" s="8">
        <f t="shared" si="3"/>
        <v>42684.412326388891</v>
      </c>
    </row>
    <row r="89" spans="1:7" x14ac:dyDescent="0.25">
      <c r="A89" s="8">
        <v>42684.417905092596</v>
      </c>
      <c r="B89" s="21" t="s">
        <v>407</v>
      </c>
      <c r="C89" s="21" t="s">
        <v>486</v>
      </c>
      <c r="D89" s="21">
        <v>2100000</v>
      </c>
      <c r="E89" s="21" t="s">
        <v>430</v>
      </c>
      <c r="F89" s="21" t="str">
        <f t="shared" si="2"/>
        <v>rtdc.l.rtdc.4038:itc</v>
      </c>
      <c r="G89" s="8">
        <f t="shared" si="3"/>
        <v>42684.417905092596</v>
      </c>
    </row>
    <row r="90" spans="1:7" x14ac:dyDescent="0.25">
      <c r="A90" s="8">
        <v>42684.421168981484</v>
      </c>
      <c r="B90" s="21" t="s">
        <v>386</v>
      </c>
      <c r="C90" s="21" t="s">
        <v>487</v>
      </c>
      <c r="D90" s="21">
        <v>2380000</v>
      </c>
      <c r="E90" s="21" t="s">
        <v>274</v>
      </c>
      <c r="F90" s="21" t="str">
        <f t="shared" si="2"/>
        <v>rtdc.l.rtdc.4008:itc</v>
      </c>
      <c r="G90" s="8">
        <f t="shared" si="3"/>
        <v>42684.421168981484</v>
      </c>
    </row>
    <row r="91" spans="1:7" x14ac:dyDescent="0.25">
      <c r="A91" s="8">
        <v>42684.423495370371</v>
      </c>
      <c r="B91" s="21" t="s">
        <v>395</v>
      </c>
      <c r="C91" s="21" t="s">
        <v>396</v>
      </c>
      <c r="D91" s="21">
        <v>1240000</v>
      </c>
      <c r="E91" s="21" t="s">
        <v>297</v>
      </c>
      <c r="F91" s="21" t="str">
        <f t="shared" si="2"/>
        <v>rtdc.l.rtdc.4053:itc</v>
      </c>
      <c r="G91" s="8">
        <f t="shared" si="3"/>
        <v>42684.423495370371</v>
      </c>
    </row>
    <row r="92" spans="1:7" x14ac:dyDescent="0.25">
      <c r="A92" s="8">
        <v>42684.424444444441</v>
      </c>
      <c r="B92" s="21" t="s">
        <v>290</v>
      </c>
      <c r="C92" s="21" t="s">
        <v>399</v>
      </c>
      <c r="D92" s="21">
        <v>1200000</v>
      </c>
      <c r="E92" s="21" t="s">
        <v>469</v>
      </c>
      <c r="F92" s="21" t="str">
        <f t="shared" si="2"/>
        <v>rtdc.l.rtdc.4016:itc</v>
      </c>
      <c r="G92" s="8">
        <f t="shared" si="3"/>
        <v>42684.424444444441</v>
      </c>
    </row>
    <row r="93" spans="1:7" x14ac:dyDescent="0.25">
      <c r="A93" s="8">
        <v>42684.426111111112</v>
      </c>
      <c r="B93" s="21" t="s">
        <v>290</v>
      </c>
      <c r="C93" s="21" t="s">
        <v>399</v>
      </c>
      <c r="D93" s="21">
        <v>1200000</v>
      </c>
      <c r="E93" s="21" t="s">
        <v>469</v>
      </c>
      <c r="F93" s="21" t="str">
        <f t="shared" si="2"/>
        <v>rtdc.l.rtdc.4016:itc</v>
      </c>
      <c r="G93" s="8">
        <f t="shared" si="3"/>
        <v>42684.426111111112</v>
      </c>
    </row>
    <row r="94" spans="1:7" x14ac:dyDescent="0.25">
      <c r="A94" s="8">
        <v>42684.429606481484</v>
      </c>
      <c r="B94" s="21" t="s">
        <v>189</v>
      </c>
      <c r="C94" s="21" t="s">
        <v>488</v>
      </c>
      <c r="D94" s="21">
        <v>1100000</v>
      </c>
      <c r="E94" s="21" t="s">
        <v>482</v>
      </c>
      <c r="F94" s="21" t="str">
        <f t="shared" si="2"/>
        <v>rtdc.l.rtdc.4044:itc</v>
      </c>
      <c r="G94" s="8">
        <f t="shared" si="3"/>
        <v>42684.429606481484</v>
      </c>
    </row>
    <row r="95" spans="1:7" x14ac:dyDescent="0.25">
      <c r="A95" s="8">
        <v>42684.429780092592</v>
      </c>
      <c r="B95" s="21" t="s">
        <v>221</v>
      </c>
      <c r="C95" s="21" t="s">
        <v>401</v>
      </c>
      <c r="D95" s="21">
        <v>2110000</v>
      </c>
      <c r="E95" s="21" t="s">
        <v>441</v>
      </c>
      <c r="F95" s="21" t="str">
        <f t="shared" si="2"/>
        <v>rtdc.l.rtdc.4011:itc</v>
      </c>
      <c r="G95" s="8">
        <f t="shared" si="3"/>
        <v>42684.429780092592</v>
      </c>
    </row>
    <row r="96" spans="1:7" x14ac:dyDescent="0.25">
      <c r="A96" s="8">
        <v>42684.431388888886</v>
      </c>
      <c r="B96" s="21" t="s">
        <v>221</v>
      </c>
      <c r="C96" s="21" t="s">
        <v>401</v>
      </c>
      <c r="D96" s="21">
        <v>2110000</v>
      </c>
      <c r="E96" s="21" t="s">
        <v>441</v>
      </c>
      <c r="F96" s="21" t="str">
        <f t="shared" si="2"/>
        <v>rtdc.l.rtdc.4011:itc</v>
      </c>
      <c r="G96" s="8">
        <f t="shared" si="3"/>
        <v>42684.431388888886</v>
      </c>
    </row>
    <row r="97" spans="1:7" x14ac:dyDescent="0.25">
      <c r="A97" s="8">
        <v>42684.433518518519</v>
      </c>
      <c r="B97" s="21" t="s">
        <v>395</v>
      </c>
      <c r="C97" s="21" t="s">
        <v>396</v>
      </c>
      <c r="D97" s="21">
        <v>1240000</v>
      </c>
      <c r="E97" s="21" t="s">
        <v>297</v>
      </c>
      <c r="F97" s="21" t="str">
        <f t="shared" si="2"/>
        <v>rtdc.l.rtdc.4053:itc</v>
      </c>
      <c r="G97" s="8">
        <f t="shared" si="3"/>
        <v>42684.433518518519</v>
      </c>
    </row>
    <row r="98" spans="1:7" x14ac:dyDescent="0.25">
      <c r="A98" s="8">
        <v>42684.43546296296</v>
      </c>
      <c r="B98" s="21" t="s">
        <v>272</v>
      </c>
      <c r="C98" s="21" t="s">
        <v>489</v>
      </c>
      <c r="D98" s="21">
        <v>1090000</v>
      </c>
      <c r="E98" s="21" t="s">
        <v>296</v>
      </c>
      <c r="F98" s="21" t="str">
        <f t="shared" si="2"/>
        <v>rtdc.l.rtdc.4001:itc</v>
      </c>
      <c r="G98" s="8">
        <f t="shared" si="3"/>
        <v>42684.43546296296</v>
      </c>
    </row>
    <row r="99" spans="1:7" x14ac:dyDescent="0.25">
      <c r="A99" s="8">
        <v>42684.437060185184</v>
      </c>
      <c r="B99" s="21" t="s">
        <v>295</v>
      </c>
      <c r="C99" s="21" t="s">
        <v>398</v>
      </c>
      <c r="D99" s="21">
        <v>2220000</v>
      </c>
      <c r="E99" s="21" t="s">
        <v>490</v>
      </c>
      <c r="F99" s="21" t="str">
        <f t="shared" si="2"/>
        <v>rtdc.l.rtdc.4028:itc</v>
      </c>
      <c r="G99" s="8">
        <f t="shared" si="3"/>
        <v>42684.437060185184</v>
      </c>
    </row>
    <row r="100" spans="1:7" x14ac:dyDescent="0.25">
      <c r="A100" s="8">
        <v>42684.439340277779</v>
      </c>
      <c r="B100" s="21" t="s">
        <v>290</v>
      </c>
      <c r="C100" s="21" t="s">
        <v>399</v>
      </c>
      <c r="D100" s="21">
        <v>1200000</v>
      </c>
      <c r="E100" s="21" t="s">
        <v>469</v>
      </c>
      <c r="F100" s="21" t="str">
        <f t="shared" si="2"/>
        <v>rtdc.l.rtdc.4016:itc</v>
      </c>
      <c r="G100" s="8">
        <f t="shared" si="3"/>
        <v>42684.439340277779</v>
      </c>
    </row>
    <row r="101" spans="1:7" x14ac:dyDescent="0.25">
      <c r="A101" s="8">
        <v>42684.442118055558</v>
      </c>
      <c r="B101" s="21" t="s">
        <v>294</v>
      </c>
      <c r="C101" s="21" t="s">
        <v>491</v>
      </c>
      <c r="D101" s="21">
        <v>1100000</v>
      </c>
      <c r="E101" s="21" t="s">
        <v>482</v>
      </c>
      <c r="F101" s="21" t="str">
        <f t="shared" si="2"/>
        <v>rtdc.l.rtdc.4043:itc</v>
      </c>
      <c r="G101" s="8">
        <f t="shared" si="3"/>
        <v>42684.442118055558</v>
      </c>
    </row>
    <row r="102" spans="1:7" x14ac:dyDescent="0.25">
      <c r="A102" s="8">
        <v>42684.44253472222</v>
      </c>
      <c r="B102" s="21" t="s">
        <v>455</v>
      </c>
      <c r="C102" s="21" t="s">
        <v>492</v>
      </c>
      <c r="D102" s="21">
        <v>2100000</v>
      </c>
      <c r="E102" s="21" t="s">
        <v>430</v>
      </c>
      <c r="F102" s="21" t="str">
        <f t="shared" si="2"/>
        <v>rtdc.l.rtdc.4037:itc</v>
      </c>
      <c r="G102" s="8">
        <f t="shared" si="3"/>
        <v>42684.44253472222</v>
      </c>
    </row>
    <row r="103" spans="1:7" x14ac:dyDescent="0.25">
      <c r="A103" s="8">
        <v>42684.447268518517</v>
      </c>
      <c r="B103" s="21" t="s">
        <v>319</v>
      </c>
      <c r="C103" s="21" t="s">
        <v>493</v>
      </c>
      <c r="D103" s="21">
        <v>2450000</v>
      </c>
      <c r="E103" s="21" t="s">
        <v>494</v>
      </c>
      <c r="F103" s="21" t="str">
        <f t="shared" si="2"/>
        <v>rtdc.l.rtdc.4022:itc</v>
      </c>
      <c r="G103" s="8">
        <f t="shared" si="3"/>
        <v>42684.447268518517</v>
      </c>
    </row>
    <row r="104" spans="1:7" x14ac:dyDescent="0.25">
      <c r="A104" s="8">
        <v>42684.447685185187</v>
      </c>
      <c r="B104" s="21" t="s">
        <v>221</v>
      </c>
      <c r="C104" s="21" t="s">
        <v>401</v>
      </c>
      <c r="D104" s="21">
        <v>2110000</v>
      </c>
      <c r="E104" s="21" t="s">
        <v>441</v>
      </c>
      <c r="F104" s="21" t="str">
        <f t="shared" si="2"/>
        <v>rtdc.l.rtdc.4011:itc</v>
      </c>
      <c r="G104" s="8">
        <f t="shared" si="3"/>
        <v>42684.447685185187</v>
      </c>
    </row>
    <row r="105" spans="1:7" x14ac:dyDescent="0.25">
      <c r="A105" s="8">
        <v>42684.448321759257</v>
      </c>
      <c r="B105" s="21" t="s">
        <v>253</v>
      </c>
      <c r="C105" s="21" t="s">
        <v>493</v>
      </c>
      <c r="D105" s="21">
        <v>1110000</v>
      </c>
      <c r="E105" s="21" t="s">
        <v>324</v>
      </c>
      <c r="F105" s="21" t="str">
        <f t="shared" si="2"/>
        <v>rtdc.l.rtdc.4025:itc</v>
      </c>
      <c r="G105" s="8">
        <f t="shared" si="3"/>
        <v>42684.448321759257</v>
      </c>
    </row>
    <row r="106" spans="1:7" x14ac:dyDescent="0.25">
      <c r="A106" s="8">
        <v>42684.450509259259</v>
      </c>
      <c r="B106" s="21" t="s">
        <v>290</v>
      </c>
      <c r="C106" s="21" t="s">
        <v>399</v>
      </c>
      <c r="D106" s="21">
        <v>1200000</v>
      </c>
      <c r="E106" s="21" t="s">
        <v>469</v>
      </c>
      <c r="F106" s="21" t="str">
        <f t="shared" si="2"/>
        <v>rtdc.l.rtdc.4016:itc</v>
      </c>
      <c r="G106" s="8">
        <f t="shared" si="3"/>
        <v>42684.450509259259</v>
      </c>
    </row>
    <row r="107" spans="1:7" x14ac:dyDescent="0.25">
      <c r="A107" s="8">
        <v>42684.453645833331</v>
      </c>
      <c r="B107" s="21" t="s">
        <v>253</v>
      </c>
      <c r="C107" s="21" t="s">
        <v>402</v>
      </c>
      <c r="D107" s="21">
        <v>1110000</v>
      </c>
      <c r="E107" s="21" t="s">
        <v>324</v>
      </c>
      <c r="F107" s="21" t="str">
        <f t="shared" si="2"/>
        <v>rtdc.l.rtdc.4025:itc</v>
      </c>
      <c r="G107" s="8">
        <f t="shared" si="3"/>
        <v>42684.453645833331</v>
      </c>
    </row>
    <row r="108" spans="1:7" x14ac:dyDescent="0.25">
      <c r="A108" s="8">
        <v>42684.454456018517</v>
      </c>
      <c r="B108" s="21" t="s">
        <v>253</v>
      </c>
      <c r="C108" s="21" t="s">
        <v>402</v>
      </c>
      <c r="D108" s="21">
        <v>1110000</v>
      </c>
      <c r="E108" s="21" t="s">
        <v>324</v>
      </c>
      <c r="F108" s="21" t="str">
        <f t="shared" si="2"/>
        <v>rtdc.l.rtdc.4025:itc</v>
      </c>
      <c r="G108" s="8">
        <f t="shared" si="3"/>
        <v>42684.454456018517</v>
      </c>
    </row>
    <row r="109" spans="1:7" x14ac:dyDescent="0.25">
      <c r="A109" s="8">
        <v>42684.456504629627</v>
      </c>
      <c r="B109" s="21" t="s">
        <v>318</v>
      </c>
      <c r="C109" s="21" t="s">
        <v>495</v>
      </c>
      <c r="D109" s="21">
        <v>1810000</v>
      </c>
      <c r="E109" s="21" t="s">
        <v>496</v>
      </c>
      <c r="F109" s="21" t="str">
        <f t="shared" si="2"/>
        <v>rtdc.l.rtdc.4010:itc</v>
      </c>
      <c r="G109" s="8">
        <f t="shared" si="3"/>
        <v>42684.456504629627</v>
      </c>
    </row>
    <row r="110" spans="1:7" x14ac:dyDescent="0.25">
      <c r="A110" s="8">
        <v>42684.457615740743</v>
      </c>
      <c r="B110" s="21" t="s">
        <v>381</v>
      </c>
      <c r="C110" s="21" t="s">
        <v>497</v>
      </c>
      <c r="D110" s="21">
        <v>1240000</v>
      </c>
      <c r="E110" s="21" t="s">
        <v>297</v>
      </c>
      <c r="F110" s="21" t="str">
        <f t="shared" si="2"/>
        <v>rtdc.l.rtdc.4054:itc</v>
      </c>
      <c r="G110" s="8">
        <f t="shared" si="3"/>
        <v>42684.457615740743</v>
      </c>
    </row>
    <row r="111" spans="1:7" x14ac:dyDescent="0.25">
      <c r="A111" s="8">
        <v>42684.458101851851</v>
      </c>
      <c r="B111" s="21" t="s">
        <v>253</v>
      </c>
      <c r="C111" s="21" t="s">
        <v>402</v>
      </c>
      <c r="D111" s="21">
        <v>1110000</v>
      </c>
      <c r="E111" s="21" t="s">
        <v>324</v>
      </c>
      <c r="F111" s="21" t="str">
        <f t="shared" si="2"/>
        <v>rtdc.l.rtdc.4025:itc</v>
      </c>
      <c r="G111" s="8">
        <f t="shared" si="3"/>
        <v>42684.458101851851</v>
      </c>
    </row>
    <row r="112" spans="1:7" x14ac:dyDescent="0.25">
      <c r="A112" s="8">
        <v>42684.460347222222</v>
      </c>
      <c r="B112" s="21" t="s">
        <v>253</v>
      </c>
      <c r="C112" s="21" t="s">
        <v>402</v>
      </c>
      <c r="D112" s="21">
        <v>1110000</v>
      </c>
      <c r="E112" s="21" t="s">
        <v>324</v>
      </c>
      <c r="F112" s="21" t="str">
        <f t="shared" si="2"/>
        <v>rtdc.l.rtdc.4025:itc</v>
      </c>
      <c r="G112" s="8">
        <f t="shared" si="3"/>
        <v>42684.460347222222</v>
      </c>
    </row>
    <row r="113" spans="1:7" x14ac:dyDescent="0.25">
      <c r="A113" s="8">
        <v>42684.460451388892</v>
      </c>
      <c r="B113" s="21" t="s">
        <v>319</v>
      </c>
      <c r="C113" s="21" t="s">
        <v>498</v>
      </c>
      <c r="D113" s="21">
        <v>940000</v>
      </c>
      <c r="E113" s="21" t="s">
        <v>325</v>
      </c>
      <c r="F113" s="21" t="str">
        <f t="shared" si="2"/>
        <v>rtdc.l.rtdc.4022:itc</v>
      </c>
      <c r="G113" s="8">
        <f t="shared" si="3"/>
        <v>42684.460451388892</v>
      </c>
    </row>
    <row r="114" spans="1:7" x14ac:dyDescent="0.25">
      <c r="A114" s="8">
        <v>42684.460868055554</v>
      </c>
      <c r="B114" s="21" t="s">
        <v>393</v>
      </c>
      <c r="C114" s="21" t="s">
        <v>405</v>
      </c>
      <c r="D114" s="21">
        <v>2020000</v>
      </c>
      <c r="E114" s="21" t="s">
        <v>499</v>
      </c>
      <c r="F114" s="21" t="str">
        <f t="shared" si="2"/>
        <v>rtdc.l.rtdc.4007:itc</v>
      </c>
      <c r="G114" s="8">
        <f t="shared" si="3"/>
        <v>42684.460868055554</v>
      </c>
    </row>
    <row r="115" spans="1:7" x14ac:dyDescent="0.25">
      <c r="A115" s="8">
        <v>42684.460995370369</v>
      </c>
      <c r="B115" s="21" t="s">
        <v>221</v>
      </c>
      <c r="C115" s="21" t="s">
        <v>401</v>
      </c>
      <c r="D115" s="21">
        <v>2110000</v>
      </c>
      <c r="E115" s="21" t="s">
        <v>441</v>
      </c>
      <c r="F115" s="21" t="str">
        <f t="shared" si="2"/>
        <v>rtdc.l.rtdc.4011:itc</v>
      </c>
      <c r="G115" s="8">
        <f t="shared" si="3"/>
        <v>42684.460995370369</v>
      </c>
    </row>
    <row r="116" spans="1:7" x14ac:dyDescent="0.25">
      <c r="A116" s="8">
        <v>42684.461238425924</v>
      </c>
      <c r="B116" s="21" t="s">
        <v>319</v>
      </c>
      <c r="C116" s="21" t="s">
        <v>403</v>
      </c>
      <c r="D116" s="21">
        <v>940000</v>
      </c>
      <c r="E116" s="21" t="s">
        <v>325</v>
      </c>
      <c r="F116" s="21" t="str">
        <f t="shared" si="2"/>
        <v>rtdc.l.rtdc.4022:itc</v>
      </c>
      <c r="G116" s="8">
        <f t="shared" si="3"/>
        <v>42684.461238425924</v>
      </c>
    </row>
    <row r="117" spans="1:7" x14ac:dyDescent="0.25">
      <c r="A117" s="8">
        <v>42684.461724537039</v>
      </c>
      <c r="B117" s="21" t="s">
        <v>393</v>
      </c>
      <c r="C117" s="21" t="s">
        <v>405</v>
      </c>
      <c r="D117" s="21">
        <v>2020000</v>
      </c>
      <c r="E117" s="21" t="s">
        <v>499</v>
      </c>
      <c r="F117" s="21" t="str">
        <f t="shared" si="2"/>
        <v>rtdc.l.rtdc.4007:itc</v>
      </c>
      <c r="G117" s="8">
        <f t="shared" si="3"/>
        <v>42684.461724537039</v>
      </c>
    </row>
    <row r="118" spans="1:7" x14ac:dyDescent="0.25">
      <c r="A118" s="8">
        <v>42684.462812500002</v>
      </c>
      <c r="B118" s="21" t="s">
        <v>253</v>
      </c>
      <c r="C118" s="21" t="s">
        <v>402</v>
      </c>
      <c r="D118" s="21">
        <v>1110000</v>
      </c>
      <c r="E118" s="21" t="s">
        <v>324</v>
      </c>
      <c r="F118" s="21" t="str">
        <f t="shared" si="2"/>
        <v>rtdc.l.rtdc.4025:itc</v>
      </c>
      <c r="G118" s="8">
        <f t="shared" si="3"/>
        <v>42684.462812500002</v>
      </c>
    </row>
    <row r="119" spans="1:7" x14ac:dyDescent="0.25">
      <c r="A119" s="8">
        <v>42684.463495370372</v>
      </c>
      <c r="B119" s="21" t="s">
        <v>393</v>
      </c>
      <c r="C119" s="21" t="s">
        <v>405</v>
      </c>
      <c r="D119" s="21">
        <v>2020000</v>
      </c>
      <c r="E119" s="21" t="s">
        <v>499</v>
      </c>
      <c r="F119" s="21" t="str">
        <f t="shared" si="2"/>
        <v>rtdc.l.rtdc.4007:itc</v>
      </c>
      <c r="G119" s="8">
        <f t="shared" si="3"/>
        <v>42684.463495370372</v>
      </c>
    </row>
    <row r="120" spans="1:7" x14ac:dyDescent="0.25">
      <c r="A120" s="8">
        <v>42684.463599537034</v>
      </c>
      <c r="B120" s="21" t="s">
        <v>291</v>
      </c>
      <c r="C120" s="21" t="s">
        <v>500</v>
      </c>
      <c r="D120" s="21">
        <v>900000</v>
      </c>
      <c r="E120" s="21" t="s">
        <v>501</v>
      </c>
      <c r="F120" s="21" t="str">
        <f t="shared" si="2"/>
        <v>rtdc.l.rtdc.4027:itc</v>
      </c>
      <c r="G120" s="8">
        <f t="shared" si="3"/>
        <v>42684.463599537034</v>
      </c>
    </row>
    <row r="121" spans="1:7" x14ac:dyDescent="0.25">
      <c r="A121" s="8">
        <v>42684.468634259261</v>
      </c>
      <c r="B121" s="21" t="s">
        <v>253</v>
      </c>
      <c r="C121" s="21" t="s">
        <v>402</v>
      </c>
      <c r="D121" s="21">
        <v>1110000</v>
      </c>
      <c r="E121" s="21" t="s">
        <v>324</v>
      </c>
      <c r="F121" s="21" t="str">
        <f t="shared" si="2"/>
        <v>rtdc.l.rtdc.4025:itc</v>
      </c>
      <c r="G121" s="8">
        <f t="shared" si="3"/>
        <v>42684.468634259261</v>
      </c>
    </row>
    <row r="122" spans="1:7" x14ac:dyDescent="0.25">
      <c r="A122" s="8">
        <v>42684.470729166664</v>
      </c>
      <c r="B122" s="26" t="s">
        <v>189</v>
      </c>
      <c r="C122" s="21" t="s">
        <v>404</v>
      </c>
      <c r="D122" s="21">
        <v>1100000</v>
      </c>
      <c r="E122" s="21" t="s">
        <v>482</v>
      </c>
      <c r="F122" s="21" t="str">
        <f t="shared" si="2"/>
        <v>rtdc.l.rtdc.4044:itc</v>
      </c>
      <c r="G122" s="8">
        <f t="shared" si="3"/>
        <v>42684.470729166664</v>
      </c>
    </row>
    <row r="123" spans="1:7" x14ac:dyDescent="0.25">
      <c r="A123" s="8">
        <v>42684.475578703707</v>
      </c>
      <c r="B123" s="21" t="s">
        <v>293</v>
      </c>
      <c r="C123" s="21" t="s">
        <v>406</v>
      </c>
      <c r="D123" s="21">
        <v>1200000</v>
      </c>
      <c r="E123" s="21" t="s">
        <v>469</v>
      </c>
      <c r="F123" s="21" t="str">
        <f t="shared" si="2"/>
        <v>rtdc.l.rtdc.4015:itc</v>
      </c>
      <c r="G123" s="8">
        <f t="shared" si="3"/>
        <v>42684.475578703707</v>
      </c>
    </row>
    <row r="124" spans="1:7" x14ac:dyDescent="0.25">
      <c r="A124" s="8">
        <v>42684.476990740739</v>
      </c>
      <c r="B124" s="21" t="s">
        <v>319</v>
      </c>
      <c r="C124" s="21" t="s">
        <v>403</v>
      </c>
      <c r="D124" s="21">
        <v>940000</v>
      </c>
      <c r="E124" s="21" t="s">
        <v>325</v>
      </c>
      <c r="F124" s="21" t="str">
        <f t="shared" si="2"/>
        <v>rtdc.l.rtdc.4022:itc</v>
      </c>
      <c r="G124" s="8">
        <f t="shared" si="3"/>
        <v>42684.476990740739</v>
      </c>
    </row>
    <row r="125" spans="1:7" x14ac:dyDescent="0.25">
      <c r="A125" s="8">
        <v>42684.479317129626</v>
      </c>
      <c r="B125" s="21" t="s">
        <v>253</v>
      </c>
      <c r="C125" s="21" t="s">
        <v>402</v>
      </c>
      <c r="D125" s="21">
        <v>1110000</v>
      </c>
      <c r="E125" s="21" t="s">
        <v>324</v>
      </c>
      <c r="F125" s="21" t="str">
        <f t="shared" si="2"/>
        <v>rtdc.l.rtdc.4025:itc</v>
      </c>
      <c r="G125" s="8">
        <f t="shared" si="3"/>
        <v>42684.479317129626</v>
      </c>
    </row>
    <row r="126" spans="1:7" x14ac:dyDescent="0.25">
      <c r="A126" s="8">
        <v>42684.483877314815</v>
      </c>
      <c r="B126" s="21" t="s">
        <v>393</v>
      </c>
      <c r="C126" s="21" t="s">
        <v>405</v>
      </c>
      <c r="D126" s="21">
        <v>2020000</v>
      </c>
      <c r="E126" s="21" t="s">
        <v>499</v>
      </c>
      <c r="F126" s="21" t="str">
        <f t="shared" si="2"/>
        <v>rtdc.l.rtdc.4007:itc</v>
      </c>
      <c r="G126" s="8">
        <f t="shared" si="3"/>
        <v>42684.483877314815</v>
      </c>
    </row>
    <row r="127" spans="1:7" x14ac:dyDescent="0.25">
      <c r="A127" s="8">
        <v>42684.484270833331</v>
      </c>
      <c r="B127" s="21" t="s">
        <v>294</v>
      </c>
      <c r="C127" s="21" t="s">
        <v>502</v>
      </c>
      <c r="D127" s="21">
        <v>1100000</v>
      </c>
      <c r="E127" s="21" t="s">
        <v>482</v>
      </c>
      <c r="F127" s="21" t="str">
        <f t="shared" si="2"/>
        <v>rtdc.l.rtdc.4043:itc</v>
      </c>
      <c r="G127" s="8">
        <f t="shared" si="3"/>
        <v>42684.484270833331</v>
      </c>
    </row>
    <row r="128" spans="1:7" x14ac:dyDescent="0.25">
      <c r="A128" s="8">
        <v>42684.485335648147</v>
      </c>
      <c r="B128" s="21" t="s">
        <v>256</v>
      </c>
      <c r="C128" s="21" t="s">
        <v>503</v>
      </c>
      <c r="D128" s="21">
        <v>2110000</v>
      </c>
      <c r="E128" s="21" t="s">
        <v>441</v>
      </c>
      <c r="F128" s="21" t="str">
        <f t="shared" si="2"/>
        <v>rtdc.l.rtdc.4012:itc</v>
      </c>
      <c r="G128" s="8">
        <f t="shared" si="3"/>
        <v>42684.485335648147</v>
      </c>
    </row>
    <row r="129" spans="1:7" x14ac:dyDescent="0.25">
      <c r="A129" s="8">
        <v>42684.487141203703</v>
      </c>
      <c r="B129" s="21" t="s">
        <v>319</v>
      </c>
      <c r="C129" s="21" t="s">
        <v>403</v>
      </c>
      <c r="D129" s="21">
        <v>940000</v>
      </c>
      <c r="E129" s="21" t="s">
        <v>325</v>
      </c>
      <c r="F129" s="21" t="str">
        <f t="shared" si="2"/>
        <v>rtdc.l.rtdc.4022:itc</v>
      </c>
      <c r="G129" s="8">
        <f t="shared" si="3"/>
        <v>42684.487141203703</v>
      </c>
    </row>
    <row r="130" spans="1:7" x14ac:dyDescent="0.25">
      <c r="A130" s="8">
        <v>42684.490925925929</v>
      </c>
      <c r="B130" s="21" t="s">
        <v>187</v>
      </c>
      <c r="C130" s="21" t="s">
        <v>504</v>
      </c>
      <c r="D130" s="21">
        <v>2100000</v>
      </c>
      <c r="E130" s="21" t="s">
        <v>430</v>
      </c>
      <c r="F130" s="21" t="str">
        <f t="shared" ref="F130:F193" si="4">B130</f>
        <v>rtdc.l.rtdc.4009:itc</v>
      </c>
      <c r="G130" s="8">
        <f t="shared" ref="G130:G193" si="5">A130</f>
        <v>42684.490925925929</v>
      </c>
    </row>
    <row r="131" spans="1:7" x14ac:dyDescent="0.25">
      <c r="A131" s="8">
        <v>42684.49428240741</v>
      </c>
      <c r="B131" s="21" t="s">
        <v>407</v>
      </c>
      <c r="C131" s="21" t="s">
        <v>408</v>
      </c>
      <c r="D131" s="21">
        <v>1810000</v>
      </c>
      <c r="E131" s="21" t="s">
        <v>496</v>
      </c>
      <c r="F131" s="21" t="str">
        <f t="shared" si="4"/>
        <v>rtdc.l.rtdc.4038:itc</v>
      </c>
      <c r="G131" s="8">
        <f t="shared" si="5"/>
        <v>42684.49428240741</v>
      </c>
    </row>
    <row r="132" spans="1:7" x14ac:dyDescent="0.25">
      <c r="A132" s="8">
        <v>42684.494618055556</v>
      </c>
      <c r="B132" s="21" t="s">
        <v>393</v>
      </c>
      <c r="C132" s="21" t="s">
        <v>405</v>
      </c>
      <c r="D132" s="21">
        <v>2020000</v>
      </c>
      <c r="E132" s="21" t="s">
        <v>499</v>
      </c>
      <c r="F132" s="21" t="str">
        <f t="shared" si="4"/>
        <v>rtdc.l.rtdc.4007:itc</v>
      </c>
      <c r="G132" s="8">
        <f t="shared" si="5"/>
        <v>42684.494618055556</v>
      </c>
    </row>
    <row r="133" spans="1:7" x14ac:dyDescent="0.25">
      <c r="A133" s="8">
        <v>42684.504050925927</v>
      </c>
      <c r="B133" s="21" t="s">
        <v>395</v>
      </c>
      <c r="C133" s="21" t="s">
        <v>505</v>
      </c>
      <c r="D133" s="21">
        <v>1140000</v>
      </c>
      <c r="E133" s="21" t="s">
        <v>328</v>
      </c>
      <c r="F133" s="21" t="str">
        <f t="shared" si="4"/>
        <v>rtdc.l.rtdc.4053:itc</v>
      </c>
      <c r="G133" s="8">
        <f t="shared" si="5"/>
        <v>42684.504050925927</v>
      </c>
    </row>
    <row r="134" spans="1:7" x14ac:dyDescent="0.25">
      <c r="A134" s="8">
        <v>42684.50509259259</v>
      </c>
      <c r="B134" s="21" t="s">
        <v>395</v>
      </c>
      <c r="C134" s="21" t="s">
        <v>505</v>
      </c>
      <c r="D134" s="21">
        <v>1140000</v>
      </c>
      <c r="E134" s="21" t="s">
        <v>328</v>
      </c>
      <c r="F134" s="21" t="str">
        <f t="shared" si="4"/>
        <v>rtdc.l.rtdc.4053:itc</v>
      </c>
      <c r="G134" s="8">
        <f t="shared" si="5"/>
        <v>42684.50509259259</v>
      </c>
    </row>
    <row r="135" spans="1:7" x14ac:dyDescent="0.25">
      <c r="A135" s="8">
        <v>42684.507175925923</v>
      </c>
      <c r="B135" s="21" t="s">
        <v>407</v>
      </c>
      <c r="C135" s="21" t="s">
        <v>408</v>
      </c>
      <c r="D135" s="21">
        <v>1810000</v>
      </c>
      <c r="E135" s="21" t="s">
        <v>496</v>
      </c>
      <c r="F135" s="21" t="str">
        <f t="shared" si="4"/>
        <v>rtdc.l.rtdc.4038:itc</v>
      </c>
      <c r="G135" s="8">
        <f t="shared" si="5"/>
        <v>42684.507175925923</v>
      </c>
    </row>
    <row r="136" spans="1:7" x14ac:dyDescent="0.25">
      <c r="A136" s="8">
        <v>42684.508275462962</v>
      </c>
      <c r="B136" s="21" t="s">
        <v>317</v>
      </c>
      <c r="C136" s="21" t="s">
        <v>506</v>
      </c>
      <c r="D136" s="21">
        <v>1110000</v>
      </c>
      <c r="E136" s="21" t="s">
        <v>324</v>
      </c>
      <c r="F136" s="21" t="str">
        <f t="shared" si="4"/>
        <v>rtdc.l.rtdc.4026:itc</v>
      </c>
      <c r="G136" s="8">
        <f t="shared" si="5"/>
        <v>42684.508275462962</v>
      </c>
    </row>
    <row r="137" spans="1:7" x14ac:dyDescent="0.25">
      <c r="A137" s="8">
        <v>42684.509097222224</v>
      </c>
      <c r="B137" s="21" t="s">
        <v>395</v>
      </c>
      <c r="C137" s="21" t="s">
        <v>507</v>
      </c>
      <c r="D137" s="21">
        <v>1140000</v>
      </c>
      <c r="E137" s="21" t="s">
        <v>328</v>
      </c>
      <c r="F137" s="21" t="str">
        <f t="shared" si="4"/>
        <v>rtdc.l.rtdc.4053:itc</v>
      </c>
      <c r="G137" s="8">
        <f t="shared" si="5"/>
        <v>42684.509097222224</v>
      </c>
    </row>
    <row r="138" spans="1:7" x14ac:dyDescent="0.25">
      <c r="A138" s="8">
        <v>42684.509814814817</v>
      </c>
      <c r="B138" s="21" t="s">
        <v>395</v>
      </c>
      <c r="C138" s="21" t="s">
        <v>507</v>
      </c>
      <c r="D138" s="21">
        <v>1140000</v>
      </c>
      <c r="E138" s="21" t="s">
        <v>328</v>
      </c>
      <c r="F138" s="21" t="str">
        <f t="shared" si="4"/>
        <v>rtdc.l.rtdc.4053:itc</v>
      </c>
      <c r="G138" s="8">
        <f t="shared" si="5"/>
        <v>42684.509814814817</v>
      </c>
    </row>
    <row r="139" spans="1:7" x14ac:dyDescent="0.25">
      <c r="A139" s="8">
        <v>42684.511041666665</v>
      </c>
      <c r="B139" s="21" t="s">
        <v>395</v>
      </c>
      <c r="C139" s="21" t="s">
        <v>507</v>
      </c>
      <c r="D139" s="21">
        <v>1140000</v>
      </c>
      <c r="E139" s="21" t="s">
        <v>328</v>
      </c>
      <c r="F139" s="21" t="str">
        <f t="shared" si="4"/>
        <v>rtdc.l.rtdc.4053:itc</v>
      </c>
      <c r="G139" s="8">
        <f t="shared" si="5"/>
        <v>42684.511041666665</v>
      </c>
    </row>
    <row r="140" spans="1:7" x14ac:dyDescent="0.25">
      <c r="A140" s="8">
        <v>42684.511863425927</v>
      </c>
      <c r="B140" s="21" t="s">
        <v>189</v>
      </c>
      <c r="C140" s="21" t="s">
        <v>508</v>
      </c>
      <c r="D140" s="21">
        <v>1100000</v>
      </c>
      <c r="E140" s="21" t="s">
        <v>482</v>
      </c>
      <c r="F140" s="21" t="str">
        <f t="shared" si="4"/>
        <v>rtdc.l.rtdc.4044:itc</v>
      </c>
      <c r="G140" s="8">
        <f t="shared" si="5"/>
        <v>42684.511863425927</v>
      </c>
    </row>
    <row r="141" spans="1:7" x14ac:dyDescent="0.25">
      <c r="A141" s="8">
        <v>42684.517025462963</v>
      </c>
      <c r="B141" s="21" t="s">
        <v>321</v>
      </c>
      <c r="C141" s="21" t="s">
        <v>509</v>
      </c>
      <c r="D141" s="21">
        <v>940000</v>
      </c>
      <c r="E141" s="21" t="s">
        <v>325</v>
      </c>
      <c r="F141" s="21" t="str">
        <f t="shared" si="4"/>
        <v>rtdc.l.rtdc.4021:itc</v>
      </c>
      <c r="G141" s="8">
        <f t="shared" si="5"/>
        <v>42684.517025462963</v>
      </c>
    </row>
    <row r="142" spans="1:7" x14ac:dyDescent="0.25">
      <c r="A142" s="8">
        <v>42684.518900462965</v>
      </c>
      <c r="B142" s="21" t="s">
        <v>407</v>
      </c>
      <c r="C142" s="21" t="s">
        <v>408</v>
      </c>
      <c r="D142" s="21">
        <v>1810000</v>
      </c>
      <c r="E142" s="21" t="s">
        <v>496</v>
      </c>
      <c r="F142" s="21" t="str">
        <f t="shared" si="4"/>
        <v>rtdc.l.rtdc.4038:itc</v>
      </c>
      <c r="G142" s="8">
        <f t="shared" si="5"/>
        <v>42684.518900462965</v>
      </c>
    </row>
    <row r="143" spans="1:7" x14ac:dyDescent="0.25">
      <c r="A143" s="8">
        <v>42684.524756944447</v>
      </c>
      <c r="B143" s="21" t="s">
        <v>290</v>
      </c>
      <c r="C143" s="21" t="s">
        <v>510</v>
      </c>
      <c r="D143" s="21">
        <v>910000</v>
      </c>
      <c r="E143" s="21" t="s">
        <v>511</v>
      </c>
      <c r="F143" s="21" t="str">
        <f t="shared" si="4"/>
        <v>rtdc.l.rtdc.4016:itc</v>
      </c>
      <c r="G143" s="8">
        <f t="shared" si="5"/>
        <v>42684.524756944447</v>
      </c>
    </row>
    <row r="144" spans="1:7" x14ac:dyDescent="0.25">
      <c r="A144" s="8">
        <v>42684.525949074072</v>
      </c>
      <c r="B144" s="21" t="s">
        <v>294</v>
      </c>
      <c r="C144" s="21" t="s">
        <v>512</v>
      </c>
      <c r="D144" s="21">
        <v>1100000</v>
      </c>
      <c r="E144" s="21" t="s">
        <v>482</v>
      </c>
      <c r="F144" s="21" t="str">
        <f t="shared" si="4"/>
        <v>rtdc.l.rtdc.4043:itc</v>
      </c>
      <c r="G144" s="8">
        <f t="shared" si="5"/>
        <v>42684.525949074072</v>
      </c>
    </row>
    <row r="145" spans="1:7" x14ac:dyDescent="0.25">
      <c r="A145" s="8">
        <v>42684.531319444446</v>
      </c>
      <c r="B145" s="21" t="s">
        <v>221</v>
      </c>
      <c r="C145" s="21" t="s">
        <v>410</v>
      </c>
      <c r="D145" s="21">
        <v>1740000</v>
      </c>
      <c r="E145" s="21" t="s">
        <v>513</v>
      </c>
      <c r="F145" s="21" t="str">
        <f t="shared" si="4"/>
        <v>rtdc.l.rtdc.4011:itc</v>
      </c>
      <c r="G145" s="8">
        <f t="shared" si="5"/>
        <v>42684.531319444446</v>
      </c>
    </row>
    <row r="146" spans="1:7" x14ac:dyDescent="0.25">
      <c r="A146" s="8">
        <v>42684.53229166667</v>
      </c>
      <c r="B146" s="21" t="s">
        <v>221</v>
      </c>
      <c r="C146" s="21" t="s">
        <v>410</v>
      </c>
      <c r="D146" s="21">
        <v>1740000</v>
      </c>
      <c r="E146" s="21" t="s">
        <v>513</v>
      </c>
      <c r="F146" s="21" t="str">
        <f t="shared" si="4"/>
        <v>rtdc.l.rtdc.4011:itc</v>
      </c>
      <c r="G146" s="8">
        <f t="shared" si="5"/>
        <v>42684.53229166667</v>
      </c>
    </row>
    <row r="147" spans="1:7" x14ac:dyDescent="0.25">
      <c r="A147" s="8">
        <v>42684.533437500002</v>
      </c>
      <c r="B147" s="21" t="s">
        <v>221</v>
      </c>
      <c r="C147" s="21" t="s">
        <v>410</v>
      </c>
      <c r="D147" s="21">
        <v>1740000</v>
      </c>
      <c r="E147" s="21" t="s">
        <v>513</v>
      </c>
      <c r="F147" s="21" t="str">
        <f t="shared" si="4"/>
        <v>rtdc.l.rtdc.4011:itc</v>
      </c>
      <c r="G147" s="8">
        <f t="shared" si="5"/>
        <v>42684.533437500002</v>
      </c>
    </row>
    <row r="148" spans="1:7" x14ac:dyDescent="0.25">
      <c r="A148" s="8">
        <v>42684.53601851852</v>
      </c>
      <c r="B148" s="21" t="s">
        <v>290</v>
      </c>
      <c r="C148" s="21" t="s">
        <v>510</v>
      </c>
      <c r="D148" s="21">
        <v>910000</v>
      </c>
      <c r="E148" s="21" t="s">
        <v>511</v>
      </c>
      <c r="F148" s="21" t="str">
        <f t="shared" si="4"/>
        <v>rtdc.l.rtdc.4016:itc</v>
      </c>
      <c r="G148" s="8">
        <f t="shared" si="5"/>
        <v>42684.53601851852</v>
      </c>
    </row>
    <row r="149" spans="1:7" x14ac:dyDescent="0.25">
      <c r="A149" s="8">
        <v>42684.537245370368</v>
      </c>
      <c r="B149" s="21" t="s">
        <v>395</v>
      </c>
      <c r="C149" s="21" t="s">
        <v>507</v>
      </c>
      <c r="D149" s="21">
        <v>1140000</v>
      </c>
      <c r="E149" s="21" t="s">
        <v>328</v>
      </c>
      <c r="F149" s="21" t="str">
        <f t="shared" si="4"/>
        <v>rtdc.l.rtdc.4053:itc</v>
      </c>
      <c r="G149" s="8">
        <f t="shared" si="5"/>
        <v>42684.537245370368</v>
      </c>
    </row>
    <row r="150" spans="1:7" x14ac:dyDescent="0.25">
      <c r="A150" s="8">
        <v>42684.549687500003</v>
      </c>
      <c r="B150" s="21" t="s">
        <v>272</v>
      </c>
      <c r="C150" s="21" t="s">
        <v>514</v>
      </c>
      <c r="D150" s="21">
        <v>2040000</v>
      </c>
      <c r="E150" s="21" t="s">
        <v>327</v>
      </c>
      <c r="F150" s="21" t="str">
        <f t="shared" si="4"/>
        <v>rtdc.l.rtdc.4001:itc</v>
      </c>
      <c r="G150" s="8">
        <f t="shared" si="5"/>
        <v>42684.549687500003</v>
      </c>
    </row>
    <row r="151" spans="1:7" x14ac:dyDescent="0.25">
      <c r="A151" s="8">
        <v>42684.553784722222</v>
      </c>
      <c r="B151" s="21" t="s">
        <v>189</v>
      </c>
      <c r="C151" s="21" t="s">
        <v>409</v>
      </c>
      <c r="D151" s="21">
        <v>2600000</v>
      </c>
      <c r="E151" s="21" t="s">
        <v>515</v>
      </c>
      <c r="F151" s="21" t="str">
        <f t="shared" si="4"/>
        <v>rtdc.l.rtdc.4044:itc</v>
      </c>
      <c r="G151" s="8">
        <f t="shared" si="5"/>
        <v>42684.553784722222</v>
      </c>
    </row>
    <row r="152" spans="1:7" x14ac:dyDescent="0.25">
      <c r="A152" s="8">
        <v>42684.557118055556</v>
      </c>
      <c r="B152" s="21" t="s">
        <v>455</v>
      </c>
      <c r="C152" s="21" t="s">
        <v>516</v>
      </c>
      <c r="D152" s="21">
        <v>1810000</v>
      </c>
      <c r="E152" s="21" t="s">
        <v>496</v>
      </c>
      <c r="F152" s="21" t="str">
        <f t="shared" si="4"/>
        <v>rtdc.l.rtdc.4037:itc</v>
      </c>
      <c r="G152" s="8">
        <f t="shared" si="5"/>
        <v>42684.557118055556</v>
      </c>
    </row>
    <row r="153" spans="1:7" x14ac:dyDescent="0.25">
      <c r="A153" s="8">
        <v>42684.557326388887</v>
      </c>
      <c r="B153" s="21" t="s">
        <v>319</v>
      </c>
      <c r="C153" s="21" t="s">
        <v>517</v>
      </c>
      <c r="D153" s="21">
        <v>940000</v>
      </c>
      <c r="E153" s="21" t="s">
        <v>325</v>
      </c>
      <c r="F153" s="21" t="str">
        <f t="shared" si="4"/>
        <v>rtdc.l.rtdc.4022:itc</v>
      </c>
      <c r="G153" s="8">
        <f t="shared" si="5"/>
        <v>42684.557326388887</v>
      </c>
    </row>
    <row r="154" spans="1:7" x14ac:dyDescent="0.25">
      <c r="A154" s="8">
        <v>42684.557604166665</v>
      </c>
      <c r="B154" s="21" t="s">
        <v>253</v>
      </c>
      <c r="C154" s="21" t="s">
        <v>518</v>
      </c>
      <c r="D154" s="21">
        <v>2230000</v>
      </c>
      <c r="E154" s="21" t="s">
        <v>519</v>
      </c>
      <c r="F154" s="21" t="str">
        <f t="shared" si="4"/>
        <v>rtdc.l.rtdc.4025:itc</v>
      </c>
      <c r="G154" s="8">
        <f t="shared" si="5"/>
        <v>42684.557604166665</v>
      </c>
    </row>
    <row r="155" spans="1:7" x14ac:dyDescent="0.25">
      <c r="A155" s="8">
        <v>42684.559930555559</v>
      </c>
      <c r="B155" s="21" t="s">
        <v>381</v>
      </c>
      <c r="C155" s="21" t="s">
        <v>411</v>
      </c>
      <c r="D155" s="21">
        <v>1140000</v>
      </c>
      <c r="E155" s="21" t="s">
        <v>328</v>
      </c>
      <c r="F155" s="21" t="str">
        <f t="shared" si="4"/>
        <v>rtdc.l.rtdc.4054:itc</v>
      </c>
      <c r="G155" s="8">
        <f t="shared" si="5"/>
        <v>42684.559930555559</v>
      </c>
    </row>
    <row r="156" spans="1:7" x14ac:dyDescent="0.25">
      <c r="A156" s="8">
        <v>42684.560636574075</v>
      </c>
      <c r="B156" s="21" t="s">
        <v>381</v>
      </c>
      <c r="C156" s="21" t="s">
        <v>411</v>
      </c>
      <c r="D156" s="21">
        <v>1140000</v>
      </c>
      <c r="E156" s="21" t="s">
        <v>328</v>
      </c>
      <c r="F156" s="21" t="str">
        <f t="shared" si="4"/>
        <v>rtdc.l.rtdc.4054:itc</v>
      </c>
      <c r="G156" s="8">
        <f t="shared" si="5"/>
        <v>42684.560636574075</v>
      </c>
    </row>
    <row r="157" spans="1:7" x14ac:dyDescent="0.25">
      <c r="A157" s="8">
        <v>42684.569004629629</v>
      </c>
      <c r="B157" s="21" t="s">
        <v>294</v>
      </c>
      <c r="C157" s="21" t="s">
        <v>520</v>
      </c>
      <c r="D157" s="21">
        <v>2600000</v>
      </c>
      <c r="E157" s="21" t="s">
        <v>515</v>
      </c>
      <c r="F157" s="21" t="str">
        <f t="shared" si="4"/>
        <v>rtdc.l.rtdc.4043:itc</v>
      </c>
      <c r="G157" s="8">
        <f t="shared" si="5"/>
        <v>42684.569004629629</v>
      </c>
    </row>
    <row r="158" spans="1:7" x14ac:dyDescent="0.25">
      <c r="A158" s="8">
        <v>42684.569328703707</v>
      </c>
      <c r="B158" s="21" t="s">
        <v>319</v>
      </c>
      <c r="C158" s="21" t="s">
        <v>517</v>
      </c>
      <c r="D158" s="21">
        <v>940000</v>
      </c>
      <c r="E158" s="21" t="s">
        <v>325</v>
      </c>
      <c r="F158" s="21" t="str">
        <f t="shared" si="4"/>
        <v>rtdc.l.rtdc.4022:itc</v>
      </c>
      <c r="G158" s="8">
        <f t="shared" si="5"/>
        <v>42684.569328703707</v>
      </c>
    </row>
    <row r="159" spans="1:7" x14ac:dyDescent="0.25">
      <c r="A159" s="8">
        <v>42684.569351851853</v>
      </c>
      <c r="B159" s="21" t="s">
        <v>293</v>
      </c>
      <c r="C159" s="21" t="s">
        <v>521</v>
      </c>
      <c r="D159" s="21">
        <v>910000</v>
      </c>
      <c r="E159" s="21" t="s">
        <v>511</v>
      </c>
      <c r="F159" s="21" t="str">
        <f t="shared" si="4"/>
        <v>rtdc.l.rtdc.4015:itc</v>
      </c>
      <c r="G159" s="8">
        <f t="shared" si="5"/>
        <v>42684.569351851853</v>
      </c>
    </row>
    <row r="160" spans="1:7" x14ac:dyDescent="0.25">
      <c r="A160" s="8">
        <v>42684.579039351855</v>
      </c>
      <c r="B160" s="21" t="s">
        <v>256</v>
      </c>
      <c r="C160" s="21" t="s">
        <v>522</v>
      </c>
      <c r="D160" s="21">
        <v>1740000</v>
      </c>
      <c r="E160" s="21" t="s">
        <v>513</v>
      </c>
      <c r="F160" s="21" t="str">
        <f t="shared" si="4"/>
        <v>rtdc.l.rtdc.4012:itc</v>
      </c>
      <c r="G160" s="8">
        <f t="shared" si="5"/>
        <v>42684.579039351855</v>
      </c>
    </row>
    <row r="161" spans="1:7" x14ac:dyDescent="0.25">
      <c r="A161" s="8">
        <v>42684.579618055555</v>
      </c>
      <c r="B161" s="21" t="s">
        <v>256</v>
      </c>
      <c r="C161" s="21" t="s">
        <v>522</v>
      </c>
      <c r="D161" s="21">
        <v>1740000</v>
      </c>
      <c r="E161" s="21" t="s">
        <v>513</v>
      </c>
      <c r="F161" s="21" t="str">
        <f t="shared" si="4"/>
        <v>rtdc.l.rtdc.4012:itc</v>
      </c>
      <c r="G161" s="8">
        <f t="shared" si="5"/>
        <v>42684.579618055555</v>
      </c>
    </row>
    <row r="162" spans="1:7" x14ac:dyDescent="0.25">
      <c r="A162" s="8">
        <v>42684.580439814818</v>
      </c>
      <c r="B162" s="21" t="s">
        <v>256</v>
      </c>
      <c r="C162" s="21" t="s">
        <v>522</v>
      </c>
      <c r="D162" s="21">
        <v>1740000</v>
      </c>
      <c r="E162" s="21" t="s">
        <v>513</v>
      </c>
      <c r="F162" s="21" t="str">
        <f t="shared" si="4"/>
        <v>rtdc.l.rtdc.4012:itc</v>
      </c>
      <c r="G162" s="8">
        <f t="shared" si="5"/>
        <v>42684.580439814818</v>
      </c>
    </row>
    <row r="163" spans="1:7" x14ac:dyDescent="0.25">
      <c r="A163" s="8">
        <v>42684.587060185186</v>
      </c>
      <c r="B163" s="21" t="s">
        <v>273</v>
      </c>
      <c r="C163" s="21" t="s">
        <v>523</v>
      </c>
      <c r="D163" s="21">
        <v>2040000</v>
      </c>
      <c r="E163" s="21" t="s">
        <v>327</v>
      </c>
      <c r="F163" s="21" t="str">
        <f t="shared" si="4"/>
        <v>rtdc.l.rtdc.4002:itc</v>
      </c>
      <c r="G163" s="8">
        <f t="shared" si="5"/>
        <v>42684.587060185186</v>
      </c>
    </row>
    <row r="164" spans="1:7" x14ac:dyDescent="0.25">
      <c r="A164" s="8">
        <v>42684.589432870373</v>
      </c>
      <c r="B164" s="21" t="s">
        <v>273</v>
      </c>
      <c r="C164" s="21" t="s">
        <v>523</v>
      </c>
      <c r="D164" s="21">
        <v>2040000</v>
      </c>
      <c r="E164" s="21" t="s">
        <v>327</v>
      </c>
      <c r="F164" s="21" t="str">
        <f t="shared" si="4"/>
        <v>rtdc.l.rtdc.4002:itc</v>
      </c>
      <c r="G164" s="8">
        <f t="shared" si="5"/>
        <v>42684.589432870373</v>
      </c>
    </row>
    <row r="165" spans="1:7" x14ac:dyDescent="0.25">
      <c r="A165" s="8">
        <v>42684.590069444443</v>
      </c>
      <c r="B165" s="21" t="s">
        <v>189</v>
      </c>
      <c r="C165" s="21" t="s">
        <v>524</v>
      </c>
      <c r="D165" s="21">
        <v>2600000</v>
      </c>
      <c r="E165" s="21" t="s">
        <v>515</v>
      </c>
      <c r="F165" s="21" t="str">
        <f t="shared" si="4"/>
        <v>rtdc.l.rtdc.4044:itc</v>
      </c>
      <c r="G165" s="8">
        <f t="shared" si="5"/>
        <v>42684.590069444443</v>
      </c>
    </row>
    <row r="166" spans="1:7" x14ac:dyDescent="0.25">
      <c r="A166" s="8">
        <v>42684.595937500002</v>
      </c>
      <c r="B166" s="21" t="s">
        <v>317</v>
      </c>
      <c r="C166" s="21" t="s">
        <v>525</v>
      </c>
      <c r="D166" s="21">
        <v>2230000</v>
      </c>
      <c r="E166" s="21" t="s">
        <v>519</v>
      </c>
      <c r="F166" s="21" t="str">
        <f t="shared" si="4"/>
        <v>rtdc.l.rtdc.4026:itc</v>
      </c>
      <c r="G166" s="8">
        <f t="shared" si="5"/>
        <v>42684.595937500002</v>
      </c>
    </row>
    <row r="167" spans="1:7" x14ac:dyDescent="0.25">
      <c r="A167" s="8">
        <v>42684.604432870372</v>
      </c>
      <c r="B167" s="21" t="s">
        <v>395</v>
      </c>
      <c r="C167" s="21" t="s">
        <v>526</v>
      </c>
      <c r="D167" s="21">
        <v>2270000</v>
      </c>
      <c r="E167" s="21" t="s">
        <v>329</v>
      </c>
      <c r="F167" s="21" t="str">
        <f t="shared" si="4"/>
        <v>rtdc.l.rtdc.4053:itc</v>
      </c>
      <c r="G167" s="8">
        <f t="shared" si="5"/>
        <v>42684.604432870372</v>
      </c>
    </row>
    <row r="168" spans="1:7" x14ac:dyDescent="0.25">
      <c r="A168" s="8">
        <v>42684.605590277781</v>
      </c>
      <c r="B168" s="21" t="s">
        <v>321</v>
      </c>
      <c r="C168" s="21" t="s">
        <v>527</v>
      </c>
      <c r="D168" s="21">
        <v>940000</v>
      </c>
      <c r="E168" s="21" t="s">
        <v>325</v>
      </c>
      <c r="F168" s="21" t="str">
        <f t="shared" si="4"/>
        <v>rtdc.l.rtdc.4021:itc</v>
      </c>
      <c r="G168" s="8">
        <f t="shared" si="5"/>
        <v>42684.605590277781</v>
      </c>
    </row>
    <row r="169" spans="1:7" x14ac:dyDescent="0.25">
      <c r="A169" s="8">
        <v>42684.607233796298</v>
      </c>
      <c r="B169" s="21" t="s">
        <v>290</v>
      </c>
      <c r="C169" s="21" t="s">
        <v>528</v>
      </c>
      <c r="D169" s="21">
        <v>910000</v>
      </c>
      <c r="E169" s="21" t="s">
        <v>511</v>
      </c>
      <c r="F169" s="21" t="str">
        <f t="shared" si="4"/>
        <v>rtdc.l.rtdc.4016:itc</v>
      </c>
      <c r="G169" s="8">
        <f t="shared" si="5"/>
        <v>42684.607233796298</v>
      </c>
    </row>
    <row r="170" spans="1:7" x14ac:dyDescent="0.25">
      <c r="A170" s="8">
        <v>42684.609814814816</v>
      </c>
      <c r="B170" s="21" t="s">
        <v>294</v>
      </c>
      <c r="C170" s="21" t="s">
        <v>529</v>
      </c>
      <c r="D170" s="21">
        <v>2600000</v>
      </c>
      <c r="E170" s="21" t="s">
        <v>515</v>
      </c>
      <c r="F170" s="21" t="str">
        <f t="shared" si="4"/>
        <v>rtdc.l.rtdc.4043:itc</v>
      </c>
      <c r="G170" s="8">
        <f t="shared" si="5"/>
        <v>42684.609814814816</v>
      </c>
    </row>
    <row r="171" spans="1:7" x14ac:dyDescent="0.25">
      <c r="A171" s="8">
        <v>42684.616747685184</v>
      </c>
      <c r="B171" s="21" t="s">
        <v>221</v>
      </c>
      <c r="C171" s="21" t="s">
        <v>530</v>
      </c>
      <c r="D171" s="21">
        <v>1740000</v>
      </c>
      <c r="E171" s="21" t="s">
        <v>513</v>
      </c>
      <c r="F171" s="21" t="str">
        <f t="shared" si="4"/>
        <v>rtdc.l.rtdc.4011:itc</v>
      </c>
      <c r="G171" s="8">
        <f t="shared" si="5"/>
        <v>42684.616747685184</v>
      </c>
    </row>
    <row r="172" spans="1:7" x14ac:dyDescent="0.25">
      <c r="A172" s="8">
        <v>42684.621030092596</v>
      </c>
      <c r="B172" s="21" t="s">
        <v>386</v>
      </c>
      <c r="C172" s="21" t="s">
        <v>531</v>
      </c>
      <c r="D172" s="21">
        <v>2020000</v>
      </c>
      <c r="E172" s="21" t="s">
        <v>499</v>
      </c>
      <c r="F172" s="21" t="str">
        <f t="shared" si="4"/>
        <v>rtdc.l.rtdc.4008:itc</v>
      </c>
      <c r="G172" s="8">
        <f t="shared" si="5"/>
        <v>42684.621030092596</v>
      </c>
    </row>
    <row r="173" spans="1:7" x14ac:dyDescent="0.25">
      <c r="A173" s="8">
        <v>42684.626435185186</v>
      </c>
      <c r="B173" s="21" t="s">
        <v>253</v>
      </c>
      <c r="C173" s="21" t="s">
        <v>532</v>
      </c>
      <c r="D173" s="21">
        <v>2230000</v>
      </c>
      <c r="E173" s="21" t="s">
        <v>519</v>
      </c>
      <c r="F173" s="21" t="str">
        <f t="shared" si="4"/>
        <v>rtdc.l.rtdc.4025:itc</v>
      </c>
      <c r="G173" s="8">
        <f t="shared" si="5"/>
        <v>42684.626435185186</v>
      </c>
    </row>
    <row r="174" spans="1:7" x14ac:dyDescent="0.25">
      <c r="A174" s="8">
        <v>42684.629675925928</v>
      </c>
      <c r="B174" s="21" t="s">
        <v>272</v>
      </c>
      <c r="C174" s="21" t="s">
        <v>533</v>
      </c>
      <c r="D174" s="21">
        <v>2040000</v>
      </c>
      <c r="E174" s="21" t="s">
        <v>327</v>
      </c>
      <c r="F174" s="21" t="str">
        <f t="shared" si="4"/>
        <v>rtdc.l.rtdc.4001:itc</v>
      </c>
      <c r="G174" s="8">
        <f t="shared" si="5"/>
        <v>42684.629675925928</v>
      </c>
    </row>
    <row r="175" spans="1:7" x14ac:dyDescent="0.25">
      <c r="A175" s="8">
        <v>42684.634918981479</v>
      </c>
      <c r="B175" s="21" t="s">
        <v>189</v>
      </c>
      <c r="C175" s="21" t="s">
        <v>534</v>
      </c>
      <c r="D175" s="21">
        <v>2600000</v>
      </c>
      <c r="E175" s="21" t="s">
        <v>515</v>
      </c>
      <c r="F175" s="21" t="str">
        <f t="shared" si="4"/>
        <v>rtdc.l.rtdc.4044:itc</v>
      </c>
      <c r="G175" s="8">
        <f t="shared" si="5"/>
        <v>42684.634918981479</v>
      </c>
    </row>
    <row r="176" spans="1:7" x14ac:dyDescent="0.25">
      <c r="A176" s="8">
        <v>42684.638182870367</v>
      </c>
      <c r="B176" s="21" t="s">
        <v>240</v>
      </c>
      <c r="C176" s="21" t="s">
        <v>535</v>
      </c>
      <c r="D176" s="21">
        <v>2610000</v>
      </c>
      <c r="E176" s="21" t="s">
        <v>278</v>
      </c>
      <c r="F176" s="21" t="str">
        <f t="shared" si="4"/>
        <v>rtdc.l.rtdc.4004:itc</v>
      </c>
      <c r="G176" s="8">
        <f t="shared" si="5"/>
        <v>42684.638182870367</v>
      </c>
    </row>
    <row r="177" spans="1:7" x14ac:dyDescent="0.25">
      <c r="A177" s="8">
        <v>42684.638425925928</v>
      </c>
      <c r="B177" s="21" t="s">
        <v>319</v>
      </c>
      <c r="C177" s="21" t="s">
        <v>536</v>
      </c>
      <c r="D177" s="21">
        <v>940000</v>
      </c>
      <c r="E177" s="21" t="s">
        <v>325</v>
      </c>
      <c r="F177" s="21" t="str">
        <f t="shared" si="4"/>
        <v>rtdc.l.rtdc.4022:itc</v>
      </c>
      <c r="G177" s="8">
        <f t="shared" si="5"/>
        <v>42684.638425925928</v>
      </c>
    </row>
    <row r="178" spans="1:7" x14ac:dyDescent="0.25">
      <c r="A178" s="8">
        <v>42684.639050925929</v>
      </c>
      <c r="B178" s="21" t="s">
        <v>319</v>
      </c>
      <c r="C178" s="21" t="s">
        <v>536</v>
      </c>
      <c r="D178" s="21">
        <v>940000</v>
      </c>
      <c r="E178" s="21" t="s">
        <v>325</v>
      </c>
      <c r="F178" s="21" t="str">
        <f t="shared" si="4"/>
        <v>rtdc.l.rtdc.4022:itc</v>
      </c>
      <c r="G178" s="8">
        <f t="shared" si="5"/>
        <v>42684.639050925929</v>
      </c>
    </row>
    <row r="179" spans="1:7" x14ac:dyDescent="0.25">
      <c r="A179" s="8">
        <v>42684.641168981485</v>
      </c>
      <c r="B179" s="21" t="s">
        <v>319</v>
      </c>
      <c r="C179" s="21" t="s">
        <v>536</v>
      </c>
      <c r="D179" s="21">
        <v>940000</v>
      </c>
      <c r="E179" s="21" t="s">
        <v>325</v>
      </c>
      <c r="F179" s="21" t="str">
        <f t="shared" si="4"/>
        <v>rtdc.l.rtdc.4022:itc</v>
      </c>
      <c r="G179" s="8">
        <f t="shared" si="5"/>
        <v>42684.641168981485</v>
      </c>
    </row>
    <row r="180" spans="1:7" x14ac:dyDescent="0.25">
      <c r="A180" s="8">
        <v>42684.643333333333</v>
      </c>
      <c r="B180" s="21" t="s">
        <v>381</v>
      </c>
      <c r="C180" s="21" t="s">
        <v>537</v>
      </c>
      <c r="D180" s="21">
        <v>2270000</v>
      </c>
      <c r="E180" s="21" t="s">
        <v>329</v>
      </c>
      <c r="F180" s="21" t="str">
        <f t="shared" si="4"/>
        <v>rtdc.l.rtdc.4054:itc</v>
      </c>
      <c r="G180" s="8">
        <f t="shared" si="5"/>
        <v>42684.643333333333</v>
      </c>
    </row>
    <row r="181" spans="1:7" x14ac:dyDescent="0.25">
      <c r="A181" s="8">
        <v>42684.647430555553</v>
      </c>
      <c r="B181" s="21" t="s">
        <v>293</v>
      </c>
      <c r="C181" s="21" t="s">
        <v>538</v>
      </c>
      <c r="D181" s="21">
        <v>910000</v>
      </c>
      <c r="E181" s="21" t="s">
        <v>511</v>
      </c>
      <c r="F181" s="21" t="str">
        <f t="shared" si="4"/>
        <v>rtdc.l.rtdc.4015:itc</v>
      </c>
      <c r="G181" s="8">
        <f t="shared" si="5"/>
        <v>42684.647430555553</v>
      </c>
    </row>
    <row r="182" spans="1:7" x14ac:dyDescent="0.25">
      <c r="A182" s="8">
        <v>42684.647962962961</v>
      </c>
      <c r="B182" s="21" t="s">
        <v>234</v>
      </c>
      <c r="C182" s="21" t="s">
        <v>412</v>
      </c>
      <c r="D182" s="21">
        <v>2610000</v>
      </c>
      <c r="E182" s="21" t="s">
        <v>278</v>
      </c>
      <c r="F182" s="21" t="str">
        <f t="shared" si="4"/>
        <v>rtdc.l.rtdc.4003:itc</v>
      </c>
      <c r="G182" s="8">
        <f t="shared" si="5"/>
        <v>42684.647962962961</v>
      </c>
    </row>
    <row r="183" spans="1:7" x14ac:dyDescent="0.25">
      <c r="A183" s="8">
        <v>42684.651053240741</v>
      </c>
      <c r="B183" s="21" t="s">
        <v>294</v>
      </c>
      <c r="C183" s="21" t="s">
        <v>539</v>
      </c>
      <c r="D183" s="21">
        <v>2600000</v>
      </c>
      <c r="E183" s="21" t="s">
        <v>515</v>
      </c>
      <c r="F183" s="21" t="str">
        <f t="shared" si="4"/>
        <v>rtdc.l.rtdc.4043:itc</v>
      </c>
      <c r="G183" s="8">
        <f t="shared" si="5"/>
        <v>42684.651053240741</v>
      </c>
    </row>
    <row r="184" spans="1:7" x14ac:dyDescent="0.25">
      <c r="A184" s="8">
        <v>42684.656134259261</v>
      </c>
      <c r="B184" s="21" t="s">
        <v>393</v>
      </c>
      <c r="C184" s="21" t="s">
        <v>540</v>
      </c>
      <c r="D184" s="21">
        <v>2020000</v>
      </c>
      <c r="E184" s="21" t="s">
        <v>499</v>
      </c>
      <c r="F184" s="21" t="str">
        <f t="shared" si="4"/>
        <v>rtdc.l.rtdc.4007:itc</v>
      </c>
      <c r="G184" s="8">
        <f t="shared" si="5"/>
        <v>42684.656134259261</v>
      </c>
    </row>
    <row r="185" spans="1:7" x14ac:dyDescent="0.25">
      <c r="A185" s="8">
        <v>42684.657893518517</v>
      </c>
      <c r="B185" s="21" t="s">
        <v>256</v>
      </c>
      <c r="C185" s="21" t="s">
        <v>541</v>
      </c>
      <c r="D185" s="21">
        <v>1740000</v>
      </c>
      <c r="E185" s="21" t="s">
        <v>513</v>
      </c>
      <c r="F185" s="21" t="str">
        <f t="shared" si="4"/>
        <v>rtdc.l.rtdc.4012:itc</v>
      </c>
      <c r="G185" s="8">
        <f t="shared" si="5"/>
        <v>42684.657893518517</v>
      </c>
    </row>
    <row r="186" spans="1:7" x14ac:dyDescent="0.25">
      <c r="A186" s="8">
        <v>42684.664641203701</v>
      </c>
      <c r="B186" s="21" t="s">
        <v>273</v>
      </c>
      <c r="C186" s="21" t="s">
        <v>542</v>
      </c>
      <c r="D186" s="21">
        <v>2040000</v>
      </c>
      <c r="E186" s="21" t="s">
        <v>327</v>
      </c>
      <c r="F186" s="21" t="str">
        <f t="shared" si="4"/>
        <v>rtdc.l.rtdc.4002:itc</v>
      </c>
      <c r="G186" s="8">
        <f t="shared" si="5"/>
        <v>42684.664641203701</v>
      </c>
    </row>
    <row r="187" spans="1:7" x14ac:dyDescent="0.25">
      <c r="A187" s="8">
        <v>42684.666828703703</v>
      </c>
      <c r="B187" s="21" t="s">
        <v>317</v>
      </c>
      <c r="C187" s="21" t="s">
        <v>543</v>
      </c>
      <c r="D187" s="21">
        <v>2230000</v>
      </c>
      <c r="E187" s="21" t="s">
        <v>519</v>
      </c>
      <c r="F187" s="21" t="str">
        <f t="shared" si="4"/>
        <v>rtdc.l.rtdc.4026:itc</v>
      </c>
      <c r="G187" s="8">
        <f t="shared" si="5"/>
        <v>42684.666828703703</v>
      </c>
    </row>
    <row r="188" spans="1:7" x14ac:dyDescent="0.25">
      <c r="A188" s="8">
        <v>42684.672453703701</v>
      </c>
      <c r="B188" s="21" t="s">
        <v>240</v>
      </c>
      <c r="C188" s="21" t="s">
        <v>413</v>
      </c>
      <c r="D188" s="21">
        <v>2610000</v>
      </c>
      <c r="E188" s="21" t="s">
        <v>278</v>
      </c>
      <c r="F188" s="21" t="str">
        <f t="shared" si="4"/>
        <v>rtdc.l.rtdc.4004:itc</v>
      </c>
      <c r="G188" s="8">
        <f t="shared" si="5"/>
        <v>42684.672453703701</v>
      </c>
    </row>
    <row r="189" spans="1:7" x14ac:dyDescent="0.25">
      <c r="A189" s="8">
        <v>42684.673194444447</v>
      </c>
      <c r="B189" s="21" t="s">
        <v>189</v>
      </c>
      <c r="C189" s="21" t="s">
        <v>544</v>
      </c>
      <c r="D189" s="21">
        <v>2600000</v>
      </c>
      <c r="E189" s="21" t="s">
        <v>515</v>
      </c>
      <c r="F189" s="21" t="str">
        <f t="shared" si="4"/>
        <v>rtdc.l.rtdc.4044:itc</v>
      </c>
      <c r="G189" s="8">
        <f t="shared" si="5"/>
        <v>42684.673194444447</v>
      </c>
    </row>
    <row r="190" spans="1:7" x14ac:dyDescent="0.25">
      <c r="A190" s="8">
        <v>42684.676446759258</v>
      </c>
      <c r="B190" s="21" t="s">
        <v>395</v>
      </c>
      <c r="C190" s="21" t="s">
        <v>545</v>
      </c>
      <c r="D190" s="21">
        <v>2270000</v>
      </c>
      <c r="E190" s="21" t="s">
        <v>329</v>
      </c>
      <c r="F190" s="21" t="str">
        <f t="shared" si="4"/>
        <v>rtdc.l.rtdc.4053:itc</v>
      </c>
      <c r="G190" s="8">
        <f t="shared" si="5"/>
        <v>42684.676446759258</v>
      </c>
    </row>
    <row r="191" spans="1:7" x14ac:dyDescent="0.25">
      <c r="A191" s="8">
        <v>42684.679456018515</v>
      </c>
      <c r="B191" s="21" t="s">
        <v>407</v>
      </c>
      <c r="C191" s="21" t="s">
        <v>546</v>
      </c>
      <c r="D191" s="21">
        <v>2350000</v>
      </c>
      <c r="E191" s="21" t="s">
        <v>326</v>
      </c>
      <c r="F191" s="21" t="str">
        <f t="shared" si="4"/>
        <v>rtdc.l.rtdc.4038:itc</v>
      </c>
      <c r="G191" s="8">
        <f t="shared" si="5"/>
        <v>42684.679456018515</v>
      </c>
    </row>
    <row r="192" spans="1:7" x14ac:dyDescent="0.25">
      <c r="A192" s="8">
        <v>42684.679699074077</v>
      </c>
      <c r="B192" s="21" t="s">
        <v>189</v>
      </c>
      <c r="C192" s="21" t="s">
        <v>544</v>
      </c>
      <c r="D192" s="21">
        <v>2600000</v>
      </c>
      <c r="E192" s="21" t="s">
        <v>515</v>
      </c>
      <c r="F192" s="21" t="str">
        <f t="shared" si="4"/>
        <v>rtdc.l.rtdc.4044:itc</v>
      </c>
      <c r="G192" s="8">
        <f t="shared" si="5"/>
        <v>42684.679699074077</v>
      </c>
    </row>
    <row r="193" spans="1:7" x14ac:dyDescent="0.25">
      <c r="A193" s="8">
        <v>42684.682002314818</v>
      </c>
      <c r="B193" s="21" t="s">
        <v>321</v>
      </c>
      <c r="C193" s="21" t="s">
        <v>547</v>
      </c>
      <c r="D193" s="21">
        <v>940000</v>
      </c>
      <c r="E193" s="21" t="s">
        <v>325</v>
      </c>
      <c r="F193" s="21" t="str">
        <f t="shared" si="4"/>
        <v>rtdc.l.rtdc.4021:itc</v>
      </c>
      <c r="G193" s="8">
        <f t="shared" si="5"/>
        <v>42684.682002314818</v>
      </c>
    </row>
    <row r="194" spans="1:7" x14ac:dyDescent="0.25">
      <c r="A194" s="8">
        <v>42684.689120370371</v>
      </c>
      <c r="B194" s="21" t="s">
        <v>386</v>
      </c>
      <c r="C194" s="21" t="s">
        <v>548</v>
      </c>
      <c r="D194" s="21">
        <v>2020000</v>
      </c>
      <c r="E194" s="21" t="s">
        <v>499</v>
      </c>
      <c r="F194" s="21" t="str">
        <f t="shared" ref="F194:F235" si="6">B194</f>
        <v>rtdc.l.rtdc.4008:itc</v>
      </c>
      <c r="G194" s="8">
        <f t="shared" ref="G194:G235" si="7">A194</f>
        <v>42684.689120370371</v>
      </c>
    </row>
    <row r="195" spans="1:7" x14ac:dyDescent="0.25">
      <c r="A195" s="8">
        <v>42684.692106481481</v>
      </c>
      <c r="B195" s="21" t="s">
        <v>318</v>
      </c>
      <c r="C195" s="21" t="s">
        <v>414</v>
      </c>
      <c r="D195" s="21">
        <v>2550000</v>
      </c>
      <c r="E195" s="21" t="s">
        <v>277</v>
      </c>
      <c r="F195" s="21" t="str">
        <f t="shared" si="6"/>
        <v>rtdc.l.rtdc.4010:itc</v>
      </c>
      <c r="G195" s="8">
        <f t="shared" si="7"/>
        <v>42684.692106481481</v>
      </c>
    </row>
    <row r="196" spans="1:7" x14ac:dyDescent="0.25">
      <c r="A196" s="8">
        <v>42684.696226851855</v>
      </c>
      <c r="B196" s="21" t="s">
        <v>294</v>
      </c>
      <c r="C196" s="21" t="s">
        <v>549</v>
      </c>
      <c r="D196" s="21">
        <v>2600000</v>
      </c>
      <c r="E196" s="21" t="s">
        <v>515</v>
      </c>
      <c r="F196" s="21" t="str">
        <f t="shared" si="6"/>
        <v>rtdc.l.rtdc.4043:itc</v>
      </c>
      <c r="G196" s="8">
        <f t="shared" si="7"/>
        <v>42684.696226851855</v>
      </c>
    </row>
    <row r="197" spans="1:7" x14ac:dyDescent="0.25">
      <c r="A197" s="8">
        <v>42684.697557870371</v>
      </c>
      <c r="B197" s="21" t="s">
        <v>221</v>
      </c>
      <c r="C197" s="21" t="s">
        <v>550</v>
      </c>
      <c r="D197" s="21">
        <v>1740000</v>
      </c>
      <c r="E197" s="21" t="s">
        <v>513</v>
      </c>
      <c r="F197" s="21" t="str">
        <f t="shared" si="6"/>
        <v>rtdc.l.rtdc.4011:itc</v>
      </c>
      <c r="G197" s="8">
        <f t="shared" si="7"/>
        <v>42684.697557870371</v>
      </c>
    </row>
    <row r="198" spans="1:7" x14ac:dyDescent="0.25">
      <c r="A198" s="8">
        <v>42684.699340277781</v>
      </c>
      <c r="B198" s="21" t="s">
        <v>234</v>
      </c>
      <c r="C198" s="21" t="s">
        <v>415</v>
      </c>
      <c r="D198" s="21">
        <v>2610000</v>
      </c>
      <c r="E198" s="21" t="s">
        <v>278</v>
      </c>
      <c r="F198" s="21" t="str">
        <f t="shared" si="6"/>
        <v>rtdc.l.rtdc.4003:itc</v>
      </c>
      <c r="G198" s="8">
        <f t="shared" si="7"/>
        <v>42684.699340277781</v>
      </c>
    </row>
    <row r="199" spans="1:7" x14ac:dyDescent="0.25">
      <c r="A199" s="8">
        <v>42684.701909722222</v>
      </c>
      <c r="B199" s="21" t="s">
        <v>272</v>
      </c>
      <c r="C199" s="21" t="s">
        <v>551</v>
      </c>
      <c r="D199" s="21">
        <v>2040000</v>
      </c>
      <c r="E199" s="21" t="s">
        <v>327</v>
      </c>
      <c r="F199" s="21" t="str">
        <f t="shared" si="6"/>
        <v>rtdc.l.rtdc.4001:itc</v>
      </c>
      <c r="G199" s="8">
        <f t="shared" si="7"/>
        <v>42684.701909722222</v>
      </c>
    </row>
    <row r="200" spans="1:7" x14ac:dyDescent="0.25">
      <c r="A200" s="8">
        <v>42684.704085648147</v>
      </c>
      <c r="B200" s="21" t="s">
        <v>253</v>
      </c>
      <c r="C200" s="21" t="s">
        <v>552</v>
      </c>
      <c r="D200" s="21">
        <v>1810000</v>
      </c>
      <c r="E200" s="21" t="s">
        <v>496</v>
      </c>
      <c r="F200" s="21" t="str">
        <f t="shared" si="6"/>
        <v>rtdc.l.rtdc.4025:itc</v>
      </c>
      <c r="G200" s="8">
        <f t="shared" si="7"/>
        <v>42684.704085648147</v>
      </c>
    </row>
    <row r="201" spans="1:7" x14ac:dyDescent="0.25">
      <c r="A201" s="8">
        <v>42684.709004629629</v>
      </c>
      <c r="B201" s="21" t="s">
        <v>381</v>
      </c>
      <c r="C201" s="21" t="s">
        <v>416</v>
      </c>
      <c r="D201" s="21">
        <v>2270000</v>
      </c>
      <c r="E201" s="21" t="s">
        <v>329</v>
      </c>
      <c r="F201" s="21" t="str">
        <f t="shared" si="6"/>
        <v>rtdc.l.rtdc.4054:itc</v>
      </c>
      <c r="G201" s="8">
        <f t="shared" si="7"/>
        <v>42684.709004629629</v>
      </c>
    </row>
    <row r="202" spans="1:7" x14ac:dyDescent="0.25">
      <c r="A202" s="27">
        <v>42684.715243055558</v>
      </c>
      <c r="B202" s="21" t="s">
        <v>240</v>
      </c>
      <c r="C202" s="21" t="s">
        <v>553</v>
      </c>
      <c r="D202" s="21">
        <v>2610000</v>
      </c>
      <c r="E202" s="21" t="s">
        <v>278</v>
      </c>
      <c r="F202" s="21" t="str">
        <f t="shared" si="6"/>
        <v>rtdc.l.rtdc.4004:itc</v>
      </c>
      <c r="G202" s="8">
        <f t="shared" si="7"/>
        <v>42684.715243055558</v>
      </c>
    </row>
    <row r="203" spans="1:7" x14ac:dyDescent="0.25">
      <c r="A203" s="8">
        <v>42684.716296296298</v>
      </c>
      <c r="B203" s="21" t="s">
        <v>319</v>
      </c>
      <c r="C203" s="21" t="s">
        <v>554</v>
      </c>
      <c r="D203" s="21">
        <v>2550000</v>
      </c>
      <c r="E203" s="21" t="s">
        <v>277</v>
      </c>
      <c r="F203" s="21" t="str">
        <f t="shared" si="6"/>
        <v>rtdc.l.rtdc.4022:itc</v>
      </c>
      <c r="G203" s="8">
        <f t="shared" si="7"/>
        <v>42684.716296296298</v>
      </c>
    </row>
    <row r="204" spans="1:7" x14ac:dyDescent="0.25">
      <c r="A204" s="8">
        <v>42684.7187037037</v>
      </c>
      <c r="B204" s="21" t="s">
        <v>189</v>
      </c>
      <c r="C204" s="21" t="s">
        <v>555</v>
      </c>
      <c r="D204" s="21">
        <v>2600000</v>
      </c>
      <c r="E204" s="21" t="s">
        <v>515</v>
      </c>
      <c r="F204" s="21" t="str">
        <f t="shared" si="6"/>
        <v>rtdc.l.rtdc.4044:itc</v>
      </c>
      <c r="G204" s="8">
        <f t="shared" si="7"/>
        <v>42684.7187037037</v>
      </c>
    </row>
    <row r="205" spans="1:7" x14ac:dyDescent="0.25">
      <c r="A205" s="8">
        <v>42684.723680555559</v>
      </c>
      <c r="B205" s="21" t="s">
        <v>455</v>
      </c>
      <c r="C205" s="21" t="s">
        <v>556</v>
      </c>
      <c r="D205" s="21">
        <v>2350000</v>
      </c>
      <c r="E205" s="21" t="s">
        <v>326</v>
      </c>
      <c r="F205" s="21" t="str">
        <f t="shared" si="6"/>
        <v>rtdc.l.rtdc.4037:itc</v>
      </c>
      <c r="G205" s="8">
        <f t="shared" si="7"/>
        <v>42684.723680555559</v>
      </c>
    </row>
    <row r="206" spans="1:7" x14ac:dyDescent="0.25">
      <c r="A206" s="8">
        <v>42684.727453703701</v>
      </c>
      <c r="B206" s="21" t="s">
        <v>393</v>
      </c>
      <c r="C206" s="21" t="s">
        <v>557</v>
      </c>
      <c r="D206" s="21">
        <v>1140000</v>
      </c>
      <c r="E206" s="21" t="s">
        <v>328</v>
      </c>
      <c r="F206" s="21" t="str">
        <f t="shared" si="6"/>
        <v>rtdc.l.rtdc.4007:itc</v>
      </c>
      <c r="G206" s="8">
        <f t="shared" si="7"/>
        <v>42684.727453703701</v>
      </c>
    </row>
    <row r="207" spans="1:7" x14ac:dyDescent="0.25">
      <c r="A207" s="8">
        <v>42684.734490740739</v>
      </c>
      <c r="B207" s="21" t="s">
        <v>256</v>
      </c>
      <c r="C207" s="21" t="s">
        <v>558</v>
      </c>
      <c r="D207" s="21">
        <v>1740000</v>
      </c>
      <c r="E207" s="21" t="s">
        <v>513</v>
      </c>
      <c r="F207" s="21" t="str">
        <f t="shared" si="6"/>
        <v>rtdc.l.rtdc.4012:itc</v>
      </c>
      <c r="G207" s="8">
        <f t="shared" si="7"/>
        <v>42684.734490740739</v>
      </c>
    </row>
    <row r="208" spans="1:7" x14ac:dyDescent="0.25">
      <c r="A208" s="8">
        <v>42684.734849537039</v>
      </c>
      <c r="B208" s="21" t="s">
        <v>290</v>
      </c>
      <c r="C208" s="21" t="s">
        <v>559</v>
      </c>
      <c r="D208" s="21">
        <v>2230000</v>
      </c>
      <c r="E208" s="21" t="s">
        <v>519</v>
      </c>
      <c r="F208" s="21" t="str">
        <f t="shared" si="6"/>
        <v>rtdc.l.rtdc.4016:itc</v>
      </c>
      <c r="G208" s="8">
        <f t="shared" si="7"/>
        <v>42684.734849537039</v>
      </c>
    </row>
    <row r="209" spans="1:7" x14ac:dyDescent="0.25">
      <c r="A209" s="8">
        <v>42684.73537037037</v>
      </c>
      <c r="B209" s="21" t="s">
        <v>317</v>
      </c>
      <c r="C209" s="21" t="s">
        <v>560</v>
      </c>
      <c r="D209" s="21">
        <v>1810000</v>
      </c>
      <c r="E209" s="21" t="s">
        <v>496</v>
      </c>
      <c r="F209" s="21" t="str">
        <f t="shared" si="6"/>
        <v>rtdc.l.rtdc.4026:itc</v>
      </c>
      <c r="G209" s="8">
        <f t="shared" si="7"/>
        <v>42684.73537037037</v>
      </c>
    </row>
    <row r="210" spans="1:7" x14ac:dyDescent="0.25">
      <c r="A210" s="8">
        <v>42684.736458333333</v>
      </c>
      <c r="B210" s="21" t="s">
        <v>294</v>
      </c>
      <c r="C210" s="21" t="s">
        <v>561</v>
      </c>
      <c r="D210" s="21">
        <v>2600000</v>
      </c>
      <c r="E210" s="21" t="s">
        <v>515</v>
      </c>
      <c r="F210" s="21" t="str">
        <f t="shared" si="6"/>
        <v>rtdc.l.rtdc.4043:itc</v>
      </c>
      <c r="G210" s="8">
        <f t="shared" si="7"/>
        <v>42684.736458333333</v>
      </c>
    </row>
    <row r="211" spans="1:7" x14ac:dyDescent="0.25">
      <c r="A211" s="8">
        <v>42684.737349537034</v>
      </c>
      <c r="B211" s="21" t="s">
        <v>273</v>
      </c>
      <c r="C211" s="21" t="s">
        <v>417</v>
      </c>
      <c r="D211" s="21">
        <v>2420000</v>
      </c>
      <c r="E211" s="21" t="s">
        <v>330</v>
      </c>
      <c r="F211" s="21" t="str">
        <f t="shared" si="6"/>
        <v>rtdc.l.rtdc.4002:itc</v>
      </c>
      <c r="G211" s="8">
        <f t="shared" si="7"/>
        <v>42684.737349537034</v>
      </c>
    </row>
    <row r="212" spans="1:7" x14ac:dyDescent="0.25">
      <c r="A212" s="8">
        <v>42684.741527777776</v>
      </c>
      <c r="B212" s="21" t="s">
        <v>234</v>
      </c>
      <c r="C212" s="21" t="s">
        <v>562</v>
      </c>
      <c r="D212" s="21">
        <v>2610000</v>
      </c>
      <c r="E212" s="21" t="s">
        <v>278</v>
      </c>
      <c r="F212" s="21" t="str">
        <f t="shared" si="6"/>
        <v>rtdc.l.rtdc.4003:itc</v>
      </c>
      <c r="G212" s="8">
        <f t="shared" si="7"/>
        <v>42684.741527777776</v>
      </c>
    </row>
    <row r="213" spans="1:7" x14ac:dyDescent="0.25">
      <c r="A213" s="8">
        <v>42684.746481481481</v>
      </c>
      <c r="B213" s="21" t="s">
        <v>295</v>
      </c>
      <c r="C213" s="21" t="s">
        <v>563</v>
      </c>
      <c r="D213" s="21">
        <v>2000000</v>
      </c>
      <c r="E213" s="21" t="s">
        <v>248</v>
      </c>
      <c r="F213" s="21" t="str">
        <f t="shared" si="6"/>
        <v>rtdc.l.rtdc.4028:itc</v>
      </c>
      <c r="G213" s="8">
        <f t="shared" si="7"/>
        <v>42684.746481481481</v>
      </c>
    </row>
    <row r="214" spans="1:7" x14ac:dyDescent="0.25">
      <c r="A214" s="8">
        <v>42684.748657407406</v>
      </c>
      <c r="B214" s="21" t="s">
        <v>395</v>
      </c>
      <c r="C214" s="21" t="s">
        <v>564</v>
      </c>
      <c r="D214" s="21">
        <v>2220000</v>
      </c>
      <c r="E214" s="21" t="s">
        <v>490</v>
      </c>
      <c r="F214" s="21" t="str">
        <f t="shared" si="6"/>
        <v>rtdc.l.rtdc.4053:itc</v>
      </c>
      <c r="G214" s="8">
        <f t="shared" si="7"/>
        <v>42684.748657407406</v>
      </c>
    </row>
    <row r="215" spans="1:7" x14ac:dyDescent="0.25">
      <c r="A215" s="8">
        <v>42684.755069444444</v>
      </c>
      <c r="B215" s="21" t="s">
        <v>291</v>
      </c>
      <c r="C215" s="21" t="s">
        <v>565</v>
      </c>
      <c r="D215" s="21">
        <v>2040000</v>
      </c>
      <c r="E215" s="21" t="s">
        <v>327</v>
      </c>
      <c r="F215" s="21" t="str">
        <f t="shared" si="6"/>
        <v>rtdc.l.rtdc.4027:itc</v>
      </c>
      <c r="G215" s="8">
        <f t="shared" si="7"/>
        <v>42684.755069444444</v>
      </c>
    </row>
    <row r="216" spans="1:7" x14ac:dyDescent="0.25">
      <c r="A216" s="8">
        <v>42684.755243055559</v>
      </c>
      <c r="B216" s="21" t="s">
        <v>240</v>
      </c>
      <c r="C216" s="21" t="s">
        <v>418</v>
      </c>
      <c r="D216" s="21">
        <v>2610000</v>
      </c>
      <c r="E216" s="21" t="s">
        <v>278</v>
      </c>
      <c r="F216" s="21" t="str">
        <f t="shared" si="6"/>
        <v>rtdc.l.rtdc.4004:itc</v>
      </c>
      <c r="G216" s="8">
        <f t="shared" si="7"/>
        <v>42684.755243055559</v>
      </c>
    </row>
    <row r="217" spans="1:7" x14ac:dyDescent="0.25">
      <c r="A217" s="8">
        <v>42684.755729166667</v>
      </c>
      <c r="B217" s="21" t="s">
        <v>321</v>
      </c>
      <c r="C217" s="21" t="s">
        <v>566</v>
      </c>
      <c r="D217" s="21">
        <v>2550000</v>
      </c>
      <c r="E217" s="21" t="s">
        <v>277</v>
      </c>
      <c r="F217" s="21" t="str">
        <f t="shared" si="6"/>
        <v>rtdc.l.rtdc.4021:itc</v>
      </c>
      <c r="G217" s="8">
        <f t="shared" si="7"/>
        <v>42684.755729166667</v>
      </c>
    </row>
    <row r="218" spans="1:7" x14ac:dyDescent="0.25">
      <c r="A218" s="8">
        <v>42684.756898148145</v>
      </c>
      <c r="B218" s="21" t="s">
        <v>407</v>
      </c>
      <c r="C218" s="21" t="s">
        <v>567</v>
      </c>
      <c r="D218" s="21">
        <v>1300000</v>
      </c>
      <c r="E218" s="21" t="s">
        <v>113</v>
      </c>
      <c r="F218" s="21" t="str">
        <f t="shared" si="6"/>
        <v>rtdc.l.rtdc.4038:itc</v>
      </c>
      <c r="G218" s="8">
        <f t="shared" si="7"/>
        <v>42684.756898148145</v>
      </c>
    </row>
    <row r="219" spans="1:7" x14ac:dyDescent="0.25">
      <c r="A219" s="8">
        <v>42684.758587962962</v>
      </c>
      <c r="B219" s="21" t="s">
        <v>189</v>
      </c>
      <c r="C219" s="21" t="s">
        <v>568</v>
      </c>
      <c r="D219" s="21">
        <v>2600000</v>
      </c>
      <c r="E219" s="21" t="s">
        <v>515</v>
      </c>
      <c r="F219" s="21" t="str">
        <f t="shared" si="6"/>
        <v>rtdc.l.rtdc.4044:itc</v>
      </c>
      <c r="G219" s="8">
        <f t="shared" si="7"/>
        <v>42684.758587962962</v>
      </c>
    </row>
    <row r="220" spans="1:7" x14ac:dyDescent="0.25">
      <c r="A220" s="8">
        <v>42684.761574074073</v>
      </c>
      <c r="B220" s="21" t="s">
        <v>386</v>
      </c>
      <c r="C220" s="21" t="s">
        <v>569</v>
      </c>
      <c r="D220" s="21">
        <v>1140000</v>
      </c>
      <c r="E220" s="21" t="s">
        <v>328</v>
      </c>
      <c r="F220" s="21" t="str">
        <f t="shared" si="6"/>
        <v>rtdc.l.rtdc.4008:itc</v>
      </c>
      <c r="G220" s="8">
        <f t="shared" si="7"/>
        <v>42684.761574074073</v>
      </c>
    </row>
    <row r="221" spans="1:7" x14ac:dyDescent="0.25">
      <c r="A221" s="8">
        <v>42684.767141203702</v>
      </c>
      <c r="B221" s="21" t="s">
        <v>221</v>
      </c>
      <c r="C221" s="21" t="s">
        <v>570</v>
      </c>
      <c r="D221" s="21">
        <v>2000000</v>
      </c>
      <c r="E221" s="21" t="s">
        <v>248</v>
      </c>
      <c r="F221" s="21" t="str">
        <f t="shared" si="6"/>
        <v>rtdc.l.rtdc.4011:itc</v>
      </c>
      <c r="G221" s="8">
        <f t="shared" si="7"/>
        <v>42684.767141203702</v>
      </c>
    </row>
    <row r="222" spans="1:7" x14ac:dyDescent="0.25">
      <c r="A222" s="8">
        <v>42684.769085648149</v>
      </c>
      <c r="B222" s="21" t="s">
        <v>272</v>
      </c>
      <c r="C222" s="21" t="s">
        <v>419</v>
      </c>
      <c r="D222" s="21">
        <v>2420000</v>
      </c>
      <c r="E222" s="21" t="s">
        <v>330</v>
      </c>
      <c r="F222" s="21" t="str">
        <f t="shared" si="6"/>
        <v>rtdc.l.rtdc.4001:itc</v>
      </c>
      <c r="G222" s="8">
        <f t="shared" si="7"/>
        <v>42684.769085648149</v>
      </c>
    </row>
    <row r="223" spans="1:7" x14ac:dyDescent="0.25">
      <c r="A223" s="8">
        <v>42684.769502314812</v>
      </c>
      <c r="B223" s="21" t="s">
        <v>187</v>
      </c>
      <c r="C223" s="21" t="s">
        <v>571</v>
      </c>
      <c r="D223" s="21">
        <v>1740000</v>
      </c>
      <c r="E223" s="21" t="s">
        <v>513</v>
      </c>
      <c r="F223" s="21" t="str">
        <f t="shared" si="6"/>
        <v>rtdc.l.rtdc.4009:itc</v>
      </c>
      <c r="G223" s="8">
        <f t="shared" si="7"/>
        <v>42684.769502314812</v>
      </c>
    </row>
    <row r="224" spans="1:7" x14ac:dyDescent="0.25">
      <c r="A224" s="8">
        <v>42684.777326388888</v>
      </c>
      <c r="B224" t="s">
        <v>234</v>
      </c>
      <c r="C224" t="s">
        <v>572</v>
      </c>
      <c r="D224">
        <v>2610000</v>
      </c>
      <c r="E224" t="s">
        <v>278</v>
      </c>
      <c r="F224" s="21" t="str">
        <f t="shared" si="6"/>
        <v>rtdc.l.rtdc.4003:itc</v>
      </c>
      <c r="G224" s="8">
        <f t="shared" si="7"/>
        <v>42684.777326388888</v>
      </c>
    </row>
    <row r="225" spans="1:7" x14ac:dyDescent="0.25">
      <c r="A225" s="8">
        <v>42684.77783564815</v>
      </c>
      <c r="B225" t="s">
        <v>294</v>
      </c>
      <c r="C225" t="s">
        <v>573</v>
      </c>
      <c r="D225">
        <v>2600000</v>
      </c>
      <c r="E225" t="s">
        <v>515</v>
      </c>
      <c r="F225" s="21" t="str">
        <f t="shared" si="6"/>
        <v>rtdc.l.rtdc.4043:itc</v>
      </c>
      <c r="G225" s="8">
        <f t="shared" si="7"/>
        <v>42684.77783564815</v>
      </c>
    </row>
    <row r="226" spans="1:7" x14ac:dyDescent="0.25">
      <c r="A226" s="8">
        <v>42684.778113425928</v>
      </c>
      <c r="B226" t="s">
        <v>253</v>
      </c>
      <c r="C226" t="s">
        <v>574</v>
      </c>
      <c r="D226">
        <v>1810000</v>
      </c>
      <c r="E226" t="s">
        <v>496</v>
      </c>
      <c r="F226" s="21" t="str">
        <f t="shared" si="6"/>
        <v>rtdc.l.rtdc.4025:itc</v>
      </c>
      <c r="G226" s="8">
        <f t="shared" si="7"/>
        <v>42684.778113425928</v>
      </c>
    </row>
    <row r="227" spans="1:7" x14ac:dyDescent="0.25">
      <c r="A227" s="8">
        <v>42684.783171296294</v>
      </c>
      <c r="B227" t="s">
        <v>381</v>
      </c>
      <c r="C227" t="s">
        <v>575</v>
      </c>
      <c r="D227">
        <v>2220000</v>
      </c>
      <c r="E227" t="s">
        <v>490</v>
      </c>
      <c r="F227" s="21" t="str">
        <f t="shared" si="6"/>
        <v>rtdc.l.rtdc.4054:itc</v>
      </c>
      <c r="G227" s="8">
        <f t="shared" si="7"/>
        <v>42684.783171296294</v>
      </c>
    </row>
    <row r="228" spans="1:7" x14ac:dyDescent="0.25">
      <c r="A228" s="8">
        <v>42684.788981481484</v>
      </c>
      <c r="B228" t="s">
        <v>319</v>
      </c>
      <c r="C228" t="s">
        <v>576</v>
      </c>
      <c r="D228">
        <v>2550000</v>
      </c>
      <c r="E228" t="s">
        <v>277</v>
      </c>
      <c r="F228" s="21" t="str">
        <f t="shared" si="6"/>
        <v>rtdc.l.rtdc.4022:itc</v>
      </c>
      <c r="G228" s="8">
        <f t="shared" si="7"/>
        <v>42684.788981481484</v>
      </c>
    </row>
    <row r="229" spans="1:7" x14ac:dyDescent="0.25">
      <c r="A229" s="8">
        <v>42684.794259259259</v>
      </c>
      <c r="B229" t="s">
        <v>455</v>
      </c>
      <c r="C229" t="s">
        <v>577</v>
      </c>
      <c r="D229">
        <v>1300000</v>
      </c>
      <c r="E229" t="s">
        <v>113</v>
      </c>
      <c r="F229" s="21" t="str">
        <f t="shared" si="6"/>
        <v>rtdc.l.rtdc.4037:itc</v>
      </c>
      <c r="G229" s="8">
        <f t="shared" si="7"/>
        <v>42684.794259259259</v>
      </c>
    </row>
    <row r="230" spans="1:7" x14ac:dyDescent="0.25">
      <c r="A230" s="8">
        <v>42684.797106481485</v>
      </c>
      <c r="B230" t="s">
        <v>240</v>
      </c>
      <c r="C230" t="s">
        <v>578</v>
      </c>
      <c r="D230">
        <v>2610000</v>
      </c>
      <c r="E230" t="s">
        <v>278</v>
      </c>
      <c r="F230" s="21" t="str">
        <f t="shared" si="6"/>
        <v>rtdc.l.rtdc.4004:itc</v>
      </c>
      <c r="G230" s="8">
        <f t="shared" si="7"/>
        <v>42684.797106481485</v>
      </c>
    </row>
    <row r="231" spans="1:7" x14ac:dyDescent="0.25">
      <c r="A231" s="8">
        <v>42684.799074074072</v>
      </c>
      <c r="B231" t="s">
        <v>189</v>
      </c>
      <c r="C231" t="s">
        <v>579</v>
      </c>
      <c r="D231">
        <v>2600000</v>
      </c>
      <c r="E231" t="s">
        <v>515</v>
      </c>
      <c r="F231" s="21" t="str">
        <f t="shared" si="6"/>
        <v>rtdc.l.rtdc.4044:itc</v>
      </c>
      <c r="G231" s="8">
        <f t="shared" si="7"/>
        <v>42684.799074074072</v>
      </c>
    </row>
    <row r="232" spans="1:7" x14ac:dyDescent="0.25">
      <c r="A232" s="8">
        <v>42684.804085648146</v>
      </c>
      <c r="B232" t="s">
        <v>393</v>
      </c>
      <c r="C232" t="s">
        <v>580</v>
      </c>
      <c r="D232">
        <v>1140000</v>
      </c>
      <c r="E232" t="s">
        <v>328</v>
      </c>
      <c r="F232" s="21" t="str">
        <f t="shared" si="6"/>
        <v>rtdc.l.rtdc.4007:itc</v>
      </c>
      <c r="G232" s="8">
        <f t="shared" si="7"/>
        <v>42684.804085648146</v>
      </c>
    </row>
    <row r="233" spans="1:7" x14ac:dyDescent="0.25">
      <c r="A233" s="8">
        <v>42684.806747685187</v>
      </c>
      <c r="B233" t="s">
        <v>256</v>
      </c>
      <c r="C233" t="s">
        <v>581</v>
      </c>
      <c r="D233">
        <v>2000000</v>
      </c>
      <c r="E233" t="s">
        <v>248</v>
      </c>
      <c r="F233" s="21" t="str">
        <f t="shared" si="6"/>
        <v>rtdc.l.rtdc.4012:itc</v>
      </c>
      <c r="G233" s="8">
        <f t="shared" si="7"/>
        <v>42684.806747685187</v>
      </c>
    </row>
    <row r="234" spans="1:7" x14ac:dyDescent="0.25">
      <c r="A234" s="8">
        <v>42684.807557870372</v>
      </c>
      <c r="B234" t="s">
        <v>273</v>
      </c>
      <c r="C234" t="s">
        <v>421</v>
      </c>
      <c r="D234">
        <v>2420000</v>
      </c>
      <c r="E234" t="s">
        <v>330</v>
      </c>
      <c r="F234" s="21" t="str">
        <f t="shared" si="6"/>
        <v>rtdc.l.rtdc.4002:itc</v>
      </c>
      <c r="G234" s="8">
        <f t="shared" si="7"/>
        <v>42684.807557870372</v>
      </c>
    </row>
    <row r="235" spans="1:7" x14ac:dyDescent="0.25">
      <c r="A235" s="8">
        <v>42684.817604166667</v>
      </c>
      <c r="B235" t="s">
        <v>395</v>
      </c>
      <c r="C235" t="s">
        <v>582</v>
      </c>
      <c r="D235">
        <v>2220000</v>
      </c>
      <c r="E235" t="s">
        <v>490</v>
      </c>
      <c r="F235" s="21" t="str">
        <f t="shared" si="6"/>
        <v>rtdc.l.rtdc.4053:itc</v>
      </c>
      <c r="G235" s="8">
        <f t="shared" si="7"/>
        <v>42684.817604166667</v>
      </c>
    </row>
    <row r="236" spans="1:7" x14ac:dyDescent="0.25">
      <c r="A236" s="8">
        <v>42684.818993055553</v>
      </c>
      <c r="B236" t="s">
        <v>294</v>
      </c>
      <c r="C236" t="s">
        <v>420</v>
      </c>
      <c r="D236">
        <v>2600000</v>
      </c>
      <c r="E236" t="s">
        <v>515</v>
      </c>
      <c r="F236" s="21" t="str">
        <f t="shared" ref="F236:F265" si="8">B236</f>
        <v>rtdc.l.rtdc.4043:itc</v>
      </c>
      <c r="G236" s="8">
        <f t="shared" ref="G236:G265" si="9">A236</f>
        <v>42684.818993055553</v>
      </c>
    </row>
    <row r="237" spans="1:7" x14ac:dyDescent="0.25">
      <c r="A237" s="8">
        <v>42684.82644675926</v>
      </c>
      <c r="B237" t="s">
        <v>321</v>
      </c>
      <c r="C237" t="s">
        <v>583</v>
      </c>
      <c r="D237">
        <v>2550000</v>
      </c>
      <c r="E237" t="s">
        <v>277</v>
      </c>
      <c r="F237" s="21" t="str">
        <f t="shared" si="8"/>
        <v>rtdc.l.rtdc.4021:itc</v>
      </c>
      <c r="G237" s="8">
        <f t="shared" si="9"/>
        <v>42684.82644675926</v>
      </c>
    </row>
    <row r="238" spans="1:7" x14ac:dyDescent="0.25">
      <c r="A238" s="8">
        <v>42684.829363425924</v>
      </c>
      <c r="B238" t="s">
        <v>407</v>
      </c>
      <c r="C238" t="s">
        <v>422</v>
      </c>
      <c r="D238">
        <v>1300000</v>
      </c>
      <c r="E238" t="s">
        <v>113</v>
      </c>
      <c r="F238" s="21" t="str">
        <f t="shared" si="8"/>
        <v>rtdc.l.rtdc.4038:itc</v>
      </c>
      <c r="G238" s="8">
        <f t="shared" si="9"/>
        <v>42684.829363425924</v>
      </c>
    </row>
    <row r="239" spans="1:7" x14ac:dyDescent="0.25">
      <c r="A239" s="8">
        <v>42684.843518518515</v>
      </c>
      <c r="B239" t="s">
        <v>221</v>
      </c>
      <c r="C239" t="s">
        <v>584</v>
      </c>
      <c r="D239">
        <v>2000000</v>
      </c>
      <c r="E239" t="s">
        <v>248</v>
      </c>
      <c r="F239" s="21" t="str">
        <f t="shared" si="8"/>
        <v>rtdc.l.rtdc.4011:itc</v>
      </c>
      <c r="G239" s="8">
        <f t="shared" si="9"/>
        <v>42684.843518518515</v>
      </c>
    </row>
    <row r="240" spans="1:7" x14ac:dyDescent="0.25">
      <c r="A240" s="8">
        <v>42684.844849537039</v>
      </c>
      <c r="B240" t="s">
        <v>272</v>
      </c>
      <c r="C240" t="s">
        <v>585</v>
      </c>
      <c r="D240">
        <v>2420000</v>
      </c>
      <c r="E240" t="s">
        <v>330</v>
      </c>
      <c r="F240" s="21" t="str">
        <f t="shared" si="8"/>
        <v>rtdc.l.rtdc.4001:itc</v>
      </c>
      <c r="G240" s="8">
        <f t="shared" si="9"/>
        <v>42684.844849537039</v>
      </c>
    </row>
    <row r="241" spans="1:7" x14ac:dyDescent="0.25">
      <c r="A241" s="8">
        <v>42684.844942129632</v>
      </c>
      <c r="B241" t="s">
        <v>189</v>
      </c>
      <c r="C241" t="s">
        <v>586</v>
      </c>
      <c r="D241">
        <v>2600000</v>
      </c>
      <c r="E241" t="s">
        <v>515</v>
      </c>
      <c r="F241" s="21" t="str">
        <f t="shared" si="8"/>
        <v>rtdc.l.rtdc.4044:itc</v>
      </c>
      <c r="G241" s="8">
        <f t="shared" si="9"/>
        <v>42684.844942129632</v>
      </c>
    </row>
    <row r="242" spans="1:7" x14ac:dyDescent="0.25">
      <c r="A242" s="8">
        <v>42684.859502314815</v>
      </c>
      <c r="B242" t="s">
        <v>294</v>
      </c>
      <c r="C242" t="s">
        <v>587</v>
      </c>
      <c r="D242">
        <v>2600000</v>
      </c>
      <c r="E242" t="s">
        <v>515</v>
      </c>
      <c r="F242" s="21" t="str">
        <f t="shared" si="8"/>
        <v>rtdc.l.rtdc.4043:itc</v>
      </c>
      <c r="G242" s="8">
        <f t="shared" si="9"/>
        <v>42684.859502314815</v>
      </c>
    </row>
    <row r="243" spans="1:7" x14ac:dyDescent="0.25">
      <c r="A243" s="8">
        <v>42684.867094907408</v>
      </c>
      <c r="B243" t="s">
        <v>319</v>
      </c>
      <c r="C243" t="s">
        <v>588</v>
      </c>
      <c r="D243">
        <v>2550000</v>
      </c>
      <c r="E243" t="s">
        <v>277</v>
      </c>
      <c r="F243" s="21" t="str">
        <f t="shared" si="8"/>
        <v>rtdc.l.rtdc.4022:itc</v>
      </c>
      <c r="G243" s="8">
        <f t="shared" si="9"/>
        <v>42684.867094907408</v>
      </c>
    </row>
    <row r="244" spans="1:7" x14ac:dyDescent="0.25">
      <c r="A244" s="8">
        <v>42684.868055555555</v>
      </c>
      <c r="B244" t="s">
        <v>319</v>
      </c>
      <c r="C244" t="s">
        <v>588</v>
      </c>
      <c r="D244">
        <v>2550000</v>
      </c>
      <c r="E244" t="s">
        <v>277</v>
      </c>
      <c r="F244" s="21" t="str">
        <f t="shared" si="8"/>
        <v>rtdc.l.rtdc.4022:itc</v>
      </c>
      <c r="G244" s="8">
        <f t="shared" si="9"/>
        <v>42684.868055555555</v>
      </c>
    </row>
    <row r="245" spans="1:7" x14ac:dyDescent="0.25">
      <c r="A245" s="8">
        <v>42684.870162037034</v>
      </c>
      <c r="B245" t="s">
        <v>455</v>
      </c>
      <c r="C245" t="s">
        <v>589</v>
      </c>
      <c r="D245">
        <v>1300000</v>
      </c>
      <c r="E245" t="s">
        <v>113</v>
      </c>
      <c r="F245" s="21" t="str">
        <f t="shared" si="8"/>
        <v>rtdc.l.rtdc.4037:itc</v>
      </c>
      <c r="G245" s="8">
        <f t="shared" si="9"/>
        <v>42684.870162037034</v>
      </c>
    </row>
    <row r="246" spans="1:7" x14ac:dyDescent="0.25">
      <c r="A246" s="8">
        <v>42684.880972222221</v>
      </c>
      <c r="B246" t="s">
        <v>189</v>
      </c>
      <c r="C246" t="s">
        <v>423</v>
      </c>
      <c r="D246">
        <v>2610000</v>
      </c>
      <c r="E246" t="s">
        <v>278</v>
      </c>
      <c r="F246" s="21" t="str">
        <f t="shared" si="8"/>
        <v>rtdc.l.rtdc.4044:itc</v>
      </c>
      <c r="G246" s="8">
        <f t="shared" si="9"/>
        <v>42684.880972222221</v>
      </c>
    </row>
    <row r="247" spans="1:7" x14ac:dyDescent="0.25">
      <c r="A247" s="8">
        <v>42684.88553240741</v>
      </c>
      <c r="B247" t="s">
        <v>273</v>
      </c>
      <c r="C247" t="s">
        <v>590</v>
      </c>
      <c r="D247">
        <v>2420000</v>
      </c>
      <c r="E247" t="s">
        <v>330</v>
      </c>
      <c r="F247" s="21" t="str">
        <f t="shared" si="8"/>
        <v>rtdc.l.rtdc.4002:itc</v>
      </c>
      <c r="G247" s="8">
        <f t="shared" si="9"/>
        <v>42684.88553240741</v>
      </c>
    </row>
    <row r="248" spans="1:7" x14ac:dyDescent="0.25">
      <c r="A248" s="8">
        <v>42684.889027777775</v>
      </c>
      <c r="B248" t="s">
        <v>256</v>
      </c>
      <c r="C248" t="s">
        <v>591</v>
      </c>
      <c r="D248">
        <v>2000000</v>
      </c>
      <c r="E248" t="s">
        <v>248</v>
      </c>
      <c r="F248" s="21" t="str">
        <f t="shared" si="8"/>
        <v>rtdc.l.rtdc.4012:itc</v>
      </c>
      <c r="G248" s="8">
        <f t="shared" si="9"/>
        <v>42684.889027777775</v>
      </c>
    </row>
    <row r="249" spans="1:7" x14ac:dyDescent="0.25">
      <c r="A249" s="8">
        <v>42684.900092592594</v>
      </c>
      <c r="B249" t="s">
        <v>294</v>
      </c>
      <c r="C249" t="s">
        <v>592</v>
      </c>
      <c r="D249">
        <v>2610000</v>
      </c>
      <c r="E249" t="s">
        <v>278</v>
      </c>
      <c r="F249" s="21" t="str">
        <f t="shared" si="8"/>
        <v>rtdc.l.rtdc.4043:itc</v>
      </c>
      <c r="G249" s="8">
        <f t="shared" si="9"/>
        <v>42684.900092592594</v>
      </c>
    </row>
    <row r="250" spans="1:7" x14ac:dyDescent="0.25">
      <c r="A250" s="8">
        <v>42684.910300925927</v>
      </c>
      <c r="B250" t="s">
        <v>321</v>
      </c>
      <c r="C250" t="s">
        <v>593</v>
      </c>
      <c r="D250">
        <v>2550000</v>
      </c>
      <c r="E250" t="s">
        <v>277</v>
      </c>
      <c r="F250" s="21" t="str">
        <f t="shared" si="8"/>
        <v>rtdc.l.rtdc.4021:itc</v>
      </c>
      <c r="G250" s="8">
        <f t="shared" si="9"/>
        <v>42684.910300925927</v>
      </c>
    </row>
    <row r="251" spans="1:7" x14ac:dyDescent="0.25">
      <c r="A251" s="8">
        <v>42684.913923611108</v>
      </c>
      <c r="B251" t="s">
        <v>407</v>
      </c>
      <c r="C251" t="s">
        <v>594</v>
      </c>
      <c r="D251">
        <v>1300000</v>
      </c>
      <c r="E251" t="s">
        <v>113</v>
      </c>
      <c r="F251" s="21" t="str">
        <f t="shared" si="8"/>
        <v>rtdc.l.rtdc.4038:itc</v>
      </c>
      <c r="G251" s="8">
        <f t="shared" si="9"/>
        <v>42684.913923611108</v>
      </c>
    </row>
    <row r="252" spans="1:7" x14ac:dyDescent="0.25">
      <c r="A252" s="8">
        <v>42684.914409722223</v>
      </c>
      <c r="B252" t="s">
        <v>189</v>
      </c>
      <c r="C252" t="s">
        <v>595</v>
      </c>
      <c r="D252">
        <v>2610000</v>
      </c>
      <c r="E252" t="s">
        <v>278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272</v>
      </c>
      <c r="C253" t="s">
        <v>424</v>
      </c>
      <c r="D253">
        <v>2420000</v>
      </c>
      <c r="E253" t="s">
        <v>330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221</v>
      </c>
      <c r="C254" t="s">
        <v>596</v>
      </c>
      <c r="D254">
        <v>2000000</v>
      </c>
      <c r="E254" t="s">
        <v>248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294</v>
      </c>
      <c r="C255" t="s">
        <v>597</v>
      </c>
      <c r="D255">
        <v>2610000</v>
      </c>
      <c r="E255" t="s">
        <v>278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455</v>
      </c>
      <c r="C256" t="s">
        <v>598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319</v>
      </c>
      <c r="C257" t="s">
        <v>599</v>
      </c>
      <c r="D257">
        <v>2550000</v>
      </c>
      <c r="E257" t="s">
        <v>277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273</v>
      </c>
      <c r="C258" t="s">
        <v>426</v>
      </c>
      <c r="D258">
        <v>2420000</v>
      </c>
      <c r="E258" t="s">
        <v>330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256</v>
      </c>
      <c r="C259" t="s">
        <v>425</v>
      </c>
      <c r="D259">
        <v>2000000</v>
      </c>
      <c r="E259" t="s">
        <v>248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321</v>
      </c>
      <c r="C260" t="s">
        <v>600</v>
      </c>
      <c r="D260">
        <v>2550000</v>
      </c>
      <c r="E260" t="s">
        <v>277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407</v>
      </c>
      <c r="C261" t="s">
        <v>601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272</v>
      </c>
      <c r="C262" t="s">
        <v>602</v>
      </c>
      <c r="D262">
        <v>2420000</v>
      </c>
      <c r="E262" t="s">
        <v>330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221</v>
      </c>
      <c r="C263" t="s">
        <v>603</v>
      </c>
      <c r="D263">
        <v>2000000</v>
      </c>
      <c r="E263" t="s">
        <v>248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319</v>
      </c>
      <c r="C264" t="s">
        <v>604</v>
      </c>
      <c r="D264">
        <v>2550000</v>
      </c>
      <c r="E264" t="s">
        <v>277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455</v>
      </c>
      <c r="C265" t="s">
        <v>605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273</v>
      </c>
      <c r="C266" t="s">
        <v>606</v>
      </c>
      <c r="D266">
        <v>2420000</v>
      </c>
      <c r="E266" t="s">
        <v>330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256</v>
      </c>
      <c r="C267" t="s">
        <v>607</v>
      </c>
      <c r="D267">
        <v>2000000</v>
      </c>
      <c r="E267" t="s">
        <v>248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407</v>
      </c>
      <c r="C268" t="s">
        <v>608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190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187</v>
      </c>
      <c r="C270" t="s">
        <v>191</v>
      </c>
      <c r="D270">
        <v>1480000</v>
      </c>
      <c r="E270" t="s">
        <v>185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190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190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190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7" s="134" customFormat="1" x14ac:dyDescent="0.25">
      <c r="A1" s="165" t="s">
        <v>167</v>
      </c>
      <c r="B1" s="165" t="s">
        <v>170</v>
      </c>
      <c r="C1" s="165" t="s">
        <v>163</v>
      </c>
      <c r="D1" s="159" t="s">
        <v>177</v>
      </c>
      <c r="E1" s="165" t="s">
        <v>164</v>
      </c>
      <c r="F1" s="165" t="s">
        <v>162</v>
      </c>
      <c r="G1" s="165" t="s">
        <v>160</v>
      </c>
      <c r="H1" s="165" t="s">
        <v>173</v>
      </c>
      <c r="I1" s="165" t="s">
        <v>174</v>
      </c>
      <c r="J1" s="165" t="s">
        <v>168</v>
      </c>
      <c r="K1" s="165" t="s">
        <v>166</v>
      </c>
      <c r="L1" s="165" t="s">
        <v>161</v>
      </c>
      <c r="M1" s="165" t="s">
        <v>171</v>
      </c>
      <c r="N1" s="165" t="s">
        <v>165</v>
      </c>
      <c r="O1" s="165" t="s">
        <v>172</v>
      </c>
      <c r="P1" s="165" t="s">
        <v>169</v>
      </c>
      <c r="Q1"/>
    </row>
    <row r="2" spans="1:17" x14ac:dyDescent="0.25">
      <c r="A2" s="166">
        <v>44.15</v>
      </c>
      <c r="B2" s="166">
        <v>0</v>
      </c>
      <c r="C2" s="166">
        <v>24.39</v>
      </c>
      <c r="D2" s="8">
        <v>42684</v>
      </c>
      <c r="E2" s="166">
        <v>0.44</v>
      </c>
      <c r="F2" s="166" t="s">
        <v>235</v>
      </c>
      <c r="G2" s="166">
        <v>243.21</v>
      </c>
      <c r="H2" s="166">
        <v>0</v>
      </c>
      <c r="I2" s="166">
        <v>0</v>
      </c>
      <c r="J2" s="166">
        <v>1023.13</v>
      </c>
      <c r="K2" s="166" t="s">
        <v>236</v>
      </c>
      <c r="L2" s="166">
        <v>45.26</v>
      </c>
      <c r="M2" s="166">
        <v>1478761200</v>
      </c>
      <c r="N2" s="166">
        <v>5.87</v>
      </c>
      <c r="O2" s="166">
        <v>228</v>
      </c>
      <c r="P2" s="166">
        <v>3.16</v>
      </c>
      <c r="Q2"/>
    </row>
    <row r="3" spans="1:17" x14ac:dyDescent="0.25">
      <c r="A3" s="166">
        <v>42.31</v>
      </c>
      <c r="B3" s="166">
        <v>0.01</v>
      </c>
      <c r="C3" s="166">
        <v>24.89</v>
      </c>
      <c r="D3" s="8">
        <v>42684.041666666664</v>
      </c>
      <c r="E3" s="166">
        <v>0.47</v>
      </c>
      <c r="F3" s="166" t="s">
        <v>235</v>
      </c>
      <c r="G3" s="166">
        <v>243.16</v>
      </c>
      <c r="H3" s="166">
        <v>0</v>
      </c>
      <c r="I3" s="166">
        <v>0</v>
      </c>
      <c r="J3" s="166">
        <v>1023.58</v>
      </c>
      <c r="K3" s="166" t="s">
        <v>236</v>
      </c>
      <c r="L3" s="166">
        <v>43.62</v>
      </c>
      <c r="M3" s="166">
        <v>1478764800</v>
      </c>
      <c r="N3" s="166">
        <v>5.89</v>
      </c>
      <c r="O3" s="166">
        <v>235</v>
      </c>
      <c r="P3" s="166">
        <v>3.14</v>
      </c>
      <c r="Q3"/>
    </row>
    <row r="4" spans="1:17" x14ac:dyDescent="0.25">
      <c r="A4" s="166">
        <v>40.5</v>
      </c>
      <c r="B4" s="166">
        <v>0.04</v>
      </c>
      <c r="C4" s="166">
        <v>24.34</v>
      </c>
      <c r="D4" s="8">
        <v>42684.083333333336</v>
      </c>
      <c r="E4" s="166">
        <v>0.49</v>
      </c>
      <c r="F4" s="166" t="s">
        <v>235</v>
      </c>
      <c r="G4" s="166">
        <v>243.11</v>
      </c>
      <c r="H4" s="166">
        <v>0</v>
      </c>
      <c r="I4" s="166">
        <v>0</v>
      </c>
      <c r="J4" s="166">
        <v>1023.99</v>
      </c>
      <c r="K4" s="166" t="s">
        <v>236</v>
      </c>
      <c r="L4" s="166">
        <v>41.97</v>
      </c>
      <c r="M4" s="166">
        <v>1478768400</v>
      </c>
      <c r="N4" s="166">
        <v>5.22</v>
      </c>
      <c r="O4" s="166">
        <v>226</v>
      </c>
      <c r="P4" s="166">
        <v>3.08</v>
      </c>
      <c r="Q4"/>
    </row>
    <row r="5" spans="1:17" x14ac:dyDescent="0.25">
      <c r="A5" s="166">
        <v>38.99</v>
      </c>
      <c r="B5" s="166">
        <v>0.02</v>
      </c>
      <c r="C5" s="166">
        <v>23.86</v>
      </c>
      <c r="D5" s="8">
        <v>42684.125</v>
      </c>
      <c r="E5" s="166">
        <v>0.5</v>
      </c>
      <c r="F5" s="166" t="s">
        <v>235</v>
      </c>
      <c r="G5" s="166">
        <v>242.77</v>
      </c>
      <c r="H5" s="166">
        <v>0</v>
      </c>
      <c r="I5" s="166">
        <v>0</v>
      </c>
      <c r="J5" s="166">
        <v>1024.05</v>
      </c>
      <c r="K5" s="166" t="s">
        <v>236</v>
      </c>
      <c r="L5" s="166">
        <v>40.82</v>
      </c>
      <c r="M5" s="166">
        <v>1478772000</v>
      </c>
      <c r="N5" s="166">
        <v>4.8899999999999997</v>
      </c>
      <c r="O5" s="166">
        <v>229</v>
      </c>
      <c r="P5" s="166">
        <v>3.27</v>
      </c>
      <c r="Q5"/>
    </row>
    <row r="6" spans="1:17" x14ac:dyDescent="0.25">
      <c r="A6" s="166">
        <v>39.380000000000003</v>
      </c>
      <c r="B6" s="166">
        <v>0.01</v>
      </c>
      <c r="C6" s="166">
        <v>22.87</v>
      </c>
      <c r="D6" s="8">
        <v>42684.166666666664</v>
      </c>
      <c r="E6" s="166">
        <v>0.51</v>
      </c>
      <c r="F6" s="166" t="s">
        <v>235</v>
      </c>
      <c r="G6" s="166">
        <v>242.31</v>
      </c>
      <c r="H6" s="166">
        <v>0</v>
      </c>
      <c r="I6" s="166">
        <v>0</v>
      </c>
      <c r="J6" s="166">
        <v>1023.99</v>
      </c>
      <c r="K6" s="166" t="s">
        <v>236</v>
      </c>
      <c r="L6" s="166">
        <v>39.380000000000003</v>
      </c>
      <c r="M6" s="166">
        <v>1478775600</v>
      </c>
      <c r="N6" s="166">
        <v>5.49</v>
      </c>
      <c r="O6" s="166">
        <v>231</v>
      </c>
      <c r="P6" s="166">
        <v>2.68</v>
      </c>
      <c r="Q6"/>
    </row>
    <row r="7" spans="1:17" x14ac:dyDescent="0.25">
      <c r="A7" s="166">
        <v>38.21</v>
      </c>
      <c r="B7" s="166">
        <v>0.02</v>
      </c>
      <c r="C7" s="166">
        <v>21.73</v>
      </c>
      <c r="D7" s="8">
        <v>42684.208333333336</v>
      </c>
      <c r="E7" s="166">
        <v>0.51</v>
      </c>
      <c r="F7" s="166" t="s">
        <v>235</v>
      </c>
      <c r="G7" s="166">
        <v>241.97</v>
      </c>
      <c r="H7" s="166">
        <v>0</v>
      </c>
      <c r="I7" s="166">
        <v>0</v>
      </c>
      <c r="J7" s="166">
        <v>1024</v>
      </c>
      <c r="K7" s="166" t="s">
        <v>236</v>
      </c>
      <c r="L7" s="166">
        <v>38.21</v>
      </c>
      <c r="M7" s="166">
        <v>1478779200</v>
      </c>
      <c r="N7" s="166">
        <v>6.39</v>
      </c>
      <c r="O7" s="166">
        <v>246</v>
      </c>
      <c r="P7" s="166">
        <v>2.4700000000000002</v>
      </c>
      <c r="Q7"/>
    </row>
    <row r="8" spans="1:17" x14ac:dyDescent="0.25">
      <c r="A8" s="166">
        <v>39.659999999999997</v>
      </c>
      <c r="B8" s="166">
        <v>0.06</v>
      </c>
      <c r="C8" s="166">
        <v>25.15</v>
      </c>
      <c r="D8" s="8">
        <v>42684.25</v>
      </c>
      <c r="E8" s="166">
        <v>0.56000000000000005</v>
      </c>
      <c r="F8" s="166" t="s">
        <v>235</v>
      </c>
      <c r="G8" s="166">
        <v>241.76</v>
      </c>
      <c r="H8" s="166">
        <v>0</v>
      </c>
      <c r="I8" s="166">
        <v>0</v>
      </c>
      <c r="J8" s="166">
        <v>1024.26</v>
      </c>
      <c r="K8" s="166" t="s">
        <v>236</v>
      </c>
      <c r="L8" s="166">
        <v>39.659999999999997</v>
      </c>
      <c r="M8" s="166">
        <v>1478782800</v>
      </c>
      <c r="N8" s="166">
        <v>5.08</v>
      </c>
      <c r="O8" s="166">
        <v>233</v>
      </c>
      <c r="P8" s="166">
        <v>2.75</v>
      </c>
      <c r="Q8"/>
    </row>
    <row r="9" spans="1:17" x14ac:dyDescent="0.25">
      <c r="A9" s="166">
        <v>38.340000000000003</v>
      </c>
      <c r="B9" s="166">
        <v>0.09</v>
      </c>
      <c r="C9" s="166">
        <v>24.28</v>
      </c>
      <c r="D9" s="8">
        <v>42684.291666666664</v>
      </c>
      <c r="E9" s="166">
        <v>0.56999999999999995</v>
      </c>
      <c r="F9" s="166" t="s">
        <v>254</v>
      </c>
      <c r="G9" s="166">
        <v>241.67</v>
      </c>
      <c r="H9" s="166">
        <v>0</v>
      </c>
      <c r="I9" s="166">
        <v>0</v>
      </c>
      <c r="J9" s="166">
        <v>1024.5999999999999</v>
      </c>
      <c r="K9" s="166" t="s">
        <v>236</v>
      </c>
      <c r="L9" s="166">
        <v>38.340000000000003</v>
      </c>
      <c r="M9" s="166">
        <v>1478786400</v>
      </c>
      <c r="N9" s="166">
        <v>3.71</v>
      </c>
      <c r="O9" s="166">
        <v>235</v>
      </c>
      <c r="P9" s="166">
        <v>2.0099999999999998</v>
      </c>
      <c r="Q9"/>
    </row>
    <row r="10" spans="1:17" x14ac:dyDescent="0.25">
      <c r="A10" s="166">
        <v>42.45</v>
      </c>
      <c r="B10" s="166">
        <v>0.1</v>
      </c>
      <c r="C10" s="166">
        <v>26.67</v>
      </c>
      <c r="D10" s="8">
        <v>42684.333333333336</v>
      </c>
      <c r="E10" s="166">
        <v>0.53</v>
      </c>
      <c r="F10" s="166" t="s">
        <v>254</v>
      </c>
      <c r="G10" s="166">
        <v>241.87</v>
      </c>
      <c r="H10" s="166">
        <v>0</v>
      </c>
      <c r="I10" s="166">
        <v>0</v>
      </c>
      <c r="J10" s="166">
        <v>1024.73</v>
      </c>
      <c r="K10" s="166" t="s">
        <v>236</v>
      </c>
      <c r="L10" s="166">
        <v>42.45</v>
      </c>
      <c r="M10" s="166">
        <v>1478790000</v>
      </c>
      <c r="N10" s="166">
        <v>3.44</v>
      </c>
      <c r="O10" s="166">
        <v>222</v>
      </c>
      <c r="P10" s="166">
        <v>2.91</v>
      </c>
      <c r="Q10"/>
    </row>
    <row r="11" spans="1:17" x14ac:dyDescent="0.25">
      <c r="A11" s="166">
        <v>49.11</v>
      </c>
      <c r="B11" s="166">
        <v>0.1</v>
      </c>
      <c r="C11" s="166">
        <v>29.33</v>
      </c>
      <c r="D11" s="8">
        <v>42684.375</v>
      </c>
      <c r="E11" s="166">
        <v>0.46</v>
      </c>
      <c r="F11" s="166" t="s">
        <v>254</v>
      </c>
      <c r="G11" s="166">
        <v>242.58</v>
      </c>
      <c r="H11" s="166">
        <v>0</v>
      </c>
      <c r="I11" s="166">
        <v>0</v>
      </c>
      <c r="J11" s="166">
        <v>1024.51</v>
      </c>
      <c r="K11" s="166" t="s">
        <v>236</v>
      </c>
      <c r="L11" s="166">
        <v>49.11</v>
      </c>
      <c r="M11" s="166">
        <v>1478793600</v>
      </c>
      <c r="N11" s="166">
        <v>3.39</v>
      </c>
      <c r="O11" s="166">
        <v>242</v>
      </c>
      <c r="P11" s="166">
        <v>1.6</v>
      </c>
      <c r="Q11"/>
    </row>
    <row r="12" spans="1:17" x14ac:dyDescent="0.25">
      <c r="A12" s="166">
        <v>56.57</v>
      </c>
      <c r="B12" s="166">
        <v>0.16</v>
      </c>
      <c r="C12" s="166">
        <v>28.44</v>
      </c>
      <c r="D12" s="8">
        <v>42684.416666666664</v>
      </c>
      <c r="E12" s="166">
        <v>0.34</v>
      </c>
      <c r="F12" s="166" t="s">
        <v>254</v>
      </c>
      <c r="G12" s="166">
        <v>243.57</v>
      </c>
      <c r="H12" s="166">
        <v>0</v>
      </c>
      <c r="I12" s="166">
        <v>0</v>
      </c>
      <c r="J12" s="166">
        <v>1024.1600000000001</v>
      </c>
      <c r="K12" s="166" t="s">
        <v>236</v>
      </c>
      <c r="L12" s="166">
        <v>56.57</v>
      </c>
      <c r="M12" s="166">
        <v>1478797200</v>
      </c>
      <c r="N12" s="166">
        <v>3.41</v>
      </c>
      <c r="O12" s="166">
        <v>334</v>
      </c>
      <c r="P12" s="166">
        <v>1.88</v>
      </c>
      <c r="Q12"/>
    </row>
    <row r="13" spans="1:17" x14ac:dyDescent="0.25">
      <c r="A13" s="166">
        <v>61.11</v>
      </c>
      <c r="B13" s="166">
        <v>0.15</v>
      </c>
      <c r="C13" s="166">
        <v>29.88</v>
      </c>
      <c r="D13" s="8">
        <v>42684.458333333336</v>
      </c>
      <c r="E13" s="166">
        <v>0.31</v>
      </c>
      <c r="F13" s="166" t="s">
        <v>254</v>
      </c>
      <c r="G13" s="166">
        <v>244.36</v>
      </c>
      <c r="H13" s="166">
        <v>0</v>
      </c>
      <c r="I13" s="166">
        <v>0</v>
      </c>
      <c r="J13" s="166">
        <v>1023.73</v>
      </c>
      <c r="K13" s="166" t="s">
        <v>236</v>
      </c>
      <c r="L13" s="166">
        <v>61.11</v>
      </c>
      <c r="M13" s="166">
        <v>1478800800</v>
      </c>
      <c r="N13" s="166">
        <v>3.46</v>
      </c>
      <c r="O13" s="166">
        <v>5</v>
      </c>
      <c r="P13" s="166">
        <v>5.25</v>
      </c>
      <c r="Q13"/>
    </row>
    <row r="14" spans="1:17" x14ac:dyDescent="0.25">
      <c r="A14" s="166">
        <v>63.26</v>
      </c>
      <c r="B14" s="166">
        <v>0.21</v>
      </c>
      <c r="C14" s="166">
        <v>28.6</v>
      </c>
      <c r="D14" s="8">
        <v>42684.5</v>
      </c>
      <c r="E14" s="166">
        <v>0.27</v>
      </c>
      <c r="F14" s="166" t="s">
        <v>254</v>
      </c>
      <c r="G14" s="166">
        <v>244.68</v>
      </c>
      <c r="H14" s="166">
        <v>0</v>
      </c>
      <c r="I14" s="166">
        <v>0</v>
      </c>
      <c r="J14" s="166">
        <v>1023.19</v>
      </c>
      <c r="K14" s="166" t="s">
        <v>236</v>
      </c>
      <c r="L14" s="166">
        <v>63.26</v>
      </c>
      <c r="M14" s="166">
        <v>1478804400</v>
      </c>
      <c r="N14" s="166">
        <v>3.51</v>
      </c>
      <c r="O14" s="166">
        <v>12</v>
      </c>
      <c r="P14" s="166">
        <v>6.44</v>
      </c>
      <c r="Q14"/>
    </row>
    <row r="15" spans="1:17" x14ac:dyDescent="0.25">
      <c r="A15" s="166">
        <v>64.37</v>
      </c>
      <c r="B15" s="166">
        <v>0.21</v>
      </c>
      <c r="C15" s="166">
        <v>29.93</v>
      </c>
      <c r="D15" s="8">
        <v>42684.541666666664</v>
      </c>
      <c r="E15" s="166">
        <v>0.27</v>
      </c>
      <c r="F15" s="166" t="s">
        <v>254</v>
      </c>
      <c r="G15" s="166">
        <v>244.79</v>
      </c>
      <c r="H15" s="166">
        <v>0</v>
      </c>
      <c r="I15" s="166">
        <v>0</v>
      </c>
      <c r="J15" s="166">
        <v>1022.61</v>
      </c>
      <c r="K15" s="166" t="s">
        <v>236</v>
      </c>
      <c r="L15" s="166">
        <v>64.37</v>
      </c>
      <c r="M15" s="166">
        <v>1478808000</v>
      </c>
      <c r="N15" s="166">
        <v>3.55</v>
      </c>
      <c r="O15" s="166">
        <v>17</v>
      </c>
      <c r="P15" s="166">
        <v>6.6</v>
      </c>
      <c r="Q15"/>
    </row>
    <row r="16" spans="1:17" x14ac:dyDescent="0.25">
      <c r="A16" s="166">
        <v>65.37</v>
      </c>
      <c r="B16" s="166">
        <v>0.23</v>
      </c>
      <c r="C16" s="166">
        <v>31.11</v>
      </c>
      <c r="D16" s="8">
        <v>42684.583333333336</v>
      </c>
      <c r="E16" s="166">
        <v>0.28000000000000003</v>
      </c>
      <c r="F16" s="166" t="s">
        <v>254</v>
      </c>
      <c r="G16" s="166">
        <v>244.95</v>
      </c>
      <c r="H16" s="166">
        <v>0</v>
      </c>
      <c r="I16" s="166">
        <v>0</v>
      </c>
      <c r="J16" s="166">
        <v>1022.44</v>
      </c>
      <c r="K16" s="166" t="s">
        <v>236</v>
      </c>
      <c r="L16" s="166">
        <v>65.37</v>
      </c>
      <c r="M16" s="166">
        <v>1478811600</v>
      </c>
      <c r="N16" s="166">
        <v>10</v>
      </c>
      <c r="O16" s="166">
        <v>27</v>
      </c>
      <c r="P16" s="166">
        <v>6.83</v>
      </c>
      <c r="Q16"/>
    </row>
    <row r="17" spans="1:17" x14ac:dyDescent="0.25">
      <c r="A17" s="166">
        <v>64.790000000000006</v>
      </c>
      <c r="B17" s="166">
        <v>0.23</v>
      </c>
      <c r="C17" s="166">
        <v>31.38</v>
      </c>
      <c r="D17" s="8">
        <v>42684.625</v>
      </c>
      <c r="E17" s="166">
        <v>0.28999999999999998</v>
      </c>
      <c r="F17" s="166" t="s">
        <v>254</v>
      </c>
      <c r="G17" s="166">
        <v>245.36</v>
      </c>
      <c r="H17" s="166">
        <v>0</v>
      </c>
      <c r="I17" s="166">
        <v>0</v>
      </c>
      <c r="J17" s="166">
        <v>1022.92</v>
      </c>
      <c r="K17" s="166" t="s">
        <v>236</v>
      </c>
      <c r="L17" s="166">
        <v>64.790000000000006</v>
      </c>
      <c r="M17" s="166">
        <v>1478815200</v>
      </c>
      <c r="N17" s="166">
        <v>3.75</v>
      </c>
      <c r="O17" s="166">
        <v>26</v>
      </c>
      <c r="P17" s="166">
        <v>6.37</v>
      </c>
      <c r="Q17"/>
    </row>
    <row r="18" spans="1:17" x14ac:dyDescent="0.25">
      <c r="A18" s="166">
        <v>61.61</v>
      </c>
      <c r="B18" s="166">
        <v>0.23</v>
      </c>
      <c r="C18" s="166">
        <v>30.22</v>
      </c>
      <c r="D18" s="8">
        <v>42684.666666666664</v>
      </c>
      <c r="E18" s="166">
        <v>0.3</v>
      </c>
      <c r="F18" s="166" t="s">
        <v>254</v>
      </c>
      <c r="G18" s="166">
        <v>245.82</v>
      </c>
      <c r="H18" s="166">
        <v>0</v>
      </c>
      <c r="I18" s="166">
        <v>0</v>
      </c>
      <c r="J18" s="166">
        <v>1023.68</v>
      </c>
      <c r="K18" s="166" t="s">
        <v>236</v>
      </c>
      <c r="L18" s="166">
        <v>61.61</v>
      </c>
      <c r="M18" s="166">
        <v>1478818800</v>
      </c>
      <c r="N18" s="166">
        <v>6.27</v>
      </c>
      <c r="O18" s="166">
        <v>26</v>
      </c>
      <c r="P18" s="166">
        <v>6.46</v>
      </c>
      <c r="Q18"/>
    </row>
    <row r="19" spans="1:17" x14ac:dyDescent="0.25">
      <c r="A19" s="166">
        <v>58.97</v>
      </c>
      <c r="B19" s="166">
        <v>0.11</v>
      </c>
      <c r="C19" s="166">
        <v>29.69</v>
      </c>
      <c r="D19" s="8">
        <v>42684.708333333336</v>
      </c>
      <c r="E19" s="166">
        <v>0.33</v>
      </c>
      <c r="F19" s="166" t="s">
        <v>235</v>
      </c>
      <c r="G19" s="166">
        <v>246</v>
      </c>
      <c r="H19" s="166">
        <v>0</v>
      </c>
      <c r="I19" s="166">
        <v>0</v>
      </c>
      <c r="J19" s="166">
        <v>1024.44</v>
      </c>
      <c r="K19" s="166" t="s">
        <v>236</v>
      </c>
      <c r="L19" s="166">
        <v>58.97</v>
      </c>
      <c r="M19" s="166">
        <v>1478822400</v>
      </c>
      <c r="N19" s="166">
        <v>6.65</v>
      </c>
      <c r="O19" s="166">
        <v>32</v>
      </c>
      <c r="P19" s="166">
        <v>4.84</v>
      </c>
      <c r="Q19"/>
    </row>
    <row r="20" spans="1:17" x14ac:dyDescent="0.25">
      <c r="A20" s="166">
        <v>57.09</v>
      </c>
      <c r="B20" s="166">
        <v>7.0000000000000007E-2</v>
      </c>
      <c r="C20" s="166">
        <v>29.5</v>
      </c>
      <c r="D20" s="8">
        <v>42684.75</v>
      </c>
      <c r="E20" s="166">
        <v>0.35</v>
      </c>
      <c r="F20" s="166" t="s">
        <v>235</v>
      </c>
      <c r="G20" s="166">
        <v>245.72</v>
      </c>
      <c r="H20" s="166">
        <v>0</v>
      </c>
      <c r="I20" s="166">
        <v>0</v>
      </c>
      <c r="J20" s="166">
        <v>1025.26</v>
      </c>
      <c r="K20" s="166" t="s">
        <v>236</v>
      </c>
      <c r="L20" s="166">
        <v>57.09</v>
      </c>
      <c r="M20" s="166">
        <v>1478826000</v>
      </c>
      <c r="N20" s="166">
        <v>7.23</v>
      </c>
      <c r="O20" s="166">
        <v>42</v>
      </c>
      <c r="P20" s="166">
        <v>3.82</v>
      </c>
      <c r="Q20"/>
    </row>
    <row r="21" spans="1:17" x14ac:dyDescent="0.25">
      <c r="A21" s="166">
        <v>53.32</v>
      </c>
      <c r="B21" s="166">
        <v>7.0000000000000007E-2</v>
      </c>
      <c r="C21" s="166">
        <v>27.57</v>
      </c>
      <c r="D21" s="8">
        <v>42684.791666666664</v>
      </c>
      <c r="E21" s="166">
        <v>0.37</v>
      </c>
      <c r="F21" s="166" t="s">
        <v>235</v>
      </c>
      <c r="G21" s="166">
        <v>245.16</v>
      </c>
      <c r="H21" s="166">
        <v>0</v>
      </c>
      <c r="I21" s="166">
        <v>0</v>
      </c>
      <c r="J21" s="166">
        <v>1026.21</v>
      </c>
      <c r="K21" s="166" t="s">
        <v>236</v>
      </c>
      <c r="L21" s="166">
        <v>53.32</v>
      </c>
      <c r="M21" s="166">
        <v>1478829600</v>
      </c>
      <c r="N21" s="166">
        <v>8.0500000000000007</v>
      </c>
      <c r="O21" s="166">
        <v>21</v>
      </c>
      <c r="P21" s="166">
        <v>2.04</v>
      </c>
      <c r="Q21"/>
    </row>
    <row r="22" spans="1:17" x14ac:dyDescent="0.25">
      <c r="A22" s="166">
        <v>50.55</v>
      </c>
      <c r="B22" s="166">
        <v>7.0000000000000007E-2</v>
      </c>
      <c r="C22" s="166">
        <v>26.76</v>
      </c>
      <c r="D22" s="8">
        <v>42684.833333333336</v>
      </c>
      <c r="E22" s="166">
        <v>0.39</v>
      </c>
      <c r="F22" s="166" t="s">
        <v>235</v>
      </c>
      <c r="G22" s="166">
        <v>244.5</v>
      </c>
      <c r="H22" s="166">
        <v>0</v>
      </c>
      <c r="I22" s="166">
        <v>0</v>
      </c>
      <c r="J22" s="166">
        <v>1027.1500000000001</v>
      </c>
      <c r="K22" s="166" t="s">
        <v>236</v>
      </c>
      <c r="L22" s="166">
        <v>50.55</v>
      </c>
      <c r="M22" s="166">
        <v>1478833200</v>
      </c>
      <c r="N22" s="166">
        <v>8.36</v>
      </c>
      <c r="O22" s="166">
        <v>3</v>
      </c>
      <c r="P22" s="166">
        <v>2.09</v>
      </c>
      <c r="Q22"/>
    </row>
    <row r="23" spans="1:17" x14ac:dyDescent="0.25">
      <c r="A23" s="166">
        <v>48.79</v>
      </c>
      <c r="B23" s="166">
        <v>0.21</v>
      </c>
      <c r="C23" s="166">
        <v>26.18</v>
      </c>
      <c r="D23" s="8">
        <v>42684.875</v>
      </c>
      <c r="E23" s="166">
        <v>0.41</v>
      </c>
      <c r="F23" s="166" t="s">
        <v>235</v>
      </c>
      <c r="G23" s="166">
        <v>243.75</v>
      </c>
      <c r="H23" s="166">
        <v>0</v>
      </c>
      <c r="I23" s="166">
        <v>0</v>
      </c>
      <c r="J23" s="166">
        <v>1028.1099999999999</v>
      </c>
      <c r="K23" s="166" t="s">
        <v>236</v>
      </c>
      <c r="L23" s="166">
        <v>48.79</v>
      </c>
      <c r="M23" s="166">
        <v>1478836800</v>
      </c>
      <c r="N23" s="166">
        <v>7.61</v>
      </c>
      <c r="O23" s="166">
        <v>3</v>
      </c>
      <c r="P23" s="166">
        <v>1.82</v>
      </c>
      <c r="Q23"/>
    </row>
    <row r="24" spans="1:17" x14ac:dyDescent="0.25">
      <c r="A24" s="166">
        <v>46.92</v>
      </c>
      <c r="B24" s="166">
        <v>0.31</v>
      </c>
      <c r="C24" s="166">
        <v>26.37</v>
      </c>
      <c r="D24" s="8">
        <v>42684.916666666664</v>
      </c>
      <c r="E24" s="166">
        <v>0.44</v>
      </c>
      <c r="F24" s="166" t="s">
        <v>229</v>
      </c>
      <c r="G24" s="166">
        <v>242.91</v>
      </c>
      <c r="H24" s="166">
        <v>0</v>
      </c>
      <c r="I24" s="166">
        <v>0</v>
      </c>
      <c r="J24" s="166">
        <v>1029.06</v>
      </c>
      <c r="K24" s="166" t="s">
        <v>230</v>
      </c>
      <c r="L24" s="166">
        <v>46.92</v>
      </c>
      <c r="M24" s="166">
        <v>1478840400</v>
      </c>
      <c r="N24" s="166">
        <v>7.64</v>
      </c>
      <c r="O24" s="166">
        <v>343</v>
      </c>
      <c r="P24" s="166">
        <v>2.09</v>
      </c>
      <c r="Q24"/>
    </row>
    <row r="25" spans="1:17" x14ac:dyDescent="0.25">
      <c r="A25" s="166">
        <v>43.91</v>
      </c>
      <c r="B25" s="166">
        <v>0.3</v>
      </c>
      <c r="C25" s="166">
        <v>26.07</v>
      </c>
      <c r="D25" s="8">
        <v>42684.958333333336</v>
      </c>
      <c r="E25" s="166">
        <v>0.49</v>
      </c>
      <c r="F25" s="166" t="s">
        <v>229</v>
      </c>
      <c r="G25" s="166">
        <v>242.11</v>
      </c>
      <c r="H25" s="166">
        <v>0</v>
      </c>
      <c r="I25" s="166">
        <v>0</v>
      </c>
      <c r="J25" s="166">
        <v>1029.76</v>
      </c>
      <c r="K25" s="166" t="s">
        <v>230</v>
      </c>
      <c r="L25" s="166">
        <v>43.91</v>
      </c>
      <c r="M25" s="166">
        <v>1478844000</v>
      </c>
      <c r="N25" s="166">
        <v>10</v>
      </c>
      <c r="O25" s="166">
        <v>301</v>
      </c>
      <c r="P25" s="166">
        <v>1.21</v>
      </c>
      <c r="Q25"/>
    </row>
    <row r="26" spans="1:17" x14ac:dyDescent="0.25">
      <c r="A26" s="166">
        <v>42.33</v>
      </c>
      <c r="B26" s="166">
        <v>0.38</v>
      </c>
      <c r="C26" s="166">
        <v>26.49</v>
      </c>
      <c r="D26" s="8">
        <v>42685</v>
      </c>
      <c r="E26" s="166">
        <v>0.53</v>
      </c>
      <c r="F26" s="166" t="s">
        <v>229</v>
      </c>
      <c r="G26" s="166">
        <v>241.47</v>
      </c>
      <c r="H26" s="166">
        <v>0</v>
      </c>
      <c r="I26" s="166">
        <v>0</v>
      </c>
      <c r="J26" s="166">
        <v>1029.8900000000001</v>
      </c>
      <c r="K26" s="166" t="s">
        <v>230</v>
      </c>
      <c r="L26" s="166">
        <v>42.33</v>
      </c>
      <c r="M26" s="166">
        <v>1478847600</v>
      </c>
      <c r="N26" s="166">
        <v>8.32</v>
      </c>
      <c r="O26" s="166">
        <v>353</v>
      </c>
      <c r="P26" s="166">
        <v>0.66</v>
      </c>
      <c r="Q26"/>
    </row>
    <row r="27" spans="1:17" x14ac:dyDescent="0.25">
      <c r="A27" s="166">
        <v>40.69</v>
      </c>
      <c r="B27" s="166">
        <v>0.33</v>
      </c>
      <c r="C27" s="166">
        <v>26.24</v>
      </c>
      <c r="D27" s="8">
        <v>42685.041666666664</v>
      </c>
      <c r="E27" s="166">
        <v>0.56000000000000005</v>
      </c>
      <c r="F27" s="166" t="s">
        <v>229</v>
      </c>
      <c r="G27" s="166">
        <v>240.82</v>
      </c>
      <c r="H27" s="166">
        <v>0</v>
      </c>
      <c r="I27" s="166">
        <v>0</v>
      </c>
      <c r="J27" s="166">
        <v>1030.02</v>
      </c>
      <c r="K27" s="166" t="s">
        <v>230</v>
      </c>
      <c r="L27" s="166">
        <v>40.69</v>
      </c>
      <c r="M27" s="166">
        <v>1478851200</v>
      </c>
      <c r="N27" s="166">
        <v>8.27</v>
      </c>
      <c r="O27" s="166">
        <v>150</v>
      </c>
      <c r="P27" s="166">
        <v>0.73</v>
      </c>
      <c r="Q27"/>
    </row>
    <row r="28" spans="1:17" x14ac:dyDescent="0.25">
      <c r="A28" s="166">
        <v>39.450000000000003</v>
      </c>
      <c r="B28" s="166">
        <v>0.41</v>
      </c>
      <c r="C28" s="166">
        <v>26.38</v>
      </c>
      <c r="D28" s="8">
        <v>42685.083333333336</v>
      </c>
      <c r="E28" s="166">
        <v>0.59</v>
      </c>
      <c r="F28" s="166" t="s">
        <v>229</v>
      </c>
      <c r="G28" s="166">
        <v>240.17</v>
      </c>
      <c r="H28" s="166">
        <v>0</v>
      </c>
      <c r="I28" s="166">
        <v>0</v>
      </c>
      <c r="J28" s="166">
        <v>1030.1500000000001</v>
      </c>
      <c r="K28" s="166" t="s">
        <v>230</v>
      </c>
      <c r="L28" s="166">
        <v>39.450000000000003</v>
      </c>
      <c r="M28" s="166">
        <v>1478854800</v>
      </c>
      <c r="N28" s="166">
        <v>6.43</v>
      </c>
      <c r="O28" s="166">
        <v>149</v>
      </c>
      <c r="P28" s="166">
        <v>1.34</v>
      </c>
      <c r="Q28"/>
    </row>
    <row r="29" spans="1:17" x14ac:dyDescent="0.25">
      <c r="A29" s="166">
        <v>36.1</v>
      </c>
      <c r="B29" s="166">
        <v>0.34</v>
      </c>
      <c r="C29" s="166">
        <v>24.15</v>
      </c>
      <c r="D29" s="8">
        <v>42685.125</v>
      </c>
      <c r="E29" s="166">
        <v>0.61</v>
      </c>
      <c r="F29" s="166" t="s">
        <v>229</v>
      </c>
      <c r="G29" s="166">
        <v>239.73</v>
      </c>
      <c r="H29" s="166">
        <v>0</v>
      </c>
      <c r="I29" s="166">
        <v>0</v>
      </c>
      <c r="J29" s="166">
        <v>1030.6300000000001</v>
      </c>
      <c r="K29" s="166" t="s">
        <v>230</v>
      </c>
      <c r="L29" s="166">
        <v>36.1</v>
      </c>
      <c r="M29" s="166">
        <v>1478858400</v>
      </c>
      <c r="N29" s="166">
        <v>7.95</v>
      </c>
      <c r="O29" s="166">
        <v>164</v>
      </c>
      <c r="P29" s="166">
        <v>1.1399999999999999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3" t="s">
        <v>213</v>
      </c>
    </row>
    <row r="33" spans="1:1" x14ac:dyDescent="0.25">
      <c r="A33" s="133" t="s"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2"/>
  <sheetViews>
    <sheetView workbookViewId="0">
      <selection activeCell="C32" sqref="C18:C3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42684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215</v>
      </c>
      <c r="J17" s="33"/>
      <c r="K17" s="34"/>
      <c r="L17" s="34"/>
    </row>
    <row r="18" spans="3:13" x14ac:dyDescent="0.25">
      <c r="C18" t="s">
        <v>790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791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792</v>
      </c>
      <c r="J20" t="s">
        <v>87</v>
      </c>
      <c r="M20" s="68" t="s">
        <v>315</v>
      </c>
    </row>
    <row r="21" spans="3:13" x14ac:dyDescent="0.25">
      <c r="C21" t="s">
        <v>793</v>
      </c>
      <c r="J21" s="21" t="s">
        <v>90</v>
      </c>
      <c r="K21" s="21" t="s">
        <v>91</v>
      </c>
      <c r="M21" s="68" t="s">
        <v>186</v>
      </c>
    </row>
    <row r="22" spans="3:13" x14ac:dyDescent="0.25">
      <c r="C22" t="s">
        <v>794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795</v>
      </c>
      <c r="J23" s="29" t="s">
        <v>95</v>
      </c>
      <c r="K23" s="21"/>
      <c r="M23" s="69">
        <v>-7</v>
      </c>
    </row>
    <row r="24" spans="3:13" x14ac:dyDescent="0.25">
      <c r="C24" t="s">
        <v>796</v>
      </c>
      <c r="J24" s="21" t="s">
        <v>108</v>
      </c>
      <c r="K24" s="21"/>
      <c r="M24" s="68" t="s">
        <v>110</v>
      </c>
    </row>
    <row r="25" spans="3:13" x14ac:dyDescent="0.25">
      <c r="C25" t="s">
        <v>797</v>
      </c>
      <c r="J25" t="s">
        <v>151</v>
      </c>
      <c r="M25" s="68" t="b">
        <v>1</v>
      </c>
    </row>
    <row r="26" spans="3:13" x14ac:dyDescent="0.25">
      <c r="C26" t="s">
        <v>798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C:\Users\stu\Documents\GitHub\eaglep3-reporting\EC\2016-11-10-refined-times.txt</v>
      </c>
    </row>
    <row r="27" spans="3:13" x14ac:dyDescent="0.25">
      <c r="C27" t="s">
        <v>799</v>
      </c>
      <c r="J27" t="s">
        <v>193</v>
      </c>
      <c r="M27" s="68" t="str">
        <f>"C:\Users\stu\Documents\GitHub\eaglep3-reporting\EC\"&amp;TEXT(A2,"YYYY-MM-DD")&amp;"-Enforcements.txt"</f>
        <v>C:\Users\stu\Documents\GitHub\eaglep3-reporting\EC\2016-11-10-Enforcements.txt</v>
      </c>
    </row>
    <row r="28" spans="3:13" x14ac:dyDescent="0.25">
      <c r="C28" t="s">
        <v>800</v>
      </c>
      <c r="J28" t="s">
        <v>194</v>
      </c>
      <c r="M28" s="106" t="str">
        <f>"C:\Users\stu\Documents\GitHub\eaglep3-reporting\EC\"&amp;TEXT(A2,"YYYY-MM-DD")&amp;"-Runs-Refined.txt"</f>
        <v>C:\Users\stu\Documents\GitHub\eaglep3-reporting\EC\2016-11-10-Runs-Refined.txt</v>
      </c>
    </row>
    <row r="29" spans="3:13" x14ac:dyDescent="0.25">
      <c r="C29" t="s">
        <v>801</v>
      </c>
      <c r="J29" t="s">
        <v>195</v>
      </c>
      <c r="M29" s="106" t="str">
        <f>"C:\Users\stu\Documents\GitHub\eaglep3-reporting\EC\"&amp;TEXT(A2,"YYYY-MM-DD")&amp;"-Trips.txt"</f>
        <v>C:\Users\stu\Documents\GitHub\eaglep3-reporting\EC\2016-11-10-Trips.txt</v>
      </c>
    </row>
    <row r="30" spans="3:13" x14ac:dyDescent="0.25">
      <c r="C30" t="s">
        <v>802</v>
      </c>
      <c r="J30" t="s">
        <v>196</v>
      </c>
      <c r="M30" s="106" t="str">
        <f>"C:\Users\stu\Documents\GitHub\eaglep3-reporting\EC\"&amp;TEXT(A2,"YYYY-MM-DD")&amp;"-Weather.txt"</f>
        <v>C:\Users\stu\Documents\GitHub\eaglep3-reporting\EC\2016-11-10-Weather.txt</v>
      </c>
    </row>
    <row r="31" spans="3:13" x14ac:dyDescent="0.25">
      <c r="C31" t="s">
        <v>803</v>
      </c>
    </row>
    <row r="32" spans="3:13" x14ac:dyDescent="0.25">
      <c r="C32" t="s">
        <v>804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178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179</v>
      </c>
    </row>
    <row r="15" spans="1:11" x14ac:dyDescent="0.25">
      <c r="C15" s="116" t="s">
        <v>245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2016-11-11T18:42:06Z</dcterms:modified>
</cp:coreProperties>
</file>