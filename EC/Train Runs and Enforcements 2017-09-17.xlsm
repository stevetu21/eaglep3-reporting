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Enforcements!$A$6:$AC$47</definedName>
    <definedName name="_xlnm._FilterDatabase" localSheetId="2" hidden="1">'Missing Trips'!$A$2:$J$26</definedName>
    <definedName name="_xlnm._FilterDatabase" localSheetId="0" hidden="1">'Train Runs'!$A$12:$AG$291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14" i="1" l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13" i="1"/>
  <c r="X194" i="1" l="1"/>
  <c r="X195" i="1"/>
  <c r="K194" i="1"/>
  <c r="L194" i="1"/>
  <c r="M194" i="1"/>
  <c r="N194" i="1" s="1"/>
  <c r="V194" i="1"/>
  <c r="AA194" i="1"/>
  <c r="AB194" i="1"/>
  <c r="AC194" i="1"/>
  <c r="AD194" i="1"/>
  <c r="T194" i="1" s="1"/>
  <c r="AE194" i="1"/>
  <c r="AF194" i="1"/>
  <c r="AH194" i="1"/>
  <c r="AM194" i="1"/>
  <c r="AN194" i="1"/>
  <c r="V184" i="1"/>
  <c r="X164" i="1"/>
  <c r="X165" i="1"/>
  <c r="X166" i="1"/>
  <c r="X167" i="1"/>
  <c r="X168" i="1"/>
  <c r="X169" i="1"/>
  <c r="X134" i="1"/>
  <c r="X136" i="1"/>
  <c r="X140" i="1"/>
  <c r="X144" i="1"/>
  <c r="X145" i="1"/>
  <c r="X14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X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S12" i="3" s="1"/>
  <c r="X17" i="1"/>
  <c r="Y17" i="1"/>
  <c r="Z17" i="1"/>
  <c r="AA17" i="1" s="1"/>
  <c r="AB17" i="1"/>
  <c r="AC17" i="1"/>
  <c r="AD17" i="1"/>
  <c r="AE17" i="1"/>
  <c r="AF17" i="1"/>
  <c r="AH17" i="1"/>
  <c r="AM17" i="1"/>
  <c r="AN17" i="1"/>
  <c r="K18" i="1"/>
  <c r="L18" i="1"/>
  <c r="M18" i="1"/>
  <c r="N18" i="1"/>
  <c r="V18" i="1"/>
  <c r="S13" i="3" s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P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P35" i="1" s="1"/>
  <c r="V35" i="1"/>
  <c r="Y35" i="1"/>
  <c r="Z35" i="1"/>
  <c r="AB35" i="1"/>
  <c r="AC35" i="1"/>
  <c r="AD35" i="1"/>
  <c r="T35" i="1" s="1"/>
  <c r="AE35" i="1"/>
  <c r="R19" i="3" s="1"/>
  <c r="AF35" i="1"/>
  <c r="AH35" i="1"/>
  <c r="AM35" i="1"/>
  <c r="AN35" i="1"/>
  <c r="K36" i="1"/>
  <c r="L36" i="1"/>
  <c r="M36" i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S22" i="3" s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R14" i="3" s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R9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T49" i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X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P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X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5" i="1"/>
  <c r="AM95" i="1"/>
  <c r="AN9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96" i="1"/>
  <c r="AM96" i="1"/>
  <c r="AN96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97" i="1"/>
  <c r="AM97" i="1"/>
  <c r="AN97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98" i="1"/>
  <c r="AM98" i="1"/>
  <c r="AN98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99" i="1"/>
  <c r="AM99" i="1"/>
  <c r="AN99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0" i="1"/>
  <c r="AM100" i="1"/>
  <c r="AN10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1" i="1"/>
  <c r="AM101" i="1"/>
  <c r="AN101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2" i="1"/>
  <c r="AM102" i="1"/>
  <c r="AN102" i="1"/>
  <c r="K174" i="1"/>
  <c r="L174" i="1"/>
  <c r="M174" i="1"/>
  <c r="N174" i="1" s="1"/>
  <c r="V174" i="1"/>
  <c r="Y174" i="1"/>
  <c r="Z174" i="1"/>
  <c r="AB174" i="1"/>
  <c r="AC174" i="1"/>
  <c r="AD174" i="1"/>
  <c r="AE174" i="1"/>
  <c r="R34" i="3" s="1"/>
  <c r="AF174" i="1"/>
  <c r="AH103" i="1"/>
  <c r="AM103" i="1"/>
  <c r="AN103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04" i="1"/>
  <c r="AM104" i="1"/>
  <c r="AN10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05" i="1"/>
  <c r="AM105" i="1"/>
  <c r="AN105" i="1"/>
  <c r="K176" i="1"/>
  <c r="L176" i="1"/>
  <c r="M176" i="1"/>
  <c r="N176" i="1" s="1"/>
  <c r="V176" i="1"/>
  <c r="Y176" i="1"/>
  <c r="Z176" i="1"/>
  <c r="AA176" i="1" s="1"/>
  <c r="AB176" i="1"/>
  <c r="AC176" i="1"/>
  <c r="AD176" i="1"/>
  <c r="AE176" i="1"/>
  <c r="AF176" i="1"/>
  <c r="AH106" i="1"/>
  <c r="AM106" i="1"/>
  <c r="AN106" i="1"/>
  <c r="K177" i="1"/>
  <c r="L177" i="1"/>
  <c r="M177" i="1"/>
  <c r="N177" i="1" s="1"/>
  <c r="V177" i="1"/>
  <c r="S37" i="3" s="1"/>
  <c r="Y177" i="1"/>
  <c r="Z177" i="1"/>
  <c r="AB177" i="1"/>
  <c r="AC177" i="1"/>
  <c r="AD177" i="1"/>
  <c r="AE177" i="1"/>
  <c r="R37" i="3" s="1"/>
  <c r="AF177" i="1"/>
  <c r="AH107" i="1"/>
  <c r="AM107" i="1"/>
  <c r="AN107" i="1"/>
  <c r="K178" i="1"/>
  <c r="L178" i="1"/>
  <c r="M178" i="1"/>
  <c r="V178" i="1"/>
  <c r="Y178" i="1"/>
  <c r="Z178" i="1"/>
  <c r="AA178" i="1" s="1"/>
  <c r="AB178" i="1"/>
  <c r="AC178" i="1"/>
  <c r="AD178" i="1"/>
  <c r="T178" i="1" s="1"/>
  <c r="AE178" i="1"/>
  <c r="AF178" i="1"/>
  <c r="AH108" i="1"/>
  <c r="AM108" i="1"/>
  <c r="AN108" i="1"/>
  <c r="K179" i="1"/>
  <c r="L179" i="1"/>
  <c r="M179" i="1"/>
  <c r="N179" i="1"/>
  <c r="V179" i="1"/>
  <c r="Y179" i="1"/>
  <c r="Z179" i="1"/>
  <c r="AB179" i="1"/>
  <c r="AC179" i="1"/>
  <c r="AD179" i="1"/>
  <c r="T179" i="1" s="1"/>
  <c r="AE179" i="1"/>
  <c r="AF179" i="1"/>
  <c r="AH109" i="1"/>
  <c r="AM109" i="1"/>
  <c r="AN109" i="1"/>
  <c r="K180" i="1"/>
  <c r="L180" i="1"/>
  <c r="M180" i="1"/>
  <c r="N180" i="1" s="1"/>
  <c r="V180" i="1"/>
  <c r="S33" i="3" s="1"/>
  <c r="Y180" i="1"/>
  <c r="Z180" i="1"/>
  <c r="AB180" i="1"/>
  <c r="AC180" i="1"/>
  <c r="AD180" i="1"/>
  <c r="AE180" i="1"/>
  <c r="R33" i="3" s="1"/>
  <c r="AF180" i="1"/>
  <c r="AH110" i="1"/>
  <c r="AM110" i="1"/>
  <c r="AN110" i="1"/>
  <c r="K181" i="1"/>
  <c r="L181" i="1"/>
  <c r="M181" i="1"/>
  <c r="V181" i="1"/>
  <c r="Y181" i="1"/>
  <c r="Z181" i="1"/>
  <c r="AB181" i="1"/>
  <c r="AC181" i="1"/>
  <c r="AD181" i="1"/>
  <c r="AE181" i="1"/>
  <c r="AF181" i="1"/>
  <c r="AH111" i="1"/>
  <c r="AM111" i="1"/>
  <c r="AN11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2" i="1"/>
  <c r="AM112" i="1"/>
  <c r="AN11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3" i="1"/>
  <c r="AM113" i="1"/>
  <c r="AN113" i="1"/>
  <c r="K184" i="1"/>
  <c r="L184" i="1"/>
  <c r="M184" i="1"/>
  <c r="Y184" i="1"/>
  <c r="Z184" i="1"/>
  <c r="AB184" i="1"/>
  <c r="AC184" i="1"/>
  <c r="AD184" i="1"/>
  <c r="AE184" i="1"/>
  <c r="AF184" i="1"/>
  <c r="AH114" i="1"/>
  <c r="AM114" i="1"/>
  <c r="AN11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15" i="1"/>
  <c r="AM115" i="1"/>
  <c r="AN115" i="1"/>
  <c r="K186" i="1"/>
  <c r="L186" i="1"/>
  <c r="M186" i="1"/>
  <c r="N186" i="1" s="1"/>
  <c r="V186" i="1"/>
  <c r="S31" i="3" s="1"/>
  <c r="Y186" i="1"/>
  <c r="Z186" i="1"/>
  <c r="AB186" i="1"/>
  <c r="AC186" i="1"/>
  <c r="AD186" i="1"/>
  <c r="T186" i="1" s="1"/>
  <c r="AE186" i="1"/>
  <c r="AF186" i="1"/>
  <c r="AH116" i="1"/>
  <c r="AM116" i="1"/>
  <c r="AN11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17" i="1"/>
  <c r="AM117" i="1"/>
  <c r="AN11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18" i="1"/>
  <c r="AM118" i="1"/>
  <c r="AN118" i="1"/>
  <c r="K96" i="1"/>
  <c r="L96" i="1"/>
  <c r="M96" i="1"/>
  <c r="P96" i="1" s="1"/>
  <c r="V96" i="1"/>
  <c r="S20" i="3" s="1"/>
  <c r="Y96" i="1"/>
  <c r="Z96" i="1"/>
  <c r="AB96" i="1"/>
  <c r="AC96" i="1"/>
  <c r="AD96" i="1"/>
  <c r="AE96" i="1"/>
  <c r="R20" i="3" s="1"/>
  <c r="AF96" i="1"/>
  <c r="AH119" i="1"/>
  <c r="AM119" i="1"/>
  <c r="AN119" i="1"/>
  <c r="K97" i="1"/>
  <c r="L97" i="1"/>
  <c r="M97" i="1"/>
  <c r="V97" i="1"/>
  <c r="Y97" i="1"/>
  <c r="Z97" i="1"/>
  <c r="AB97" i="1"/>
  <c r="AC97" i="1"/>
  <c r="AD97" i="1"/>
  <c r="T97" i="1" s="1"/>
  <c r="AE97" i="1"/>
  <c r="AF97" i="1"/>
  <c r="AH120" i="1"/>
  <c r="AM120" i="1"/>
  <c r="AN12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1" i="1"/>
  <c r="AM121" i="1"/>
  <c r="AN121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2" i="1"/>
  <c r="AM122" i="1"/>
  <c r="AN122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3" i="1"/>
  <c r="AM123" i="1"/>
  <c r="AN123" i="1"/>
  <c r="K192" i="1"/>
  <c r="L192" i="1"/>
  <c r="M192" i="1"/>
  <c r="N192" i="1" s="1"/>
  <c r="V192" i="1"/>
  <c r="S38" i="3" s="1"/>
  <c r="Y192" i="1"/>
  <c r="Z192" i="1"/>
  <c r="AB192" i="1"/>
  <c r="AC192" i="1"/>
  <c r="AD192" i="1"/>
  <c r="T192" i="1" s="1"/>
  <c r="AE192" i="1"/>
  <c r="R38" i="3" s="1"/>
  <c r="AF192" i="1"/>
  <c r="AH124" i="1"/>
  <c r="AM124" i="1"/>
  <c r="AN12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5" i="1"/>
  <c r="AM125" i="1"/>
  <c r="AN12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26" i="1"/>
  <c r="AM126" i="1"/>
  <c r="AN126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27" i="1"/>
  <c r="AM127" i="1"/>
  <c r="AN12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28" i="1"/>
  <c r="AM128" i="1"/>
  <c r="AN12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29" i="1"/>
  <c r="AM129" i="1"/>
  <c r="AN129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0" i="1"/>
  <c r="AM130" i="1"/>
  <c r="AN13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131" i="1"/>
  <c r="AM131" i="1"/>
  <c r="AN13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132" i="1"/>
  <c r="AM132" i="1"/>
  <c r="AN132" i="1"/>
  <c r="K201" i="1"/>
  <c r="L201" i="1"/>
  <c r="M201" i="1"/>
  <c r="N201" i="1" s="1"/>
  <c r="V201" i="1"/>
  <c r="S36" i="3" s="1"/>
  <c r="Y201" i="1"/>
  <c r="Z201" i="1"/>
  <c r="AB201" i="1"/>
  <c r="AC201" i="1"/>
  <c r="AD201" i="1"/>
  <c r="T201" i="1" s="1"/>
  <c r="AE201" i="1"/>
  <c r="AF201" i="1"/>
  <c r="AH133" i="1"/>
  <c r="AM133" i="1"/>
  <c r="AN13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134" i="1"/>
  <c r="AM134" i="1"/>
  <c r="AN13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136" i="1"/>
  <c r="AM136" i="1"/>
  <c r="AN136" i="1"/>
  <c r="K204" i="1"/>
  <c r="L204" i="1"/>
  <c r="M204" i="1"/>
  <c r="N204" i="1" s="1"/>
  <c r="V204" i="1"/>
  <c r="S40" i="3" s="1"/>
  <c r="Y204" i="1"/>
  <c r="Z204" i="1"/>
  <c r="AB204" i="1"/>
  <c r="AC204" i="1"/>
  <c r="AD204" i="1"/>
  <c r="T204" i="1" s="1"/>
  <c r="AE204" i="1"/>
  <c r="R39" i="3" s="1"/>
  <c r="AF204" i="1"/>
  <c r="AH137" i="1"/>
  <c r="AM137" i="1"/>
  <c r="AN137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40" i="1"/>
  <c r="AM140" i="1"/>
  <c r="AN140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41" i="1"/>
  <c r="AM141" i="1"/>
  <c r="AN141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43" i="1"/>
  <c r="AM143" i="1"/>
  <c r="AN143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44" i="1"/>
  <c r="AM144" i="1"/>
  <c r="AN144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45" i="1"/>
  <c r="AM145" i="1"/>
  <c r="AN145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6" i="1"/>
  <c r="AM146" i="1"/>
  <c r="AN146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7" i="1"/>
  <c r="AM147" i="1"/>
  <c r="AN14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48" i="1"/>
  <c r="AM148" i="1"/>
  <c r="AN14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49" i="1"/>
  <c r="AM149" i="1"/>
  <c r="AN149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50" i="1"/>
  <c r="AM150" i="1"/>
  <c r="AN150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51" i="1"/>
  <c r="AM151" i="1"/>
  <c r="AN151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52" i="1"/>
  <c r="AM152" i="1"/>
  <c r="AN152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53" i="1"/>
  <c r="AM153" i="1"/>
  <c r="AN153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54" i="1"/>
  <c r="AM154" i="1"/>
  <c r="AN154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55" i="1"/>
  <c r="AM155" i="1"/>
  <c r="AN155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6" i="1"/>
  <c r="AM156" i="1"/>
  <c r="AN156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7" i="1"/>
  <c r="AM157" i="1"/>
  <c r="AN157" i="1"/>
  <c r="K114" i="1"/>
  <c r="L114" i="1"/>
  <c r="M114" i="1"/>
  <c r="N114" i="1" s="1"/>
  <c r="V114" i="1"/>
  <c r="S26" i="3" s="1"/>
  <c r="Y114" i="1"/>
  <c r="Z114" i="1"/>
  <c r="AB114" i="1"/>
  <c r="AC114" i="1"/>
  <c r="AD114" i="1"/>
  <c r="T114" i="1" s="1"/>
  <c r="AE114" i="1"/>
  <c r="R26" i="3" s="1"/>
  <c r="AF114" i="1"/>
  <c r="AH158" i="1"/>
  <c r="AM158" i="1"/>
  <c r="AN158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9" i="1"/>
  <c r="AM159" i="1"/>
  <c r="AN159" i="1"/>
  <c r="K116" i="1"/>
  <c r="L116" i="1"/>
  <c r="M116" i="1"/>
  <c r="N116" i="1" s="1"/>
  <c r="V116" i="1"/>
  <c r="Y116" i="1"/>
  <c r="Z116" i="1"/>
  <c r="AA116" i="1" s="1"/>
  <c r="AB116" i="1"/>
  <c r="AC116" i="1"/>
  <c r="AD116" i="1"/>
  <c r="T116" i="1" s="1"/>
  <c r="AE116" i="1"/>
  <c r="AF116" i="1"/>
  <c r="AH160" i="1"/>
  <c r="AM160" i="1"/>
  <c r="AN160" i="1"/>
  <c r="K117" i="1"/>
  <c r="L117" i="1"/>
  <c r="M117" i="1"/>
  <c r="N117" i="1"/>
  <c r="V117" i="1"/>
  <c r="Y117" i="1"/>
  <c r="Z117" i="1"/>
  <c r="AB117" i="1"/>
  <c r="AC117" i="1"/>
  <c r="AD117" i="1"/>
  <c r="T117" i="1" s="1"/>
  <c r="AE117" i="1"/>
  <c r="AF117" i="1"/>
  <c r="AH161" i="1"/>
  <c r="AM161" i="1"/>
  <c r="AN161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62" i="1"/>
  <c r="AM162" i="1"/>
  <c r="AN162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63" i="1"/>
  <c r="AM163" i="1"/>
  <c r="AN163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64" i="1"/>
  <c r="AM164" i="1"/>
  <c r="AN164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65" i="1"/>
  <c r="AM165" i="1"/>
  <c r="AN165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35" i="1"/>
  <c r="AM135" i="1"/>
  <c r="AN135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39" i="1"/>
  <c r="AM139" i="1"/>
  <c r="AN139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38" i="1"/>
  <c r="AM138" i="1"/>
  <c r="AN138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42" i="1"/>
  <c r="AM142" i="1"/>
  <c r="AN142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6" i="1"/>
  <c r="AM166" i="1"/>
  <c r="AN16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7" i="1"/>
  <c r="AM167" i="1"/>
  <c r="AN16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8" i="1"/>
  <c r="AM168" i="1"/>
  <c r="AN16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9" i="1"/>
  <c r="AM169" i="1"/>
  <c r="AN16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70" i="1"/>
  <c r="AM170" i="1"/>
  <c r="AN17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71" i="1"/>
  <c r="AM171" i="1"/>
  <c r="AN17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72" i="1"/>
  <c r="AM172" i="1"/>
  <c r="AN17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73" i="1"/>
  <c r="AM173" i="1"/>
  <c r="AN17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4" i="1"/>
  <c r="AM174" i="1"/>
  <c r="AN174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5" i="1"/>
  <c r="AM175" i="1"/>
  <c r="AN175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6" i="1"/>
  <c r="AM176" i="1"/>
  <c r="AN176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7" i="1"/>
  <c r="AM177" i="1"/>
  <c r="AN177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8" i="1"/>
  <c r="AM178" i="1"/>
  <c r="AN178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79" i="1"/>
  <c r="AM179" i="1"/>
  <c r="AN179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R11" i="3" s="1"/>
  <c r="AF144" i="1"/>
  <c r="AH180" i="1"/>
  <c r="AM180" i="1"/>
  <c r="AN180" i="1"/>
  <c r="K145" i="1"/>
  <c r="L145" i="1"/>
  <c r="M145" i="1"/>
  <c r="N145" i="1" s="1"/>
  <c r="V145" i="1"/>
  <c r="S8" i="3" s="1"/>
  <c r="Y145" i="1"/>
  <c r="Z145" i="1"/>
  <c r="AB145" i="1"/>
  <c r="AC145" i="1"/>
  <c r="AD145" i="1"/>
  <c r="AE145" i="1"/>
  <c r="R8" i="3" s="1"/>
  <c r="AF145" i="1"/>
  <c r="AH181" i="1"/>
  <c r="AM181" i="1"/>
  <c r="AN181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2" i="1"/>
  <c r="AM182" i="1"/>
  <c r="AN182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3" i="1"/>
  <c r="AM183" i="1"/>
  <c r="AN183" i="1"/>
  <c r="K148" i="1"/>
  <c r="L148" i="1"/>
  <c r="M148" i="1"/>
  <c r="N148" i="1" s="1"/>
  <c r="V148" i="1"/>
  <c r="S27" i="3" s="1"/>
  <c r="Y148" i="1"/>
  <c r="Z148" i="1"/>
  <c r="AB148" i="1"/>
  <c r="AC148" i="1"/>
  <c r="AD148" i="1"/>
  <c r="T148" i="1" s="1"/>
  <c r="AE148" i="1"/>
  <c r="R27" i="3" s="1"/>
  <c r="AF148" i="1"/>
  <c r="AH184" i="1"/>
  <c r="AM184" i="1"/>
  <c r="AN184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5" i="1"/>
  <c r="AM185" i="1"/>
  <c r="AN185" i="1"/>
  <c r="K150" i="1"/>
  <c r="L150" i="1"/>
  <c r="M150" i="1"/>
  <c r="V150" i="1"/>
  <c r="Y150" i="1"/>
  <c r="Z150" i="1"/>
  <c r="AB150" i="1"/>
  <c r="AC150" i="1"/>
  <c r="AD150" i="1"/>
  <c r="T150" i="1" s="1"/>
  <c r="AE150" i="1"/>
  <c r="AF150" i="1"/>
  <c r="AH186" i="1"/>
  <c r="AM186" i="1"/>
  <c r="AN186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9" i="1"/>
  <c r="AM189" i="1"/>
  <c r="AN189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0" i="1"/>
  <c r="AM190" i="1"/>
  <c r="AN190" i="1"/>
  <c r="K155" i="1"/>
  <c r="L155" i="1"/>
  <c r="M155" i="1"/>
  <c r="V155" i="1"/>
  <c r="Y155" i="1"/>
  <c r="Z155" i="1"/>
  <c r="AB155" i="1"/>
  <c r="AC155" i="1"/>
  <c r="AD155" i="1"/>
  <c r="T155" i="1" s="1"/>
  <c r="AE155" i="1"/>
  <c r="AF155" i="1"/>
  <c r="AH191" i="1"/>
  <c r="AM191" i="1"/>
  <c r="AN191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2" i="1"/>
  <c r="AM192" i="1"/>
  <c r="AN19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3" i="1"/>
  <c r="AM193" i="1"/>
  <c r="AN19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5" i="1"/>
  <c r="AM195" i="1"/>
  <c r="AN195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6" i="1"/>
  <c r="AM196" i="1"/>
  <c r="AN196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7" i="1"/>
  <c r="AM197" i="1"/>
  <c r="AN197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8" i="1"/>
  <c r="AM198" i="1"/>
  <c r="AN198" i="1"/>
  <c r="K162" i="1"/>
  <c r="L162" i="1"/>
  <c r="M162" i="1"/>
  <c r="N162" i="1" s="1"/>
  <c r="V162" i="1"/>
  <c r="S28" i="3" s="1"/>
  <c r="Y162" i="1"/>
  <c r="Z162" i="1"/>
  <c r="AB162" i="1"/>
  <c r="AC162" i="1"/>
  <c r="AD162" i="1"/>
  <c r="T162" i="1" s="1"/>
  <c r="AE162" i="1"/>
  <c r="R28" i="3" s="1"/>
  <c r="AF162" i="1"/>
  <c r="AH199" i="1"/>
  <c r="AM199" i="1"/>
  <c r="AN19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00" i="1"/>
  <c r="AM200" i="1"/>
  <c r="AN200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01" i="1"/>
  <c r="AM201" i="1"/>
  <c r="AN20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2" i="1"/>
  <c r="AM202" i="1"/>
  <c r="AN202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203" i="1"/>
  <c r="AM203" i="1"/>
  <c r="AN203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204" i="1"/>
  <c r="AM204" i="1"/>
  <c r="AN204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205" i="1"/>
  <c r="AM205" i="1"/>
  <c r="AN205" i="1"/>
  <c r="K142" i="1"/>
  <c r="L142" i="1"/>
  <c r="M142" i="1"/>
  <c r="N142" i="1" s="1"/>
  <c r="V142" i="1"/>
  <c r="Y142" i="1"/>
  <c r="Z142" i="1"/>
  <c r="AA142" i="1" s="1"/>
  <c r="AB142" i="1"/>
  <c r="AC142" i="1"/>
  <c r="AD142" i="1"/>
  <c r="X142" i="1" s="1"/>
  <c r="AE142" i="1"/>
  <c r="AF142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11" i="1"/>
  <c r="AM211" i="1"/>
  <c r="AN21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2" i="1"/>
  <c r="AM212" i="1"/>
  <c r="AN21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3" i="1"/>
  <c r="AM213" i="1"/>
  <c r="AN21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4" i="1"/>
  <c r="AM214" i="1"/>
  <c r="AN21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5" i="1"/>
  <c r="AM215" i="1"/>
  <c r="AN215" i="1"/>
  <c r="K214" i="1"/>
  <c r="L214" i="1"/>
  <c r="M214" i="1"/>
  <c r="N214" i="1" s="1"/>
  <c r="V214" i="1"/>
  <c r="S41" i="3" s="1"/>
  <c r="Y214" i="1"/>
  <c r="Z214" i="1"/>
  <c r="AB214" i="1"/>
  <c r="AC214" i="1"/>
  <c r="AD214" i="1"/>
  <c r="T214" i="1" s="1"/>
  <c r="AE214" i="1"/>
  <c r="R41" i="3" s="1"/>
  <c r="AF214" i="1"/>
  <c r="AH216" i="1"/>
  <c r="AM216" i="1"/>
  <c r="AN21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7" i="1"/>
  <c r="AM217" i="1"/>
  <c r="AN217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218" i="1"/>
  <c r="AM218" i="1"/>
  <c r="AN21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6" i="1"/>
  <c r="AM226" i="1"/>
  <c r="AN226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27" i="1"/>
  <c r="AM227" i="1"/>
  <c r="AN227" i="1"/>
  <c r="M18" i="3"/>
  <c r="R18" i="3"/>
  <c r="S18" i="3"/>
  <c r="U18" i="3"/>
  <c r="T18" i="3" s="1"/>
  <c r="V18" i="3"/>
  <c r="X18" i="3"/>
  <c r="M12" i="3"/>
  <c r="R12" i="3"/>
  <c r="U12" i="3"/>
  <c r="AD12" i="3" s="1"/>
  <c r="V12" i="3"/>
  <c r="X12" i="3"/>
  <c r="M41" i="3"/>
  <c r="U41" i="3"/>
  <c r="AC41" i="3" s="1"/>
  <c r="V41" i="3"/>
  <c r="X41" i="3"/>
  <c r="M16" i="3"/>
  <c r="R16" i="3"/>
  <c r="S16" i="3"/>
  <c r="U16" i="3"/>
  <c r="T16" i="3" s="1"/>
  <c r="V16" i="3"/>
  <c r="X16" i="3"/>
  <c r="M13" i="3"/>
  <c r="R13" i="3"/>
  <c r="U13" i="3"/>
  <c r="T13" i="3" s="1"/>
  <c r="V13" i="3"/>
  <c r="X13" i="3"/>
  <c r="M30" i="3"/>
  <c r="R30" i="3"/>
  <c r="S30" i="3"/>
  <c r="U30" i="3"/>
  <c r="AC30" i="3" s="1"/>
  <c r="V30" i="3"/>
  <c r="X30" i="3"/>
  <c r="M19" i="3"/>
  <c r="S19" i="3"/>
  <c r="U19" i="3"/>
  <c r="AC19" i="3" s="1"/>
  <c r="V19" i="3"/>
  <c r="X19" i="3"/>
  <c r="M23" i="3"/>
  <c r="R23" i="3"/>
  <c r="S23" i="3"/>
  <c r="U23" i="3"/>
  <c r="T23" i="3" s="1"/>
  <c r="V23" i="3"/>
  <c r="X23" i="3"/>
  <c r="M22" i="3"/>
  <c r="R22" i="3"/>
  <c r="U22" i="3"/>
  <c r="T22" i="3" s="1"/>
  <c r="V22" i="3"/>
  <c r="X22" i="3"/>
  <c r="M7" i="3"/>
  <c r="R7" i="3"/>
  <c r="S7" i="3"/>
  <c r="U7" i="3"/>
  <c r="V7" i="3"/>
  <c r="X7" i="3"/>
  <c r="M14" i="3"/>
  <c r="S14" i="3"/>
  <c r="U14" i="3"/>
  <c r="AC14" i="3" s="1"/>
  <c r="V14" i="3"/>
  <c r="X14" i="3"/>
  <c r="M9" i="3"/>
  <c r="S9" i="3"/>
  <c r="U9" i="3"/>
  <c r="V9" i="3"/>
  <c r="X9" i="3"/>
  <c r="M10" i="3"/>
  <c r="R10" i="3"/>
  <c r="S10" i="3"/>
  <c r="U10" i="3"/>
  <c r="T10" i="3" s="1"/>
  <c r="V10" i="3"/>
  <c r="X10" i="3"/>
  <c r="M34" i="3"/>
  <c r="S34" i="3"/>
  <c r="U34" i="3"/>
  <c r="V34" i="3"/>
  <c r="X34" i="3"/>
  <c r="M24" i="3"/>
  <c r="R24" i="3"/>
  <c r="S24" i="3"/>
  <c r="U24" i="3"/>
  <c r="AC24" i="3" s="1"/>
  <c r="V24" i="3"/>
  <c r="X24" i="3"/>
  <c r="M37" i="3"/>
  <c r="U37" i="3"/>
  <c r="T37" i="3" s="1"/>
  <c r="V37" i="3"/>
  <c r="X37" i="3"/>
  <c r="M21" i="3"/>
  <c r="R21" i="3"/>
  <c r="S21" i="3"/>
  <c r="U21" i="3"/>
  <c r="T21" i="3" s="1"/>
  <c r="V21" i="3"/>
  <c r="X21" i="3"/>
  <c r="M33" i="3"/>
  <c r="U33" i="3"/>
  <c r="V33" i="3"/>
  <c r="X33" i="3"/>
  <c r="M17" i="3"/>
  <c r="R17" i="3"/>
  <c r="S17" i="3"/>
  <c r="U17" i="3"/>
  <c r="AC17" i="3" s="1"/>
  <c r="V17" i="3"/>
  <c r="X17" i="3"/>
  <c r="M31" i="3"/>
  <c r="R31" i="3"/>
  <c r="U31" i="3"/>
  <c r="T31" i="3" s="1"/>
  <c r="V31" i="3"/>
  <c r="X31" i="3"/>
  <c r="M35" i="3"/>
  <c r="R35" i="3"/>
  <c r="S35" i="3"/>
  <c r="U35" i="3"/>
  <c r="T35" i="3" s="1"/>
  <c r="V35" i="3"/>
  <c r="X35" i="3"/>
  <c r="M20" i="3"/>
  <c r="U20" i="3"/>
  <c r="V20" i="3"/>
  <c r="X20" i="3"/>
  <c r="M26" i="3"/>
  <c r="U26" i="3"/>
  <c r="AC26" i="3" s="1"/>
  <c r="V26" i="3"/>
  <c r="X26" i="3"/>
  <c r="M38" i="3"/>
  <c r="U38" i="3"/>
  <c r="AC38" i="3" s="1"/>
  <c r="V38" i="3"/>
  <c r="X38" i="3"/>
  <c r="M25" i="3"/>
  <c r="R25" i="3"/>
  <c r="S25" i="3"/>
  <c r="U25" i="3"/>
  <c r="T25" i="3" s="1"/>
  <c r="V25" i="3"/>
  <c r="X25" i="3"/>
  <c r="M11" i="3"/>
  <c r="S11" i="3"/>
  <c r="U11" i="3"/>
  <c r="V11" i="3"/>
  <c r="X11" i="3"/>
  <c r="M8" i="3"/>
  <c r="U8" i="3"/>
  <c r="AC8" i="3" s="1"/>
  <c r="V8" i="3"/>
  <c r="X8" i="3"/>
  <c r="M27" i="3"/>
  <c r="U27" i="3"/>
  <c r="AD27" i="3" s="1"/>
  <c r="V27" i="3"/>
  <c r="X27" i="3"/>
  <c r="M32" i="3"/>
  <c r="R32" i="3"/>
  <c r="U32" i="3"/>
  <c r="T32" i="3" s="1"/>
  <c r="V32" i="3"/>
  <c r="X32" i="3"/>
  <c r="M36" i="3"/>
  <c r="R36" i="3"/>
  <c r="U36" i="3"/>
  <c r="V36" i="3"/>
  <c r="X36" i="3"/>
  <c r="M39" i="3"/>
  <c r="U39" i="3"/>
  <c r="AC39" i="3" s="1"/>
  <c r="V39" i="3"/>
  <c r="X39" i="3"/>
  <c r="M40" i="3"/>
  <c r="R40" i="3"/>
  <c r="U40" i="3"/>
  <c r="T40" i="3" s="1"/>
  <c r="V40" i="3"/>
  <c r="X40" i="3"/>
  <c r="AD39" i="3"/>
  <c r="M15" i="3"/>
  <c r="S15" i="3"/>
  <c r="U15" i="3"/>
  <c r="T15" i="3" s="1"/>
  <c r="V15" i="3"/>
  <c r="X15" i="3"/>
  <c r="M28" i="3"/>
  <c r="U28" i="3"/>
  <c r="V28" i="3"/>
  <c r="X28" i="3"/>
  <c r="M29" i="3"/>
  <c r="U29" i="3"/>
  <c r="AC29" i="3" s="1"/>
  <c r="V29" i="3"/>
  <c r="X29" i="3"/>
  <c r="AG194" i="1"/>
  <c r="AG20" i="1"/>
  <c r="AG36" i="1"/>
  <c r="AG52" i="1"/>
  <c r="AG27" i="1"/>
  <c r="AG43" i="1"/>
  <c r="AG18" i="1"/>
  <c r="AG34" i="1"/>
  <c r="AG50" i="1"/>
  <c r="AG25" i="1"/>
  <c r="AG41" i="1"/>
  <c r="AG60" i="1"/>
  <c r="AG76" i="1"/>
  <c r="AG55" i="1"/>
  <c r="AG71" i="1"/>
  <c r="AG58" i="1"/>
  <c r="AG74" i="1"/>
  <c r="AG57" i="1"/>
  <c r="AG73" i="1"/>
  <c r="AG87" i="1"/>
  <c r="AG172" i="1"/>
  <c r="AG187" i="1"/>
  <c r="AG201" i="1"/>
  <c r="AG167" i="1"/>
  <c r="AG182" i="1"/>
  <c r="AG197" i="1"/>
  <c r="AG166" i="1"/>
  <c r="AG181" i="1"/>
  <c r="AG196" i="1"/>
  <c r="AG90" i="1"/>
  <c r="AG176" i="1"/>
  <c r="AG190" i="1"/>
  <c r="AG100" i="1"/>
  <c r="AG116" i="1"/>
  <c r="AG132" i="1"/>
  <c r="AG107" i="1"/>
  <c r="AG123" i="1"/>
  <c r="AG143" i="1"/>
  <c r="AG110" i="1"/>
  <c r="AG126" i="1"/>
  <c r="AG146" i="1"/>
  <c r="AG219" i="1"/>
  <c r="AG121" i="1"/>
  <c r="AG140" i="1"/>
  <c r="AG156" i="1"/>
  <c r="AG207" i="1"/>
  <c r="AG225" i="1"/>
  <c r="AG159" i="1"/>
  <c r="AG210" i="1"/>
  <c r="AG154" i="1"/>
  <c r="AG205" i="1"/>
  <c r="AG223" i="1"/>
  <c r="AG165" i="1"/>
  <c r="AG216" i="1"/>
  <c r="AG175" i="1"/>
  <c r="AG203" i="1"/>
  <c r="AG98" i="1"/>
  <c r="AG144" i="1"/>
  <c r="AG104" i="1"/>
  <c r="AG102" i="1"/>
  <c r="AG24" i="1"/>
  <c r="AG40" i="1"/>
  <c r="AG15" i="1"/>
  <c r="AG31" i="1"/>
  <c r="AG47" i="1"/>
  <c r="AG22" i="1"/>
  <c r="AG38" i="1"/>
  <c r="AG54" i="1"/>
  <c r="AG29" i="1"/>
  <c r="AG45" i="1"/>
  <c r="AG64" i="1"/>
  <c r="AG80" i="1"/>
  <c r="AG59" i="1"/>
  <c r="AG75" i="1"/>
  <c r="AG62" i="1"/>
  <c r="AG78" i="1"/>
  <c r="AG61" i="1"/>
  <c r="AG77" i="1"/>
  <c r="AG89" i="1"/>
  <c r="AG95" i="1"/>
  <c r="AG189" i="1"/>
  <c r="AG99" i="1"/>
  <c r="AG171" i="1"/>
  <c r="AG186" i="1"/>
  <c r="AG200" i="1"/>
  <c r="AG170" i="1"/>
  <c r="AG185" i="1"/>
  <c r="AG199" i="1"/>
  <c r="AG94" i="1"/>
  <c r="AG180" i="1"/>
  <c r="AG195" i="1"/>
  <c r="AG218" i="1"/>
  <c r="AG120" i="1"/>
  <c r="AG137" i="1"/>
  <c r="AG111" i="1"/>
  <c r="AG127" i="1"/>
  <c r="AG147" i="1"/>
  <c r="AG114" i="1"/>
  <c r="AG130" i="1"/>
  <c r="AG150" i="1"/>
  <c r="AG109" i="1"/>
  <c r="AG125" i="1"/>
  <c r="AG145" i="1"/>
  <c r="AG160" i="1"/>
  <c r="AG211" i="1"/>
  <c r="AG148" i="1"/>
  <c r="AG163" i="1"/>
  <c r="AG214" i="1"/>
  <c r="AG158" i="1"/>
  <c r="AG209" i="1"/>
  <c r="AG153" i="1"/>
  <c r="AG142" i="1"/>
  <c r="AG222" i="1"/>
  <c r="AG28" i="1"/>
  <c r="AG19" i="1"/>
  <c r="AG35" i="1"/>
  <c r="AG26" i="1"/>
  <c r="AG17" i="1"/>
  <c r="AG49" i="1"/>
  <c r="AG84" i="1"/>
  <c r="AG63" i="1"/>
  <c r="AG66" i="1"/>
  <c r="AG65" i="1"/>
  <c r="AG179" i="1"/>
  <c r="AG88" i="1"/>
  <c r="AG204" i="1"/>
  <c r="AG96" i="1"/>
  <c r="AG184" i="1"/>
  <c r="AG124" i="1"/>
  <c r="AG131" i="1"/>
  <c r="AG44" i="1"/>
  <c r="AG51" i="1"/>
  <c r="AG42" i="1"/>
  <c r="AG33" i="1"/>
  <c r="AG68" i="1"/>
  <c r="AG79" i="1"/>
  <c r="AG82" i="1"/>
  <c r="AG81" i="1"/>
  <c r="AG93" i="1"/>
  <c r="AG193" i="1"/>
  <c r="AG97" i="1"/>
  <c r="AG174" i="1"/>
  <c r="AG169" i="1"/>
  <c r="AG108" i="1"/>
  <c r="AG115" i="1"/>
  <c r="AG118" i="1"/>
  <c r="AG48" i="1"/>
  <c r="AG30" i="1"/>
  <c r="AG56" i="1"/>
  <c r="AG83" i="1"/>
  <c r="AG85" i="1"/>
  <c r="AG92" i="1"/>
  <c r="AG177" i="1"/>
  <c r="AG188" i="1"/>
  <c r="AG105" i="1"/>
  <c r="AG122" i="1"/>
  <c r="AG113" i="1"/>
  <c r="AG149" i="1"/>
  <c r="AG215" i="1"/>
  <c r="AG139" i="1"/>
  <c r="AG162" i="1"/>
  <c r="AG157" i="1"/>
  <c r="AG226" i="1"/>
  <c r="AG206" i="1"/>
  <c r="AG161" i="1"/>
  <c r="AG16" i="1"/>
  <c r="AG39" i="1"/>
  <c r="AG21" i="1"/>
  <c r="AG53" i="1"/>
  <c r="AG86" i="1"/>
  <c r="AG183" i="1"/>
  <c r="AG101" i="1"/>
  <c r="AG112" i="1"/>
  <c r="AG136" i="1"/>
  <c r="AG129" i="1"/>
  <c r="AG164" i="1"/>
  <c r="AG220" i="1"/>
  <c r="AG208" i="1"/>
  <c r="AG23" i="1"/>
  <c r="AG46" i="1"/>
  <c r="AG72" i="1"/>
  <c r="AG70" i="1"/>
  <c r="AG168" i="1"/>
  <c r="AG178" i="1"/>
  <c r="AG191" i="1"/>
  <c r="AG202" i="1"/>
  <c r="AG119" i="1"/>
  <c r="AG134" i="1"/>
  <c r="AG117" i="1"/>
  <c r="AG152" i="1"/>
  <c r="AG221" i="1"/>
  <c r="AG135" i="1"/>
  <c r="AG227" i="1"/>
  <c r="AG32" i="1"/>
  <c r="AG14" i="1"/>
  <c r="AG37" i="1"/>
  <c r="AG67" i="1"/>
  <c r="AG69" i="1"/>
  <c r="AG198" i="1"/>
  <c r="AG91" i="1"/>
  <c r="AG173" i="1"/>
  <c r="AG128" i="1"/>
  <c r="AG106" i="1"/>
  <c r="AG103" i="1"/>
  <c r="AG133" i="1"/>
  <c r="AG138" i="1"/>
  <c r="AG155" i="1"/>
  <c r="AG224" i="1"/>
  <c r="AG217" i="1"/>
  <c r="AG212" i="1"/>
  <c r="AG192" i="1"/>
  <c r="AG141" i="1"/>
  <c r="AG151" i="1"/>
  <c r="AG213" i="1"/>
  <c r="W12" i="3"/>
  <c r="W33" i="3"/>
  <c r="W28" i="3"/>
  <c r="W31" i="3"/>
  <c r="W41" i="3"/>
  <c r="W17" i="3"/>
  <c r="W23" i="3"/>
  <c r="W15" i="3"/>
  <c r="W10" i="3"/>
  <c r="W30" i="3"/>
  <c r="W20" i="3"/>
  <c r="W26" i="3"/>
  <c r="W38" i="3"/>
  <c r="W19" i="3"/>
  <c r="W39" i="3"/>
  <c r="W9" i="3"/>
  <c r="W18" i="3"/>
  <c r="W21" i="3"/>
  <c r="W27" i="3"/>
  <c r="W35" i="3"/>
  <c r="W32" i="3"/>
  <c r="W34" i="3"/>
  <c r="W36" i="3"/>
  <c r="W37" i="3"/>
  <c r="W40" i="3"/>
  <c r="W24" i="3"/>
  <c r="W16" i="3"/>
  <c r="W25" i="3"/>
  <c r="W22" i="3"/>
  <c r="W7" i="3"/>
  <c r="W11" i="3"/>
  <c r="W8" i="3"/>
  <c r="W14" i="3"/>
  <c r="W29" i="3"/>
  <c r="W13" i="3"/>
  <c r="X141" i="1" l="1"/>
  <c r="X137" i="1"/>
  <c r="X143" i="1"/>
  <c r="X139" i="1"/>
  <c r="X135" i="1"/>
  <c r="AD35" i="3"/>
  <c r="X138" i="1"/>
  <c r="AI194" i="1"/>
  <c r="U194" i="1"/>
  <c r="S194" i="1" s="1"/>
  <c r="W194" i="1"/>
  <c r="S39" i="3"/>
  <c r="AA114" i="1"/>
  <c r="AA57" i="1"/>
  <c r="X227" i="1"/>
  <c r="X209" i="1"/>
  <c r="AA138" i="1"/>
  <c r="AA174" i="1"/>
  <c r="X45" i="1"/>
  <c r="X44" i="1"/>
  <c r="X106" i="1"/>
  <c r="X105" i="1"/>
  <c r="X100" i="1"/>
  <c r="X203" i="1"/>
  <c r="AA77" i="1"/>
  <c r="AA73" i="1"/>
  <c r="AA159" i="1"/>
  <c r="AA153" i="1"/>
  <c r="AA143" i="1"/>
  <c r="AA117" i="1"/>
  <c r="AA219" i="1"/>
  <c r="AA84" i="1"/>
  <c r="X63" i="1"/>
  <c r="AA51" i="1"/>
  <c r="X37" i="1"/>
  <c r="T33" i="1"/>
  <c r="AA156" i="1"/>
  <c r="AA150" i="1"/>
  <c r="X191" i="1"/>
  <c r="AA93" i="1"/>
  <c r="AA89" i="1"/>
  <c r="AA68" i="1"/>
  <c r="AA66" i="1"/>
  <c r="X126" i="1"/>
  <c r="AA187" i="1"/>
  <c r="X79" i="1"/>
  <c r="X78" i="1"/>
  <c r="AA28" i="1"/>
  <c r="R15" i="3"/>
  <c r="T209" i="1"/>
  <c r="X130" i="1"/>
  <c r="AA109" i="1"/>
  <c r="AA189" i="1"/>
  <c r="AA221" i="1"/>
  <c r="AA215" i="1"/>
  <c r="AA211" i="1"/>
  <c r="AA209" i="1"/>
  <c r="AA149" i="1"/>
  <c r="AA125" i="1"/>
  <c r="AA110" i="1"/>
  <c r="AA192" i="1"/>
  <c r="AA190" i="1"/>
  <c r="AA179" i="1"/>
  <c r="X94" i="1"/>
  <c r="T63" i="1"/>
  <c r="AA43" i="1"/>
  <c r="X41" i="1"/>
  <c r="AA39" i="1"/>
  <c r="X28" i="1"/>
  <c r="T25" i="1"/>
  <c r="X19" i="1"/>
  <c r="AA14" i="1"/>
  <c r="R29" i="3"/>
  <c r="AD41" i="3"/>
  <c r="AA108" i="1"/>
  <c r="AA106" i="1"/>
  <c r="X177" i="1"/>
  <c r="AA168" i="1"/>
  <c r="AA92" i="1"/>
  <c r="AA76" i="1"/>
  <c r="AA74" i="1"/>
  <c r="AA35" i="1"/>
  <c r="X29" i="1"/>
  <c r="AA134" i="1"/>
  <c r="AA130" i="1"/>
  <c r="T130" i="1"/>
  <c r="AA129" i="1"/>
  <c r="AA118" i="1"/>
  <c r="AA204" i="1"/>
  <c r="AA201" i="1"/>
  <c r="AA98" i="1"/>
  <c r="AA182" i="1"/>
  <c r="AA180" i="1"/>
  <c r="AA70" i="1"/>
  <c r="AA60" i="1"/>
  <c r="AA58" i="1"/>
  <c r="T41" i="1"/>
  <c r="AA31" i="1"/>
  <c r="AA23" i="1"/>
  <c r="AA15" i="1"/>
  <c r="AD31" i="3"/>
  <c r="AC13" i="3"/>
  <c r="AA226" i="1"/>
  <c r="AA208" i="1"/>
  <c r="X151" i="1"/>
  <c r="AA172" i="1"/>
  <c r="X91" i="1"/>
  <c r="X86" i="1"/>
  <c r="AA82" i="1"/>
  <c r="X208" i="1"/>
  <c r="AA139" i="1"/>
  <c r="AA161" i="1"/>
  <c r="AA157" i="1"/>
  <c r="AA133" i="1"/>
  <c r="AA101" i="1"/>
  <c r="X202" i="1"/>
  <c r="AA97" i="1"/>
  <c r="AA188" i="1"/>
  <c r="X185" i="1"/>
  <c r="AA183" i="1"/>
  <c r="X173" i="1"/>
  <c r="AA61" i="1"/>
  <c r="AA47" i="1"/>
  <c r="X40" i="1"/>
  <c r="AA19" i="1"/>
  <c r="AE23" i="3"/>
  <c r="X226" i="1"/>
  <c r="X222" i="1"/>
  <c r="AA207" i="1"/>
  <c r="AA148" i="1"/>
  <c r="X147" i="1"/>
  <c r="X110" i="1"/>
  <c r="AA195" i="1"/>
  <c r="AA186" i="1"/>
  <c r="AA184" i="1"/>
  <c r="AA95" i="1"/>
  <c r="AA171" i="1"/>
  <c r="AA169" i="1"/>
  <c r="AA94" i="1"/>
  <c r="AA86" i="1"/>
  <c r="AA85" i="1"/>
  <c r="X75" i="1"/>
  <c r="X71" i="1"/>
  <c r="AA69" i="1"/>
  <c r="X66" i="1"/>
  <c r="X62" i="1"/>
  <c r="X53" i="1"/>
  <c r="AA53" i="1"/>
  <c r="X48" i="1"/>
  <c r="X36" i="1"/>
  <c r="T29" i="1"/>
  <c r="AA24" i="1"/>
  <c r="AA20" i="1"/>
  <c r="X16" i="1"/>
  <c r="AD21" i="3"/>
  <c r="AD40" i="3"/>
  <c r="AC40" i="3"/>
  <c r="AD37" i="3"/>
  <c r="AD36" i="3"/>
  <c r="S32" i="3"/>
  <c r="AC21" i="3"/>
  <c r="AD23" i="3"/>
  <c r="AE19" i="3"/>
  <c r="AD17" i="3"/>
  <c r="AD16" i="3"/>
  <c r="AC23" i="3"/>
  <c r="AC36" i="3"/>
  <c r="AD33" i="3"/>
  <c r="AC25" i="3"/>
  <c r="AD19" i="3"/>
  <c r="AC22" i="3"/>
  <c r="X174" i="1"/>
  <c r="X82" i="1"/>
  <c r="X23" i="1"/>
  <c r="X20" i="1"/>
  <c r="S29" i="3"/>
  <c r="AA227" i="1"/>
  <c r="T227" i="1"/>
  <c r="AA225" i="1"/>
  <c r="AA220" i="1"/>
  <c r="X217" i="1"/>
  <c r="X212" i="1"/>
  <c r="AA164" i="1"/>
  <c r="X158" i="1"/>
  <c r="AA146" i="1"/>
  <c r="AA141" i="1"/>
  <c r="AA131" i="1"/>
  <c r="AA126" i="1"/>
  <c r="X122" i="1"/>
  <c r="AA120" i="1"/>
  <c r="X119" i="1"/>
  <c r="AA113" i="1"/>
  <c r="AA105" i="1"/>
  <c r="AA103" i="1"/>
  <c r="AA203" i="1"/>
  <c r="X196" i="1"/>
  <c r="AA191" i="1"/>
  <c r="X188" i="1"/>
  <c r="AA185" i="1"/>
  <c r="X180" i="1"/>
  <c r="AA177" i="1"/>
  <c r="AA175" i="1"/>
  <c r="AA173" i="1"/>
  <c r="AA90" i="1"/>
  <c r="AA83" i="1"/>
  <c r="AA81" i="1"/>
  <c r="AA75" i="1"/>
  <c r="T71" i="1"/>
  <c r="AA62" i="1"/>
  <c r="X55" i="1"/>
  <c r="AA48" i="1"/>
  <c r="AA40" i="1"/>
  <c r="AA32" i="1"/>
  <c r="AA22" i="1"/>
  <c r="AA21" i="1"/>
  <c r="X213" i="1"/>
  <c r="X161" i="1"/>
  <c r="X123" i="1"/>
  <c r="X118" i="1"/>
  <c r="T100" i="1"/>
  <c r="X223" i="1"/>
  <c r="AA222" i="1"/>
  <c r="X216" i="1"/>
  <c r="AA212" i="1"/>
  <c r="AA165" i="1"/>
  <c r="X162" i="1"/>
  <c r="AA158" i="1"/>
  <c r="AA155" i="1"/>
  <c r="AA147" i="1"/>
  <c r="AA124" i="1"/>
  <c r="AA122" i="1"/>
  <c r="AA121" i="1"/>
  <c r="T119" i="1"/>
  <c r="U119" i="1" s="1"/>
  <c r="S119" i="1" s="1"/>
  <c r="X114" i="1"/>
  <c r="AA112" i="1"/>
  <c r="X111" i="1"/>
  <c r="X107" i="1"/>
  <c r="AA107" i="1"/>
  <c r="T106" i="1"/>
  <c r="AA100" i="1"/>
  <c r="AA99" i="1"/>
  <c r="AA202" i="1"/>
  <c r="X98" i="1"/>
  <c r="T196" i="1"/>
  <c r="X190" i="1"/>
  <c r="X96" i="1"/>
  <c r="AA96" i="1"/>
  <c r="X184" i="1"/>
  <c r="X181" i="1"/>
  <c r="AA181" i="1"/>
  <c r="X176" i="1"/>
  <c r="X170" i="1"/>
  <c r="AA170" i="1"/>
  <c r="AA166" i="1"/>
  <c r="AA87" i="1"/>
  <c r="AA78" i="1"/>
  <c r="X74" i="1"/>
  <c r="AA67" i="1"/>
  <c r="AA65" i="1"/>
  <c r="X59" i="1"/>
  <c r="AA59" i="1"/>
  <c r="AA54" i="1"/>
  <c r="AA44" i="1"/>
  <c r="AA36" i="1"/>
  <c r="AA27" i="1"/>
  <c r="AA223" i="1"/>
  <c r="T223" i="1"/>
  <c r="T216" i="1"/>
  <c r="U216" i="1" s="1"/>
  <c r="S216" i="1" s="1"/>
  <c r="AA214" i="1"/>
  <c r="AA205" i="1"/>
  <c r="T205" i="1"/>
  <c r="T165" i="1"/>
  <c r="U165" i="1" s="1"/>
  <c r="S165" i="1" s="1"/>
  <c r="AA163" i="1"/>
  <c r="X159" i="1"/>
  <c r="X155" i="1"/>
  <c r="X154" i="1"/>
  <c r="T143" i="1"/>
  <c r="AA140" i="1"/>
  <c r="AA132" i="1"/>
  <c r="X131" i="1"/>
  <c r="AA123" i="1"/>
  <c r="T107" i="1"/>
  <c r="X104" i="1"/>
  <c r="T102" i="1"/>
  <c r="U102" i="1" s="1"/>
  <c r="S102" i="1" s="1"/>
  <c r="X102" i="1"/>
  <c r="T142" i="1"/>
  <c r="T134" i="1"/>
  <c r="U134" i="1" s="1"/>
  <c r="S134" i="1" s="1"/>
  <c r="T126" i="1"/>
  <c r="T222" i="1"/>
  <c r="AA224" i="1"/>
  <c r="AA213" i="1"/>
  <c r="AA206" i="1"/>
  <c r="AA162" i="1"/>
  <c r="AA154" i="1"/>
  <c r="AA152" i="1"/>
  <c r="AA151" i="1"/>
  <c r="X150" i="1"/>
  <c r="AA144" i="1"/>
  <c r="AA136" i="1"/>
  <c r="X127" i="1"/>
  <c r="AA127" i="1"/>
  <c r="X101" i="1"/>
  <c r="T101" i="1"/>
  <c r="AA217" i="1"/>
  <c r="AA210" i="1"/>
  <c r="AA135" i="1"/>
  <c r="AA160" i="1"/>
  <c r="AA145" i="1"/>
  <c r="T123" i="1"/>
  <c r="AA119" i="1"/>
  <c r="X115" i="1"/>
  <c r="AA115" i="1"/>
  <c r="AA104" i="1"/>
  <c r="AA218" i="1"/>
  <c r="T104" i="1"/>
  <c r="AA102" i="1"/>
  <c r="T202" i="1"/>
  <c r="AA200" i="1"/>
  <c r="X199" i="1"/>
  <c r="AA198" i="1"/>
  <c r="T191" i="1"/>
  <c r="T96" i="1"/>
  <c r="T185" i="1"/>
  <c r="T181" i="1"/>
  <c r="T177" i="1"/>
  <c r="T174" i="1"/>
  <c r="T170" i="1"/>
  <c r="T166" i="1"/>
  <c r="AA91" i="1"/>
  <c r="X87" i="1"/>
  <c r="X83" i="1"/>
  <c r="AA80" i="1"/>
  <c r="AA79" i="1"/>
  <c r="T75" i="1"/>
  <c r="X70" i="1"/>
  <c r="X67" i="1"/>
  <c r="AA64" i="1"/>
  <c r="AA63" i="1"/>
  <c r="T59" i="1"/>
  <c r="T53" i="1"/>
  <c r="AA52" i="1"/>
  <c r="T52" i="1"/>
  <c r="AA50" i="1"/>
  <c r="AA49" i="1"/>
  <c r="AA46" i="1"/>
  <c r="AA45" i="1"/>
  <c r="AA42" i="1"/>
  <c r="AA41" i="1"/>
  <c r="AA38" i="1"/>
  <c r="AA37" i="1"/>
  <c r="AA34" i="1"/>
  <c r="AA33" i="1"/>
  <c r="X24" i="1"/>
  <c r="X21" i="1"/>
  <c r="T19" i="1"/>
  <c r="AA18" i="1"/>
  <c r="T16" i="1"/>
  <c r="T190" i="1"/>
  <c r="T188" i="1"/>
  <c r="T184" i="1"/>
  <c r="T180" i="1"/>
  <c r="T176" i="1"/>
  <c r="T173" i="1"/>
  <c r="T169" i="1"/>
  <c r="T94" i="1"/>
  <c r="T74" i="1"/>
  <c r="T58" i="1"/>
  <c r="T15" i="1"/>
  <c r="AA111" i="1"/>
  <c r="AA196" i="1"/>
  <c r="AA167" i="1"/>
  <c r="X90" i="1"/>
  <c r="AA72" i="1"/>
  <c r="AA71" i="1"/>
  <c r="AA56" i="1"/>
  <c r="AA55" i="1"/>
  <c r="X32" i="1"/>
  <c r="AA26" i="1"/>
  <c r="AA25" i="1"/>
  <c r="AA137" i="1"/>
  <c r="AA128" i="1"/>
  <c r="AA199" i="1"/>
  <c r="AA197" i="1"/>
  <c r="AA193" i="1"/>
  <c r="AA30" i="1"/>
  <c r="AA29" i="1"/>
  <c r="AI227" i="1"/>
  <c r="U227" i="1"/>
  <c r="S227" i="1" s="1"/>
  <c r="U226" i="1"/>
  <c r="S226" i="1" s="1"/>
  <c r="AI226" i="1"/>
  <c r="AI222" i="1"/>
  <c r="U222" i="1"/>
  <c r="S222" i="1" s="1"/>
  <c r="AI218" i="1"/>
  <c r="AI214" i="1"/>
  <c r="U212" i="1"/>
  <c r="S212" i="1" s="1"/>
  <c r="AI210" i="1"/>
  <c r="U208" i="1"/>
  <c r="S208" i="1" s="1"/>
  <c r="AI206" i="1"/>
  <c r="U142" i="1"/>
  <c r="S142" i="1" s="1"/>
  <c r="AI202" i="1"/>
  <c r="AI198" i="1"/>
  <c r="U161" i="1"/>
  <c r="S161" i="1" s="1"/>
  <c r="AI193" i="1"/>
  <c r="U157" i="1"/>
  <c r="S157" i="1" s="1"/>
  <c r="AI189" i="1"/>
  <c r="U153" i="1"/>
  <c r="S153" i="1" s="1"/>
  <c r="AI223" i="1"/>
  <c r="U223" i="1"/>
  <c r="S223" i="1" s="1"/>
  <c r="AI219" i="1"/>
  <c r="U217" i="1"/>
  <c r="S217" i="1" s="1"/>
  <c r="AI215" i="1"/>
  <c r="U213" i="1"/>
  <c r="S213" i="1" s="1"/>
  <c r="AI211" i="1"/>
  <c r="U209" i="1"/>
  <c r="S209" i="1" s="1"/>
  <c r="AI207" i="1"/>
  <c r="U205" i="1"/>
  <c r="S205" i="1" s="1"/>
  <c r="AI203" i="1"/>
  <c r="U135" i="1"/>
  <c r="S135" i="1" s="1"/>
  <c r="AI199" i="1"/>
  <c r="U162" i="1"/>
  <c r="S162" i="1" s="1"/>
  <c r="AI195" i="1"/>
  <c r="U158" i="1"/>
  <c r="S158" i="1" s="1"/>
  <c r="AI190" i="1"/>
  <c r="U154" i="1"/>
  <c r="S154" i="1" s="1"/>
  <c r="U224" i="1"/>
  <c r="S224" i="1" s="1"/>
  <c r="AI224" i="1"/>
  <c r="U220" i="1"/>
  <c r="S220" i="1" s="1"/>
  <c r="AI220" i="1"/>
  <c r="U214" i="1"/>
  <c r="S214" i="1" s="1"/>
  <c r="AI216" i="1"/>
  <c r="U210" i="1"/>
  <c r="S210" i="1" s="1"/>
  <c r="AI212" i="1"/>
  <c r="U206" i="1"/>
  <c r="S206" i="1" s="1"/>
  <c r="AI208" i="1"/>
  <c r="U139" i="1"/>
  <c r="S139" i="1" s="1"/>
  <c r="AI204" i="1"/>
  <c r="U163" i="1"/>
  <c r="S163" i="1" s="1"/>
  <c r="AI200" i="1"/>
  <c r="U159" i="1"/>
  <c r="S159" i="1" s="1"/>
  <c r="AI196" i="1"/>
  <c r="U155" i="1"/>
  <c r="AI191" i="1"/>
  <c r="U151" i="1"/>
  <c r="S151" i="1" s="1"/>
  <c r="AI187" i="1"/>
  <c r="AI184" i="1"/>
  <c r="U148" i="1"/>
  <c r="S148" i="1" s="1"/>
  <c r="U225" i="1"/>
  <c r="S225" i="1" s="1"/>
  <c r="AI225" i="1"/>
  <c r="U221" i="1"/>
  <c r="S221" i="1" s="1"/>
  <c r="AI221" i="1"/>
  <c r="U215" i="1"/>
  <c r="S215" i="1" s="1"/>
  <c r="AI217" i="1"/>
  <c r="U211" i="1"/>
  <c r="S211" i="1" s="1"/>
  <c r="AI213" i="1"/>
  <c r="U207" i="1"/>
  <c r="S207" i="1" s="1"/>
  <c r="AI209" i="1"/>
  <c r="U138" i="1"/>
  <c r="S138" i="1" s="1"/>
  <c r="AI205" i="1"/>
  <c r="U164" i="1"/>
  <c r="S164" i="1" s="1"/>
  <c r="AI201" i="1"/>
  <c r="U160" i="1"/>
  <c r="S160" i="1" s="1"/>
  <c r="AI197" i="1"/>
  <c r="U156" i="1"/>
  <c r="S156" i="1" s="1"/>
  <c r="AI192" i="1"/>
  <c r="U152" i="1"/>
  <c r="S152" i="1" s="1"/>
  <c r="AI188" i="1"/>
  <c r="AI185" i="1"/>
  <c r="AI181" i="1"/>
  <c r="AI177" i="1"/>
  <c r="AI173" i="1"/>
  <c r="U133" i="1"/>
  <c r="S133" i="1" s="1"/>
  <c r="AI169" i="1"/>
  <c r="U129" i="1"/>
  <c r="S129" i="1" s="1"/>
  <c r="AI142" i="1"/>
  <c r="U125" i="1"/>
  <c r="S125" i="1" s="1"/>
  <c r="AI165" i="1"/>
  <c r="U121" i="1"/>
  <c r="S121" i="1" s="1"/>
  <c r="AI161" i="1"/>
  <c r="U117" i="1"/>
  <c r="S117" i="1" s="1"/>
  <c r="AI157" i="1"/>
  <c r="U113" i="1"/>
  <c r="S113" i="1" s="1"/>
  <c r="AI153" i="1"/>
  <c r="U109" i="1"/>
  <c r="S109" i="1" s="1"/>
  <c r="AI149" i="1"/>
  <c r="U219" i="1"/>
  <c r="S219" i="1" s="1"/>
  <c r="AI145" i="1"/>
  <c r="AI144" i="1"/>
  <c r="U150" i="1"/>
  <c r="AI186" i="1"/>
  <c r="AI182" i="1"/>
  <c r="U146" i="1"/>
  <c r="S146" i="1" s="1"/>
  <c r="AI178" i="1"/>
  <c r="U141" i="1"/>
  <c r="S141" i="1" s="1"/>
  <c r="AI174" i="1"/>
  <c r="AI170" i="1"/>
  <c r="U130" i="1"/>
  <c r="S130" i="1" s="1"/>
  <c r="AI166" i="1"/>
  <c r="U126" i="1"/>
  <c r="S126" i="1" s="1"/>
  <c r="AI135" i="1"/>
  <c r="U122" i="1"/>
  <c r="S122" i="1" s="1"/>
  <c r="AI162" i="1"/>
  <c r="U118" i="1"/>
  <c r="S118" i="1" s="1"/>
  <c r="AI158" i="1"/>
  <c r="U114" i="1"/>
  <c r="S114" i="1" s="1"/>
  <c r="AI154" i="1"/>
  <c r="U110" i="1"/>
  <c r="S110" i="1" s="1"/>
  <c r="AI150" i="1"/>
  <c r="U106" i="1"/>
  <c r="S106" i="1" s="1"/>
  <c r="AI146" i="1"/>
  <c r="U104" i="1"/>
  <c r="S104" i="1" s="1"/>
  <c r="U147" i="1"/>
  <c r="S147" i="1" s="1"/>
  <c r="AI183" i="1"/>
  <c r="U143" i="1"/>
  <c r="S143" i="1" s="1"/>
  <c r="AI179" i="1"/>
  <c r="U136" i="1"/>
  <c r="S136" i="1" s="1"/>
  <c r="AI175" i="1"/>
  <c r="U131" i="1"/>
  <c r="S131" i="1" s="1"/>
  <c r="AI171" i="1"/>
  <c r="U127" i="1"/>
  <c r="S127" i="1" s="1"/>
  <c r="AI167" i="1"/>
  <c r="U123" i="1"/>
  <c r="S123" i="1" s="1"/>
  <c r="AI139" i="1"/>
  <c r="AI163" i="1"/>
  <c r="U115" i="1"/>
  <c r="S115" i="1" s="1"/>
  <c r="AI159" i="1"/>
  <c r="U111" i="1"/>
  <c r="S111" i="1" s="1"/>
  <c r="AI155" i="1"/>
  <c r="U107" i="1"/>
  <c r="S107" i="1" s="1"/>
  <c r="AI151" i="1"/>
  <c r="U105" i="1"/>
  <c r="S105" i="1" s="1"/>
  <c r="AI147" i="1"/>
  <c r="U144" i="1"/>
  <c r="S144" i="1" s="1"/>
  <c r="AI180" i="1"/>
  <c r="U137" i="1"/>
  <c r="S137" i="1" s="1"/>
  <c r="AI176" i="1"/>
  <c r="U132" i="1"/>
  <c r="S132" i="1" s="1"/>
  <c r="AI172" i="1"/>
  <c r="U128" i="1"/>
  <c r="S128" i="1" s="1"/>
  <c r="AI168" i="1"/>
  <c r="U124" i="1"/>
  <c r="S124" i="1" s="1"/>
  <c r="AI138" i="1"/>
  <c r="U120" i="1"/>
  <c r="S120" i="1" s="1"/>
  <c r="AI164" i="1"/>
  <c r="U116" i="1"/>
  <c r="S116" i="1" s="1"/>
  <c r="AI160" i="1"/>
  <c r="U112" i="1"/>
  <c r="S112" i="1" s="1"/>
  <c r="AI156" i="1"/>
  <c r="U108" i="1"/>
  <c r="S108" i="1" s="1"/>
  <c r="AI152" i="1"/>
  <c r="U218" i="1"/>
  <c r="S218" i="1" s="1"/>
  <c r="AI148" i="1"/>
  <c r="U100" i="1"/>
  <c r="S100" i="1" s="1"/>
  <c r="AI141" i="1"/>
  <c r="AI134" i="1"/>
  <c r="U202" i="1"/>
  <c r="S202" i="1" s="1"/>
  <c r="AI130" i="1"/>
  <c r="U98" i="1"/>
  <c r="S98" i="1" s="1"/>
  <c r="AI126" i="1"/>
  <c r="U195" i="1"/>
  <c r="S195" i="1" s="1"/>
  <c r="AI122" i="1"/>
  <c r="U190" i="1"/>
  <c r="S190" i="1" s="1"/>
  <c r="AI118" i="1"/>
  <c r="U188" i="1"/>
  <c r="S188" i="1" s="1"/>
  <c r="AI114" i="1"/>
  <c r="U184" i="1"/>
  <c r="AI110" i="1"/>
  <c r="U180" i="1"/>
  <c r="S180" i="1" s="1"/>
  <c r="AI106" i="1"/>
  <c r="U176" i="1"/>
  <c r="S176" i="1" s="1"/>
  <c r="AI102" i="1"/>
  <c r="U173" i="1"/>
  <c r="S173" i="1" s="1"/>
  <c r="AI98" i="1"/>
  <c r="U169" i="1"/>
  <c r="S169" i="1" s="1"/>
  <c r="AI94" i="1"/>
  <c r="U94" i="1"/>
  <c r="S94" i="1" s="1"/>
  <c r="AI90" i="1"/>
  <c r="U90" i="1"/>
  <c r="S90" i="1" s="1"/>
  <c r="U101" i="1"/>
  <c r="S101" i="1" s="1"/>
  <c r="AI143" i="1"/>
  <c r="AI136" i="1"/>
  <c r="U203" i="1"/>
  <c r="S203" i="1" s="1"/>
  <c r="AI131" i="1"/>
  <c r="U199" i="1"/>
  <c r="S199" i="1" s="1"/>
  <c r="AI127" i="1"/>
  <c r="U196" i="1"/>
  <c r="S196" i="1" s="1"/>
  <c r="AI123" i="1"/>
  <c r="U191" i="1"/>
  <c r="S191" i="1" s="1"/>
  <c r="AI119" i="1"/>
  <c r="U96" i="1"/>
  <c r="AI115" i="1"/>
  <c r="U185" i="1"/>
  <c r="S185" i="1" s="1"/>
  <c r="AI111" i="1"/>
  <c r="U181" i="1"/>
  <c r="AI107" i="1"/>
  <c r="U177" i="1"/>
  <c r="S177" i="1" s="1"/>
  <c r="AI103" i="1"/>
  <c r="U174" i="1"/>
  <c r="S174" i="1" s="1"/>
  <c r="AI99" i="1"/>
  <c r="U170" i="1"/>
  <c r="S170" i="1" s="1"/>
  <c r="AI95" i="1"/>
  <c r="U166" i="1"/>
  <c r="S166" i="1" s="1"/>
  <c r="AI91" i="1"/>
  <c r="U91" i="1"/>
  <c r="S91" i="1" s="1"/>
  <c r="U204" i="1"/>
  <c r="S204" i="1" s="1"/>
  <c r="AI137" i="1"/>
  <c r="U200" i="1"/>
  <c r="S200" i="1" s="1"/>
  <c r="AI132" i="1"/>
  <c r="U197" i="1"/>
  <c r="S197" i="1" s="1"/>
  <c r="AI128" i="1"/>
  <c r="U192" i="1"/>
  <c r="S192" i="1" s="1"/>
  <c r="AI124" i="1"/>
  <c r="U97" i="1"/>
  <c r="AI120" i="1"/>
  <c r="U186" i="1"/>
  <c r="S186" i="1" s="1"/>
  <c r="AI116" i="1"/>
  <c r="U182" i="1"/>
  <c r="S182" i="1" s="1"/>
  <c r="AI112" i="1"/>
  <c r="U178" i="1"/>
  <c r="AI108" i="1"/>
  <c r="U175" i="1"/>
  <c r="S175" i="1" s="1"/>
  <c r="AI104" i="1"/>
  <c r="U171" i="1"/>
  <c r="S171" i="1" s="1"/>
  <c r="AI100" i="1"/>
  <c r="U167" i="1"/>
  <c r="S167" i="1" s="1"/>
  <c r="AI96" i="1"/>
  <c r="U92" i="1"/>
  <c r="S92" i="1" s="1"/>
  <c r="AI92" i="1"/>
  <c r="AI88" i="1"/>
  <c r="U99" i="1"/>
  <c r="S99" i="1" s="1"/>
  <c r="AI140" i="1"/>
  <c r="U201" i="1"/>
  <c r="S201" i="1" s="1"/>
  <c r="AI133" i="1"/>
  <c r="U198" i="1"/>
  <c r="S198" i="1" s="1"/>
  <c r="AI129" i="1"/>
  <c r="U193" i="1"/>
  <c r="S193" i="1" s="1"/>
  <c r="AI125" i="1"/>
  <c r="U189" i="1"/>
  <c r="S189" i="1" s="1"/>
  <c r="AI121" i="1"/>
  <c r="U187" i="1"/>
  <c r="S187" i="1" s="1"/>
  <c r="AI117" i="1"/>
  <c r="U183" i="1"/>
  <c r="S183" i="1" s="1"/>
  <c r="AI113" i="1"/>
  <c r="U179" i="1"/>
  <c r="S179" i="1" s="1"/>
  <c r="AI109" i="1"/>
  <c r="U95" i="1"/>
  <c r="S95" i="1" s="1"/>
  <c r="AI105" i="1"/>
  <c r="U172" i="1"/>
  <c r="S172" i="1" s="1"/>
  <c r="AI101" i="1"/>
  <c r="U168" i="1"/>
  <c r="S168" i="1" s="1"/>
  <c r="AI97" i="1"/>
  <c r="U93" i="1"/>
  <c r="S93" i="1" s="1"/>
  <c r="AI93" i="1"/>
  <c r="U89" i="1"/>
  <c r="S89" i="1" s="1"/>
  <c r="AI89" i="1"/>
  <c r="AI87" i="1"/>
  <c r="U87" i="1"/>
  <c r="S87" i="1" s="1"/>
  <c r="U85" i="1"/>
  <c r="S85" i="1" s="1"/>
  <c r="AI85" i="1"/>
  <c r="W85" i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U86" i="1"/>
  <c r="S86" i="1" s="1"/>
  <c r="AI86" i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AI55" i="1"/>
  <c r="AI53" i="1"/>
  <c r="U53" i="1"/>
  <c r="S53" i="1" s="1"/>
  <c r="U84" i="1"/>
  <c r="S84" i="1" s="1"/>
  <c r="AI84" i="1"/>
  <c r="U80" i="1"/>
  <c r="S80" i="1" s="1"/>
  <c r="AI80" i="1"/>
  <c r="U76" i="1"/>
  <c r="S76" i="1" s="1"/>
  <c r="AI76" i="1"/>
  <c r="U72" i="1"/>
  <c r="S72" i="1" s="1"/>
  <c r="AI72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4" i="1"/>
  <c r="AI50" i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 s="1"/>
  <c r="W51" i="1"/>
  <c r="AI51" i="1"/>
  <c r="U47" i="1"/>
  <c r="S47" i="1" s="1"/>
  <c r="AI47" i="1"/>
  <c r="U43" i="1"/>
  <c r="S43" i="1" s="1"/>
  <c r="AI43" i="1"/>
  <c r="U39" i="1"/>
  <c r="S39" i="1" s="1"/>
  <c r="AI39" i="1"/>
  <c r="U35" i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52" i="1"/>
  <c r="S52" i="1" s="1"/>
  <c r="AI52" i="1"/>
  <c r="U48" i="1"/>
  <c r="S48" i="1" s="1"/>
  <c r="AI48" i="1"/>
  <c r="U44" i="1"/>
  <c r="S44" i="1" s="1"/>
  <c r="AI44" i="1"/>
  <c r="U40" i="1"/>
  <c r="S40" i="1" s="1"/>
  <c r="AI40" i="1"/>
  <c r="U36" i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23" i="1"/>
  <c r="W222" i="1"/>
  <c r="W215" i="1"/>
  <c r="W214" i="1"/>
  <c r="W205" i="1"/>
  <c r="W142" i="1"/>
  <c r="W164" i="1"/>
  <c r="W163" i="1"/>
  <c r="W157" i="1"/>
  <c r="W227" i="1"/>
  <c r="W226" i="1"/>
  <c r="W221" i="1"/>
  <c r="W220" i="1"/>
  <c r="W209" i="1"/>
  <c r="W208" i="1"/>
  <c r="W138" i="1"/>
  <c r="W139" i="1"/>
  <c r="W150" i="1"/>
  <c r="W149" i="1"/>
  <c r="W225" i="1"/>
  <c r="W224" i="1"/>
  <c r="W213" i="1"/>
  <c r="W212" i="1"/>
  <c r="W207" i="1"/>
  <c r="W206" i="1"/>
  <c r="W162" i="1"/>
  <c r="W161" i="1"/>
  <c r="W158" i="1"/>
  <c r="W154" i="1"/>
  <c r="W152" i="1"/>
  <c r="W217" i="1"/>
  <c r="W216" i="1"/>
  <c r="W211" i="1"/>
  <c r="W210" i="1"/>
  <c r="W135" i="1"/>
  <c r="W165" i="1"/>
  <c r="W160" i="1"/>
  <c r="W159" i="1"/>
  <c r="W156" i="1"/>
  <c r="W155" i="1"/>
  <c r="W153" i="1"/>
  <c r="X225" i="1"/>
  <c r="X221" i="1"/>
  <c r="X215" i="1"/>
  <c r="X211" i="1"/>
  <c r="X207" i="1"/>
  <c r="X160" i="1"/>
  <c r="X156" i="1"/>
  <c r="X152" i="1"/>
  <c r="W148" i="1"/>
  <c r="W147" i="1"/>
  <c r="W141" i="1"/>
  <c r="W140" i="1"/>
  <c r="W131" i="1"/>
  <c r="W129" i="1"/>
  <c r="W106" i="1"/>
  <c r="W218" i="1"/>
  <c r="W105" i="1"/>
  <c r="W103" i="1"/>
  <c r="W100" i="1"/>
  <c r="X157" i="1"/>
  <c r="X153" i="1"/>
  <c r="W151" i="1"/>
  <c r="W143" i="1"/>
  <c r="W134" i="1"/>
  <c r="W132" i="1"/>
  <c r="W126" i="1"/>
  <c r="W123" i="1"/>
  <c r="W122" i="1"/>
  <c r="W119" i="1"/>
  <c r="W118" i="1"/>
  <c r="W114" i="1"/>
  <c r="W110" i="1"/>
  <c r="W107" i="1"/>
  <c r="W219" i="1"/>
  <c r="W144" i="1"/>
  <c r="W136" i="1"/>
  <c r="W133" i="1"/>
  <c r="W127" i="1"/>
  <c r="W125" i="1"/>
  <c r="W124" i="1"/>
  <c r="W121" i="1"/>
  <c r="W120" i="1"/>
  <c r="W117" i="1"/>
  <c r="W116" i="1"/>
  <c r="W115" i="1"/>
  <c r="W113" i="1"/>
  <c r="W112" i="1"/>
  <c r="W111" i="1"/>
  <c r="W109" i="1"/>
  <c r="W108" i="1"/>
  <c r="X224" i="1"/>
  <c r="X220" i="1"/>
  <c r="X214" i="1"/>
  <c r="X210" i="1"/>
  <c r="X206" i="1"/>
  <c r="X163" i="1"/>
  <c r="T149" i="1"/>
  <c r="U149" i="1" s="1"/>
  <c r="S149" i="1" s="1"/>
  <c r="X149" i="1"/>
  <c r="W146" i="1"/>
  <c r="W145" i="1"/>
  <c r="W137" i="1"/>
  <c r="W130" i="1"/>
  <c r="W128" i="1"/>
  <c r="W104" i="1"/>
  <c r="X148" i="1"/>
  <c r="X132" i="1"/>
  <c r="X128" i="1"/>
  <c r="X124" i="1"/>
  <c r="X120" i="1"/>
  <c r="X116" i="1"/>
  <c r="X112" i="1"/>
  <c r="X108" i="1"/>
  <c r="X218" i="1"/>
  <c r="W203" i="1"/>
  <c r="W200" i="1"/>
  <c r="W198" i="1"/>
  <c r="W190" i="1"/>
  <c r="W188" i="1"/>
  <c r="W184" i="1"/>
  <c r="W180" i="1"/>
  <c r="W176" i="1"/>
  <c r="W173" i="1"/>
  <c r="W169" i="1"/>
  <c r="W94" i="1"/>
  <c r="W91" i="1"/>
  <c r="W89" i="1"/>
  <c r="T145" i="1"/>
  <c r="U145" i="1" s="1"/>
  <c r="S145" i="1" s="1"/>
  <c r="T140" i="1"/>
  <c r="U140" i="1" s="1"/>
  <c r="S140" i="1" s="1"/>
  <c r="X133" i="1"/>
  <c r="X129" i="1"/>
  <c r="X125" i="1"/>
  <c r="X121" i="1"/>
  <c r="X117" i="1"/>
  <c r="X113" i="1"/>
  <c r="X109" i="1"/>
  <c r="X219" i="1"/>
  <c r="W204" i="1"/>
  <c r="W201" i="1"/>
  <c r="W195" i="1"/>
  <c r="W191" i="1"/>
  <c r="W96" i="1"/>
  <c r="W185" i="1"/>
  <c r="W181" i="1"/>
  <c r="W177" i="1"/>
  <c r="W174" i="1"/>
  <c r="W170" i="1"/>
  <c r="W166" i="1"/>
  <c r="W93" i="1"/>
  <c r="W92" i="1"/>
  <c r="W102" i="1"/>
  <c r="W101" i="1"/>
  <c r="W99" i="1"/>
  <c r="W98" i="1"/>
  <c r="W196" i="1"/>
  <c r="W192" i="1"/>
  <c r="W189" i="1"/>
  <c r="W97" i="1"/>
  <c r="W187" i="1"/>
  <c r="W186" i="1"/>
  <c r="W183" i="1"/>
  <c r="W182" i="1"/>
  <c r="W179" i="1"/>
  <c r="W178" i="1"/>
  <c r="W95" i="1"/>
  <c r="W175" i="1"/>
  <c r="W172" i="1"/>
  <c r="W171" i="1"/>
  <c r="W168" i="1"/>
  <c r="W167" i="1"/>
  <c r="T103" i="1"/>
  <c r="U103" i="1" s="1"/>
  <c r="S103" i="1" s="1"/>
  <c r="X103" i="1"/>
  <c r="W202" i="1"/>
  <c r="W199" i="1"/>
  <c r="W197" i="1"/>
  <c r="W193" i="1"/>
  <c r="W90" i="1"/>
  <c r="X99" i="1"/>
  <c r="X201" i="1"/>
  <c r="X198" i="1"/>
  <c r="X193" i="1"/>
  <c r="X189" i="1"/>
  <c r="X187" i="1"/>
  <c r="X183" i="1"/>
  <c r="X179" i="1"/>
  <c r="X95" i="1"/>
  <c r="X172" i="1"/>
  <c r="X93" i="1"/>
  <c r="X89" i="1"/>
  <c r="AA88" i="1"/>
  <c r="W88" i="1" s="1"/>
  <c r="W81" i="1"/>
  <c r="W80" i="1"/>
  <c r="W79" i="1"/>
  <c r="W74" i="1"/>
  <c r="W65" i="1"/>
  <c r="W64" i="1"/>
  <c r="W63" i="1"/>
  <c r="W58" i="1"/>
  <c r="T88" i="1"/>
  <c r="U88" i="1" s="1"/>
  <c r="S88" i="1" s="1"/>
  <c r="X88" i="1"/>
  <c r="W77" i="1"/>
  <c r="W76" i="1"/>
  <c r="W75" i="1"/>
  <c r="W70" i="1"/>
  <c r="W61" i="1"/>
  <c r="W60" i="1"/>
  <c r="W59" i="1"/>
  <c r="W87" i="1"/>
  <c r="W82" i="1"/>
  <c r="W73" i="1"/>
  <c r="W72" i="1"/>
  <c r="W71" i="1"/>
  <c r="W66" i="1"/>
  <c r="W57" i="1"/>
  <c r="W56" i="1"/>
  <c r="W55" i="1"/>
  <c r="X204" i="1"/>
  <c r="X200" i="1"/>
  <c r="X197" i="1"/>
  <c r="X192" i="1"/>
  <c r="X97" i="1"/>
  <c r="X186" i="1"/>
  <c r="X182" i="1"/>
  <c r="X178" i="1"/>
  <c r="X175" i="1"/>
  <c r="X171" i="1"/>
  <c r="X92" i="1"/>
  <c r="W86" i="1"/>
  <c r="W84" i="1"/>
  <c r="W83" i="1"/>
  <c r="W78" i="1"/>
  <c r="W69" i="1"/>
  <c r="W68" i="1"/>
  <c r="W67" i="1"/>
  <c r="W62" i="1"/>
  <c r="X84" i="1"/>
  <c r="X80" i="1"/>
  <c r="X76" i="1"/>
  <c r="X72" i="1"/>
  <c r="X68" i="1"/>
  <c r="X64" i="1"/>
  <c r="X60" i="1"/>
  <c r="X56" i="1"/>
  <c r="W54" i="1"/>
  <c r="W50" i="1"/>
  <c r="W49" i="1"/>
  <c r="W46" i="1"/>
  <c r="W45" i="1"/>
  <c r="W42" i="1"/>
  <c r="W41" i="1"/>
  <c r="W38" i="1"/>
  <c r="W37" i="1"/>
  <c r="W34" i="1"/>
  <c r="W33" i="1"/>
  <c r="W31" i="1"/>
  <c r="W18" i="1"/>
  <c r="W15" i="1"/>
  <c r="X85" i="1"/>
  <c r="X81" i="1"/>
  <c r="X77" i="1"/>
  <c r="X73" i="1"/>
  <c r="X69" i="1"/>
  <c r="X65" i="1"/>
  <c r="X61" i="1"/>
  <c r="X57" i="1"/>
  <c r="T54" i="1"/>
  <c r="U54" i="1" s="1"/>
  <c r="X54" i="1"/>
  <c r="W53" i="1"/>
  <c r="W52" i="1"/>
  <c r="T50" i="1"/>
  <c r="U50" i="1" s="1"/>
  <c r="S50" i="1" s="1"/>
  <c r="X50" i="1"/>
  <c r="W47" i="1"/>
  <c r="W43" i="1"/>
  <c r="W39" i="1"/>
  <c r="W35" i="1"/>
  <c r="W24" i="1"/>
  <c r="W14" i="1"/>
  <c r="W28" i="1"/>
  <c r="W26" i="1"/>
  <c r="W25" i="1"/>
  <c r="W23" i="1"/>
  <c r="W20" i="1"/>
  <c r="W48" i="1"/>
  <c r="W44" i="1"/>
  <c r="W40" i="1"/>
  <c r="W36" i="1"/>
  <c r="W32" i="1"/>
  <c r="W30" i="1"/>
  <c r="W29" i="1"/>
  <c r="W27" i="1"/>
  <c r="W22" i="1"/>
  <c r="W21" i="1"/>
  <c r="W19" i="1"/>
  <c r="W17" i="1"/>
  <c r="W16" i="1"/>
  <c r="X46" i="1"/>
  <c r="X42" i="1"/>
  <c r="X38" i="1"/>
  <c r="X34" i="1"/>
  <c r="X30" i="1"/>
  <c r="X26" i="1"/>
  <c r="X22" i="1"/>
  <c r="X18" i="1"/>
  <c r="X51" i="1"/>
  <c r="X47" i="1"/>
  <c r="X43" i="1"/>
  <c r="X39" i="1"/>
  <c r="X35" i="1"/>
  <c r="X31" i="1"/>
  <c r="X27" i="1"/>
  <c r="AE35" i="3"/>
  <c r="AE31" i="3"/>
  <c r="AD24" i="3"/>
  <c r="AC10" i="3"/>
  <c r="AD15" i="3"/>
  <c r="AD13" i="3"/>
  <c r="AD9" i="3"/>
  <c r="AD29" i="3"/>
  <c r="T38" i="3"/>
  <c r="AD28" i="3"/>
  <c r="AE11" i="3"/>
  <c r="AC20" i="3"/>
  <c r="AC15" i="3"/>
  <c r="AE39" i="3"/>
  <c r="AD32" i="3"/>
  <c r="AD25" i="3"/>
  <c r="AC37" i="3"/>
  <c r="AC34" i="3"/>
  <c r="AD20" i="3"/>
  <c r="AE15" i="3"/>
  <c r="AD11" i="3"/>
  <c r="AC27" i="3"/>
  <c r="T27" i="3"/>
  <c r="AC11" i="3"/>
  <c r="AC35" i="3"/>
  <c r="AE27" i="3"/>
  <c r="AC9" i="3"/>
  <c r="T9" i="3"/>
  <c r="AC7" i="3"/>
  <c r="AC28" i="3"/>
  <c r="AC32" i="3"/>
  <c r="AC31" i="3"/>
  <c r="AC33" i="3"/>
  <c r="AC16" i="3"/>
  <c r="Y32" i="3"/>
  <c r="Y21" i="3"/>
  <c r="Y10" i="3"/>
  <c r="Y22" i="3"/>
  <c r="Y13" i="3"/>
  <c r="Y18" i="3"/>
  <c r="Y15" i="3"/>
  <c r="Y25" i="3"/>
  <c r="Y35" i="3"/>
  <c r="Y9" i="3"/>
  <c r="Y23" i="3"/>
  <c r="Y16" i="3"/>
  <c r="Y29" i="3"/>
  <c r="Y39" i="3"/>
  <c r="Y17" i="3"/>
  <c r="Y24" i="3"/>
  <c r="Y14" i="3"/>
  <c r="Y19" i="3"/>
  <c r="Y41" i="3"/>
  <c r="Y40" i="3"/>
  <c r="Y27" i="3"/>
  <c r="Y38" i="3"/>
  <c r="Y31" i="3"/>
  <c r="Y37" i="3"/>
  <c r="Y8" i="3"/>
  <c r="Y26" i="3"/>
  <c r="Y28" i="3"/>
  <c r="Y36" i="3"/>
  <c r="Y11" i="3"/>
  <c r="Y20" i="3"/>
  <c r="Y33" i="3"/>
  <c r="Y34" i="3"/>
  <c r="Y7" i="3"/>
  <c r="Y30" i="3"/>
  <c r="Y12" i="3"/>
  <c r="AC12" i="3"/>
  <c r="AD8" i="3"/>
  <c r="AE18" i="3"/>
  <c r="T14" i="3"/>
  <c r="AE14" i="3"/>
  <c r="T19" i="3"/>
  <c r="AE10" i="3"/>
  <c r="T41" i="3"/>
  <c r="AC18" i="3"/>
  <c r="AE38" i="3"/>
  <c r="AE34" i="3"/>
  <c r="T8" i="3"/>
  <c r="AE30" i="3"/>
  <c r="T26" i="3"/>
  <c r="AE26" i="3"/>
  <c r="T17" i="3"/>
  <c r="AE22" i="3"/>
  <c r="AE41" i="3"/>
  <c r="T28" i="3"/>
  <c r="AD38" i="3"/>
  <c r="AE33" i="3"/>
  <c r="T11" i="3"/>
  <c r="AE29" i="3"/>
  <c r="T20" i="3"/>
  <c r="AD26" i="3"/>
  <c r="AE25" i="3"/>
  <c r="T33" i="3"/>
  <c r="AD22" i="3"/>
  <c r="AE21" i="3"/>
  <c r="T34" i="3"/>
  <c r="AD18" i="3"/>
  <c r="AE17" i="3"/>
  <c r="T7" i="3"/>
  <c r="AD14" i="3"/>
  <c r="AE13" i="3"/>
  <c r="T30" i="3"/>
  <c r="AD10" i="3"/>
  <c r="AE9" i="3"/>
  <c r="T12" i="3"/>
  <c r="T29" i="3"/>
  <c r="T39" i="3"/>
  <c r="T24" i="3"/>
  <c r="AE37" i="3"/>
  <c r="T36" i="3"/>
  <c r="AD34" i="3"/>
  <c r="AD30" i="3"/>
  <c r="AE40" i="3"/>
  <c r="AE36" i="3"/>
  <c r="AE32" i="3"/>
  <c r="AE28" i="3"/>
  <c r="AE24" i="3"/>
  <c r="AE20" i="3"/>
  <c r="AE16" i="3"/>
  <c r="AE12" i="3"/>
  <c r="AE8" i="3"/>
  <c r="S54" i="1" l="1"/>
  <c r="S35" i="1"/>
  <c r="S96" i="1"/>
  <c r="M42" i="3"/>
  <c r="R42" i="3"/>
  <c r="S42" i="3"/>
  <c r="U42" i="3"/>
  <c r="V42" i="3"/>
  <c r="X42" i="3"/>
  <c r="W42" i="3"/>
  <c r="AE42" i="3" l="1"/>
  <c r="AD42" i="3"/>
  <c r="AC42" i="3"/>
  <c r="Y42" i="3"/>
  <c r="T42" i="3"/>
  <c r="B3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3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29" i="3" l="1"/>
  <c r="N15" i="3"/>
  <c r="N28" i="3"/>
  <c r="N39" i="3"/>
  <c r="N40" i="3"/>
  <c r="K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I13" i="1" l="1"/>
  <c r="AA13" i="1"/>
  <c r="W13" i="1" s="1"/>
  <c r="T13" i="1"/>
  <c r="U13" i="1" s="1"/>
  <c r="S13" i="1" s="1"/>
  <c r="X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N16" i="3" s="1"/>
  <c r="G31" i="4"/>
  <c r="G32" i="4"/>
  <c r="N41" i="3" s="1"/>
  <c r="G33" i="4"/>
  <c r="G34" i="4"/>
  <c r="G35" i="4"/>
  <c r="N13" i="3" s="1"/>
  <c r="G36" i="4"/>
  <c r="G37" i="4"/>
  <c r="G38" i="4"/>
  <c r="G39" i="4"/>
  <c r="G40" i="4"/>
  <c r="G41" i="4"/>
  <c r="G42" i="4"/>
  <c r="N30" i="3" s="1"/>
  <c r="G43" i="4"/>
  <c r="G44" i="4"/>
  <c r="G45" i="4"/>
  <c r="G46" i="4"/>
  <c r="G47" i="4"/>
  <c r="G48" i="4"/>
  <c r="G49" i="4"/>
  <c r="G50" i="4"/>
  <c r="G51" i="4"/>
  <c r="N23" i="3" s="1"/>
  <c r="G52" i="4"/>
  <c r="G53" i="4"/>
  <c r="N19" i="3" s="1"/>
  <c r="G54" i="4"/>
  <c r="G55" i="4"/>
  <c r="G56" i="4"/>
  <c r="G57" i="4"/>
  <c r="N22" i="3" s="1"/>
  <c r="G58" i="4"/>
  <c r="G59" i="4"/>
  <c r="N7" i="3" s="1"/>
  <c r="G60" i="4"/>
  <c r="G61" i="4"/>
  <c r="G62" i="4"/>
  <c r="G63" i="4"/>
  <c r="G64" i="4"/>
  <c r="G65" i="4"/>
  <c r="G66" i="4"/>
  <c r="G67" i="4"/>
  <c r="G68" i="4"/>
  <c r="N14" i="3" s="1"/>
  <c r="G69" i="4"/>
  <c r="G70" i="4"/>
  <c r="G71" i="4"/>
  <c r="G72" i="4"/>
  <c r="G73" i="4"/>
  <c r="G74" i="4"/>
  <c r="G75" i="4"/>
  <c r="G76" i="4"/>
  <c r="G77" i="4"/>
  <c r="G78" i="4"/>
  <c r="N9" i="3" s="1"/>
  <c r="G79" i="4"/>
  <c r="G80" i="4"/>
  <c r="G81" i="4"/>
  <c r="G82" i="4"/>
  <c r="N10" i="3" s="1"/>
  <c r="G83" i="4"/>
  <c r="G84" i="4"/>
  <c r="G85" i="4"/>
  <c r="G86" i="4"/>
  <c r="N24" i="3" s="1"/>
  <c r="G87" i="4"/>
  <c r="N34" i="3" s="1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N37" i="3" s="1"/>
  <c r="G104" i="4"/>
  <c r="G105" i="4"/>
  <c r="G106" i="4"/>
  <c r="G107" i="4"/>
  <c r="G108" i="4"/>
  <c r="N21" i="3" s="1"/>
  <c r="G109" i="4"/>
  <c r="G110" i="4"/>
  <c r="G111" i="4"/>
  <c r="G112" i="4"/>
  <c r="G113" i="4"/>
  <c r="G114" i="4"/>
  <c r="N33" i="3" s="1"/>
  <c r="G115" i="4"/>
  <c r="G116" i="4"/>
  <c r="G117" i="4"/>
  <c r="G118" i="4"/>
  <c r="G119" i="4"/>
  <c r="G120" i="4"/>
  <c r="G121" i="4"/>
  <c r="G122" i="4"/>
  <c r="G123" i="4"/>
  <c r="N17" i="3" s="1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N31" i="3" s="1"/>
  <c r="G138" i="4"/>
  <c r="G139" i="4"/>
  <c r="G140" i="4"/>
  <c r="G141" i="4"/>
  <c r="N20" i="3" s="1"/>
  <c r="G142" i="4"/>
  <c r="N35" i="3" s="1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N26" i="3" s="1"/>
  <c r="G157" i="4"/>
  <c r="G158" i="4"/>
  <c r="G159" i="4"/>
  <c r="G160" i="4"/>
  <c r="G161" i="4"/>
  <c r="G162" i="4"/>
  <c r="G163" i="4"/>
  <c r="G164" i="4"/>
  <c r="G165" i="4"/>
  <c r="G166" i="4"/>
  <c r="G167" i="4"/>
  <c r="N38" i="3" s="1"/>
  <c r="G168" i="4"/>
  <c r="N25" i="3" s="1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N11" i="3" s="1"/>
  <c r="G201" i="4"/>
  <c r="G202" i="4"/>
  <c r="G203" i="4"/>
  <c r="G204" i="4"/>
  <c r="G205" i="4"/>
  <c r="G206" i="4"/>
  <c r="G207" i="4"/>
  <c r="N8" i="3" s="1"/>
  <c r="G208" i="4"/>
  <c r="N27" i="3" s="1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2" i="3" l="1"/>
  <c r="N18" i="3"/>
  <c r="N32" i="3"/>
  <c r="N36" i="3"/>
  <c r="N4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3" i="6" l="1"/>
  <c r="G3" i="6"/>
  <c r="I3" i="6"/>
  <c r="H3" i="6"/>
  <c r="J3" i="6"/>
  <c r="J8" i="1"/>
  <c r="J4" i="1"/>
  <c r="S8" i="1"/>
  <c r="S4" i="1"/>
  <c r="S9" i="1" l="1"/>
  <c r="J9" i="1"/>
  <c r="S11" i="1" l="1"/>
  <c r="A11" i="1"/>
  <c r="B1" i="6" l="1"/>
  <c r="A5" i="3"/>
  <c r="B4" i="6" l="1"/>
  <c r="D4" i="6" s="1"/>
  <c r="B5" i="6" l="1"/>
  <c r="D5" i="6" s="1"/>
  <c r="I4" i="6"/>
  <c r="G4" i="6"/>
  <c r="F4" i="6"/>
  <c r="H4" i="6"/>
  <c r="J4" i="6"/>
  <c r="G5" i="6" l="1"/>
  <c r="F5" i="6"/>
  <c r="H5" i="6"/>
  <c r="I5" i="6"/>
  <c r="J5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<sst xmlns="http://schemas.openxmlformats.org/spreadsheetml/2006/main" count="2686" uniqueCount="984">
  <si>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</si>
  <si>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</si>
  <si>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</si>
  <si>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</si>
  <si>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</si>
  <si>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</si>
  <si>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</si>
  <si>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</si>
  <si>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</si>
  <si>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</si>
  <si>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</si>
  <si>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</si>
  <si>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</si>
  <si>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</si>
  <si>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</si>
  <si>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</si>
  <si>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</si>
  <si>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</si>
  <si>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</si>
  <si>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</si>
  <si>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</si>
  <si>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</si>
  <si>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</si>
  <si>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</si>
  <si>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</si>
  <si>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</si>
  <si>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</si>
  <si>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</si>
  <si>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</si>
  <si>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</si>
  <si>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</si>
  <si>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</si>
  <si>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</si>
  <si>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</si>
  <si>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</si>
  <si>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</si>
  <si>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</si>
  <si>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</si>
  <si>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</si>
  <si>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</si>
  <si>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</si>
  <si>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</si>
  <si>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</si>
  <si>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</si>
  <si>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</si>
  <si>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</si>
  <si>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</si>
  <si>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</si>
  <si>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</si>
  <si>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</si>
  <si>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</si>
  <si>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</si>
  <si>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</si>
  <si>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</si>
  <si>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</si>
  <si>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</si>
  <si>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</si>
  <si>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</si>
  <si>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</si>
  <si>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</si>
  <si>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</si>
  <si>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</si>
  <si>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</si>
  <si>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</si>
  <si>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</si>
  <si>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</si>
  <si>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</si>
  <si>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</si>
  <si>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</si>
  <si>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</si>
  <si>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</si>
  <si>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</si>
  <si>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</si>
  <si>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</si>
  <si>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</si>
  <si>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</si>
  <si>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</si>
  <si>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</si>
  <si>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</si>
  <si>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</si>
  <si>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</si>
  <si>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</si>
  <si>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</si>
  <si>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</si>
  <si>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</si>
  <si>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</si>
  <si>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</si>
  <si>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</si>
  <si>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</si>
  <si>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</si>
  <si>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</si>
  <si>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</si>
  <si>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</si>
  <si>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</si>
  <si>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</si>
  <si>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</si>
  <si>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</si>
  <si>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</si>
  <si>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</si>
  <si>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</si>
  <si>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</si>
  <si>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</si>
  <si>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</si>
  <si>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</si>
  <si>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</si>
  <si>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</si>
  <si>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</si>
  <si>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</si>
  <si>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</si>
  <si>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</si>
  <si>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</si>
  <si>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</si>
  <si>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</si>
  <si>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</si>
  <si>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</si>
  <si>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</si>
  <si>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</si>
  <si>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</si>
  <si>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</si>
  <si>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</si>
  <si>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</si>
  <si>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</si>
  <si>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</si>
  <si>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</si>
  <si>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</si>
  <si>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</si>
  <si>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</si>
  <si>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</si>
  <si>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</si>
  <si>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</si>
  <si>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</si>
  <si>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</si>
  <si>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</si>
  <si>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</si>
  <si>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</si>
  <si>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</si>
  <si>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</si>
  <si>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</si>
  <si>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</si>
  <si>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</si>
  <si>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</si>
  <si>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</si>
  <si>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</si>
  <si>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</si>
  <si>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</si>
  <si>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</si>
  <si>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</si>
  <si>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</si>
  <si>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</si>
  <si>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</si>
  <si>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</si>
  <si>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</si>
  <si>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</si>
  <si>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</si>
  <si>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</si>
  <si>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</si>
  <si>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</si>
  <si>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</si>
  <si>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</si>
  <si>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</si>
  <si>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</si>
  <si>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</si>
  <si>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</si>
  <si>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</si>
  <si>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</si>
  <si>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</si>
  <si>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</si>
  <si>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</si>
  <si>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</si>
  <si>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</si>
  <si>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</si>
  <si>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</si>
  <si>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</si>
  <si>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</si>
  <si>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</si>
  <si>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</si>
  <si>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</si>
  <si>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</si>
  <si>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</si>
  <si>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</si>
  <si>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</si>
  <si>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</si>
  <si>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</si>
  <si>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</si>
  <si>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</si>
  <si>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</si>
  <si>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</si>
  <si>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</si>
  <si>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</si>
  <si>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</si>
  <si>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</si>
  <si>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</si>
  <si>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</si>
  <si>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</si>
  <si>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</si>
  <si>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</si>
  <si>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</si>
  <si>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</si>
  <si>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</si>
  <si>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</si>
  <si>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</si>
  <si>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</si>
  <si>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</si>
  <si>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</si>
  <si>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</si>
  <si>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</si>
  <si>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</si>
  <si>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</si>
  <si>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</si>
  <si>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</si>
  <si>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</si>
  <si>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</si>
  <si>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</si>
  <si>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</si>
  <si>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</si>
  <si>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</si>
  <si>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</si>
  <si>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</si>
  <si>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</si>
  <si>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</si>
  <si>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</si>
  <si>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</si>
  <si>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</si>
  <si>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</si>
  <si>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</si>
  <si>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</si>
  <si>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</si>
  <si>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</si>
  <si>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</si>
  <si>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</si>
  <si>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</si>
  <si>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</si>
  <si>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</si>
  <si>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</si>
  <si>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</si>
  <si>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</si>
  <si>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</si>
  <si>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</si>
  <si>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</si>
  <si>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</si>
  <si>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</si>
  <si>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</si>
  <si>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</si>
  <si>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</si>
  <si>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</si>
  <si>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</si>
  <si>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</si>
  <si>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</si>
  <si>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</si>
  <si>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</si>
  <si>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</si>
  <si>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</si>
  <si>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</si>
  <si>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</si>
  <si>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</si>
  <si>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</si>
  <si>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</si>
  <si>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</si>
  <si>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</si>
  <si>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</si>
  <si>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</si>
  <si>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</si>
  <si>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</si>
  <si>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</si>
  <si>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</si>
  <si>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</si>
  <si>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</si>
  <si>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</si>
  <si>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</si>
  <si>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</si>
  <si>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</si>
  <si>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</si>
  <si>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</si>
  <si>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</si>
  <si>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</si>
  <si>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</si>
  <si>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</si>
  <si>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</si>
  <si>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</si>
  <si>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</si>
  <si>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</si>
  <si>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</si>
  <si>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</si>
  <si>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</si>
  <si>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</si>
  <si>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</si>
  <si>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</si>
  <si>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</si>
  <si>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</si>
  <si>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</si>
  <si>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</si>
  <si>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</si>
  <si>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</si>
  <si>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</si>
  <si>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</si>
  <si>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</si>
  <si>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</si>
  <si>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</si>
  <si>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</si>
  <si>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</si>
  <si>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</si>
  <si>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</si>
  <si>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</si>
  <si>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</si>
  <si>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</si>
  <si>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</si>
  <si>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</si>
  <si>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</si>
  <si>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</si>
  <si>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</si>
  <si>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</si>
  <si>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</si>
  <si>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</si>
  <si>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</si>
  <si>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</si>
  <si>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</si>
  <si>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</si>
  <si>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</si>
  <si>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</si>
  <si>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</si>
  <si>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</si>
  <si>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</si>
  <si>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</si>
  <si>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</si>
  <si>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</si>
  <si>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</si>
  <si>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</si>
  <si>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</si>
  <si>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</si>
  <si>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</si>
  <si>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</si>
  <si>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</si>
  <si>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</si>
  <si>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</si>
  <si>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</si>
  <si>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</si>
  <si>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</si>
  <si>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</si>
  <si>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</si>
  <si>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</si>
  <si>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</si>
  <si>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</si>
  <si>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</si>
  <si>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</si>
  <si>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</si>
  <si>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</si>
  <si>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</si>
  <si>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</si>
  <si>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</si>
  <si>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</si>
  <si>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</si>
  <si>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</si>
  <si>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</si>
  <si>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</si>
  <si>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</si>
  <si>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</si>
  <si>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</si>
  <si>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</si>
  <si>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</si>
  <si>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</si>
  <si>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</si>
  <si>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SIGNAL</t>
  </si>
  <si>
    <t>Signal based authority (5)</t>
  </si>
  <si>
    <t>204:464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</si>
  <si>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</si>
  <si>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</si>
  <si>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</si>
  <si>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</si>
  <si>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</si>
  <si>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</si>
  <si>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</si>
  <si>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</si>
  <si>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</si>
  <si>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</si>
  <si>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</si>
  <si>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</si>
  <si>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</si>
  <si>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</si>
  <si>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</si>
  <si>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</si>
  <si>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</si>
  <si>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</si>
  <si>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</si>
  <si>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rtdc.l.rtdc.4032:itc</t>
  </si>
  <si>
    <t>204:232994</t>
  </si>
  <si>
    <t>rtdc.l.rtdc.4009:itc</t>
  </si>
  <si>
    <t>DUNCAN</t>
  </si>
  <si>
    <t>SHEILA</t>
  </si>
  <si>
    <t>rtdc.l.rtdc.4061:itc</t>
  </si>
  <si>
    <t>rtdc.l.rtdc.4020:itc</t>
  </si>
  <si>
    <t>rtdc.l.rtdc.4019:itc</t>
  </si>
  <si>
    <t>PERKINS</t>
  </si>
  <si>
    <t>DARREN</t>
  </si>
  <si>
    <t>HART</t>
  </si>
  <si>
    <t>KEVIN</t>
  </si>
  <si>
    <t>204:440</t>
  </si>
  <si>
    <t>204:233000</t>
  </si>
  <si>
    <t>204:139</t>
  </si>
  <si>
    <t>rtdc.l.rtdc.4031:itc</t>
  </si>
  <si>
    <t>rtdc.l.rtdc.4059:itc</t>
  </si>
  <si>
    <t>rtdc.l.rtdc.4015:itc</t>
  </si>
  <si>
    <t>rtdc.l.rtdc.4016:itc</t>
  </si>
  <si>
    <t>313-06</t>
  </si>
  <si>
    <t>rtdc.l.rtdc.4060:itc</t>
  </si>
  <si>
    <t>rtdc.l.rtdc.4062:itc</t>
  </si>
  <si>
    <t>NICHOLSON</t>
  </si>
  <si>
    <t>WESLEY</t>
  </si>
  <si>
    <t>238-06</t>
  </si>
  <si>
    <t>240-06</t>
  </si>
  <si>
    <t>243-06</t>
  </si>
  <si>
    <t>307-06</t>
  </si>
  <si>
    <t>242-06</t>
  </si>
  <si>
    <t>309-06</t>
  </si>
  <si>
    <t>244-06</t>
  </si>
  <si>
    <t>311-06</t>
  </si>
  <si>
    <t>204:136</t>
  </si>
  <si>
    <t>204:163</t>
  </si>
  <si>
    <t>204:462</t>
  </si>
  <si>
    <t>204:232996</t>
  </si>
  <si>
    <t>204:451</t>
  </si>
  <si>
    <t>204:444</t>
  </si>
  <si>
    <t>rtdc.l.rtdc.4002:itc</t>
  </si>
  <si>
    <t>rtdc.l.rtdc.4029:itc</t>
  </si>
  <si>
    <t>204:233289</t>
  </si>
  <si>
    <t>204:233291</t>
  </si>
  <si>
    <t>204:233312</t>
  </si>
  <si>
    <t>204:232989</t>
  </si>
  <si>
    <t>204:471</t>
  </si>
  <si>
    <t>204:232998</t>
  </si>
  <si>
    <t>STAMBAUGH</t>
  </si>
  <si>
    <t>204:233308</t>
  </si>
  <si>
    <t>204:233013</t>
  </si>
  <si>
    <t>204:232980</t>
  </si>
  <si>
    <t>rtdc.l.rtdc.4066:itc</t>
  </si>
  <si>
    <t>rtdc.l.rtdc.4065:itc</t>
  </si>
  <si>
    <t>rtdc.l.rtdc.4058:itc</t>
  </si>
  <si>
    <t>204:154</t>
  </si>
  <si>
    <t>204:233307</t>
  </si>
  <si>
    <t>204:232981</t>
  </si>
  <si>
    <t>204:233315</t>
  </si>
  <si>
    <t>204:233008</t>
  </si>
  <si>
    <t>204:437</t>
  </si>
  <si>
    <t>204:466</t>
  </si>
  <si>
    <t>204:233334</t>
  </si>
  <si>
    <t>204:680</t>
  </si>
  <si>
    <t>rtdc.l.rtdc.4028:itc</t>
  </si>
  <si>
    <t>rtdc.l.rtdc.4027:itc</t>
  </si>
  <si>
    <t>FORTUNATO</t>
  </si>
  <si>
    <t>FRANK</t>
  </si>
  <si>
    <t>204:447</t>
  </si>
  <si>
    <t>204:233293</t>
  </si>
  <si>
    <t>204:486</t>
  </si>
  <si>
    <t>204:232978</t>
  </si>
  <si>
    <t>204:438</t>
  </si>
  <si>
    <t>204:233319</t>
  </si>
  <si>
    <t>204:232991</t>
  </si>
  <si>
    <t>204:233347</t>
  </si>
  <si>
    <t>204:433</t>
  </si>
  <si>
    <t>204:703</t>
  </si>
  <si>
    <t>204:685</t>
  </si>
  <si>
    <t>rtdc.l.rtdc.4043:itc</t>
  </si>
  <si>
    <t>YORK</t>
  </si>
  <si>
    <t>EDGAR</t>
  </si>
  <si>
    <t>WENDY</t>
  </si>
  <si>
    <t>GEBRETEKLE</t>
  </si>
  <si>
    <t>DAGNEW</t>
  </si>
  <si>
    <t>DELGADO</t>
  </si>
  <si>
    <t>DIANAH</t>
  </si>
  <si>
    <t>HOLCOMB</t>
  </si>
  <si>
    <t>KAMDEN</t>
  </si>
  <si>
    <t>KILLION</t>
  </si>
  <si>
    <t>DAVID</t>
  </si>
  <si>
    <t>LOPES</t>
  </si>
  <si>
    <t>KIMBERLY</t>
  </si>
  <si>
    <t>rtdc.l.rtdc.4003:itc</t>
  </si>
  <si>
    <t>precipType</t>
  </si>
  <si>
    <t>partly-cloudy-day</t>
  </si>
  <si>
    <t>Partly Cloudy</t>
  </si>
  <si>
    <t>rain</t>
  </si>
  <si>
    <t>204:232983</t>
  </si>
  <si>
    <t>204:482</t>
  </si>
  <si>
    <t>204:233300</t>
  </si>
  <si>
    <t>204:232990</t>
  </si>
  <si>
    <t>204:233299</t>
  </si>
  <si>
    <t>204:233042</t>
  </si>
  <si>
    <t>204:233040</t>
  </si>
  <si>
    <t>204:473</t>
  </si>
  <si>
    <t>204:233320</t>
  </si>
  <si>
    <t>204:233323</t>
  </si>
  <si>
    <t>204:167</t>
  </si>
  <si>
    <t>300:23306</t>
  </si>
  <si>
    <t>204:493</t>
  </si>
  <si>
    <t>300:58660</t>
  </si>
  <si>
    <t>204:986</t>
  </si>
  <si>
    <t>204:1007</t>
  </si>
  <si>
    <t>Onboard in-route failure</t>
  </si>
  <si>
    <t>SWITCH UNKNOWN</t>
  </si>
  <si>
    <t>Track device (7)</t>
  </si>
  <si>
    <t>rtdc.l.rtdc.4034:itc</t>
  </si>
  <si>
    <t>rtdc.l.rtdc.4001:itc</t>
  </si>
  <si>
    <t>rtdc.l.rtdc.4004:itc</t>
  </si>
  <si>
    <t>rtdc.l.rtdc.4057:itc</t>
  </si>
  <si>
    <t>rtdc.l.rtdc.4033:itc</t>
  </si>
  <si>
    <t>849-14</t>
  </si>
  <si>
    <t>243-14</t>
  </si>
  <si>
    <t>244-14</t>
  </si>
  <si>
    <t>Y</t>
  </si>
  <si>
    <t>MAELZER</t>
  </si>
  <si>
    <t>KURT</t>
  </si>
  <si>
    <t>WILLIAMS</t>
  </si>
  <si>
    <t>DONTE</t>
  </si>
  <si>
    <t>BADERTSCHER</t>
  </si>
  <si>
    <t>DIANE</t>
  </si>
  <si>
    <t>ELBAUM</t>
  </si>
  <si>
    <t>MIKE</t>
  </si>
  <si>
    <t>rtdc.l.rtdc.4035:itc</t>
  </si>
  <si>
    <t>81-14</t>
  </si>
  <si>
    <t>rtdc.l.rtdc.4036:itc</t>
  </si>
  <si>
    <t>82-14</t>
  </si>
  <si>
    <t>237-14</t>
  </si>
  <si>
    <t>239-14</t>
  </si>
  <si>
    <t>236-14</t>
  </si>
  <si>
    <t>908-14</t>
  </si>
  <si>
    <t>238-14</t>
  </si>
  <si>
    <t>241-14</t>
  </si>
  <si>
    <t>240-14</t>
  </si>
  <si>
    <t>307-14</t>
  </si>
  <si>
    <t>242-14</t>
  </si>
  <si>
    <t>309-14</t>
  </si>
  <si>
    <t>311-14</t>
  </si>
  <si>
    <t>55-15</t>
  </si>
  <si>
    <t>313-14</t>
  </si>
  <si>
    <t>300-15</t>
  </si>
  <si>
    <t>Drizzle</t>
  </si>
  <si>
    <t>partly-cloudy-night</t>
  </si>
  <si>
    <t>204:233138</t>
  </si>
  <si>
    <t>204:232982</t>
  </si>
  <si>
    <t>204:233002</t>
  </si>
  <si>
    <t>204:233341</t>
  </si>
  <si>
    <t>204:475</t>
  </si>
  <si>
    <t>204:232979</t>
  </si>
  <si>
    <t>204:232993</t>
  </si>
  <si>
    <t>204:427</t>
  </si>
  <si>
    <t>204:232973</t>
  </si>
  <si>
    <t>204:232985</t>
  </si>
  <si>
    <t>204:181</t>
  </si>
  <si>
    <t>204:233025</t>
  </si>
  <si>
    <t>204:233357</t>
  </si>
  <si>
    <t>204:233316</t>
  </si>
  <si>
    <t>204:233332</t>
  </si>
  <si>
    <t>204:233003</t>
  </si>
  <si>
    <t>204:431</t>
  </si>
  <si>
    <t>204:233355</t>
  </si>
  <si>
    <t>204:233325</t>
  </si>
  <si>
    <t>300:23308</t>
  </si>
  <si>
    <t>204:178</t>
  </si>
  <si>
    <t>300:58700</t>
  </si>
  <si>
    <t>300:59012</t>
  </si>
  <si>
    <t>300:58705</t>
  </si>
  <si>
    <t>204:958</t>
  </si>
  <si>
    <t>300:58694</t>
  </si>
  <si>
    <t>300:58688</t>
  </si>
  <si>
    <t>204:448</t>
  </si>
  <si>
    <t>204:965</t>
  </si>
  <si>
    <t>204:972</t>
  </si>
  <si>
    <t>204:706</t>
  </si>
  <si>
    <t>204:233027</t>
  </si>
  <si>
    <t>204:233288</t>
  </si>
  <si>
    <t>204:233051</t>
  </si>
  <si>
    <t>204:205</t>
  </si>
  <si>
    <t>204:129</t>
  </si>
  <si>
    <t>Wi-MAX data drop</t>
  </si>
  <si>
    <t>300-17</t>
  </si>
  <si>
    <t>105-17</t>
  </si>
  <si>
    <t>310-17</t>
  </si>
  <si>
    <t>rtdc.l.rtdc.4044:itc</t>
  </si>
  <si>
    <t>109-17</t>
  </si>
  <si>
    <t>106-17</t>
  </si>
  <si>
    <t>rtdc.l.rtdc.4023:itc</t>
  </si>
  <si>
    <t>1800-17</t>
  </si>
  <si>
    <t>123-17</t>
  </si>
  <si>
    <t>116-17</t>
  </si>
  <si>
    <t>125-17</t>
  </si>
  <si>
    <t>120-17</t>
  </si>
  <si>
    <t>126-17</t>
  </si>
  <si>
    <t>134-17</t>
  </si>
  <si>
    <t>138-17</t>
  </si>
  <si>
    <t>1808-17</t>
  </si>
  <si>
    <t>140-17</t>
  </si>
  <si>
    <t>rtdc.l.rtdc.4024:itc</t>
  </si>
  <si>
    <t>1811-17</t>
  </si>
  <si>
    <t>rtdc.l.rtdc.4056:itc</t>
  </si>
  <si>
    <t>163-17</t>
  </si>
  <si>
    <t>1813-17</t>
  </si>
  <si>
    <t>168-17</t>
  </si>
  <si>
    <t>1817-17</t>
  </si>
  <si>
    <t>1818-17</t>
  </si>
  <si>
    <t>182-17</t>
  </si>
  <si>
    <t>199-17</t>
  </si>
  <si>
    <t>1823-17</t>
  </si>
  <si>
    <t>202-17</t>
  </si>
  <si>
    <t>225-17</t>
  </si>
  <si>
    <t>226-17</t>
  </si>
  <si>
    <t>229-17</t>
  </si>
  <si>
    <t>1832-17</t>
  </si>
  <si>
    <t>1835-17</t>
  </si>
  <si>
    <t>241-17</t>
  </si>
  <si>
    <t>81-16</t>
  </si>
  <si>
    <t>ANDERS</t>
  </si>
  <si>
    <t>STEVEN</t>
  </si>
  <si>
    <t>245-16</t>
  </si>
  <si>
    <t>307-16</t>
  </si>
  <si>
    <t>82-16</t>
  </si>
  <si>
    <t>rtdc.l.rtdc.4005:itc</t>
  </si>
  <si>
    <t>244-16</t>
  </si>
  <si>
    <t>309-16</t>
  </si>
  <si>
    <t>246-16</t>
  </si>
  <si>
    <t>311-16</t>
  </si>
  <si>
    <t>313-16</t>
  </si>
  <si>
    <t>THOMPSON</t>
  </si>
  <si>
    <t>LESTER</t>
  </si>
  <si>
    <t>51-17</t>
  </si>
  <si>
    <t>rtdc.l.rtdc.4054:itc</t>
  </si>
  <si>
    <t>101-17</t>
  </si>
  <si>
    <t>302-17</t>
  </si>
  <si>
    <t>52-17</t>
  </si>
  <si>
    <t>103-17</t>
  </si>
  <si>
    <t>304-17</t>
  </si>
  <si>
    <t>rtdc.l.rtdc.4055:itc</t>
  </si>
  <si>
    <t>306-17</t>
  </si>
  <si>
    <t>LALONDE</t>
  </si>
  <si>
    <t>GREGORY</t>
  </si>
  <si>
    <t>rtdc.l.rtdc.4053:itc</t>
  </si>
  <si>
    <t>102-17</t>
  </si>
  <si>
    <t>308-17</t>
  </si>
  <si>
    <t>107-17</t>
  </si>
  <si>
    <t>104-17</t>
  </si>
  <si>
    <t>53-17</t>
  </si>
  <si>
    <t>HUFFSMITH</t>
  </si>
  <si>
    <t>MONTY</t>
  </si>
  <si>
    <t>54-17</t>
  </si>
  <si>
    <t>111-17</t>
  </si>
  <si>
    <t>108-17</t>
  </si>
  <si>
    <t>113-17</t>
  </si>
  <si>
    <t>115-17</t>
  </si>
  <si>
    <t>1901-17</t>
  </si>
  <si>
    <t>ROMERO</t>
  </si>
  <si>
    <t>CHAD</t>
  </si>
  <si>
    <t>110-17</t>
  </si>
  <si>
    <t>312-17</t>
  </si>
  <si>
    <t>LAMAR</t>
  </si>
  <si>
    <t>NEKESHA</t>
  </si>
  <si>
    <t>117-17</t>
  </si>
  <si>
    <t>112-17</t>
  </si>
  <si>
    <t>119-17</t>
  </si>
  <si>
    <t>1801-17</t>
  </si>
  <si>
    <t>114-17</t>
  </si>
  <si>
    <t>121-17</t>
  </si>
  <si>
    <t>1802-17</t>
  </si>
  <si>
    <t>118-17</t>
  </si>
  <si>
    <t>122-17</t>
  </si>
  <si>
    <t>1803-17</t>
  </si>
  <si>
    <t>127-17</t>
  </si>
  <si>
    <t>129-17</t>
  </si>
  <si>
    <t>124-17</t>
  </si>
  <si>
    <t>1804-17</t>
  </si>
  <si>
    <t>131-17</t>
  </si>
  <si>
    <t>133-17</t>
  </si>
  <si>
    <t>128-17</t>
  </si>
  <si>
    <t>135-17</t>
  </si>
  <si>
    <t>1805-17</t>
  </si>
  <si>
    <t>130-17</t>
  </si>
  <si>
    <t>137-17</t>
  </si>
  <si>
    <t>139-17</t>
  </si>
  <si>
    <t>132-17</t>
  </si>
  <si>
    <t>1806-17</t>
  </si>
  <si>
    <t>136-17</t>
  </si>
  <si>
    <t>141-17</t>
  </si>
  <si>
    <t>143-17</t>
  </si>
  <si>
    <t>1807-17</t>
  </si>
  <si>
    <t>145-17</t>
  </si>
  <si>
    <t>147-17</t>
  </si>
  <si>
    <t>142-17</t>
  </si>
  <si>
    <t>149-17</t>
  </si>
  <si>
    <t>144-17</t>
  </si>
  <si>
    <t>151-17</t>
  </si>
  <si>
    <t>1809-17</t>
  </si>
  <si>
    <t>146-17</t>
  </si>
  <si>
    <t>153-17</t>
  </si>
  <si>
    <t>148-17</t>
  </si>
  <si>
    <t>155-17</t>
  </si>
  <si>
    <t>1810-17</t>
  </si>
  <si>
    <t>150-17</t>
  </si>
  <si>
    <t>152-17</t>
  </si>
  <si>
    <t>157-17</t>
  </si>
  <si>
    <t>159-17</t>
  </si>
  <si>
    <t>154-17</t>
  </si>
  <si>
    <t>161-17</t>
  </si>
  <si>
    <t>156-17</t>
  </si>
  <si>
    <t>SAFIEF</t>
  </si>
  <si>
    <t>AEIMEN</t>
  </si>
  <si>
    <t>1812-17</t>
  </si>
  <si>
    <t>165-17</t>
  </si>
  <si>
    <t>MCREYNOLDS</t>
  </si>
  <si>
    <t>KYLE</t>
  </si>
  <si>
    <t>158-17</t>
  </si>
  <si>
    <t>160-17</t>
  </si>
  <si>
    <t>167-17</t>
  </si>
  <si>
    <t>169-17</t>
  </si>
  <si>
    <t>DAVIDSON</t>
  </si>
  <si>
    <t>162-17</t>
  </si>
  <si>
    <t>164-17</t>
  </si>
  <si>
    <t>166-17</t>
  </si>
  <si>
    <t>171-17</t>
  </si>
  <si>
    <t>1814-17</t>
  </si>
  <si>
    <t>173-17</t>
  </si>
  <si>
    <t>SMITH</t>
  </si>
  <si>
    <t>170-17</t>
  </si>
  <si>
    <t>1815-17</t>
  </si>
  <si>
    <t>175-17</t>
  </si>
  <si>
    <t>177-17</t>
  </si>
  <si>
    <t>172-17</t>
  </si>
  <si>
    <t>179-17</t>
  </si>
  <si>
    <t>1816-17</t>
  </si>
  <si>
    <t>174-17</t>
  </si>
  <si>
    <t>181-17</t>
  </si>
  <si>
    <t>183-17</t>
  </si>
  <si>
    <t>176-17</t>
  </si>
  <si>
    <t>178-17</t>
  </si>
  <si>
    <t>185-17</t>
  </si>
  <si>
    <t>180-17</t>
  </si>
  <si>
    <t>187-17</t>
  </si>
  <si>
    <t>184-17</t>
  </si>
  <si>
    <t>189-17</t>
  </si>
  <si>
    <t>191-17</t>
  </si>
  <si>
    <t>1819-17</t>
  </si>
  <si>
    <t>186-17</t>
  </si>
  <si>
    <t>193-17</t>
  </si>
  <si>
    <t>188-17</t>
  </si>
  <si>
    <t>195-17</t>
  </si>
  <si>
    <t>1820-17</t>
  </si>
  <si>
    <t>190-17</t>
  </si>
  <si>
    <t>197-17</t>
  </si>
  <si>
    <t>192-17</t>
  </si>
  <si>
    <t>194-17</t>
  </si>
  <si>
    <t>1821-17</t>
  </si>
  <si>
    <t>201-17</t>
  </si>
  <si>
    <t>196-17</t>
  </si>
  <si>
    <t>203-17</t>
  </si>
  <si>
    <t>198-17</t>
  </si>
  <si>
    <t>1822-17</t>
  </si>
  <si>
    <t>205-17</t>
  </si>
  <si>
    <t>207-17</t>
  </si>
  <si>
    <t>200-17</t>
  </si>
  <si>
    <t>209-17</t>
  </si>
  <si>
    <t>211-17</t>
  </si>
  <si>
    <t>204-17</t>
  </si>
  <si>
    <t>206-17</t>
  </si>
  <si>
    <t>1824-17</t>
  </si>
  <si>
    <t>213-17</t>
  </si>
  <si>
    <t>75-17</t>
  </si>
  <si>
    <t>208-17</t>
  </si>
  <si>
    <t>76-17</t>
  </si>
  <si>
    <t>215-17</t>
  </si>
  <si>
    <t>210-17</t>
  </si>
  <si>
    <t>1825-17</t>
  </si>
  <si>
    <t>217-17</t>
  </si>
  <si>
    <t>212-17</t>
  </si>
  <si>
    <t>219-17</t>
  </si>
  <si>
    <t>214-17</t>
  </si>
  <si>
    <t>1826-17</t>
  </si>
  <si>
    <t>295-17</t>
  </si>
  <si>
    <t>RESPASS</t>
  </si>
  <si>
    <t>AARON</t>
  </si>
  <si>
    <t>216-17</t>
  </si>
  <si>
    <t>221-17</t>
  </si>
  <si>
    <t>218-17</t>
  </si>
  <si>
    <t>1827-17</t>
  </si>
  <si>
    <t>297-17</t>
  </si>
  <si>
    <t>MAGEE</t>
  </si>
  <si>
    <t>KENYA</t>
  </si>
  <si>
    <t>220-17</t>
  </si>
  <si>
    <t>223-17</t>
  </si>
  <si>
    <t>296-17</t>
  </si>
  <si>
    <t>1828-17</t>
  </si>
  <si>
    <t>305-17</t>
  </si>
  <si>
    <t>222-17</t>
  </si>
  <si>
    <t>1829-17</t>
  </si>
  <si>
    <t>227-17</t>
  </si>
  <si>
    <t>298-17</t>
  </si>
  <si>
    <t>301-17</t>
  </si>
  <si>
    <t>224-17</t>
  </si>
  <si>
    <t>1830-17</t>
  </si>
  <si>
    <t>303-17</t>
  </si>
  <si>
    <t>1831-17</t>
  </si>
  <si>
    <t>231-17</t>
  </si>
  <si>
    <t>228-17</t>
  </si>
  <si>
    <t>233-17</t>
  </si>
  <si>
    <t>230-17</t>
  </si>
  <si>
    <t>1833-17</t>
  </si>
  <si>
    <t>235-17</t>
  </si>
  <si>
    <t>232-17</t>
  </si>
  <si>
    <t>234-17</t>
  </si>
  <si>
    <t>1834-17</t>
  </si>
  <si>
    <t>237-17</t>
  </si>
  <si>
    <t>236-17</t>
  </si>
  <si>
    <t>239-17</t>
  </si>
  <si>
    <t>1902-17</t>
  </si>
  <si>
    <t>238-17</t>
  </si>
  <si>
    <t>243-17</t>
  </si>
  <si>
    <t>240-17</t>
  </si>
  <si>
    <t>242-17</t>
  </si>
  <si>
    <t>313-17</t>
  </si>
  <si>
    <t>307-17</t>
  </si>
  <si>
    <t>244-17</t>
  </si>
  <si>
    <t>309-17</t>
  </si>
  <si>
    <t>311-17</t>
  </si>
  <si>
    <t>300-18</t>
  </si>
  <si>
    <t>204:770</t>
  </si>
  <si>
    <t>204:233301</t>
  </si>
  <si>
    <t>204:233046</t>
  </si>
  <si>
    <t>204:915</t>
  </si>
  <si>
    <t>204:233017</t>
  </si>
  <si>
    <t>204:233324</t>
  </si>
  <si>
    <t>204:233302</t>
  </si>
  <si>
    <t>204:233284</t>
  </si>
  <si>
    <t>204:232959</t>
  </si>
  <si>
    <t>204:169</t>
  </si>
  <si>
    <t>204:232965</t>
  </si>
  <si>
    <t>204:232968</t>
  </si>
  <si>
    <t>204:233318</t>
  </si>
  <si>
    <t>204:233001</t>
  </si>
  <si>
    <t>204:165</t>
  </si>
  <si>
    <t>204:88400</t>
  </si>
  <si>
    <t>204:88377</t>
  </si>
  <si>
    <t>204:233310</t>
  </si>
  <si>
    <t>204:506</t>
  </si>
  <si>
    <t>204:233337</t>
  </si>
  <si>
    <t>204:233028</t>
  </si>
  <si>
    <t>204:233321</t>
  </si>
  <si>
    <t>204:478</t>
  </si>
  <si>
    <t>204:232975</t>
  </si>
  <si>
    <t>204:233338</t>
  </si>
  <si>
    <t>204:233006</t>
  </si>
  <si>
    <t>204:194</t>
  </si>
  <si>
    <t>204:24169</t>
  </si>
  <si>
    <t>204:26146</t>
  </si>
  <si>
    <t>204:233331</t>
  </si>
  <si>
    <t>204:233019</t>
  </si>
  <si>
    <t>204:233309</t>
  </si>
  <si>
    <t>204:233011</t>
  </si>
  <si>
    <t>204:233330</t>
  </si>
  <si>
    <t>204:502</t>
  </si>
  <si>
    <t>204:233251</t>
  </si>
  <si>
    <t>204:233015</t>
  </si>
  <si>
    <t>204:130</t>
  </si>
  <si>
    <t>204:123</t>
  </si>
  <si>
    <t>204:233368</t>
  </si>
  <si>
    <t>300:58689</t>
  </si>
  <si>
    <t>204:647</t>
  </si>
  <si>
    <t>204:937</t>
  </si>
  <si>
    <t>300:59001</t>
  </si>
  <si>
    <t>300:58681</t>
  </si>
  <si>
    <t>204:643</t>
  </si>
  <si>
    <t>204:927</t>
  </si>
  <si>
    <t>300:59007</t>
  </si>
  <si>
    <t>300:58687</t>
  </si>
  <si>
    <t>204:640</t>
  </si>
  <si>
    <t>204:934</t>
  </si>
  <si>
    <t>300:59010</t>
  </si>
  <si>
    <t>204:636</t>
  </si>
  <si>
    <t>204:909</t>
  </si>
  <si>
    <t>300:58971</t>
  </si>
  <si>
    <t>300:58664</t>
  </si>
  <si>
    <t>204:607</t>
  </si>
  <si>
    <t>204:883</t>
  </si>
  <si>
    <t>300:59003</t>
  </si>
  <si>
    <t>204:233359</t>
  </si>
  <si>
    <t>204:650</t>
  </si>
  <si>
    <t>204:1382</t>
  </si>
  <si>
    <t>300:58119</t>
  </si>
  <si>
    <t>300:58692</t>
  </si>
  <si>
    <t>204:633</t>
  </si>
  <si>
    <t>204:2050</t>
  </si>
  <si>
    <t>300:58988</t>
  </si>
  <si>
    <t>204:2058</t>
  </si>
  <si>
    <t>300:58673</t>
  </si>
  <si>
    <t>204:920</t>
  </si>
  <si>
    <t>300:58997</t>
  </si>
  <si>
    <t>300:58679</t>
  </si>
  <si>
    <t>300:57326</t>
  </si>
  <si>
    <t>300:57335</t>
  </si>
  <si>
    <t>204:946</t>
  </si>
  <si>
    <t>300:58993</t>
  </si>
  <si>
    <t>300:58670</t>
  </si>
  <si>
    <t>204:671</t>
  </si>
  <si>
    <t>204:88145</t>
  </si>
  <si>
    <t>204:64174</t>
  </si>
  <si>
    <t>300:58677</t>
  </si>
  <si>
    <t>204:757</t>
  </si>
  <si>
    <t>300:58978</t>
  </si>
  <si>
    <t>204:670</t>
  </si>
  <si>
    <t>300:59031</t>
  </si>
  <si>
    <t>300:58728</t>
  </si>
  <si>
    <t>204:622</t>
  </si>
  <si>
    <t>204:997</t>
  </si>
  <si>
    <t>204:691</t>
  </si>
  <si>
    <t>204:457</t>
  </si>
  <si>
    <t>204:698</t>
  </si>
  <si>
    <t>204:967</t>
  </si>
  <si>
    <t>204:992</t>
  </si>
  <si>
    <t>300:58980</t>
  </si>
  <si>
    <t>204:134</t>
  </si>
  <si>
    <t>204:233049</t>
  </si>
  <si>
    <t>300:30406</t>
  </si>
  <si>
    <t>300:59022</t>
  </si>
  <si>
    <t>300:28780</t>
  </si>
  <si>
    <t>204:233376</t>
  </si>
  <si>
    <t>204:233048</t>
  </si>
  <si>
    <t>204:233286</t>
  </si>
  <si>
    <t>204:232971</t>
  </si>
  <si>
    <t>204:489</t>
  </si>
  <si>
    <t>204:233023</t>
  </si>
  <si>
    <t>204:233453</t>
  </si>
  <si>
    <t>204:233126</t>
  </si>
  <si>
    <t>204:233326</t>
  </si>
  <si>
    <t>204:233227</t>
  </si>
  <si>
    <t>204:233021</t>
  </si>
  <si>
    <t>204:233340</t>
  </si>
  <si>
    <t>204:233038</t>
  </si>
  <si>
    <t>204:233449</t>
  </si>
  <si>
    <t>204:233164</t>
  </si>
  <si>
    <t>204:233329</t>
  </si>
  <si>
    <t>204:233243</t>
  </si>
  <si>
    <t>204:222</t>
  </si>
  <si>
    <t>204:233099</t>
  </si>
  <si>
    <t>300:23107</t>
  </si>
  <si>
    <t>300:19467</t>
  </si>
  <si>
    <t>300:23346</t>
  </si>
  <si>
    <t>300:22404</t>
  </si>
  <si>
    <t>300:23312</t>
  </si>
  <si>
    <t>300:23389</t>
  </si>
  <si>
    <t>300:23366</t>
  </si>
  <si>
    <t>204:170</t>
  </si>
  <si>
    <t>300:23565</t>
  </si>
  <si>
    <t>204:4394</t>
  </si>
  <si>
    <t>300:25770</t>
  </si>
  <si>
    <t>204:3278</t>
  </si>
  <si>
    <t>300:4866</t>
  </si>
  <si>
    <t>204:1238</t>
  </si>
  <si>
    <t>300:5137</t>
  </si>
  <si>
    <t>204:2943</t>
  </si>
  <si>
    <t>204:1150</t>
  </si>
  <si>
    <t>204:1473</t>
  </si>
  <si>
    <t>204:3352</t>
  </si>
  <si>
    <t>204:3005</t>
  </si>
  <si>
    <t>204:1469</t>
  </si>
  <si>
    <t>300:22758</t>
  </si>
  <si>
    <t>204:1507</t>
  </si>
  <si>
    <t>start /low /b %USERPROFILE%\Documents\GitHub\eaglep3\Utilities\DownloadLogsFromS3.py --loco 4053 --day 1969-12-31</t>
  </si>
  <si>
    <t>start /low /b %USERPROFILE%\Documents\GitHub\eaglep3\Utilities\DownloadLogsFromS3.py --loco 4044 --day 2017-09-17</t>
  </si>
  <si>
    <t>start /low /b %USERPROFILE%\Documents\GitHub\eaglep3\Utilities\DownloadLogsFromS3.py --loco 4002 --day 2017-09-17</t>
  </si>
  <si>
    <t>start /low /b %USERPROFILE%\Documents\GitHub\eaglep3\Utilities\DownloadLogsFromS3.py --loco 4059 --day 2017-09-17</t>
  </si>
  <si>
    <t>start /low /b %USERPROFILE%\Documents\GitHub\eaglep3\Utilities\DownloadLogsFromS3.py --loco 4016 --day 2017-09-17</t>
  </si>
  <si>
    <t>start /low /b %USERPROFILE%\Documents\GitHub\eaglep3\Utilities\DownloadLogsFromS3.py --loco 4056 --day 2017-09-17</t>
  </si>
  <si>
    <t>start /low /b %USERPROFILE%\Documents\GitHub\eaglep3\Utilities\DownloadLogsFromS3.py --loco 4024 --day 2017-09-17</t>
  </si>
  <si>
    <t>start /low /b %USERPROFILE%\Documents\GitHub\eaglep3\Utilities\DownloadLogsFromS3.py --loco 4023 --day 2017-09-17</t>
  </si>
  <si>
    <t>start /low /b %USERPROFILE%\Documents\GitHub\eaglep3\Utilities\DownloadLogsFromS3.py --loco 4027 --day 2017-09-17</t>
  </si>
  <si>
    <t>start /low /b %USERPROFILE%\Documents\GitHub\eaglep3\Utilities\DownloadLogsFromS3.py --loco 4027 --day 2017-09-18</t>
  </si>
  <si>
    <t>start /low /b %USERPROFILE%\Documents\GitHub\eaglep3\Utilities\DownloadLogsFromS3.py --loco 4043 --day 2017-09-17</t>
  </si>
  <si>
    <t>start /low /b %USERPROFILE%\Documents\GitHub\eaglep3\Utilities\DownloadLogsFromS3.py --loco 4028 --day 2017-09-18</t>
  </si>
  <si>
    <t>start /low /b %USERPROFILE%\Documents\GitHub\eaglep3\Utilities\DownloadLogsFromS3.py --loco 4028 --day 2017-09-17</t>
  </si>
  <si>
    <t>start /low /b %USERPROFILE%\Documents\GitHub\eaglep3\Utilities\DownloadLogsFromS3.py --loco 4060 --day 2017-09-17</t>
  </si>
  <si>
    <t>start /low /b %USERPROFILE%\Documents\GitHub\eaglep3\Utilities\DownloadLogsFromS3.py --loco 4015 --day 2017-09-17</t>
  </si>
  <si>
    <t>start /low /b %USERPROFILE%\Documents\GitHub\eaglep3\Utilities\DownloadLogsFromS3.py --loco 4065 --day 2017-09-17</t>
  </si>
  <si>
    <t>start /low /b %USERPROFILE%\Documents\GitHub\eaglep3\Utilities\DownloadLogsFromS3.py --loco 4060 --day 2017-09-18</t>
  </si>
  <si>
    <t>start /low /b %USERPROFILE%\Documents\GitHub\eaglep3\Utilities\DownloadLogsFromS3.py --loco 4023 --day 2017-09-18</t>
  </si>
  <si>
    <t>start /low /b %USERPROFILE%\Documents\GitHub\eaglep3\Utilities\DownloadLogsFromS3.py --loco 4024 --day 2017-09-18</t>
  </si>
  <si>
    <t>Dispatcher-initiated cut out</t>
  </si>
  <si>
    <t>Go Broncos</t>
  </si>
  <si>
    <t>Sat - Sun = 36 Trips</t>
  </si>
  <si>
    <t>From 07:17:50 - 07:44:45, seems like dispatcher was unable to clear DIA 2N. Was there another train occupying the track that 2N was protecting?</t>
  </si>
  <si>
    <t>Could not clear DIA 2N - PSS issued</t>
  </si>
  <si>
    <t>"Summary View"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</si>
</sst>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9" fontId="0" fillId="0" borderId="0" xfId="0" applyNumberFormat="1"/>
    <xf numFmtId="167" fontId="0" fillId="0" borderId="5" xfId="0" applyNumberFormat="1" applyFon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96"/>
  <sheetViews>
    <sheetView tabSelected="1" topLeftCell="B1" zoomScaleNormal="100" workbookViewId="0">
      <selection activeCell="R17" sqref="R17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20" customWidth="1"/>
    <col min="20" max="20" width="3.85546875" style="168" customWidth="1"/>
    <col min="21" max="21" width="5" style="197" customWidth="1"/>
    <col min="22" max="22" width="5.7109375" style="218" customWidth="1"/>
    <col min="23" max="23" width="3.85546875" style="203" customWidth="1"/>
    <col min="24" max="24" width="6.5703125" style="203" customWidth="1"/>
    <col min="25" max="25" width="11.5703125" style="203" bestFit="1" customWidth="1"/>
    <col min="26" max="26" width="7.28515625" style="203" customWidth="1"/>
    <col min="27" max="27" width="9.140625" style="203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8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69"/>
      <c r="M1" s="35"/>
      <c r="N1" s="36"/>
      <c r="O1" s="2"/>
      <c r="P1" s="2"/>
      <c r="R1" s="160" t="s">
        <v>104</v>
      </c>
      <c r="S1" s="123"/>
      <c r="T1" s="169"/>
      <c r="U1" s="193"/>
      <c r="V1" s="209"/>
      <c r="W1" s="193"/>
      <c r="X1" s="197"/>
      <c r="Y1" s="203"/>
      <c r="Z1" s="203"/>
      <c r="AA1" s="203"/>
      <c r="AB1" s="52"/>
      <c r="AC1" s="49"/>
      <c r="AD1" s="2"/>
      <c r="AE1" s="1"/>
      <c r="AF1" s="1"/>
      <c r="AG1" s="183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42995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42995</v>
      </c>
      <c r="S2" s="206"/>
      <c r="T2" s="170"/>
      <c r="U2" s="194"/>
      <c r="V2" s="210" t="s">
        <v>8</v>
      </c>
      <c r="W2" s="211"/>
      <c r="X2" s="200"/>
      <c r="Y2" s="203"/>
      <c r="Z2" s="203"/>
      <c r="AA2" s="203"/>
      <c r="AB2" s="52"/>
      <c r="AC2" s="49"/>
      <c r="AD2" s="2"/>
      <c r="AE2" s="1"/>
      <c r="AF2" s="1"/>
      <c r="AG2" s="183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7"/>
      <c r="T3" s="171"/>
      <c r="U3" s="195"/>
      <c r="V3" s="212" t="s">
        <v>11</v>
      </c>
      <c r="W3" s="213" t="s">
        <v>12</v>
      </c>
      <c r="X3" s="201" t="s">
        <v>13</v>
      </c>
      <c r="Y3" s="203"/>
      <c r="Z3" s="203"/>
      <c r="AA3" s="203"/>
      <c r="AB3" s="52"/>
      <c r="AC3" s="49"/>
      <c r="AD3" s="2"/>
      <c r="AE3" s="1"/>
      <c r="AF3" s="1"/>
      <c r="AG3" s="183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148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8">
        <f>SUM(S5:S7)</f>
        <v>36</v>
      </c>
      <c r="T4" s="172"/>
      <c r="U4" s="196"/>
      <c r="V4" s="212" t="s">
        <v>15</v>
      </c>
      <c r="W4" s="213" t="s">
        <v>15</v>
      </c>
      <c r="X4" s="201" t="s">
        <v>15</v>
      </c>
      <c r="Y4" s="203"/>
      <c r="Z4" s="203"/>
      <c r="AA4" s="203"/>
      <c r="AB4" s="52"/>
      <c r="AC4" s="49"/>
      <c r="AD4" s="2"/>
      <c r="AE4" s="1"/>
      <c r="AF4" s="1"/>
      <c r="AG4" s="183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COUNTIFS($N$13:$N$9339,"&gt;0",$AG$13:$AG$9339,I1)</f>
        <v>144</v>
      </c>
      <c r="K5" s="39"/>
      <c r="L5" s="172"/>
      <c r="M5" s="40">
        <f>AVERAGEIFS($N$13:$N$9339,$AG$13:$AG$9339,I1)</f>
        <v>37.237152777452138</v>
      </c>
      <c r="N5" s="38">
        <f t="array" ref="N5">MIN(IF($AG$13:$AG$9339=I1,IF(ISNUMBER($N$13:$N$9339),IF($N$13:$N$9339&gt;0,$N$13:$N$9339))))</f>
        <v>33.916666663717479</v>
      </c>
      <c r="O5" s="3">
        <f t="array" ref="O5">MAX(IF($AG$13:$AG$9339=I1,IF(ISNUMBER($N$13:$N$9339),IF($N$13:$N$9339&gt;0,$N$13:$N$9339))))</f>
        <v>44.416666666511446</v>
      </c>
      <c r="P5" s="2"/>
      <c r="R5" s="163" t="s">
        <v>17</v>
      </c>
      <c r="S5" s="208">
        <f>COUNTIFS($N$13:$N$9339,"&gt;0",$AG$13:$AG$9339,R1)</f>
        <v>36</v>
      </c>
      <c r="T5" s="172"/>
      <c r="U5" s="196"/>
      <c r="V5" s="212">
        <f>AVERAGEIFS($N$13:$N$9339,$AG$13:$AG$9339,R1)</f>
        <v>14.128240741265472</v>
      </c>
      <c r="W5" s="213">
        <f t="array" ref="W5">MIN(IF($AG$13:$AG$9339=R1,IF(ISNUMBER($N$13:$N$9339),IF($N$13:$N$9339&gt;0,$N$13:$N$9339))))</f>
        <v>9.6500000031664968</v>
      </c>
      <c r="X5" s="201">
        <f t="array" ref="X5">MAX(IF($AG$13:$AG$9339=R1,IF(ISNUMBER($N$13:$N$9339),IF($N$13:$N$9339&gt;0,$N$13:$N$9339))))</f>
        <v>22.699999994365498</v>
      </c>
      <c r="Y5" s="203"/>
      <c r="Z5" s="203"/>
      <c r="AA5" s="203"/>
      <c r="AB5" s="52"/>
      <c r="AC5" s="49"/>
      <c r="AD5" s="2"/>
      <c r="AE5" s="1"/>
      <c r="AF5" s="1"/>
      <c r="AG5" s="183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COUNT($O$13:$O$143)</f>
        <v>0</v>
      </c>
      <c r="K6" s="39"/>
      <c r="L6" s="172"/>
      <c r="M6" s="40">
        <f>IFERROR(AVERAGE($O$13:$O$143),0)</f>
        <v>0</v>
      </c>
      <c r="N6" s="38">
        <f>MIN($O$13:$O$143)</f>
        <v>0</v>
      </c>
      <c r="O6" s="3">
        <f>MAX($O$13:$O$143)</f>
        <v>0</v>
      </c>
      <c r="P6" s="2"/>
      <c r="R6" s="164" t="s">
        <v>43</v>
      </c>
      <c r="S6" s="208">
        <f>COUNT($O$13:$O$143)</f>
        <v>0</v>
      </c>
      <c r="T6" s="172"/>
      <c r="U6" s="196"/>
      <c r="V6" s="212">
        <f>IFERROR(AVERAGE($O$13:$O$143),0)</f>
        <v>0</v>
      </c>
      <c r="W6" s="213">
        <f>MIN($O$13:$O$143)</f>
        <v>0</v>
      </c>
      <c r="X6" s="201">
        <f>MAX($O$13:$O$143)</f>
        <v>0</v>
      </c>
      <c r="Y6" s="203"/>
      <c r="Z6" s="203"/>
      <c r="AA6" s="203"/>
      <c r="AB6" s="52"/>
      <c r="AC6" s="49"/>
      <c r="AD6" s="2"/>
      <c r="AE6" s="1"/>
      <c r="AF6" s="1"/>
      <c r="AG6" s="183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COUNTIFS($P$13:$P$9339,"&gt;0",$AG$13:$AG$9339,I1)</f>
        <v>4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8">
        <f>COUNTIFS($P$13:$P$9339,"&gt;0",$AG$13:$AG$9339,R1)</f>
        <v>0</v>
      </c>
      <c r="T7" s="172"/>
      <c r="U7" s="196"/>
      <c r="V7" s="212" t="s">
        <v>15</v>
      </c>
      <c r="W7" s="213" t="s">
        <v>15</v>
      </c>
      <c r="X7" s="201" t="s">
        <v>15</v>
      </c>
      <c r="Y7" s="203"/>
      <c r="Z7" s="203"/>
      <c r="AA7" s="203"/>
      <c r="AB7" s="52"/>
      <c r="AC7" s="49"/>
      <c r="AD7" s="2"/>
      <c r="AE7" s="1"/>
      <c r="AF7" s="1"/>
      <c r="AG7" s="183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72"/>
      <c r="M8" s="40">
        <f>M5</f>
        <v>37.237152777452138</v>
      </c>
      <c r="N8" s="38">
        <f>N5</f>
        <v>33.916666663717479</v>
      </c>
      <c r="O8" s="3">
        <f>O5</f>
        <v>44.416666666511446</v>
      </c>
      <c r="P8" s="2"/>
      <c r="R8" s="163" t="s">
        <v>16</v>
      </c>
      <c r="S8" s="208">
        <f>S5</f>
        <v>36</v>
      </c>
      <c r="T8" s="172"/>
      <c r="U8" s="196"/>
      <c r="V8" s="212">
        <f>V5</f>
        <v>14.128240741265472</v>
      </c>
      <c r="W8" s="213">
        <f>W5</f>
        <v>9.6500000031664968</v>
      </c>
      <c r="X8" s="201">
        <f>X5</f>
        <v>22.699999994365498</v>
      </c>
      <c r="Y8" s="203"/>
      <c r="Z8" s="203"/>
      <c r="AA8" s="203"/>
      <c r="AB8" s="52"/>
      <c r="AC8" s="49"/>
      <c r="AD8" s="2"/>
      <c r="AE8" s="1"/>
      <c r="AF8" s="1"/>
      <c r="AG8" s="183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0.97297297297297303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3"/>
      <c r="V9" s="214"/>
      <c r="W9" s="193"/>
      <c r="X9" s="202"/>
      <c r="Y9" s="203"/>
      <c r="Z9" s="203"/>
      <c r="AA9" s="203"/>
      <c r="AB9" s="52"/>
      <c r="AC9" s="49"/>
      <c r="AD9" s="2"/>
      <c r="AE9" s="1"/>
      <c r="AF9" s="1"/>
      <c r="AG9" s="183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20"/>
      <c r="T10" s="168"/>
      <c r="U10" s="197"/>
      <c r="V10" s="215"/>
      <c r="W10" s="203"/>
      <c r="X10" s="203"/>
      <c r="Y10" s="203"/>
      <c r="Z10" s="203"/>
      <c r="AA10" s="203"/>
      <c r="AB10" s="52"/>
      <c r="AC10" s="49"/>
      <c r="AD10" s="2"/>
      <c r="AE10" s="1"/>
      <c r="AF10" s="1"/>
      <c r="AG10" s="183"/>
      <c r="AH10" s="47"/>
      <c r="AI10" s="1"/>
      <c r="AM10" s="142"/>
      <c r="AO10" s="168"/>
    </row>
    <row r="11" spans="1:91" ht="16.5" thickBot="1" x14ac:dyDescent="0.3">
      <c r="A11" s="227" t="str">
        <f>"Eagle P3 System Performance - "&amp;TEXT(Variables!A2,"yyyy-mm-dd")</f>
        <v>Eagle P3 System Performance - 2017-09-17</v>
      </c>
      <c r="B11" s="227"/>
      <c r="C11" s="227"/>
      <c r="D11" s="227"/>
      <c r="E11" s="227"/>
      <c r="F11" s="227"/>
      <c r="G11" s="227"/>
      <c r="H11" s="227"/>
      <c r="I11" s="227"/>
      <c r="J11" s="227"/>
      <c r="K11" s="227"/>
      <c r="L11" s="227"/>
      <c r="M11" s="227"/>
      <c r="N11" s="227"/>
      <c r="O11" s="227"/>
      <c r="P11" s="227"/>
      <c r="S11" s="220">
        <f>AVERAGE(S13:S106)</f>
        <v>0.98809523809523814</v>
      </c>
      <c r="V11" s="215"/>
      <c r="AE11" s="1"/>
      <c r="AF11" s="1"/>
      <c r="AG11" s="183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1" t="s">
        <v>63</v>
      </c>
      <c r="T12" s="173" t="s">
        <v>64</v>
      </c>
      <c r="U12" s="198" t="s">
        <v>65</v>
      </c>
      <c r="V12" s="216" t="s">
        <v>45</v>
      </c>
      <c r="W12" s="204" t="s">
        <v>23</v>
      </c>
      <c r="X12" s="204" t="s">
        <v>48</v>
      </c>
      <c r="Y12" s="204" t="s">
        <v>20</v>
      </c>
      <c r="Z12" s="204" t="s">
        <v>21</v>
      </c>
      <c r="AA12" s="204" t="s">
        <v>22</v>
      </c>
      <c r="AB12" s="53" t="s">
        <v>39</v>
      </c>
      <c r="AC12" s="50" t="s">
        <v>40</v>
      </c>
      <c r="AD12" s="179" t="s">
        <v>82</v>
      </c>
      <c r="AE12" s="76" t="s">
        <v>89</v>
      </c>
      <c r="AF12" s="73" t="s">
        <v>94</v>
      </c>
      <c r="AG12" s="178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178" t="s">
        <v>983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623</v>
      </c>
      <c r="B13" s="7">
        <v>4054</v>
      </c>
      <c r="C13" s="21" t="s">
        <v>197</v>
      </c>
      <c r="D13" s="21" t="s">
        <v>818</v>
      </c>
      <c r="E13" s="13">
        <v>42995.12940972222</v>
      </c>
      <c r="F13" s="13">
        <v>42995.135671296295</v>
      </c>
      <c r="G13" s="7">
        <v>72</v>
      </c>
      <c r="H13" s="21" t="s">
        <v>819</v>
      </c>
      <c r="I13" s="13">
        <v>42995.161030092589</v>
      </c>
      <c r="J13" s="7">
        <v>0</v>
      </c>
      <c r="K13" s="89" t="str">
        <f t="shared" ref="K13:K76" si="0">IF(ISEVEN(B13),(B13-1)&amp;"/"&amp;B13,B13&amp;"/"&amp;(B13+1))</f>
        <v>4053/4054</v>
      </c>
      <c r="L13" s="186" t="str">
        <f>VLOOKUP(A13,'Trips&amp;Operators'!$C$1:$G$99911,5,FALSE)</f>
        <v>THOMPSON LESTER</v>
      </c>
      <c r="M13" s="6">
        <f t="shared" ref="M13:M76" si="1">I13-F13</f>
        <v>2.5358796294312924E-2</v>
      </c>
      <c r="N13" s="7">
        <f t="shared" ref="N13:N23" si="2">24*60*SUM($M13:$M13)</f>
        <v>36.516666663810611</v>
      </c>
      <c r="O13" s="7"/>
      <c r="P13" s="7"/>
      <c r="Q13" s="22"/>
      <c r="R13" s="167"/>
      <c r="S13" s="222">
        <f t="shared" ref="S13:S34" si="3">1/IF(AG13="EC",12,1)*SUM(U13:U13)</f>
        <v>1</v>
      </c>
      <c r="T13" s="174" t="str">
        <f t="shared" ref="T13:T76" si="4">IF(ISEVEN(LEFT(AD13,4)),"Southbound","NorthBound")</f>
        <v>NorthBound</v>
      </c>
      <c r="U13" s="19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7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-17T02:06:21-0600',mode:absolute,to:'2017-09-17T04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" s="205" t="str">
        <f>IF(AA13&lt;VLOOKUP(AG13,Variables!$AC$3:$AD$8,2,FALSE),"Y","N")</f>
        <v>N</v>
      </c>
      <c r="X13" s="205" t="e">
        <f t="shared" ref="X13:X44" si="6">VALUE(LEFT(AD13,4))-VALUE(LEFT(AD12,4))</f>
        <v>#VALUE!</v>
      </c>
      <c r="Y13" s="205">
        <f t="shared" ref="Y13:Y44" si="7">RIGHT(D13,LEN(D13)-4)/10000</f>
        <v>7.6999999999999999E-2</v>
      </c>
      <c r="Z13" s="205">
        <f t="shared" ref="Z13:Z44" si="8">RIGHT(H13,LEN(H13)-4)/10000</f>
        <v>23.330100000000002</v>
      </c>
      <c r="AA13" s="205">
        <f t="shared" ref="AA13:AA76" si="9">ABS(Z13-Y13)</f>
        <v>23.2531</v>
      </c>
      <c r="AB13" s="54" t="e">
        <f>VLOOKUP(A13,Enforcements!$C$7:$K$11,8,0)</f>
        <v>#N/A</v>
      </c>
      <c r="AC13" s="51" t="e">
        <f>VLOOKUP(A13,Enforcements!$C$7:$E$11,3,0)</f>
        <v>#N/A</v>
      </c>
      <c r="AD13" s="180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s3://rtdc.mdm.uploadarchive.raw/RTDC4054/ "%USERPROFILE%\AppData\Local\Temp\OnboardLogs"\RTDC4054\2017-09-17 --exclude "*" --recursive --include "*20170917*" &amp; "%USERPROFILE%\Documents\GitHub\mrs-test-scripts\Headless Mode &amp; Sideloading\WalkAndUnGZ.bat" "%USERPROFILE%\AppData\Local\Temp\OnboardLogs"\RTDC4054\2017-09-17 &amp; aws s3 cp s3://rtdc.mdm.uploadarchive.raw/RTDC4054/ "%USERPROFILE%\AppData\Local\Temp\OnboardLogs"\RTDC4054\2017-09-18 --exclude "*" --recursive --include "*20170918*" &amp; "%USERPROFILE%\Documents\GitHub\mrs-test-scripts\Headless Mode &amp; Sideloading\WalkAndUnGZ.bat" "%USERPROFILE%\AppData\Local\Temp\OnboardLogs"\RTDC4054\2017-09-18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/stypes="app*4054*20170917*" /stext=" 09:.+((SYSTEM_STATE.+slice.+state.+changed )|(ment ac)|(multiple cpu faults)|(system.+state.+changed )|(\[timeout)|(PRM\|1\|D)|(kpr)|(kdp)|(train st.+moving)|(\|lc)|(penalty))"</v>
      </c>
      <c r="AG13" s="183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4054 --swversion DE.1.0.9.0 --startMP 204:770 --initTime 2017-09-17T03:06:21 --startdatetime 2017-09-17T03:15:22 --delay 72 --endMP 204:233301 --enddatetime 2017-09-17T03:51:53 --enforcementcount 0 &gt;&gt;C:\Users\stu\Documents\GitHub\eaglep3-reporting\EC\2017-09-17-refined-times.txt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{"issue":{"subject":"","project_id":79,"tracker_id":40,"status_id":1,"priority_id":2,"assigned_to_id":338,"start_date":"2017-09-17","description":"","custom_fields":[{"id":1,"name":"Subdivision","value":"EC"},{"id":4,"name":"Milepost","value":"23.3301"},{"id":17,"name":"Train ID","value":"101-17"},{"id":16,"name":"Locomotive ID","value":"4054"},{"id":130,"name":"Impact","value":""},{"id":150,"name":"Time of Event (Mountain Time)","value":"03:51:53"},{"id":151,"name":"Denver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4054 --day 2017-09-17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09:51:53"},{"id":29,"name":"Sharepoint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Message%5C+ID:(*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-17T02:06:21-0600',mode:absolute,to:'2017-09-17T04:51:53-0600'))&amp;_a=(columns:!('Message%20ID',Summary),filters:!(),index:'emp_*',interval:auto,query:(query_string:(analyze_wildcard:!t,query:'Message%5C+ID:(*)+AND+%22rtdc.l.rtdc.4054%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633</v>
      </c>
      <c r="B14" s="7">
        <v>4053</v>
      </c>
      <c r="C14" s="21" t="s">
        <v>197</v>
      </c>
      <c r="D14" s="21" t="s">
        <v>374</v>
      </c>
      <c r="E14" s="13">
        <v>42995.173194444447</v>
      </c>
      <c r="F14" s="13">
        <v>42995.175162037034</v>
      </c>
      <c r="G14" s="7">
        <v>78</v>
      </c>
      <c r="H14" s="21" t="s">
        <v>569</v>
      </c>
      <c r="I14" s="13">
        <v>42995.202546296299</v>
      </c>
      <c r="J14" s="7">
        <v>0</v>
      </c>
      <c r="K14" s="89" t="str">
        <f t="shared" si="0"/>
        <v>4053/4054</v>
      </c>
      <c r="L14" s="186" t="str">
        <f>VLOOKUP(A14,'Trips&amp;Operators'!$C$1:$G$99911,5,FALSE)</f>
        <v>THOMPSON LESTER</v>
      </c>
      <c r="M14" s="6">
        <f t="shared" si="1"/>
        <v>2.7384259265090805E-2</v>
      </c>
      <c r="N14" s="7">
        <f t="shared" si="2"/>
        <v>39.433333341730759</v>
      </c>
      <c r="O14" s="7"/>
      <c r="P14" s="7"/>
      <c r="Q14" s="22"/>
      <c r="R14" s="174"/>
      <c r="S14" s="222">
        <f t="shared" si="3"/>
        <v>1</v>
      </c>
      <c r="T14" s="174" t="str">
        <f t="shared" si="4"/>
        <v>Southbound</v>
      </c>
      <c r="U14" s="19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7" t="str">
        <f t="shared" si="5"/>
        <v>https://d0f6bd738d7f1b3e5a7ca70fe4ff75f0.us-east-1.aws.found.io/app/kibana#/discover/Steve-Slow-Train-Analysis-(2080s-and-2083s)?_g=(refreshInterval:(display:Off,pause:!f,section:0,value:0),time:(from:'2017-09-17T03:09:24-0600',mode:absolute,to:'2017-09-17T05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205" t="str">
        <f>IF(AA14&lt;VLOOKUP(AG14,Variables!$AC$3:$AD$8,2,FALSE),"Y","N")</f>
        <v>N</v>
      </c>
      <c r="X14" s="205">
        <f t="shared" si="6"/>
        <v>1</v>
      </c>
      <c r="Y14" s="205">
        <f t="shared" si="7"/>
        <v>23.297699999999999</v>
      </c>
      <c r="Z14" s="205">
        <f t="shared" si="8"/>
        <v>2.0500000000000001E-2</v>
      </c>
      <c r="AA14" s="205">
        <f t="shared" si="9"/>
        <v>23.277200000000001</v>
      </c>
      <c r="AB14" s="54" t="e">
        <f>VLOOKUP(A14,Enforcements!$C$7:$K$11,8,0)</f>
        <v>#N/A</v>
      </c>
      <c r="AC14" s="51" t="e">
        <f>VLOOKUP(A14,Enforcements!$C$7:$E$11,3,0)</f>
        <v>#N/A</v>
      </c>
      <c r="AD14" s="180">
        <f t="shared" si="10"/>
        <v>102</v>
      </c>
      <c r="AE14" s="77" t="str">
        <f t="shared" si="11"/>
        <v>aws s3 cp s3://rtdc.mdm.uploadarchive.raw/RTDC4053/ "%USERPROFILE%\AppData\Local\Temp\OnboardLogs"\RTDC4053\2017-09-17 --exclude "*" --recursive --include "*20170917*" &amp; "%USERPROFILE%\Documents\GitHub\mrs-test-scripts\Headless Mode &amp; Sideloading\WalkAndUnGZ.bat" "%USERPROFILE%\AppData\Local\Temp\OnboardLogs"\RTDC4053\2017-09-17 &amp; aws s3 cp s3://rtdc.mdm.uploadarchive.raw/RTDC4053/ "%USERPROFILE%\AppData\Local\Temp\OnboardLogs"\RTDC4053\2017-09-18 --exclude "*" --recursive --include "*20170918*" &amp; "%USERPROFILE%\Documents\GitHub\mrs-test-scripts\Headless Mode &amp; Sideloading\WalkAndUnGZ.bat" "%USERPROFILE%\AppData\Local\Temp\OnboardLogs"\RTDC4053\2017-09-18</v>
      </c>
      <c r="AF14" s="74" t="str">
        <f t="shared" si="12"/>
        <v>"C:\Program Files (x86)\AstroGrep\AstroGrep.exe" /e /r /s /spath="%USERPROFILE%\AppData\Local\Temp\OnboardLogs" /stypes="app*4053*20170917*" /stext=" 10:.+((SYSTEM_STATE.+slice.+state.+changed )|(ment ac)|(multiple cpu faults)|(system.+state.+changed )|(\[timeout)|(PRM\|1\|D)|(kpr)|(kdp)|(train st.+moving)|(\|lc)|(penalty))"</v>
      </c>
      <c r="AG14" s="183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4053 --swversion DE.1.0.9.0 --startMP 204:232977 --initTime 2017-09-17T04:09:24 --startdatetime 2017-09-17T04:12:14 --delay 78 --endMP 204:205 --enddatetime 2017-09-17T04:51:40 --enforcementcount 0 &gt;&gt;C:\Users\stu\Documents\GitHub\eaglep3-reporting\EC\2017-09-17-refined-times.txt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{"issue":{"subject":"","project_id":79,"tracker_id":40,"status_id":1,"priority_id":2,"assigned_to_id":338,"start_date":"2017-09-17","description":"","custom_fields":[{"id":1,"name":"Subdivision","value":"EC"},{"id":4,"name":"Milepost","value":"0.0205"},{"id":17,"name":"Train ID","value":"102-17"},{"id":16,"name":"Locomotive ID","value":"4053"},{"id":130,"name":"Impact","value":""},{"id":150,"name":"Time of Event (Mountain Time)","value":"04:51:40"},{"id":151,"name":"Denver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4053 --day 2017-09-17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10:51:40"},{"id":29,"name":"Sharepoint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Message%5C+ID:(*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-17T03:09:24-0600',mode:absolute,to:'2017-09-17T05:51:40-0600'))&amp;_a=(columns:!('Message%20ID',Summary),filters:!(),index:'emp_*',interval:auto,query:(query_string:(analyze_wildcard:!t,query:'Message%5C+ID:(*)+AND+%22rtdc.l.rtdc.4053%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626</v>
      </c>
      <c r="B15" s="7">
        <v>4060</v>
      </c>
      <c r="C15" s="21" t="s">
        <v>197</v>
      </c>
      <c r="D15" s="21" t="s">
        <v>337</v>
      </c>
      <c r="E15" s="13">
        <v>42995.150393518517</v>
      </c>
      <c r="F15" s="13">
        <v>42995.156446759262</v>
      </c>
      <c r="G15" s="7">
        <v>58</v>
      </c>
      <c r="H15" s="21" t="s">
        <v>443</v>
      </c>
      <c r="I15" s="13">
        <v>42995.180960648147</v>
      </c>
      <c r="J15" s="7">
        <v>0</v>
      </c>
      <c r="K15" s="89" t="str">
        <f t="shared" si="0"/>
        <v>4059/4060</v>
      </c>
      <c r="L15" s="186" t="str">
        <f>VLOOKUP(A15,'Trips&amp;Operators'!$C$1:$G$99911,5,FALSE)</f>
        <v>MAELZER KURT</v>
      </c>
      <c r="M15" s="6">
        <f t="shared" si="1"/>
        <v>2.4513888885849155E-2</v>
      </c>
      <c r="N15" s="7">
        <f t="shared" si="2"/>
        <v>35.299999995622784</v>
      </c>
      <c r="O15" s="7"/>
      <c r="P15" s="7"/>
      <c r="Q15" s="22"/>
      <c r="R15" s="174"/>
      <c r="S15" s="222">
        <f t="shared" si="3"/>
        <v>1</v>
      </c>
      <c r="T15" s="174" t="str">
        <f t="shared" si="4"/>
        <v>NorthBound</v>
      </c>
      <c r="U15" s="19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7" t="str">
        <f t="shared" si="5"/>
        <v>https://d0f6bd738d7f1b3e5a7ca70fe4ff75f0.us-east-1.aws.found.io/app/kibana#/discover/Steve-Slow-Train-Analysis-(2080s-and-2083s)?_g=(refreshInterval:(display:Off,pause:!f,section:0,value:0),time:(from:'2017-09-17T02:36:34-0600',mode:absolute,to:'2017-09-17T05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" s="205" t="str">
        <f>IF(AA15&lt;VLOOKUP(AG15,Variables!$AC$3:$AD$8,2,FALSE),"Y","N")</f>
        <v>N</v>
      </c>
      <c r="X15" s="205">
        <f t="shared" si="6"/>
        <v>1</v>
      </c>
      <c r="Y15" s="205">
        <f t="shared" si="7"/>
        <v>4.4600000000000001E-2</v>
      </c>
      <c r="Z15" s="205">
        <f t="shared" si="8"/>
        <v>23.333400000000001</v>
      </c>
      <c r="AA15" s="205">
        <f t="shared" si="9"/>
        <v>23.288800000000002</v>
      </c>
      <c r="AB15" s="54" t="e">
        <f>VLOOKUP(A15,Enforcements!$C$7:$K$11,8,0)</f>
        <v>#N/A</v>
      </c>
      <c r="AC15" s="51" t="e">
        <f>VLOOKUP(A15,Enforcements!$C$7:$E$11,3,0)</f>
        <v>#N/A</v>
      </c>
      <c r="AD15" s="180">
        <f t="shared" si="10"/>
        <v>103</v>
      </c>
      <c r="AE15" s="77" t="str">
        <f t="shared" si="11"/>
        <v>aws s3 cp s3://rtdc.mdm.uploadarchive.raw/RTDC4060/ "%USERPROFILE%\AppData\Local\Temp\OnboardLogs"\RTDC4060\2017-09-17 --exclude "*" --recursive --include "*20170917*" &amp; "%USERPROFILE%\Documents\GitHub\mrs-test-scripts\Headless Mode &amp; Sideloading\WalkAndUnGZ.bat" "%USERPROFILE%\AppData\Local\Temp\OnboardLogs"\RTDC4060\2017-09-17 &amp; aws s3 cp s3://rtdc.mdm.uploadarchive.raw/RTDC4060/ "%USERPROFILE%\AppData\Local\Temp\OnboardLogs"\RTDC4060\2017-09-18 --exclude "*" --recursive --include "*20170918*" &amp; "%USERPROFILE%\Documents\GitHub\mrs-test-scripts\Headless Mode &amp; Sideloading\WalkAndUnGZ.bat" "%USERPROFILE%\AppData\Local\Temp\OnboardLogs"\RTDC4060\2017-09-18</v>
      </c>
      <c r="AF15" s="74" t="str">
        <f t="shared" si="12"/>
        <v>"C:\Program Files (x86)\AstroGrep\AstroGrep.exe" /e /r /s /spath="%USERPROFILE%\AppData\Local\Temp\OnboardLogs" /stypes="app*4060*20170917*" /stext=" 10:.+((SYSTEM_STATE.+slice.+state.+changed )|(ment ac)|(multiple cpu faults)|(system.+state.+changed )|(\[timeout)|(PRM\|1\|D)|(kpr)|(kdp)|(train st.+moving)|(\|lc)|(penalty))"</v>
      </c>
      <c r="AG15" s="183" t="str">
        <f t="shared" si="13"/>
        <v>EC</v>
      </c>
      <c r="AH15" s="78" t="str">
        <f t="shared" si="18"/>
        <v>"%USERPROFILE%\Documents\GitHub\eaglep3\Utilities\RefineRTDCRunTimes.py" --tripid 103-17 --locoid 4060 --swversion DE.1.0.9.0 --startMP 204:446 --initTime 2017-09-17T03:36:34 --startdatetime 2017-09-17T03:45:17 --delay 58 --endMP 204:233334 --enddatetime 2017-09-17T04:20:35 --enforcementcount 0 &gt;&gt;C:\Users\stu\Documents\GitHub\eaglep3-reporting\EC\2017-09-17-refined-times.txt</v>
      </c>
      <c r="AI15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{"issue":{"subject":"","project_id":79,"tracker_id":40,"status_id":1,"priority_id":2,"assigned_to_id":338,"start_date":"2017-09-17","description":"","custom_fields":[{"id":1,"name":"Subdivision","value":"EC"},{"id":4,"name":"Milepost","value":"23.3334"},{"id":17,"name":"Train ID","value":"103-17"},{"id":16,"name":"Locomotive ID","value":"4060"},{"id":130,"name":"Impact","value":""},{"id":150,"name":"Time of Event (Mountain Time)","value":"04:20:35"},{"id":151,"name":"Denver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4060 --day 2017-09-17</v>
      </c>
      <c r="AN15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10:20:35"},{"id":29,"name":"Sharepoint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Message%20ID',Summary),filters:!(),index:'emp_*',interval:auto,query:"&amp;"(query_string:(analyze_wildcard:!t,query:'Message%5C+ID:(*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-09-17T02:36:34-0600',mode:absolute,to:'2017-09-17T05:20:35-0600'))&amp;_a=(columns:!('Message%20ID',Summary),filters:!(),index:'emp_*',interval:auto,query:(query_string:(analyze_wildcard:!t,query:'Message%5C+ID:(*)+AND+%22rtdc.l.rtdc.4060%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636</v>
      </c>
      <c r="B16" s="7">
        <v>4059</v>
      </c>
      <c r="C16" s="21" t="s">
        <v>197</v>
      </c>
      <c r="D16" s="21" t="s">
        <v>820</v>
      </c>
      <c r="E16" s="13">
        <v>42995.186111111114</v>
      </c>
      <c r="F16" s="13">
        <v>42995.196030092593</v>
      </c>
      <c r="G16" s="7">
        <v>51</v>
      </c>
      <c r="H16" s="21" t="s">
        <v>821</v>
      </c>
      <c r="I16" s="13">
        <v>42995.223969907405</v>
      </c>
      <c r="J16" s="7">
        <v>0</v>
      </c>
      <c r="K16" s="89" t="str">
        <f t="shared" si="0"/>
        <v>4059/4060</v>
      </c>
      <c r="L16" s="186" t="str">
        <f>VLOOKUP(A16,'Trips&amp;Operators'!$C$1:$G$99911,5,FALSE)</f>
        <v>MAELZER KURT</v>
      </c>
      <c r="M16" s="6">
        <f t="shared" si="1"/>
        <v>2.7939814812270924E-2</v>
      </c>
      <c r="N16" s="7">
        <f t="shared" si="2"/>
        <v>40.233333329670131</v>
      </c>
      <c r="O16" s="7"/>
      <c r="P16" s="7"/>
      <c r="Q16" s="22"/>
      <c r="R16" s="174"/>
      <c r="S16" s="222">
        <f t="shared" si="3"/>
        <v>1</v>
      </c>
      <c r="T16" s="174" t="str">
        <f t="shared" si="4"/>
        <v>Southbound</v>
      </c>
      <c r="U16" s="19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7" t="str">
        <f t="shared" si="5"/>
        <v>https://d0f6bd738d7f1b3e5a7ca70fe4ff75f0.us-east-1.aws.found.io/app/kibana#/discover/Steve-Slow-Train-Analysis-(2080s-and-2083s)?_g=(refreshInterval:(display:Off,pause:!f,section:0,value:0),time:(from:'2017-09-17T03:28:00-0600',mode:absolute,to:'2017-09-17T06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" s="205" t="str">
        <f>IF(AA16&lt;VLOOKUP(AG16,Variables!$AC$3:$AD$8,2,FALSE),"Y","N")</f>
        <v>N</v>
      </c>
      <c r="X16" s="205">
        <f t="shared" si="6"/>
        <v>1</v>
      </c>
      <c r="Y16" s="205">
        <f t="shared" si="7"/>
        <v>23.304600000000001</v>
      </c>
      <c r="Z16" s="205">
        <f t="shared" si="8"/>
        <v>9.1499999999999998E-2</v>
      </c>
      <c r="AA16" s="205">
        <f t="shared" si="9"/>
        <v>23.213100000000001</v>
      </c>
      <c r="AB16" s="54" t="e">
        <f>VLOOKUP(A16,Enforcements!$C$7:$K$11,8,0)</f>
        <v>#N/A</v>
      </c>
      <c r="AC16" s="51" t="e">
        <f>VLOOKUP(A16,Enforcements!$C$7:$E$11,3,0)</f>
        <v>#N/A</v>
      </c>
      <c r="AD16" s="180">
        <f t="shared" si="10"/>
        <v>104</v>
      </c>
      <c r="AE16" s="77" t="str">
        <f t="shared" si="11"/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AF16" s="74" t="str">
        <f t="shared" si="12"/>
        <v>"C:\Program Files (x86)\AstroGrep\AstroGrep.exe" /e /r /s /spath="%USERPROFILE%\AppData\Local\Temp\OnboardLogs" /stypes="app*4059*20170917*" /stext=" 11:.+((SYSTEM_STATE.+slice.+state.+changed )|(ment ac)|(multiple cpu faults)|(system.+state.+changed )|(\[timeout)|(PRM\|1\|D)|(kpr)|(kdp)|(train st.+moving)|(\|lc)|(penalty))"</v>
      </c>
      <c r="AG16" s="183" t="str">
        <f t="shared" si="13"/>
        <v>EC</v>
      </c>
      <c r="AH16" s="78" t="str">
        <f t="shared" si="18"/>
        <v>"%USERPROFILE%\Documents\GitHub\eaglep3\Utilities\RefineRTDCRunTimes.py" --tripid 104-17 --locoid 4059 --swversion DE.1.0.9.0 --startMP 204:233046 --initTime 2017-09-17T04:28:00 --startdatetime 2017-09-17T04:42:17 --delay 51 --endMP 204:915 --enddatetime 2017-09-17T05:22:31 --enforcementcount 0 &gt;&gt;C:\Users\stu\Documents\GitHub\eaglep3-reporting\EC\2017-09-17-refined-times.txt</v>
      </c>
      <c r="AI16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{"issue":{"subject":"","project_id":79,"tracker_id":40,"status_id":1,"priority_id":2,"assigned_to_id":338,"start_date":"2017-09-17","description":"","custom_fields":[{"id":1,"name":"Subdivision","value":"EC"},{"id":4,"name":"Milepost","value":"0.0915"},{"id":17,"name":"Train ID","value":"104-17"},{"id":16,"name":"Locomotive ID","value":"4059"},{"id":130,"name":"Impact","value":""},{"id":150,"name":"Time of Event (Mountain Time)","value":"05:22:31"},{"id":151,"name":"Denver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4059 --day 2017-09-17</v>
      </c>
      <c r="AN16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11:22:31"},{"id":29,"name":"Sharepoint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Message%20ID',Summary),filters:!(),index:'emp_*',interval:auto,query:"&amp;"(query_string:(analyze_wildcard:!t,query:'Message%5C+ID:(*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-09-17T03:28:00-0600',mode:absolute,to:'2017-09-17T06:22:31-0600'))&amp;_a=(columns:!('Message%20ID',Summary),filters:!(),index:'emp_*',interval:auto,query:(query_string:(analyze_wildcard:!t,query:'Message%5C+ID:(*)+AND+%22rtdc.l.rtdc.4059%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573</v>
      </c>
      <c r="B17" s="7">
        <v>4028</v>
      </c>
      <c r="C17" s="21" t="s">
        <v>197</v>
      </c>
      <c r="D17" s="21" t="s">
        <v>480</v>
      </c>
      <c r="E17" s="13">
        <v>42995.168229166666</v>
      </c>
      <c r="F17" s="13">
        <v>42995.177256944444</v>
      </c>
      <c r="G17" s="7">
        <v>77</v>
      </c>
      <c r="H17" s="21" t="s">
        <v>567</v>
      </c>
      <c r="I17" s="13">
        <v>42995.20511574074</v>
      </c>
      <c r="J17" s="7">
        <v>0</v>
      </c>
      <c r="K17" s="89" t="str">
        <f t="shared" si="0"/>
        <v>4027/4028</v>
      </c>
      <c r="L17" s="186" t="str">
        <f>VLOOKUP(A17,'Trips&amp;Operators'!$C$1:$G$99911,5,FALSE)</f>
        <v>DAVIS WENDY</v>
      </c>
      <c r="M17" s="6">
        <f t="shared" si="1"/>
        <v>2.7858796296641231E-2</v>
      </c>
      <c r="N17" s="7">
        <f t="shared" si="2"/>
        <v>40.116666667163372</v>
      </c>
      <c r="O17" s="7"/>
      <c r="P17" s="7"/>
      <c r="Q17" s="22"/>
      <c r="R17" s="174"/>
      <c r="S17" s="222">
        <f t="shared" si="3"/>
        <v>1</v>
      </c>
      <c r="T17" s="174" t="str">
        <f t="shared" si="4"/>
        <v>NorthBound</v>
      </c>
      <c r="U17" s="19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7" t="str">
        <f t="shared" si="5"/>
        <v>https://d0f6bd738d7f1b3e5a7ca70fe4ff75f0.us-east-1.aws.found.io/app/kibana#/discover/Steve-Slow-Train-Analysis-(2080s-and-2083s)?_g=(refreshInterval:(display:Off,pause:!f,section:0,value:0),time:(from:'2017-09-17T03:02:15-0600',mode:absolute,to:'2017-09-17T05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205" t="str">
        <f>IF(AA17&lt;VLOOKUP(AG17,Variables!$AC$3:$AD$8,2,FALSE),"Y","N")</f>
        <v>N</v>
      </c>
      <c r="X17" s="205">
        <f t="shared" si="6"/>
        <v>1</v>
      </c>
      <c r="Y17" s="205">
        <f t="shared" si="7"/>
        <v>4.82E-2</v>
      </c>
      <c r="Z17" s="205">
        <f t="shared" si="8"/>
        <v>23.328800000000001</v>
      </c>
      <c r="AA17" s="205">
        <f t="shared" si="9"/>
        <v>23.2806</v>
      </c>
      <c r="AB17" s="54" t="e">
        <f>VLOOKUP(A17,Enforcements!$C$7:$K$11,8,0)</f>
        <v>#N/A</v>
      </c>
      <c r="AC17" s="51" t="e">
        <f>VLOOKUP(A17,Enforcements!$C$7:$E$11,3,0)</f>
        <v>#N/A</v>
      </c>
      <c r="AD17" s="180">
        <f t="shared" si="10"/>
        <v>105</v>
      </c>
      <c r="AE17" s="77" t="str">
        <f t="shared" si="11"/>
        <v>aws s3 cp s3://rtdc.mdm.uploadarchive.raw/RTDC4028/ "%USERPROFILE%\AppData\Local\Temp\OnboardLogs"\RTDC4028\2017-09-17 --exclude "*" --recursive --include "*20170917*" &amp; "%USERPROFILE%\Documents\GitHub\mrs-test-scripts\Headless Mode &amp; Sideloading\WalkAndUnGZ.bat" "%USERPROFILE%\AppData\Local\Temp\OnboardLogs"\RTDC4028\2017-09-17 &amp; 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</v>
      </c>
      <c r="AF17" s="74" t="str">
        <f t="shared" si="12"/>
        <v>"C:\Program Files (x86)\AstroGrep\AstroGrep.exe" /e /r /s /spath="%USERPROFILE%\AppData\Local\Temp\OnboardLogs" /stypes="app*4028*20170917*" /stext=" 10:.+((SYSTEM_STATE.+slice.+state.+changed )|(ment ac)|(multiple cpu faults)|(system.+state.+changed )|(\[timeout)|(PRM\|1\|D)|(kpr)|(kdp)|(train st.+moving)|(\|lc)|(penalty))"</v>
      </c>
      <c r="AG17" s="183" t="str">
        <f t="shared" si="13"/>
        <v>EC</v>
      </c>
      <c r="AH17" s="78" t="str">
        <f t="shared" si="18"/>
        <v>"%USERPROFILE%\Documents\GitHub\eaglep3\Utilities\RefineRTDCRunTimes.py" --tripid 105-17 --locoid 4028 --swversion DE.1.0.9.0 --startMP 204:482 --initTime 2017-09-17T04:02:15 --startdatetime 2017-09-17T04:15:15 --delay 77 --endMP 204:233288 --enddatetime 2017-09-17T04:55:22 --enforcementcount 0 &gt;&gt;C:\Users\stu\Documents\GitHub\eaglep3-reporting\EC\2017-09-17-refined-times.txt</v>
      </c>
      <c r="AI17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{"issue":{"subject":"","project_id":79,"tracker_id":40,"status_id":1,"priority_id":2,"assigned_to_id":338,"start_date":"2017-09-17","description":"","custom_fields":[{"id":1,"name":"Subdivision","value":"EC"},{"id":4,"name":"Milepost","value":"23.3288"},{"id":17,"name":"Train ID","value":"105-17"},{"id":16,"name":"Locomotive ID","value":"4028"},{"id":130,"name":"Impact","value":""},{"id":150,"name":"Time of Event (Mountain Time)","value":"04:55:22"},{"id":151,"name":"Denver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4028 --day 2017-09-17</v>
      </c>
      <c r="AN17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10:55:22"},{"id":29,"name":"Sharepoint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Message%20ID',Summary),filters:!(),index:'emp_*',interval:auto,query:"&amp;"(query_string:(analyze_wildcard:!t,query:'Message%5C+ID:(*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-09-17T03:02:15-0600',mode:absolute,to:'2017-09-17T05:55:22-0600'))&amp;_a=(columns:!('Message%20ID',Summary),filters:!(),index:'emp_*',interval:auto,query:(query_string:(analyze_wildcard:!t,query:'Message%5C+ID:(*)+AND+%22rtdc.l.rtdc.4028%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577</v>
      </c>
      <c r="B18" s="7">
        <v>4027</v>
      </c>
      <c r="C18" s="21" t="s">
        <v>197</v>
      </c>
      <c r="D18" s="21" t="s">
        <v>432</v>
      </c>
      <c r="E18" s="13">
        <v>42995.20689814815</v>
      </c>
      <c r="F18" s="13">
        <v>42995.216840277775</v>
      </c>
      <c r="G18" s="7">
        <v>61</v>
      </c>
      <c r="H18" s="21" t="s">
        <v>365</v>
      </c>
      <c r="I18" s="13">
        <v>42995.24560185185</v>
      </c>
      <c r="J18" s="7">
        <v>0</v>
      </c>
      <c r="K18" s="89" t="str">
        <f t="shared" si="0"/>
        <v>4027/4028</v>
      </c>
      <c r="L18" s="186" t="str">
        <f>VLOOKUP(A18,'Trips&amp;Operators'!$C$1:$G$99911,5,FALSE)</f>
        <v>DAVIS WENDY</v>
      </c>
      <c r="M18" s="6">
        <f t="shared" si="1"/>
        <v>2.8761574074451346E-2</v>
      </c>
      <c r="N18" s="7">
        <f t="shared" si="2"/>
        <v>41.416666667209938</v>
      </c>
      <c r="O18" s="7"/>
      <c r="P18" s="7"/>
      <c r="Q18" s="22"/>
      <c r="R18" s="174"/>
      <c r="S18" s="222">
        <f t="shared" si="3"/>
        <v>1</v>
      </c>
      <c r="T18" s="174" t="str">
        <f t="shared" si="4"/>
        <v>Southbound</v>
      </c>
      <c r="U18" s="19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7" t="str">
        <f t="shared" si="5"/>
        <v>https://d0f6bd738d7f1b3e5a7ca70fe4ff75f0.us-east-1.aws.found.io/app/kibana#/discover/Steve-Slow-Train-Analysis-(2080s-and-2083s)?_g=(refreshInterval:(display:Off,pause:!f,section:0,value:0),time:(from:'2017-09-17T03:57:56-0600',mode:absolute,to:'2017-09-17T06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205" t="str">
        <f>IF(AA18&lt;VLOOKUP(AG18,Variables!$AC$3:$AD$8,2,FALSE),"Y","N")</f>
        <v>N</v>
      </c>
      <c r="X18" s="205">
        <f t="shared" si="6"/>
        <v>1</v>
      </c>
      <c r="Y18" s="205">
        <f t="shared" si="7"/>
        <v>23.297999999999998</v>
      </c>
      <c r="Z18" s="205">
        <f t="shared" si="8"/>
        <v>1.38E-2</v>
      </c>
      <c r="AA18" s="205">
        <f t="shared" si="9"/>
        <v>23.284199999999998</v>
      </c>
      <c r="AB18" s="54" t="e">
        <f>VLOOKUP(A18,Enforcements!$C$7:$K$11,8,0)</f>
        <v>#N/A</v>
      </c>
      <c r="AC18" s="51" t="e">
        <f>VLOOKUP(A18,Enforcements!$C$7:$E$11,3,0)</f>
        <v>#N/A</v>
      </c>
      <c r="AD18" s="180">
        <f t="shared" si="10"/>
        <v>106</v>
      </c>
      <c r="AE18" s="77" t="str">
        <f t="shared" si="11"/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AF18" s="74" t="str">
        <f t="shared" si="12"/>
        <v>"C:\Program Files (x86)\AstroGrep\AstroGrep.exe" /e /r /s /spath="%USERPROFILE%\AppData\Local\Temp\OnboardLogs" /stypes="app*4027*20170917*" /stext=" 11:.+((SYSTEM_STATE.+slice.+state.+changed )|(ment ac)|(multiple cpu faults)|(system.+state.+changed )|(\[timeout)|(PRM\|1\|D)|(kpr)|(kdp)|(train st.+moving)|(\|lc)|(penalty))"</v>
      </c>
      <c r="AG18" s="183" t="str">
        <f t="shared" si="13"/>
        <v>EC</v>
      </c>
      <c r="AH18" s="78" t="str">
        <f t="shared" si="18"/>
        <v>"%USERPROFILE%\Documents\GitHub\eaglep3\Utilities\RefineRTDCRunTimes.py" --tripid 106-17 --locoid 4027 --swversion DE.1.0.9.0 --startMP 204:232980 --initTime 2017-09-17T04:57:56 --startdatetime 2017-09-17T05:12:15 --delay 61 --endMP 204:138 --enddatetime 2017-09-17T05:53:40 --enforcementcount 0 &gt;&gt;C:\Users\stu\Documents\GitHub\eaglep3-reporting\EC\2017-09-17-refined-times.txt</v>
      </c>
      <c r="AI18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{"issue":{"subject":"","project_id":79,"tracker_id":40,"status_id":1,"priority_id":2,"assigned_to_id":338,"start_date":"2017-09-17","description":"","custom_fields":[{"id":1,"name":"Subdivision","value":"EC"},{"id":4,"name":"Milepost","value":"0.0138"},{"id":17,"name":"Train ID","value":"106-17"},{"id":16,"name":"Locomotive ID","value":"4027"},{"id":130,"name":"Impact","value":""},{"id":150,"name":"Time of Event (Mountain Time)","value":"05:53:40"},{"id":151,"name":"Denver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4027 --day 2017-09-17</v>
      </c>
      <c r="AN18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11:53:40"},{"id":29,"name":"Sharepoint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Message%20ID',Summary),filters:!(),index:'emp_*',interval:auto,query:"&amp;"(query_string:(analyze_wildcard:!t,query:'Message%5C+ID:(*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-09-17T03:57:56-0600',mode:absolute,to:'2017-09-17T06:53:40-0600'))&amp;_a=(columns:!('Message%20ID',Summary),filters:!(),index:'emp_*',interval:auto,query:(query_string:(analyze_wildcard:!t,query:'Message%5C+ID:(*)+AND+%22rtdc.l.rtdc.4027%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635</v>
      </c>
      <c r="B19" s="7">
        <v>4056</v>
      </c>
      <c r="C19" s="21" t="s">
        <v>197</v>
      </c>
      <c r="D19" s="21" t="s">
        <v>349</v>
      </c>
      <c r="E19" s="13">
        <v>42995.183344907404</v>
      </c>
      <c r="F19" s="13">
        <v>42995.187685185185</v>
      </c>
      <c r="G19" s="7">
        <v>70</v>
      </c>
      <c r="H19" s="21" t="s">
        <v>488</v>
      </c>
      <c r="I19" s="13">
        <v>42995.211921296293</v>
      </c>
      <c r="J19" s="7">
        <v>0</v>
      </c>
      <c r="K19" s="89" t="str">
        <f t="shared" si="0"/>
        <v>4055/4056</v>
      </c>
      <c r="L19" s="186" t="str">
        <f>VLOOKUP(A19,'Trips&amp;Operators'!$C$1:$G$99911,5,FALSE)</f>
        <v>LALONDE GREGORY</v>
      </c>
      <c r="M19" s="6">
        <f t="shared" si="1"/>
        <v>2.4236111108621117E-2</v>
      </c>
      <c r="N19" s="7">
        <f t="shared" si="2"/>
        <v>34.899999996414408</v>
      </c>
      <c r="O19" s="7"/>
      <c r="P19" s="7"/>
      <c r="Q19" s="22"/>
      <c r="R19" s="174"/>
      <c r="S19" s="222">
        <f t="shared" si="3"/>
        <v>1</v>
      </c>
      <c r="T19" s="174" t="str">
        <f t="shared" si="4"/>
        <v>NorthBound</v>
      </c>
      <c r="U19" s="19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7" t="str">
        <f t="shared" si="5"/>
        <v>https://d0f6bd738d7f1b3e5a7ca70fe4ff75f0.us-east-1.aws.found.io/app/kibana#/discover/Steve-Slow-Train-Analysis-(2080s-and-2083s)?_g=(refreshInterval:(display:Off,pause:!f,section:0,value:0),time:(from:'2017-09-17T03:24:01-0600',mode:absolute,to:'2017-09-17T06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" s="205" t="str">
        <f>IF(AA19&lt;VLOOKUP(AG19,Variables!$AC$3:$AD$8,2,FALSE),"Y","N")</f>
        <v>N</v>
      </c>
      <c r="X19" s="205">
        <f t="shared" si="6"/>
        <v>1</v>
      </c>
      <c r="Y19" s="205">
        <f t="shared" si="7"/>
        <v>4.5499999999999999E-2</v>
      </c>
      <c r="Z19" s="205">
        <f t="shared" si="8"/>
        <v>23.3323</v>
      </c>
      <c r="AA19" s="205">
        <f t="shared" si="9"/>
        <v>23.286799999999999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180">
        <f t="shared" si="10"/>
        <v>107</v>
      </c>
      <c r="AE19" s="77" t="str">
        <f t="shared" si="11"/>
        <v>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 &amp; aws s3 cp s3://rtdc.mdm.uploadarchive.raw/RTDC4056/ "%USERPROFILE%\AppData\Local\Temp\OnboardLogs"\RTDC4056\2017-09-18 --exclude "*" --recursive --include "*20170918*" &amp; "%USERPROFILE%\Documents\GitHub\mrs-test-scripts\Headless Mode &amp; Sideloading\WalkAndUnGZ.bat" "%USERPROFILE%\AppData\Local\Temp\OnboardLogs"\RTDC4056\2017-09-18</v>
      </c>
      <c r="AF19" s="74" t="str">
        <f t="shared" si="12"/>
        <v>"C:\Program Files (x86)\AstroGrep\AstroGrep.exe" /e /r /s /spath="%USERPROFILE%\AppData\Local\Temp\OnboardLogs" /stypes="app*4056*20170917*" /stext=" 11:.+((SYSTEM_STATE.+slice.+state.+changed )|(ment ac)|(multiple cpu faults)|(system.+state.+changed )|(\[timeout)|(PRM\|1\|D)|(kpr)|(kdp)|(train st.+moving)|(\|lc)|(penalty))"</v>
      </c>
      <c r="AG19" s="183" t="str">
        <f t="shared" si="13"/>
        <v>EC</v>
      </c>
      <c r="AH19" s="78" t="str">
        <f t="shared" si="18"/>
        <v>"%USERPROFILE%\Documents\GitHub\eaglep3\Utilities\RefineRTDCRunTimes.py" --tripid 107-17 --locoid 4056 --swversion DE.1.0.9.0 --startMP 204:455 --initTime 2017-09-17T04:24:01 --startdatetime 2017-09-17T04:30:16 --delay 70 --endMP 204:233323 --enddatetime 2017-09-17T05:05:10 --enforcementcount 0 &gt;&gt;C:\Users\stu\Documents\GitHub\eaglep3-reporting\EC\2017-09-17-refined-times.txt</v>
      </c>
      <c r="AI19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{"issue":{"subject":"","project_id":79,"tracker_id":40,"status_id":1,"priority_id":2,"assigned_to_id":338,"start_date":"2017-09-17","description":"","custom_fields":[{"id":1,"name":"Subdivision","value":"EC"},{"id":4,"name":"Milepost","value":"23.3323"},{"id":17,"name":"Train ID","value":"107-17"},{"id":16,"name":"Locomotive ID","value":"4056"},{"id":130,"name":"Impact","value":""},{"id":150,"name":"Time of Event (Mountain Time)","value":"05:05:10"},{"id":151,"name":"Denver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4056 --day 2017-09-17</v>
      </c>
      <c r="AN19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11:05:10"},{"id":29,"name":"Sharepoint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Message%20ID',Summary),filters:!(),index:'emp_*',interval:auto,query:"&amp;"(query_string:(analyze_wildcard:!t,query:'Message%5C+ID:(*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-09-17T03:24:01-0600',mode:absolute,to:'2017-09-17T06:05:10-0600'))&amp;_a=(columns:!('Message%20ID',Summary),filters:!(),index:'emp_*',interval:auto,query:(query_string:(analyze_wildcard:!t,query:'Message%5C+ID:(*)+AND+%22rtdc.l.rtdc.4056%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642</v>
      </c>
      <c r="B20" s="7">
        <v>4055</v>
      </c>
      <c r="C20" s="21" t="s">
        <v>197</v>
      </c>
      <c r="D20" s="21" t="s">
        <v>822</v>
      </c>
      <c r="E20" s="13">
        <v>42995.212812500002</v>
      </c>
      <c r="F20" s="13">
        <v>42995.227256944447</v>
      </c>
      <c r="G20" s="7">
        <v>62</v>
      </c>
      <c r="H20" s="21" t="s">
        <v>343</v>
      </c>
      <c r="I20" s="13">
        <v>42995.252372685187</v>
      </c>
      <c r="J20" s="7">
        <v>0</v>
      </c>
      <c r="K20" s="89" t="str">
        <f t="shared" si="0"/>
        <v>4055/4056</v>
      </c>
      <c r="L20" s="186" t="str">
        <f>VLOOKUP(A20,'Trips&amp;Operators'!$C$1:$G$99911,5,FALSE)</f>
        <v>LALONDE GREGORY</v>
      </c>
      <c r="M20" s="6">
        <f t="shared" si="1"/>
        <v>2.5115740740147885E-2</v>
      </c>
      <c r="N20" s="7">
        <f t="shared" si="2"/>
        <v>36.166666665812954</v>
      </c>
      <c r="O20" s="7"/>
      <c r="P20" s="7"/>
      <c r="Q20" s="22"/>
      <c r="R20" s="174"/>
      <c r="S20" s="222">
        <f t="shared" si="3"/>
        <v>1</v>
      </c>
      <c r="T20" s="174" t="str">
        <f t="shared" si="4"/>
        <v>Southbound</v>
      </c>
      <c r="U20" s="19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7" t="str">
        <f t="shared" si="5"/>
        <v>https://d0f6bd738d7f1b3e5a7ca70fe4ff75f0.us-east-1.aws.found.io/app/kibana#/discover/Steve-Slow-Train-Analysis-(2080s-and-2083s)?_g=(refreshInterval:(display:Off,pause:!f,section:0,value:0),time:(from:'2017-09-17T04:06:27-0600',mode:absolute,to:'2017-09-17T07:03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205" t="str">
        <f>IF(AA20&lt;VLOOKUP(AG20,Variables!$AC$3:$AD$8,2,FALSE),"Y","N")</f>
        <v>N</v>
      </c>
      <c r="X20" s="205">
        <f t="shared" si="6"/>
        <v>1</v>
      </c>
      <c r="Y20" s="205">
        <f t="shared" si="7"/>
        <v>23.3017</v>
      </c>
      <c r="Z20" s="205">
        <f t="shared" si="8"/>
        <v>1.47E-2</v>
      </c>
      <c r="AA20" s="205">
        <f t="shared" si="9"/>
        <v>23.286999999999999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180">
        <f t="shared" si="10"/>
        <v>108</v>
      </c>
      <c r="AE20" s="77" t="str">
        <f t="shared" si="11"/>
        <v>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 &amp; aws s3 cp s3://rtdc.mdm.uploadarchive.raw/RTDC4055/ "%USERPROFILE%\AppData\Local\Temp\OnboardLogs"\RTDC4055\2017-09-18 --exclude "*" --recursive --include "*20170918*" &amp; "%USERPROFILE%\Documents\GitHub\mrs-test-scripts\Headless Mode &amp; Sideloading\WalkAndUnGZ.bat" "%USERPROFILE%\AppData\Local\Temp\OnboardLogs"\RTDC4055\2017-09-18</v>
      </c>
      <c r="AF20" s="74" t="str">
        <f t="shared" si="12"/>
        <v>"C:\Program Files (x86)\AstroGrep\AstroGrep.exe" /e /r /s /spath="%USERPROFILE%\AppData\Local\Temp\OnboardLogs" /stypes="app*4055*20170917*" /stext=" 12:.+((SYSTEM_STATE.+slice.+state.+changed )|(ment ac)|(multiple cpu faults)|(system.+state.+changed )|(\[timeout)|(PRM\|1\|D)|(kpr)|(kdp)|(train st.+moving)|(\|lc)|(penalty))"</v>
      </c>
      <c r="AG20" s="183" t="str">
        <f t="shared" si="13"/>
        <v>EC</v>
      </c>
      <c r="AH20" s="78" t="str">
        <f t="shared" si="18"/>
        <v>"%USERPROFILE%\Documents\GitHub\eaglep3\Utilities\RefineRTDCRunTimes.py" --tripid 108-17 --locoid 4055 --swversion DE.1.0.9.0 --startMP 204:233017 --initTime 2017-09-17T05:06:27 --startdatetime 2017-09-17T05:27:15 --delay 62 --endMP 204:147 --enddatetime 2017-09-17T06:03:25 --enforcementcount 0 &gt;&gt;C:\Users\stu\Documents\GitHub\eaglep3-reporting\EC\2017-09-17-refined-times.txt</v>
      </c>
      <c r="AI20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{"issue":{"subject":"","project_id":79,"tracker_id":40,"status_id":1,"priority_id":2,"assigned_to_id":338,"start_date":"2017-09-17","description":"","custom_fields":[{"id":1,"name":"Subdivision","value":"EC"},{"id":4,"name":"Milepost","value":"0.0147"},{"id":17,"name":"Train ID","value":"108-17"},{"id":16,"name":"Locomotive ID","value":"4055"},{"id":130,"name":"Impact","value":""},{"id":150,"name":"Time of Event (Mountain Time)","value":"06:03:25"},{"id":151,"name":"Denver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4055 --day 2017-09-17</v>
      </c>
      <c r="AN20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12:03:25"},{"id":29,"name":"Sharepoint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Message%20ID',Summary),filters:!(),index:'emp_*',interval:auto,query:"&amp;"(query_string:(analyze_wildcard:!t,query:'Message%5C+ID:(*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-09-17T04:06:27-0600',mode:absolute,to:'2017-09-17T07:03:25-0600'))&amp;_a=(columns:!('Message%20ID',Summary),filters:!(),index:'emp_*',interval:auto,query:(query_string:(analyze_wildcard:!t,query:'Message%5C+ID:(*)+AND+%22rtdc.l.rtdc.4055%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576</v>
      </c>
      <c r="B21" s="7">
        <v>4044</v>
      </c>
      <c r="C21" s="21" t="s">
        <v>197</v>
      </c>
      <c r="D21" s="21" t="s">
        <v>442</v>
      </c>
      <c r="E21" s="13">
        <v>42995.192928240744</v>
      </c>
      <c r="F21" s="13">
        <v>42995.198101851849</v>
      </c>
      <c r="G21" s="7">
        <v>72</v>
      </c>
      <c r="H21" s="21" t="s">
        <v>823</v>
      </c>
      <c r="I21" s="13">
        <v>42995.22284722222</v>
      </c>
      <c r="J21" s="7">
        <v>0</v>
      </c>
      <c r="K21" s="89" t="str">
        <f t="shared" si="0"/>
        <v>4043/4044</v>
      </c>
      <c r="L21" s="186" t="str">
        <f>VLOOKUP(A21,'Trips&amp;Operators'!$C$1:$G$99911,5,FALSE)</f>
        <v>GEBRETEKLE DAGNEW</v>
      </c>
      <c r="M21" s="6">
        <f t="shared" si="1"/>
        <v>2.47453703705105E-2</v>
      </c>
      <c r="N21" s="7">
        <f t="shared" si="2"/>
        <v>35.63333333353512</v>
      </c>
      <c r="O21" s="7"/>
      <c r="P21" s="7"/>
      <c r="Q21" s="22"/>
      <c r="R21" s="174"/>
      <c r="S21" s="222">
        <f t="shared" si="3"/>
        <v>1</v>
      </c>
      <c r="T21" s="174" t="str">
        <f t="shared" si="4"/>
        <v>NorthBound</v>
      </c>
      <c r="U21" s="19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7" t="str">
        <f t="shared" si="5"/>
        <v>https://d0f6bd738d7f1b3e5a7ca70fe4ff75f0.us-east-1.aws.found.io/app/kibana#/discover/Steve-Slow-Train-Analysis-(2080s-and-2083s)?_g=(refreshInterval:(display:Off,pause:!f,section:0,value:0),time:(from:'2017-09-17T03:37:49-0600',mode:absolute,to:'2017-09-17T06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" s="205" t="str">
        <f>IF(AA21&lt;VLOOKUP(AG21,Variables!$AC$3:$AD$8,2,FALSE),"Y","N")</f>
        <v>N</v>
      </c>
      <c r="X21" s="205">
        <f t="shared" si="6"/>
        <v>1</v>
      </c>
      <c r="Y21" s="205">
        <f t="shared" si="7"/>
        <v>4.6600000000000003E-2</v>
      </c>
      <c r="Z21" s="205">
        <f t="shared" si="8"/>
        <v>23.3324</v>
      </c>
      <c r="AA21" s="205">
        <f t="shared" si="9"/>
        <v>23.285799999999998</v>
      </c>
      <c r="AB21" s="54" t="e">
        <f>VLOOKUP(A21,Enforcements!$C$7:$K$11,8,0)</f>
        <v>#N/A</v>
      </c>
      <c r="AC21" s="51" t="e">
        <f>VLOOKUP(A21,Enforcements!$C$7:$E$11,3,0)</f>
        <v>#N/A</v>
      </c>
      <c r="AD21" s="180">
        <f t="shared" si="10"/>
        <v>109</v>
      </c>
      <c r="AE21" s="77" t="str">
        <f t="shared" si="11"/>
        <v>aws s3 cp s3://rtdc.mdm.uploadarchive.raw/RTDC4044/ "%USERPROFILE%\AppData\Local\Temp\OnboardLogs"\RTDC4044\2017-09-17 --exclude "*" --recursive --include "*20170917*" &amp; "%USERPROFILE%\Documents\GitHub\mrs-test-scripts\Headless Mode &amp; Sideloading\WalkAndUnGZ.bat" "%USERPROFILE%\AppData\Local\Temp\OnboardLogs"\RTDC4044\2017-09-17 &amp; aws s3 cp s3://rtdc.mdm.uploadarchive.raw/RTDC4044/ "%USERPROFILE%\AppData\Local\Temp\OnboardLogs"\RTDC4044\2017-09-18 --exclude "*" --recursive --include "*20170918*" &amp; "%USERPROFILE%\Documents\GitHub\mrs-test-scripts\Headless Mode &amp; Sideloading\WalkAndUnGZ.bat" "%USERPROFILE%\AppData\Local\Temp\OnboardLogs"\RTDC4044\2017-09-18</v>
      </c>
      <c r="AF21" s="74" t="str">
        <f t="shared" si="12"/>
        <v>"C:\Program Files (x86)\AstroGrep\AstroGrep.exe" /e /r /s /spath="%USERPROFILE%\AppData\Local\Temp\OnboardLogs" /stypes="app*4044*20170917*" /stext=" 11:.+((SYSTEM_STATE.+slice.+state.+changed )|(ment ac)|(multiple cpu faults)|(system.+state.+changed )|(\[timeout)|(PRM\|1\|D)|(kpr)|(kdp)|(train st.+moving)|(\|lc)|(penalty))"</v>
      </c>
      <c r="AG21" s="183" t="str">
        <f t="shared" si="13"/>
        <v>EC</v>
      </c>
      <c r="AH21" s="78" t="str">
        <f t="shared" si="18"/>
        <v>"%USERPROFILE%\Documents\GitHub\eaglep3\Utilities\RefineRTDCRunTimes.py" --tripid 109-17 --locoid 4044 --swversion DE.1.0.9.0 --startMP 204:466 --initTime 2017-09-17T04:37:49 --startdatetime 2017-09-17T04:45:16 --delay 72 --endMP 204:233324 --enddatetime 2017-09-17T05:20:54 --enforcementcount 0 &gt;&gt;C:\Users\stu\Documents\GitHub\eaglep3-reporting\EC\2017-09-17-refined-times.txt</v>
      </c>
      <c r="AI21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{"issue":{"subject":"","project_id":79,"tracker_id":40,"status_id":1,"priority_id":2,"assigned_to_id":338,"start_date":"2017-09-17","description":"","custom_fields":[{"id":1,"name":"Subdivision","value":"EC"},{"id":4,"name":"Milepost","value":"23.3324"},{"id":17,"name":"Train ID","value":"109-17"},{"id":16,"name":"Locomotive ID","value":"4044"},{"id":130,"name":"Impact","value":""},{"id":150,"name":"Time of Event (Mountain Time)","value":"05:20:54"},{"id":151,"name":"Denver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4044 --day 2017-09-17</v>
      </c>
      <c r="AN21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11:20:54"},{"id":29,"name":"Sharepoint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Message%20ID',Summary),filters:!(),index:'emp_*',interval:auto,query:"&amp;"(query_string:(analyze_wildcard:!t,query:'Message%5C+ID:(*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-09-17T03:37:49-0600',mode:absolute,to:'2017-09-17T06:20:54-0600'))&amp;_a=(columns:!('Message%20ID',Summary),filters:!(),index:'emp_*',interval:auto,query:(query_string:(analyze_wildcard:!t,query:'Message%5C+ID:(*)+AND+%22rtdc.l.rtdc.4044%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648</v>
      </c>
      <c r="B22" s="7">
        <v>4043</v>
      </c>
      <c r="C22" s="21" t="s">
        <v>197</v>
      </c>
      <c r="D22" s="21" t="s">
        <v>384</v>
      </c>
      <c r="E22" s="13">
        <v>42995.224212962959</v>
      </c>
      <c r="F22" s="13">
        <v>42995.23778935185</v>
      </c>
      <c r="G22" s="7">
        <v>47</v>
      </c>
      <c r="H22" s="21" t="s">
        <v>339</v>
      </c>
      <c r="I22" s="13">
        <v>42995.263807870368</v>
      </c>
      <c r="J22" s="7">
        <v>0</v>
      </c>
      <c r="K22" s="89" t="str">
        <f t="shared" si="0"/>
        <v>4043/4044</v>
      </c>
      <c r="L22" s="186" t="str">
        <f>VLOOKUP(A22,'Trips&amp;Operators'!$C$1:$G$99911,5,FALSE)</f>
        <v>GEBRETEKLE DAGNEW</v>
      </c>
      <c r="M22" s="6">
        <f t="shared" si="1"/>
        <v>2.6018518517958E-2</v>
      </c>
      <c r="N22" s="7">
        <f t="shared" si="2"/>
        <v>37.46666666585952</v>
      </c>
      <c r="O22" s="7"/>
      <c r="P22" s="7"/>
      <c r="Q22" s="22"/>
      <c r="R22" s="174"/>
      <c r="S22" s="222">
        <f t="shared" si="3"/>
        <v>1</v>
      </c>
      <c r="T22" s="174" t="str">
        <f t="shared" si="4"/>
        <v>Southbound</v>
      </c>
      <c r="U22" s="19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7" t="str">
        <f t="shared" si="5"/>
        <v>https://d0f6bd738d7f1b3e5a7ca70fe4ff75f0.us-east-1.aws.found.io/app/kibana#/discover/Steve-Slow-Train-Analysis-(2080s-and-2083s)?_g=(refreshInterval:(display:Off,pause:!f,section:0,value:0),time:(from:'2017-09-17T04:22:52-0600',mode:absolute,to:'2017-09-17T07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" s="205" t="str">
        <f>IF(AA22&lt;VLOOKUP(AG22,Variables!$AC$3:$AD$8,2,FALSE),"Y","N")</f>
        <v>N</v>
      </c>
      <c r="X22" s="205">
        <f t="shared" si="6"/>
        <v>1</v>
      </c>
      <c r="Y22" s="205">
        <f t="shared" si="7"/>
        <v>23.299399999999999</v>
      </c>
      <c r="Z22" s="205">
        <f t="shared" si="8"/>
        <v>1.49E-2</v>
      </c>
      <c r="AA22" s="205">
        <f t="shared" si="9"/>
        <v>23.284499999999998</v>
      </c>
      <c r="AB22" s="54" t="e">
        <f>VLOOKUP(A22,Enforcements!$C$7:$K$11,8,0)</f>
        <v>#N/A</v>
      </c>
      <c r="AC22" s="51" t="e">
        <f>VLOOKUP(A22,Enforcements!$C$7:$E$11,3,0)</f>
        <v>#N/A</v>
      </c>
      <c r="AD22" s="180">
        <f t="shared" si="10"/>
        <v>110</v>
      </c>
      <c r="AE22" s="77" t="str">
        <f t="shared" si="11"/>
        <v>aws s3 cp s3://rtdc.mdm.uploadarchive.raw/RTDC4043/ "%USERPROFILE%\AppData\Local\Temp\OnboardLogs"\RTDC4043\2017-09-17 --exclude "*" --recursive --include "*20170917*" &amp; "%USERPROFILE%\Documents\GitHub\mrs-test-scripts\Headless Mode &amp; Sideloading\WalkAndUnGZ.bat" "%USERPROFILE%\AppData\Local\Temp\OnboardLogs"\RTDC4043\2017-09-17 &amp; aws s3 cp s3://rtdc.mdm.uploadarchive.raw/RTDC4043/ "%USERPROFILE%\AppData\Local\Temp\OnboardLogs"\RTDC4043\2017-09-18 --exclude "*" --recursive --include "*20170918*" &amp; "%USERPROFILE%\Documents\GitHub\mrs-test-scripts\Headless Mode &amp; Sideloading\WalkAndUnGZ.bat" "%USERPROFILE%\AppData\Local\Temp\OnboardLogs"\RTDC4043\2017-09-18</v>
      </c>
      <c r="AF22" s="74" t="str">
        <f t="shared" si="12"/>
        <v>"C:\Program Files (x86)\AstroGrep\AstroGrep.exe" /e /r /s /spath="%USERPROFILE%\AppData\Local\Temp\OnboardLogs" /stypes="app*4043*20170917*" /stext=" 12:.+((SYSTEM_STATE.+slice.+state.+changed )|(ment ac)|(multiple cpu faults)|(system.+state.+changed )|(\[timeout)|(PRM\|1\|D)|(kpr)|(kdp)|(train st.+moving)|(\|lc)|(penalty))"</v>
      </c>
      <c r="AG22" s="183" t="str">
        <f t="shared" si="13"/>
        <v>EC</v>
      </c>
      <c r="AH22" s="78" t="str">
        <f t="shared" si="18"/>
        <v>"%USERPROFILE%\Documents\GitHub\eaglep3\Utilities\RefineRTDCRunTimes.py" --tripid 110-17 --locoid 4043 --swversion DE.1.0.9.0 --startMP 204:232994 --initTime 2017-09-17T05:22:52 --startdatetime 2017-09-17T05:42:25 --delay 47 --endMP 204:149 --enddatetime 2017-09-17T06:19:53 --enforcementcount 0 &gt;&gt;C:\Users\stu\Documents\GitHub\eaglep3-reporting\EC\2017-09-17-refined-times.txt</v>
      </c>
      <c r="AI22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{"issue":{"subject":"","project_id":79,"tracker_id":40,"status_id":1,"priority_id":2,"assigned_to_id":338,"start_date":"2017-09-17","description":"","custom_fields":[{"id":1,"name":"Subdivision","value":"EC"},{"id":4,"name":"Milepost","value":"0.0149"},{"id":17,"name":"Train ID","value":"110-17"},{"id":16,"name":"Locomotive ID","value":"4043"},{"id":130,"name":"Impact","value":""},{"id":150,"name":"Time of Event (Mountain Time)","value":"06:19:53"},{"id":151,"name":"Denver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4043 --day 2017-09-17</v>
      </c>
      <c r="AN22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12:19:53"},{"id":29,"name":"Sharepoint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Message%20ID',Summary),filters:!(),index:'emp_*',interval:auto,query:"&amp;"(query_string:(analyze_wildcard:!t,query:'Message%5C+ID:(*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-09-17T04:22:52-0600',mode:absolute,to:'2017-09-17T07:19:53-0600'))&amp;_a=(columns:!('Message%20ID',Summary),filters:!(),index:'emp_*',interval:auto,query:(query_string:(analyze_wildcard:!t,query:'Message%5C+ID:(*)+AND+%22rtdc.l.rtdc.4043%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641</v>
      </c>
      <c r="B23" s="7">
        <v>4054</v>
      </c>
      <c r="C23" s="21" t="s">
        <v>197</v>
      </c>
      <c r="D23" s="21" t="s">
        <v>491</v>
      </c>
      <c r="E23" s="13">
        <v>42995.204837962963</v>
      </c>
      <c r="F23" s="13">
        <v>42995.208668981482</v>
      </c>
      <c r="G23" s="7">
        <v>73</v>
      </c>
      <c r="H23" s="21" t="s">
        <v>824</v>
      </c>
      <c r="I23" s="13">
        <v>42995.233842592592</v>
      </c>
      <c r="J23" s="7">
        <v>0</v>
      </c>
      <c r="K23" s="89" t="str">
        <f t="shared" si="0"/>
        <v>4053/4054</v>
      </c>
      <c r="L23" s="186" t="str">
        <f>VLOOKUP(A23,'Trips&amp;Operators'!$C$1:$G$99911,5,FALSE)</f>
        <v>THOMPSON LESTER</v>
      </c>
      <c r="M23" s="6">
        <f t="shared" si="1"/>
        <v>2.5173611109494232E-2</v>
      </c>
      <c r="N23" s="7">
        <f t="shared" si="2"/>
        <v>36.249999997671694</v>
      </c>
      <c r="O23" s="7"/>
      <c r="P23" s="7"/>
      <c r="Q23" s="22"/>
      <c r="R23" s="174"/>
      <c r="S23" s="222">
        <f t="shared" si="3"/>
        <v>1</v>
      </c>
      <c r="T23" s="174" t="str">
        <f t="shared" si="4"/>
        <v>NorthBound</v>
      </c>
      <c r="U23" s="19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7" t="str">
        <f t="shared" si="5"/>
        <v>https://d0f6bd738d7f1b3e5a7ca70fe4ff75f0.us-east-1.aws.found.io/app/kibana#/discover/Steve-Slow-Train-Analysis-(2080s-and-2083s)?_g=(refreshInterval:(display:Off,pause:!f,section:0,value:0),time:(from:'2017-09-17T03:54:58-0600',mode:absolute,to:'2017-09-17T06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" s="205" t="str">
        <f>IF(AA23&lt;VLOOKUP(AG23,Variables!$AC$3:$AD$8,2,FALSE),"Y","N")</f>
        <v>N</v>
      </c>
      <c r="X23" s="205">
        <f t="shared" si="6"/>
        <v>1</v>
      </c>
      <c r="Y23" s="205">
        <f t="shared" si="7"/>
        <v>4.9299999999999997E-2</v>
      </c>
      <c r="Z23" s="205">
        <f t="shared" si="8"/>
        <v>23.330200000000001</v>
      </c>
      <c r="AA23" s="205">
        <f t="shared" si="9"/>
        <v>23.280900000000003</v>
      </c>
      <c r="AB23" s="54" t="e">
        <f>VLOOKUP(A23,Enforcements!$C$7:$K$11,8,0)</f>
        <v>#N/A</v>
      </c>
      <c r="AC23" s="51" t="e">
        <f>VLOOKUP(A23,Enforcements!$C$7:$E$11,3,0)</f>
        <v>#N/A</v>
      </c>
      <c r="AD23" s="180">
        <f t="shared" si="10"/>
        <v>111</v>
      </c>
      <c r="AE23" s="77" t="str">
        <f t="shared" si="11"/>
        <v>aws s3 cp s3://rtdc.mdm.uploadarchive.raw/RTDC4054/ "%USERPROFILE%\AppData\Local\Temp\OnboardLogs"\RTDC4054\2017-09-17 --exclude "*" --recursive --include "*20170917*" &amp; "%USERPROFILE%\Documents\GitHub\mrs-test-scripts\Headless Mode &amp; Sideloading\WalkAndUnGZ.bat" "%USERPROFILE%\AppData\Local\Temp\OnboardLogs"\RTDC4054\2017-09-17 &amp; aws s3 cp s3://rtdc.mdm.uploadarchive.raw/RTDC4054/ "%USERPROFILE%\AppData\Local\Temp\OnboardLogs"\RTDC4054\2017-09-18 --exclude "*" --recursive --include "*20170918*" &amp; "%USERPROFILE%\Documents\GitHub\mrs-test-scripts\Headless Mode &amp; Sideloading\WalkAndUnGZ.bat" "%USERPROFILE%\AppData\Local\Temp\OnboardLogs"\RTDC4054\2017-09-18</v>
      </c>
      <c r="AF23" s="74" t="str">
        <f t="shared" si="12"/>
        <v>"C:\Program Files (x86)\AstroGrep\AstroGrep.exe" /e /r /s /spath="%USERPROFILE%\AppData\Local\Temp\OnboardLogs" /stypes="app*4054*20170917*" /stext=" 11:.+((SYSTEM_STATE.+slice.+state.+changed )|(ment ac)|(multiple cpu faults)|(system.+state.+changed )|(\[timeout)|(PRM\|1\|D)|(kpr)|(kdp)|(train st.+moving)|(\|lc)|(penalty))"</v>
      </c>
      <c r="AG23" s="183" t="str">
        <f t="shared" si="13"/>
        <v>EC</v>
      </c>
      <c r="AH23" s="78" t="str">
        <f t="shared" si="18"/>
        <v>"%USERPROFILE%\Documents\GitHub\eaglep3\Utilities\RefineRTDCRunTimes.py" --tripid 111-17 --locoid 4054 --swversion DE.1.0.9.0 --startMP 204:493 --initTime 2017-09-17T04:54:58 --startdatetime 2017-09-17T05:00:29 --delay 73 --endMP 204:233302 --enddatetime 2017-09-17T05:36:44 --enforcementcount 0 &gt;&gt;C:\Users\stu\Documents\GitHub\eaglep3-reporting\EC\2017-09-17-refined-times.txt</v>
      </c>
      <c r="AI23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{"issue":{"subject":"","project_id":79,"tracker_id":40,"status_id":1,"priority_id":2,"assigned_to_id":338,"start_date":"2017-09-17","description":"","custom_fields":[{"id":1,"name":"Subdivision","value":"EC"},{"id":4,"name":"Milepost","value":"23.3302"},{"id":17,"name":"Train ID","value":"111-17"},{"id":16,"name":"Locomotive ID","value":"4054"},{"id":130,"name":"Impact","value":""},{"id":150,"name":"Time of Event (Mountain Time)","value":"05:36:44"},{"id":151,"name":"Denver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4054 --day 2017-09-17</v>
      </c>
      <c r="AN23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11:36:44"},{"id":29,"name":"Sharepoint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Message%20ID',Summary),filters:!(),index:'emp_*',interval:auto,query:"&amp;"(query_string:(analyze_wildcard:!t,query:'Message%5C+ID:(*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-09-17T03:54:58-0600',mode:absolute,to:'2017-09-17T06:36:44-0600'))&amp;_a=(columns:!('Message%20ID',Summary),filters:!(),index:'emp_*',interval:auto,query:(query_string:(analyze_wildcard:!t,query:'Message%5C+ID:(*)+AND+%22rtdc.l.rtdc.4054%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653</v>
      </c>
      <c r="B24" s="7">
        <v>4053</v>
      </c>
      <c r="C24" s="21" t="s">
        <v>197</v>
      </c>
      <c r="D24" s="21" t="s">
        <v>479</v>
      </c>
      <c r="E24" s="13">
        <v>42995.246018518519</v>
      </c>
      <c r="F24" s="13">
        <v>42995.247129629628</v>
      </c>
      <c r="G24" s="7">
        <v>52</v>
      </c>
      <c r="H24" s="21" t="s">
        <v>426</v>
      </c>
      <c r="I24" s="13">
        <v>42995.248032407406</v>
      </c>
      <c r="J24" s="7">
        <v>0</v>
      </c>
      <c r="K24" s="89" t="str">
        <f t="shared" si="0"/>
        <v>4053/4054</v>
      </c>
      <c r="L24" s="186" t="str">
        <f>VLOOKUP(A24,'Trips&amp;Operators'!$C$1:$G$99911,5,FALSE)</f>
        <v>THOMPSON LESTER</v>
      </c>
      <c r="M24" s="6">
        <f t="shared" si="1"/>
        <v>9.0277777781011537E-4</v>
      </c>
      <c r="N24" s="7"/>
      <c r="O24" s="7"/>
      <c r="P24" s="7">
        <f>24*60*SUM($M24:$M24)</f>
        <v>1.3000000000465661</v>
      </c>
      <c r="Q24" s="22"/>
      <c r="R24" s="174" t="s">
        <v>495</v>
      </c>
      <c r="S24" s="222">
        <f t="shared" si="3"/>
        <v>0</v>
      </c>
      <c r="T24" s="174" t="str">
        <f t="shared" si="4"/>
        <v>Southbound</v>
      </c>
      <c r="U24" s="19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217" t="str">
        <f t="shared" si="5"/>
        <v>https://d0f6bd738d7f1b3e5a7ca70fe4ff75f0.us-east-1.aws.found.io/app/kibana#/discover/Steve-Slow-Train-Analysis-(2080s-and-2083s)?_g=(refreshInterval:(display:Off,pause:!f,section:0,value:0),time:(from:'2017-09-17T04:54:16-0600',mode:absolute,to:'2017-09-17T06:57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" s="205" t="str">
        <f>IF(AA24&lt;VLOOKUP(AG24,Variables!$AC$3:$AD$8,2,FALSE),"Y","N")</f>
        <v>Y</v>
      </c>
      <c r="X24" s="205">
        <f t="shared" si="6"/>
        <v>1</v>
      </c>
      <c r="Y24" s="205">
        <f t="shared" si="7"/>
        <v>23.298300000000001</v>
      </c>
      <c r="Z24" s="205">
        <f t="shared" si="8"/>
        <v>23.2989</v>
      </c>
      <c r="AA24" s="205">
        <f t="shared" si="9"/>
        <v>5.9999999999860165E-4</v>
      </c>
      <c r="AB24" s="54" t="e">
        <f>VLOOKUP(A24,Enforcements!$C$7:$K$11,8,0)</f>
        <v>#N/A</v>
      </c>
      <c r="AC24" s="51" t="e">
        <f>VLOOKUP(A24,Enforcements!$C$7:$E$11,3,0)</f>
        <v>#N/A</v>
      </c>
      <c r="AD24" s="180">
        <f t="shared" si="10"/>
        <v>112</v>
      </c>
      <c r="AE24" s="77" t="str">
        <f t="shared" si="11"/>
        <v>aws s3 cp s3://rtdc.mdm.uploadarchive.raw/RTDC4053/ "%USERPROFILE%\AppData\Local\Temp\OnboardLogs"\RTDC4053\2017-09-17 --exclude "*" --recursive --include "*20170917*" &amp; "%USERPROFILE%\Documents\GitHub\mrs-test-scripts\Headless Mode &amp; Sideloading\WalkAndUnGZ.bat" "%USERPROFILE%\AppData\Local\Temp\OnboardLogs"\RTDC4053\2017-09-17 &amp; aws s3 cp s3://rtdc.mdm.uploadarchive.raw/RTDC4053/ "%USERPROFILE%\AppData\Local\Temp\OnboardLogs"\RTDC4053\2017-09-18 --exclude "*" --recursive --include "*20170918*" &amp; "%USERPROFILE%\Documents\GitHub\mrs-test-scripts\Headless Mode &amp; Sideloading\WalkAndUnGZ.bat" "%USERPROFILE%\AppData\Local\Temp\OnboardLogs"\RTDC4053\2017-09-18</v>
      </c>
      <c r="AF24" s="74" t="str">
        <f t="shared" si="12"/>
        <v>"C:\Program Files (x86)\AstroGrep\AstroGrep.exe" /e /r /s /spath="%USERPROFILE%\AppData\Local\Temp\OnboardLogs" /stypes="app*4053*20170917*" /stext=" 11:.+((SYSTEM_STATE.+slice.+state.+changed )|(ment ac)|(multiple cpu faults)|(system.+state.+changed )|(\[timeout)|(PRM\|1\|D)|(kpr)|(kdp)|(train st.+moving)|(\|lc)|(penalty))"</v>
      </c>
      <c r="AG24" s="183" t="str">
        <f t="shared" si="13"/>
        <v>EC</v>
      </c>
      <c r="AH24" s="78" t="str">
        <f t="shared" si="18"/>
        <v>"%USERPROFILE%\Documents\GitHub\eaglep3\Utilities\RefineRTDCRunTimes.py" --tripid 112-17 --locoid 4053 --swversion DE.1.0.9.0 --startMP 204:232983 --initTime 2017-09-17T05:54:16 --startdatetime 2017-09-17T05:55:52 --delay 52 --endMP 204:232989 --enddatetime 2017-09-17T05:57:10 --enforcementcount 0 &gt;&gt;C:\Users\stu\Documents\GitHub\eaglep3-reporting\EC\2017-09-17-refined-times.txt</v>
      </c>
      <c r="AI24" s="96" t="str">
        <f t="shared" si="19"/>
        <v>echo {"issue":{"subject":"Onboard in-route failure","project_id":79,"tracker_id":40,"status_id":1,"priority_id":2,"assigned_to_id":338,"start_date":"2017-09-17","description":"","custom_fields":[{"id":1,"name":"Subdivision","value":"EC"},{"id":4,"name":"Milepost","value":"23.2989"},{"id":17,"name":"Train ID","value":"112-17"},{"id":16,"name":"Locomotive ID","value":"4053"},{"id":130,"name":"Impact","value":""},{"id":150,"name":"Time of Event (Mountain Time)","value":"05:57:10"},{"id":151,"name":"Denver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4053 --day 2017-09-17</v>
      </c>
      <c r="AN24" s="151" t="str">
        <f t="shared" si="21"/>
        <v>echo {"issue":{"subject":"Onboard in-route failure","project_id":30,"tracker_id":4,"status_id":1,"priority_id":1,"assigned_to_id":10,"start_date":"2017-09-17","description":"","custom_fields":[{"id":30,"name":"Category","value":"Issue"},{"id":3,"name":"Functional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11:57:10"},{"id":29,"name":"Sharepoint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Message%20ID',Summary),filters:!(),index:'emp_*',interval:auto,query:"&amp;"(query_string:(analyze_wildcard:!t,query:'Message%5C+ID:(*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-09-17T04:54:16-0600',mode:absolute,to:'2017-09-17T06:57:10-0600'))&amp;_a=(columns:!('Message%20ID',Summary),filters:!(),index:'emp_*',interval:auto,query:(query_string:(analyze_wildcard:!t,query:'Message%5C+ID:(*)+AND+%22rtdc.l.rtdc.4053%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643</v>
      </c>
      <c r="B25" s="7">
        <v>4002</v>
      </c>
      <c r="C25" s="21" t="s">
        <v>197</v>
      </c>
      <c r="D25" s="21" t="s">
        <v>417</v>
      </c>
      <c r="E25" s="13">
        <v>42995.215405092589</v>
      </c>
      <c r="F25" s="13">
        <v>42995.218912037039</v>
      </c>
      <c r="G25" s="7">
        <v>89</v>
      </c>
      <c r="H25" s="21" t="s">
        <v>825</v>
      </c>
      <c r="I25" s="13">
        <v>42995.244259259256</v>
      </c>
      <c r="J25" s="7">
        <v>0</v>
      </c>
      <c r="K25" s="89" t="str">
        <f t="shared" si="0"/>
        <v>4001/4002</v>
      </c>
      <c r="L25" s="186" t="str">
        <f>VLOOKUP(A25,'Trips&amp;Operators'!$C$1:$G$99911,5,FALSE)</f>
        <v>WILLIAMS DONTE</v>
      </c>
      <c r="M25" s="6">
        <f t="shared" si="1"/>
        <v>2.5347222217533272E-2</v>
      </c>
      <c r="N25" s="7">
        <f t="shared" ref="N25:N34" si="22">24*60*SUM($M25:$M25)</f>
        <v>36.499999993247911</v>
      </c>
      <c r="O25" s="7"/>
      <c r="P25" s="7"/>
      <c r="Q25" s="22"/>
      <c r="R25" s="174"/>
      <c r="S25" s="222">
        <f t="shared" si="3"/>
        <v>1</v>
      </c>
      <c r="T25" s="174" t="str">
        <f t="shared" si="4"/>
        <v>NorthBound</v>
      </c>
      <c r="U25" s="19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7" t="str">
        <f t="shared" si="5"/>
        <v>https://d0f6bd738d7f1b3e5a7ca70fe4ff75f0.us-east-1.aws.found.io/app/kibana#/discover/Steve-Slow-Train-Analysis-(2080s-and-2083s)?_g=(refreshInterval:(display:Off,pause:!f,section:0,value:0),time:(from:'2017-09-17T04:10:11-0600',mode:absolute,to:'2017-09-17T06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5" s="205" t="str">
        <f>IF(AA25&lt;VLOOKUP(AG25,Variables!$AC$3:$AD$8,2,FALSE),"Y","N")</f>
        <v>N</v>
      </c>
      <c r="X25" s="205">
        <f t="shared" si="6"/>
        <v>1</v>
      </c>
      <c r="Y25" s="205">
        <f t="shared" si="7"/>
        <v>4.6199999999999998E-2</v>
      </c>
      <c r="Z25" s="205">
        <f t="shared" si="8"/>
        <v>23.328399999999998</v>
      </c>
      <c r="AA25" s="205">
        <f t="shared" si="9"/>
        <v>23.2822</v>
      </c>
      <c r="AB25" s="54" t="e">
        <f>VLOOKUP(A25,Enforcements!$C$7:$K$11,8,0)</f>
        <v>#N/A</v>
      </c>
      <c r="AC25" s="51" t="e">
        <f>VLOOKUP(A25,Enforcements!$C$7:$E$11,3,0)</f>
        <v>#N/A</v>
      </c>
      <c r="AD25" s="180">
        <f t="shared" si="10"/>
        <v>113</v>
      </c>
      <c r="AE25" s="77" t="str">
        <f t="shared" si="11"/>
        <v>aws s3 cp s3://rtdc.mdm.uploadarchive.raw/RTDC4002/ "%USERPROFILE%\AppData\Local\Temp\OnboardLogs"\RTDC4002\2017-09-17 --exclude "*" --recursive --include "*20170917*" &amp; "%USERPROFILE%\Documents\GitHub\mrs-test-scripts\Headless Mode &amp; Sideloading\WalkAndUnGZ.bat" "%USERPROFILE%\AppData\Local\Temp\OnboardLogs"\RTDC4002\2017-09-17 &amp; aws s3 cp s3://rtdc.mdm.uploadarchive.raw/RTDC4002/ "%USERPROFILE%\AppData\Local\Temp\OnboardLogs"\RTDC4002\2017-09-18 --exclude "*" --recursive --include "*20170918*" &amp; "%USERPROFILE%\Documents\GitHub\mrs-test-scripts\Headless Mode &amp; Sideloading\WalkAndUnGZ.bat" "%USERPROFILE%\AppData\Local\Temp\OnboardLogs"\RTDC4002\2017-09-18</v>
      </c>
      <c r="AF25" s="74" t="str">
        <f t="shared" si="12"/>
        <v>"C:\Program Files (x86)\AstroGrep\AstroGrep.exe" /e /r /s /spath="%USERPROFILE%\AppData\Local\Temp\OnboardLogs" /stypes="app*4002*20170917*" /stext=" 11:.+((SYSTEM_STATE.+slice.+state.+changed )|(ment ac)|(multiple cpu faults)|(system.+state.+changed )|(\[timeout)|(PRM\|1\|D)|(kpr)|(kdp)|(train st.+moving)|(\|lc)|(penalty))"</v>
      </c>
      <c r="AG25" s="183" t="str">
        <f t="shared" si="13"/>
        <v>EC</v>
      </c>
      <c r="AH25" s="78" t="str">
        <f t="shared" si="18"/>
        <v>"%USERPROFILE%\Documents\GitHub\eaglep3\Utilities\RefineRTDCRunTimes.py" --tripid 113-17 --locoid 4002 --swversion DE.1.0.9.0 --startMP 204:462 --initTime 2017-09-17T05:10:11 --startdatetime 2017-09-17T05:15:14 --delay 89 --endMP 204:233284 --enddatetime 2017-09-17T05:51:44 --enforcementcount 0 &gt;&gt;C:\Users\stu\Documents\GitHub\eaglep3-reporting\EC\2017-09-17-refined-times.txt</v>
      </c>
      <c r="AI25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{"issue":{"subject":"","project_id":79,"tracker_id":40,"status_id":1,"priority_id":2,"assigned_to_id":338,"start_date":"2017-09-17","description":"","custom_fields":[{"id":1,"name":"Subdivision","value":"EC"},{"id":4,"name":"Milepost","value":"23.3284"},{"id":17,"name":"Train ID","value":"113-17"},{"id":16,"name":"Locomotive ID","value":"4002"},{"id":130,"name":"Impact","value":""},{"id":150,"name":"Time of Event (Mountain Time)","value":"05:51:44"},{"id":151,"name":"Denver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4002 --day 2017-09-17</v>
      </c>
      <c r="AN25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11:51:44"},{"id":29,"name":"Sharepoint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Message%20ID',Summary),filters:!(),index:'emp_*',interval:auto,query:"&amp;"(query_string:(analyze_wildcard:!t,query:'Message%5C+ID:(*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-09-17T04:10:11-0600',mode:absolute,to:'2017-09-17T06:51:44-0600'))&amp;_a=(columns:!('Message%20ID',Summary),filters:!(),index:'emp_*',interval:auto,query:(query_string:(analyze_wildcard:!t,query:'Message%5C+ID:(*)+AND+%22rtdc.l.rtdc.4002%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656</v>
      </c>
      <c r="B26" s="7">
        <v>4001</v>
      </c>
      <c r="C26" s="21" t="s">
        <v>197</v>
      </c>
      <c r="D26" s="21" t="s">
        <v>826</v>
      </c>
      <c r="E26" s="13">
        <v>42995.253912037035</v>
      </c>
      <c r="F26" s="13">
        <v>42995.258506944447</v>
      </c>
      <c r="G26" s="7">
        <v>80</v>
      </c>
      <c r="H26" s="21" t="s">
        <v>827</v>
      </c>
      <c r="I26" s="13">
        <v>42995.289351851854</v>
      </c>
      <c r="J26" s="7">
        <v>0</v>
      </c>
      <c r="K26" s="89" t="str">
        <f t="shared" si="0"/>
        <v>4001/4002</v>
      </c>
      <c r="L26" s="186" t="str">
        <f>VLOOKUP(A26,'Trips&amp;Operators'!$C$1:$G$99911,5,FALSE)</f>
        <v>WILLIAMS DONTE</v>
      </c>
      <c r="M26" s="6">
        <f t="shared" si="1"/>
        <v>3.0844907407299615E-2</v>
      </c>
      <c r="N26" s="7">
        <f t="shared" si="22"/>
        <v>44.416666666511446</v>
      </c>
      <c r="O26" s="7"/>
      <c r="P26" s="7"/>
      <c r="Q26" s="22"/>
      <c r="R26" s="174"/>
      <c r="S26" s="222">
        <f t="shared" si="3"/>
        <v>1</v>
      </c>
      <c r="T26" s="174" t="str">
        <f t="shared" si="4"/>
        <v>Southbound</v>
      </c>
      <c r="U26" s="19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7" t="str">
        <f t="shared" si="5"/>
        <v>https://d0f6bd738d7f1b3e5a7ca70fe4ff75f0.us-east-1.aws.found.io/app/kibana#/discover/Steve-Slow-Train-Analysis-(2080s-and-2083s)?_g=(refreshInterval:(display:Off,pause:!f,section:0,value:0),time:(from:'2017-09-17T05:05:38-0600',mode:absolute,to:'2017-09-17T07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6" s="205" t="str">
        <f>IF(AA26&lt;VLOOKUP(AG26,Variables!$AC$3:$AD$8,2,FALSE),"Y","N")</f>
        <v>N</v>
      </c>
      <c r="X26" s="205">
        <f t="shared" si="6"/>
        <v>1</v>
      </c>
      <c r="Y26" s="205">
        <f t="shared" si="7"/>
        <v>23.2959</v>
      </c>
      <c r="Z26" s="205">
        <f t="shared" si="8"/>
        <v>1.6899999999999998E-2</v>
      </c>
      <c r="AA26" s="205">
        <f t="shared" si="9"/>
        <v>23.279</v>
      </c>
      <c r="AB26" s="54" t="e">
        <f>VLOOKUP(A26,Enforcements!$C$7:$K$11,8,0)</f>
        <v>#N/A</v>
      </c>
      <c r="AC26" s="51" t="e">
        <f>VLOOKUP(A26,Enforcements!$C$7:$E$11,3,0)</f>
        <v>#N/A</v>
      </c>
      <c r="AD26" s="180">
        <f t="shared" si="10"/>
        <v>114</v>
      </c>
      <c r="AE26" s="77" t="str">
        <f t="shared" si="11"/>
        <v>aws s3 cp s3://rtdc.mdm.uploadarchive.raw/RTDC4001/ "%USERPROFILE%\AppData\Local\Temp\OnboardLogs"\RTDC4001\2017-09-17 --exclude "*" --recursive --include "*20170917*" &amp; "%USERPROFILE%\Documents\GitHub\mrs-test-scripts\Headless Mode &amp; Sideloading\WalkAndUnGZ.bat" "%USERPROFILE%\AppData\Local\Temp\OnboardLogs"\RTDC4001\2017-09-17 &amp; aws s3 cp s3://rtdc.mdm.uploadarchive.raw/RTDC4001/ "%USERPROFILE%\AppData\Local\Temp\OnboardLogs"\RTDC4001\2017-09-18 --exclude "*" --recursive --include "*20170918*" &amp; "%USERPROFILE%\Documents\GitHub\mrs-test-scripts\Headless Mode &amp; Sideloading\WalkAndUnGZ.bat" "%USERPROFILE%\AppData\Local\Temp\OnboardLogs"\RTDC4001\2017-09-18</v>
      </c>
      <c r="AF26" s="74" t="str">
        <f t="shared" si="12"/>
        <v>"C:\Program Files (x86)\AstroGrep\AstroGrep.exe" /e /r /s /spath="%USERPROFILE%\AppData\Local\Temp\OnboardLogs" /stypes="app*4001*20170917*" /stext=" 12:.+((SYSTEM_STATE.+slice.+state.+changed )|(ment ac)|(multiple cpu faults)|(system.+state.+changed )|(\[timeout)|(PRM\|1\|D)|(kpr)|(kdp)|(train st.+moving)|(\|lc)|(penalty))"</v>
      </c>
      <c r="AG26" s="183" t="str">
        <f t="shared" si="13"/>
        <v>EC</v>
      </c>
      <c r="AH26" s="78" t="str">
        <f t="shared" si="18"/>
        <v>"%USERPROFILE%\Documents\GitHub\eaglep3\Utilities\RefineRTDCRunTimes.py" --tripid 114-17 --locoid 4001 --swversion DE.1.0.9.0 --startMP 204:232959 --initTime 2017-09-17T06:05:38 --startdatetime 2017-09-17T06:12:15 --delay 80 --endMP 204:169 --enddatetime 2017-09-17T06:56:40 --enforcementcount 0 &gt;&gt;C:\Users\stu\Documents\GitHub\eaglep3-reporting\EC\2017-09-17-refined-times.txt</v>
      </c>
      <c r="AI26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{"issue":{"subject":"","project_id":79,"tracker_id":40,"status_id":1,"priority_id":2,"assigned_to_id":338,"start_date":"2017-09-17","description":"","custom_fields":[{"id":1,"name":"Subdivision","value":"EC"},{"id":4,"name":"Milepost","value":"0.0169"},{"id":17,"name":"Train ID","value":"114-17"},{"id":16,"name":"Locomotive ID","value":"4001"},{"id":130,"name":"Impact","value":""},{"id":150,"name":"Time of Event (Mountain Time)","value":"06:56:40"},{"id":151,"name":"Denver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4001 --day 2017-09-17</v>
      </c>
      <c r="AN26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12:56:40"},{"id":29,"name":"Sharepoint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Message%20ID',Summary),filters:!(),index:'emp_*',interval:auto,query:"&amp;"(query_string:(analyze_wildcard:!t,query:'Message%5C+ID:(*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-09-17T05:05:38-0600',mode:absolute,to:'2017-09-17T07:56:40-0600'))&amp;_a=(columns:!('Message%20ID',Summary),filters:!(),index:'emp_*',interval:auto,query:(query_string:(analyze_wildcard:!t,query:'Message%5C+ID:(*)+AND+%22rtdc.l.rtdc.4001%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644</v>
      </c>
      <c r="B27" s="7">
        <v>4016</v>
      </c>
      <c r="C27" s="21" t="s">
        <v>197</v>
      </c>
      <c r="D27" s="21" t="s">
        <v>378</v>
      </c>
      <c r="E27" s="13">
        <v>42995.221493055556</v>
      </c>
      <c r="F27" s="13">
        <v>42995.229363425926</v>
      </c>
      <c r="G27" s="7">
        <v>67</v>
      </c>
      <c r="H27" s="21" t="s">
        <v>424</v>
      </c>
      <c r="I27" s="13">
        <v>42995.258333333331</v>
      </c>
      <c r="J27" s="7">
        <v>0</v>
      </c>
      <c r="K27" s="89" t="str">
        <f t="shared" si="0"/>
        <v>4015/4016</v>
      </c>
      <c r="L27" s="186" t="str">
        <f>VLOOKUP(A27,'Trips&amp;Operators'!$C$1:$G$99911,5,FALSE)</f>
        <v>HUFFSMITH MONTY</v>
      </c>
      <c r="M27" s="6">
        <f t="shared" si="1"/>
        <v>2.8969907405553386E-2</v>
      </c>
      <c r="N27" s="7">
        <f t="shared" si="22"/>
        <v>41.716666663996875</v>
      </c>
      <c r="O27" s="7"/>
      <c r="P27" s="7"/>
      <c r="Q27" s="22"/>
      <c r="R27" s="174"/>
      <c r="S27" s="222">
        <f t="shared" si="3"/>
        <v>1</v>
      </c>
      <c r="T27" s="174" t="str">
        <f t="shared" si="4"/>
        <v>NorthBound</v>
      </c>
      <c r="U27" s="19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7" t="str">
        <f t="shared" si="5"/>
        <v>https://d0f6bd738d7f1b3e5a7ca70fe4ff75f0.us-east-1.aws.found.io/app/kibana#/discover/Steve-Slow-Train-Analysis-(2080s-and-2083s)?_g=(refreshInterval:(display:Off,pause:!f,section:0,value:0),time:(from:'2017-09-17T04:18:57-0600',mode:absolute,to:'2017-09-17T07:12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205" t="str">
        <f>IF(AA27&lt;VLOOKUP(AG27,Variables!$AC$3:$AD$8,2,FALSE),"Y","N")</f>
        <v>N</v>
      </c>
      <c r="X27" s="205">
        <f t="shared" si="6"/>
        <v>1</v>
      </c>
      <c r="Y27" s="205">
        <f t="shared" si="7"/>
        <v>4.4200000000000003E-2</v>
      </c>
      <c r="Z27" s="205">
        <f t="shared" si="8"/>
        <v>23.3291</v>
      </c>
      <c r="AA27" s="205">
        <f t="shared" si="9"/>
        <v>23.2849</v>
      </c>
      <c r="AB27" s="54" t="e">
        <f>VLOOKUP(A27,Enforcements!$C$7:$K$11,8,0)</f>
        <v>#N/A</v>
      </c>
      <c r="AC27" s="51" t="e">
        <f>VLOOKUP(A27,Enforcements!$C$7:$E$11,3,0)</f>
        <v>#N/A</v>
      </c>
      <c r="AD27" s="180">
        <f t="shared" si="10"/>
        <v>115</v>
      </c>
      <c r="AE27" s="77" t="str">
        <f t="shared" si="11"/>
        <v>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 &amp; 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</v>
      </c>
      <c r="AF27" s="74" t="str">
        <f t="shared" si="12"/>
        <v>"C:\Program Files (x86)\AstroGrep\AstroGrep.exe" /e /r /s /spath="%USERPROFILE%\AppData\Local\Temp\OnboardLogs" /stypes="app*4016*20170917*" /stext=" 12:.+((SYSTEM_STATE.+slice.+state.+changed )|(ment ac)|(multiple cpu faults)|(system.+state.+changed )|(\[timeout)|(PRM\|1\|D)|(kpr)|(kdp)|(train st.+moving)|(\|lc)|(penalty))"</v>
      </c>
      <c r="AG27" s="183" t="str">
        <f t="shared" si="13"/>
        <v>EC</v>
      </c>
      <c r="AH27" s="78" t="str">
        <f t="shared" si="18"/>
        <v>"%USERPROFILE%\Documents\GitHub\eaglep3\Utilities\RefineRTDCRunTimes.py" --tripid 115-17 --locoid 4016 --swversion DE.1.0.9.0 --startMP 204:442 --initTime 2017-09-17T05:18:57 --startdatetime 2017-09-17T05:30:17 --delay 67 --endMP 204:233291 --enddatetime 2017-09-17T06:12:00 --enforcementcount 0 &gt;&gt;C:\Users\stu\Documents\GitHub\eaglep3-reporting\EC\2017-09-17-refined-times.txt</v>
      </c>
      <c r="AI27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{"issue":{"subject":"","project_id":79,"tracker_id":40,"status_id":1,"priority_id":2,"assigned_to_id":338,"start_date":"2017-09-17","description":"","custom_fields":[{"id":1,"name":"Subdivision","value":"EC"},{"id":4,"name":"Milepost","value":"23.3291"},{"id":17,"name":"Train ID","value":"115-17"},{"id":16,"name":"Locomotive ID","value":"4016"},{"id":130,"name":"Impact","value":""},{"id":150,"name":"Time of Event (Mountain Time)","value":"06:12:00"},{"id":151,"name":"Denver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4016 --day 2017-09-17</v>
      </c>
      <c r="AN27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12:12:00"},{"id":29,"name":"Sharepoint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Message%20ID',Summary),filters:!(),index:'emp_*',interval:auto,query:"&amp;"(query_string:(analyze_wildcard:!t,query:'Message%5C+ID:(*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-09-17T04:18:57-0600',mode:absolute,to:'2017-09-17T07:12:00-0600'))&amp;_a=(columns:!('Message%20ID',Summary),filters:!(),index:'emp_*',interval:auto,query:(query_string:(analyze_wildcard:!t,query:'Message%5C+ID:(*)+AND+%22rtdc.l.rtdc.4016%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581</v>
      </c>
      <c r="B28" s="7">
        <v>4015</v>
      </c>
      <c r="C28" s="21" t="s">
        <v>197</v>
      </c>
      <c r="D28" s="21" t="s">
        <v>479</v>
      </c>
      <c r="E28" s="13">
        <v>42995.260509259257</v>
      </c>
      <c r="F28" s="13">
        <v>42995.269004629627</v>
      </c>
      <c r="G28" s="7">
        <v>50</v>
      </c>
      <c r="H28" s="21" t="s">
        <v>545</v>
      </c>
      <c r="I28" s="13">
        <v>42995.295231481483</v>
      </c>
      <c r="J28" s="7">
        <v>0</v>
      </c>
      <c r="K28" s="89" t="str">
        <f t="shared" si="0"/>
        <v>4015/4016</v>
      </c>
      <c r="L28" s="186" t="str">
        <f>VLOOKUP(A28,'Trips&amp;Operators'!$C$1:$G$99911,5,FALSE)</f>
        <v>HUFFSMITH MONTY</v>
      </c>
      <c r="M28" s="6">
        <f t="shared" si="1"/>
        <v>2.6226851856335998E-2</v>
      </c>
      <c r="N28" s="7">
        <f t="shared" si="22"/>
        <v>37.766666673123837</v>
      </c>
      <c r="O28" s="7"/>
      <c r="P28" s="7"/>
      <c r="Q28" s="22"/>
      <c r="R28" s="174"/>
      <c r="S28" s="222">
        <f t="shared" si="3"/>
        <v>1</v>
      </c>
      <c r="T28" s="174" t="str">
        <f t="shared" si="4"/>
        <v>Southbound</v>
      </c>
      <c r="U28" s="19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7" t="str">
        <f t="shared" si="5"/>
        <v>https://d0f6bd738d7f1b3e5a7ca70fe4ff75f0.us-east-1.aws.found.io/app/kibana#/discover/Steve-Slow-Train-Analysis-(2080s-and-2083s)?_g=(refreshInterval:(display:Off,pause:!f,section:0,value:0),time:(from:'2017-09-17T05:15:08-0600',mode:absolute,to:'2017-09-17T08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205" t="str">
        <f>IF(AA28&lt;VLOOKUP(AG28,Variables!$AC$3:$AD$8,2,FALSE),"Y","N")</f>
        <v>N</v>
      </c>
      <c r="X28" s="205">
        <f t="shared" si="6"/>
        <v>1</v>
      </c>
      <c r="Y28" s="205">
        <f t="shared" si="7"/>
        <v>23.298300000000001</v>
      </c>
      <c r="Z28" s="205">
        <f t="shared" si="8"/>
        <v>1.8100000000000002E-2</v>
      </c>
      <c r="AA28" s="205">
        <f t="shared" si="9"/>
        <v>23.280200000000001</v>
      </c>
      <c r="AB28" s="54" t="e">
        <f>VLOOKUP(A28,Enforcements!$C$7:$K$11,8,0)</f>
        <v>#N/A</v>
      </c>
      <c r="AC28" s="51" t="e">
        <f>VLOOKUP(A28,Enforcements!$C$7:$E$11,3,0)</f>
        <v>#N/A</v>
      </c>
      <c r="AD28" s="180">
        <f t="shared" si="10"/>
        <v>116</v>
      </c>
      <c r="AE28" s="77" t="str">
        <f t="shared" si="11"/>
        <v>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 &amp; 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</v>
      </c>
      <c r="AF28" s="74" t="str">
        <f t="shared" si="12"/>
        <v>"C:\Program Files (x86)\AstroGrep\AstroGrep.exe" /e /r /s /spath="%USERPROFILE%\AppData\Local\Temp\OnboardLogs" /stypes="app*4015*20170917*" /stext=" 13:.+((SYSTEM_STATE.+slice.+state.+changed )|(ment ac)|(multiple cpu faults)|(system.+state.+changed )|(\[timeout)|(PRM\|1\|D)|(kpr)|(kdp)|(train st.+moving)|(\|lc)|(penalty))"</v>
      </c>
      <c r="AG28" s="183" t="str">
        <f t="shared" si="13"/>
        <v>EC</v>
      </c>
      <c r="AH28" s="78" t="str">
        <f t="shared" si="18"/>
        <v>"%USERPROFILE%\Documents\GitHub\eaglep3\Utilities\RefineRTDCRunTimes.py" --tripid 116-17 --locoid 4015 --swversion DE.1.0.9.0 --startMP 204:232983 --initTime 2017-09-17T06:15:08 --startdatetime 2017-09-17T06:27:22 --delay 50 --endMP 204:181 --enddatetime 2017-09-17T07:05:08 --enforcementcount 0 &gt;&gt;C:\Users\stu\Documents\GitHub\eaglep3-reporting\EC\2017-09-17-refined-times.txt</v>
      </c>
      <c r="AI28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{"issue":{"subject":"","project_id":79,"tracker_id":40,"status_id":1,"priority_id":2,"assigned_to_id":338,"start_date":"2017-09-17","description":"","custom_fields":[{"id":1,"name":"Subdivision","value":"EC"},{"id":4,"name":"Milepost","value":"0.0181"},{"id":17,"name":"Train ID","value":"116-17"},{"id":16,"name":"Locomotive ID","value":"4015"},{"id":130,"name":"Impact","value":""},{"id":150,"name":"Time of Event (Mountain Time)","value":"07:05:08"},{"id":151,"name":"Denver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4015 --day 2017-09-17</v>
      </c>
      <c r="AN28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13:05:08"},{"id":29,"name":"Sharepoint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Message%20ID',Summary),filters:!(),index:'emp_*',interval:auto,query:"&amp;"(query_string:(analyze_wildcard:!t,query:'Message%5C+ID:(*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-09-17T05:15:08-0600',mode:absolute,to:'2017-09-17T08:05:08-0600'))&amp;_a=(columns:!('Message%20ID',Summary),filters:!(),index:'emp_*',interval:auto,query:(query_string:(analyze_wildcard:!t,query:'Message%5C+ID:(*)+AND+%22rtdc.l.rtdc.4015%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652</v>
      </c>
      <c r="B29" s="7">
        <v>4066</v>
      </c>
      <c r="C29" s="21" t="s">
        <v>197</v>
      </c>
      <c r="D29" s="21" t="s">
        <v>417</v>
      </c>
      <c r="E29" s="13">
        <v>42995.237858796296</v>
      </c>
      <c r="F29" s="13">
        <v>42995.239965277775</v>
      </c>
      <c r="G29" s="7">
        <v>67</v>
      </c>
      <c r="H29" s="21" t="s">
        <v>825</v>
      </c>
      <c r="I29" s="13">
        <v>42995.265972222223</v>
      </c>
      <c r="J29" s="7">
        <v>0</v>
      </c>
      <c r="K29" s="89" t="str">
        <f t="shared" si="0"/>
        <v>4065/4066</v>
      </c>
      <c r="L29" s="186" t="str">
        <f>VLOOKUP(A29,'Trips&amp;Operators'!$C$1:$G$99911,5,FALSE)</f>
        <v>LAMAR NEKESHA</v>
      </c>
      <c r="M29" s="6">
        <f t="shared" si="1"/>
        <v>2.6006944448454306E-2</v>
      </c>
      <c r="N29" s="7">
        <f t="shared" si="22"/>
        <v>37.4500000057742</v>
      </c>
      <c r="O29" s="7"/>
      <c r="P29" s="7"/>
      <c r="Q29" s="22"/>
      <c r="R29" s="174"/>
      <c r="S29" s="222">
        <f t="shared" si="3"/>
        <v>1</v>
      </c>
      <c r="T29" s="174" t="str">
        <f t="shared" si="4"/>
        <v>NorthBound</v>
      </c>
      <c r="U29" s="19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7" t="str">
        <f t="shared" si="5"/>
        <v>https://d0f6bd738d7f1b3e5a7ca70fe4ff75f0.us-east-1.aws.found.io/app/kibana#/discover/Steve-Slow-Train-Analysis-(2080s-and-2083s)?_g=(refreshInterval:(display:Off,pause:!f,section:0,value:0),time:(from:'2017-09-17T04:42:31-0600',mode:absolute,to:'2017-09-17T07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9" s="205" t="str">
        <f>IF(AA29&lt;VLOOKUP(AG29,Variables!$AC$3:$AD$8,2,FALSE),"Y","N")</f>
        <v>N</v>
      </c>
      <c r="X29" s="205">
        <f t="shared" si="6"/>
        <v>1</v>
      </c>
      <c r="Y29" s="205">
        <f t="shared" si="7"/>
        <v>4.6199999999999998E-2</v>
      </c>
      <c r="Z29" s="205">
        <f t="shared" si="8"/>
        <v>23.328399999999998</v>
      </c>
      <c r="AA29" s="205">
        <f t="shared" si="9"/>
        <v>23.2822</v>
      </c>
      <c r="AB29" s="54" t="e">
        <f>VLOOKUP(A29,Enforcements!$C$7:$K$11,8,0)</f>
        <v>#N/A</v>
      </c>
      <c r="AC29" s="51" t="e">
        <f>VLOOKUP(A29,Enforcements!$C$7:$E$11,3,0)</f>
        <v>#N/A</v>
      </c>
      <c r="AD29" s="180">
        <f t="shared" si="10"/>
        <v>117</v>
      </c>
      <c r="AE29" s="77" t="str">
        <f t="shared" si="11"/>
        <v>aws s3 cp s3://rtdc.mdm.uploadarchive.raw/RTDC4066/ "%USERPROFILE%\AppData\Local\Temp\OnboardLogs"\RTDC4066\2017-09-17 --exclude "*" --recursive --include "*20170917*" &amp; "%USERPROFILE%\Documents\GitHub\mrs-test-scripts\Headless Mode &amp; Sideloading\WalkAndUnGZ.bat" "%USERPROFILE%\AppData\Local\Temp\OnboardLogs"\RTDC4066\2017-09-17 &amp; 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</v>
      </c>
      <c r="AF29" s="74" t="str">
        <f t="shared" si="12"/>
        <v>"C:\Program Files (x86)\AstroGrep\AstroGrep.exe" /e /r /s /spath="%USERPROFILE%\AppData\Local\Temp\OnboardLogs" /stypes="app*4066*20170917*" /stext=" 12:.+((SYSTEM_STATE.+slice.+state.+changed )|(ment ac)|(multiple cpu faults)|(system.+state.+changed )|(\[timeout)|(PRM\|1\|D)|(kpr)|(kdp)|(train st.+moving)|(\|lc)|(penalty))"</v>
      </c>
      <c r="AG29" s="183" t="str">
        <f t="shared" si="13"/>
        <v>EC</v>
      </c>
      <c r="AH29" s="78" t="str">
        <f t="shared" si="18"/>
        <v>"%USERPROFILE%\Documents\GitHub\eaglep3\Utilities\RefineRTDCRunTimes.py" --tripid 117-17 --locoid 4066 --swversion DE.1.0.9.0 --startMP 204:462 --initTime 2017-09-17T05:42:31 --startdatetime 2017-09-17T05:45:33 --delay 67 --endMP 204:233284 --enddatetime 2017-09-17T06:23:00 --enforcementcount 0 &gt;&gt;C:\Users\stu\Documents\GitHub\eaglep3-reporting\EC\2017-09-17-refined-times.txt</v>
      </c>
      <c r="AI29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{"issue":{"subject":"","project_id":79,"tracker_id":40,"status_id":1,"priority_id":2,"assigned_to_id":338,"start_date":"2017-09-17","description":"","custom_fields":[{"id":1,"name":"Subdivision","value":"EC"},{"id":4,"name":"Milepost","value":"23.3284"},{"id":17,"name":"Train ID","value":"117-17"},{"id":16,"name":"Locomotive ID","value":"4066"},{"id":130,"name":"Impact","value":""},{"id":150,"name":"Time of Event (Mountain Time)","value":"06:23:00"},{"id":151,"name":"Denver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4066 --day 2017-09-17</v>
      </c>
      <c r="AN29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12:23:00"},{"id":29,"name":"Sharepoint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Message%20ID',Summary),filters:!(),index:'emp_*',interval:auto,query:"&amp;"(query_string:(analyze_wildcard:!t,query:'Message%5C+ID:(*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-09-17T04:42:31-0600',mode:absolute,to:'2017-09-17T07:23:00-0600'))&amp;_a=(columns:!('Message%20ID',Summary),filters:!(),index:'emp_*',interval:auto,query:(query_string:(analyze_wildcard:!t,query:'Message%5C+ID:(*)+AND+%22rtdc.l.rtdc.4066%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659</v>
      </c>
      <c r="B30" s="7">
        <v>4065</v>
      </c>
      <c r="C30" s="21" t="s">
        <v>197</v>
      </c>
      <c r="D30" s="21" t="s">
        <v>828</v>
      </c>
      <c r="E30" s="13">
        <v>42995.276261574072</v>
      </c>
      <c r="F30" s="13">
        <v>42995.279351851852</v>
      </c>
      <c r="G30" s="7">
        <v>90</v>
      </c>
      <c r="H30" s="21" t="s">
        <v>338</v>
      </c>
      <c r="I30" s="13">
        <v>42995.306759259256</v>
      </c>
      <c r="J30" s="7">
        <v>0</v>
      </c>
      <c r="K30" s="89" t="str">
        <f t="shared" si="0"/>
        <v>4065/4066</v>
      </c>
      <c r="L30" s="186" t="str">
        <f>VLOOKUP(A30,'Trips&amp;Operators'!$C$1:$G$99911,5,FALSE)</f>
        <v>LAMAR NEKESHA</v>
      </c>
      <c r="M30" s="6">
        <f t="shared" si="1"/>
        <v>2.7407407404098194E-2</v>
      </c>
      <c r="N30" s="7">
        <f t="shared" si="22"/>
        <v>39.466666661901399</v>
      </c>
      <c r="O30" s="7"/>
      <c r="P30" s="7"/>
      <c r="Q30" s="22"/>
      <c r="R30" s="174"/>
      <c r="S30" s="222">
        <f t="shared" si="3"/>
        <v>1</v>
      </c>
      <c r="T30" s="174" t="str">
        <f t="shared" si="4"/>
        <v>Southbound</v>
      </c>
      <c r="U30" s="19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7" t="str">
        <f t="shared" si="5"/>
        <v>https://d0f6bd738d7f1b3e5a7ca70fe4ff75f0.us-east-1.aws.found.io/app/kibana#/discover/Steve-Slow-Train-Analysis-(2080s-and-2083s)?_g=(refreshInterval:(display:Off,pause:!f,section:0,value:0),time:(from:'2017-09-17T05:37:49-0600',mode:absolute,to:'2017-09-17T08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0" s="205" t="str">
        <f>IF(AA30&lt;VLOOKUP(AG30,Variables!$AC$3:$AD$8,2,FALSE),"Y","N")</f>
        <v>N</v>
      </c>
      <c r="X30" s="205">
        <f t="shared" si="6"/>
        <v>1</v>
      </c>
      <c r="Y30" s="205">
        <f t="shared" si="7"/>
        <v>23.296500000000002</v>
      </c>
      <c r="Z30" s="205">
        <f t="shared" si="8"/>
        <v>1.4999999999999999E-2</v>
      </c>
      <c r="AA30" s="205">
        <f t="shared" si="9"/>
        <v>23.281500000000001</v>
      </c>
      <c r="AB30" s="54" t="e">
        <f>VLOOKUP(A30,Enforcements!$C$7:$K$11,8,0)</f>
        <v>#N/A</v>
      </c>
      <c r="AC30" s="51" t="e">
        <f>VLOOKUP(A30,Enforcements!$C$7:$E$11,3,0)</f>
        <v>#N/A</v>
      </c>
      <c r="AD30" s="180">
        <f t="shared" si="10"/>
        <v>118</v>
      </c>
      <c r="AE30" s="77" t="str">
        <f t="shared" si="11"/>
        <v>aws s3 cp s3://rtdc.mdm.uploadarchive.raw/RTDC4065/ "%USERPROFILE%\AppData\Local\Temp\OnboardLogs"\RTDC4065\2017-09-17 --exclude "*" --recursive --include "*20170917*" &amp; "%USERPROFILE%\Documents\GitHub\mrs-test-scripts\Headless Mode &amp; Sideloading\WalkAndUnGZ.bat" "%USERPROFILE%\AppData\Local\Temp\OnboardLogs"\RTDC4065\2017-09-17 &amp; 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</v>
      </c>
      <c r="AF30" s="74" t="str">
        <f t="shared" si="12"/>
        <v>"C:\Program Files (x86)\AstroGrep\AstroGrep.exe" /e /r /s /spath="%USERPROFILE%\AppData\Local\Temp\OnboardLogs" /stypes="app*4065*20170917*" /stext=" 13:.+((SYSTEM_STATE.+slice.+state.+changed )|(ment ac)|(multiple cpu faults)|(system.+state.+changed )|(\[timeout)|(PRM\|1\|D)|(kpr)|(kdp)|(train st.+moving)|(\|lc)|(penalty))"</v>
      </c>
      <c r="AG30" s="183" t="str">
        <f t="shared" si="13"/>
        <v>EC</v>
      </c>
      <c r="AH30" s="78" t="str">
        <f t="shared" si="18"/>
        <v>"%USERPROFILE%\Documents\GitHub\eaglep3\Utilities\RefineRTDCRunTimes.py" --tripid 118-17 --locoid 4065 --swversion DE.1.0.9.0 --startMP 204:232965 --initTime 2017-09-17T06:37:49 --startdatetime 2017-09-17T06:42:16 --delay 90 --endMP 204:150 --enddatetime 2017-09-17T07:21:44 --enforcementcount 0 &gt;&gt;C:\Users\stu\Documents\GitHub\eaglep3-reporting\EC\2017-09-17-refined-times.txt</v>
      </c>
      <c r="AI30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{"issue":{"subject":"","project_id":79,"tracker_id":40,"status_id":1,"priority_id":2,"assigned_to_id":338,"start_date":"2017-09-17","description":"","custom_fields":[{"id":1,"name":"Subdivision","value":"EC"},{"id":4,"name":"Milepost","value":"0.015"},{"id":17,"name":"Train ID","value":"118-17"},{"id":16,"name":"Locomotive ID","value":"4065"},{"id":130,"name":"Impact","value":""},{"id":150,"name":"Time of Event (Mountain Time)","value":"07:21:44"},{"id":151,"name":"Denver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4065 --day 2017-09-17</v>
      </c>
      <c r="AN30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13:21:44"},{"id":29,"name":"Sharepoint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Message%20ID',Summary),filters:!(),index:'emp_*',interval:auto,query:"&amp;"(query_string:(analyze_wildcard:!t,query:'Message%5C+ID:(*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-09-17T05:37:49-0600',mode:absolute,to:'2017-09-17T08:21:44-0600'))&amp;_a=(columns:!('Message%20ID',Summary),filters:!(),index:'emp_*',interval:auto,query:(query_string:(analyze_wildcard:!t,query:'Message%5C+ID:(*)+AND+%22rtdc.l.rtdc.4065%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654</v>
      </c>
      <c r="B31" s="7">
        <v>4028</v>
      </c>
      <c r="C31" s="21" t="s">
        <v>197</v>
      </c>
      <c r="D31" s="21" t="s">
        <v>542</v>
      </c>
      <c r="E31" s="13">
        <v>42995.24827546296</v>
      </c>
      <c r="F31" s="13">
        <v>42995.250289351854</v>
      </c>
      <c r="G31" s="7">
        <v>58</v>
      </c>
      <c r="H31" s="21" t="s">
        <v>424</v>
      </c>
      <c r="I31" s="13">
        <v>42995.27685185185</v>
      </c>
      <c r="J31" s="7">
        <v>0</v>
      </c>
      <c r="K31" s="89" t="str">
        <f t="shared" si="0"/>
        <v>4027/4028</v>
      </c>
      <c r="L31" s="186" t="str">
        <f>VLOOKUP(A31,'Trips&amp;Operators'!$C$1:$G$99911,5,FALSE)</f>
        <v>DAVIS WENDY</v>
      </c>
      <c r="M31" s="6">
        <f t="shared" si="1"/>
        <v>2.6562499995634425E-2</v>
      </c>
      <c r="N31" s="7">
        <f t="shared" si="22"/>
        <v>38.249999993713573</v>
      </c>
      <c r="O31" s="7"/>
      <c r="P31" s="7"/>
      <c r="Q31" s="22"/>
      <c r="R31" s="174"/>
      <c r="S31" s="222">
        <f t="shared" si="3"/>
        <v>1</v>
      </c>
      <c r="T31" s="174" t="str">
        <f t="shared" si="4"/>
        <v>NorthBound</v>
      </c>
      <c r="U31" s="19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7" t="str">
        <f t="shared" si="5"/>
        <v>https://d0f6bd738d7f1b3e5a7ca70fe4ff75f0.us-east-1.aws.found.io/app/kibana#/discover/Steve-Slow-Train-Analysis-(2080s-and-2083s)?_g=(refreshInterval:(display:Off,pause:!f,section:0,value:0),time:(from:'2017-09-17T04:57:31-0600',mode:absolute,to:'2017-09-17T07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205" t="str">
        <f>IF(AA31&lt;VLOOKUP(AG31,Variables!$AC$3:$AD$8,2,FALSE),"Y","N")</f>
        <v>N</v>
      </c>
      <c r="X31" s="205">
        <f t="shared" si="6"/>
        <v>1</v>
      </c>
      <c r="Y31" s="205">
        <f t="shared" si="7"/>
        <v>4.2700000000000002E-2</v>
      </c>
      <c r="Z31" s="205">
        <f t="shared" si="8"/>
        <v>23.3291</v>
      </c>
      <c r="AA31" s="205">
        <f t="shared" si="9"/>
        <v>23.2864</v>
      </c>
      <c r="AB31" s="54" t="e">
        <f>VLOOKUP(A31,Enforcements!$C$7:$K$11,8,0)</f>
        <v>#N/A</v>
      </c>
      <c r="AC31" s="51" t="e">
        <f>VLOOKUP(A31,Enforcements!$C$7:$E$11,3,0)</f>
        <v>#N/A</v>
      </c>
      <c r="AD31" s="180">
        <f t="shared" si="10"/>
        <v>119</v>
      </c>
      <c r="AE31" s="77" t="str">
        <f t="shared" si="11"/>
        <v>aws s3 cp s3://rtdc.mdm.uploadarchive.raw/RTDC4028/ "%USERPROFILE%\AppData\Local\Temp\OnboardLogs"\RTDC4028\2017-09-17 --exclude "*" --recursive --include "*20170917*" &amp; "%USERPROFILE%\Documents\GitHub\mrs-test-scripts\Headless Mode &amp; Sideloading\WalkAndUnGZ.bat" "%USERPROFILE%\AppData\Local\Temp\OnboardLogs"\RTDC4028\2017-09-17 &amp; 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</v>
      </c>
      <c r="AF31" s="74" t="str">
        <f t="shared" si="12"/>
        <v>"C:\Program Files (x86)\AstroGrep\AstroGrep.exe" /e /r /s /spath="%USERPROFILE%\AppData\Local\Temp\OnboardLogs" /stypes="app*4028*20170917*" /stext=" 12:.+((SYSTEM_STATE.+slice.+state.+changed )|(ment ac)|(multiple cpu faults)|(system.+state.+changed )|(\[timeout)|(PRM\|1\|D)|(kpr)|(kdp)|(train st.+moving)|(\|lc)|(penalty))"</v>
      </c>
      <c r="AG31" s="183" t="str">
        <f t="shared" si="13"/>
        <v>EC</v>
      </c>
      <c r="AH31" s="78" t="str">
        <f t="shared" si="18"/>
        <v>"%USERPROFILE%\Documents\GitHub\eaglep3\Utilities\RefineRTDCRunTimes.py" --tripid 119-17 --locoid 4028 --swversion DE.1.0.9.0 --startMP 204:427 --initTime 2017-09-17T05:57:31 --startdatetime 2017-09-17T06:00:25 --delay 58 --endMP 204:233291 --enddatetime 2017-09-17T06:38:40 --enforcementcount 0 &gt;&gt;C:\Users\stu\Documents\GitHub\eaglep3-reporting\EC\2017-09-17-refined-times.txt</v>
      </c>
      <c r="AI31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{"issue":{"subject":"","project_id":79,"tracker_id":40,"status_id":1,"priority_id":2,"assigned_to_id":338,"start_date":"2017-09-17","description":"","custom_fields":[{"id":1,"name":"Subdivision","value":"EC"},{"id":4,"name":"Milepost","value":"23.3291"},{"id":17,"name":"Train ID","value":"119-17"},{"id":16,"name":"Locomotive ID","value":"4028"},{"id":130,"name":"Impact","value":""},{"id":150,"name":"Time of Event (Mountain Time)","value":"06:38:40"},{"id":151,"name":"Denver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4028 --day 2017-09-17</v>
      </c>
      <c r="AN31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12:38:40"},{"id":29,"name":"Sharepoint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Message%20ID',Summary),filters:!(),index:'emp_*',interval:auto,query:"&amp;"(query_string:(analyze_wildcard:!t,query:'Message%5C+ID:(*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-09-17T04:57:31-0600',mode:absolute,to:'2017-09-17T07:38:40-0600'))&amp;_a=(columns:!('Message%20ID',Summary),filters:!(),index:'emp_*',interval:auto,query:(query_string:(analyze_wildcard:!t,query:'Message%5C+ID:(*)+AND+%22rtdc.l.rtdc.4028%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583</v>
      </c>
      <c r="B32" s="7">
        <v>4027</v>
      </c>
      <c r="C32" s="21" t="s">
        <v>197</v>
      </c>
      <c r="D32" s="21" t="s">
        <v>829</v>
      </c>
      <c r="E32" s="13">
        <v>42995.281493055554</v>
      </c>
      <c r="F32" s="13">
        <v>42995.289768518516</v>
      </c>
      <c r="G32" s="7">
        <v>51</v>
      </c>
      <c r="H32" s="21" t="s">
        <v>339</v>
      </c>
      <c r="I32" s="13">
        <v>42995.31863425926</v>
      </c>
      <c r="J32" s="7">
        <v>0</v>
      </c>
      <c r="K32" s="89" t="str">
        <f t="shared" si="0"/>
        <v>4027/4028</v>
      </c>
      <c r="L32" s="186" t="str">
        <f>VLOOKUP(A32,'Trips&amp;Operators'!$C$1:$G$99911,5,FALSE)</f>
        <v>DAVIS WENDY</v>
      </c>
      <c r="M32" s="6">
        <f t="shared" si="1"/>
        <v>2.8865740743640345E-2</v>
      </c>
      <c r="N32" s="7">
        <f t="shared" si="22"/>
        <v>41.566666670842096</v>
      </c>
      <c r="O32" s="7"/>
      <c r="P32" s="7"/>
      <c r="Q32" s="22"/>
      <c r="R32" s="174"/>
      <c r="S32" s="222">
        <f t="shared" si="3"/>
        <v>1</v>
      </c>
      <c r="T32" s="174" t="str">
        <f t="shared" si="4"/>
        <v>Southbound</v>
      </c>
      <c r="U32" s="19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7" t="str">
        <f t="shared" si="5"/>
        <v>https://d0f6bd738d7f1b3e5a7ca70fe4ff75f0.us-east-1.aws.found.io/app/kibana#/discover/Steve-Slow-Train-Analysis-(2080s-and-2083s)?_g=(refreshInterval:(display:Off,pause:!f,section:0,value:0),time:(from:'2017-09-17T05:45:21-0600',mode:absolute,to:'2017-09-17T08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205" t="str">
        <f>IF(AA32&lt;VLOOKUP(AG32,Variables!$AC$3:$AD$8,2,FALSE),"Y","N")</f>
        <v>N</v>
      </c>
      <c r="X32" s="205">
        <f t="shared" si="6"/>
        <v>1</v>
      </c>
      <c r="Y32" s="205">
        <f t="shared" si="7"/>
        <v>23.296800000000001</v>
      </c>
      <c r="Z32" s="205">
        <f t="shared" si="8"/>
        <v>1.49E-2</v>
      </c>
      <c r="AA32" s="205">
        <f t="shared" si="9"/>
        <v>23.2819</v>
      </c>
      <c r="AB32" s="54" t="str">
        <f>VLOOKUP(A32,Enforcements!$C$7:$K$11,8,0)</f>
        <v>Bulletin (2)</v>
      </c>
      <c r="AC32" s="51" t="str">
        <f>VLOOKUP(A32,Enforcements!$C$7:$E$11,3,0)</f>
        <v>GRADE CROSSING</v>
      </c>
      <c r="AD32" s="180">
        <f t="shared" si="10"/>
        <v>120</v>
      </c>
      <c r="AE32" s="77" t="str">
        <f t="shared" si="11"/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AF32" s="74" t="str">
        <f t="shared" si="12"/>
        <v>"C:\Program Files (x86)\AstroGrep\AstroGrep.exe" /e /r /s /spath="%USERPROFILE%\AppData\Local\Temp\OnboardLogs" /stypes="app*4027*20170917*" /stext=" 13:.+((SYSTEM_STATE.+slice.+state.+changed )|(ment ac)|(multiple cpu faults)|(system.+state.+changed )|(\[timeout)|(PRM\|1\|D)|(kpr)|(kdp)|(train st.+moving)|(\|lc)|(penalty))"</v>
      </c>
      <c r="AG32" s="183" t="str">
        <f t="shared" si="13"/>
        <v>EC</v>
      </c>
      <c r="AH32" s="78" t="str">
        <f t="shared" si="18"/>
        <v>"%USERPROFILE%\Documents\GitHub\eaglep3\Utilities\RefineRTDCRunTimes.py" --tripid 120-17 --locoid 4027 --swversion DE.1.0.9.0 --startMP 204:232968 --initTime 2017-09-17T06:45:21 --startdatetime 2017-09-17T06:57:16 --delay 51 --endMP 204:149 --enddatetime 2017-09-17T07:38:50 --enforcementcount 0 &gt;&gt;C:\Users\stu\Documents\GitHub\eaglep3-reporting\EC\2017-09-17-refined-times.txt</v>
      </c>
      <c r="AI32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{"issue":{"subject":"","project_id":79,"tracker_id":40,"status_id":1,"priority_id":2,"assigned_to_id":338,"start_date":"2017-09-17","description":"","custom_fields":[{"id":1,"name":"Subdivision","value":"EC"},{"id":4,"name":"Milepost","value":"0.0149"},{"id":17,"name":"Train ID","value":"120-17"},{"id":16,"name":"Locomotive ID","value":"4027"},{"id":130,"name":"Impact","value":""},{"id":150,"name":"Time of Event (Mountain Time)","value":"07:38:50"},{"id":151,"name":"Denver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4027 --day 2017-09-17</v>
      </c>
      <c r="AN32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13:38:50"},{"id":29,"name":"Sharepoint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Message%20ID',Summary),filters:!(),index:'emp_*',interval:auto,query:"&amp;"(query_string:(analyze_wildcard:!t,query:'Message%5C+ID:(*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-09-17T05:45:21-0600',mode:absolute,to:'2017-09-17T08:38:50-0600'))&amp;_a=(columns:!('Message%20ID',Summary),filters:!(),index:'emp_*',interval:auto,query:(query_string:(analyze_wildcard:!t,query:'Message%5C+ID:(*)+AND+%22rtdc.l.rtdc.4027%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657</v>
      </c>
      <c r="B33" s="7">
        <v>4056</v>
      </c>
      <c r="C33" s="21" t="s">
        <v>197</v>
      </c>
      <c r="D33" s="21" t="s">
        <v>442</v>
      </c>
      <c r="E33" s="13">
        <v>42995.258333333331</v>
      </c>
      <c r="F33" s="13">
        <v>42995.260567129626</v>
      </c>
      <c r="G33" s="7">
        <v>51</v>
      </c>
      <c r="H33" s="21" t="s">
        <v>830</v>
      </c>
      <c r="I33" s="13">
        <v>42995.286099537036</v>
      </c>
      <c r="J33" s="7">
        <v>0</v>
      </c>
      <c r="K33" s="89" t="str">
        <f t="shared" si="0"/>
        <v>4055/4056</v>
      </c>
      <c r="L33" s="186" t="str">
        <f>VLOOKUP(A33,'Trips&amp;Operators'!$C$1:$G$99911,5,FALSE)</f>
        <v>LALONDE GREGORY</v>
      </c>
      <c r="M33" s="6">
        <f t="shared" si="1"/>
        <v>2.5532407409627922E-2</v>
      </c>
      <c r="N33" s="7">
        <f t="shared" si="22"/>
        <v>36.766666669864208</v>
      </c>
      <c r="O33" s="7"/>
      <c r="P33" s="7"/>
      <c r="Q33" s="22"/>
      <c r="R33" s="174"/>
      <c r="S33" s="222">
        <f t="shared" si="3"/>
        <v>1</v>
      </c>
      <c r="T33" s="174" t="str">
        <f t="shared" si="4"/>
        <v>NorthBound</v>
      </c>
      <c r="U33" s="19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7" t="str">
        <f t="shared" si="5"/>
        <v>https://d0f6bd738d7f1b3e5a7ca70fe4ff75f0.us-east-1.aws.found.io/app/kibana#/discover/Steve-Slow-Train-Analysis-(2080s-and-2083s)?_g=(refreshInterval:(display:Off,pause:!f,section:0,value:0),time:(from:'2017-09-17T05:12:00-0600',mode:absolute,to:'2017-09-17T07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3" s="205" t="str">
        <f>IF(AA33&lt;VLOOKUP(AG33,Variables!$AC$3:$AD$8,2,FALSE),"Y","N")</f>
        <v>N</v>
      </c>
      <c r="X33" s="205">
        <f t="shared" si="6"/>
        <v>1</v>
      </c>
      <c r="Y33" s="205">
        <f t="shared" si="7"/>
        <v>4.6600000000000003E-2</v>
      </c>
      <c r="Z33" s="205">
        <f t="shared" si="8"/>
        <v>23.331800000000001</v>
      </c>
      <c r="AA33" s="205">
        <f t="shared" si="9"/>
        <v>23.2852</v>
      </c>
      <c r="AB33" s="54" t="e">
        <f>VLOOKUP(A33,Enforcements!$C$7:$K$11,8,0)</f>
        <v>#N/A</v>
      </c>
      <c r="AC33" s="51" t="e">
        <f>VLOOKUP(A33,Enforcements!$C$7:$E$11,3,0)</f>
        <v>#N/A</v>
      </c>
      <c r="AD33" s="180">
        <f t="shared" si="10"/>
        <v>121</v>
      </c>
      <c r="AE33" s="77" t="str">
        <f t="shared" si="11"/>
        <v>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 &amp; aws s3 cp s3://rtdc.mdm.uploadarchive.raw/RTDC4056/ "%USERPROFILE%\AppData\Local\Temp\OnboardLogs"\RTDC4056\2017-09-18 --exclude "*" --recursive --include "*20170918*" &amp; "%USERPROFILE%\Documents\GitHub\mrs-test-scripts\Headless Mode &amp; Sideloading\WalkAndUnGZ.bat" "%USERPROFILE%\AppData\Local\Temp\OnboardLogs"\RTDC4056\2017-09-18</v>
      </c>
      <c r="AF33" s="74" t="str">
        <f t="shared" si="12"/>
        <v>"C:\Program Files (x86)\AstroGrep\AstroGrep.exe" /e /r /s /spath="%USERPROFILE%\AppData\Local\Temp\OnboardLogs" /stypes="app*4056*20170917*" /stext=" 12:.+((SYSTEM_STATE.+slice.+state.+changed )|(ment ac)|(multiple cpu faults)|(system.+state.+changed )|(\[timeout)|(PRM\|1\|D)|(kpr)|(kdp)|(train st.+moving)|(\|lc)|(penalty))"</v>
      </c>
      <c r="AG33" s="183" t="str">
        <f t="shared" si="13"/>
        <v>EC</v>
      </c>
      <c r="AH33" s="78" t="str">
        <f t="shared" si="18"/>
        <v>"%USERPROFILE%\Documents\GitHub\eaglep3\Utilities\RefineRTDCRunTimes.py" --tripid 121-17 --locoid 4056 --swversion DE.1.0.9.0 --startMP 204:466 --initTime 2017-09-17T06:12:00 --startdatetime 2017-09-17T06:15:13 --delay 51 --endMP 204:233318 --enddatetime 2017-09-17T06:51:59 --enforcementcount 0 &gt;&gt;C:\Users\stu\Documents\GitHub\eaglep3-reporting\EC\2017-09-17-refined-times.txt</v>
      </c>
      <c r="AI33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{"issue":{"subject":"","project_id":79,"tracker_id":40,"status_id":1,"priority_id":2,"assigned_to_id":338,"start_date":"2017-09-17","description":"","custom_fields":[{"id":1,"name":"Subdivision","value":"EC"},{"id":4,"name":"Milepost","value":"23.3318"},{"id":17,"name":"Train ID","value":"121-17"},{"id":16,"name":"Locomotive ID","value":"4056"},{"id":130,"name":"Impact","value":""},{"id":150,"name":"Time of Event (Mountain Time)","value":"06:51:59"},{"id":151,"name":"Denver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4056 --day 2017-09-17</v>
      </c>
      <c r="AN33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12:51:59"},{"id":29,"name":"Sharepoint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Message%20ID',Summary),filters:!(),index:'emp_*',interval:auto,query:"&amp;"(query_string:(analyze_wildcard:!t,query:'Message%5C+ID:(*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-09-17T05:12:00-0600',mode:absolute,to:'2017-09-17T07:51:59-0600'))&amp;_a=(columns:!('Message%20ID',Summary),filters:!(),index:'emp_*',interval:auto,query:(query_string:(analyze_wildcard:!t,query:'Message%5C+ID:(*)+AND+%22rtdc.l.rtdc.4056%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660</v>
      </c>
      <c r="B34" s="7">
        <v>4055</v>
      </c>
      <c r="C34" s="21" t="s">
        <v>197</v>
      </c>
      <c r="D34" s="21" t="s">
        <v>831</v>
      </c>
      <c r="E34" s="13">
        <v>42995.287291666667</v>
      </c>
      <c r="F34" s="13">
        <v>42995.300219907411</v>
      </c>
      <c r="G34" s="7">
        <v>47</v>
      </c>
      <c r="H34" s="21" t="s">
        <v>832</v>
      </c>
      <c r="I34" s="13">
        <v>42995.325219907405</v>
      </c>
      <c r="J34" s="7">
        <v>0</v>
      </c>
      <c r="K34" s="89" t="str">
        <f t="shared" si="0"/>
        <v>4055/4056</v>
      </c>
      <c r="L34" s="186" t="str">
        <f>VLOOKUP(A34,'Trips&amp;Operators'!$C$1:$G$99911,5,FALSE)</f>
        <v>LALONDE GREGORY</v>
      </c>
      <c r="M34" s="6">
        <f t="shared" si="1"/>
        <v>2.4999999994179234E-2</v>
      </c>
      <c r="N34" s="7">
        <f t="shared" si="22"/>
        <v>35.999999991618097</v>
      </c>
      <c r="O34" s="7"/>
      <c r="P34" s="7"/>
      <c r="Q34" s="22"/>
      <c r="R34" s="174"/>
      <c r="S34" s="222">
        <f t="shared" si="3"/>
        <v>1</v>
      </c>
      <c r="T34" s="174" t="str">
        <f t="shared" si="4"/>
        <v>Southbound</v>
      </c>
      <c r="U34" s="19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7" t="str">
        <f t="shared" si="5"/>
        <v>https://d0f6bd738d7f1b3e5a7ca70fe4ff75f0.us-east-1.aws.found.io/app/kibana#/discover/Steve-Slow-Train-Analysis-(2080s-and-2083s)?_g=(refreshInterval:(display:Off,pause:!f,section:0,value:0),time:(from:'2017-09-17T05:53:42-0600',mode:absolute,to:'2017-09-17T08:48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4" s="205" t="str">
        <f>IF(AA34&lt;VLOOKUP(AG34,Variables!$AC$3:$AD$8,2,FALSE),"Y","N")</f>
        <v>N</v>
      </c>
      <c r="X34" s="205">
        <f t="shared" si="6"/>
        <v>1</v>
      </c>
      <c r="Y34" s="205">
        <f t="shared" si="7"/>
        <v>23.3001</v>
      </c>
      <c r="Z34" s="205">
        <f t="shared" si="8"/>
        <v>1.6500000000000001E-2</v>
      </c>
      <c r="AA34" s="205">
        <f t="shared" si="9"/>
        <v>23.2836</v>
      </c>
      <c r="AB34" s="54" t="e">
        <f>VLOOKUP(A34,Enforcements!$C$7:$K$11,8,0)</f>
        <v>#N/A</v>
      </c>
      <c r="AC34" s="51" t="e">
        <f>VLOOKUP(A34,Enforcements!$C$7:$E$11,3,0)</f>
        <v>#N/A</v>
      </c>
      <c r="AD34" s="180">
        <f t="shared" si="10"/>
        <v>122</v>
      </c>
      <c r="AE34" s="77" t="str">
        <f t="shared" si="11"/>
        <v>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 &amp; aws s3 cp s3://rtdc.mdm.uploadarchive.raw/RTDC4055/ "%USERPROFILE%\AppData\Local\Temp\OnboardLogs"\RTDC4055\2017-09-18 --exclude "*" --recursive --include "*20170918*" &amp; "%USERPROFILE%\Documents\GitHub\mrs-test-scripts\Headless Mode &amp; Sideloading\WalkAndUnGZ.bat" "%USERPROFILE%\AppData\Local\Temp\OnboardLogs"\RTDC4055\2017-09-18</v>
      </c>
      <c r="AF34" s="74" t="str">
        <f t="shared" si="12"/>
        <v>"C:\Program Files (x86)\AstroGrep\AstroGrep.exe" /e /r /s /spath="%USERPROFILE%\AppData\Local\Temp\OnboardLogs" /stypes="app*4055*20170917*" /stext=" 13:.+((SYSTEM_STATE.+slice.+state.+changed )|(ment ac)|(multiple cpu faults)|(system.+state.+changed )|(\[timeout)|(PRM\|1\|D)|(kpr)|(kdp)|(train st.+moving)|(\|lc)|(penalty))"</v>
      </c>
      <c r="AG34" s="183" t="str">
        <f t="shared" si="13"/>
        <v>EC</v>
      </c>
      <c r="AH34" s="78" t="str">
        <f t="shared" si="18"/>
        <v>"%USERPROFILE%\Documents\GitHub\eaglep3\Utilities\RefineRTDCRunTimes.py" --tripid 122-17 --locoid 4055 --swversion DE.1.0.9.0 --startMP 204:233001 --initTime 2017-09-17T06:53:42 --startdatetime 2017-09-17T07:12:19 --delay 47 --endMP 204:165 --enddatetime 2017-09-17T07:48:19 --enforcementcount 0 &gt;&gt;C:\Users\stu\Documents\GitHub\eaglep3-reporting\EC\2017-09-17-refined-times.txt</v>
      </c>
      <c r="AI34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{"issue":{"subject":"","project_id":79,"tracker_id":40,"status_id":1,"priority_id":2,"assigned_to_id":338,"start_date":"2017-09-17","description":"","custom_fields":[{"id":1,"name":"Subdivision","value":"EC"},{"id":4,"name":"Milepost","value":"0.0165"},{"id":17,"name":"Train ID","value":"122-17"},{"id":16,"name":"Locomotive ID","value":"4055"},{"id":130,"name":"Impact","value":""},{"id":150,"name":"Time of Event (Mountain Time)","value":"07:48:19"},{"id":151,"name":"Denver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4055 --day 2017-09-17</v>
      </c>
      <c r="AN34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13:48:19"},{"id":29,"name":"Sharepoint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Message%20ID',Summary),filters:!(),index:'emp_*',interval:auto,query:"&amp;"(query_string:(analyze_wildcard:!t,query:'Message%5C+ID:(*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-09-17T05:53:42-0600',mode:absolute,to:'2017-09-17T08:48:19-0600'))&amp;_a=(columns:!('Message%20ID',Summary),filters:!(),index:'emp_*',interval:auto,query:(query_string:(analyze_wildcard:!t,query:'Message%5C+ID:(*)+AND+%22rtdc.l.rtdc.4055%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580</v>
      </c>
      <c r="B35" s="7">
        <v>4044</v>
      </c>
      <c r="C35" s="21" t="s">
        <v>197</v>
      </c>
      <c r="D35" s="21" t="s">
        <v>381</v>
      </c>
      <c r="E35" s="13">
        <v>42995.266562500001</v>
      </c>
      <c r="F35" s="13">
        <v>42995.284687500003</v>
      </c>
      <c r="G35" s="7">
        <v>65</v>
      </c>
      <c r="H35" s="21" t="s">
        <v>833</v>
      </c>
      <c r="I35" s="13">
        <v>42995.298437500001</v>
      </c>
      <c r="J35" s="7">
        <v>0</v>
      </c>
      <c r="K35" s="89" t="str">
        <f t="shared" si="0"/>
        <v>4043/4044</v>
      </c>
      <c r="L35" s="186" t="str">
        <f>VLOOKUP(A35,'Trips&amp;Operators'!$C$1:$G$99911,5,FALSE)</f>
        <v>GEBRETEKLE DAGNEW</v>
      </c>
      <c r="M35" s="6">
        <f t="shared" si="1"/>
        <v>1.374999999825377E-2</v>
      </c>
      <c r="N35" s="7"/>
      <c r="O35" s="7"/>
      <c r="P35" s="7">
        <f>24*60*SUM($M35:$M35)</f>
        <v>19.799999997485429</v>
      </c>
      <c r="Q35" s="22"/>
      <c r="R35" s="174" t="s">
        <v>571</v>
      </c>
      <c r="S35" s="222">
        <f>1/IF(AG35="EC",12,1)*SUM(U35:U36)</f>
        <v>1</v>
      </c>
      <c r="T35" s="174" t="str">
        <f t="shared" si="4"/>
        <v>NorthBound</v>
      </c>
      <c r="U35" s="19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10</v>
      </c>
      <c r="V35" s="217" t="str">
        <f t="shared" si="5"/>
        <v>https://d0f6bd738d7f1b3e5a7ca70fe4ff75f0.us-east-1.aws.found.io/app/kibana#/discover/Steve-Slow-Train-Analysis-(2080s-and-2083s)?_g=(refreshInterval:(display:Off,pause:!f,section:0,value:0),time:(from:'2017-09-17T05:23:51-0600',mode:absolute,to:'2017-09-17T08:09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5" s="205" t="str">
        <f>IF(AA35&lt;VLOOKUP(AG35,Variables!$AC$3:$AD$8,2,FALSE),"Y","N")</f>
        <v>Y</v>
      </c>
      <c r="X35" s="205">
        <f t="shared" si="6"/>
        <v>1</v>
      </c>
      <c r="Y35" s="205">
        <f t="shared" si="7"/>
        <v>4.5999999999999999E-2</v>
      </c>
      <c r="Z35" s="205">
        <f t="shared" si="8"/>
        <v>8.84</v>
      </c>
      <c r="AA35" s="205">
        <f t="shared" si="9"/>
        <v>8.7940000000000005</v>
      </c>
      <c r="AB35" s="54" t="e">
        <f>VLOOKUP(A35,Enforcements!$C$7:$K$11,8,0)</f>
        <v>#N/A</v>
      </c>
      <c r="AC35" s="51" t="e">
        <f>VLOOKUP(A35,Enforcements!$C$7:$E$11,3,0)</f>
        <v>#N/A</v>
      </c>
      <c r="AD35" s="180">
        <f t="shared" si="10"/>
        <v>123</v>
      </c>
      <c r="AE35" s="77" t="str">
        <f t="shared" si="11"/>
        <v>aws s3 cp s3://rtdc.mdm.uploadarchive.raw/RTDC4044/ "%USERPROFILE%\AppData\Local\Temp\OnboardLogs"\RTDC4044\2017-09-17 --exclude "*" --recursive --include "*20170917*" &amp; "%USERPROFILE%\Documents\GitHub\mrs-test-scripts\Headless Mode &amp; Sideloading\WalkAndUnGZ.bat" "%USERPROFILE%\AppData\Local\Temp\OnboardLogs"\RTDC4044\2017-09-17 &amp; aws s3 cp s3://rtdc.mdm.uploadarchive.raw/RTDC4044/ "%USERPROFILE%\AppData\Local\Temp\OnboardLogs"\RTDC4044\2017-09-18 --exclude "*" --recursive --include "*20170918*" &amp; "%USERPROFILE%\Documents\GitHub\mrs-test-scripts\Headless Mode &amp; Sideloading\WalkAndUnGZ.bat" "%USERPROFILE%\AppData\Local\Temp\OnboardLogs"\RTDC4044\2017-09-18</v>
      </c>
      <c r="AF35" s="74" t="str">
        <f t="shared" si="12"/>
        <v>"C:\Program Files (x86)\AstroGrep\AstroGrep.exe" /e /r /s /spath="%USERPROFILE%\AppData\Local\Temp\OnboardLogs" /stypes="app*4044*20170917*" /stext=" 13:.+((SYSTEM_STATE.+slice.+state.+changed )|(ment ac)|(multiple cpu faults)|(system.+state.+changed )|(\[timeout)|(PRM\|1\|D)|(kpr)|(kdp)|(train st.+moving)|(\|lc)|(penalty))"</v>
      </c>
      <c r="AG35" s="183" t="str">
        <f t="shared" si="13"/>
        <v>EC</v>
      </c>
      <c r="AH35" s="78" t="str">
        <f t="shared" si="18"/>
        <v>"%USERPROFILE%\Documents\GitHub\eaglep3\Utilities\RefineRTDCRunTimes.py" --tripid 123-17 --locoid 4044 --swversion DE.1.0.9.0 --startMP 204:460 --initTime 2017-09-17T06:23:51 --startdatetime 2017-09-17T06:49:57 --delay 65 --endMP 204:88400 --enddatetime 2017-09-17T07:09:45 --enforcementcount 0 &gt;&gt;C:\Users\stu\Documents\GitHub\eaglep3-reporting\EC\2017-09-17-refined-times.txt</v>
      </c>
      <c r="AI35" s="96" t="str">
        <f t="shared" si="19"/>
        <v>echo {"issue":{"subject":"Wi-MAX data drop","project_id":79,"tracker_id":40,"status_id":1,"priority_id":2,"assigned_to_id":338,"start_date":"2017-09-17","description":"","custom_fields":[{"id":1,"name":"Subdivision","value":"EC"},{"id":4,"name":"Milepost","value":"8.84"},{"id":17,"name":"Train ID","value":"123-17"},{"id":16,"name":"Locomotive ID","value":"4044"},{"id":130,"name":"Impact","value":""},{"id":150,"name":"Time of Event (Mountain Time)","value":"07:09:45"},{"id":151,"name":"Denver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4044 --day 2017-09-17</v>
      </c>
      <c r="AN35" s="151" t="str">
        <f t="shared" si="21"/>
        <v>echo {"issue":{"subject":"Wi-MAX data drop","project_id":30,"tracker_id":4,"status_id":1,"priority_id":1,"assigned_to_id":10,"start_date":"2017-09-17","description":"","custom_fields":[{"id":30,"name":"Category","value":"Issue"},{"id":3,"name":"Functional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13:09:45"},{"id":29,"name":"Sharepoint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Message%20ID',Summary),filters:!(),index:'emp_*',interval:auto,query:"&amp;"(query_string:(analyze_wildcard:!t,query:'Message%5C+ID:(*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-09-17T05:23:51-0600',mode:absolute,to:'2017-09-17T08:09:45-0600'))&amp;_a=(columns:!('Message%20ID',Summary),filters:!(),index:'emp_*',interval:auto,query:(query_string:(analyze_wildcard:!t,query:'Message%5C+ID:(*)+AND+%22rtdc.l.rtdc.4044%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580</v>
      </c>
      <c r="B36" s="7">
        <v>4044</v>
      </c>
      <c r="C36" s="21" t="s">
        <v>197</v>
      </c>
      <c r="D36" s="21" t="s">
        <v>834</v>
      </c>
      <c r="E36" s="13">
        <v>42995.283715277779</v>
      </c>
      <c r="F36" s="13">
        <v>42995.284687500003</v>
      </c>
      <c r="G36" s="7">
        <v>38</v>
      </c>
      <c r="H36" s="21" t="s">
        <v>835</v>
      </c>
      <c r="I36" s="13">
        <v>42995.298437500001</v>
      </c>
      <c r="J36" s="7">
        <v>0</v>
      </c>
      <c r="K36" s="89" t="str">
        <f t="shared" si="0"/>
        <v>4043/4044</v>
      </c>
      <c r="L36" s="186" t="str">
        <f>VLOOKUP(A36,'Trips&amp;Operators'!$C$1:$G$99911,5,FALSE)</f>
        <v>GEBRETEKLE DAGNEW</v>
      </c>
      <c r="M36" s="6">
        <f t="shared" si="1"/>
        <v>1.374999999825377E-2</v>
      </c>
      <c r="N36" s="7"/>
      <c r="O36" s="7"/>
      <c r="P36" s="7"/>
      <c r="Q36" s="22"/>
      <c r="R36" s="174"/>
      <c r="S36" s="222"/>
      <c r="T36" s="174" t="str">
        <f t="shared" si="4"/>
        <v>NorthBound</v>
      </c>
      <c r="U36" s="19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2</v>
      </c>
      <c r="V36" s="217" t="str">
        <f t="shared" si="5"/>
        <v>https://d0f6bd738d7f1b3e5a7ca70fe4ff75f0.us-east-1.aws.found.io/app/kibana#/discover/Steve-Slow-Train-Analysis-(2080s-and-2083s)?_g=(refreshInterval:(display:Off,pause:!f,section:0,value:0),time:(from:'2017-09-17T05:48:33-0600',mode:absolute,to:'2017-09-17T08:09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6" s="205" t="str">
        <f>IF(AA36&lt;VLOOKUP(AG36,Variables!$AC$3:$AD$8,2,FALSE),"Y","N")</f>
        <v>Y</v>
      </c>
      <c r="X36" s="205">
        <f t="shared" si="6"/>
        <v>0</v>
      </c>
      <c r="Y36" s="205">
        <f t="shared" si="7"/>
        <v>8.8376999999999999</v>
      </c>
      <c r="Z36" s="205">
        <f t="shared" si="8"/>
        <v>23.331</v>
      </c>
      <c r="AA36" s="205">
        <f t="shared" si="9"/>
        <v>14.4933</v>
      </c>
      <c r="AB36" s="54" t="e">
        <f>VLOOKUP(A36,Enforcements!$C$7:$K$11,8,0)</f>
        <v>#N/A</v>
      </c>
      <c r="AC36" s="51" t="e">
        <f>VLOOKUP(A36,Enforcements!$C$7:$E$11,3,0)</f>
        <v>#N/A</v>
      </c>
      <c r="AD36" s="180">
        <f t="shared" si="10"/>
        <v>123</v>
      </c>
      <c r="AE36" s="77" t="str">
        <f t="shared" si="11"/>
        <v>aws s3 cp s3://rtdc.mdm.uploadarchive.raw/RTDC4044/ "%USERPROFILE%\AppData\Local\Temp\OnboardLogs"\RTDC4044\2017-09-17 --exclude "*" --recursive --include "*20170917*" &amp; "%USERPROFILE%\Documents\GitHub\mrs-test-scripts\Headless Mode &amp; Sideloading\WalkAndUnGZ.bat" "%USERPROFILE%\AppData\Local\Temp\OnboardLogs"\RTDC4044\2017-09-17 &amp; aws s3 cp s3://rtdc.mdm.uploadarchive.raw/RTDC4044/ "%USERPROFILE%\AppData\Local\Temp\OnboardLogs"\RTDC4044\2017-09-18 --exclude "*" --recursive --include "*20170918*" &amp; "%USERPROFILE%\Documents\GitHub\mrs-test-scripts\Headless Mode &amp; Sideloading\WalkAndUnGZ.bat" "%USERPROFILE%\AppData\Local\Temp\OnboardLogs"\RTDC4044\2017-09-18</v>
      </c>
      <c r="AF36" s="74" t="str">
        <f t="shared" si="12"/>
        <v>"C:\Program Files (x86)\AstroGrep\AstroGrep.exe" /e /r /s /spath="%USERPROFILE%\AppData\Local\Temp\OnboardLogs" /stypes="app*4044*20170917*" /stext=" 13:.+((SYSTEM_STATE.+slice.+state.+changed )|(ment ac)|(multiple cpu faults)|(system.+state.+changed )|(\[timeout)|(PRM\|1\|D)|(kpr)|(kdp)|(train st.+moving)|(\|lc)|(penalty))"</v>
      </c>
      <c r="AG36" s="183" t="str">
        <f t="shared" si="13"/>
        <v>EC</v>
      </c>
      <c r="AH36" s="78" t="str">
        <f t="shared" si="18"/>
        <v>"%USERPROFILE%\Documents\GitHub\eaglep3\Utilities\RefineRTDCRunTimes.py" --tripid 123-17 --locoid 4044 --swversion DE.1.0.9.0 --startMP 204:88377 --initTime 2017-09-17T06:48:33 --startdatetime 2017-09-17T06:49:57 --delay 38 --endMP 204:233310 --enddatetime 2017-09-17T07:09:45 --enforcementcount 0 &gt;&gt;C:\Users\stu\Documents\GitHub\eaglep3-reporting\EC\2017-09-17-refined-times.txt</v>
      </c>
      <c r="AI36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{"issue":{"subject":"","project_id":79,"tracker_id":40,"status_id":1,"priority_id":2,"assigned_to_id":338,"start_date":"2017-09-17","description":"","custom_fields":[{"id":1,"name":"Subdivision","value":"EC"},{"id":4,"name":"Milepost","value":"23.331"},{"id":17,"name":"Train ID","value":"123-17"},{"id":16,"name":"Locomotive ID","value":"4044"},{"id":130,"name":"Impact","value":""},{"id":150,"name":"Time of Event (Mountain Time)","value":"07:09:45"},{"id":151,"name":"Denver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4044 --day 2017-09-17</v>
      </c>
      <c r="AN36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13:09:45"},{"id":29,"name":"Sharepoint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Message%20ID',Summary),filters:!(),index:'emp_*',interval:auto,query:"&amp;"(query_string:(analyze_wildcard:!t,query:'Message%5C+ID:(*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-09-17T05:48:33-0600',mode:absolute,to:'2017-09-17T08:09:45-0600'))&amp;_a=(columns:!('Message%20ID',Summary),filters:!(),index:'emp_*',interval:auto,query:(query_string:(analyze_wildcard:!t,query:'Message%5C+ID:(*)+AND+%22rtdc.l.rtdc.4044%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664</v>
      </c>
      <c r="B37" s="7">
        <v>4043</v>
      </c>
      <c r="C37" s="21" t="s">
        <v>197</v>
      </c>
      <c r="D37" s="21" t="s">
        <v>440</v>
      </c>
      <c r="E37" s="13">
        <v>42995.300520833334</v>
      </c>
      <c r="F37" s="13">
        <v>42995.310810185183</v>
      </c>
      <c r="G37" s="7">
        <v>55</v>
      </c>
      <c r="H37" s="21" t="s">
        <v>489</v>
      </c>
      <c r="I37" s="13">
        <v>42995.335995370369</v>
      </c>
      <c r="J37" s="7">
        <v>0</v>
      </c>
      <c r="K37" s="89" t="str">
        <f t="shared" si="0"/>
        <v>4043/4044</v>
      </c>
      <c r="L37" s="186" t="str">
        <f>VLOOKUP(A37,'Trips&amp;Operators'!$C$1:$G$99911,5,FALSE)</f>
        <v>GEBRETEKLE DAGNEW</v>
      </c>
      <c r="M37" s="6">
        <f t="shared" si="1"/>
        <v>2.5185185186273884E-2</v>
      </c>
      <c r="N37" s="7">
        <f t="shared" ref="N37:N53" si="23">24*60*SUM($M37:$M37)</f>
        <v>36.266666668234393</v>
      </c>
      <c r="O37" s="7"/>
      <c r="P37" s="7"/>
      <c r="Q37" s="22"/>
      <c r="R37" s="174"/>
      <c r="S37" s="222">
        <f t="shared" ref="S37:S53" si="24">1/IF(AG37="EC",12,1)*SUM(U37:U37)</f>
        <v>1</v>
      </c>
      <c r="T37" s="174" t="str">
        <f t="shared" si="4"/>
        <v>Southbound</v>
      </c>
      <c r="U37" s="19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7" t="str">
        <f t="shared" si="5"/>
        <v>https://d0f6bd738d7f1b3e5a7ca70fe4ff75f0.us-east-1.aws.found.io/app/kibana#/discover/Steve-Slow-Train-Analysis-(2080s-and-2083s)?_g=(refreshInterval:(display:Off,pause:!f,section:0,value:0),time:(from:'2017-09-17T06:12:45-0600',mode:absolute,to:'2017-09-17T09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7" s="205" t="str">
        <f>IF(AA37&lt;VLOOKUP(AG37,Variables!$AC$3:$AD$8,2,FALSE),"Y","N")</f>
        <v>N</v>
      </c>
      <c r="X37" s="205">
        <f t="shared" si="6"/>
        <v>1</v>
      </c>
      <c r="Y37" s="205">
        <f t="shared" si="7"/>
        <v>23.300799999999999</v>
      </c>
      <c r="Z37" s="205">
        <f t="shared" si="8"/>
        <v>1.67E-2</v>
      </c>
      <c r="AA37" s="205">
        <f t="shared" si="9"/>
        <v>23.284099999999999</v>
      </c>
      <c r="AB37" s="54" t="e">
        <f>VLOOKUP(A37,Enforcements!$C$7:$K$11,8,0)</f>
        <v>#N/A</v>
      </c>
      <c r="AC37" s="51" t="e">
        <f>VLOOKUP(A37,Enforcements!$C$7:$E$11,3,0)</f>
        <v>#N/A</v>
      </c>
      <c r="AD37" s="180">
        <f t="shared" si="10"/>
        <v>124</v>
      </c>
      <c r="AE37" s="77" t="str">
        <f t="shared" si="11"/>
        <v>aws s3 cp s3://rtdc.mdm.uploadarchive.raw/RTDC4043/ "%USERPROFILE%\AppData\Local\Temp\OnboardLogs"\RTDC4043\2017-09-17 --exclude "*" --recursive --include "*20170917*" &amp; "%USERPROFILE%\Documents\GitHub\mrs-test-scripts\Headless Mode &amp; Sideloading\WalkAndUnGZ.bat" "%USERPROFILE%\AppData\Local\Temp\OnboardLogs"\RTDC4043\2017-09-17 &amp; aws s3 cp s3://rtdc.mdm.uploadarchive.raw/RTDC4043/ "%USERPROFILE%\AppData\Local\Temp\OnboardLogs"\RTDC4043\2017-09-18 --exclude "*" --recursive --include "*20170918*" &amp; "%USERPROFILE%\Documents\GitHub\mrs-test-scripts\Headless Mode &amp; Sideloading\WalkAndUnGZ.bat" "%USERPROFILE%\AppData\Local\Temp\OnboardLogs"\RTDC4043\2017-09-18</v>
      </c>
      <c r="AF37" s="74" t="str">
        <f t="shared" si="12"/>
        <v>"C:\Program Files (x86)\AstroGrep\AstroGrep.exe" /e /r /s /spath="%USERPROFILE%\AppData\Local\Temp\OnboardLogs" /stypes="app*4043*20170917*" /stext=" 14:.+((SYSTEM_STATE.+slice.+state.+changed )|(ment ac)|(multiple cpu faults)|(system.+state.+changed )|(\[timeout)|(PRM\|1\|D)|(kpr)|(kdp)|(train st.+moving)|(\|lc)|(penalty))"</v>
      </c>
      <c r="AG37" s="183" t="str">
        <f t="shared" si="13"/>
        <v>EC</v>
      </c>
      <c r="AH37" s="78" t="str">
        <f t="shared" si="18"/>
        <v>"%USERPROFILE%\Documents\GitHub\eaglep3\Utilities\RefineRTDCRunTimes.py" --tripid 124-17 --locoid 4043 --swversion DE.1.0.9.0 --startMP 204:233008 --initTime 2017-09-17T07:12:45 --startdatetime 2017-09-17T07:27:34 --delay 55 --endMP 204:167 --enddatetime 2017-09-17T08:03:50 --enforcementcount 0 &gt;&gt;C:\Users\stu\Documents\GitHub\eaglep3-reporting\EC\2017-09-17-refined-times.txt</v>
      </c>
      <c r="AI37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{"issue":{"subject":"","project_id":79,"tracker_id":40,"status_id":1,"priority_id":2,"assigned_to_id":338,"start_date":"2017-09-17","description":"","custom_fields":[{"id":1,"name":"Subdivision","value":"EC"},{"id":4,"name":"Milepost","value":"0.0167"},{"id":17,"name":"Train ID","value":"124-17"},{"id":16,"name":"Locomotive ID","value":"4043"},{"id":130,"name":"Impact","value":""},{"id":150,"name":"Time of Event (Mountain Time)","value":"08:03:50"},{"id":151,"name":"Denver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4043 --day 2017-09-17</v>
      </c>
      <c r="AN37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14:03:50"},{"id":29,"name":"Sharepoint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Message%20ID',Summary),filters:!(),index:'emp_*',interval:auto,query:"&amp;"(query_string:(analyze_wildcard:!t,query:'Message%5C+ID:(*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-09-17T06:12:45-0600',mode:absolute,to:'2017-09-17T09:03:50-0600'))&amp;_a=(columns:!('Message%20ID',Summary),filters:!(),index:'emp_*',interval:auto,query:(query_string:(analyze_wildcard:!t,query:'Message%5C+ID:(*)+AND+%22rtdc.l.rtdc.4043%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582</v>
      </c>
      <c r="B38" s="7">
        <v>4060</v>
      </c>
      <c r="C38" s="21" t="s">
        <v>197</v>
      </c>
      <c r="D38" s="21" t="s">
        <v>836</v>
      </c>
      <c r="E38" s="13">
        <v>42995.268819444442</v>
      </c>
      <c r="F38" s="13">
        <v>42995.281539351854</v>
      </c>
      <c r="G38" s="7">
        <v>76</v>
      </c>
      <c r="H38" s="21" t="s">
        <v>837</v>
      </c>
      <c r="I38" s="13">
        <v>42995.310150462959</v>
      </c>
      <c r="J38" s="7">
        <v>0</v>
      </c>
      <c r="K38" s="89" t="str">
        <f t="shared" si="0"/>
        <v>4059/4060</v>
      </c>
      <c r="L38" s="186" t="str">
        <f>VLOOKUP(A38,'Trips&amp;Operators'!$C$1:$G$99911,5,FALSE)</f>
        <v>DELGADO DIANAH</v>
      </c>
      <c r="M38" s="6">
        <f t="shared" si="1"/>
        <v>2.8611111105419695E-2</v>
      </c>
      <c r="N38" s="7">
        <f t="shared" si="23"/>
        <v>41.199999991804361</v>
      </c>
      <c r="O38" s="7"/>
      <c r="P38" s="7"/>
      <c r="Q38" s="22"/>
      <c r="R38" s="174"/>
      <c r="S38" s="222">
        <f t="shared" si="24"/>
        <v>1</v>
      </c>
      <c r="T38" s="174" t="str">
        <f t="shared" si="4"/>
        <v>NorthBound</v>
      </c>
      <c r="U38" s="19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7" t="str">
        <f t="shared" si="5"/>
        <v>https://d0f6bd738d7f1b3e5a7ca70fe4ff75f0.us-east-1.aws.found.io/app/kibana#/discover/Steve-Slow-Train-Analysis-(2080s-and-2083s)?_g=(refreshInterval:(display:Off,pause:!f,section:0,value:0),time:(from:'2017-09-17T05:27:06-0600',mode:absolute,to:'2017-09-17T08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8" s="205" t="str">
        <f>IF(AA38&lt;VLOOKUP(AG38,Variables!$AC$3:$AD$8,2,FALSE),"Y","N")</f>
        <v>N</v>
      </c>
      <c r="X38" s="205">
        <f t="shared" si="6"/>
        <v>1</v>
      </c>
      <c r="Y38" s="205">
        <f t="shared" si="7"/>
        <v>5.0599999999999999E-2</v>
      </c>
      <c r="Z38" s="205">
        <f t="shared" si="8"/>
        <v>23.3337</v>
      </c>
      <c r="AA38" s="205">
        <f t="shared" si="9"/>
        <v>23.283100000000001</v>
      </c>
      <c r="AB38" s="54" t="e">
        <f>VLOOKUP(A38,Enforcements!$C$7:$K$11,8,0)</f>
        <v>#N/A</v>
      </c>
      <c r="AC38" s="51" t="e">
        <f>VLOOKUP(A38,Enforcements!$C$7:$E$11,3,0)</f>
        <v>#N/A</v>
      </c>
      <c r="AD38" s="180">
        <f t="shared" si="10"/>
        <v>125</v>
      </c>
      <c r="AE38" s="77" t="str">
        <f t="shared" si="11"/>
        <v>aws s3 cp s3://rtdc.mdm.uploadarchive.raw/RTDC4060/ "%USERPROFILE%\AppData\Local\Temp\OnboardLogs"\RTDC4060\2017-09-17 --exclude "*" --recursive --include "*20170917*" &amp; "%USERPROFILE%\Documents\GitHub\mrs-test-scripts\Headless Mode &amp; Sideloading\WalkAndUnGZ.bat" "%USERPROFILE%\AppData\Local\Temp\OnboardLogs"\RTDC4060\2017-09-17 &amp; aws s3 cp s3://rtdc.mdm.uploadarchive.raw/RTDC4060/ "%USERPROFILE%\AppData\Local\Temp\OnboardLogs"\RTDC4060\2017-09-18 --exclude "*" --recursive --include "*20170918*" &amp; "%USERPROFILE%\Documents\GitHub\mrs-test-scripts\Headless Mode &amp; Sideloading\WalkAndUnGZ.bat" "%USERPROFILE%\AppData\Local\Temp\OnboardLogs"\RTDC4060\2017-09-18</v>
      </c>
      <c r="AF38" s="74" t="str">
        <f t="shared" si="12"/>
        <v>"C:\Program Files (x86)\AstroGrep\AstroGrep.exe" /e /r /s /spath="%USERPROFILE%\AppData\Local\Temp\OnboardLogs" /stypes="app*4060*20170917*" /stext=" 13:.+((SYSTEM_STATE.+slice.+state.+changed )|(ment ac)|(multiple cpu faults)|(system.+state.+changed )|(\[timeout)|(PRM\|1\|D)|(kpr)|(kdp)|(train st.+moving)|(\|lc)|(penalty))"</v>
      </c>
      <c r="AG38" s="183" t="str">
        <f t="shared" si="13"/>
        <v>EC</v>
      </c>
      <c r="AH38" s="78" t="str">
        <f t="shared" si="18"/>
        <v>"%USERPROFILE%\Documents\GitHub\eaglep3\Utilities\RefineRTDCRunTimes.py" --tripid 125-17 --locoid 4060 --swversion DE.1.0.9.0 --startMP 204:506 --initTime 2017-09-17T06:27:06 --startdatetime 2017-09-17T06:45:25 --delay 76 --endMP 204:233337 --enddatetime 2017-09-17T07:26:37 --enforcementcount 0 &gt;&gt;C:\Users\stu\Documents\GitHub\eaglep3-reporting\EC\2017-09-17-refined-times.txt</v>
      </c>
      <c r="AI38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{"issue":{"subject":"","project_id":79,"tracker_id":40,"status_id":1,"priority_id":2,"assigned_to_id":338,"start_date":"2017-09-17","description":"","custom_fields":[{"id":1,"name":"Subdivision","value":"EC"},{"id":4,"name":"Milepost","value":"23.3337"},{"id":17,"name":"Train ID","value":"125-17"},{"id":16,"name":"Locomotive ID","value":"4060"},{"id":130,"name":"Impact","value":""},{"id":150,"name":"Time of Event (Mountain Time)","value":"07:26:37"},{"id":151,"name":"Denver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4060 --day 2017-09-17</v>
      </c>
      <c r="AN38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13:26:37"},{"id":29,"name":"Sharepoint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Message%20ID',Summary),filters:!(),index:'emp_*',interval:auto,query:"&amp;"(query_string:(analyze_wildcard:!t,query:'Message%5C+ID:(*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-09-17T05:27:06-0600',mode:absolute,to:'2017-09-17T08:26:37-0600'))&amp;_a=(columns:!('Message%20ID',Summary),filters:!(),index:'emp_*',interval:auto,query:(query_string:(analyze_wildcard:!t,query:'Message%5C+ID:(*)+AND+%22rtdc.l.rtdc.4060%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584</v>
      </c>
      <c r="B39" s="7">
        <v>4059</v>
      </c>
      <c r="C39" s="21" t="s">
        <v>197</v>
      </c>
      <c r="D39" s="21" t="s">
        <v>838</v>
      </c>
      <c r="E39" s="13">
        <v>42995.317175925928</v>
      </c>
      <c r="F39" s="13">
        <v>42995.321006944447</v>
      </c>
      <c r="G39" s="7">
        <v>69</v>
      </c>
      <c r="H39" s="21" t="s">
        <v>343</v>
      </c>
      <c r="I39" s="13">
        <v>42995.346875000003</v>
      </c>
      <c r="J39" s="7">
        <v>0</v>
      </c>
      <c r="K39" s="89" t="str">
        <f t="shared" si="0"/>
        <v>4059/4060</v>
      </c>
      <c r="L39" s="186" t="str">
        <f>VLOOKUP(A39,'Trips&amp;Operators'!$C$1:$G$99911,5,FALSE)</f>
        <v>DELGADO DIANAH</v>
      </c>
      <c r="M39" s="6">
        <f t="shared" si="1"/>
        <v>2.5868055556202307E-2</v>
      </c>
      <c r="N39" s="7">
        <f t="shared" si="23"/>
        <v>37.250000000931323</v>
      </c>
      <c r="O39" s="7"/>
      <c r="P39" s="7"/>
      <c r="Q39" s="22"/>
      <c r="R39" s="174"/>
      <c r="S39" s="222">
        <f t="shared" si="24"/>
        <v>1</v>
      </c>
      <c r="T39" s="174" t="str">
        <f t="shared" si="4"/>
        <v>Southbound</v>
      </c>
      <c r="U39" s="19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7" t="str">
        <f t="shared" si="5"/>
        <v>https://d0f6bd738d7f1b3e5a7ca70fe4ff75f0.us-east-1.aws.found.io/app/kibana#/discover/Steve-Slow-Train-Analysis-(2080s-and-2083s)?_g=(refreshInterval:(display:Off,pause:!f,section:0,value:0),time:(from:'2017-09-17T06:36:44-0600',mode:absolute,to:'2017-09-17T09:19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9" s="205" t="str">
        <f>IF(AA39&lt;VLOOKUP(AG39,Variables!$AC$3:$AD$8,2,FALSE),"Y","N")</f>
        <v>N</v>
      </c>
      <c r="X39" s="205">
        <f t="shared" si="6"/>
        <v>1</v>
      </c>
      <c r="Y39" s="205">
        <f t="shared" si="7"/>
        <v>23.302800000000001</v>
      </c>
      <c r="Z39" s="205">
        <f t="shared" si="8"/>
        <v>1.47E-2</v>
      </c>
      <c r="AA39" s="205">
        <f t="shared" si="9"/>
        <v>23.2881</v>
      </c>
      <c r="AB39" s="54" t="e">
        <f>VLOOKUP(A39,Enforcements!$C$7:$K$11,8,0)</f>
        <v>#N/A</v>
      </c>
      <c r="AC39" s="51" t="e">
        <f>VLOOKUP(A39,Enforcements!$C$7:$E$11,3,0)</f>
        <v>#N/A</v>
      </c>
      <c r="AD39" s="180">
        <f t="shared" si="10"/>
        <v>126</v>
      </c>
      <c r="AE39" s="77" t="str">
        <f t="shared" si="11"/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AF39" s="74" t="str">
        <f t="shared" si="12"/>
        <v>"C:\Program Files (x86)\AstroGrep\AstroGrep.exe" /e /r /s /spath="%USERPROFILE%\AppData\Local\Temp\OnboardLogs" /stypes="app*4059*20170917*" /stext=" 14:.+((SYSTEM_STATE.+slice.+state.+changed )|(ment ac)|(multiple cpu faults)|(system.+state.+changed )|(\[timeout)|(PRM\|1\|D)|(kpr)|(kdp)|(train st.+moving)|(\|lc)|(penalty))"</v>
      </c>
      <c r="AG39" s="183" t="str">
        <f t="shared" si="13"/>
        <v>EC</v>
      </c>
      <c r="AH39" s="78" t="str">
        <f t="shared" si="18"/>
        <v>"%USERPROFILE%\Documents\GitHub\eaglep3\Utilities\RefineRTDCRunTimes.py" --tripid 126-17 --locoid 4059 --swversion DE.1.0.9.0 --startMP 204:233028 --initTime 2017-09-17T07:36:44 --startdatetime 2017-09-17T07:42:15 --delay 69 --endMP 204:147 --enddatetime 2017-09-17T08:19:30 --enforcementcount 0 &gt;&gt;C:\Users\stu\Documents\GitHub\eaglep3-reporting\EC\2017-09-17-refined-times.txt</v>
      </c>
      <c r="AI39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{"issue":{"subject":"","project_id":79,"tracker_id":40,"status_id":1,"priority_id":2,"assigned_to_id":338,"start_date":"2017-09-17","description":"","custom_fields":[{"id":1,"name":"Subdivision","value":"EC"},{"id":4,"name":"Milepost","value":"0.0147"},{"id":17,"name":"Train ID","value":"126-17"},{"id":16,"name":"Locomotive ID","value":"4059"},{"id":130,"name":"Impact","value":""},{"id":150,"name":"Time of Event (Mountain Time)","value":"08:19:30"},{"id":151,"name":"Denver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4059 --day 2017-09-17</v>
      </c>
      <c r="AN39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14:19:30"},{"id":29,"name":"Sharepoint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Message%20ID',Summary),filters:!(),index:'emp_*',interval:auto,query:"&amp;"(query_string:(analyze_wildcard:!t,query:'Message%5C+ID:(*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-09-17T06:36:44-0600',mode:absolute,to:'2017-09-17T09:19:30-0600'))&amp;_a=(columns:!('Message%20ID',Summary),filters:!(),index:'emp_*',interval:auto,query:(query_string:(analyze_wildcard:!t,query:'Message%5C+ID:(*)+AND+%22rtdc.l.rtdc.4059%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662</v>
      </c>
      <c r="B40" s="7">
        <v>4002</v>
      </c>
      <c r="C40" s="21" t="s">
        <v>197</v>
      </c>
      <c r="D40" s="21" t="s">
        <v>371</v>
      </c>
      <c r="E40" s="13">
        <v>42995.290254629632</v>
      </c>
      <c r="F40" s="13">
        <v>42995.292245370372</v>
      </c>
      <c r="G40" s="7">
        <v>52</v>
      </c>
      <c r="H40" s="21" t="s">
        <v>839</v>
      </c>
      <c r="I40" s="13">
        <v>42995.316921296297</v>
      </c>
      <c r="J40" s="7">
        <v>0</v>
      </c>
      <c r="K40" s="89" t="str">
        <f t="shared" si="0"/>
        <v>4001/4002</v>
      </c>
      <c r="L40" s="186" t="str">
        <f>VLOOKUP(A40,'Trips&amp;Operators'!$C$1:$G$99911,5,FALSE)</f>
        <v>WILLIAMS DONTE</v>
      </c>
      <c r="M40" s="6">
        <f t="shared" si="1"/>
        <v>2.4675925924384501E-2</v>
      </c>
      <c r="N40" s="7">
        <f t="shared" si="23"/>
        <v>35.533333331113681</v>
      </c>
      <c r="O40" s="7"/>
      <c r="P40" s="7"/>
      <c r="Q40" s="22"/>
      <c r="R40" s="174"/>
      <c r="S40" s="222">
        <f t="shared" si="24"/>
        <v>1</v>
      </c>
      <c r="T40" s="174" t="str">
        <f t="shared" si="4"/>
        <v>NorthBound</v>
      </c>
      <c r="U40" s="19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7" t="str">
        <f t="shared" si="5"/>
        <v>https://d0f6bd738d7f1b3e5a7ca70fe4ff75f0.us-east-1.aws.found.io/app/kibana#/discover/Steve-Slow-Train-Analysis-(2080s-and-2083s)?_g=(refreshInterval:(display:Off,pause:!f,section:0,value:0),time:(from:'2017-09-17T05:57:58-0600',mode:absolute,to:'2017-09-17T08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0" s="205" t="str">
        <f>IF(AA40&lt;VLOOKUP(AG40,Variables!$AC$3:$AD$8,2,FALSE),"Y","N")</f>
        <v>N</v>
      </c>
      <c r="X40" s="205">
        <f t="shared" si="6"/>
        <v>1</v>
      </c>
      <c r="Y40" s="205">
        <f t="shared" si="7"/>
        <v>4.6699999999999998E-2</v>
      </c>
      <c r="Z40" s="205">
        <f t="shared" si="8"/>
        <v>23.332100000000001</v>
      </c>
      <c r="AA40" s="205">
        <f t="shared" si="9"/>
        <v>23.285399999999999</v>
      </c>
      <c r="AB40" s="54" t="e">
        <f>VLOOKUP(A40,Enforcements!$C$7:$K$11,8,0)</f>
        <v>#N/A</v>
      </c>
      <c r="AC40" s="51" t="e">
        <f>VLOOKUP(A40,Enforcements!$C$7:$E$11,3,0)</f>
        <v>#N/A</v>
      </c>
      <c r="AD40" s="180">
        <f t="shared" si="10"/>
        <v>127</v>
      </c>
      <c r="AE40" s="77" t="str">
        <f t="shared" si="11"/>
        <v>aws s3 cp s3://rtdc.mdm.uploadarchive.raw/RTDC4002/ "%USERPROFILE%\AppData\Local\Temp\OnboardLogs"\RTDC4002\2017-09-17 --exclude "*" --recursive --include "*20170917*" &amp; "%USERPROFILE%\Documents\GitHub\mrs-test-scripts\Headless Mode &amp; Sideloading\WalkAndUnGZ.bat" "%USERPROFILE%\AppData\Local\Temp\OnboardLogs"\RTDC4002\2017-09-17 &amp; aws s3 cp s3://rtdc.mdm.uploadarchive.raw/RTDC4002/ "%USERPROFILE%\AppData\Local\Temp\OnboardLogs"\RTDC4002\2017-09-18 --exclude "*" --recursive --include "*20170918*" &amp; "%USERPROFILE%\Documents\GitHub\mrs-test-scripts\Headless Mode &amp; Sideloading\WalkAndUnGZ.bat" "%USERPROFILE%\AppData\Local\Temp\OnboardLogs"\RTDC4002\2017-09-18</v>
      </c>
      <c r="AF40" s="74" t="str">
        <f t="shared" si="12"/>
        <v>"C:\Program Files (x86)\AstroGrep\AstroGrep.exe" /e /r /s /spath="%USERPROFILE%\AppData\Local\Temp\OnboardLogs" /stypes="app*4002*20170917*" /stext=" 13:.+((SYSTEM_STATE.+slice.+state.+changed )|(ment ac)|(multiple cpu faults)|(system.+state.+changed )|(\[timeout)|(PRM\|1\|D)|(kpr)|(kdp)|(train st.+moving)|(\|lc)|(penalty))"</v>
      </c>
      <c r="AG40" s="183" t="str">
        <f t="shared" si="13"/>
        <v>EC</v>
      </c>
      <c r="AH40" s="78" t="str">
        <f t="shared" si="18"/>
        <v>"%USERPROFILE%\Documents\GitHub\eaglep3\Utilities\RefineRTDCRunTimes.py" --tripid 127-17 --locoid 4002 --swversion DE.1.0.9.0 --startMP 204:467 --initTime 2017-09-17T06:57:58 --startdatetime 2017-09-17T07:00:50 --delay 52 --endMP 204:233321 --enddatetime 2017-09-17T07:36:22 --enforcementcount 0 &gt;&gt;C:\Users\stu\Documents\GitHub\eaglep3-reporting\EC\2017-09-17-refined-times.txt</v>
      </c>
      <c r="AI40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{"issue":{"subject":"","project_id":79,"tracker_id":40,"status_id":1,"priority_id":2,"assigned_to_id":338,"start_date":"2017-09-17","description":"","custom_fields":[{"id":1,"name":"Subdivision","value":"EC"},{"id":4,"name":"Milepost","value":"23.3321"},{"id":17,"name":"Train ID","value":"127-17"},{"id":16,"name":"Locomotive ID","value":"4002"},{"id":130,"name":"Impact","value":""},{"id":150,"name":"Time of Event (Mountain Time)","value":"07:36:22"},{"id":151,"name":"Denver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4002 --day 2017-09-17</v>
      </c>
      <c r="AN40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13:36:22"},{"id":29,"name":"Sharepoint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Message%20ID',Summary),filters:!(),index:'emp_*',interval:auto,query:"&amp;"(query_string:(analyze_wildcard:!t,query:'Message%5C+ID:(*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-09-17T05:57:58-0600',mode:absolute,to:'2017-09-17T08:36:22-0600'))&amp;_a=(columns:!('Message%20ID',Summary),filters:!(),index:'emp_*',interval:auto,query:(query_string:(analyze_wildcard:!t,query:'Message%5C+ID:(*)+AND+%22rtdc.l.rtdc.4002%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668</v>
      </c>
      <c r="B41" s="7">
        <v>4001</v>
      </c>
      <c r="C41" s="21" t="s">
        <v>197</v>
      </c>
      <c r="D41" s="21" t="s">
        <v>537</v>
      </c>
      <c r="E41" s="13">
        <v>42995.326932870368</v>
      </c>
      <c r="F41" s="13">
        <v>42995.331423611111</v>
      </c>
      <c r="G41" s="7">
        <v>85</v>
      </c>
      <c r="H41" s="21" t="s">
        <v>370</v>
      </c>
      <c r="I41" s="13">
        <v>42995.357615740744</v>
      </c>
      <c r="J41" s="7">
        <v>0</v>
      </c>
      <c r="K41" s="89" t="str">
        <f t="shared" si="0"/>
        <v>4001/4002</v>
      </c>
      <c r="L41" s="186" t="str">
        <f>VLOOKUP(A41,'Trips&amp;Operators'!$C$1:$G$99911,5,FALSE)</f>
        <v>WILLIAMS DONTE</v>
      </c>
      <c r="M41" s="6">
        <f t="shared" si="1"/>
        <v>2.6192129633272998E-2</v>
      </c>
      <c r="N41" s="7">
        <f t="shared" si="23"/>
        <v>37.716666671913117</v>
      </c>
      <c r="O41" s="7"/>
      <c r="P41" s="7"/>
      <c r="Q41" s="22"/>
      <c r="R41" s="174"/>
      <c r="S41" s="222">
        <f t="shared" si="24"/>
        <v>1</v>
      </c>
      <c r="T41" s="174" t="str">
        <f t="shared" si="4"/>
        <v>Southbound</v>
      </c>
      <c r="U41" s="19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7" t="str">
        <f t="shared" si="5"/>
        <v>https://d0f6bd738d7f1b3e5a7ca70fe4ff75f0.us-east-1.aws.found.io/app/kibana#/discover/Steve-Slow-Train-Analysis-(2080s-and-2083s)?_g=(refreshInterval:(display:Off,pause:!f,section:0,value:0),time:(from:'2017-09-17T06:50:47-0600',mode:absolute,to:'2017-09-17T09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1" s="205" t="str">
        <f>IF(AA41&lt;VLOOKUP(AG41,Variables!$AC$3:$AD$8,2,FALSE),"Y","N")</f>
        <v>N</v>
      </c>
      <c r="X41" s="205">
        <f t="shared" si="6"/>
        <v>1</v>
      </c>
      <c r="Y41" s="205">
        <f t="shared" si="7"/>
        <v>23.3002</v>
      </c>
      <c r="Z41" s="205">
        <f t="shared" si="8"/>
        <v>1.5599999999999999E-2</v>
      </c>
      <c r="AA41" s="205">
        <f t="shared" si="9"/>
        <v>23.284600000000001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180">
        <f t="shared" si="10"/>
        <v>128</v>
      </c>
      <c r="AE41" s="77" t="str">
        <f t="shared" si="11"/>
        <v>aws s3 cp s3://rtdc.mdm.uploadarchive.raw/RTDC4001/ "%USERPROFILE%\AppData\Local\Temp\OnboardLogs"\RTDC4001\2017-09-17 --exclude "*" --recursive --include "*20170917*" &amp; "%USERPROFILE%\Documents\GitHub\mrs-test-scripts\Headless Mode &amp; Sideloading\WalkAndUnGZ.bat" "%USERPROFILE%\AppData\Local\Temp\OnboardLogs"\RTDC4001\2017-09-17 &amp; aws s3 cp s3://rtdc.mdm.uploadarchive.raw/RTDC4001/ "%USERPROFILE%\AppData\Local\Temp\OnboardLogs"\RTDC4001\2017-09-18 --exclude "*" --recursive --include "*20170918*" &amp; "%USERPROFILE%\Documents\GitHub\mrs-test-scripts\Headless Mode &amp; Sideloading\WalkAndUnGZ.bat" "%USERPROFILE%\AppData\Local\Temp\OnboardLogs"\RTDC4001\2017-09-18</v>
      </c>
      <c r="AF41" s="74" t="str">
        <f t="shared" si="12"/>
        <v>"C:\Program Files (x86)\AstroGrep\AstroGrep.exe" /e /r /s /spath="%USERPROFILE%\AppData\Local\Temp\OnboardLogs" /stypes="app*4001*20170917*" /stext=" 14:.+((SYSTEM_STATE.+slice.+state.+changed )|(ment ac)|(multiple cpu faults)|(system.+state.+changed )|(\[timeout)|(PRM\|1\|D)|(kpr)|(kdp)|(train st.+moving)|(\|lc)|(penalty))"</v>
      </c>
      <c r="AG41" s="183" t="str">
        <f t="shared" si="13"/>
        <v>EC</v>
      </c>
      <c r="AH41" s="78" t="str">
        <f t="shared" si="18"/>
        <v>"%USERPROFILE%\Documents\GitHub\eaglep3\Utilities\RefineRTDCRunTimes.py" --tripid 128-17 --locoid 4001 --swversion DE.1.0.9.0 --startMP 204:233002 --initTime 2017-09-17T07:50:47 --startdatetime 2017-09-17T07:57:15 --delay 85 --endMP 204:156 --enddatetime 2017-09-17T08:34:58 --enforcementcount 0 &gt;&gt;C:\Users\stu\Documents\GitHub\eaglep3-reporting\EC\2017-09-17-refined-times.txt</v>
      </c>
      <c r="AI41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{"issue":{"subject":"","project_id":79,"tracker_id":40,"status_id":1,"priority_id":2,"assigned_to_id":338,"start_date":"2017-09-17","description":"","custom_fields":[{"id":1,"name":"Subdivision","value":"EC"},{"id":4,"name":"Milepost","value":"0.0156"},{"id":17,"name":"Train ID","value":"128-17"},{"id":16,"name":"Locomotive ID","value":"4001"},{"id":130,"name":"Impact","value":""},{"id":150,"name":"Time of Event (Mountain Time)","value":"08:34:58"},{"id":151,"name":"Denver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4001 --day 2017-09-17</v>
      </c>
      <c r="AN41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14:34:58"},{"id":29,"name":"Sharepoint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Message%20ID',Summary),filters:!(),index:'emp_*',interval:auto,query:"&amp;"(query_string:(analyze_wildcard:!t,query:'Message%5C+ID:(*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-09-17T06:50:47-0600',mode:absolute,to:'2017-09-17T09:34:58-0600'))&amp;_a=(columns:!('Message%20ID',Summary),filters:!(),index:'emp_*',interval:auto,query:(query_string:(analyze_wildcard:!t,query:'Message%5C+ID:(*)+AND+%22rtdc.l.rtdc.4001%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663</v>
      </c>
      <c r="B42" s="7">
        <v>4016</v>
      </c>
      <c r="C42" s="21" t="s">
        <v>197</v>
      </c>
      <c r="D42" s="21" t="s">
        <v>840</v>
      </c>
      <c r="E42" s="13">
        <v>42995.297523148147</v>
      </c>
      <c r="F42" s="13">
        <v>42995.302581018521</v>
      </c>
      <c r="G42" s="7">
        <v>63</v>
      </c>
      <c r="H42" s="21" t="s">
        <v>437</v>
      </c>
      <c r="I42" s="13">
        <v>42995.326932870368</v>
      </c>
      <c r="J42" s="7">
        <v>0</v>
      </c>
      <c r="K42" s="89" t="str">
        <f t="shared" si="0"/>
        <v>4015/4016</v>
      </c>
      <c r="L42" s="186" t="str">
        <f>VLOOKUP(A42,'Trips&amp;Operators'!$C$1:$G$99911,5,FALSE)</f>
        <v>MAELZER KURT</v>
      </c>
      <c r="M42" s="6">
        <f t="shared" si="1"/>
        <v>2.435185184731381E-2</v>
      </c>
      <c r="N42" s="7">
        <f t="shared" si="23"/>
        <v>35.066666660131887</v>
      </c>
      <c r="O42" s="7"/>
      <c r="P42" s="7"/>
      <c r="Q42" s="22"/>
      <c r="R42" s="174"/>
      <c r="S42" s="222">
        <f t="shared" si="24"/>
        <v>1</v>
      </c>
      <c r="T42" s="174" t="str">
        <f t="shared" si="4"/>
        <v>NorthBound</v>
      </c>
      <c r="U42" s="19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7" t="str">
        <f t="shared" si="5"/>
        <v>https://d0f6bd738d7f1b3e5a7ca70fe4ff75f0.us-east-1.aws.found.io/app/kibana#/discover/Steve-Slow-Train-Analysis-(2080s-and-2083s)?_g=(refreshInterval:(display:Off,pause:!f,section:0,value:0),time:(from:'2017-09-17T06:08:26-0600',mode:absolute,to:'2017-09-17T08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2" s="205" t="str">
        <f>IF(AA42&lt;VLOOKUP(AG42,Variables!$AC$3:$AD$8,2,FALSE),"Y","N")</f>
        <v>N</v>
      </c>
      <c r="X42" s="205">
        <f t="shared" si="6"/>
        <v>1</v>
      </c>
      <c r="Y42" s="205">
        <f t="shared" si="7"/>
        <v>4.7800000000000002E-2</v>
      </c>
      <c r="Z42" s="205">
        <f t="shared" si="8"/>
        <v>23.3307</v>
      </c>
      <c r="AA42" s="205">
        <f t="shared" si="9"/>
        <v>23.282900000000001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180">
        <f t="shared" si="10"/>
        <v>129</v>
      </c>
      <c r="AE42" s="77" t="str">
        <f t="shared" si="11"/>
        <v>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 &amp; 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</v>
      </c>
      <c r="AF42" s="74" t="str">
        <f t="shared" si="12"/>
        <v>"C:\Program Files (x86)\AstroGrep\AstroGrep.exe" /e /r /s /spath="%USERPROFILE%\AppData\Local\Temp\OnboardLogs" /stypes="app*4016*20170917*" /stext=" 13:.+((SYSTEM_STATE.+slice.+state.+changed )|(ment ac)|(multiple cpu faults)|(system.+state.+changed )|(\[timeout)|(PRM\|1\|D)|(kpr)|(kdp)|(train st.+moving)|(\|lc)|(penalty))"</v>
      </c>
      <c r="AG42" s="183" t="str">
        <f t="shared" si="13"/>
        <v>EC</v>
      </c>
      <c r="AH42" s="78" t="str">
        <f t="shared" si="18"/>
        <v>"%USERPROFILE%\Documents\GitHub\eaglep3\Utilities\RefineRTDCRunTimes.py" --tripid 129-17 --locoid 4016 --swversion DE.1.0.9.0 --startMP 204:478 --initTime 2017-09-17T07:08:26 --startdatetime 2017-09-17T07:15:43 --delay 63 --endMP 204:233307 --enddatetime 2017-09-17T07:50:47 --enforcementcount 0 &gt;&gt;C:\Users\stu\Documents\GitHub\eaglep3-reporting\EC\2017-09-17-refined-times.txt</v>
      </c>
      <c r="AI42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{"issue":{"subject":"","project_id":79,"tracker_id":40,"status_id":1,"priority_id":2,"assigned_to_id":338,"start_date":"2017-09-17","description":"","custom_fields":[{"id":1,"name":"Subdivision","value":"EC"},{"id":4,"name":"Milepost","value":"23.3307"},{"id":17,"name":"Train ID","value":"129-17"},{"id":16,"name":"Locomotive ID","value":"4016"},{"id":130,"name":"Impact","value":""},{"id":150,"name":"Time of Event (Mountain Time)","value":"07:50:47"},{"id":151,"name":"Denver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4016 --day 2017-09-17</v>
      </c>
      <c r="AN42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13:50:47"},{"id":29,"name":"Sharepoint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Message%20ID',Summary),filters:!(),index:'emp_*',interval:auto,query:"&amp;"(query_string:(analyze_wildcard:!t,query:'Message%5C+ID:(*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-09-17T06:08:26-0600',mode:absolute,to:'2017-09-17T08:50:47-0600'))&amp;_a=(columns:!('Message%20ID',Summary),filters:!(),index:'emp_*',interval:auto,query:(query_string:(analyze_wildcard:!t,query:'Message%5C+ID:(*)+AND+%22rtdc.l.rtdc.4016%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671</v>
      </c>
      <c r="B43" s="7">
        <v>4015</v>
      </c>
      <c r="C43" s="21" t="s">
        <v>197</v>
      </c>
      <c r="D43" s="21" t="s">
        <v>396</v>
      </c>
      <c r="E43" s="13">
        <v>42995.332442129627</v>
      </c>
      <c r="F43" s="13">
        <v>42995.341863425929</v>
      </c>
      <c r="G43" s="7">
        <v>63</v>
      </c>
      <c r="H43" s="21" t="s">
        <v>365</v>
      </c>
      <c r="I43" s="13">
        <v>42995.368437500001</v>
      </c>
      <c r="J43" s="7">
        <v>0</v>
      </c>
      <c r="K43" s="89" t="str">
        <f t="shared" si="0"/>
        <v>4015/4016</v>
      </c>
      <c r="L43" s="186" t="str">
        <f>VLOOKUP(A43,'Trips&amp;Operators'!$C$1:$G$99911,5,FALSE)</f>
        <v>MAELZER KURT</v>
      </c>
      <c r="M43" s="6">
        <f t="shared" si="1"/>
        <v>2.6574074072414078E-2</v>
      </c>
      <c r="N43" s="7">
        <f t="shared" si="23"/>
        <v>38.266666664276272</v>
      </c>
      <c r="O43" s="7"/>
      <c r="P43" s="7"/>
      <c r="Q43" s="22"/>
      <c r="R43" s="174"/>
      <c r="S43" s="222">
        <f t="shared" si="24"/>
        <v>1</v>
      </c>
      <c r="T43" s="174" t="str">
        <f t="shared" si="4"/>
        <v>Southbound</v>
      </c>
      <c r="U43" s="19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7" t="str">
        <f t="shared" si="5"/>
        <v>https://d0f6bd738d7f1b3e5a7ca70fe4ff75f0.us-east-1.aws.found.io/app/kibana#/discover/Steve-Slow-Train-Analysis-(2080s-and-2083s)?_g=(refreshInterval:(display:Off,pause:!f,section:0,value:0),time:(from:'2017-09-17T06:58:43-0600',mode:absolute,to:'2017-09-17T09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3" s="205" t="str">
        <f>IF(AA43&lt;VLOOKUP(AG43,Variables!$AC$3:$AD$8,2,FALSE),"Y","N")</f>
        <v>N</v>
      </c>
      <c r="X43" s="205">
        <f t="shared" si="6"/>
        <v>1</v>
      </c>
      <c r="Y43" s="205">
        <f t="shared" si="7"/>
        <v>23.3</v>
      </c>
      <c r="Z43" s="205">
        <f t="shared" si="8"/>
        <v>1.38E-2</v>
      </c>
      <c r="AA43" s="205">
        <f t="shared" si="9"/>
        <v>23.286200000000001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180">
        <f t="shared" si="10"/>
        <v>130</v>
      </c>
      <c r="AE43" s="77" t="str">
        <f t="shared" si="11"/>
        <v>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 &amp; 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</v>
      </c>
      <c r="AF43" s="74" t="str">
        <f t="shared" si="12"/>
        <v>"C:\Program Files (x86)\AstroGrep\AstroGrep.exe" /e /r /s /spath="%USERPROFILE%\AppData\Local\Temp\OnboardLogs" /stypes="app*4015*20170917*" /stext=" 14:.+((SYSTEM_STATE.+slice.+state.+changed )|(ment ac)|(multiple cpu faults)|(system.+state.+changed )|(\[timeout)|(PRM\|1\|D)|(kpr)|(kdp)|(train st.+moving)|(\|lc)|(penalty))"</v>
      </c>
      <c r="AG43" s="183" t="str">
        <f t="shared" si="13"/>
        <v>EC</v>
      </c>
      <c r="AH43" s="78" t="str">
        <f t="shared" si="18"/>
        <v>"%USERPROFILE%\Documents\GitHub\eaglep3\Utilities\RefineRTDCRunTimes.py" --tripid 130-17 --locoid 4015 --swversion DE.1.0.9.0 --startMP 204:233000 --initTime 2017-09-17T07:58:43 --startdatetime 2017-09-17T08:12:17 --delay 63 --endMP 204:138 --enddatetime 2017-09-17T08:50:33 --enforcementcount 0 &gt;&gt;C:\Users\stu\Documents\GitHub\eaglep3-reporting\EC\2017-09-17-refined-times.txt</v>
      </c>
      <c r="AI43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{"issue":{"subject":"","project_id":79,"tracker_id":40,"status_id":1,"priority_id":2,"assigned_to_id":338,"start_date":"2017-09-17","description":"","custom_fields":[{"id":1,"name":"Subdivision","value":"EC"},{"id":4,"name":"Milepost","value":"0.0138"},{"id":17,"name":"Train ID","value":"130-17"},{"id":16,"name":"Locomotive ID","value":"4015"},{"id":130,"name":"Impact","value":""},{"id":150,"name":"Time of Event (Mountain Time)","value":"08:50:33"},{"id":151,"name":"Denver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4015 --day 2017-09-17</v>
      </c>
      <c r="AN43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14:50:33"},{"id":29,"name":"Sharepoint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Message%20ID',Summary),filters:!(),index:'emp_*',interval:auto,query:"&amp;"(query_string:(analyze_wildcard:!t,query:'Message%5C+ID:(*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-09-17T06:58:43-0600',mode:absolute,to:'2017-09-17T09:50:33-0600'))&amp;_a=(columns:!('Message%20ID',Summary),filters:!(),index:'emp_*',interval:auto,query:(query_string:(analyze_wildcard:!t,query:'Message%5C+ID:(*)+AND+%22rtdc.l.rtdc.4015%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666</v>
      </c>
      <c r="B44" s="7">
        <v>4066</v>
      </c>
      <c r="C44" s="21" t="s">
        <v>197</v>
      </c>
      <c r="D44" s="21" t="s">
        <v>453</v>
      </c>
      <c r="E44" s="13">
        <v>42995.310590277775</v>
      </c>
      <c r="F44" s="13">
        <v>42995.312662037039</v>
      </c>
      <c r="G44" s="7">
        <v>70</v>
      </c>
      <c r="H44" s="21" t="s">
        <v>481</v>
      </c>
      <c r="I44" s="13">
        <v>42995.337511574071</v>
      </c>
      <c r="J44" s="7">
        <v>0</v>
      </c>
      <c r="K44" s="89" t="str">
        <f t="shared" si="0"/>
        <v>4065/4066</v>
      </c>
      <c r="L44" s="186" t="str">
        <f>VLOOKUP(A44,'Trips&amp;Operators'!$C$1:$G$99911,5,FALSE)</f>
        <v>LAMAR NEKESHA</v>
      </c>
      <c r="M44" s="6">
        <f t="shared" si="1"/>
        <v>2.4849537032423541E-2</v>
      </c>
      <c r="N44" s="7">
        <f t="shared" si="23"/>
        <v>35.783333326689899</v>
      </c>
      <c r="O44" s="7"/>
      <c r="P44" s="7"/>
      <c r="Q44" s="22"/>
      <c r="R44" s="174"/>
      <c r="S44" s="222">
        <f t="shared" si="24"/>
        <v>1</v>
      </c>
      <c r="T44" s="174" t="str">
        <f t="shared" si="4"/>
        <v>NorthBound</v>
      </c>
      <c r="U44" s="19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7" t="str">
        <f t="shared" si="5"/>
        <v>https://d0f6bd738d7f1b3e5a7ca70fe4ff75f0.us-east-1.aws.found.io/app/kibana#/discover/Steve-Slow-Train-Analysis-(2080s-and-2083s)?_g=(refreshInterval:(display:Off,pause:!f,section:0,value:0),time:(from:'2017-09-17T06:27:15-0600',mode:absolute,to:'2017-09-17T09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4" s="205" t="str">
        <f>IF(AA44&lt;VLOOKUP(AG44,Variables!$AC$3:$AD$8,2,FALSE),"Y","N")</f>
        <v>N</v>
      </c>
      <c r="X44" s="205">
        <f t="shared" si="6"/>
        <v>1</v>
      </c>
      <c r="Y44" s="205">
        <f t="shared" si="7"/>
        <v>4.3799999999999999E-2</v>
      </c>
      <c r="Z44" s="205">
        <f t="shared" si="8"/>
        <v>23.33</v>
      </c>
      <c r="AA44" s="205">
        <f t="shared" si="9"/>
        <v>23.286199999999997</v>
      </c>
      <c r="AB44" s="54" t="e">
        <f>VLOOKUP(A44,Enforcements!$C$7:$K$11,8,0)</f>
        <v>#N/A</v>
      </c>
      <c r="AC44" s="51" t="e">
        <f>VLOOKUP(A44,Enforcements!$C$7:$E$11,3,0)</f>
        <v>#N/A</v>
      </c>
      <c r="AD44" s="180">
        <f t="shared" si="10"/>
        <v>131</v>
      </c>
      <c r="AE44" s="77" t="str">
        <f t="shared" si="11"/>
        <v>aws s3 cp s3://rtdc.mdm.uploadarchive.raw/RTDC4066/ "%USERPROFILE%\AppData\Local\Temp\OnboardLogs"\RTDC4066\2017-09-17 --exclude "*" --recursive --include "*20170917*" &amp; "%USERPROFILE%\Documents\GitHub\mrs-test-scripts\Headless Mode &amp; Sideloading\WalkAndUnGZ.bat" "%USERPROFILE%\AppData\Local\Temp\OnboardLogs"\RTDC4066\2017-09-17 &amp; 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</v>
      </c>
      <c r="AF44" s="74" t="str">
        <f t="shared" si="12"/>
        <v>"C:\Program Files (x86)\AstroGrep\AstroGrep.exe" /e /r /s /spath="%USERPROFILE%\AppData\Local\Temp\OnboardLogs" /stypes="app*4066*20170917*" /stext=" 14:.+((SYSTEM_STATE.+slice.+state.+changed )|(ment ac)|(multiple cpu faults)|(system.+state.+changed )|(\[timeout)|(PRM\|1\|D)|(kpr)|(kdp)|(train st.+moving)|(\|lc)|(penalty))"</v>
      </c>
      <c r="AG44" s="183" t="str">
        <f t="shared" si="13"/>
        <v>EC</v>
      </c>
      <c r="AH44" s="78" t="str">
        <f t="shared" si="18"/>
        <v>"%USERPROFILE%\Documents\GitHub\eaglep3\Utilities\RefineRTDCRunTimes.py" --tripid 131-17 --locoid 4066 --swversion DE.1.0.9.0 --startMP 204:438 --initTime 2017-09-17T07:27:15 --startdatetime 2017-09-17T07:30:14 --delay 70 --endMP 204:233300 --enddatetime 2017-09-17T08:06:01 --enforcementcount 0 &gt;&gt;C:\Users\stu\Documents\GitHub\eaglep3-reporting\EC\2017-09-17-refined-times.txt</v>
      </c>
      <c r="AI44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{"issue":{"subject":"","project_id":79,"tracker_id":40,"status_id":1,"priority_id":2,"assigned_to_id":338,"start_date":"2017-09-17","description":"","custom_fields":[{"id":1,"name":"Subdivision","value":"EC"},{"id":4,"name":"Milepost","value":"23.33"},{"id":17,"name":"Train ID","value":"131-17"},{"id":16,"name":"Locomotive ID","value":"4066"},{"id":130,"name":"Impact","value":""},{"id":150,"name":"Time of Event (Mountain Time)","value":"08:06:01"},{"id":151,"name":"Denver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4066 --day 2017-09-17</v>
      </c>
      <c r="AN44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14:06:01"},{"id":29,"name":"Sharepoint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Message%20ID',Summary),filters:!(),index:'emp_*',interval:auto,query:"&amp;"(query_string:(analyze_wildcard:!t,query:'Message%5C+ID:(*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-09-17T06:27:15-0600',mode:absolute,to:'2017-09-17T09:06:01-0600'))&amp;_a=(columns:!('Message%20ID',Summary),filters:!(),index:'emp_*',interval:auto,query:(query_string:(analyze_wildcard:!t,query:'Message%5C+ID:(*)+AND+%22rtdc.l.rtdc.4066%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674</v>
      </c>
      <c r="B45" s="7">
        <v>4065</v>
      </c>
      <c r="C45" s="21" t="s">
        <v>197</v>
      </c>
      <c r="D45" s="21" t="s">
        <v>374</v>
      </c>
      <c r="E45" s="13">
        <v>42995.349814814814</v>
      </c>
      <c r="F45" s="13">
        <v>42995.352430555555</v>
      </c>
      <c r="G45" s="7">
        <v>56</v>
      </c>
      <c r="H45" s="21" t="s">
        <v>359</v>
      </c>
      <c r="I45" s="13">
        <v>42995.378078703703</v>
      </c>
      <c r="J45" s="7">
        <v>0</v>
      </c>
      <c r="K45" s="89" t="str">
        <f t="shared" si="0"/>
        <v>4065/4066</v>
      </c>
      <c r="L45" s="186" t="str">
        <f>VLOOKUP(A45,'Trips&amp;Operators'!$C$1:$G$99911,5,FALSE)</f>
        <v>LAMAR NEKESHA</v>
      </c>
      <c r="M45" s="6">
        <f t="shared" si="1"/>
        <v>2.5648148148320615E-2</v>
      </c>
      <c r="N45" s="7">
        <f t="shared" si="23"/>
        <v>36.933333333581686</v>
      </c>
      <c r="O45" s="7"/>
      <c r="P45" s="7"/>
      <c r="Q45" s="22"/>
      <c r="R45" s="174"/>
      <c r="S45" s="222">
        <f t="shared" si="24"/>
        <v>1</v>
      </c>
      <c r="T45" s="174" t="str">
        <f t="shared" si="4"/>
        <v>Southbound</v>
      </c>
      <c r="U45" s="19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7" t="str">
        <f t="shared" si="5"/>
        <v>https://d0f6bd738d7f1b3e5a7ca70fe4ff75f0.us-east-1.aws.found.io/app/kibana#/discover/Steve-Slow-Train-Analysis-(2080s-and-2083s)?_g=(refreshInterval:(display:Off,pause:!f,section:0,value:0),time:(from:'2017-09-17T07:23:44-0600',mode:absolute,to:'2017-09-17T10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5" s="205" t="str">
        <f>IF(AA45&lt;VLOOKUP(AG45,Variables!$AC$3:$AD$8,2,FALSE),"Y","N")</f>
        <v>N</v>
      </c>
      <c r="X45" s="205">
        <f t="shared" ref="X45:X76" si="25">VALUE(LEFT(AD45,4))-VALUE(LEFT(AD44,4))</f>
        <v>1</v>
      </c>
      <c r="Y45" s="205">
        <f t="shared" ref="Y45:Y76" si="26">RIGHT(D45,LEN(D45)-4)/10000</f>
        <v>23.297699999999999</v>
      </c>
      <c r="Z45" s="205">
        <f t="shared" ref="Z45:Z76" si="27">RIGHT(H45,LEN(H45)-4)/10000</f>
        <v>1.52E-2</v>
      </c>
      <c r="AA45" s="205">
        <f t="shared" si="9"/>
        <v>23.282499999999999</v>
      </c>
      <c r="AB45" s="54" t="e">
        <f>VLOOKUP(A45,Enforcements!$C$7:$K$11,8,0)</f>
        <v>#N/A</v>
      </c>
      <c r="AC45" s="51" t="e">
        <f>VLOOKUP(A45,Enforcements!$C$7:$E$11,3,0)</f>
        <v>#N/A</v>
      </c>
      <c r="AD45" s="180">
        <f t="shared" si="10"/>
        <v>132</v>
      </c>
      <c r="AE45" s="77" t="str">
        <f t="shared" si="11"/>
        <v>aws s3 cp s3://rtdc.mdm.uploadarchive.raw/RTDC4065/ "%USERPROFILE%\AppData\Local\Temp\OnboardLogs"\RTDC4065\2017-09-17 --exclude "*" --recursive --include "*20170917*" &amp; "%USERPROFILE%\Documents\GitHub\mrs-test-scripts\Headless Mode &amp; Sideloading\WalkAndUnGZ.bat" "%USERPROFILE%\AppData\Local\Temp\OnboardLogs"\RTDC4065\2017-09-17 &amp; 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</v>
      </c>
      <c r="AF45" s="74" t="str">
        <f t="shared" si="12"/>
        <v>"C:\Program Files (x86)\AstroGrep\AstroGrep.exe" /e /r /s /spath="%USERPROFILE%\AppData\Local\Temp\OnboardLogs" /stypes="app*4065*20170917*" /stext=" 15:.+((SYSTEM_STATE.+slice.+state.+changed )|(ment ac)|(multiple cpu faults)|(system.+state.+changed )|(\[timeout)|(PRM\|1\|D)|(kpr)|(kdp)|(train st.+moving)|(\|lc)|(penalty))"</v>
      </c>
      <c r="AG45" s="183" t="str">
        <f t="shared" si="13"/>
        <v>EC</v>
      </c>
      <c r="AH45" s="78" t="str">
        <f t="shared" si="18"/>
        <v>"%USERPROFILE%\Documents\GitHub\eaglep3\Utilities\RefineRTDCRunTimes.py" --tripid 132-17 --locoid 4065 --swversion DE.1.0.9.0 --startMP 204:232977 --initTime 2017-09-17T08:23:44 --startdatetime 2017-09-17T08:27:30 --delay 56 --endMP 204:152 --enddatetime 2017-09-17T09:04:26 --enforcementcount 0 &gt;&gt;C:\Users\stu\Documents\GitHub\eaglep3-reporting\EC\2017-09-17-refined-times.txt</v>
      </c>
      <c r="AI45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{"issue":{"subject":"","project_id":79,"tracker_id":40,"status_id":1,"priority_id":2,"assigned_to_id":338,"start_date":"2017-09-17","description":"","custom_fields":[{"id":1,"name":"Subdivision","value":"EC"},{"id":4,"name":"Milepost","value":"0.0152"},{"id":17,"name":"Train ID","value":"132-17"},{"id":16,"name":"Locomotive ID","value":"4065"},{"id":130,"name":"Impact","value":""},{"id":150,"name":"Time of Event (Mountain Time)","value":"09:04:26"},{"id":151,"name":"Denver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4065 --day 2017-09-17</v>
      </c>
      <c r="AN45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15:04:26"},{"id":29,"name":"Sharepoint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Message%20ID',Summary),filters:!(),index:'emp_*',interval:auto,query:"&amp;"(query_string:(analyze_wildcard:!t,query:'Message%5C+ID:(*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-09-17T07:23:44-0600',mode:absolute,to:'2017-09-17T10:04:26-0600'))&amp;_a=(columns:!('Message%20ID',Summary),filters:!(),index:'emp_*',interval:auto,query:(query_string:(analyze_wildcard:!t,query:'Message%5C+ID:(*)+AND+%22rtdc.l.rtdc.4065%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667</v>
      </c>
      <c r="B46" s="7">
        <v>4028</v>
      </c>
      <c r="C46" s="21" t="s">
        <v>197</v>
      </c>
      <c r="D46" s="21" t="s">
        <v>358</v>
      </c>
      <c r="E46" s="13">
        <v>42995.320439814815</v>
      </c>
      <c r="F46" s="13">
        <v>42995.32309027778</v>
      </c>
      <c r="G46" s="7">
        <v>56</v>
      </c>
      <c r="H46" s="21" t="s">
        <v>450</v>
      </c>
      <c r="I46" s="13">
        <v>42995.349374999998</v>
      </c>
      <c r="J46" s="7">
        <v>0</v>
      </c>
      <c r="K46" s="89" t="str">
        <f t="shared" si="0"/>
        <v>4027/4028</v>
      </c>
      <c r="L46" s="186" t="str">
        <f>VLOOKUP(A46,'Trips&amp;Operators'!$C$1:$G$99911,5,FALSE)</f>
        <v>DAVIS WENDY</v>
      </c>
      <c r="M46" s="6">
        <f t="shared" si="1"/>
        <v>2.6284722218406387E-2</v>
      </c>
      <c r="N46" s="7">
        <f t="shared" si="23"/>
        <v>37.849999994505197</v>
      </c>
      <c r="O46" s="7"/>
      <c r="P46" s="7"/>
      <c r="Q46" s="22"/>
      <c r="R46" s="174"/>
      <c r="S46" s="222">
        <f t="shared" si="24"/>
        <v>1</v>
      </c>
      <c r="T46" s="174" t="str">
        <f t="shared" si="4"/>
        <v>NorthBound</v>
      </c>
      <c r="U46" s="19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7" t="str">
        <f t="shared" si="5"/>
        <v>https://d0f6bd738d7f1b3e5a7ca70fe4ff75f0.us-east-1.aws.found.io/app/kibana#/discover/Steve-Slow-Train-Analysis-(2080s-and-2083s)?_g=(refreshInterval:(display:Off,pause:!f,section:0,value:0),time:(from:'2017-09-17T06:41:26-0600',mode:absolute,to:'2017-09-17T09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6" s="205" t="str">
        <f>IF(AA46&lt;VLOOKUP(AG46,Variables!$AC$3:$AD$8,2,FALSE),"Y","N")</f>
        <v>N</v>
      </c>
      <c r="X46" s="205">
        <f t="shared" si="25"/>
        <v>1</v>
      </c>
      <c r="Y46" s="205">
        <f t="shared" si="26"/>
        <v>4.58E-2</v>
      </c>
      <c r="Z46" s="205">
        <f t="shared" si="27"/>
        <v>23.3293</v>
      </c>
      <c r="AA46" s="205">
        <f t="shared" si="9"/>
        <v>23.2835</v>
      </c>
      <c r="AB46" s="54" t="e">
        <f>VLOOKUP(A46,Enforcements!$C$7:$K$11,8,0)</f>
        <v>#N/A</v>
      </c>
      <c r="AC46" s="51" t="e">
        <f>VLOOKUP(A46,Enforcements!$C$7:$E$11,3,0)</f>
        <v>#N/A</v>
      </c>
      <c r="AD46" s="180">
        <f t="shared" si="10"/>
        <v>133</v>
      </c>
      <c r="AE46" s="77" t="str">
        <f t="shared" si="11"/>
        <v>aws s3 cp s3://rtdc.mdm.uploadarchive.raw/RTDC4028/ "%USERPROFILE%\AppData\Local\Temp\OnboardLogs"\RTDC4028\2017-09-17 --exclude "*" --recursive --include "*20170917*" &amp; "%USERPROFILE%\Documents\GitHub\mrs-test-scripts\Headless Mode &amp; Sideloading\WalkAndUnGZ.bat" "%USERPROFILE%\AppData\Local\Temp\OnboardLogs"\RTDC4028\2017-09-17 &amp; 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</v>
      </c>
      <c r="AF46" s="74" t="str">
        <f t="shared" si="12"/>
        <v>"C:\Program Files (x86)\AstroGrep\AstroGrep.exe" /e /r /s /spath="%USERPROFILE%\AppData\Local\Temp\OnboardLogs" /stypes="app*4028*20170917*" /stext=" 14:.+((SYSTEM_STATE.+slice.+state.+changed )|(ment ac)|(multiple cpu faults)|(system.+state.+changed )|(\[timeout)|(PRM\|1\|D)|(kpr)|(kdp)|(train st.+moving)|(\|lc)|(penalty))"</v>
      </c>
      <c r="AG46" s="183" t="str">
        <f t="shared" si="13"/>
        <v>EC</v>
      </c>
      <c r="AH46" s="78" t="str">
        <f t="shared" si="18"/>
        <v>"%USERPROFILE%\Documents\GitHub\eaglep3\Utilities\RefineRTDCRunTimes.py" --tripid 133-17 --locoid 4028 --swversion DE.1.0.9.0 --startMP 204:458 --initTime 2017-09-17T07:41:26 --startdatetime 2017-09-17T07:45:15 --delay 56 --endMP 204:233293 --enddatetime 2017-09-17T08:23:06 --enforcementcount 0 &gt;&gt;C:\Users\stu\Documents\GitHub\eaglep3-reporting\EC\2017-09-17-refined-times.txt</v>
      </c>
      <c r="AI46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{"issue":{"subject":"","project_id":79,"tracker_id":40,"status_id":1,"priority_id":2,"assigned_to_id":338,"start_date":"2017-09-17","description":"","custom_fields":[{"id":1,"name":"Subdivision","value":"EC"},{"id":4,"name":"Milepost","value":"23.3293"},{"id":17,"name":"Train ID","value":"133-17"},{"id":16,"name":"Locomotive ID","value":"4028"},{"id":130,"name":"Impact","value":""},{"id":150,"name":"Time of Event (Mountain Time)","value":"08:23:06"},{"id":151,"name":"Denver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4028 --day 2017-09-17</v>
      </c>
      <c r="AN46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14:23:06"},{"id":29,"name":"Sharepoint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Message%20ID',Summary),filters:!(),index:'emp_*',interval:auto,query:"&amp;"(query_string:(analyze_wildcard:!t,query:'Message%5C+ID:(*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-09-17T06:41:26-0600',mode:absolute,to:'2017-09-17T09:23:06-0600'))&amp;_a=(columns:!('Message%20ID',Summary),filters:!(),index:'emp_*',interval:auto,query:(query_string:(analyze_wildcard:!t,query:'Message%5C+ID:(*)+AND+%22rtdc.l.rtdc.4028%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585</v>
      </c>
      <c r="B47" s="7">
        <v>4027</v>
      </c>
      <c r="C47" s="21" t="s">
        <v>197</v>
      </c>
      <c r="D47" s="21" t="s">
        <v>841</v>
      </c>
      <c r="E47" s="13">
        <v>42995.350868055553</v>
      </c>
      <c r="F47" s="13">
        <v>42995.362662037034</v>
      </c>
      <c r="G47" s="7">
        <v>57</v>
      </c>
      <c r="H47" s="21" t="s">
        <v>338</v>
      </c>
      <c r="I47" s="13">
        <v>42995.391250000001</v>
      </c>
      <c r="J47" s="7">
        <v>0</v>
      </c>
      <c r="K47" s="89" t="str">
        <f t="shared" si="0"/>
        <v>4027/4028</v>
      </c>
      <c r="L47" s="186" t="str">
        <f>VLOOKUP(A47,'Trips&amp;Operators'!$C$1:$G$99911,5,FALSE)</f>
        <v>DAVIS WENDY</v>
      </c>
      <c r="M47" s="6">
        <f t="shared" si="1"/>
        <v>2.8587962966412306E-2</v>
      </c>
      <c r="N47" s="7">
        <f t="shared" si="23"/>
        <v>41.16666667163372</v>
      </c>
      <c r="O47" s="7"/>
      <c r="P47" s="7"/>
      <c r="Q47" s="22"/>
      <c r="R47" s="174"/>
      <c r="S47" s="222">
        <f t="shared" si="24"/>
        <v>1</v>
      </c>
      <c r="T47" s="174" t="str">
        <f t="shared" si="4"/>
        <v>Southbound</v>
      </c>
      <c r="U47" s="19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7" t="str">
        <f t="shared" si="5"/>
        <v>https://d0f6bd738d7f1b3e5a7ca70fe4ff75f0.us-east-1.aws.found.io/app/kibana#/discover/Steve-Slow-Train-Analysis-(2080s-and-2083s)?_g=(refreshInterval:(display:Off,pause:!f,section:0,value:0),time:(from:'2017-09-17T07:25:15-0600',mode:absolute,to:'2017-09-17T10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7" s="205" t="str">
        <f>IF(AA47&lt;VLOOKUP(AG47,Variables!$AC$3:$AD$8,2,FALSE),"Y","N")</f>
        <v>N</v>
      </c>
      <c r="X47" s="205">
        <f t="shared" si="25"/>
        <v>1</v>
      </c>
      <c r="Y47" s="205">
        <f t="shared" si="26"/>
        <v>23.297499999999999</v>
      </c>
      <c r="Z47" s="205">
        <f t="shared" si="27"/>
        <v>1.4999999999999999E-2</v>
      </c>
      <c r="AA47" s="205">
        <f t="shared" si="9"/>
        <v>23.282499999999999</v>
      </c>
      <c r="AB47" s="54" t="str">
        <f>VLOOKUP(A47,Enforcements!$C$7:$K$11,8,0)</f>
        <v>Speed (6)</v>
      </c>
      <c r="AC47" s="51" t="str">
        <f>VLOOKUP(A47,Enforcements!$C$7:$E$11,3,0)</f>
        <v>PERMANENT SPEED RESTRICTION</v>
      </c>
      <c r="AD47" s="180">
        <f t="shared" si="10"/>
        <v>134</v>
      </c>
      <c r="AE47" s="77" t="str">
        <f t="shared" si="11"/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AF47" s="74" t="str">
        <f t="shared" si="12"/>
        <v>"C:\Program Files (x86)\AstroGrep\AstroGrep.exe" /e /r /s /spath="%USERPROFILE%\AppData\Local\Temp\OnboardLogs" /stypes="app*4027*20170917*" /stext=" 15:.+((SYSTEM_STATE.+slice.+state.+changed )|(ment ac)|(multiple cpu faults)|(system.+state.+changed )|(\[timeout)|(PRM\|1\|D)|(kpr)|(kdp)|(train st.+moving)|(\|lc)|(penalty))"</v>
      </c>
      <c r="AG47" s="183" t="str">
        <f t="shared" si="13"/>
        <v>EC</v>
      </c>
      <c r="AH47" s="78" t="str">
        <f t="shared" si="18"/>
        <v>"%USERPROFILE%\Documents\GitHub\eaglep3\Utilities\RefineRTDCRunTimes.py" --tripid 134-17 --locoid 4027 --swversion DE.1.0.9.0 --startMP 204:232975 --initTime 2017-09-17T08:25:15 --startdatetime 2017-09-17T08:42:14 --delay 57 --endMP 204:150 --enddatetime 2017-09-17T09:23:24 --enforcementcount 0 &gt;&gt;C:\Users\stu\Documents\GitHub\eaglep3-reporting\EC\2017-09-17-refined-times.txt</v>
      </c>
      <c r="AI47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{"issue":{"subject":"","project_id":79,"tracker_id":40,"status_id":1,"priority_id":2,"assigned_to_id":338,"start_date":"2017-09-17","description":"","custom_fields":[{"id":1,"name":"Subdivision","value":"EC"},{"id":4,"name":"Milepost","value":"0.015"},{"id":17,"name":"Train ID","value":"134-17"},{"id":16,"name":"Locomotive ID","value":"4027"},{"id":130,"name":"Impact","value":""},{"id":150,"name":"Time of Event (Mountain Time)","value":"09:23:24"},{"id":151,"name":"Denver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4027 --day 2017-09-17</v>
      </c>
      <c r="AN47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15:23:24"},{"id":29,"name":"Sharepoint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Message%20ID',Summary),filters:!(),index:'emp_*',interval:auto,query:"&amp;"(query_string:(analyze_wildcard:!t,query:'Message%5C+ID:(*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-09-17T07:25:15-0600',mode:absolute,to:'2017-09-17T10:23:24-0600'))&amp;_a=(columns:!('Message%20ID',Summary),filters:!(),index:'emp_*',interval:auto,query:(query_string:(analyze_wildcard:!t,query:'Message%5C+ID:(*)+AND+%22rtdc.l.rtdc.4027%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669</v>
      </c>
      <c r="B48" s="7">
        <v>4056</v>
      </c>
      <c r="C48" s="21" t="s">
        <v>197</v>
      </c>
      <c r="D48" s="21" t="s">
        <v>341</v>
      </c>
      <c r="E48" s="13">
        <v>42995.327685185184</v>
      </c>
      <c r="F48" s="13">
        <v>42995.333483796298</v>
      </c>
      <c r="G48" s="7">
        <v>51</v>
      </c>
      <c r="H48" s="21" t="s">
        <v>842</v>
      </c>
      <c r="I48" s="13">
        <v>42995.358113425929</v>
      </c>
      <c r="J48" s="7">
        <v>0</v>
      </c>
      <c r="K48" s="89" t="str">
        <f t="shared" si="0"/>
        <v>4055/4056</v>
      </c>
      <c r="L48" s="186" t="str">
        <f>VLOOKUP(A48,'Trips&amp;Operators'!$C$1:$G$99911,5,FALSE)</f>
        <v>LALONDE GREGORY</v>
      </c>
      <c r="M48" s="6">
        <f t="shared" si="1"/>
        <v>2.4629629631817807E-2</v>
      </c>
      <c r="N48" s="7">
        <f t="shared" si="23"/>
        <v>35.466666669817641</v>
      </c>
      <c r="O48" s="7"/>
      <c r="P48" s="7"/>
      <c r="Q48" s="22"/>
      <c r="R48" s="174"/>
      <c r="S48" s="222">
        <f t="shared" si="24"/>
        <v>1</v>
      </c>
      <c r="T48" s="174" t="str">
        <f t="shared" si="4"/>
        <v>NorthBound</v>
      </c>
      <c r="U48" s="19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7" t="str">
        <f t="shared" si="5"/>
        <v>https://d0f6bd738d7f1b3e5a7ca70fe4ff75f0.us-east-1.aws.found.io/app/kibana#/discover/Steve-Slow-Train-Analysis-(2080s-and-2083s)?_g=(refreshInterval:(display:Off,pause:!f,section:0,value:0),time:(from:'2017-09-17T06:51:52-0600',mode:absolute,to:'2017-09-17T09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8" s="205" t="str">
        <f>IF(AA48&lt;VLOOKUP(AG48,Variables!$AC$3:$AD$8,2,FALSE),"Y","N")</f>
        <v>N</v>
      </c>
      <c r="X48" s="205">
        <f t="shared" si="25"/>
        <v>1</v>
      </c>
      <c r="Y48" s="205">
        <f t="shared" si="26"/>
        <v>4.53E-2</v>
      </c>
      <c r="Z48" s="205">
        <f t="shared" si="27"/>
        <v>23.3338</v>
      </c>
      <c r="AA48" s="205">
        <f t="shared" si="9"/>
        <v>23.288499999999999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180">
        <f t="shared" si="10"/>
        <v>135</v>
      </c>
      <c r="AE48" s="77" t="str">
        <f t="shared" si="11"/>
        <v>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 &amp; aws s3 cp s3://rtdc.mdm.uploadarchive.raw/RTDC4056/ "%USERPROFILE%\AppData\Local\Temp\OnboardLogs"\RTDC4056\2017-09-18 --exclude "*" --recursive --include "*20170918*" &amp; "%USERPROFILE%\Documents\GitHub\mrs-test-scripts\Headless Mode &amp; Sideloading\WalkAndUnGZ.bat" "%USERPROFILE%\AppData\Local\Temp\OnboardLogs"\RTDC4056\2017-09-18</v>
      </c>
      <c r="AF48" s="74" t="str">
        <f t="shared" si="12"/>
        <v>"C:\Program Files (x86)\AstroGrep\AstroGrep.exe" /e /r /s /spath="%USERPROFILE%\AppData\Local\Temp\OnboardLogs" /stypes="app*4056*20170917*" /stext=" 14:.+((SYSTEM_STATE.+slice.+state.+changed )|(ment ac)|(multiple cpu faults)|(system.+state.+changed )|(\[timeout)|(PRM\|1\|D)|(kpr)|(kdp)|(train st.+moving)|(\|lc)|(penalty))"</v>
      </c>
      <c r="AG48" s="183" t="str">
        <f t="shared" si="13"/>
        <v>EC</v>
      </c>
      <c r="AH48" s="78" t="str">
        <f t="shared" si="18"/>
        <v>"%USERPROFILE%\Documents\GitHub\eaglep3\Utilities\RefineRTDCRunTimes.py" --tripid 135-17 --locoid 4056 --swversion DE.1.0.9.0 --startMP 204:453 --initTime 2017-09-17T07:51:52 --startdatetime 2017-09-17T08:00:13 --delay 51 --endMP 204:233338 --enddatetime 2017-09-17T08:35:41 --enforcementcount 0 &gt;&gt;C:\Users\stu\Documents\GitHub\eaglep3-reporting\EC\2017-09-17-refined-times.txt</v>
      </c>
      <c r="AI48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{"issue":{"subject":"","project_id":79,"tracker_id":40,"status_id":1,"priority_id":2,"assigned_to_id":338,"start_date":"2017-09-17","description":"","custom_fields":[{"id":1,"name":"Subdivision","value":"EC"},{"id":4,"name":"Milepost","value":"23.3338"},{"id":17,"name":"Train ID","value":"135-17"},{"id":16,"name":"Locomotive ID","value":"4056"},{"id":130,"name":"Impact","value":""},{"id":150,"name":"Time of Event (Mountain Time)","value":"08:35:41"},{"id":151,"name":"Denver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4056 --day 2017-09-17</v>
      </c>
      <c r="AN48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14:35:41"},{"id":29,"name":"Sharepoint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Message%20ID',Summary),filters:!(),index:'emp_*',interval:auto,query:"&amp;"(query_string:(analyze_wildcard:!t,query:'Message%5C+ID:(*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-09-17T06:51:52-0600',mode:absolute,to:'2017-09-17T09:35:41-0600'))&amp;_a=(columns:!('Message%20ID',Summary),filters:!(),index:'emp_*',interval:auto,query:(query_string:(analyze_wildcard:!t,query:'Message%5C+ID:(*)+AND+%22rtdc.l.rtdc.4056%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676</v>
      </c>
      <c r="B49" s="7">
        <v>4055</v>
      </c>
      <c r="C49" s="21" t="s">
        <v>197</v>
      </c>
      <c r="D49" s="21" t="s">
        <v>843</v>
      </c>
      <c r="E49" s="13">
        <v>42995.359143518515</v>
      </c>
      <c r="F49" s="13">
        <v>42995.373182870368</v>
      </c>
      <c r="G49" s="7">
        <v>47</v>
      </c>
      <c r="H49" s="21" t="s">
        <v>342</v>
      </c>
      <c r="I49" s="13">
        <v>42995.399675925924</v>
      </c>
      <c r="J49" s="7">
        <v>0</v>
      </c>
      <c r="K49" s="89" t="str">
        <f t="shared" si="0"/>
        <v>4055/4056</v>
      </c>
      <c r="L49" s="186" t="str">
        <f>VLOOKUP(A49,'Trips&amp;Operators'!$C$1:$G$99911,5,FALSE)</f>
        <v>LALONDE GREGORY</v>
      </c>
      <c r="M49" s="6">
        <f t="shared" si="1"/>
        <v>2.6493055556784384E-2</v>
      </c>
      <c r="N49" s="7">
        <f t="shared" si="23"/>
        <v>38.150000001769513</v>
      </c>
      <c r="O49" s="7"/>
      <c r="P49" s="7"/>
      <c r="Q49" s="22"/>
      <c r="R49" s="174"/>
      <c r="S49" s="222">
        <f t="shared" si="24"/>
        <v>1</v>
      </c>
      <c r="T49" s="174" t="str">
        <f t="shared" si="4"/>
        <v>Southbound</v>
      </c>
      <c r="U49" s="19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7" t="str">
        <f t="shared" si="5"/>
        <v>https://d0f6bd738d7f1b3e5a7ca70fe4ff75f0.us-east-1.aws.found.io/app/kibana#/discover/Steve-Slow-Train-Analysis-(2080s-and-2083s)?_g=(refreshInterval:(display:Off,pause:!f,section:0,value:0),time:(from:'2017-09-17T07:37:10-0600',mode:absolute,to:'2017-09-17T10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9" s="205" t="str">
        <f>IF(AA49&lt;VLOOKUP(AG49,Variables!$AC$3:$AD$8,2,FALSE),"Y","N")</f>
        <v>N</v>
      </c>
      <c r="X49" s="205">
        <f t="shared" si="25"/>
        <v>1</v>
      </c>
      <c r="Y49" s="205">
        <f t="shared" si="26"/>
        <v>23.300599999999999</v>
      </c>
      <c r="Z49" s="205">
        <f t="shared" si="27"/>
        <v>1.41E-2</v>
      </c>
      <c r="AA49" s="205">
        <f t="shared" si="9"/>
        <v>23.2865</v>
      </c>
      <c r="AB49" s="54" t="e">
        <f>VLOOKUP(A49,Enforcements!$C$7:$K$11,8,0)</f>
        <v>#N/A</v>
      </c>
      <c r="AC49" s="51" t="e">
        <f>VLOOKUP(A49,Enforcements!$C$7:$E$11,3,0)</f>
        <v>#N/A</v>
      </c>
      <c r="AD49" s="180">
        <f t="shared" si="10"/>
        <v>136</v>
      </c>
      <c r="AE49" s="77" t="str">
        <f t="shared" si="11"/>
        <v>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 &amp; aws s3 cp s3://rtdc.mdm.uploadarchive.raw/RTDC4055/ "%USERPROFILE%\AppData\Local\Temp\OnboardLogs"\RTDC4055\2017-09-18 --exclude "*" --recursive --include "*20170918*" &amp; "%USERPROFILE%\Documents\GitHub\mrs-test-scripts\Headless Mode &amp; Sideloading\WalkAndUnGZ.bat" "%USERPROFILE%\AppData\Local\Temp\OnboardLogs"\RTDC4055\2017-09-18</v>
      </c>
      <c r="AF49" s="74" t="str">
        <f t="shared" si="12"/>
        <v>"C:\Program Files (x86)\AstroGrep\AstroGrep.exe" /e /r /s /spath="%USERPROFILE%\AppData\Local\Temp\OnboardLogs" /stypes="app*4055*20170917*" /stext=" 15:.+((SYSTEM_STATE.+slice.+state.+changed )|(ment ac)|(multiple cpu faults)|(system.+state.+changed )|(\[timeout)|(PRM\|1\|D)|(kpr)|(kdp)|(train st.+moving)|(\|lc)|(penalty))"</v>
      </c>
      <c r="AG49" s="183" t="str">
        <f t="shared" si="13"/>
        <v>EC</v>
      </c>
      <c r="AH49" s="78" t="str">
        <f t="shared" si="18"/>
        <v>"%USERPROFILE%\Documents\GitHub\eaglep3\Utilities\RefineRTDCRunTimes.py" --tripid 136-17 --locoid 4055 --swversion DE.1.0.9.0 --startMP 204:233006 --initTime 2017-09-17T08:37:10 --startdatetime 2017-09-17T08:57:23 --delay 47 --endMP 204:141 --enddatetime 2017-09-17T09:35:32 --enforcementcount 0 &gt;&gt;C:\Users\stu\Documents\GitHub\eaglep3-reporting\EC\2017-09-17-refined-times.txt</v>
      </c>
      <c r="AI49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{"issue":{"subject":"","project_id":79,"tracker_id":40,"status_id":1,"priority_id":2,"assigned_to_id":338,"start_date":"2017-09-17","description":"","custom_fields":[{"id":1,"name":"Subdivision","value":"EC"},{"id":4,"name":"Milepost","value":"0.0141"},{"id":17,"name":"Train ID","value":"136-17"},{"id":16,"name":"Locomotive ID","value":"4055"},{"id":130,"name":"Impact","value":""},{"id":150,"name":"Time of Event (Mountain Time)","value":"09:35:32"},{"id":151,"name":"Denver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4055 --day 2017-09-17</v>
      </c>
      <c r="AN49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15:35:32"},{"id":29,"name":"Sharepoint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Message%20ID',Summary),filters:!(),index:'emp_*',interval:auto,query:"&amp;"(query_string:(analyze_wildcard:!t,query:'Message%5C+ID:(*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-09-17T07:37:10-0600',mode:absolute,to:'2017-09-17T10:35:32-0600'))&amp;_a=(columns:!('Message%20ID',Summary),filters:!(),index:'emp_*',interval:auto,query:(query_string:(analyze_wildcard:!t,query:'Message%5C+ID:(*)+AND+%22rtdc.l.rtdc.4055%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672</v>
      </c>
      <c r="B50" s="7">
        <v>4044</v>
      </c>
      <c r="C50" s="21" t="s">
        <v>197</v>
      </c>
      <c r="D50" s="21" t="s">
        <v>449</v>
      </c>
      <c r="E50" s="13">
        <v>42995.338067129633</v>
      </c>
      <c r="F50" s="13">
        <v>42995.343969907408</v>
      </c>
      <c r="G50" s="7">
        <v>63</v>
      </c>
      <c r="H50" s="21" t="s">
        <v>437</v>
      </c>
      <c r="I50" s="13">
        <v>42995.368460648147</v>
      </c>
      <c r="J50" s="7">
        <v>0</v>
      </c>
      <c r="K50" s="89" t="str">
        <f t="shared" si="0"/>
        <v>4043/4044</v>
      </c>
      <c r="L50" s="186" t="str">
        <f>VLOOKUP(A50,'Trips&amp;Operators'!$C$1:$G$99911,5,FALSE)</f>
        <v>GEBRETEKLE DAGNEW</v>
      </c>
      <c r="M50" s="6">
        <f t="shared" si="1"/>
        <v>2.4490740739565808E-2</v>
      </c>
      <c r="N50" s="7">
        <f t="shared" si="23"/>
        <v>35.266666664974764</v>
      </c>
      <c r="O50" s="7"/>
      <c r="P50" s="7"/>
      <c r="Q50" s="22"/>
      <c r="R50" s="174"/>
      <c r="S50" s="222">
        <f t="shared" si="24"/>
        <v>1</v>
      </c>
      <c r="T50" s="174" t="str">
        <f t="shared" si="4"/>
        <v>NorthBound</v>
      </c>
      <c r="U50" s="19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7" t="str">
        <f t="shared" si="5"/>
        <v>https://d0f6bd738d7f1b3e5a7ca70fe4ff75f0.us-east-1.aws.found.io/app/kibana#/discover/Steve-Slow-Train-Analysis-(2080s-and-2083s)?_g=(refreshInterval:(display:Off,pause:!f,section:0,value:0),time:(from:'2017-09-17T07:06:49-0600',mode:absolute,to:'2017-09-17T09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0" s="205" t="str">
        <f>IF(AA50&lt;VLOOKUP(AG50,Variables!$AC$3:$AD$8,2,FALSE),"Y","N")</f>
        <v>N</v>
      </c>
      <c r="X50" s="205">
        <f t="shared" si="25"/>
        <v>1</v>
      </c>
      <c r="Y50" s="205">
        <f t="shared" si="26"/>
        <v>4.4699999999999997E-2</v>
      </c>
      <c r="Z50" s="205">
        <f t="shared" si="27"/>
        <v>23.3307</v>
      </c>
      <c r="AA50" s="205">
        <f t="shared" si="9"/>
        <v>23.286000000000001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180">
        <f t="shared" si="10"/>
        <v>137</v>
      </c>
      <c r="AE50" s="77" t="str">
        <f t="shared" si="11"/>
        <v>aws s3 cp s3://rtdc.mdm.uploadarchive.raw/RTDC4044/ "%USERPROFILE%\AppData\Local\Temp\OnboardLogs"\RTDC4044\2017-09-17 --exclude "*" --recursive --include "*20170917*" &amp; "%USERPROFILE%\Documents\GitHub\mrs-test-scripts\Headless Mode &amp; Sideloading\WalkAndUnGZ.bat" "%USERPROFILE%\AppData\Local\Temp\OnboardLogs"\RTDC4044\2017-09-17 &amp; aws s3 cp s3://rtdc.mdm.uploadarchive.raw/RTDC4044/ "%USERPROFILE%\AppData\Local\Temp\OnboardLogs"\RTDC4044\2017-09-18 --exclude "*" --recursive --include "*20170918*" &amp; "%USERPROFILE%\Documents\GitHub\mrs-test-scripts\Headless Mode &amp; Sideloading\WalkAndUnGZ.bat" "%USERPROFILE%\AppData\Local\Temp\OnboardLogs"\RTDC4044\2017-09-18</v>
      </c>
      <c r="AF50" s="74" t="str">
        <f t="shared" si="12"/>
        <v>"C:\Program Files (x86)\AstroGrep\AstroGrep.exe" /e /r /s /spath="%USERPROFILE%\AppData\Local\Temp\OnboardLogs" /stypes="app*4044*20170917*" /stext=" 14:.+((SYSTEM_STATE.+slice.+state.+changed )|(ment ac)|(multiple cpu faults)|(system.+state.+changed )|(\[timeout)|(PRM\|1\|D)|(kpr)|(kdp)|(train st.+moving)|(\|lc)|(penalty))"</v>
      </c>
      <c r="AG50" s="183" t="str">
        <f t="shared" si="13"/>
        <v>EC</v>
      </c>
      <c r="AH50" s="78" t="str">
        <f t="shared" si="18"/>
        <v>"%USERPROFILE%\Documents\GitHub\eaglep3\Utilities\RefineRTDCRunTimes.py" --tripid 137-17 --locoid 4044 --swversion DE.1.0.9.0 --startMP 204:447 --initTime 2017-09-17T08:06:49 --startdatetime 2017-09-17T08:15:19 --delay 63 --endMP 204:233307 --enddatetime 2017-09-17T08:50:35 --enforcementcount 0 &gt;&gt;C:\Users\stu\Documents\GitHub\eaglep3-reporting\EC\2017-09-17-refined-times.txt</v>
      </c>
      <c r="AI50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{"issue":{"subject":"","project_id":79,"tracker_id":40,"status_id":1,"priority_id":2,"assigned_to_id":338,"start_date":"2017-09-17","description":"","custom_fields":[{"id":1,"name":"Subdivision","value":"EC"},{"id":4,"name":"Milepost","value":"23.3307"},{"id":17,"name":"Train ID","value":"137-17"},{"id":16,"name":"Locomotive ID","value":"4044"},{"id":130,"name":"Impact","value":""},{"id":150,"name":"Time of Event (Mountain Time)","value":"08:50:35"},{"id":151,"name":"Denver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4044 --day 2017-09-17</v>
      </c>
      <c r="AN50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14:50:35"},{"id":29,"name":"Sharepoint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Message%20ID',Summary),filters:!(),index:'emp_*',interval:auto,query:"&amp;"(query_string:(analyze_wildcard:!t,query:'Message%5C+ID:(*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-09-17T07:06:49-0600',mode:absolute,to:'2017-09-17T09:50:35-0600'))&amp;_a=(columns:!('Message%20ID',Summary),filters:!(),index:'emp_*',interval:auto,query:(query_string:(analyze_wildcard:!t,query:'Message%5C+ID:(*)+AND+%22rtdc.l.rtdc.4044%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586</v>
      </c>
      <c r="B51" s="7">
        <v>4043</v>
      </c>
      <c r="C51" s="21" t="s">
        <v>197</v>
      </c>
      <c r="D51" s="21" t="s">
        <v>536</v>
      </c>
      <c r="E51" s="13">
        <v>42995.370115740741</v>
      </c>
      <c r="F51" s="13">
        <v>42995.383530092593</v>
      </c>
      <c r="G51" s="7">
        <v>62</v>
      </c>
      <c r="H51" s="21" t="s">
        <v>382</v>
      </c>
      <c r="I51" s="13">
        <v>42995.412037037036</v>
      </c>
      <c r="J51" s="7">
        <v>0</v>
      </c>
      <c r="K51" s="89" t="str">
        <f t="shared" si="0"/>
        <v>4043/4044</v>
      </c>
      <c r="L51" s="186" t="str">
        <f>VLOOKUP(A51,'Trips&amp;Operators'!$C$1:$G$99911,5,FALSE)</f>
        <v>GEBRETEKLE DAGNEW</v>
      </c>
      <c r="M51" s="6">
        <f t="shared" si="1"/>
        <v>2.8506944443506654E-2</v>
      </c>
      <c r="N51" s="7">
        <f t="shared" si="23"/>
        <v>41.049999998649582</v>
      </c>
      <c r="O51" s="7"/>
      <c r="P51" s="7"/>
      <c r="Q51" s="22"/>
      <c r="R51" s="174"/>
      <c r="S51" s="222">
        <f t="shared" si="24"/>
        <v>1</v>
      </c>
      <c r="T51" s="174" t="str">
        <f t="shared" si="4"/>
        <v>Southbound</v>
      </c>
      <c r="U51" s="19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7" t="str">
        <f t="shared" si="5"/>
        <v>https://d0f6bd738d7f1b3e5a7ca70fe4ff75f0.us-east-1.aws.found.io/app/kibana#/discover/Steve-Slow-Train-Analysis-(2080s-and-2083s)?_g=(refreshInterval:(display:Off,pause:!f,section:0,value:0),time:(from:'2017-09-17T07:52:58-0600',mode:absolute,to:'2017-09-17T10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1" s="205" t="str">
        <f>IF(AA51&lt;VLOOKUP(AG51,Variables!$AC$3:$AD$8,2,FALSE),"Y","N")</f>
        <v>N</v>
      </c>
      <c r="X51" s="205">
        <f t="shared" si="25"/>
        <v>1</v>
      </c>
      <c r="Y51" s="205">
        <f t="shared" si="26"/>
        <v>23.298200000000001</v>
      </c>
      <c r="Z51" s="205">
        <f t="shared" si="27"/>
        <v>1.5800000000000002E-2</v>
      </c>
      <c r="AA51" s="205">
        <f t="shared" si="9"/>
        <v>23.282400000000003</v>
      </c>
      <c r="AB51" s="54" t="str">
        <f>VLOOKUP(A51,Enforcements!$C$7:$K$11,8,0)</f>
        <v>Speed (6)</v>
      </c>
      <c r="AC51" s="51" t="str">
        <f>VLOOKUP(A51,Enforcements!$C$7:$E$11,3,0)</f>
        <v>PERMANENT SPEED RESTRICTION</v>
      </c>
      <c r="AD51" s="180">
        <f t="shared" si="10"/>
        <v>138</v>
      </c>
      <c r="AE51" s="77" t="str">
        <f t="shared" si="11"/>
        <v>aws s3 cp s3://rtdc.mdm.uploadarchive.raw/RTDC4043/ "%USERPROFILE%\AppData\Local\Temp\OnboardLogs"\RTDC4043\2017-09-17 --exclude "*" --recursive --include "*20170917*" &amp; "%USERPROFILE%\Documents\GitHub\mrs-test-scripts\Headless Mode &amp; Sideloading\WalkAndUnGZ.bat" "%USERPROFILE%\AppData\Local\Temp\OnboardLogs"\RTDC4043\2017-09-17 &amp; aws s3 cp s3://rtdc.mdm.uploadarchive.raw/RTDC4043/ "%USERPROFILE%\AppData\Local\Temp\OnboardLogs"\RTDC4043\2017-09-18 --exclude "*" --recursive --include "*20170918*" &amp; "%USERPROFILE%\Documents\GitHub\mrs-test-scripts\Headless Mode &amp; Sideloading\WalkAndUnGZ.bat" "%USERPROFILE%\AppData\Local\Temp\OnboardLogs"\RTDC4043\2017-09-18</v>
      </c>
      <c r="AF51" s="74" t="str">
        <f t="shared" si="12"/>
        <v>"C:\Program Files (x86)\AstroGrep\AstroGrep.exe" /e /r /s /spath="%USERPROFILE%\AppData\Local\Temp\OnboardLogs" /stypes="app*4043*20170917*" /stext=" 15:.+((SYSTEM_STATE.+slice.+state.+changed )|(ment ac)|(multiple cpu faults)|(system.+state.+changed )|(\[timeout)|(PRM\|1\|D)|(kpr)|(kdp)|(train st.+moving)|(\|lc)|(penalty))"</v>
      </c>
      <c r="AG51" s="183" t="str">
        <f t="shared" si="13"/>
        <v>EC</v>
      </c>
      <c r="AH51" s="78" t="str">
        <f t="shared" si="18"/>
        <v>"%USERPROFILE%\Documents\GitHub\eaglep3\Utilities\RefineRTDCRunTimes.py" --tripid 138-17 --locoid 4043 --swversion DE.1.0.9.0 --startMP 204:232982 --initTime 2017-09-17T08:52:58 --startdatetime 2017-09-17T09:12:17 --delay 62 --endMP 204:158 --enddatetime 2017-09-17T09:53:20 --enforcementcount 0 &gt;&gt;C:\Users\stu\Documents\GitHub\eaglep3-reporting\EC\2017-09-17-refined-times.txt</v>
      </c>
      <c r="AI51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{"issue":{"subject":"","project_id":79,"tracker_id":40,"status_id":1,"priority_id":2,"assigned_to_id":338,"start_date":"2017-09-17","description":"","custom_fields":[{"id":1,"name":"Subdivision","value":"EC"},{"id":4,"name":"Milepost","value":"0.0158"},{"id":17,"name":"Train ID","value":"138-17"},{"id":16,"name":"Locomotive ID","value":"4043"},{"id":130,"name":"Impact","value":""},{"id":150,"name":"Time of Event (Mountain Time)","value":"09:53:20"},{"id":151,"name":"Denver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4043 --day 2017-09-17</v>
      </c>
      <c r="AN51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15:53:20"},{"id":29,"name":"Sharepoint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Message%20ID',Summary),filters:!(),index:'emp_*',interval:auto,query:"&amp;"(query_string:(analyze_wildcard:!t,query:'Message%5C+ID:(*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-09-17T07:52:58-0600',mode:absolute,to:'2017-09-17T10:53:20-0600'))&amp;_a=(columns:!('Message%20ID',Summary),filters:!(),index:'emp_*',interval:auto,query:(query_string:(analyze_wildcard:!t,query:'Message%5C+ID:(*)+AND+%22rtdc.l.rtdc.4043%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673</v>
      </c>
      <c r="B52" s="7">
        <v>4060</v>
      </c>
      <c r="C52" s="21" t="s">
        <v>197</v>
      </c>
      <c r="D52" s="21" t="s">
        <v>420</v>
      </c>
      <c r="E52" s="13">
        <v>42995.348703703705</v>
      </c>
      <c r="F52" s="13">
        <v>42995.354479166665</v>
      </c>
      <c r="G52" s="7">
        <v>84</v>
      </c>
      <c r="H52" s="21" t="s">
        <v>425</v>
      </c>
      <c r="I52" s="13">
        <v>42995.379502314812</v>
      </c>
      <c r="J52" s="7">
        <v>0</v>
      </c>
      <c r="K52" s="89" t="str">
        <f t="shared" si="0"/>
        <v>4059/4060</v>
      </c>
      <c r="L52" s="186" t="str">
        <f>VLOOKUP(A52,'Trips&amp;Operators'!$C$1:$G$99911,5,FALSE)</f>
        <v>THOMPSON LESTER</v>
      </c>
      <c r="M52" s="6">
        <f t="shared" si="1"/>
        <v>2.5023148147738539E-2</v>
      </c>
      <c r="N52" s="7">
        <f t="shared" si="23"/>
        <v>36.033333332743496</v>
      </c>
      <c r="O52" s="7"/>
      <c r="P52" s="7"/>
      <c r="Q52" s="22"/>
      <c r="R52" s="174"/>
      <c r="S52" s="222">
        <f t="shared" si="24"/>
        <v>1</v>
      </c>
      <c r="T52" s="174" t="str">
        <f t="shared" si="4"/>
        <v>NorthBound</v>
      </c>
      <c r="U52" s="19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7" t="str">
        <f t="shared" si="5"/>
        <v>https://d0f6bd738d7f1b3e5a7ca70fe4ff75f0.us-east-1.aws.found.io/app/kibana#/discover/Steve-Slow-Train-Analysis-(2080s-and-2083s)?_g=(refreshInterval:(display:Off,pause:!f,section:0,value:0),time:(from:'2017-09-17T07:22:08-0600',mode:absolute,to:'2017-09-17T10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2" s="205" t="str">
        <f>IF(AA52&lt;VLOOKUP(AG52,Variables!$AC$3:$AD$8,2,FALSE),"Y","N")</f>
        <v>N</v>
      </c>
      <c r="X52" s="205">
        <f t="shared" si="25"/>
        <v>1</v>
      </c>
      <c r="Y52" s="205">
        <f t="shared" si="26"/>
        <v>4.4400000000000002E-2</v>
      </c>
      <c r="Z52" s="205">
        <f t="shared" si="27"/>
        <v>23.331199999999999</v>
      </c>
      <c r="AA52" s="205">
        <f t="shared" si="9"/>
        <v>23.286799999999999</v>
      </c>
      <c r="AB52" s="54" t="e">
        <f>VLOOKUP(A52,Enforcements!$C$7:$K$11,8,0)</f>
        <v>#N/A</v>
      </c>
      <c r="AC52" s="51" t="e">
        <f>VLOOKUP(A52,Enforcements!$C$7:$E$11,3,0)</f>
        <v>#N/A</v>
      </c>
      <c r="AD52" s="180">
        <f t="shared" si="10"/>
        <v>139</v>
      </c>
      <c r="AE52" s="77" t="str">
        <f t="shared" si="11"/>
        <v>aws s3 cp s3://rtdc.mdm.uploadarchive.raw/RTDC4060/ "%USERPROFILE%\AppData\Local\Temp\OnboardLogs"\RTDC4060\2017-09-17 --exclude "*" --recursive --include "*20170917*" &amp; "%USERPROFILE%\Documents\GitHub\mrs-test-scripts\Headless Mode &amp; Sideloading\WalkAndUnGZ.bat" "%USERPROFILE%\AppData\Local\Temp\OnboardLogs"\RTDC4060\2017-09-17 &amp; aws s3 cp s3://rtdc.mdm.uploadarchive.raw/RTDC4060/ "%USERPROFILE%\AppData\Local\Temp\OnboardLogs"\RTDC4060\2017-09-18 --exclude "*" --recursive --include "*20170918*" &amp; "%USERPROFILE%\Documents\GitHub\mrs-test-scripts\Headless Mode &amp; Sideloading\WalkAndUnGZ.bat" "%USERPROFILE%\AppData\Local\Temp\OnboardLogs"\RTDC4060\2017-09-18</v>
      </c>
      <c r="AF52" s="74" t="str">
        <f t="shared" si="12"/>
        <v>"C:\Program Files (x86)\AstroGrep\AstroGrep.exe" /e /r /s /spath="%USERPROFILE%\AppData\Local\Temp\OnboardLogs" /stypes="app*4060*20170917*" /stext=" 15:.+((SYSTEM_STATE.+slice.+state.+changed )|(ment ac)|(multiple cpu faults)|(system.+state.+changed )|(\[timeout)|(PRM\|1\|D)|(kpr)|(kdp)|(train st.+moving)|(\|lc)|(penalty))"</v>
      </c>
      <c r="AG52" s="183" t="str">
        <f t="shared" si="13"/>
        <v>EC</v>
      </c>
      <c r="AH52" s="78" t="str">
        <f t="shared" si="18"/>
        <v>"%USERPROFILE%\Documents\GitHub\eaglep3\Utilities\RefineRTDCRunTimes.py" --tripid 139-17 --locoid 4060 --swversion DE.1.0.9.0 --startMP 204:444 --initTime 2017-09-17T08:22:08 --startdatetime 2017-09-17T08:30:27 --delay 84 --endMP 204:233312 --enddatetime 2017-09-17T09:06:29 --enforcementcount 0 &gt;&gt;C:\Users\stu\Documents\GitHub\eaglep3-reporting\EC\2017-09-17-refined-times.txt</v>
      </c>
      <c r="AI52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{"issue":{"subject":"","project_id":79,"tracker_id":40,"status_id":1,"priority_id":2,"assigned_to_id":338,"start_date":"2017-09-17","description":"","custom_fields":[{"id":1,"name":"Subdivision","value":"EC"},{"id":4,"name":"Milepost","value":"23.3312"},{"id":17,"name":"Train ID","value":"139-17"},{"id":16,"name":"Locomotive ID","value":"4060"},{"id":130,"name":"Impact","value":""},{"id":150,"name":"Time of Event (Mountain Time)","value":"09:06:29"},{"id":151,"name":"Denver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4060 --day 2017-09-17</v>
      </c>
      <c r="AN52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15:06:29"},{"id":29,"name":"Sharepoint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Message%20ID',Summary),filters:!(),index:'emp_*',interval:auto,query:"&amp;"(query_string:(analyze_wildcard:!t,query:'Message%5C+ID:(*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-09-17T07:22:08-0600',mode:absolute,to:'2017-09-17T10:06:29-0600'))&amp;_a=(columns:!('Message%20ID',Summary),filters:!(),index:'emp_*',interval:auto,query:(query_string:(analyze_wildcard:!t,query:'Message%5C+ID:(*)+AND+%22rtdc.l.rtdc.4060%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588</v>
      </c>
      <c r="B53" s="7">
        <v>4059</v>
      </c>
      <c r="C53" s="21" t="s">
        <v>197</v>
      </c>
      <c r="D53" s="21" t="s">
        <v>540</v>
      </c>
      <c r="E53" s="13">
        <v>42995.391886574071</v>
      </c>
      <c r="F53" s="13">
        <v>42995.39398148148</v>
      </c>
      <c r="G53" s="7">
        <v>63</v>
      </c>
      <c r="H53" s="21" t="s">
        <v>844</v>
      </c>
      <c r="I53" s="13">
        <v>42995.420358796298</v>
      </c>
      <c r="J53" s="7">
        <v>0</v>
      </c>
      <c r="K53" s="89" t="str">
        <f t="shared" si="0"/>
        <v>4059/4060</v>
      </c>
      <c r="L53" s="186" t="str">
        <f>VLOOKUP(A53,'Trips&amp;Operators'!$C$1:$G$99911,5,FALSE)</f>
        <v>THOMPSON LESTER</v>
      </c>
      <c r="M53" s="6">
        <f t="shared" si="1"/>
        <v>2.6377314818091691E-2</v>
      </c>
      <c r="N53" s="7">
        <f t="shared" si="23"/>
        <v>37.983333338052034</v>
      </c>
      <c r="O53" s="7"/>
      <c r="P53" s="7"/>
      <c r="Q53" s="22"/>
      <c r="R53" s="174"/>
      <c r="S53" s="222">
        <f t="shared" si="24"/>
        <v>1</v>
      </c>
      <c r="T53" s="174" t="str">
        <f t="shared" si="4"/>
        <v>Southbound</v>
      </c>
      <c r="U53" s="19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7" t="str">
        <f t="shared" si="5"/>
        <v>https://d0f6bd738d7f1b3e5a7ca70fe4ff75f0.us-east-1.aws.found.io/app/kibana#/discover/Steve-Slow-Train-Analysis-(2080s-and-2083s)?_g=(refreshInterval:(display:Off,pause:!f,section:0,value:0),time:(from:'2017-09-17T08:24:19-0600',mode:absolute,to:'2017-09-17T11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3" s="205" t="str">
        <f>IF(AA53&lt;VLOOKUP(AG53,Variables!$AC$3:$AD$8,2,FALSE),"Y","N")</f>
        <v>N</v>
      </c>
      <c r="X53" s="205">
        <f t="shared" si="25"/>
        <v>1</v>
      </c>
      <c r="Y53" s="205">
        <f t="shared" si="26"/>
        <v>23.297899999999998</v>
      </c>
      <c r="Z53" s="205">
        <f t="shared" si="27"/>
        <v>1.9400000000000001E-2</v>
      </c>
      <c r="AA53" s="205">
        <f t="shared" si="9"/>
        <v>23.278499999999998</v>
      </c>
      <c r="AB53" s="54" t="e">
        <f>VLOOKUP(A53,Enforcements!$C$7:$K$11,8,0)</f>
        <v>#N/A</v>
      </c>
      <c r="AC53" s="51" t="e">
        <f>VLOOKUP(A53,Enforcements!$C$7:$E$11,3,0)</f>
        <v>#N/A</v>
      </c>
      <c r="AD53" s="180">
        <f t="shared" si="10"/>
        <v>140</v>
      </c>
      <c r="AE53" s="77" t="str">
        <f t="shared" si="11"/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AF53" s="74" t="str">
        <f t="shared" si="12"/>
        <v>"C:\Program Files (x86)\AstroGrep\AstroGrep.exe" /e /r /s /spath="%USERPROFILE%\AppData\Local\Temp\OnboardLogs" /stypes="app*4059*20170917*" /stext=" 16:.+((SYSTEM_STATE.+slice.+state.+changed )|(ment ac)|(multiple cpu faults)|(system.+state.+changed )|(\[timeout)|(PRM\|1\|D)|(kpr)|(kdp)|(train st.+moving)|(\|lc)|(penalty))"</v>
      </c>
      <c r="AG53" s="183" t="str">
        <f t="shared" si="13"/>
        <v>EC</v>
      </c>
      <c r="AH53" s="78" t="str">
        <f t="shared" si="18"/>
        <v>"%USERPROFILE%\Documents\GitHub\eaglep3\Utilities\RefineRTDCRunTimes.py" --tripid 140-17 --locoid 4059 --swversion DE.1.0.9.0 --startMP 204:232979 --initTime 2017-09-17T09:24:19 --startdatetime 2017-09-17T09:27:20 --delay 63 --endMP 204:194 --enddatetime 2017-09-17T10:05:19 --enforcementcount 0 &gt;&gt;C:\Users\stu\Documents\GitHub\eaglep3-reporting\EC\2017-09-17-refined-times.txt</v>
      </c>
      <c r="AI53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{"issue":{"subject":"","project_id":79,"tracker_id":40,"status_id":1,"priority_id":2,"assigned_to_id":338,"start_date":"2017-09-17","description":"","custom_fields":[{"id":1,"name":"Subdivision","value":"EC"},{"id":4,"name":"Milepost","value":"0.0194"},{"id":17,"name":"Train ID","value":"140-17"},{"id":16,"name":"Locomotive ID","value":"4059"},{"id":130,"name":"Impact","value":""},{"id":150,"name":"Time of Event (Mountain Time)","value":"10:05:19"},{"id":151,"name":"Denver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4059 --day 2017-09-17</v>
      </c>
      <c r="AN53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16:05:19"},{"id":29,"name":"Sharepoint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Message%20ID',Summary),filters:!(),index:'emp_*',interval:auto,query:"&amp;"(query_string:(analyze_wildcard:!t,query:'Message%5C+ID:(*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-09-17T08:24:19-0600',mode:absolute,to:'2017-09-17T11:05:19-0600'))&amp;_a=(columns:!('Message%20ID',Summary),filters:!(),index:'emp_*',interval:auto,query:(query_string:(analyze_wildcard:!t,query:'Message%5C+ID:(*)+AND+%22rtdc.l.rtdc.4059%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677</v>
      </c>
      <c r="B54" s="7">
        <v>4002</v>
      </c>
      <c r="C54" s="21" t="s">
        <v>197</v>
      </c>
      <c r="D54" s="21" t="s">
        <v>539</v>
      </c>
      <c r="E54" s="13">
        <v>42995.361111111109</v>
      </c>
      <c r="F54" s="13">
        <v>42995.371620370373</v>
      </c>
      <c r="G54" s="7">
        <v>76</v>
      </c>
      <c r="H54" s="21" t="s">
        <v>845</v>
      </c>
      <c r="I54" s="13">
        <v>42995.392534722225</v>
      </c>
      <c r="J54" s="7">
        <v>0</v>
      </c>
      <c r="K54" s="89" t="str">
        <f t="shared" si="0"/>
        <v>4001/4002</v>
      </c>
      <c r="L54" s="186" t="str">
        <f>VLOOKUP(A54,'Trips&amp;Operators'!$C$1:$G$99911,5,FALSE)</f>
        <v>WILLIAMS DONTE</v>
      </c>
      <c r="M54" s="6">
        <f t="shared" si="1"/>
        <v>2.0914351851388346E-2</v>
      </c>
      <c r="N54" s="7"/>
      <c r="O54" s="7"/>
      <c r="P54" s="7">
        <f>24*60*SUM($M54:$M54)</f>
        <v>30.116666665999219</v>
      </c>
      <c r="Q54" s="22"/>
      <c r="R54" s="174" t="s">
        <v>978</v>
      </c>
      <c r="S54" s="222">
        <f>1/IF(AG54="EC",12,1)*SUM(U54:U55)</f>
        <v>1</v>
      </c>
      <c r="T54" s="174" t="str">
        <f t="shared" si="4"/>
        <v>NorthBound</v>
      </c>
      <c r="U54" s="19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217" t="str">
        <f t="shared" si="5"/>
        <v>https://d0f6bd738d7f1b3e5a7ca70fe4ff75f0.us-east-1.aws.found.io/app/kibana#/discover/Steve-Slow-Train-Analysis-(2080s-and-2083s)?_g=(refreshInterval:(display:Off,pause:!f,section:0,value:0),time:(from:'2017-09-17T07:40:00-0600',mode:absolute,to:'2017-09-17T10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4" s="205" t="str">
        <f>IF(AA54&lt;VLOOKUP(AG54,Variables!$AC$3:$AD$8,2,FALSE),"Y","N")</f>
        <v>Y</v>
      </c>
      <c r="X54" s="205">
        <f t="shared" si="25"/>
        <v>1</v>
      </c>
      <c r="Y54" s="205">
        <f t="shared" si="26"/>
        <v>4.7500000000000001E-2</v>
      </c>
      <c r="Z54" s="205">
        <f t="shared" si="27"/>
        <v>2.4169</v>
      </c>
      <c r="AA54" s="205">
        <f t="shared" si="9"/>
        <v>2.3694000000000002</v>
      </c>
      <c r="AB54" s="54" t="e">
        <f>VLOOKUP(A54,Enforcements!$C$7:$K$11,8,0)</f>
        <v>#N/A</v>
      </c>
      <c r="AC54" s="51" t="e">
        <f>VLOOKUP(A54,Enforcements!$C$7:$E$11,3,0)</f>
        <v>#N/A</v>
      </c>
      <c r="AD54" s="180">
        <f t="shared" si="10"/>
        <v>141</v>
      </c>
      <c r="AE54" s="77" t="str">
        <f t="shared" si="11"/>
        <v>aws s3 cp s3://rtdc.mdm.uploadarchive.raw/RTDC4002/ "%USERPROFILE%\AppData\Local\Temp\OnboardLogs"\RTDC4002\2017-09-17 --exclude "*" --recursive --include "*20170917*" &amp; "%USERPROFILE%\Documents\GitHub\mrs-test-scripts\Headless Mode &amp; Sideloading\WalkAndUnGZ.bat" "%USERPROFILE%\AppData\Local\Temp\OnboardLogs"\RTDC4002\2017-09-17 &amp; aws s3 cp s3://rtdc.mdm.uploadarchive.raw/RTDC4002/ "%USERPROFILE%\AppData\Local\Temp\OnboardLogs"\RTDC4002\2017-09-18 --exclude "*" --recursive --include "*20170918*" &amp; "%USERPROFILE%\Documents\GitHub\mrs-test-scripts\Headless Mode &amp; Sideloading\WalkAndUnGZ.bat" "%USERPROFILE%\AppData\Local\Temp\OnboardLogs"\RTDC4002\2017-09-18</v>
      </c>
      <c r="AF54" s="74" t="str">
        <f t="shared" si="12"/>
        <v>"C:\Program Files (x86)\AstroGrep\AstroGrep.exe" /e /r /s /spath="%USERPROFILE%\AppData\Local\Temp\OnboardLogs" /stypes="app*4002*20170917*" /stext=" 15:.+((SYSTEM_STATE.+slice.+state.+changed )|(ment ac)|(multiple cpu faults)|(system.+state.+changed )|(\[timeout)|(PRM\|1\|D)|(kpr)|(kdp)|(train st.+moving)|(\|lc)|(penalty))"</v>
      </c>
      <c r="AG54" s="183" t="str">
        <f t="shared" si="13"/>
        <v>EC</v>
      </c>
      <c r="AH54" s="78" t="str">
        <f t="shared" si="18"/>
        <v>"%USERPROFILE%\Documents\GitHub\eaglep3\Utilities\RefineRTDCRunTimes.py" --tripid 141-17 --locoid 4002 --swversion DE.1.0.9.0 --startMP 204:475 --initTime 2017-09-17T08:40:00 --startdatetime 2017-09-17T08:55:08 --delay 76 --endMP 204:24169 --enddatetime 2017-09-17T09:25:15 --enforcementcount 0 &gt;&gt;C:\Users\stu\Documents\GitHub\eaglep3-reporting\EC\2017-09-17-refined-times.txt</v>
      </c>
      <c r="AI54" s="96" t="str">
        <f t="shared" si="19"/>
        <v>echo {"issue":{"subject":"Dispatcher-initiated cut out","project_id":79,"tracker_id":40,"status_id":1,"priority_id":2,"assigned_to_id":338,"start_date":"2017-09-17","description":"","custom_fields":[{"id":1,"name":"Subdivision","value":"EC"},{"id":4,"name":"Milepost","value":"2.4169"},{"id":17,"name":"Train ID","value":"141-17"},{"id":16,"name":"Locomotive ID","value":"4002"},{"id":130,"name":"Impact","value":""},{"id":150,"name":"Time of Event (Mountain Time)","value":"09:25:15"},{"id":151,"name":"Denver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4002 --day 2017-09-17</v>
      </c>
      <c r="AN54" s="151" t="str">
        <f t="shared" si="21"/>
        <v>echo {"issue":{"subject":"Dispatcher-initiated cut out","project_id":30,"tracker_id":4,"status_id":1,"priority_id":1,"assigned_to_id":10,"start_date":"2017-09-17","description":"","custom_fields":[{"id":30,"name":"Category","value":"Issue"},{"id":3,"name":"Functional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15:25:15"},{"id":29,"name":"Sharepoint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Message%20ID',Summary),filters:!(),index:'emp_*',interval:auto,query:"&amp;"(query_string:(analyze_wildcard:!t,query:'Message%5C+ID:(*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-09-17T07:40:00-0600',mode:absolute,to:'2017-09-17T10:25:15-0600'))&amp;_a=(columns:!('Message%20ID',Summary),filters:!(),index:'emp_*',interval:auto,query:(query_string:(analyze_wildcard:!t,query:'Message%5C+ID:(*)+AND+%22rtdc.l.rtdc.4002%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677</v>
      </c>
      <c r="B55" s="7">
        <v>4002</v>
      </c>
      <c r="C55" s="21" t="s">
        <v>197</v>
      </c>
      <c r="D55" s="21" t="s">
        <v>846</v>
      </c>
      <c r="E55" s="13">
        <v>42995.370717592596</v>
      </c>
      <c r="F55" s="13">
        <v>42995.371620370373</v>
      </c>
      <c r="G55" s="7">
        <v>47</v>
      </c>
      <c r="H55" s="21" t="s">
        <v>567</v>
      </c>
      <c r="I55" s="13">
        <v>42995.392534722225</v>
      </c>
      <c r="J55" s="7">
        <v>0</v>
      </c>
      <c r="K55" s="89" t="str">
        <f t="shared" si="0"/>
        <v>4001/4002</v>
      </c>
      <c r="L55" s="186" t="str">
        <f>VLOOKUP(A55,'Trips&amp;Operators'!$C$1:$G$99911,5,FALSE)</f>
        <v>WILLIAMS DONTE</v>
      </c>
      <c r="M55" s="6">
        <f t="shared" si="1"/>
        <v>2.0914351851388346E-2</v>
      </c>
      <c r="N55" s="7"/>
      <c r="O55" s="7"/>
      <c r="P55" s="7"/>
      <c r="Q55" s="22"/>
      <c r="R55" s="174"/>
      <c r="S55" s="222"/>
      <c r="T55" s="174" t="str">
        <f t="shared" si="4"/>
        <v>NorthBound</v>
      </c>
      <c r="U55" s="19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7" t="str">
        <f t="shared" si="5"/>
        <v>https://d0f6bd738d7f1b3e5a7ca70fe4ff75f0.us-east-1.aws.found.io/app/kibana#/discover/Steve-Slow-Train-Analysis-(2080s-and-2083s)?_g=(refreshInterval:(display:Off,pause:!f,section:0,value:0),time:(from:'2017-09-17T07:53:50-0600',mode:absolute,to:'2017-09-17T10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205" t="str">
        <f>IF(AA55&lt;VLOOKUP(AG55,Variables!$AC$3:$AD$8,2,FALSE),"Y","N")</f>
        <v>Y</v>
      </c>
      <c r="X55" s="205">
        <f t="shared" si="25"/>
        <v>0</v>
      </c>
      <c r="Y55" s="205">
        <f t="shared" si="26"/>
        <v>2.6145999999999998</v>
      </c>
      <c r="Z55" s="205">
        <f t="shared" si="27"/>
        <v>23.328800000000001</v>
      </c>
      <c r="AA55" s="205">
        <f t="shared" si="9"/>
        <v>20.714200000000002</v>
      </c>
      <c r="AB55" s="54" t="e">
        <f>VLOOKUP(A55,Enforcements!$C$7:$K$11,8,0)</f>
        <v>#N/A</v>
      </c>
      <c r="AC55" s="51" t="e">
        <f>VLOOKUP(A55,Enforcements!$C$7:$E$11,3,0)</f>
        <v>#N/A</v>
      </c>
      <c r="AD55" s="180">
        <f t="shared" si="10"/>
        <v>141</v>
      </c>
      <c r="AE55" s="77" t="str">
        <f t="shared" si="11"/>
        <v>aws s3 cp s3://rtdc.mdm.uploadarchive.raw/RTDC4002/ "%USERPROFILE%\AppData\Local\Temp\OnboardLogs"\RTDC4002\2017-09-17 --exclude "*" --recursive --include "*20170917*" &amp; "%USERPROFILE%\Documents\GitHub\mrs-test-scripts\Headless Mode &amp; Sideloading\WalkAndUnGZ.bat" "%USERPROFILE%\AppData\Local\Temp\OnboardLogs"\RTDC4002\2017-09-17 &amp; aws s3 cp s3://rtdc.mdm.uploadarchive.raw/RTDC4002/ "%USERPROFILE%\AppData\Local\Temp\OnboardLogs"\RTDC4002\2017-09-18 --exclude "*" --recursive --include "*20170918*" &amp; "%USERPROFILE%\Documents\GitHub\mrs-test-scripts\Headless Mode &amp; Sideloading\WalkAndUnGZ.bat" "%USERPROFILE%\AppData\Local\Temp\OnboardLogs"\RTDC4002\2017-09-18</v>
      </c>
      <c r="AF55" s="74" t="str">
        <f t="shared" si="12"/>
        <v>"C:\Program Files (x86)\AstroGrep\AstroGrep.exe" /e /r /s /spath="%USERPROFILE%\AppData\Local\Temp\OnboardLogs" /stypes="app*4002*20170917*" /stext=" 15:.+((SYSTEM_STATE.+slice.+state.+changed )|(ment ac)|(multiple cpu faults)|(system.+state.+changed )|(\[timeout)|(PRM\|1\|D)|(kpr)|(kdp)|(train st.+moving)|(\|lc)|(penalty))"</v>
      </c>
      <c r="AG55" s="183" t="str">
        <f t="shared" si="13"/>
        <v>EC</v>
      </c>
      <c r="AH55" s="78" t="str">
        <f t="shared" si="18"/>
        <v>"%USERPROFILE%\Documents\GitHub\eaglep3\Utilities\RefineRTDCRunTimes.py" --tripid 141-17 --locoid 4002 --swversion DE.1.0.9.0 --startMP 204:26146 --initTime 2017-09-17T08:53:50 --startdatetime 2017-09-17T08:55:08 --delay 47 --endMP 204:233288 --enddatetime 2017-09-17T09:25:15 --enforcementcount 0 &gt;&gt;C:\Users\stu\Documents\GitHub\eaglep3-reporting\EC\2017-09-17-refined-times.txt</v>
      </c>
      <c r="AI55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{"issue":{"subject":"","project_id":79,"tracker_id":40,"status_id":1,"priority_id":2,"assigned_to_id":338,"start_date":"2017-09-17","description":"","custom_fields":[{"id":1,"name":"Subdivision","value":"EC"},{"id":4,"name":"Milepost","value":"23.3288"},{"id":17,"name":"Train ID","value":"141-17"},{"id":16,"name":"Locomotive ID","value":"4002"},{"id":130,"name":"Impact","value":""},{"id":150,"name":"Time of Event (Mountain Time)","value":"09:25:15"},{"id":151,"name":"Denver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4002 --day 2017-09-17</v>
      </c>
      <c r="AN55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15:25:15"},{"id":29,"name":"Sharepoint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Message%20ID',Summary),filters:!(),index:'emp_*',interval:auto,query:"&amp;"(query_string:(analyze_wildcard:!t,query:'Message%5C+ID:(*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-09-17T07:53:50-0600',mode:absolute,to:'2017-09-17T10:25:15-0600'))&amp;_a=(columns:!('Message%20ID',Summary),filters:!(),index:'emp_*',interval:auto,query:(query_string:(analyze_wildcard:!t,query:'Message%5C+ID:(*)+AND+%22rtdc.l.rtdc.4002%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682</v>
      </c>
      <c r="B56" s="7">
        <v>4001</v>
      </c>
      <c r="C56" s="21" t="s">
        <v>197</v>
      </c>
      <c r="D56" s="21" t="s">
        <v>543</v>
      </c>
      <c r="E56" s="13">
        <v>42995.399780092594</v>
      </c>
      <c r="F56" s="13">
        <v>42995.404398148145</v>
      </c>
      <c r="G56" s="7">
        <v>55</v>
      </c>
      <c r="H56" s="21" t="s">
        <v>555</v>
      </c>
      <c r="I56" s="13">
        <v>42995.431354166663</v>
      </c>
      <c r="J56" s="7">
        <v>0</v>
      </c>
      <c r="K56" s="89" t="str">
        <f t="shared" si="0"/>
        <v>4001/4002</v>
      </c>
      <c r="L56" s="186" t="str">
        <f>VLOOKUP(A56,'Trips&amp;Operators'!$C$1:$G$99911,5,FALSE)</f>
        <v>WILLIAMS DONTE</v>
      </c>
      <c r="M56" s="6">
        <f t="shared" si="1"/>
        <v>2.6956018518831115E-2</v>
      </c>
      <c r="N56" s="7">
        <f t="shared" ref="N56:N95" si="28">24*60*SUM($M56:$M56)</f>
        <v>38.816666667116806</v>
      </c>
      <c r="O56" s="7"/>
      <c r="P56" s="7"/>
      <c r="Q56" s="22"/>
      <c r="R56" s="174"/>
      <c r="S56" s="222">
        <f t="shared" ref="S56:S95" si="29">1/IF(AG56="EC",12,1)*SUM(U56:U56)</f>
        <v>1</v>
      </c>
      <c r="T56" s="174" t="str">
        <f t="shared" si="4"/>
        <v>Southbound</v>
      </c>
      <c r="U56" s="19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7" t="str">
        <f t="shared" si="5"/>
        <v>https://d0f6bd738d7f1b3e5a7ca70fe4ff75f0.us-east-1.aws.found.io/app/kibana#/discover/Steve-Slow-Train-Analysis-(2080s-and-2083s)?_g=(refreshInterval:(display:Off,pause:!f,section:0,value:0),time:(from:'2017-09-17T08:35:41-0600',mode:absolute,to:'2017-09-17T11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205" t="str">
        <f>IF(AA56&lt;VLOOKUP(AG56,Variables!$AC$3:$AD$8,2,FALSE),"Y","N")</f>
        <v>N</v>
      </c>
      <c r="X56" s="205">
        <f t="shared" si="25"/>
        <v>1</v>
      </c>
      <c r="Y56" s="205">
        <f t="shared" si="26"/>
        <v>23.2973</v>
      </c>
      <c r="Z56" s="205">
        <f t="shared" si="27"/>
        <v>1.78E-2</v>
      </c>
      <c r="AA56" s="205">
        <f t="shared" si="9"/>
        <v>23.279499999999999</v>
      </c>
      <c r="AB56" s="54" t="e">
        <f>VLOOKUP(A56,Enforcements!$C$7:$K$11,8,0)</f>
        <v>#N/A</v>
      </c>
      <c r="AC56" s="51" t="e">
        <f>VLOOKUP(A56,Enforcements!$C$7:$E$11,3,0)</f>
        <v>#N/A</v>
      </c>
      <c r="AD56" s="180">
        <f t="shared" si="10"/>
        <v>142</v>
      </c>
      <c r="AE56" s="77" t="str">
        <f t="shared" si="11"/>
        <v>aws s3 cp s3://rtdc.mdm.uploadarchive.raw/RTDC4001/ "%USERPROFILE%\AppData\Local\Temp\OnboardLogs"\RTDC4001\2017-09-17 --exclude "*" --recursive --include "*20170917*" &amp; "%USERPROFILE%\Documents\GitHub\mrs-test-scripts\Headless Mode &amp; Sideloading\WalkAndUnGZ.bat" "%USERPROFILE%\AppData\Local\Temp\OnboardLogs"\RTDC4001\2017-09-17 &amp; aws s3 cp s3://rtdc.mdm.uploadarchive.raw/RTDC4001/ "%USERPROFILE%\AppData\Local\Temp\OnboardLogs"\RTDC4001\2017-09-18 --exclude "*" --recursive --include "*20170918*" &amp; "%USERPROFILE%\Documents\GitHub\mrs-test-scripts\Headless Mode &amp; Sideloading\WalkAndUnGZ.bat" "%USERPROFILE%\AppData\Local\Temp\OnboardLogs"\RTDC4001\2017-09-18</v>
      </c>
      <c r="AF56" s="74" t="str">
        <f t="shared" si="12"/>
        <v>"C:\Program Files (x86)\AstroGrep\AstroGrep.exe" /e /r /s /spath="%USERPROFILE%\AppData\Local\Temp\OnboardLogs" /stypes="app*4001*20170917*" /stext=" 16:.+((SYSTEM_STATE.+slice.+state.+changed )|(ment ac)|(multiple cpu faults)|(system.+state.+changed )|(\[timeout)|(PRM\|1\|D)|(kpr)|(kdp)|(train st.+moving)|(\|lc)|(penalty))"</v>
      </c>
      <c r="AG56" s="183" t="str">
        <f t="shared" si="13"/>
        <v>EC</v>
      </c>
      <c r="AH56" s="78" t="str">
        <f t="shared" si="18"/>
        <v>"%USERPROFILE%\Documents\GitHub\eaglep3\Utilities\RefineRTDCRunTimes.py" --tripid 142-17 --locoid 4001 --swversion DE.1.0.9.0 --startMP 204:232973 --initTime 2017-09-17T09:35:41 --startdatetime 2017-09-17T09:42:20 --delay 55 --endMP 204:178 --enddatetime 2017-09-17T10:21:09 --enforcementcount 0 &gt;&gt;C:\Users\stu\Documents\GitHub\eaglep3-reporting\EC\2017-09-17-refined-times.txt</v>
      </c>
      <c r="AI56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{"issue":{"subject":"","project_id":79,"tracker_id":40,"status_id":1,"priority_id":2,"assigned_to_id":338,"start_date":"2017-09-17","description":"","custom_fields":[{"id":1,"name":"Subdivision","value":"EC"},{"id":4,"name":"Milepost","value":"0.0178"},{"id":17,"name":"Train ID","value":"142-17"},{"id":16,"name":"Locomotive ID","value":"4001"},{"id":130,"name":"Impact","value":""},{"id":150,"name":"Time of Event (Mountain Time)","value":"10:21:09"},{"id":151,"name":"Denver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4001 --day 2017-09-17</v>
      </c>
      <c r="AN56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16:21:09"},{"id":29,"name":"Sharepoint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Message%20ID',Summary),filters:!(),index:'emp_*',interval:auto,query:"&amp;"(query_string:(analyze_wildcard:!t,query:'Message%5C+ID:(*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-09-17T08:35:41-0600',mode:absolute,to:'2017-09-17T11:21:09-0600'))&amp;_a=(columns:!('Message%20ID',Summary),filters:!(),index:'emp_*',interval:auto,query:(query_string:(analyze_wildcard:!t,query:'Message%5C+ID:(*)+AND+%22rtdc.l.rtdc.4001%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678</v>
      </c>
      <c r="B57" s="7">
        <v>4016</v>
      </c>
      <c r="C57" s="21" t="s">
        <v>197</v>
      </c>
      <c r="D57" s="21" t="s">
        <v>441</v>
      </c>
      <c r="E57" s="13">
        <v>42995.370196759257</v>
      </c>
      <c r="F57" s="13">
        <v>42995.3752662037</v>
      </c>
      <c r="G57" s="7">
        <v>45</v>
      </c>
      <c r="H57" s="21" t="s">
        <v>847</v>
      </c>
      <c r="I57" s="13">
        <v>42995.40042824074</v>
      </c>
      <c r="J57" s="7">
        <v>0</v>
      </c>
      <c r="K57" s="89" t="str">
        <f t="shared" si="0"/>
        <v>4015/4016</v>
      </c>
      <c r="L57" s="186" t="str">
        <f>VLOOKUP(A57,'Trips&amp;Operators'!$C$1:$G$99911,5,FALSE)</f>
        <v>MAELZER KURT</v>
      </c>
      <c r="M57" s="6">
        <f t="shared" si="1"/>
        <v>2.5162037039990537E-2</v>
      </c>
      <c r="N57" s="7">
        <f t="shared" si="28"/>
        <v>36.233333337586373</v>
      </c>
      <c r="O57" s="7"/>
      <c r="P57" s="7"/>
      <c r="Q57" s="22"/>
      <c r="R57" s="174"/>
      <c r="S57" s="222">
        <f t="shared" si="29"/>
        <v>1</v>
      </c>
      <c r="T57" s="174" t="str">
        <f t="shared" si="4"/>
        <v>NorthBound</v>
      </c>
      <c r="U57" s="19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7" t="str">
        <f t="shared" si="5"/>
        <v>https://d0f6bd738d7f1b3e5a7ca70fe4ff75f0.us-east-1.aws.found.io/app/kibana#/discover/Steve-Slow-Train-Analysis-(2080s-and-2083s)?_g=(refreshInterval:(display:Off,pause:!f,section:0,value:0),time:(from:'2017-09-17T07:53:05-0600',mode:absolute,to:'2017-09-17T10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205" t="str">
        <f>IF(AA57&lt;VLOOKUP(AG57,Variables!$AC$3:$AD$8,2,FALSE),"Y","N")</f>
        <v>N</v>
      </c>
      <c r="X57" s="205">
        <f t="shared" si="25"/>
        <v>1</v>
      </c>
      <c r="Y57" s="205">
        <f t="shared" si="26"/>
        <v>4.3700000000000003E-2</v>
      </c>
      <c r="Z57" s="205">
        <f t="shared" si="27"/>
        <v>23.333100000000002</v>
      </c>
      <c r="AA57" s="205">
        <f t="shared" si="9"/>
        <v>23.289400000000001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180">
        <f t="shared" si="10"/>
        <v>143</v>
      </c>
      <c r="AE57" s="77" t="str">
        <f t="shared" si="11"/>
        <v>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 &amp; 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</v>
      </c>
      <c r="AF57" s="74" t="str">
        <f t="shared" si="12"/>
        <v>"C:\Program Files (x86)\AstroGrep\AstroGrep.exe" /e /r /s /spath="%USERPROFILE%\AppData\Local\Temp\OnboardLogs" /stypes="app*4016*20170917*" /stext=" 15:.+((SYSTEM_STATE.+slice.+state.+changed )|(ment ac)|(multiple cpu faults)|(system.+state.+changed )|(\[timeout)|(PRM\|1\|D)|(kpr)|(kdp)|(train st.+moving)|(\|lc)|(penalty))"</v>
      </c>
      <c r="AG57" s="183" t="str">
        <f t="shared" si="13"/>
        <v>EC</v>
      </c>
      <c r="AH57" s="78" t="str">
        <f t="shared" si="18"/>
        <v>"%USERPROFILE%\Documents\GitHub\eaglep3\Utilities\RefineRTDCRunTimes.py" --tripid 143-17 --locoid 4016 --swversion DE.1.0.9.0 --startMP 204:437 --initTime 2017-09-17T08:53:05 --startdatetime 2017-09-17T09:00:23 --delay 45 --endMP 204:233331 --enddatetime 2017-09-17T09:36:37 --enforcementcount 0 &gt;&gt;C:\Users\stu\Documents\GitHub\eaglep3-reporting\EC\2017-09-17-refined-times.txt</v>
      </c>
      <c r="AI57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{"issue":{"subject":"","project_id":79,"tracker_id":40,"status_id":1,"priority_id":2,"assigned_to_id":338,"start_date":"2017-09-17","description":"","custom_fields":[{"id":1,"name":"Subdivision","value":"EC"},{"id":4,"name":"Milepost","value":"23.3331"},{"id":17,"name":"Train ID","value":"143-17"},{"id":16,"name":"Locomotive ID","value":"4016"},{"id":130,"name":"Impact","value":""},{"id":150,"name":"Time of Event (Mountain Time)","value":"09:36:37"},{"id":151,"name":"Denver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4016 --day 2017-09-17</v>
      </c>
      <c r="AN57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15:36:37"},{"id":29,"name":"Sharepoint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Message%20ID',Summary),filters:!(),index:'emp_*',interval:auto,query:"&amp;"(query_string:(analyze_wildcard:!t,query:'Message%5C+ID:(*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-09-17T07:53:05-0600',mode:absolute,to:'2017-09-17T10:36:37-0600'))&amp;_a=(columns:!('Message%20ID',Summary),filters:!(),index:'emp_*',interval:auto,query:(query_string:(analyze_wildcard:!t,query:'Message%5C+ID:(*)+AND+%22rtdc.l.rtdc.4016%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684</v>
      </c>
      <c r="B58" s="7">
        <v>4015</v>
      </c>
      <c r="C58" s="21" t="s">
        <v>197</v>
      </c>
      <c r="D58" s="21" t="s">
        <v>848</v>
      </c>
      <c r="E58" s="13">
        <v>42995.4062962963</v>
      </c>
      <c r="F58" s="13">
        <v>42995.414849537039</v>
      </c>
      <c r="G58" s="7">
        <v>60</v>
      </c>
      <c r="H58" s="21" t="s">
        <v>359</v>
      </c>
      <c r="I58" s="13">
        <v>42995.441018518519</v>
      </c>
      <c r="J58" s="7">
        <v>0</v>
      </c>
      <c r="K58" s="89" t="str">
        <f t="shared" si="0"/>
        <v>4015/4016</v>
      </c>
      <c r="L58" s="186" t="str">
        <f>VLOOKUP(A58,'Trips&amp;Operators'!$C$1:$G$99911,5,FALSE)</f>
        <v>MAELZER KURT</v>
      </c>
      <c r="M58" s="6">
        <f t="shared" si="1"/>
        <v>2.6168981479713693E-2</v>
      </c>
      <c r="N58" s="7">
        <f t="shared" si="28"/>
        <v>37.683333330787718</v>
      </c>
      <c r="O58" s="7"/>
      <c r="P58" s="7"/>
      <c r="Q58" s="22"/>
      <c r="R58" s="174"/>
      <c r="S58" s="222">
        <f t="shared" si="29"/>
        <v>1</v>
      </c>
      <c r="T58" s="174" t="str">
        <f t="shared" si="4"/>
        <v>Southbound</v>
      </c>
      <c r="U58" s="19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7" t="str">
        <f t="shared" si="5"/>
        <v>https://d0f6bd738d7f1b3e5a7ca70fe4ff75f0.us-east-1.aws.found.io/app/kibana#/discover/Steve-Slow-Train-Analysis-(2080s-and-2083s)?_g=(refreshInterval:(display:Off,pause:!f,section:0,value:0),time:(from:'2017-09-17T08:45:04-0600',mode:absolute,to:'2017-09-17T11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8" s="205" t="str">
        <f>IF(AA58&lt;VLOOKUP(AG58,Variables!$AC$3:$AD$8,2,FALSE),"Y","N")</f>
        <v>N</v>
      </c>
      <c r="X58" s="205">
        <f t="shared" si="25"/>
        <v>1</v>
      </c>
      <c r="Y58" s="205">
        <f t="shared" si="26"/>
        <v>23.3019</v>
      </c>
      <c r="Z58" s="205">
        <f t="shared" si="27"/>
        <v>1.52E-2</v>
      </c>
      <c r="AA58" s="205">
        <f t="shared" si="9"/>
        <v>23.2867</v>
      </c>
      <c r="AB58" s="54" t="e">
        <f>VLOOKUP(A58,Enforcements!$C$7:$K$11,8,0)</f>
        <v>#N/A</v>
      </c>
      <c r="AC58" s="51" t="e">
        <f>VLOOKUP(A58,Enforcements!$C$7:$E$11,3,0)</f>
        <v>#N/A</v>
      </c>
      <c r="AD58" s="180">
        <f t="shared" si="10"/>
        <v>144</v>
      </c>
      <c r="AE58" s="77" t="str">
        <f t="shared" si="11"/>
        <v>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 &amp; 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</v>
      </c>
      <c r="AF58" s="74" t="str">
        <f t="shared" si="12"/>
        <v>"C:\Program Files (x86)\AstroGrep\AstroGrep.exe" /e /r /s /spath="%USERPROFILE%\AppData\Local\Temp\OnboardLogs" /stypes="app*4015*20170917*" /stext=" 16:.+((SYSTEM_STATE.+slice.+state.+changed )|(ment ac)|(multiple cpu faults)|(system.+state.+changed )|(\[timeout)|(PRM\|1\|D)|(kpr)|(kdp)|(train st.+moving)|(\|lc)|(penalty))"</v>
      </c>
      <c r="AG58" s="183" t="str">
        <f t="shared" si="13"/>
        <v>EC</v>
      </c>
      <c r="AH58" s="78" t="str">
        <f t="shared" si="18"/>
        <v>"%USERPROFILE%\Documents\GitHub\eaglep3\Utilities\RefineRTDCRunTimes.py" --tripid 144-17 --locoid 4015 --swversion DE.1.0.9.0 --startMP 204:233019 --initTime 2017-09-17T09:45:04 --startdatetime 2017-09-17T09:57:23 --delay 60 --endMP 204:152 --enddatetime 2017-09-17T10:35:04 --enforcementcount 0 &gt;&gt;C:\Users\stu\Documents\GitHub\eaglep3-reporting\EC\2017-09-17-refined-times.txt</v>
      </c>
      <c r="AI58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{"issue":{"subject":"","project_id":79,"tracker_id":40,"status_id":1,"priority_id":2,"assigned_to_id":338,"start_date":"2017-09-17","description":"","custom_fields":[{"id":1,"name":"Subdivision","value":"EC"},{"id":4,"name":"Milepost","value":"0.0152"},{"id":17,"name":"Train ID","value":"144-17"},{"id":16,"name":"Locomotive ID","value":"4015"},{"id":130,"name":"Impact","value":""},{"id":150,"name":"Time of Event (Mountain Time)","value":"10:35:04"},{"id":151,"name":"Denver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4015 --day 2017-09-17</v>
      </c>
      <c r="AN58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16:35:04"},{"id":29,"name":"Sharepoint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Message%20ID',Summary),filters:!(),index:'emp_*',interval:auto,query:"&amp;"(query_string:(analyze_wildcard:!t,query:'Message%5C+ID:(*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-09-17T08:45:04-0600',mode:absolute,to:'2017-09-17T11:35:04-0600'))&amp;_a=(columns:!('Message%20ID',Summary),filters:!(),index:'emp_*',interval:auto,query:(query_string:(analyze_wildcard:!t,query:'Message%5C+ID:(*)+AND+%22rtdc.l.rtdc.4015%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680</v>
      </c>
      <c r="B59" s="7">
        <v>4066</v>
      </c>
      <c r="C59" s="21" t="s">
        <v>197</v>
      </c>
      <c r="D59" s="21" t="s">
        <v>427</v>
      </c>
      <c r="E59" s="13">
        <v>42995.383611111109</v>
      </c>
      <c r="F59" s="13">
        <v>42995.385567129626</v>
      </c>
      <c r="G59" s="7">
        <v>58</v>
      </c>
      <c r="H59" s="21" t="s">
        <v>849</v>
      </c>
      <c r="I59" s="13">
        <v>42995.40966435185</v>
      </c>
      <c r="J59" s="7">
        <v>0</v>
      </c>
      <c r="K59" s="89" t="str">
        <f t="shared" si="0"/>
        <v>4065/4066</v>
      </c>
      <c r="L59" s="186" t="str">
        <f>VLOOKUP(A59,'Trips&amp;Operators'!$C$1:$G$99911,5,FALSE)</f>
        <v>LAMAR NEKESHA</v>
      </c>
      <c r="M59" s="6">
        <f t="shared" si="1"/>
        <v>2.4097222223645076E-2</v>
      </c>
      <c r="N59" s="7">
        <f t="shared" si="28"/>
        <v>34.70000000204891</v>
      </c>
      <c r="O59" s="7"/>
      <c r="P59" s="7"/>
      <c r="Q59" s="22"/>
      <c r="R59" s="174"/>
      <c r="S59" s="222">
        <f t="shared" si="29"/>
        <v>1</v>
      </c>
      <c r="T59" s="174" t="str">
        <f t="shared" si="4"/>
        <v>NorthBound</v>
      </c>
      <c r="U59" s="19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7" t="str">
        <f t="shared" si="5"/>
        <v>https://d0f6bd738d7f1b3e5a7ca70fe4ff75f0.us-east-1.aws.found.io/app/kibana#/discover/Steve-Slow-Train-Analysis-(2080s-and-2083s)?_g=(refreshInterval:(display:Off,pause:!f,section:0,value:0),time:(from:'2017-09-17T08:12:24-0600',mode:absolute,to:'2017-09-17T10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9" s="205" t="str">
        <f>IF(AA59&lt;VLOOKUP(AG59,Variables!$AC$3:$AD$8,2,FALSE),"Y","N")</f>
        <v>N</v>
      </c>
      <c r="X59" s="205">
        <f t="shared" si="25"/>
        <v>1</v>
      </c>
      <c r="Y59" s="205">
        <f t="shared" si="26"/>
        <v>4.7100000000000003E-2</v>
      </c>
      <c r="Z59" s="205">
        <f t="shared" si="27"/>
        <v>23.3309</v>
      </c>
      <c r="AA59" s="205">
        <f t="shared" si="9"/>
        <v>23.283799999999999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180">
        <f t="shared" si="10"/>
        <v>145</v>
      </c>
      <c r="AE59" s="77" t="str">
        <f t="shared" si="11"/>
        <v>aws s3 cp s3://rtdc.mdm.uploadarchive.raw/RTDC4066/ "%USERPROFILE%\AppData\Local\Temp\OnboardLogs"\RTDC4066\2017-09-17 --exclude "*" --recursive --include "*20170917*" &amp; "%USERPROFILE%\Documents\GitHub\mrs-test-scripts\Headless Mode &amp; Sideloading\WalkAndUnGZ.bat" "%USERPROFILE%\AppData\Local\Temp\OnboardLogs"\RTDC4066\2017-09-17 &amp; 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</v>
      </c>
      <c r="AF59" s="74" t="str">
        <f t="shared" si="12"/>
        <v>"C:\Program Files (x86)\AstroGrep\AstroGrep.exe" /e /r /s /spath="%USERPROFILE%\AppData\Local\Temp\OnboardLogs" /stypes="app*4066*20170917*" /stext=" 15:.+((SYSTEM_STATE.+slice.+state.+changed )|(ment ac)|(multiple cpu faults)|(system.+state.+changed )|(\[timeout)|(PRM\|1\|D)|(kpr)|(kdp)|(train st.+moving)|(\|lc)|(penalty))"</v>
      </c>
      <c r="AG59" s="183" t="str">
        <f t="shared" si="13"/>
        <v>EC</v>
      </c>
      <c r="AH59" s="78" t="str">
        <f t="shared" si="18"/>
        <v>"%USERPROFILE%\Documents\GitHub\eaglep3\Utilities\RefineRTDCRunTimes.py" --tripid 145-17 --locoid 4066 --swversion DE.1.0.9.0 --startMP 204:471 --initTime 2017-09-17T09:12:24 --startdatetime 2017-09-17T09:15:13 --delay 58 --endMP 204:233309 --enddatetime 2017-09-17T09:49:55 --enforcementcount 0 &gt;&gt;C:\Users\stu\Documents\GitHub\eaglep3-reporting\EC\2017-09-17-refined-times.txt</v>
      </c>
      <c r="AI59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{"issue":{"subject":"","project_id":79,"tracker_id":40,"status_id":1,"priority_id":2,"assigned_to_id":338,"start_date":"2017-09-17","description":"","custom_fields":[{"id":1,"name":"Subdivision","value":"EC"},{"id":4,"name":"Milepost","value":"23.3309"},{"id":17,"name":"Train ID","value":"145-17"},{"id":16,"name":"Locomotive ID","value":"4066"},{"id":130,"name":"Impact","value":""},{"id":150,"name":"Time of Event (Mountain Time)","value":"09:49:55"},{"id":151,"name":"Denver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4066 --day 2017-09-17</v>
      </c>
      <c r="AN59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15:49:55"},{"id":29,"name":"Sharepoint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Message%20ID',Summary),filters:!(),index:'emp_*',interval:auto,query:"&amp;"(query_string:(analyze_wildcard:!t,query:'Message%5C+ID:(*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-09-17T08:12:24-0600',mode:absolute,to:'2017-09-17T10:49:55-0600'))&amp;_a=(columns:!('Message%20ID',Summary),filters:!(),index:'emp_*',interval:auto,query:(query_string:(analyze_wildcard:!t,query:'Message%5C+ID:(*)+AND+%22rtdc.l.rtdc.4066%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687</v>
      </c>
      <c r="B60" s="7">
        <v>4065</v>
      </c>
      <c r="C60" s="21" t="s">
        <v>197</v>
      </c>
      <c r="D60" s="21" t="s">
        <v>396</v>
      </c>
      <c r="E60" s="13">
        <v>42995.421516203707</v>
      </c>
      <c r="F60" s="13">
        <v>42995.42560185185</v>
      </c>
      <c r="G60" s="7">
        <v>57</v>
      </c>
      <c r="H60" s="21" t="s">
        <v>382</v>
      </c>
      <c r="I60" s="13">
        <v>42995.451851851853</v>
      </c>
      <c r="J60" s="7">
        <v>0</v>
      </c>
      <c r="K60" s="89" t="str">
        <f t="shared" si="0"/>
        <v>4065/4066</v>
      </c>
      <c r="L60" s="186" t="str">
        <f>VLOOKUP(A60,'Trips&amp;Operators'!$C$1:$G$99911,5,FALSE)</f>
        <v>LAMAR NEKESHA</v>
      </c>
      <c r="M60" s="6">
        <f t="shared" si="1"/>
        <v>2.6250000002619345E-2</v>
      </c>
      <c r="N60" s="7">
        <f t="shared" si="28"/>
        <v>37.800000003771856</v>
      </c>
      <c r="O60" s="7"/>
      <c r="P60" s="7"/>
      <c r="Q60" s="22"/>
      <c r="R60" s="174"/>
      <c r="S60" s="222">
        <f t="shared" si="29"/>
        <v>1</v>
      </c>
      <c r="T60" s="174" t="str">
        <f t="shared" si="4"/>
        <v>Southbound</v>
      </c>
      <c r="U60" s="19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7" t="str">
        <f t="shared" si="5"/>
        <v>https://d0f6bd738d7f1b3e5a7ca70fe4ff75f0.us-east-1.aws.found.io/app/kibana#/discover/Steve-Slow-Train-Analysis-(2080s-and-2083s)?_g=(refreshInterval:(display:Off,pause:!f,section:0,value:0),time:(from:'2017-09-17T09:06:59-0600',mode:absolute,to:'2017-09-17T11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0" s="205" t="str">
        <f>IF(AA60&lt;VLOOKUP(AG60,Variables!$AC$3:$AD$8,2,FALSE),"Y","N")</f>
        <v>N</v>
      </c>
      <c r="X60" s="205">
        <f t="shared" si="25"/>
        <v>1</v>
      </c>
      <c r="Y60" s="205">
        <f t="shared" si="26"/>
        <v>23.3</v>
      </c>
      <c r="Z60" s="205">
        <f t="shared" si="27"/>
        <v>1.5800000000000002E-2</v>
      </c>
      <c r="AA60" s="205">
        <f t="shared" si="9"/>
        <v>23.284200000000002</v>
      </c>
      <c r="AB60" s="54" t="e">
        <f>VLOOKUP(A60,Enforcements!$C$7:$K$11,8,0)</f>
        <v>#N/A</v>
      </c>
      <c r="AC60" s="51" t="e">
        <f>VLOOKUP(A60,Enforcements!$C$7:$E$11,3,0)</f>
        <v>#N/A</v>
      </c>
      <c r="AD60" s="180">
        <f t="shared" si="10"/>
        <v>146</v>
      </c>
      <c r="AE60" s="77" t="str">
        <f t="shared" si="11"/>
        <v>aws s3 cp s3://rtdc.mdm.uploadarchive.raw/RTDC4065/ "%USERPROFILE%\AppData\Local\Temp\OnboardLogs"\RTDC4065\2017-09-17 --exclude "*" --recursive --include "*20170917*" &amp; "%USERPROFILE%\Documents\GitHub\mrs-test-scripts\Headless Mode &amp; Sideloading\WalkAndUnGZ.bat" "%USERPROFILE%\AppData\Local\Temp\OnboardLogs"\RTDC4065\2017-09-17 &amp; 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</v>
      </c>
      <c r="AF60" s="74" t="str">
        <f t="shared" si="12"/>
        <v>"C:\Program Files (x86)\AstroGrep\AstroGrep.exe" /e /r /s /spath="%USERPROFILE%\AppData\Local\Temp\OnboardLogs" /stypes="app*4065*20170917*" /stext=" 16:.+((SYSTEM_STATE.+slice.+state.+changed )|(ment ac)|(multiple cpu faults)|(system.+state.+changed )|(\[timeout)|(PRM\|1\|D)|(kpr)|(kdp)|(train st.+moving)|(\|lc)|(penalty))"</v>
      </c>
      <c r="AG60" s="183" t="str">
        <f t="shared" si="13"/>
        <v>EC</v>
      </c>
      <c r="AH60" s="78" t="str">
        <f t="shared" si="18"/>
        <v>"%USERPROFILE%\Documents\GitHub\eaglep3\Utilities\RefineRTDCRunTimes.py" --tripid 146-17 --locoid 4065 --swversion DE.1.0.9.0 --startMP 204:233000 --initTime 2017-09-17T10:06:59 --startdatetime 2017-09-17T10:12:52 --delay 57 --endMP 204:158 --enddatetime 2017-09-17T10:50:40 --enforcementcount 0 &gt;&gt;C:\Users\stu\Documents\GitHub\eaglep3-reporting\EC\2017-09-17-refined-times.txt</v>
      </c>
      <c r="AI60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{"issue":{"subject":"","project_id":79,"tracker_id":40,"status_id":1,"priority_id":2,"assigned_to_id":338,"start_date":"2017-09-17","description":"","custom_fields":[{"id":1,"name":"Subdivision","value":"EC"},{"id":4,"name":"Milepost","value":"0.0158"},{"id":17,"name":"Train ID","value":"146-17"},{"id":16,"name":"Locomotive ID","value":"4065"},{"id":130,"name":"Impact","value":""},{"id":150,"name":"Time of Event (Mountain Time)","value":"10:50:40"},{"id":151,"name":"Denver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4065 --day 2017-09-17</v>
      </c>
      <c r="AN60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16:50:40"},{"id":29,"name":"Sharepoint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Message%20ID',Summary),filters:!(),index:'emp_*',interval:auto,query:"&amp;"(query_string:(analyze_wildcard:!t,query:'Message%5C+ID:(*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-09-17T09:06:59-0600',mode:absolute,to:'2017-09-17T11:50:40-0600'))&amp;_a=(columns:!('Message%20ID',Summary),filters:!(),index:'emp_*',interval:auto,query:(query_string:(analyze_wildcard:!t,query:'Message%5C+ID:(*)+AND+%22rtdc.l.rtdc.4065%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681</v>
      </c>
      <c r="B61" s="7">
        <v>4028</v>
      </c>
      <c r="C61" s="21" t="s">
        <v>197</v>
      </c>
      <c r="D61" s="21" t="s">
        <v>371</v>
      </c>
      <c r="E61" s="13">
        <v>42995.392731481479</v>
      </c>
      <c r="F61" s="13">
        <v>42995.395995370367</v>
      </c>
      <c r="G61" s="7">
        <v>62</v>
      </c>
      <c r="H61" s="21" t="s">
        <v>835</v>
      </c>
      <c r="I61" s="13">
        <v>42995.422743055555</v>
      </c>
      <c r="J61" s="7">
        <v>0</v>
      </c>
      <c r="K61" s="89" t="str">
        <f t="shared" si="0"/>
        <v>4027/4028</v>
      </c>
      <c r="L61" s="186" t="str">
        <f>VLOOKUP(A61,'Trips&amp;Operators'!$C$1:$G$99911,5,FALSE)</f>
        <v>DAVIS WENDY</v>
      </c>
      <c r="M61" s="6">
        <f t="shared" si="1"/>
        <v>2.6747685187729076E-2</v>
      </c>
      <c r="N61" s="7">
        <f t="shared" si="28"/>
        <v>38.516666670329869</v>
      </c>
      <c r="O61" s="7"/>
      <c r="P61" s="7"/>
      <c r="Q61" s="22"/>
      <c r="R61" s="174"/>
      <c r="S61" s="222">
        <f t="shared" si="29"/>
        <v>1</v>
      </c>
      <c r="T61" s="174" t="str">
        <f t="shared" si="4"/>
        <v>NorthBound</v>
      </c>
      <c r="U61" s="19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7" t="str">
        <f t="shared" si="5"/>
        <v>https://d0f6bd738d7f1b3e5a7ca70fe4ff75f0.us-east-1.aws.found.io/app/kibana#/discover/Steve-Slow-Train-Analysis-(2080s-and-2083s)?_g=(refreshInterval:(display:Off,pause:!f,section:0,value:0),time:(from:'2017-09-17T08:25:32-0600',mode:absolute,to:'2017-09-17T11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1" s="205" t="str">
        <f>IF(AA61&lt;VLOOKUP(AG61,Variables!$AC$3:$AD$8,2,FALSE),"Y","N")</f>
        <v>N</v>
      </c>
      <c r="X61" s="205">
        <f t="shared" si="25"/>
        <v>1</v>
      </c>
      <c r="Y61" s="205">
        <f t="shared" si="26"/>
        <v>4.6699999999999998E-2</v>
      </c>
      <c r="Z61" s="205">
        <f t="shared" si="27"/>
        <v>23.331</v>
      </c>
      <c r="AA61" s="205">
        <f t="shared" si="9"/>
        <v>23.284299999999998</v>
      </c>
      <c r="AB61" s="54" t="e">
        <f>VLOOKUP(A61,Enforcements!$C$7:$K$11,8,0)</f>
        <v>#N/A</v>
      </c>
      <c r="AC61" s="51" t="e">
        <f>VLOOKUP(A61,Enforcements!$C$7:$E$11,3,0)</f>
        <v>#N/A</v>
      </c>
      <c r="AD61" s="180">
        <f t="shared" si="10"/>
        <v>147</v>
      </c>
      <c r="AE61" s="77" t="str">
        <f t="shared" si="11"/>
        <v>aws s3 cp s3://rtdc.mdm.uploadarchive.raw/RTDC4028/ "%USERPROFILE%\AppData\Local\Temp\OnboardLogs"\RTDC4028\2017-09-17 --exclude "*" --recursive --include "*20170917*" &amp; "%USERPROFILE%\Documents\GitHub\mrs-test-scripts\Headless Mode &amp; Sideloading\WalkAndUnGZ.bat" "%USERPROFILE%\AppData\Local\Temp\OnboardLogs"\RTDC4028\2017-09-17 &amp; 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</v>
      </c>
      <c r="AF61" s="74" t="str">
        <f t="shared" si="12"/>
        <v>"C:\Program Files (x86)\AstroGrep\AstroGrep.exe" /e /r /s /spath="%USERPROFILE%\AppData\Local\Temp\OnboardLogs" /stypes="app*4028*20170917*" /stext=" 16:.+((SYSTEM_STATE.+slice.+state.+changed )|(ment ac)|(multiple cpu faults)|(system.+state.+changed )|(\[timeout)|(PRM\|1\|D)|(kpr)|(kdp)|(train st.+moving)|(\|lc)|(penalty))"</v>
      </c>
      <c r="AG61" s="183" t="str">
        <f t="shared" si="13"/>
        <v>EC</v>
      </c>
      <c r="AH61" s="78" t="str">
        <f t="shared" si="18"/>
        <v>"%USERPROFILE%\Documents\GitHub\eaglep3\Utilities\RefineRTDCRunTimes.py" --tripid 147-17 --locoid 4028 --swversion DE.1.0.9.0 --startMP 204:467 --initTime 2017-09-17T09:25:32 --startdatetime 2017-09-17T09:30:14 --delay 62 --endMP 204:233310 --enddatetime 2017-09-17T10:08:45 --enforcementcount 0 &gt;&gt;C:\Users\stu\Documents\GitHub\eaglep3-reporting\EC\2017-09-17-refined-times.txt</v>
      </c>
      <c r="AI61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{"issue":{"subject":"","project_id":79,"tracker_id":40,"status_id":1,"priority_id":2,"assigned_to_id":338,"start_date":"2017-09-17","description":"","custom_fields":[{"id":1,"name":"Subdivision","value":"EC"},{"id":4,"name":"Milepost","value":"23.331"},{"id":17,"name":"Train ID","value":"147-17"},{"id":16,"name":"Locomotive ID","value":"4028"},{"id":130,"name":"Impact","value":""},{"id":150,"name":"Time of Event (Mountain Time)","value":"10:08:45"},{"id":151,"name":"Denver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4028 --day 2017-09-17</v>
      </c>
      <c r="AN61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16:08:45"},{"id":29,"name":"Sharepoint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Message%20ID',Summary),filters:!(),index:'emp_*',interval:auto,query:"&amp;"(query_string:(analyze_wildcard:!t,query:'Message%5C+ID:(*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-09-17T08:25:32-0600',mode:absolute,to:'2017-09-17T11:08:45-0600'))&amp;_a=(columns:!('Message%20ID',Summary),filters:!(),index:'emp_*',interval:auto,query:(query_string:(analyze_wildcard:!t,query:'Message%5C+ID:(*)+AND+%22rtdc.l.rtdc.4028%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689</v>
      </c>
      <c r="B62" s="7">
        <v>4027</v>
      </c>
      <c r="C62" s="21" t="s">
        <v>197</v>
      </c>
      <c r="D62" s="21" t="s">
        <v>850</v>
      </c>
      <c r="E62" s="13">
        <v>42995.428865740738</v>
      </c>
      <c r="F62" s="13">
        <v>42995.435601851852</v>
      </c>
      <c r="G62" s="7">
        <v>60</v>
      </c>
      <c r="H62" s="21" t="s">
        <v>370</v>
      </c>
      <c r="I62" s="13">
        <v>42995.462442129632</v>
      </c>
      <c r="J62" s="7">
        <v>0</v>
      </c>
      <c r="K62" s="89" t="str">
        <f t="shared" si="0"/>
        <v>4027/4028</v>
      </c>
      <c r="L62" s="186" t="str">
        <f>VLOOKUP(A62,'Trips&amp;Operators'!$C$1:$G$99911,5,FALSE)</f>
        <v>DAVIS WENDY</v>
      </c>
      <c r="M62" s="6">
        <f t="shared" si="1"/>
        <v>2.6840277780138422E-2</v>
      </c>
      <c r="N62" s="7">
        <f t="shared" si="28"/>
        <v>38.650000003399327</v>
      </c>
      <c r="O62" s="7"/>
      <c r="P62" s="7"/>
      <c r="Q62" s="22"/>
      <c r="R62" s="174"/>
      <c r="S62" s="222">
        <f t="shared" si="29"/>
        <v>1</v>
      </c>
      <c r="T62" s="174" t="str">
        <f t="shared" si="4"/>
        <v>Southbound</v>
      </c>
      <c r="U62" s="19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7" t="str">
        <f t="shared" si="5"/>
        <v>https://d0f6bd738d7f1b3e5a7ca70fe4ff75f0.us-east-1.aws.found.io/app/kibana#/discover/Steve-Slow-Train-Analysis-(2080s-and-2083s)?_g=(refreshInterval:(display:Off,pause:!f,section:0,value:0),time:(from:'2017-09-17T09:17:34-0600',mode:absolute,to:'2017-09-17T12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2" s="205" t="str">
        <f>IF(AA62&lt;VLOOKUP(AG62,Variables!$AC$3:$AD$8,2,FALSE),"Y","N")</f>
        <v>N</v>
      </c>
      <c r="X62" s="205">
        <f t="shared" si="25"/>
        <v>1</v>
      </c>
      <c r="Y62" s="205">
        <f t="shared" si="26"/>
        <v>23.301100000000002</v>
      </c>
      <c r="Z62" s="205">
        <f t="shared" si="27"/>
        <v>1.5599999999999999E-2</v>
      </c>
      <c r="AA62" s="205">
        <f t="shared" si="9"/>
        <v>23.285500000000003</v>
      </c>
      <c r="AB62" s="54" t="e">
        <f>VLOOKUP(A62,Enforcements!$C$7:$K$11,8,0)</f>
        <v>#N/A</v>
      </c>
      <c r="AC62" s="51" t="e">
        <f>VLOOKUP(A62,Enforcements!$C$7:$E$11,3,0)</f>
        <v>#N/A</v>
      </c>
      <c r="AD62" s="180">
        <f t="shared" si="10"/>
        <v>148</v>
      </c>
      <c r="AE62" s="77" t="str">
        <f t="shared" si="11"/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AF62" s="74" t="str">
        <f t="shared" si="12"/>
        <v>"C:\Program Files (x86)\AstroGrep\AstroGrep.exe" /e /r /s /spath="%USERPROFILE%\AppData\Local\Temp\OnboardLogs" /stypes="app*4027*20170917*" /stext=" 17:.+((SYSTEM_STATE.+slice.+state.+changed )|(ment ac)|(multiple cpu faults)|(system.+state.+changed )|(\[timeout)|(PRM\|1\|D)|(kpr)|(kdp)|(train st.+moving)|(\|lc)|(penalty))"</v>
      </c>
      <c r="AG62" s="183" t="str">
        <f t="shared" si="13"/>
        <v>EC</v>
      </c>
      <c r="AH62" s="78" t="str">
        <f t="shared" si="18"/>
        <v>"%USERPROFILE%\Documents\GitHub\eaglep3\Utilities\RefineRTDCRunTimes.py" --tripid 148-17 --locoid 4027 --swversion DE.1.0.9.0 --startMP 204:233011 --initTime 2017-09-17T10:17:34 --startdatetime 2017-09-17T10:27:16 --delay 60 --endMP 204:156 --enddatetime 2017-09-17T11:05:55 --enforcementcount 0 &gt;&gt;C:\Users\stu\Documents\GitHub\eaglep3-reporting\EC\2017-09-17-refined-times.txt</v>
      </c>
      <c r="AI62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{"issue":{"subject":"","project_id":79,"tracker_id":40,"status_id":1,"priority_id":2,"assigned_to_id":338,"start_date":"2017-09-17","description":"","custom_fields":[{"id":1,"name":"Subdivision","value":"EC"},{"id":4,"name":"Milepost","value":"0.0156"},{"id":17,"name":"Train ID","value":"148-17"},{"id":16,"name":"Locomotive ID","value":"4027"},{"id":130,"name":"Impact","value":""},{"id":150,"name":"Time of Event (Mountain Time)","value":"11:05:55"},{"id":151,"name":"Denver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4027 --day 2017-09-17</v>
      </c>
      <c r="AN62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17:05:55"},{"id":29,"name":"Sharepoint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Message%20ID',Summary),filters:!(),index:'emp_*',interval:auto,query:"&amp;"(query_string:(analyze_wildcard:!t,query:'Message%5C+ID:(*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-09-17T09:17:34-0600',mode:absolute,to:'2017-09-17T12:05:55-0600'))&amp;_a=(columns:!('Message%20ID',Summary),filters:!(),index:'emp_*',interval:auto,query:(query_string:(analyze_wildcard:!t,query:'Message%5C+ID:(*)+AND+%22rtdc.l.rtdc.4027%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683</v>
      </c>
      <c r="B63" s="7">
        <v>4056</v>
      </c>
      <c r="C63" s="21" t="s">
        <v>197</v>
      </c>
      <c r="D63" s="21" t="s">
        <v>358</v>
      </c>
      <c r="E63" s="13">
        <v>42995.403749999998</v>
      </c>
      <c r="F63" s="13">
        <v>42995.406412037039</v>
      </c>
      <c r="G63" s="7">
        <v>48</v>
      </c>
      <c r="H63" s="21" t="s">
        <v>851</v>
      </c>
      <c r="I63" s="13">
        <v>42995.429965277777</v>
      </c>
      <c r="J63" s="7">
        <v>0</v>
      </c>
      <c r="K63" s="89" t="str">
        <f t="shared" si="0"/>
        <v>4055/4056</v>
      </c>
      <c r="L63" s="186" t="str">
        <f>VLOOKUP(A63,'Trips&amp;Operators'!$C$1:$G$99911,5,FALSE)</f>
        <v>LALONDE GREGORY</v>
      </c>
      <c r="M63" s="6">
        <f t="shared" si="1"/>
        <v>2.3553240738692693E-2</v>
      </c>
      <c r="N63" s="7">
        <f t="shared" si="28"/>
        <v>33.916666663717479</v>
      </c>
      <c r="O63" s="7"/>
      <c r="P63" s="7"/>
      <c r="Q63" s="22"/>
      <c r="R63" s="174"/>
      <c r="S63" s="222">
        <f t="shared" si="29"/>
        <v>1</v>
      </c>
      <c r="T63" s="174" t="str">
        <f t="shared" si="4"/>
        <v>NorthBound</v>
      </c>
      <c r="U63" s="19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7" t="str">
        <f t="shared" si="5"/>
        <v>https://d0f6bd738d7f1b3e5a7ca70fe4ff75f0.us-east-1.aws.found.io/app/kibana#/discover/Steve-Slow-Train-Analysis-(2080s-and-2083s)?_g=(refreshInterval:(display:Off,pause:!f,section:0,value:0),time:(from:'2017-09-17T08:41:24-0600',mode:absolute,to:'2017-09-17T11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3" s="205" t="str">
        <f>IF(AA63&lt;VLOOKUP(AG63,Variables!$AC$3:$AD$8,2,FALSE),"Y","N")</f>
        <v>N</v>
      </c>
      <c r="X63" s="205">
        <f t="shared" si="25"/>
        <v>1</v>
      </c>
      <c r="Y63" s="205">
        <f t="shared" si="26"/>
        <v>4.58E-2</v>
      </c>
      <c r="Z63" s="205">
        <f t="shared" si="27"/>
        <v>23.332999999999998</v>
      </c>
      <c r="AA63" s="205">
        <f t="shared" si="9"/>
        <v>23.287199999999999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180">
        <f t="shared" si="10"/>
        <v>149</v>
      </c>
      <c r="AE63" s="77" t="str">
        <f t="shared" si="11"/>
        <v>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 &amp; aws s3 cp s3://rtdc.mdm.uploadarchive.raw/RTDC4056/ "%USERPROFILE%\AppData\Local\Temp\OnboardLogs"\RTDC4056\2017-09-18 --exclude "*" --recursive --include "*20170918*" &amp; "%USERPROFILE%\Documents\GitHub\mrs-test-scripts\Headless Mode &amp; Sideloading\WalkAndUnGZ.bat" "%USERPROFILE%\AppData\Local\Temp\OnboardLogs"\RTDC4056\2017-09-18</v>
      </c>
      <c r="AF63" s="74" t="str">
        <f t="shared" si="12"/>
        <v>"C:\Program Files (x86)\AstroGrep\AstroGrep.exe" /e /r /s /spath="%USERPROFILE%\AppData\Local\Temp\OnboardLogs" /stypes="app*4056*20170917*" /stext=" 16:.+((SYSTEM_STATE.+slice.+state.+changed )|(ment ac)|(multiple cpu faults)|(system.+state.+changed )|(\[timeout)|(PRM\|1\|D)|(kpr)|(kdp)|(train st.+moving)|(\|lc)|(penalty))"</v>
      </c>
      <c r="AG63" s="183" t="str">
        <f t="shared" si="13"/>
        <v>EC</v>
      </c>
      <c r="AH63" s="78" t="str">
        <f t="shared" si="18"/>
        <v>"%USERPROFILE%\Documents\GitHub\eaglep3\Utilities\RefineRTDCRunTimes.py" --tripid 149-17 --locoid 4056 --swversion DE.1.0.9.0 --startMP 204:458 --initTime 2017-09-17T09:41:24 --startdatetime 2017-09-17T09:45:14 --delay 48 --endMP 204:233330 --enddatetime 2017-09-17T10:19:09 --enforcementcount 0 &gt;&gt;C:\Users\stu\Documents\GitHub\eaglep3-reporting\EC\2017-09-17-refined-times.txt</v>
      </c>
      <c r="AI63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{"issue":{"subject":"","project_id":79,"tracker_id":40,"status_id":1,"priority_id":2,"assigned_to_id":338,"start_date":"2017-09-17","description":"","custom_fields":[{"id":1,"name":"Subdivision","value":"EC"},{"id":4,"name":"Milepost","value":"23.333"},{"id":17,"name":"Train ID","value":"149-17"},{"id":16,"name":"Locomotive ID","value":"4056"},{"id":130,"name":"Impact","value":""},{"id":150,"name":"Time of Event (Mountain Time)","value":"10:19:09"},{"id":151,"name":"Denver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4056 --day 2017-09-17</v>
      </c>
      <c r="AN63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16:19:09"},{"id":29,"name":"Sharepoint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Message%20ID',Summary),filters:!(),index:'emp_*',interval:auto,query:"&amp;"(query_string:(analyze_wildcard:!t,query:'Message%5C+ID:(*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-09-17T08:41:24-0600',mode:absolute,to:'2017-09-17T11:19:09-0600'))&amp;_a=(columns:!('Message%20ID',Summary),filters:!(),index:'emp_*',interval:auto,query:(query_string:(analyze_wildcard:!t,query:'Message%5C+ID:(*)+AND+%22rtdc.l.rtdc.4056%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692</v>
      </c>
      <c r="B64" s="7">
        <v>4055</v>
      </c>
      <c r="C64" s="21" t="s">
        <v>197</v>
      </c>
      <c r="D64" s="21" t="s">
        <v>396</v>
      </c>
      <c r="E64" s="13">
        <v>42995.440740740742</v>
      </c>
      <c r="F64" s="13">
        <v>42995.44604166667</v>
      </c>
      <c r="G64" s="7">
        <v>70</v>
      </c>
      <c r="H64" s="21" t="s">
        <v>416</v>
      </c>
      <c r="I64" s="13">
        <v>42995.471759259257</v>
      </c>
      <c r="J64" s="7">
        <v>0</v>
      </c>
      <c r="K64" s="89" t="str">
        <f t="shared" si="0"/>
        <v>4055/4056</v>
      </c>
      <c r="L64" s="186" t="str">
        <f>VLOOKUP(A64,'Trips&amp;Operators'!$C$1:$G$99911,5,FALSE)</f>
        <v>LALONDE GREGORY</v>
      </c>
      <c r="M64" s="6">
        <f t="shared" si="1"/>
        <v>2.5717592587170657E-2</v>
      </c>
      <c r="N64" s="7">
        <f t="shared" si="28"/>
        <v>37.033333325525746</v>
      </c>
      <c r="O64" s="7"/>
      <c r="P64" s="7"/>
      <c r="Q64" s="22"/>
      <c r="R64" s="174"/>
      <c r="S64" s="222">
        <f t="shared" si="29"/>
        <v>1</v>
      </c>
      <c r="T64" s="174" t="str">
        <f t="shared" si="4"/>
        <v>Southbound</v>
      </c>
      <c r="U64" s="19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7" t="str">
        <f t="shared" si="5"/>
        <v>https://d0f6bd738d7f1b3e5a7ca70fe4ff75f0.us-east-1.aws.found.io/app/kibana#/discover/Steve-Slow-Train-Analysis-(2080s-and-2083s)?_g=(refreshInterval:(display:Off,pause:!f,section:0,value:0),time:(from:'2017-09-17T09:34:40-0600',mode:absolute,to:'2017-09-17T12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4" s="205" t="str">
        <f>IF(AA64&lt;VLOOKUP(AG64,Variables!$AC$3:$AD$8,2,FALSE),"Y","N")</f>
        <v>N</v>
      </c>
      <c r="X64" s="205">
        <f t="shared" si="25"/>
        <v>1</v>
      </c>
      <c r="Y64" s="205">
        <f t="shared" si="26"/>
        <v>23.3</v>
      </c>
      <c r="Z64" s="205">
        <f t="shared" si="27"/>
        <v>1.6299999999999999E-2</v>
      </c>
      <c r="AA64" s="205">
        <f t="shared" si="9"/>
        <v>23.2837</v>
      </c>
      <c r="AB64" s="54" t="e">
        <f>VLOOKUP(A64,Enforcements!$C$7:$K$11,8,0)</f>
        <v>#N/A</v>
      </c>
      <c r="AC64" s="51" t="e">
        <f>VLOOKUP(A64,Enforcements!$C$7:$E$11,3,0)</f>
        <v>#N/A</v>
      </c>
      <c r="AD64" s="180">
        <f t="shared" si="10"/>
        <v>150</v>
      </c>
      <c r="AE64" s="77" t="str">
        <f t="shared" si="11"/>
        <v>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 &amp; aws s3 cp s3://rtdc.mdm.uploadarchive.raw/RTDC4055/ "%USERPROFILE%\AppData\Local\Temp\OnboardLogs"\RTDC4055\2017-09-18 --exclude "*" --recursive --include "*20170918*" &amp; "%USERPROFILE%\Documents\GitHub\mrs-test-scripts\Headless Mode &amp; Sideloading\WalkAndUnGZ.bat" "%USERPROFILE%\AppData\Local\Temp\OnboardLogs"\RTDC4055\2017-09-18</v>
      </c>
      <c r="AF64" s="74" t="str">
        <f t="shared" si="12"/>
        <v>"C:\Program Files (x86)\AstroGrep\AstroGrep.exe" /e /r /s /spath="%USERPROFILE%\AppData\Local\Temp\OnboardLogs" /stypes="app*4055*20170917*" /stext=" 17:.+((SYSTEM_STATE.+slice.+state.+changed )|(ment ac)|(multiple cpu faults)|(system.+state.+changed )|(\[timeout)|(PRM\|1\|D)|(kpr)|(kdp)|(train st.+moving)|(\|lc)|(penalty))"</v>
      </c>
      <c r="AG64" s="183" t="str">
        <f t="shared" si="13"/>
        <v>EC</v>
      </c>
      <c r="AH64" s="78" t="str">
        <f t="shared" si="18"/>
        <v>"%USERPROFILE%\Documents\GitHub\eaglep3\Utilities\RefineRTDCRunTimes.py" --tripid 150-17 --locoid 4055 --swversion DE.1.0.9.0 --startMP 204:233000 --initTime 2017-09-17T10:34:40 --startdatetime 2017-09-17T10:42:18 --delay 70 --endMP 204:163 --enddatetime 2017-09-17T11:19:20 --enforcementcount 0 &gt;&gt;C:\Users\stu\Documents\GitHub\eaglep3-reporting\EC\2017-09-17-refined-times.txt</v>
      </c>
      <c r="AI64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{"issue":{"subject":"","project_id":79,"tracker_id":40,"status_id":1,"priority_id":2,"assigned_to_id":338,"start_date":"2017-09-17","description":"","custom_fields":[{"id":1,"name":"Subdivision","value":"EC"},{"id":4,"name":"Milepost","value":"0.0163"},{"id":17,"name":"Train ID","value":"150-17"},{"id":16,"name":"Locomotive ID","value":"4055"},{"id":130,"name":"Impact","value":""},{"id":150,"name":"Time of Event (Mountain Time)","value":"11:19:20"},{"id":151,"name":"Denver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4055 --day 2017-09-17</v>
      </c>
      <c r="AN64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17:19:20"},{"id":29,"name":"Sharepoint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Message%20ID',Summary),filters:!(),index:'emp_*',interval:auto,query:"&amp;"(query_string:(analyze_wildcard:!t,query:'Message%5C+ID:(*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-09-17T09:34:40-0600',mode:absolute,to:'2017-09-17T12:19:20-0600'))&amp;_a=(columns:!('Message%20ID',Summary),filters:!(),index:'emp_*',interval:auto,query:(query_string:(analyze_wildcard:!t,query:'Message%5C+ID:(*)+AND+%22rtdc.l.rtdc.4055%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685</v>
      </c>
      <c r="B65" s="7">
        <v>4044</v>
      </c>
      <c r="C65" s="21" t="s">
        <v>197</v>
      </c>
      <c r="D65" s="21" t="s">
        <v>427</v>
      </c>
      <c r="E65" s="13">
        <v>42995.414004629631</v>
      </c>
      <c r="F65" s="13">
        <v>42995.41684027778</v>
      </c>
      <c r="G65" s="7">
        <v>50</v>
      </c>
      <c r="H65" s="21" t="s">
        <v>430</v>
      </c>
      <c r="I65" s="13">
        <v>42995.441307870373</v>
      </c>
      <c r="J65" s="7">
        <v>0</v>
      </c>
      <c r="K65" s="89" t="str">
        <f t="shared" si="0"/>
        <v>4043/4044</v>
      </c>
      <c r="L65" s="186" t="str">
        <f>VLOOKUP(A65,'Trips&amp;Operators'!$C$1:$G$99911,5,FALSE)</f>
        <v>GEBRETEKLE DAGNEW</v>
      </c>
      <c r="M65" s="6">
        <f t="shared" si="1"/>
        <v>2.4467592593282461E-2</v>
      </c>
      <c r="N65" s="7">
        <f t="shared" si="28"/>
        <v>35.233333334326744</v>
      </c>
      <c r="O65" s="7"/>
      <c r="P65" s="7"/>
      <c r="Q65" s="22"/>
      <c r="R65" s="174"/>
      <c r="S65" s="222">
        <f t="shared" si="29"/>
        <v>1</v>
      </c>
      <c r="T65" s="174" t="str">
        <f t="shared" si="4"/>
        <v>NorthBound</v>
      </c>
      <c r="U65" s="19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7" t="str">
        <f t="shared" si="5"/>
        <v>https://d0f6bd738d7f1b3e5a7ca70fe4ff75f0.us-east-1.aws.found.io/app/kibana#/discover/Steve-Slow-Train-Analysis-(2080s-and-2083s)?_g=(refreshInterval:(display:Off,pause:!f,section:0,value:0),time:(from:'2017-09-17T08:56:10-0600',mode:absolute,to:'2017-09-17T11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5" s="205" t="str">
        <f>IF(AA65&lt;VLOOKUP(AG65,Variables!$AC$3:$AD$8,2,FALSE),"Y","N")</f>
        <v>N</v>
      </c>
      <c r="X65" s="205">
        <f t="shared" si="25"/>
        <v>1</v>
      </c>
      <c r="Y65" s="205">
        <f t="shared" si="26"/>
        <v>4.7100000000000003E-2</v>
      </c>
      <c r="Z65" s="205">
        <f t="shared" si="27"/>
        <v>23.3308</v>
      </c>
      <c r="AA65" s="205">
        <f t="shared" si="9"/>
        <v>23.2837</v>
      </c>
      <c r="AB65" s="54" t="e">
        <f>VLOOKUP(A65,Enforcements!$C$7:$K$11,8,0)</f>
        <v>#N/A</v>
      </c>
      <c r="AC65" s="51" t="e">
        <f>VLOOKUP(A65,Enforcements!$C$7:$E$11,3,0)</f>
        <v>#N/A</v>
      </c>
      <c r="AD65" s="180">
        <f t="shared" si="10"/>
        <v>151</v>
      </c>
      <c r="AE65" s="77" t="str">
        <f t="shared" si="11"/>
        <v>aws s3 cp s3://rtdc.mdm.uploadarchive.raw/RTDC4044/ "%USERPROFILE%\AppData\Local\Temp\OnboardLogs"\RTDC4044\2017-09-17 --exclude "*" --recursive --include "*20170917*" &amp; "%USERPROFILE%\Documents\GitHub\mrs-test-scripts\Headless Mode &amp; Sideloading\WalkAndUnGZ.bat" "%USERPROFILE%\AppData\Local\Temp\OnboardLogs"\RTDC4044\2017-09-17 &amp; aws s3 cp s3://rtdc.mdm.uploadarchive.raw/RTDC4044/ "%USERPROFILE%\AppData\Local\Temp\OnboardLogs"\RTDC4044\2017-09-18 --exclude "*" --recursive --include "*20170918*" &amp; "%USERPROFILE%\Documents\GitHub\mrs-test-scripts\Headless Mode &amp; Sideloading\WalkAndUnGZ.bat" "%USERPROFILE%\AppData\Local\Temp\OnboardLogs"\RTDC4044\2017-09-18</v>
      </c>
      <c r="AF65" s="74" t="str">
        <f t="shared" si="12"/>
        <v>"C:\Program Files (x86)\AstroGrep\AstroGrep.exe" /e /r /s /spath="%USERPROFILE%\AppData\Local\Temp\OnboardLogs" /stypes="app*4044*20170917*" /stext=" 16:.+((SYSTEM_STATE.+slice.+state.+changed )|(ment ac)|(multiple cpu faults)|(system.+state.+changed )|(\[timeout)|(PRM\|1\|D)|(kpr)|(kdp)|(train st.+moving)|(\|lc)|(penalty))"</v>
      </c>
      <c r="AG65" s="183" t="str">
        <f t="shared" si="13"/>
        <v>EC</v>
      </c>
      <c r="AH65" s="78" t="str">
        <f t="shared" si="18"/>
        <v>"%USERPROFILE%\Documents\GitHub\eaglep3\Utilities\RefineRTDCRunTimes.py" --tripid 151-17 --locoid 4044 --swversion DE.1.0.9.0 --startMP 204:471 --initTime 2017-09-17T09:56:10 --startdatetime 2017-09-17T10:00:15 --delay 50 --endMP 204:233308 --enddatetime 2017-09-17T10:35:29 --enforcementcount 0 &gt;&gt;C:\Users\stu\Documents\GitHub\eaglep3-reporting\EC\2017-09-17-refined-times.txt</v>
      </c>
      <c r="AI65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{"issue":{"subject":"","project_id":79,"tracker_id":40,"status_id":1,"priority_id":2,"assigned_to_id":338,"start_date":"2017-09-17","description":"","custom_fields":[{"id":1,"name":"Subdivision","value":"EC"},{"id":4,"name":"Milepost","value":"23.3308"},{"id":17,"name":"Train ID","value":"151-17"},{"id":16,"name":"Locomotive ID","value":"4044"},{"id":130,"name":"Impact","value":""},{"id":150,"name":"Time of Event (Mountain Time)","value":"10:35:29"},{"id":151,"name":"Denver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4044 --day 2017-09-17</v>
      </c>
      <c r="AN65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16:35:29"},{"id":29,"name":"Sharepoint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Message%20ID',Summary),filters:!(),index:'emp_*',interval:auto,query:"&amp;"(query_string:(analyze_wildcard:!t,query:'Message%5C+ID:(*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-09-17T08:56:10-0600',mode:absolute,to:'2017-09-17T11:35:29-0600'))&amp;_a=(columns:!('Message%20ID',Summary),filters:!(),index:'emp_*',interval:auto,query:(query_string:(analyze_wildcard:!t,query:'Message%5C+ID:(*)+AND+%22rtdc.l.rtdc.4044%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693</v>
      </c>
      <c r="B66" s="7">
        <v>4043</v>
      </c>
      <c r="C66" s="21" t="s">
        <v>197</v>
      </c>
      <c r="D66" s="21" t="s">
        <v>426</v>
      </c>
      <c r="E66" s="13">
        <v>42995.442557870374</v>
      </c>
      <c r="F66" s="13">
        <v>42995.456504629627</v>
      </c>
      <c r="G66" s="7">
        <v>46</v>
      </c>
      <c r="H66" s="21" t="s">
        <v>380</v>
      </c>
      <c r="I66" s="13">
        <v>42995.48165509259</v>
      </c>
      <c r="J66" s="7">
        <v>0</v>
      </c>
      <c r="K66" s="89" t="str">
        <f t="shared" si="0"/>
        <v>4043/4044</v>
      </c>
      <c r="L66" s="186" t="str">
        <f>VLOOKUP(A66,'Trips&amp;Operators'!$C$1:$G$99911,5,FALSE)</f>
        <v>GEBRETEKLE DAGNEW</v>
      </c>
      <c r="M66" s="6">
        <f t="shared" si="1"/>
        <v>2.5150462963210884E-2</v>
      </c>
      <c r="N66" s="7">
        <f t="shared" si="28"/>
        <v>36.216666667023674</v>
      </c>
      <c r="O66" s="7"/>
      <c r="P66" s="7"/>
      <c r="Q66" s="22"/>
      <c r="R66" s="174"/>
      <c r="S66" s="222">
        <f t="shared" si="29"/>
        <v>1</v>
      </c>
      <c r="T66" s="174" t="str">
        <f t="shared" si="4"/>
        <v>Southbound</v>
      </c>
      <c r="U66" s="19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7" t="str">
        <f t="shared" si="5"/>
        <v>https://d0f6bd738d7f1b3e5a7ca70fe4ff75f0.us-east-1.aws.found.io/app/kibana#/discover/Steve-Slow-Train-Analysis-(2080s-and-2083s)?_g=(refreshInterval:(display:Off,pause:!f,section:0,value:0),time:(from:'2017-09-17T09:37:17-0600',mode:absolute,to:'2017-09-17T12:33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6" s="205" t="str">
        <f>IF(AA66&lt;VLOOKUP(AG66,Variables!$AC$3:$AD$8,2,FALSE),"Y","N")</f>
        <v>N</v>
      </c>
      <c r="X66" s="205">
        <f t="shared" si="25"/>
        <v>1</v>
      </c>
      <c r="Y66" s="205">
        <f t="shared" si="26"/>
        <v>23.2989</v>
      </c>
      <c r="Z66" s="205">
        <f t="shared" si="27"/>
        <v>1.6E-2</v>
      </c>
      <c r="AA66" s="205">
        <f t="shared" si="9"/>
        <v>23.282900000000001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180">
        <f t="shared" si="10"/>
        <v>152</v>
      </c>
      <c r="AE66" s="77" t="str">
        <f t="shared" si="11"/>
        <v>aws s3 cp s3://rtdc.mdm.uploadarchive.raw/RTDC4043/ "%USERPROFILE%\AppData\Local\Temp\OnboardLogs"\RTDC4043\2017-09-17 --exclude "*" --recursive --include "*20170917*" &amp; "%USERPROFILE%\Documents\GitHub\mrs-test-scripts\Headless Mode &amp; Sideloading\WalkAndUnGZ.bat" "%USERPROFILE%\AppData\Local\Temp\OnboardLogs"\RTDC4043\2017-09-17 &amp; aws s3 cp s3://rtdc.mdm.uploadarchive.raw/RTDC4043/ "%USERPROFILE%\AppData\Local\Temp\OnboardLogs"\RTDC4043\2017-09-18 --exclude "*" --recursive --include "*20170918*" &amp; "%USERPROFILE%\Documents\GitHub\mrs-test-scripts\Headless Mode &amp; Sideloading\WalkAndUnGZ.bat" "%USERPROFILE%\AppData\Local\Temp\OnboardLogs"\RTDC4043\2017-09-18</v>
      </c>
      <c r="AF66" s="74" t="str">
        <f t="shared" si="12"/>
        <v>"C:\Program Files (x86)\AstroGrep\AstroGrep.exe" /e /r /s /spath="%USERPROFILE%\AppData\Local\Temp\OnboardLogs" /stypes="app*4043*20170917*" /stext=" 17:.+((SYSTEM_STATE.+slice.+state.+changed )|(ment ac)|(multiple cpu faults)|(system.+state.+changed )|(\[timeout)|(PRM\|1\|D)|(kpr)|(kdp)|(train st.+moving)|(\|lc)|(penalty))"</v>
      </c>
      <c r="AG66" s="183" t="str">
        <f t="shared" si="13"/>
        <v>EC</v>
      </c>
      <c r="AH66" s="78" t="str">
        <f t="shared" si="18"/>
        <v>"%USERPROFILE%\Documents\GitHub\eaglep3\Utilities\RefineRTDCRunTimes.py" --tripid 152-17 --locoid 4043 --swversion DE.1.0.9.0 --startMP 204:232989 --initTime 2017-09-17T10:37:17 --startdatetime 2017-09-17T10:57:22 --delay 46 --endMP 204:160 --enddatetime 2017-09-17T11:33:35 --enforcementcount 0 &gt;&gt;C:\Users\stu\Documents\GitHub\eaglep3-reporting\EC\2017-09-17-refined-times.txt</v>
      </c>
      <c r="AI66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{"issue":{"subject":"","project_id":79,"tracker_id":40,"status_id":1,"priority_id":2,"assigned_to_id":338,"start_date":"2017-09-17","description":"","custom_fields":[{"id":1,"name":"Subdivision","value":"EC"},{"id":4,"name":"Milepost","value":"0.016"},{"id":17,"name":"Train ID","value":"152-17"},{"id":16,"name":"Locomotive ID","value":"4043"},{"id":130,"name":"Impact","value":""},{"id":150,"name":"Time of Event (Mountain Time)","value":"11:33:35"},{"id":151,"name":"Denver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4043 --day 2017-09-17</v>
      </c>
      <c r="AN66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17:33:35"},{"id":29,"name":"Sharepoint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Message%20ID',Summary),filters:!(),index:'emp_*',interval:auto,query:"&amp;"(query_string:(analyze_wildcard:!t,query:'Message%5C+ID:(*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-09-17T09:37:17-0600',mode:absolute,to:'2017-09-17T12:33:35-0600'))&amp;_a=(columns:!('Message%20ID',Summary),filters:!(),index:'emp_*',interval:auto,query:(query_string:(analyze_wildcard:!t,query:'Message%5C+ID:(*)+AND+%22rtdc.l.rtdc.4043%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688</v>
      </c>
      <c r="B67" s="7">
        <v>4060</v>
      </c>
      <c r="C67" s="21" t="s">
        <v>197</v>
      </c>
      <c r="D67" s="21" t="s">
        <v>852</v>
      </c>
      <c r="E67" s="13">
        <v>42995.422118055554</v>
      </c>
      <c r="F67" s="13">
        <v>42995.427337962959</v>
      </c>
      <c r="G67" s="7">
        <v>82</v>
      </c>
      <c r="H67" s="21" t="s">
        <v>425</v>
      </c>
      <c r="I67" s="13">
        <v>42995.457037037035</v>
      </c>
      <c r="J67" s="7">
        <v>0</v>
      </c>
      <c r="K67" s="89" t="str">
        <f t="shared" si="0"/>
        <v>4059/4060</v>
      </c>
      <c r="L67" s="186" t="str">
        <f>VLOOKUP(A67,'Trips&amp;Operators'!$C$1:$G$99911,5,FALSE)</f>
        <v>BADERTSCHER DIANE</v>
      </c>
      <c r="M67" s="6">
        <f t="shared" si="1"/>
        <v>2.9699074075324461E-2</v>
      </c>
      <c r="N67" s="7">
        <f t="shared" si="28"/>
        <v>42.766666668467224</v>
      </c>
      <c r="O67" s="7"/>
      <c r="P67" s="7"/>
      <c r="Q67" s="22"/>
      <c r="R67" s="174"/>
      <c r="S67" s="222">
        <f t="shared" si="29"/>
        <v>1</v>
      </c>
      <c r="T67" s="174" t="str">
        <f t="shared" si="4"/>
        <v>NorthBound</v>
      </c>
      <c r="U67" s="19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7" t="str">
        <f t="shared" si="5"/>
        <v>https://d0f6bd738d7f1b3e5a7ca70fe4ff75f0.us-east-1.aws.found.io/app/kibana#/discover/Steve-Slow-Train-Analysis-(2080s-and-2083s)?_g=(refreshInterval:(display:Off,pause:!f,section:0,value:0),time:(from:'2017-09-17T09:07:51-0600',mode:absolute,to:'2017-09-17T11:58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7" s="205" t="str">
        <f>IF(AA67&lt;VLOOKUP(AG67,Variables!$AC$3:$AD$8,2,FALSE),"Y","N")</f>
        <v>N</v>
      </c>
      <c r="X67" s="205">
        <f t="shared" si="25"/>
        <v>1</v>
      </c>
      <c r="Y67" s="205">
        <f t="shared" si="26"/>
        <v>5.0200000000000002E-2</v>
      </c>
      <c r="Z67" s="205">
        <f t="shared" si="27"/>
        <v>23.331199999999999</v>
      </c>
      <c r="AA67" s="205">
        <f t="shared" si="9"/>
        <v>23.280999999999999</v>
      </c>
      <c r="AB67" s="54" t="e">
        <f>VLOOKUP(A67,Enforcements!$C$7:$K$11,8,0)</f>
        <v>#N/A</v>
      </c>
      <c r="AC67" s="51" t="e">
        <f>VLOOKUP(A67,Enforcements!$C$7:$E$11,3,0)</f>
        <v>#N/A</v>
      </c>
      <c r="AD67" s="180">
        <f t="shared" si="10"/>
        <v>153</v>
      </c>
      <c r="AE67" s="77" t="str">
        <f t="shared" si="11"/>
        <v>aws s3 cp s3://rtdc.mdm.uploadarchive.raw/RTDC4060/ "%USERPROFILE%\AppData\Local\Temp\OnboardLogs"\RTDC4060\2017-09-17 --exclude "*" --recursive --include "*20170917*" &amp; "%USERPROFILE%\Documents\GitHub\mrs-test-scripts\Headless Mode &amp; Sideloading\WalkAndUnGZ.bat" "%USERPROFILE%\AppData\Local\Temp\OnboardLogs"\RTDC4060\2017-09-17 &amp; aws s3 cp s3://rtdc.mdm.uploadarchive.raw/RTDC4060/ "%USERPROFILE%\AppData\Local\Temp\OnboardLogs"\RTDC4060\2017-09-18 --exclude "*" --recursive --include "*20170918*" &amp; "%USERPROFILE%\Documents\GitHub\mrs-test-scripts\Headless Mode &amp; Sideloading\WalkAndUnGZ.bat" "%USERPROFILE%\AppData\Local\Temp\OnboardLogs"\RTDC4060\2017-09-18</v>
      </c>
      <c r="AF67" s="74" t="str">
        <f t="shared" si="12"/>
        <v>"C:\Program Files (x86)\AstroGrep\AstroGrep.exe" /e /r /s /spath="%USERPROFILE%\AppData\Local\Temp\OnboardLogs" /stypes="app*4060*20170917*" /stext=" 16:.+((SYSTEM_STATE.+slice.+state.+changed )|(ment ac)|(multiple cpu faults)|(system.+state.+changed )|(\[timeout)|(PRM\|1\|D)|(kpr)|(kdp)|(train st.+moving)|(\|lc)|(penalty))"</v>
      </c>
      <c r="AG67" s="183" t="str">
        <f t="shared" si="13"/>
        <v>EC</v>
      </c>
      <c r="AH67" s="78" t="str">
        <f t="shared" si="18"/>
        <v>"%USERPROFILE%\Documents\GitHub\eaglep3\Utilities\RefineRTDCRunTimes.py" --tripid 153-17 --locoid 4060 --swversion DE.1.0.9.0 --startMP 204:502 --initTime 2017-09-17T10:07:51 --startdatetime 2017-09-17T10:15:22 --delay 82 --endMP 204:233312 --enddatetime 2017-09-17T10:58:08 --enforcementcount 0 &gt;&gt;C:\Users\stu\Documents\GitHub\eaglep3-reporting\EC\2017-09-17-refined-times.txt</v>
      </c>
      <c r="AI67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{"issue":{"subject":"","project_id":79,"tracker_id":40,"status_id":1,"priority_id":2,"assigned_to_id":338,"start_date":"2017-09-17","description":"","custom_fields":[{"id":1,"name":"Subdivision","value":"EC"},{"id":4,"name":"Milepost","value":"23.3312"},{"id":17,"name":"Train ID","value":"153-17"},{"id":16,"name":"Locomotive ID","value":"4060"},{"id":130,"name":"Impact","value":""},{"id":150,"name":"Time of Event (Mountain Time)","value":"10:58:08"},{"id":151,"name":"Denver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4060 --day 2017-09-17</v>
      </c>
      <c r="AN67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16:58:08"},{"id":29,"name":"Sharepoint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Message%20ID',Summary),filters:!(),index:'emp_*',interval:auto,query:"&amp;"(query_string:(analyze_wildcard:!t,query:'Message%5C+ID:(*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-09-17T09:07:51-0600',mode:absolute,to:'2017-09-17T11:58:08-0600'))&amp;_a=(columns:!('Message%20ID',Summary),filters:!(),index:'emp_*',interval:auto,query:(query_string:(analyze_wildcard:!t,query:'Message%5C+ID:(*)+AND+%22rtdc.l.rtdc.4060%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696</v>
      </c>
      <c r="B68" s="7">
        <v>4059</v>
      </c>
      <c r="C68" s="21" t="s">
        <v>197</v>
      </c>
      <c r="D68" s="21" t="s">
        <v>452</v>
      </c>
      <c r="E68" s="13">
        <v>42995.46334490741</v>
      </c>
      <c r="F68" s="13">
        <v>42995.466840277775</v>
      </c>
      <c r="G68" s="7">
        <v>90</v>
      </c>
      <c r="H68" s="21" t="s">
        <v>415</v>
      </c>
      <c r="I68" s="13">
        <v>42995.494363425925</v>
      </c>
      <c r="J68" s="7">
        <v>0</v>
      </c>
      <c r="K68" s="89" t="str">
        <f t="shared" si="0"/>
        <v>4059/4060</v>
      </c>
      <c r="L68" s="186" t="str">
        <f>VLOOKUP(A68,'Trips&amp;Operators'!$C$1:$G$99911,5,FALSE)</f>
        <v>BADERTSCHER DIANE</v>
      </c>
      <c r="M68" s="6">
        <f t="shared" si="1"/>
        <v>2.7523148150066845E-2</v>
      </c>
      <c r="N68" s="7">
        <f t="shared" si="28"/>
        <v>39.633333336096257</v>
      </c>
      <c r="O68" s="7"/>
      <c r="P68" s="7"/>
      <c r="Q68" s="22"/>
      <c r="R68" s="174"/>
      <c r="S68" s="222">
        <f t="shared" si="29"/>
        <v>1</v>
      </c>
      <c r="T68" s="174" t="str">
        <f t="shared" si="4"/>
        <v>Southbound</v>
      </c>
      <c r="U68" s="19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7" t="str">
        <f t="shared" si="5"/>
        <v>https://d0f6bd738d7f1b3e5a7ca70fe4ff75f0.us-east-1.aws.found.io/app/kibana#/discover/Steve-Slow-Train-Analysis-(2080s-and-2083s)?_g=(refreshInterval:(display:Off,pause:!f,section:0,value:0),time:(from:'2017-09-17T10:07:13-0600',mode:absolute,to:'2017-09-17T12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8" s="205" t="str">
        <f>IF(AA68&lt;VLOOKUP(AG68,Variables!$AC$3:$AD$8,2,FALSE),"Y","N")</f>
        <v>N</v>
      </c>
      <c r="X68" s="205">
        <f t="shared" si="25"/>
        <v>1</v>
      </c>
      <c r="Y68" s="205">
        <f t="shared" si="26"/>
        <v>23.297799999999999</v>
      </c>
      <c r="Z68" s="205">
        <f t="shared" si="27"/>
        <v>1.3599999999999999E-2</v>
      </c>
      <c r="AA68" s="205">
        <f t="shared" si="9"/>
        <v>23.284199999999998</v>
      </c>
      <c r="AB68" s="54" t="e">
        <f>VLOOKUP(A68,Enforcements!$C$7:$K$11,8,0)</f>
        <v>#N/A</v>
      </c>
      <c r="AC68" s="51" t="e">
        <f>VLOOKUP(A68,Enforcements!$C$7:$E$11,3,0)</f>
        <v>#N/A</v>
      </c>
      <c r="AD68" s="180">
        <f t="shared" si="10"/>
        <v>154</v>
      </c>
      <c r="AE68" s="77" t="str">
        <f t="shared" si="11"/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AF68" s="74" t="str">
        <f t="shared" si="12"/>
        <v>"C:\Program Files (x86)\AstroGrep\AstroGrep.exe" /e /r /s /spath="%USERPROFILE%\AppData\Local\Temp\OnboardLogs" /stypes="app*4059*20170917*" /stext=" 17:.+((SYSTEM_STATE.+slice.+state.+changed )|(ment ac)|(multiple cpu faults)|(system.+state.+changed )|(\[timeout)|(PRM\|1\|D)|(kpr)|(kdp)|(train st.+moving)|(\|lc)|(penalty))"</v>
      </c>
      <c r="AG68" s="183" t="str">
        <f t="shared" si="13"/>
        <v>EC</v>
      </c>
      <c r="AH68" s="78" t="str">
        <f t="shared" si="18"/>
        <v>"%USERPROFILE%\Documents\GitHub\eaglep3\Utilities\RefineRTDCRunTimes.py" --tripid 154-17 --locoid 4059 --swversion DE.1.0.9.0 --startMP 204:232978 --initTime 2017-09-17T11:07:13 --startdatetime 2017-09-17T11:12:15 --delay 90 --endMP 204:136 --enddatetime 2017-09-17T11:51:53 --enforcementcount 0 &gt;&gt;C:\Users\stu\Documents\GitHub\eaglep3-reporting\EC\2017-09-17-refined-times.txt</v>
      </c>
      <c r="AI68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{"issue":{"subject":"","project_id":79,"tracker_id":40,"status_id":1,"priority_id":2,"assigned_to_id":338,"start_date":"2017-09-17","description":"","custom_fields":[{"id":1,"name":"Subdivision","value":"EC"},{"id":4,"name":"Milepost","value":"0.0136"},{"id":17,"name":"Train ID","value":"154-17"},{"id":16,"name":"Locomotive ID","value":"4059"},{"id":130,"name":"Impact","value":""},{"id":150,"name":"Time of Event (Mountain Time)","value":"11:51:53"},{"id":151,"name":"Denver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4059 --day 2017-09-17</v>
      </c>
      <c r="AN68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17:51:53"},{"id":29,"name":"Sharepoint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Message%20ID',Summary),filters:!(),index:'emp_*',interval:auto,query:"&amp;"(query_string:(analyze_wildcard:!t,query:'Message%5C+ID:(*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-09-17T10:07:13-0600',mode:absolute,to:'2017-09-17T12:51:53-0600'))&amp;_a=(columns:!('Message%20ID',Summary),filters:!(),index:'emp_*',interval:auto,query:(query_string:(analyze_wildcard:!t,query:'Message%5C+ID:(*)+AND+%22rtdc.l.rtdc.4059%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690</v>
      </c>
      <c r="B69" s="7">
        <v>4002</v>
      </c>
      <c r="C69" s="21" t="s">
        <v>197</v>
      </c>
      <c r="D69" s="21" t="s">
        <v>376</v>
      </c>
      <c r="E69" s="13">
        <v>42995.432581018518</v>
      </c>
      <c r="F69" s="13">
        <v>42995.437685185185</v>
      </c>
      <c r="G69" s="7">
        <v>81</v>
      </c>
      <c r="H69" s="21" t="s">
        <v>430</v>
      </c>
      <c r="I69" s="13">
        <v>42995.462569444448</v>
      </c>
      <c r="J69" s="7">
        <v>0</v>
      </c>
      <c r="K69" s="89" t="str">
        <f t="shared" si="0"/>
        <v>4001/4002</v>
      </c>
      <c r="L69" s="186" t="str">
        <f>VLOOKUP(A69,'Trips&amp;Operators'!$C$1:$G$99911,5,FALSE)</f>
        <v>WILLIAMS DONTE</v>
      </c>
      <c r="M69" s="6">
        <f t="shared" si="1"/>
        <v>2.4884259262762498E-2</v>
      </c>
      <c r="N69" s="7">
        <f t="shared" si="28"/>
        <v>35.833333338377997</v>
      </c>
      <c r="O69" s="7"/>
      <c r="P69" s="7"/>
      <c r="Q69" s="22"/>
      <c r="R69" s="174"/>
      <c r="S69" s="222">
        <f t="shared" si="29"/>
        <v>1</v>
      </c>
      <c r="T69" s="174" t="str">
        <f t="shared" si="4"/>
        <v>NorthBound</v>
      </c>
      <c r="U69" s="19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7" t="str">
        <f t="shared" si="5"/>
        <v>https://d0f6bd738d7f1b3e5a7ca70fe4ff75f0.us-east-1.aws.found.io/app/kibana#/discover/Steve-Slow-Train-Analysis-(2080s-and-2083s)?_g=(refreshInterval:(display:Off,pause:!f,section:0,value:0),time:(from:'2017-09-17T09:22:55-0600',mode:absolute,to:'2017-09-17T12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205" t="str">
        <f>IF(AA69&lt;VLOOKUP(AG69,Variables!$AC$3:$AD$8,2,FALSE),"Y","N")</f>
        <v>N</v>
      </c>
      <c r="X69" s="205">
        <f t="shared" si="25"/>
        <v>1</v>
      </c>
      <c r="Y69" s="205">
        <f t="shared" si="26"/>
        <v>4.6899999999999997E-2</v>
      </c>
      <c r="Z69" s="205">
        <f t="shared" si="27"/>
        <v>23.3308</v>
      </c>
      <c r="AA69" s="205">
        <f t="shared" si="9"/>
        <v>23.283899999999999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180">
        <f t="shared" si="10"/>
        <v>155</v>
      </c>
      <c r="AE69" s="77" t="str">
        <f t="shared" si="11"/>
        <v>aws s3 cp s3://rtdc.mdm.uploadarchive.raw/RTDC4002/ "%USERPROFILE%\AppData\Local\Temp\OnboardLogs"\RTDC4002\2017-09-17 --exclude "*" --recursive --include "*20170917*" &amp; "%USERPROFILE%\Documents\GitHub\mrs-test-scripts\Headless Mode &amp; Sideloading\WalkAndUnGZ.bat" "%USERPROFILE%\AppData\Local\Temp\OnboardLogs"\RTDC4002\2017-09-17 &amp; aws s3 cp s3://rtdc.mdm.uploadarchive.raw/RTDC4002/ "%USERPROFILE%\AppData\Local\Temp\OnboardLogs"\RTDC4002\2017-09-18 --exclude "*" --recursive --include "*20170918*" &amp; "%USERPROFILE%\Documents\GitHub\mrs-test-scripts\Headless Mode &amp; Sideloading\WalkAndUnGZ.bat" "%USERPROFILE%\AppData\Local\Temp\OnboardLogs"\RTDC4002\2017-09-18</v>
      </c>
      <c r="AF69" s="74" t="str">
        <f t="shared" si="12"/>
        <v>"C:\Program Files (x86)\AstroGrep\AstroGrep.exe" /e /r /s /spath="%USERPROFILE%\AppData\Local\Temp\OnboardLogs" /stypes="app*4002*20170917*" /stext=" 17:.+((SYSTEM_STATE.+slice.+state.+changed )|(ment ac)|(multiple cpu faults)|(system.+state.+changed )|(\[timeout)|(PRM\|1\|D)|(kpr)|(kdp)|(train st.+moving)|(\|lc)|(penalty))"</v>
      </c>
      <c r="AG69" s="183" t="str">
        <f t="shared" si="13"/>
        <v>EC</v>
      </c>
      <c r="AH69" s="78" t="str">
        <f t="shared" si="18"/>
        <v>"%USERPROFILE%\Documents\GitHub\eaglep3\Utilities\RefineRTDCRunTimes.py" --tripid 155-17 --locoid 4002 --swversion DE.1.0.9.0 --startMP 204:469 --initTime 2017-09-17T10:22:55 --startdatetime 2017-09-17T10:30:16 --delay 81 --endMP 204:233308 --enddatetime 2017-09-17T11:06:06 --enforcementcount 0 &gt;&gt;C:\Users\stu\Documents\GitHub\eaglep3-reporting\EC\2017-09-17-refined-times.txt</v>
      </c>
      <c r="AI69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{"issue":{"subject":"","project_id":79,"tracker_id":40,"status_id":1,"priority_id":2,"assigned_to_id":338,"start_date":"2017-09-17","description":"","custom_fields":[{"id":1,"name":"Subdivision","value":"EC"},{"id":4,"name":"Milepost","value":"23.3308"},{"id":17,"name":"Train ID","value":"155-17"},{"id":16,"name":"Locomotive ID","value":"4002"},{"id":130,"name":"Impact","value":""},{"id":150,"name":"Time of Event (Mountain Time)","value":"11:06:06"},{"id":151,"name":"Denver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4002 --day 2017-09-17</v>
      </c>
      <c r="AN69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17:06:06"},{"id":29,"name":"Sharepoint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Message%20ID',Summary),filters:!(),index:'emp_*',interval:auto,query:"&amp;"(query_string:(analyze_wildcard:!t,query:'Message%5C+ID:(*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-09-17T09:22:55-0600',mode:absolute,to:'2017-09-17T12:06:06-0600'))&amp;_a=(columns:!('Message%20ID',Summary),filters:!(),index:'emp_*',interval:auto,query:(query_string:(analyze_wildcard:!t,query:'Message%5C+ID:(*)+AND+%22rtdc.l.rtdc.4002%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698</v>
      </c>
      <c r="B70" s="7">
        <v>4001</v>
      </c>
      <c r="C70" s="21" t="s">
        <v>197</v>
      </c>
      <c r="D70" s="21" t="s">
        <v>426</v>
      </c>
      <c r="E70" s="13">
        <v>42995.472407407404</v>
      </c>
      <c r="F70" s="13">
        <v>42995.477268518516</v>
      </c>
      <c r="G70" s="7">
        <v>53</v>
      </c>
      <c r="H70" s="21" t="s">
        <v>377</v>
      </c>
      <c r="I70" s="13">
        <v>42995.503020833334</v>
      </c>
      <c r="J70" s="7">
        <v>0</v>
      </c>
      <c r="K70" s="89" t="str">
        <f t="shared" si="0"/>
        <v>4001/4002</v>
      </c>
      <c r="L70" s="186" t="str">
        <f>VLOOKUP(A70,'Trips&amp;Operators'!$C$1:$G$99911,5,FALSE)</f>
        <v>WILLIAMS DONTE</v>
      </c>
      <c r="M70" s="6">
        <f t="shared" si="1"/>
        <v>2.5752314817509614E-2</v>
      </c>
      <c r="N70" s="7">
        <f t="shared" si="28"/>
        <v>37.083333337213844</v>
      </c>
      <c r="O70" s="7"/>
      <c r="P70" s="7"/>
      <c r="Q70" s="22"/>
      <c r="R70" s="174"/>
      <c r="S70" s="222">
        <f t="shared" si="29"/>
        <v>1</v>
      </c>
      <c r="T70" s="174" t="str">
        <f t="shared" si="4"/>
        <v>Southbound</v>
      </c>
      <c r="U70" s="19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7" t="str">
        <f t="shared" si="5"/>
        <v>https://d0f6bd738d7f1b3e5a7ca70fe4ff75f0.us-east-1.aws.found.io/app/kibana#/discover/Steve-Slow-Train-Analysis-(2080s-and-2083s)?_g=(refreshInterval:(display:Off,pause:!f,section:0,value:0),time:(from:'2017-09-17T10:20:16-0600',mode:absolute,to:'2017-09-17T13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0" s="205" t="str">
        <f>IF(AA70&lt;VLOOKUP(AG70,Variables!$AC$3:$AD$8,2,FALSE),"Y","N")</f>
        <v>N</v>
      </c>
      <c r="X70" s="205">
        <f t="shared" si="25"/>
        <v>1</v>
      </c>
      <c r="Y70" s="205">
        <f t="shared" si="26"/>
        <v>23.2989</v>
      </c>
      <c r="Z70" s="205">
        <f t="shared" si="27"/>
        <v>1.61E-2</v>
      </c>
      <c r="AA70" s="205">
        <f t="shared" si="9"/>
        <v>23.282799999999998</v>
      </c>
      <c r="AB70" s="54" t="e">
        <f>VLOOKUP(A70,Enforcements!$C$7:$K$11,8,0)</f>
        <v>#N/A</v>
      </c>
      <c r="AC70" s="51" t="e">
        <f>VLOOKUP(A70,Enforcements!$C$7:$E$11,3,0)</f>
        <v>#N/A</v>
      </c>
      <c r="AD70" s="180">
        <f t="shared" si="10"/>
        <v>156</v>
      </c>
      <c r="AE70" s="77" t="str">
        <f t="shared" si="11"/>
        <v>aws s3 cp s3://rtdc.mdm.uploadarchive.raw/RTDC4001/ "%USERPROFILE%\AppData\Local\Temp\OnboardLogs"\RTDC4001\2017-09-17 --exclude "*" --recursive --include "*20170917*" &amp; "%USERPROFILE%\Documents\GitHub\mrs-test-scripts\Headless Mode &amp; Sideloading\WalkAndUnGZ.bat" "%USERPROFILE%\AppData\Local\Temp\OnboardLogs"\RTDC4001\2017-09-17 &amp; aws s3 cp s3://rtdc.mdm.uploadarchive.raw/RTDC4001/ "%USERPROFILE%\AppData\Local\Temp\OnboardLogs"\RTDC4001\2017-09-18 --exclude "*" --recursive --include "*20170918*" &amp; "%USERPROFILE%\Documents\GitHub\mrs-test-scripts\Headless Mode &amp; Sideloading\WalkAndUnGZ.bat" "%USERPROFILE%\AppData\Local\Temp\OnboardLogs"\RTDC4001\2017-09-18</v>
      </c>
      <c r="AF70" s="74" t="str">
        <f t="shared" si="12"/>
        <v>"C:\Program Files (x86)\AstroGrep\AstroGrep.exe" /e /r /s /spath="%USERPROFILE%\AppData\Local\Temp\OnboardLogs" /stypes="app*4001*20170917*" /stext=" 18:.+((SYSTEM_STATE.+slice.+state.+changed )|(ment ac)|(multiple cpu faults)|(system.+state.+changed )|(\[timeout)|(PRM\|1\|D)|(kpr)|(kdp)|(train st.+moving)|(\|lc)|(penalty))"</v>
      </c>
      <c r="AG70" s="183" t="str">
        <f t="shared" si="13"/>
        <v>EC</v>
      </c>
      <c r="AH70" s="78" t="str">
        <f t="shared" si="18"/>
        <v>"%USERPROFILE%\Documents\GitHub\eaglep3\Utilities\RefineRTDCRunTimes.py" --tripid 156-17 --locoid 4001 --swversion DE.1.0.9.0 --startMP 204:232989 --initTime 2017-09-17T11:20:16 --startdatetime 2017-09-17T11:27:16 --delay 53 --endMP 204:161 --enddatetime 2017-09-17T12:04:21 --enforcementcount 0 &gt;&gt;C:\Users\stu\Documents\GitHub\eaglep3-reporting\EC\2017-09-17-refined-times.txt</v>
      </c>
      <c r="AI70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{"issue":{"subject":"","project_id":79,"tracker_id":40,"status_id":1,"priority_id":2,"assigned_to_id":338,"start_date":"2017-09-17","description":"","custom_fields":[{"id":1,"name":"Subdivision","value":"EC"},{"id":4,"name":"Milepost","value":"0.0161"},{"id":17,"name":"Train ID","value":"156-17"},{"id":16,"name":"Locomotive ID","value":"4001"},{"id":130,"name":"Impact","value":""},{"id":150,"name":"Time of Event (Mountain Time)","value":"12:04:21"},{"id":151,"name":"Denver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4001 --day 2017-09-17</v>
      </c>
      <c r="AN70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18:04:21"},{"id":29,"name":"Sharepoint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Message%20ID',Summary),filters:!(),index:'emp_*',interval:auto,query:"&amp;"(query_string:(analyze_wildcard:!t,query:'Message%5C+ID:(*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-09-17T10:20:16-0600',mode:absolute,to:'2017-09-17T13:04:21-0600'))&amp;_a=(columns:!('Message%20ID',Summary),filters:!(),index:'emp_*',interval:auto,query:(query_string:(analyze_wildcard:!t,query:'Message%5C+ID:(*)+AND+%22rtdc.l.rtdc.4001%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694</v>
      </c>
      <c r="B71" s="7">
        <v>4016</v>
      </c>
      <c r="C71" s="21" t="s">
        <v>197</v>
      </c>
      <c r="D71" s="21" t="s">
        <v>363</v>
      </c>
      <c r="E71" s="13">
        <v>42995.443506944444</v>
      </c>
      <c r="F71" s="13">
        <v>42995.448101851849</v>
      </c>
      <c r="G71" s="7">
        <v>62</v>
      </c>
      <c r="H71" s="21" t="s">
        <v>487</v>
      </c>
      <c r="I71" s="13">
        <v>42995.471863425926</v>
      </c>
      <c r="J71" s="7">
        <v>0</v>
      </c>
      <c r="K71" s="89" t="str">
        <f t="shared" si="0"/>
        <v>4015/4016</v>
      </c>
      <c r="L71" s="186" t="str">
        <f>VLOOKUP(A71,'Trips&amp;Operators'!$C$1:$G$99911,5,FALSE)</f>
        <v>LOPES KIMBERLY</v>
      </c>
      <c r="M71" s="6">
        <f t="shared" si="1"/>
        <v>2.3761574077070691E-2</v>
      </c>
      <c r="N71" s="7">
        <f t="shared" si="28"/>
        <v>34.216666670981795</v>
      </c>
      <c r="O71" s="7"/>
      <c r="P71" s="7"/>
      <c r="Q71" s="22"/>
      <c r="R71" s="174"/>
      <c r="S71" s="222">
        <f t="shared" si="29"/>
        <v>1</v>
      </c>
      <c r="T71" s="174" t="str">
        <f t="shared" si="4"/>
        <v>NorthBound</v>
      </c>
      <c r="U71" s="19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7" t="str">
        <f t="shared" si="5"/>
        <v>https://d0f6bd738d7f1b3e5a7ca70fe4ff75f0.us-east-1.aws.found.io/app/kibana#/discover/Steve-Slow-Train-Analysis-(2080s-and-2083s)?_g=(refreshInterval:(display:Off,pause:!f,section:0,value:0),time:(from:'2017-09-17T09:38:39-0600',mode:absolute,to:'2017-09-17T12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205" t="str">
        <f>IF(AA71&lt;VLOOKUP(AG71,Variables!$AC$3:$AD$8,2,FALSE),"Y","N")</f>
        <v>N</v>
      </c>
      <c r="X71" s="205">
        <f t="shared" si="25"/>
        <v>1</v>
      </c>
      <c r="Y71" s="205">
        <f t="shared" si="26"/>
        <v>4.6399999999999997E-2</v>
      </c>
      <c r="Z71" s="205">
        <f t="shared" si="27"/>
        <v>23.332000000000001</v>
      </c>
      <c r="AA71" s="205">
        <f t="shared" si="9"/>
        <v>23.285600000000002</v>
      </c>
      <c r="AB71" s="54" t="e">
        <f>VLOOKUP(A71,Enforcements!$C$7:$K$11,8,0)</f>
        <v>#N/A</v>
      </c>
      <c r="AC71" s="51" t="e">
        <f>VLOOKUP(A71,Enforcements!$C$7:$E$11,3,0)</f>
        <v>#N/A</v>
      </c>
      <c r="AD71" s="180">
        <f t="shared" si="10"/>
        <v>157</v>
      </c>
      <c r="AE71" s="77" t="str">
        <f t="shared" si="11"/>
        <v>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 &amp; 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</v>
      </c>
      <c r="AF71" s="74" t="str">
        <f t="shared" si="12"/>
        <v>"C:\Program Files (x86)\AstroGrep\AstroGrep.exe" /e /r /s /spath="%USERPROFILE%\AppData\Local\Temp\OnboardLogs" /stypes="app*4016*20170917*" /stext=" 17:.+((SYSTEM_STATE.+slice.+state.+changed )|(ment ac)|(multiple cpu faults)|(system.+state.+changed )|(\[timeout)|(PRM\|1\|D)|(kpr)|(kdp)|(train st.+moving)|(\|lc)|(penalty))"</v>
      </c>
      <c r="AG71" s="183" t="str">
        <f t="shared" si="13"/>
        <v>EC</v>
      </c>
      <c r="AH71" s="78" t="str">
        <f t="shared" si="18"/>
        <v>"%USERPROFILE%\Documents\GitHub\eaglep3\Utilities\RefineRTDCRunTimes.py" --tripid 157-17 --locoid 4016 --swversion DE.1.0.9.0 --startMP 204:464 --initTime 2017-09-17T10:38:39 --startdatetime 2017-09-17T10:45:16 --delay 62 --endMP 204:233320 --enddatetime 2017-09-17T11:19:29 --enforcementcount 0 &gt;&gt;C:\Users\stu\Documents\GitHub\eaglep3-reporting\EC\2017-09-17-refined-times.txt</v>
      </c>
      <c r="AI71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{"issue":{"subject":"","project_id":79,"tracker_id":40,"status_id":1,"priority_id":2,"assigned_to_id":338,"start_date":"2017-09-17","description":"","custom_fields":[{"id":1,"name":"Subdivision","value":"EC"},{"id":4,"name":"Milepost","value":"23.332"},{"id":17,"name":"Train ID","value":"157-17"},{"id":16,"name":"Locomotive ID","value":"4016"},{"id":130,"name":"Impact","value":""},{"id":150,"name":"Time of Event (Mountain Time)","value":"11:19:29"},{"id":151,"name":"Denver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4016 --day 2017-09-17</v>
      </c>
      <c r="AN71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17:19:29"},{"id":29,"name":"Sharepoint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Message%20ID',Summary),filters:!(),index:'emp_*',interval:auto,query:"&amp;"(query_string:(analyze_wildcard:!t,query:'Message%5C+ID:(*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-09-17T09:38:39-0600',mode:absolute,to:'2017-09-17T12:19:29-0600'))&amp;_a=(columns:!('Message%20ID',Summary),filters:!(),index:'emp_*',interval:auto,query:(query_string:(analyze_wildcard:!t,query:'Message%5C+ID:(*)+AND+%22rtdc.l.rtdc.4016%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705</v>
      </c>
      <c r="B72" s="7">
        <v>4015</v>
      </c>
      <c r="C72" s="21" t="s">
        <v>197</v>
      </c>
      <c r="D72" s="21" t="s">
        <v>428</v>
      </c>
      <c r="E72" s="13">
        <v>42995.484652777777</v>
      </c>
      <c r="F72" s="13">
        <v>42995.487685185188</v>
      </c>
      <c r="G72" s="7">
        <v>57</v>
      </c>
      <c r="H72" s="21" t="s">
        <v>340</v>
      </c>
      <c r="I72" s="13">
        <v>42995.514224537037</v>
      </c>
      <c r="J72" s="7">
        <v>0</v>
      </c>
      <c r="K72" s="89" t="str">
        <f t="shared" si="0"/>
        <v>4015/4016</v>
      </c>
      <c r="L72" s="186" t="str">
        <f>VLOOKUP(A72,'Trips&amp;Operators'!$C$1:$G$99911,5,FALSE)</f>
        <v>LOPES KIMBERLY</v>
      </c>
      <c r="M72" s="6">
        <f t="shared" si="1"/>
        <v>2.6539351849351078E-2</v>
      </c>
      <c r="N72" s="7">
        <f t="shared" si="28"/>
        <v>38.216666663065553</v>
      </c>
      <c r="O72" s="7"/>
      <c r="P72" s="7"/>
      <c r="Q72" s="22"/>
      <c r="R72" s="174"/>
      <c r="S72" s="222">
        <f t="shared" si="29"/>
        <v>1</v>
      </c>
      <c r="T72" s="174" t="str">
        <f t="shared" si="4"/>
        <v>Southbound</v>
      </c>
      <c r="U72" s="19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7" t="str">
        <f t="shared" si="5"/>
        <v>https://d0f6bd738d7f1b3e5a7ca70fe4ff75f0.us-east-1.aws.found.io/app/kibana#/discover/Steve-Slow-Train-Analysis-(2080s-and-2083s)?_g=(refreshInterval:(display:Off,pause:!f,section:0,value:0),time:(from:'2017-09-17T10:37:54-0600',mode:absolute,to:'2017-09-17T13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205" t="str">
        <f>IF(AA72&lt;VLOOKUP(AG72,Variables!$AC$3:$AD$8,2,FALSE),"Y","N")</f>
        <v>N</v>
      </c>
      <c r="X72" s="205">
        <f t="shared" si="25"/>
        <v>1</v>
      </c>
      <c r="Y72" s="205">
        <f t="shared" si="26"/>
        <v>23.299800000000001</v>
      </c>
      <c r="Z72" s="205">
        <f t="shared" si="27"/>
        <v>1.43E-2</v>
      </c>
      <c r="AA72" s="205">
        <f t="shared" si="9"/>
        <v>23.285500000000003</v>
      </c>
      <c r="AB72" s="54" t="e">
        <f>VLOOKUP(A72,Enforcements!$C$7:$K$11,8,0)</f>
        <v>#N/A</v>
      </c>
      <c r="AC72" s="51" t="e">
        <f>VLOOKUP(A72,Enforcements!$C$7:$E$11,3,0)</f>
        <v>#N/A</v>
      </c>
      <c r="AD72" s="180">
        <f t="shared" si="10"/>
        <v>158</v>
      </c>
      <c r="AE72" s="77" t="str">
        <f t="shared" si="11"/>
        <v>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 &amp; 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</v>
      </c>
      <c r="AF72" s="74" t="str">
        <f t="shared" si="12"/>
        <v>"C:\Program Files (x86)\AstroGrep\AstroGrep.exe" /e /r /s /spath="%USERPROFILE%\AppData\Local\Temp\OnboardLogs" /stypes="app*4015*20170917*" /stext=" 18:.+((SYSTEM_STATE.+slice.+state.+changed )|(ment ac)|(multiple cpu faults)|(system.+state.+changed )|(\[timeout)|(PRM\|1\|D)|(kpr)|(kdp)|(train st.+moving)|(\|lc)|(penalty))"</v>
      </c>
      <c r="AG72" s="183" t="str">
        <f t="shared" si="13"/>
        <v>EC</v>
      </c>
      <c r="AH72" s="78" t="str">
        <f t="shared" si="18"/>
        <v>"%USERPROFILE%\Documents\GitHub\eaglep3\Utilities\RefineRTDCRunTimes.py" --tripid 158-17 --locoid 4015 --swversion DE.1.0.9.0 --startMP 204:232998 --initTime 2017-09-17T11:37:54 --startdatetime 2017-09-17T11:42:16 --delay 57 --endMP 204:143 --enddatetime 2017-09-17T12:20:29 --enforcementcount 0 &gt;&gt;C:\Users\stu\Documents\GitHub\eaglep3-reporting\EC\2017-09-17-refined-times.txt</v>
      </c>
      <c r="AI72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{"issue":{"subject":"","project_id":79,"tracker_id":40,"status_id":1,"priority_id":2,"assigned_to_id":338,"start_date":"2017-09-17","description":"","custom_fields":[{"id":1,"name":"Subdivision","value":"EC"},{"id":4,"name":"Milepost","value":"0.0143"},{"id":17,"name":"Train ID","value":"158-17"},{"id":16,"name":"Locomotive ID","value":"4015"},{"id":130,"name":"Impact","value":""},{"id":150,"name":"Time of Event (Mountain Time)","value":"12:20:29"},{"id":151,"name":"Denver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4015 --day 2017-09-17</v>
      </c>
      <c r="AN72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18:20:29"},{"id":29,"name":"Sharepoint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Message%20ID',Summary),filters:!(),index:'emp_*',interval:auto,query:"&amp;"(query_string:(analyze_wildcard:!t,query:'Message%5C+ID:(*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-09-17T10:37:54-0600',mode:absolute,to:'2017-09-17T13:20:29-0600'))&amp;_a=(columns:!('Message%20ID',Summary),filters:!(),index:'emp_*',interval:auto,query:(query_string:(analyze_wildcard:!t,query:'Message%5C+ID:(*)+AND+%22rtdc.l.rtdc.4015%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695</v>
      </c>
      <c r="B73" s="7">
        <v>4066</v>
      </c>
      <c r="C73" s="21" t="s">
        <v>197</v>
      </c>
      <c r="D73" s="21" t="s">
        <v>341</v>
      </c>
      <c r="E73" s="13">
        <v>42995.456284722219</v>
      </c>
      <c r="F73" s="13">
        <v>42995.458599537036</v>
      </c>
      <c r="G73" s="7">
        <v>48</v>
      </c>
      <c r="H73" s="21" t="s">
        <v>439</v>
      </c>
      <c r="I73" s="13">
        <v>42995.482928240737</v>
      </c>
      <c r="J73" s="7">
        <v>0</v>
      </c>
      <c r="K73" s="89" t="str">
        <f t="shared" si="0"/>
        <v>4065/4066</v>
      </c>
      <c r="L73" s="186" t="str">
        <f>VLOOKUP(A73,'Trips&amp;Operators'!$C$1:$G$99911,5,FALSE)</f>
        <v>LAMAR NEKESHA</v>
      </c>
      <c r="M73" s="6">
        <f t="shared" si="1"/>
        <v>2.4328703701030463E-2</v>
      </c>
      <c r="N73" s="7">
        <f t="shared" si="28"/>
        <v>35.033333329483867</v>
      </c>
      <c r="O73" s="7"/>
      <c r="P73" s="7"/>
      <c r="Q73" s="22"/>
      <c r="R73" s="174"/>
      <c r="S73" s="222">
        <f t="shared" si="29"/>
        <v>1</v>
      </c>
      <c r="T73" s="174" t="str">
        <f t="shared" si="4"/>
        <v>NorthBound</v>
      </c>
      <c r="U73" s="19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7" t="str">
        <f t="shared" si="5"/>
        <v>https://d0f6bd738d7f1b3e5a7ca70fe4ff75f0.us-east-1.aws.found.io/app/kibana#/discover/Steve-Slow-Train-Analysis-(2080s-and-2083s)?_g=(refreshInterval:(display:Off,pause:!f,section:0,value:0),time:(from:'2017-09-17T09:57:03-0600',mode:absolute,to:'2017-09-17T12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3" s="205" t="str">
        <f>IF(AA73&lt;VLOOKUP(AG73,Variables!$AC$3:$AD$8,2,FALSE),"Y","N")</f>
        <v>N</v>
      </c>
      <c r="X73" s="205">
        <f t="shared" si="25"/>
        <v>1</v>
      </c>
      <c r="Y73" s="205">
        <f t="shared" si="26"/>
        <v>4.53E-2</v>
      </c>
      <c r="Z73" s="205">
        <f t="shared" si="27"/>
        <v>23.331499999999998</v>
      </c>
      <c r="AA73" s="205">
        <f t="shared" si="9"/>
        <v>23.286199999999997</v>
      </c>
      <c r="AB73" s="54" t="e">
        <f>VLOOKUP(A73,Enforcements!$C$7:$K$11,8,0)</f>
        <v>#N/A</v>
      </c>
      <c r="AC73" s="51" t="e">
        <f>VLOOKUP(A73,Enforcements!$C$7:$E$11,3,0)</f>
        <v>#N/A</v>
      </c>
      <c r="AD73" s="180">
        <f t="shared" si="10"/>
        <v>159</v>
      </c>
      <c r="AE73" s="77" t="str">
        <f t="shared" si="11"/>
        <v>aws s3 cp s3://rtdc.mdm.uploadarchive.raw/RTDC4066/ "%USERPROFILE%\AppData\Local\Temp\OnboardLogs"\RTDC4066\2017-09-17 --exclude "*" --recursive --include "*20170917*" &amp; "%USERPROFILE%\Documents\GitHub\mrs-test-scripts\Headless Mode &amp; Sideloading\WalkAndUnGZ.bat" "%USERPROFILE%\AppData\Local\Temp\OnboardLogs"\RTDC4066\2017-09-17 &amp; 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</v>
      </c>
      <c r="AF73" s="74" t="str">
        <f t="shared" si="12"/>
        <v>"C:\Program Files (x86)\AstroGrep\AstroGrep.exe" /e /r /s /spath="%USERPROFILE%\AppData\Local\Temp\OnboardLogs" /stypes="app*4066*20170917*" /stext=" 17:.+((SYSTEM_STATE.+slice.+state.+changed )|(ment ac)|(multiple cpu faults)|(system.+state.+changed )|(\[timeout)|(PRM\|1\|D)|(kpr)|(kdp)|(train st.+moving)|(\|lc)|(penalty))"</v>
      </c>
      <c r="AG73" s="183" t="str">
        <f t="shared" si="13"/>
        <v>EC</v>
      </c>
      <c r="AH73" s="78" t="str">
        <f t="shared" si="18"/>
        <v>"%USERPROFILE%\Documents\GitHub\eaglep3\Utilities\RefineRTDCRunTimes.py" --tripid 159-17 --locoid 4066 --swversion DE.1.0.9.0 --startMP 204:453 --initTime 2017-09-17T10:57:03 --startdatetime 2017-09-17T11:00:23 --delay 48 --endMP 204:233315 --enddatetime 2017-09-17T11:35:25 --enforcementcount 0 &gt;&gt;C:\Users\stu\Documents\GitHub\eaglep3-reporting\EC\2017-09-17-refined-times.txt</v>
      </c>
      <c r="AI73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{"issue":{"subject":"","project_id":79,"tracker_id":40,"status_id":1,"priority_id":2,"assigned_to_id":338,"start_date":"2017-09-17","description":"","custom_fields":[{"id":1,"name":"Subdivision","value":"EC"},{"id":4,"name":"Milepost","value":"23.3315"},{"id":17,"name":"Train ID","value":"159-17"},{"id":16,"name":"Locomotive ID","value":"4066"},{"id":130,"name":"Impact","value":""},{"id":150,"name":"Time of Event (Mountain Time)","value":"11:35:25"},{"id":151,"name":"Denver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4066 --day 2017-09-17</v>
      </c>
      <c r="AN73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17:35:25"},{"id":29,"name":"Sharepoint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Message%20ID',Summary),filters:!(),index:'emp_*',interval:auto,query:"&amp;"(query_string:(analyze_wildcard:!t,query:'Message%5C+ID:(*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-09-17T09:57:03-0600',mode:absolute,to:'2017-09-17T12:35:25-0600'))&amp;_a=(columns:!('Message%20ID',Summary),filters:!(),index:'emp_*',interval:auto,query:(query_string:(analyze_wildcard:!t,query:'Message%5C+ID:(*)+AND+%22rtdc.l.rtdc.4066%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706</v>
      </c>
      <c r="B74" s="7">
        <v>4065</v>
      </c>
      <c r="C74" s="21" t="s">
        <v>197</v>
      </c>
      <c r="D74" s="21" t="s">
        <v>426</v>
      </c>
      <c r="E74" s="13">
        <v>42995.49527777778</v>
      </c>
      <c r="F74" s="13">
        <v>42995.498090277775</v>
      </c>
      <c r="G74" s="7">
        <v>59</v>
      </c>
      <c r="H74" s="21" t="s">
        <v>370</v>
      </c>
      <c r="I74" s="13">
        <v>42995.524386574078</v>
      </c>
      <c r="J74" s="7">
        <v>0</v>
      </c>
      <c r="K74" s="89" t="str">
        <f t="shared" si="0"/>
        <v>4065/4066</v>
      </c>
      <c r="L74" s="186" t="str">
        <f>VLOOKUP(A74,'Trips&amp;Operators'!$C$1:$G$99911,5,FALSE)</f>
        <v>LAMAR NEKESHA</v>
      </c>
      <c r="M74" s="6">
        <f t="shared" si="1"/>
        <v>2.6296296302461997E-2</v>
      </c>
      <c r="N74" s="7">
        <f t="shared" si="28"/>
        <v>37.866666675545275</v>
      </c>
      <c r="O74" s="7"/>
      <c r="P74" s="7"/>
      <c r="Q74" s="22"/>
      <c r="R74" s="174"/>
      <c r="S74" s="222">
        <f t="shared" si="29"/>
        <v>1</v>
      </c>
      <c r="T74" s="174" t="str">
        <f t="shared" si="4"/>
        <v>Southbound</v>
      </c>
      <c r="U74" s="19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7" t="str">
        <f t="shared" si="5"/>
        <v>https://d0f6bd738d7f1b3e5a7ca70fe4ff75f0.us-east-1.aws.found.io/app/kibana#/discover/Steve-Slow-Train-Analysis-(2080s-and-2083s)?_g=(refreshInterval:(display:Off,pause:!f,section:0,value:0),time:(from:'2017-09-17T10:53:12-0600',mode:absolute,to:'2017-09-17T13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4" s="205" t="str">
        <f>IF(AA74&lt;VLOOKUP(AG74,Variables!$AC$3:$AD$8,2,FALSE),"Y","N")</f>
        <v>N</v>
      </c>
      <c r="X74" s="205">
        <f t="shared" si="25"/>
        <v>1</v>
      </c>
      <c r="Y74" s="205">
        <f t="shared" si="26"/>
        <v>23.2989</v>
      </c>
      <c r="Z74" s="205">
        <f t="shared" si="27"/>
        <v>1.5599999999999999E-2</v>
      </c>
      <c r="AA74" s="205">
        <f t="shared" si="9"/>
        <v>23.283300000000001</v>
      </c>
      <c r="AB74" s="54" t="e">
        <f>VLOOKUP(A74,Enforcements!$C$7:$K$11,8,0)</f>
        <v>#N/A</v>
      </c>
      <c r="AC74" s="51" t="e">
        <f>VLOOKUP(A74,Enforcements!$C$7:$E$11,3,0)</f>
        <v>#N/A</v>
      </c>
      <c r="AD74" s="180">
        <f t="shared" si="10"/>
        <v>160</v>
      </c>
      <c r="AE74" s="77" t="str">
        <f t="shared" si="11"/>
        <v>aws s3 cp s3://rtdc.mdm.uploadarchive.raw/RTDC4065/ "%USERPROFILE%\AppData\Local\Temp\OnboardLogs"\RTDC4065\2017-09-17 --exclude "*" --recursive --include "*20170917*" &amp; "%USERPROFILE%\Documents\GitHub\mrs-test-scripts\Headless Mode &amp; Sideloading\WalkAndUnGZ.bat" "%USERPROFILE%\AppData\Local\Temp\OnboardLogs"\RTDC4065\2017-09-17 &amp; 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</v>
      </c>
      <c r="AF74" s="74" t="str">
        <f t="shared" si="12"/>
        <v>"C:\Program Files (x86)\AstroGrep\AstroGrep.exe" /e /r /s /spath="%USERPROFILE%\AppData\Local\Temp\OnboardLogs" /stypes="app*4065*20170917*" /stext=" 18:.+((SYSTEM_STATE.+slice.+state.+changed )|(ment ac)|(multiple cpu faults)|(system.+state.+changed )|(\[timeout)|(PRM\|1\|D)|(kpr)|(kdp)|(train st.+moving)|(\|lc)|(penalty))"</v>
      </c>
      <c r="AG74" s="183" t="str">
        <f t="shared" si="13"/>
        <v>EC</v>
      </c>
      <c r="AH74" s="78" t="str">
        <f t="shared" si="18"/>
        <v>"%USERPROFILE%\Documents\GitHub\eaglep3\Utilities\RefineRTDCRunTimes.py" --tripid 160-17 --locoid 4065 --swversion DE.1.0.9.0 --startMP 204:232989 --initTime 2017-09-17T11:53:12 --startdatetime 2017-09-17T11:57:15 --delay 59 --endMP 204:156 --enddatetime 2017-09-17T12:35:07 --enforcementcount 0 &gt;&gt;C:\Users\stu\Documents\GitHub\eaglep3-reporting\EC\2017-09-17-refined-times.txt</v>
      </c>
      <c r="AI74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{"issue":{"subject":"","project_id":79,"tracker_id":40,"status_id":1,"priority_id":2,"assigned_to_id":338,"start_date":"2017-09-17","description":"","custom_fields":[{"id":1,"name":"Subdivision","value":"EC"},{"id":4,"name":"Milepost","value":"0.0156"},{"id":17,"name":"Train ID","value":"160-17"},{"id":16,"name":"Locomotive ID","value":"4065"},{"id":130,"name":"Impact","value":""},{"id":150,"name":"Time of Event (Mountain Time)","value":"12:35:07"},{"id":151,"name":"Denver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4065 --day 2017-09-17</v>
      </c>
      <c r="AN74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18:35:07"},{"id":29,"name":"Sharepoint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Message%20ID',Summary),filters:!(),index:'emp_*',interval:auto,query:"&amp;"(query_string:(analyze_wildcard:!t,query:'Message%5C+ID:(*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-09-17T10:53:12-0600',mode:absolute,to:'2017-09-17T13:35:07-0600'))&amp;_a=(columns:!('Message%20ID',Summary),filters:!(),index:'emp_*',interval:auto,query:(query_string:(analyze_wildcard:!t,query:'Message%5C+ID:(*)+AND+%22rtdc.l.rtdc.4065%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697</v>
      </c>
      <c r="B75" s="7">
        <v>4028</v>
      </c>
      <c r="C75" s="21" t="s">
        <v>197</v>
      </c>
      <c r="D75" s="21" t="s">
        <v>360</v>
      </c>
      <c r="E75" s="13">
        <v>42995.466006944444</v>
      </c>
      <c r="F75" s="13">
        <v>42995.469224537039</v>
      </c>
      <c r="G75" s="7">
        <v>83</v>
      </c>
      <c r="H75" s="21" t="s">
        <v>853</v>
      </c>
      <c r="I75" s="13">
        <v>42995.494189814817</v>
      </c>
      <c r="J75" s="7">
        <v>0</v>
      </c>
      <c r="K75" s="89" t="str">
        <f t="shared" si="0"/>
        <v>4027/4028</v>
      </c>
      <c r="L75" s="186" t="str">
        <f>VLOOKUP(A75,'Trips&amp;Operators'!$C$1:$G$99911,5,FALSE)</f>
        <v>DAVIS MICHAEL</v>
      </c>
      <c r="M75" s="6">
        <f t="shared" si="1"/>
        <v>2.4965277778392192E-2</v>
      </c>
      <c r="N75" s="7">
        <f t="shared" si="28"/>
        <v>35.950000000884756</v>
      </c>
      <c r="O75" s="7"/>
      <c r="P75" s="7"/>
      <c r="Q75" s="22"/>
      <c r="R75" s="174"/>
      <c r="S75" s="222">
        <f t="shared" si="29"/>
        <v>1</v>
      </c>
      <c r="T75" s="174" t="str">
        <f t="shared" si="4"/>
        <v>NorthBound</v>
      </c>
      <c r="U75" s="19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7" t="str">
        <f t="shared" si="5"/>
        <v>https://d0f6bd738d7f1b3e5a7ca70fe4ff75f0.us-east-1.aws.found.io/app/kibana#/discover/Steve-Slow-Train-Analysis-(2080s-and-2083s)?_g=(refreshInterval:(display:Off,pause:!f,section:0,value:0),time:(from:'2017-09-17T10:11:03-0600',mode:absolute,to:'2017-09-17T12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5" s="205" t="str">
        <f>IF(AA75&lt;VLOOKUP(AG75,Variables!$AC$3:$AD$8,2,FALSE),"Y","N")</f>
        <v>N</v>
      </c>
      <c r="X75" s="205">
        <f t="shared" si="25"/>
        <v>1</v>
      </c>
      <c r="Y75" s="205">
        <f t="shared" si="26"/>
        <v>4.4900000000000002E-2</v>
      </c>
      <c r="Z75" s="205">
        <f t="shared" si="27"/>
        <v>23.325099999999999</v>
      </c>
      <c r="AA75" s="205">
        <f t="shared" si="9"/>
        <v>23.280200000000001</v>
      </c>
      <c r="AB75" s="54" t="e">
        <f>VLOOKUP(A75,Enforcements!$C$7:$K$11,8,0)</f>
        <v>#N/A</v>
      </c>
      <c r="AC75" s="51" t="e">
        <f>VLOOKUP(A75,Enforcements!$C$7:$E$11,3,0)</f>
        <v>#N/A</v>
      </c>
      <c r="AD75" s="180">
        <f t="shared" si="10"/>
        <v>161</v>
      </c>
      <c r="AE75" s="77" t="str">
        <f t="shared" si="11"/>
        <v>aws s3 cp s3://rtdc.mdm.uploadarchive.raw/RTDC4028/ "%USERPROFILE%\AppData\Local\Temp\OnboardLogs"\RTDC4028\2017-09-17 --exclude "*" --recursive --include "*20170917*" &amp; "%USERPROFILE%\Documents\GitHub\mrs-test-scripts\Headless Mode &amp; Sideloading\WalkAndUnGZ.bat" "%USERPROFILE%\AppData\Local\Temp\OnboardLogs"\RTDC4028\2017-09-17 &amp; 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</v>
      </c>
      <c r="AF75" s="74" t="str">
        <f t="shared" si="12"/>
        <v>"C:\Program Files (x86)\AstroGrep\AstroGrep.exe" /e /r /s /spath="%USERPROFILE%\AppData\Local\Temp\OnboardLogs" /stypes="app*4028*20170917*" /stext=" 17:.+((SYSTEM_STATE.+slice.+state.+changed )|(ment ac)|(multiple cpu faults)|(system.+state.+changed )|(\[timeout)|(PRM\|1\|D)|(kpr)|(kdp)|(train st.+moving)|(\|lc)|(penalty))"</v>
      </c>
      <c r="AG75" s="183" t="str">
        <f t="shared" si="13"/>
        <v>EC</v>
      </c>
      <c r="AH75" s="78" t="str">
        <f t="shared" si="18"/>
        <v>"%USERPROFILE%\Documents\GitHub\eaglep3\Utilities\RefineRTDCRunTimes.py" --tripid 161-17 --locoid 4028 --swversion DE.1.0.9.0 --startMP 204:449 --initTime 2017-09-17T11:11:03 --startdatetime 2017-09-17T11:15:41 --delay 83 --endMP 204:233251 --enddatetime 2017-09-17T11:51:38 --enforcementcount 0 &gt;&gt;C:\Users\stu\Documents\GitHub\eaglep3-reporting\EC\2017-09-17-refined-times.txt</v>
      </c>
      <c r="AI75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{"issue":{"subject":"","project_id":79,"tracker_id":40,"status_id":1,"priority_id":2,"assigned_to_id":338,"start_date":"2017-09-17","description":"","custom_fields":[{"id":1,"name":"Subdivision","value":"EC"},{"id":4,"name":"Milepost","value":"23.3251"},{"id":17,"name":"Train ID","value":"161-17"},{"id":16,"name":"Locomotive ID","value":"4028"},{"id":130,"name":"Impact","value":""},{"id":150,"name":"Time of Event (Mountain Time)","value":"11:51:38"},{"id":151,"name":"Denver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4028 --day 2017-09-17</v>
      </c>
      <c r="AN75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17:51:38"},{"id":29,"name":"Sharepoint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Message%20ID',Summary),filters:!(),index:'emp_*',interval:auto,query:"&amp;"(query_string:(analyze_wildcard:!t,query:'Message%5C+ID:(*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-09-17T10:11:03-0600',mode:absolute,to:'2017-09-17T12:51:38-0600'))&amp;_a=(columns:!('Message%20ID',Summary),filters:!(),index:'emp_*',interval:auto,query:(query_string:(analyze_wildcard:!t,query:'Message%5C+ID:(*)+AND+%22rtdc.l.rtdc.4028%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710</v>
      </c>
      <c r="B76" s="7">
        <v>4027</v>
      </c>
      <c r="C76" s="21" t="s">
        <v>197</v>
      </c>
      <c r="D76" s="21" t="s">
        <v>854</v>
      </c>
      <c r="E76" s="13">
        <v>42995.506504629629</v>
      </c>
      <c r="F76" s="13">
        <v>42995.508773148147</v>
      </c>
      <c r="G76" s="7">
        <v>92</v>
      </c>
      <c r="H76" s="21" t="s">
        <v>855</v>
      </c>
      <c r="I76" s="13">
        <v>42995.536956018521</v>
      </c>
      <c r="J76" s="7">
        <v>0</v>
      </c>
      <c r="K76" s="89" t="str">
        <f t="shared" si="0"/>
        <v>4027/4028</v>
      </c>
      <c r="L76" s="186" t="str">
        <f>VLOOKUP(A76,'Trips&amp;Operators'!$C$1:$G$99911,5,FALSE)</f>
        <v>DAVIS MICHAEL</v>
      </c>
      <c r="M76" s="6">
        <f t="shared" si="1"/>
        <v>2.8182870373711921E-2</v>
      </c>
      <c r="N76" s="7">
        <f t="shared" si="28"/>
        <v>40.583333338145167</v>
      </c>
      <c r="O76" s="7"/>
      <c r="P76" s="7"/>
      <c r="Q76" s="22"/>
      <c r="R76" s="174"/>
      <c r="S76" s="222">
        <f t="shared" si="29"/>
        <v>1</v>
      </c>
      <c r="T76" s="174" t="str">
        <f t="shared" si="4"/>
        <v>Southbound</v>
      </c>
      <c r="U76" s="19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7" t="str">
        <f t="shared" si="5"/>
        <v>https://d0f6bd738d7f1b3e5a7ca70fe4ff75f0.us-east-1.aws.found.io/app/kibana#/discover/Steve-Slow-Train-Analysis-(2080s-and-2083s)?_g=(refreshInterval:(display:Off,pause:!f,section:0,value:0),time:(from:'2017-09-17T11:09:22-0600',mode:absolute,to:'2017-09-17T13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6" s="205" t="str">
        <f>IF(AA76&lt;VLOOKUP(AG76,Variables!$AC$3:$AD$8,2,FALSE),"Y","N")</f>
        <v>N</v>
      </c>
      <c r="X76" s="205">
        <f t="shared" si="25"/>
        <v>1</v>
      </c>
      <c r="Y76" s="205">
        <f t="shared" si="26"/>
        <v>23.301500000000001</v>
      </c>
      <c r="Z76" s="205">
        <f t="shared" si="27"/>
        <v>1.2999999999999999E-2</v>
      </c>
      <c r="AA76" s="205">
        <f t="shared" si="9"/>
        <v>23.288499999999999</v>
      </c>
      <c r="AB76" s="54" t="e">
        <f>VLOOKUP(A76,Enforcements!$C$7:$K$11,8,0)</f>
        <v>#N/A</v>
      </c>
      <c r="AC76" s="51" t="e">
        <f>VLOOKUP(A76,Enforcements!$C$7:$E$11,3,0)</f>
        <v>#N/A</v>
      </c>
      <c r="AD76" s="180">
        <f t="shared" si="10"/>
        <v>162</v>
      </c>
      <c r="AE76" s="77" t="str">
        <f t="shared" si="11"/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AF76" s="74" t="str">
        <f t="shared" si="12"/>
        <v>"C:\Program Files (x86)\AstroGrep\AstroGrep.exe" /e /r /s /spath="%USERPROFILE%\AppData\Local\Temp\OnboardLogs" /stypes="app*4027*20170917*" /stext=" 18:.+((SYSTEM_STATE.+slice.+state.+changed )|(ment ac)|(multiple cpu faults)|(system.+state.+changed )|(\[timeout)|(PRM\|1\|D)|(kpr)|(kdp)|(train st.+moving)|(\|lc)|(penalty))"</v>
      </c>
      <c r="AG76" s="183" t="str">
        <f t="shared" si="13"/>
        <v>EC</v>
      </c>
      <c r="AH76" s="78" t="str">
        <f t="shared" si="18"/>
        <v>"%USERPROFILE%\Documents\GitHub\eaglep3\Utilities\RefineRTDCRunTimes.py" --tripid 162-17 --locoid 4027 --swversion DE.1.0.9.0 --startMP 204:233015 --initTime 2017-09-17T12:09:22 --startdatetime 2017-09-17T12:12:38 --delay 92 --endMP 204:130 --enddatetime 2017-09-17T12:53:13 --enforcementcount 0 &gt;&gt;C:\Users\stu\Documents\GitHub\eaglep3-reporting\EC\2017-09-17-refined-times.txt</v>
      </c>
      <c r="AI76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{"issue":{"subject":"","project_id":79,"tracker_id":40,"status_id":1,"priority_id":2,"assigned_to_id":338,"start_date":"2017-09-17","description":"","custom_fields":[{"id":1,"name":"Subdivision","value":"EC"},{"id":4,"name":"Milepost","value":"0.013"},{"id":17,"name":"Train ID","value":"162-17"},{"id":16,"name":"Locomotive ID","value":"4027"},{"id":130,"name":"Impact","value":""},{"id":150,"name":"Time of Event (Mountain Time)","value":"12:53:13"},{"id":151,"name":"Denver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4027 --day 2017-09-17</v>
      </c>
      <c r="AN76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18:53:13"},{"id":29,"name":"Sharepoint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Message%20ID',Summary),filters:!(),index:'emp_*',interval:auto,query:"&amp;"(query_string:(analyze_wildcard:!t,query:'Message%5C+ID:(*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-09-17T11:09:22-0600',mode:absolute,to:'2017-09-17T13:53:13-0600'))&amp;_a=(columns:!('Message%20ID',Summary),filters:!(),index:'emp_*',interval:auto,query:(query_string:(analyze_wildcard:!t,query:'Message%5C+ID:(*)+AND+%22rtdc.l.rtdc.4027%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592</v>
      </c>
      <c r="B77" s="7">
        <v>4056</v>
      </c>
      <c r="C77" s="21" t="s">
        <v>197</v>
      </c>
      <c r="D77" s="21" t="s">
        <v>551</v>
      </c>
      <c r="E77" s="13">
        <v>42995.474270833336</v>
      </c>
      <c r="F77" s="13">
        <v>42995.479525462964</v>
      </c>
      <c r="G77" s="7">
        <v>139</v>
      </c>
      <c r="H77" s="21" t="s">
        <v>454</v>
      </c>
      <c r="I77" s="13">
        <v>42995.505069444444</v>
      </c>
      <c r="J77" s="7">
        <v>0</v>
      </c>
      <c r="K77" s="89" t="str">
        <f t="shared" ref="K77:K140" si="30">IF(ISEVEN(B77),(B77-1)&amp;"/"&amp;B77,B77&amp;"/"&amp;(B77+1))</f>
        <v>4055/4056</v>
      </c>
      <c r="L77" s="186" t="str">
        <f>VLOOKUP(A77,'Trips&amp;Operators'!$C$1:$G$99911,5,FALSE)</f>
        <v>SAFIEF AEIMEN</v>
      </c>
      <c r="M77" s="6">
        <f t="shared" ref="M77:M140" si="31">I77-F77</f>
        <v>2.5543981479131617E-2</v>
      </c>
      <c r="N77" s="7">
        <f t="shared" si="28"/>
        <v>36.783333329949528</v>
      </c>
      <c r="O77" s="7"/>
      <c r="P77" s="7"/>
      <c r="Q77" s="22"/>
      <c r="R77" s="174"/>
      <c r="S77" s="222">
        <f t="shared" si="29"/>
        <v>1</v>
      </c>
      <c r="T77" s="174" t="str">
        <f t="shared" ref="T77:T140" si="32">IF(ISEVEN(LEFT(AD77,4)),"Southbound","NorthBound")</f>
        <v>NorthBound</v>
      </c>
      <c r="U77" s="19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7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-17T10:22:57-0600',mode:absolute,to:'2017-09-17T13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7" s="205" t="str">
        <f>IF(AA77&lt;VLOOKUP(AG77,Variables!$AC$3:$AD$8,2,FALSE),"Y","N")</f>
        <v>N</v>
      </c>
      <c r="X77" s="205">
        <f t="shared" ref="X77:X108" si="34">VALUE(LEFT(AD77,4))-VALUE(LEFT(AD76,4))</f>
        <v>1</v>
      </c>
      <c r="Y77" s="205">
        <f t="shared" ref="Y77:Y108" si="35">RIGHT(D77,LEN(D77)-4)/10000</f>
        <v>4.3099999999999999E-2</v>
      </c>
      <c r="Z77" s="205">
        <f t="shared" ref="Z77:Z108" si="36">RIGHT(H77,LEN(H77)-4)/10000</f>
        <v>23.331900000000001</v>
      </c>
      <c r="AA77" s="205">
        <f t="shared" ref="AA77:AA140" si="37">ABS(Z77-Y77)</f>
        <v>23.288800000000002</v>
      </c>
      <c r="AB77" s="54" t="e">
        <f>VLOOKUP(A77,Enforcements!$C$7:$K$11,8,0)</f>
        <v>#N/A</v>
      </c>
      <c r="AC77" s="51" t="e">
        <f>VLOOKUP(A77,Enforcements!$C$7:$E$11,3,0)</f>
        <v>#N/A</v>
      </c>
      <c r="AD77" s="180">
        <f t="shared" ref="AD77:AD140" si="38">VALUE(LEFT(A77,LEN(A77)-3))</f>
        <v>163</v>
      </c>
      <c r="AE77" s="77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 &amp; aws s3 cp s3://rtdc.mdm.uploadarchive.raw/RTDC4056/ "%USERPROFILE%\AppData\Local\Temp\OnboardLogs"\RTDC4056\2017-09-18 --exclude "*" --recursive --include "*20170918*" &amp; "%USERPROFILE%\Documents\GitHub\mrs-test-scripts\Headless Mode &amp; Sideloading\WalkAndUnGZ.bat" "%USERPROFILE%\AppData\Local\Temp\OnboardLogs"\RTDC4056\2017-09-18</v>
      </c>
      <c r="AF77" s="74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/stypes="app*4056*20170917*" /stext=" 18:.+((SYSTEM_STATE.+slice.+state.+changed )|(ment ac)|(multiple cpu faults)|(system.+state.+changed )|(\[timeout)|(PRM\|1\|D)|(kpr)|(kdp)|(train st.+moving)|(\|lc)|(penalty))"</v>
      </c>
      <c r="AG77" s="183" t="str">
        <f t="shared" ref="AG77:AG140" si="41">DetSubdiv(A77)</f>
        <v>EC</v>
      </c>
      <c r="AH77" s="78" t="str">
        <f t="shared" si="18"/>
        <v>"%USERPROFILE%\Documents\GitHub\eaglep3\Utilities\RefineRTDCRunTimes.py" --tripid 163-17 --locoid 4056 --swversion DE.1.0.9.0 --startMP 204:431 --initTime 2017-09-17T11:22:57 --startdatetime 2017-09-17T11:30:31 --delay 139 --endMP 204:233319 --enddatetime 2017-09-17T12:07:18 --enforcementcount 0 &gt;&gt;C:\Users\stu\Documents\GitHub\eaglep3-reporting\EC\2017-09-17-refined-times.txt</v>
      </c>
      <c r="AI77" s="96" t="str">
        <f t="shared" si="19"/>
        <v>echo {"issue":{"subject":"","project_id":79,"tracker_id":40,"status_id":1,"priority_id":2,"assigned_to_id":338,"start_date":"2017-09-17","description":"","custom_fields":[{"id":1,"name":"Subdivision","value":"EC"},{"id":4,"name":"Milepost","value":"23.3319"},{"id":17,"name":"Train ID","value":"163-17"},{"id":16,"name":"Locomotive ID","value":"4056"},{"id":130,"name":"Impact","value":""},{"id":150,"name":"Time of Event (Mountain Time)","value":"12:07:18"},{"id":151,"name":"Denver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4056 --day 2017-09-17</v>
      </c>
      <c r="AN77" s="151" t="str">
        <f t="shared" si="21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18:07:18"},{"id":29,"name":"Sharepoint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Message%5C+ID:(*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-17T10:22:57-0600',mode:absolute,to:'2017-09-17T13:07:18-0600'))&amp;_a=(columns:!('Message%20ID',Summary),filters:!(),index:'emp_*',interval:auto,query:(query_string:(analyze_wildcard:!t,query:'Message%5C+ID:(*)+AND+%22rtdc.l.rtdc.4056%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711</v>
      </c>
      <c r="B78" s="7">
        <v>4055</v>
      </c>
      <c r="C78" s="21" t="s">
        <v>197</v>
      </c>
      <c r="D78" s="21" t="s">
        <v>843</v>
      </c>
      <c r="E78" s="13">
        <v>42995.511111111111</v>
      </c>
      <c r="F78" s="13">
        <v>42995.518958333334</v>
      </c>
      <c r="G78" s="7">
        <v>97</v>
      </c>
      <c r="H78" s="21" t="s">
        <v>856</v>
      </c>
      <c r="I78" s="13">
        <v>42995.545949074076</v>
      </c>
      <c r="J78" s="7">
        <v>0</v>
      </c>
      <c r="K78" s="89" t="str">
        <f t="shared" si="30"/>
        <v>4055/4056</v>
      </c>
      <c r="L78" s="186" t="str">
        <f>VLOOKUP(A78,'Trips&amp;Operators'!$C$1:$G$99911,5,FALSE)</f>
        <v>SAFIEF AEIMEN</v>
      </c>
      <c r="M78" s="6">
        <f t="shared" si="31"/>
        <v>2.6990740741894115E-2</v>
      </c>
      <c r="N78" s="7">
        <f t="shared" si="28"/>
        <v>38.866666668327525</v>
      </c>
      <c r="O78" s="7"/>
      <c r="P78" s="7"/>
      <c r="Q78" s="22"/>
      <c r="R78" s="174"/>
      <c r="S78" s="222">
        <f t="shared" si="29"/>
        <v>1</v>
      </c>
      <c r="T78" s="174" t="str">
        <f t="shared" si="32"/>
        <v>Southbound</v>
      </c>
      <c r="U78" s="19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7" t="str">
        <f t="shared" si="33"/>
        <v>https://d0f6bd738d7f1b3e5a7ca70fe4ff75f0.us-east-1.aws.found.io/app/kibana#/discover/Steve-Slow-Train-Analysis-(2080s-and-2083s)?_g=(refreshInterval:(display:Off,pause:!f,section:0,value:0),time:(from:'2017-09-17T11:16:00-0600',mode:absolute,to:'2017-09-17T14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8" s="205" t="str">
        <f>IF(AA78&lt;VLOOKUP(AG78,Variables!$AC$3:$AD$8,2,FALSE),"Y","N")</f>
        <v>N</v>
      </c>
      <c r="X78" s="205">
        <f t="shared" si="34"/>
        <v>1</v>
      </c>
      <c r="Y78" s="205">
        <f t="shared" si="35"/>
        <v>23.300599999999999</v>
      </c>
      <c r="Z78" s="205">
        <f t="shared" si="36"/>
        <v>1.23E-2</v>
      </c>
      <c r="AA78" s="205">
        <f t="shared" si="37"/>
        <v>23.2883</v>
      </c>
      <c r="AB78" s="54" t="e">
        <f>VLOOKUP(A78,Enforcements!$C$7:$K$11,8,0)</f>
        <v>#N/A</v>
      </c>
      <c r="AC78" s="51" t="e">
        <f>VLOOKUP(A78,Enforcements!$C$7:$E$11,3,0)</f>
        <v>#N/A</v>
      </c>
      <c r="AD78" s="180">
        <f t="shared" si="38"/>
        <v>164</v>
      </c>
      <c r="AE78" s="77" t="str">
        <f t="shared" si="39"/>
        <v>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 &amp; aws s3 cp s3://rtdc.mdm.uploadarchive.raw/RTDC4055/ "%USERPROFILE%\AppData\Local\Temp\OnboardLogs"\RTDC4055\2017-09-18 --exclude "*" --recursive --include "*20170918*" &amp; "%USERPROFILE%\Documents\GitHub\mrs-test-scripts\Headless Mode &amp; Sideloading\WalkAndUnGZ.bat" "%USERPROFILE%\AppData\Local\Temp\OnboardLogs"\RTDC4055\2017-09-18</v>
      </c>
      <c r="AF78" s="74" t="str">
        <f t="shared" si="40"/>
        <v>"C:\Program Files (x86)\AstroGrep\AstroGrep.exe" /e /r /s /spath="%USERPROFILE%\AppData\Local\Temp\OnboardLogs" /stypes="app*4055*20170917*" /stext=" 19:.+((SYSTEM_STATE.+slice.+state.+changed )|(ment ac)|(multiple cpu faults)|(system.+state.+changed )|(\[timeout)|(PRM\|1\|D)|(kpr)|(kdp)|(train st.+moving)|(\|lc)|(penalty))"</v>
      </c>
      <c r="AG78" s="183" t="str">
        <f t="shared" si="41"/>
        <v>EC</v>
      </c>
      <c r="AH78" s="78" t="str">
        <f t="shared" ref="AH78:AH145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164-17 --locoid 4055 --swversion DE.1.0.9.0 --startMP 204:233006 --initTime 2017-09-17T12:16:00 --startdatetime 2017-09-17T12:27:18 --delay 97 --endMP 204:123 --enddatetime 2017-09-17T13:06:10 --enforcementcount 0 &gt;&gt;C:\Users\stu\Documents\GitHub\eaglep3-reporting\EC\2017-09-17-refined-times.txt</v>
      </c>
      <c r="AI78" s="96" t="str">
        <f t="shared" ref="AI78:AI145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{"issue":{"subject":"","project_id":79,"tracker_id":40,"status_id":1,"priority_id":2,"assigned_to_id":338,"start_date":"2017-09-17","description":"","custom_fields":[{"id":1,"name":"Subdivision","value":"EC"},{"id":4,"name":"Milepost","value":"0.0123"},{"id":17,"name":"Train ID","value":"164-17"},{"id":16,"name":"Locomotive ID","value":"4055"},{"id":130,"name":"Impact","value":""},{"id":150,"name":"Time of Event (Mountain Time)","value":"13:06:10"},{"id":151,"name":"Denver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5" si="44">"start /low /b "&amp;dls3logs&amp;" --loco "&amp;B78&amp;" --day "&amp;TEXT(F78,"YYYY-MM-DD")</f>
        <v>start /low /b %USERPROFILE%\Documents\GitHub\eaglep3\Utilities\DownloadLogsFromS3.py --loco 4055 --day 2017-09-17</v>
      </c>
      <c r="AN78" s="151" t="str">
        <f t="shared" ref="AN78:AN145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19:06:10"},{"id":29,"name":"Sharepoint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Message%5C+ID:(*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-09-17T11:16:00-0600',mode:absolute,to:'2017-09-17T14:06:10-0600'))&amp;_a=(columns:!('Message%20ID',Summary),filters:!(),index:'emp_*',interval:auto,query:(query_string:(analyze_wildcard:!t,query:'Message%5C+ID:(*)+AND+%22rtdc.l.rtdc.4055%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702</v>
      </c>
      <c r="B79" s="7">
        <v>4044</v>
      </c>
      <c r="C79" s="21" t="s">
        <v>197</v>
      </c>
      <c r="D79" s="21" t="s">
        <v>371</v>
      </c>
      <c r="E79" s="13">
        <v>42995.483437499999</v>
      </c>
      <c r="F79" s="13">
        <v>42995.489733796298</v>
      </c>
      <c r="G79" s="7">
        <v>89</v>
      </c>
      <c r="H79" s="21" t="s">
        <v>487</v>
      </c>
      <c r="I79" s="13">
        <v>42995.513692129629</v>
      </c>
      <c r="J79" s="7">
        <v>0</v>
      </c>
      <c r="K79" s="89" t="str">
        <f t="shared" si="30"/>
        <v>4043/4044</v>
      </c>
      <c r="L79" s="186" t="str">
        <f>VLOOKUP(A79,'Trips&amp;Operators'!$C$1:$G$99911,5,FALSE)</f>
        <v>MCREYNOLDS KYLE</v>
      </c>
      <c r="M79" s="6">
        <f t="shared" si="31"/>
        <v>2.3958333331393078E-2</v>
      </c>
      <c r="N79" s="7">
        <f t="shared" si="28"/>
        <v>34.499999997206032</v>
      </c>
      <c r="O79" s="7"/>
      <c r="P79" s="7"/>
      <c r="Q79" s="22"/>
      <c r="R79" s="174"/>
      <c r="S79" s="222">
        <f t="shared" si="29"/>
        <v>1</v>
      </c>
      <c r="T79" s="174" t="str">
        <f t="shared" si="32"/>
        <v>NorthBound</v>
      </c>
      <c r="U79" s="19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7" t="str">
        <f t="shared" si="33"/>
        <v>https://d0f6bd738d7f1b3e5a7ca70fe4ff75f0.us-east-1.aws.found.io/app/kibana#/discover/Steve-Slow-Train-Analysis-(2080s-and-2083s)?_g=(refreshInterval:(display:Off,pause:!f,section:0,value:0),time:(from:'2017-09-17T10:36:09-0600',mode:absolute,to:'2017-09-17T13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9" s="205" t="str">
        <f>IF(AA79&lt;VLOOKUP(AG79,Variables!$AC$3:$AD$8,2,FALSE),"Y","N")</f>
        <v>N</v>
      </c>
      <c r="X79" s="205">
        <f t="shared" si="34"/>
        <v>1</v>
      </c>
      <c r="Y79" s="205">
        <f t="shared" si="35"/>
        <v>4.6699999999999998E-2</v>
      </c>
      <c r="Z79" s="205">
        <f t="shared" si="36"/>
        <v>23.332000000000001</v>
      </c>
      <c r="AA79" s="205">
        <f t="shared" si="37"/>
        <v>23.285299999999999</v>
      </c>
      <c r="AB79" s="54" t="e">
        <f>VLOOKUP(A79,Enforcements!$C$7:$K$11,8,0)</f>
        <v>#N/A</v>
      </c>
      <c r="AC79" s="51" t="e">
        <f>VLOOKUP(A79,Enforcements!$C$7:$E$11,3,0)</f>
        <v>#N/A</v>
      </c>
      <c r="AD79" s="180">
        <f t="shared" si="38"/>
        <v>165</v>
      </c>
      <c r="AE79" s="77" t="str">
        <f t="shared" si="39"/>
        <v>aws s3 cp s3://rtdc.mdm.uploadarchive.raw/RTDC4044/ "%USERPROFILE%\AppData\Local\Temp\OnboardLogs"\RTDC4044\2017-09-17 --exclude "*" --recursive --include "*20170917*" &amp; "%USERPROFILE%\Documents\GitHub\mrs-test-scripts\Headless Mode &amp; Sideloading\WalkAndUnGZ.bat" "%USERPROFILE%\AppData\Local\Temp\OnboardLogs"\RTDC4044\2017-09-17 &amp; aws s3 cp s3://rtdc.mdm.uploadarchive.raw/RTDC4044/ "%USERPROFILE%\AppData\Local\Temp\OnboardLogs"\RTDC4044\2017-09-18 --exclude "*" --recursive --include "*20170918*" &amp; "%USERPROFILE%\Documents\GitHub\mrs-test-scripts\Headless Mode &amp; Sideloading\WalkAndUnGZ.bat" "%USERPROFILE%\AppData\Local\Temp\OnboardLogs"\RTDC4044\2017-09-18</v>
      </c>
      <c r="AF79" s="74" t="str">
        <f t="shared" si="40"/>
        <v>"C:\Program Files (x86)\AstroGrep\AstroGrep.exe" /e /r /s /spath="%USERPROFILE%\AppData\Local\Temp\OnboardLogs" /stypes="app*4044*20170917*" /stext=" 18:.+((SYSTEM_STATE.+slice.+state.+changed )|(ment ac)|(multiple cpu faults)|(system.+state.+changed )|(\[timeout)|(PRM\|1\|D)|(kpr)|(kdp)|(train st.+moving)|(\|lc)|(penalty))"</v>
      </c>
      <c r="AG79" s="183" t="str">
        <f t="shared" si="41"/>
        <v>EC</v>
      </c>
      <c r="AH79" s="78" t="str">
        <f t="shared" si="42"/>
        <v>"%USERPROFILE%\Documents\GitHub\eaglep3\Utilities\RefineRTDCRunTimes.py" --tripid 165-17 --locoid 4044 --swversion DE.1.0.9.0 --startMP 204:467 --initTime 2017-09-17T11:36:09 --startdatetime 2017-09-17T11:45:13 --delay 89 --endMP 204:233320 --enddatetime 2017-09-17T12:19:43 --enforcementcount 0 &gt;&gt;C:\Users\stu\Documents\GitHub\eaglep3-reporting\EC\2017-09-17-refined-times.txt</v>
      </c>
      <c r="AI79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{"issue":{"subject":"","project_id":79,"tracker_id":40,"status_id":1,"priority_id":2,"assigned_to_id":338,"start_date":"2017-09-17","description":"","custom_fields":[{"id":1,"name":"Subdivision","value":"EC"},{"id":4,"name":"Milepost","value":"23.332"},{"id":17,"name":"Train ID","value":"165-17"},{"id":16,"name":"Locomotive ID","value":"4044"},{"id":130,"name":"Impact","value":""},{"id":150,"name":"Time of Event (Mountain Time)","value":"12:19:43"},{"id":151,"name":"Denver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4"/>
        <v>start /low /b %USERPROFILE%\Documents\GitHub\eaglep3\Utilities\DownloadLogsFromS3.py --loco 4044 --day 2017-09-17</v>
      </c>
      <c r="AN79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18:19:43"},{"id":29,"name":"Sharepoint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Message%5C+ID:(*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-09-17T10:36:09-0600',mode:absolute,to:'2017-09-17T13:19:43-0600'))&amp;_a=(columns:!('Message%20ID',Summary),filters:!(),index:'emp_*',interval:auto,query:(query_string:(analyze_wildcard:!t,query:'Message%5C+ID:(*)+AND+%22rtdc.l.rtdc.4044%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712</v>
      </c>
      <c r="B80" s="7">
        <v>4043</v>
      </c>
      <c r="C80" s="21" t="s">
        <v>197</v>
      </c>
      <c r="D80" s="21" t="s">
        <v>396</v>
      </c>
      <c r="E80" s="13">
        <v>42995.515185185184</v>
      </c>
      <c r="F80" s="13">
        <v>42995.529328703706</v>
      </c>
      <c r="G80" s="7">
        <v>72</v>
      </c>
      <c r="H80" s="21" t="s">
        <v>832</v>
      </c>
      <c r="I80" s="13">
        <v>42995.555694444447</v>
      </c>
      <c r="J80" s="7">
        <v>0</v>
      </c>
      <c r="K80" s="89" t="str">
        <f t="shared" si="30"/>
        <v>4043/4044</v>
      </c>
      <c r="L80" s="186" t="str">
        <f>VLOOKUP(A80,'Trips&amp;Operators'!$C$1:$G$99911,5,FALSE)</f>
        <v>MCREYNOLDS KYLE</v>
      </c>
      <c r="M80" s="6">
        <f t="shared" si="31"/>
        <v>2.6365740741312038E-2</v>
      </c>
      <c r="N80" s="7">
        <f t="shared" si="28"/>
        <v>37.966666667489335</v>
      </c>
      <c r="O80" s="7"/>
      <c r="P80" s="7"/>
      <c r="Q80" s="22"/>
      <c r="R80" s="174"/>
      <c r="S80" s="222">
        <f t="shared" si="29"/>
        <v>1</v>
      </c>
      <c r="T80" s="174" t="str">
        <f t="shared" si="32"/>
        <v>Southbound</v>
      </c>
      <c r="U80" s="19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7" t="str">
        <f t="shared" si="33"/>
        <v>https://d0f6bd738d7f1b3e5a7ca70fe4ff75f0.us-east-1.aws.found.io/app/kibana#/discover/Steve-Slow-Train-Analysis-(2080s-and-2083s)?_g=(refreshInterval:(display:Off,pause:!f,section:0,value:0),time:(from:'2017-09-17T11:21:52-0600',mode:absolute,to:'2017-09-17T14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0" s="205" t="str">
        <f>IF(AA80&lt;VLOOKUP(AG80,Variables!$AC$3:$AD$8,2,FALSE),"Y","N")</f>
        <v>N</v>
      </c>
      <c r="X80" s="205">
        <f t="shared" si="34"/>
        <v>1</v>
      </c>
      <c r="Y80" s="205">
        <f t="shared" si="35"/>
        <v>23.3</v>
      </c>
      <c r="Z80" s="205">
        <f t="shared" si="36"/>
        <v>1.6500000000000001E-2</v>
      </c>
      <c r="AA80" s="205">
        <f t="shared" si="37"/>
        <v>23.2835</v>
      </c>
      <c r="AB80" s="54" t="e">
        <f>VLOOKUP(A80,Enforcements!$C$7:$K$11,8,0)</f>
        <v>#N/A</v>
      </c>
      <c r="AC80" s="51" t="e">
        <f>VLOOKUP(A80,Enforcements!$C$7:$E$11,3,0)</f>
        <v>#N/A</v>
      </c>
      <c r="AD80" s="180">
        <f t="shared" si="38"/>
        <v>166</v>
      </c>
      <c r="AE80" s="77" t="str">
        <f t="shared" si="39"/>
        <v>aws s3 cp s3://rtdc.mdm.uploadarchive.raw/RTDC4043/ "%USERPROFILE%\AppData\Local\Temp\OnboardLogs"\RTDC4043\2017-09-17 --exclude "*" --recursive --include "*20170917*" &amp; "%USERPROFILE%\Documents\GitHub\mrs-test-scripts\Headless Mode &amp; Sideloading\WalkAndUnGZ.bat" "%USERPROFILE%\AppData\Local\Temp\OnboardLogs"\RTDC4043\2017-09-17 &amp; aws s3 cp s3://rtdc.mdm.uploadarchive.raw/RTDC4043/ "%USERPROFILE%\AppData\Local\Temp\OnboardLogs"\RTDC4043\2017-09-18 --exclude "*" --recursive --include "*20170918*" &amp; "%USERPROFILE%\Documents\GitHub\mrs-test-scripts\Headless Mode &amp; Sideloading\WalkAndUnGZ.bat" "%USERPROFILE%\AppData\Local\Temp\OnboardLogs"\RTDC4043\2017-09-18</v>
      </c>
      <c r="AF80" s="74" t="str">
        <f t="shared" si="40"/>
        <v>"C:\Program Files (x86)\AstroGrep\AstroGrep.exe" /e /r /s /spath="%USERPROFILE%\AppData\Local\Temp\OnboardLogs" /stypes="app*4043*20170917*" /stext=" 19:.+((SYSTEM_STATE.+slice.+state.+changed )|(ment ac)|(multiple cpu faults)|(system.+state.+changed )|(\[timeout)|(PRM\|1\|D)|(kpr)|(kdp)|(train st.+moving)|(\|lc)|(penalty))"</v>
      </c>
      <c r="AG80" s="183" t="str">
        <f t="shared" si="41"/>
        <v>EC</v>
      </c>
      <c r="AH80" s="78" t="str">
        <f t="shared" si="42"/>
        <v>"%USERPROFILE%\Documents\GitHub\eaglep3\Utilities\RefineRTDCRunTimes.py" --tripid 166-17 --locoid 4043 --swversion DE.1.0.9.0 --startMP 204:233000 --initTime 2017-09-17T12:21:52 --startdatetime 2017-09-17T12:42:14 --delay 72 --endMP 204:165 --enddatetime 2017-09-17T13:20:12 --enforcementcount 0 &gt;&gt;C:\Users\stu\Documents\GitHub\eaglep3-reporting\EC\2017-09-17-refined-times.txt</v>
      </c>
      <c r="AI80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{"issue":{"subject":"","project_id":79,"tracker_id":40,"status_id":1,"priority_id":2,"assigned_to_id":338,"start_date":"2017-09-17","description":"","custom_fields":[{"id":1,"name":"Subdivision","value":"EC"},{"id":4,"name":"Milepost","value":"0.0165"},{"id":17,"name":"Train ID","value":"166-17"},{"id":16,"name":"Locomotive ID","value":"4043"},{"id":130,"name":"Impact","value":""},{"id":150,"name":"Time of Event (Mountain Time)","value":"13:20:12"},{"id":151,"name":"Denver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4"/>
        <v>start /low /b %USERPROFILE%\Documents\GitHub\eaglep3\Utilities\DownloadLogsFromS3.py --loco 4043 --day 2017-09-17</v>
      </c>
      <c r="AN80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19:20:12"},{"id":29,"name":"Sharepoint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Message%5C+ID:(*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-09-17T11:21:52-0600',mode:absolute,to:'2017-09-17T14:20:12-0600'))&amp;_a=(columns:!('Message%20ID',Summary),filters:!(),index:'emp_*',interval:auto,query:(query_string:(analyze_wildcard:!t,query:'Message%5C+ID:(*)+AND+%22rtdc.l.rtdc.4043%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707</v>
      </c>
      <c r="B81" s="7">
        <v>4060</v>
      </c>
      <c r="C81" s="21" t="s">
        <v>197</v>
      </c>
      <c r="D81" s="21" t="s">
        <v>453</v>
      </c>
      <c r="E81" s="13">
        <v>42995.496689814812</v>
      </c>
      <c r="F81" s="13">
        <v>42995.500185185185</v>
      </c>
      <c r="G81" s="7">
        <v>51</v>
      </c>
      <c r="H81" s="21" t="s">
        <v>456</v>
      </c>
      <c r="I81" s="13">
        <v>42995.525555555556</v>
      </c>
      <c r="J81" s="7">
        <v>0</v>
      </c>
      <c r="K81" s="89" t="str">
        <f t="shared" si="30"/>
        <v>4059/4060</v>
      </c>
      <c r="L81" s="186" t="str">
        <f>VLOOKUP(A81,'Trips&amp;Operators'!$C$1:$G$99911,5,FALSE)</f>
        <v>BADERTSCHER DIANE</v>
      </c>
      <c r="M81" s="6">
        <f t="shared" si="31"/>
        <v>2.5370370371092577E-2</v>
      </c>
      <c r="N81" s="7">
        <f t="shared" si="28"/>
        <v>36.53333333437331</v>
      </c>
      <c r="O81" s="7"/>
      <c r="P81" s="7"/>
      <c r="Q81" s="22"/>
      <c r="R81" s="174"/>
      <c r="S81" s="222">
        <f t="shared" si="29"/>
        <v>1</v>
      </c>
      <c r="T81" s="174" t="str">
        <f t="shared" si="32"/>
        <v>NorthBound</v>
      </c>
      <c r="U81" s="19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7" t="str">
        <f t="shared" si="33"/>
        <v>https://d0f6bd738d7f1b3e5a7ca70fe4ff75f0.us-east-1.aws.found.io/app/kibana#/discover/Steve-Slow-Train-Analysis-(2080s-and-2083s)?_g=(refreshInterval:(display:Off,pause:!f,section:0,value:0),time:(from:'2017-09-17T10:55:14-0600',mode:absolute,to:'2017-09-17T13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1" s="205" t="str">
        <f>IF(AA81&lt;VLOOKUP(AG81,Variables!$AC$3:$AD$8,2,FALSE),"Y","N")</f>
        <v>N</v>
      </c>
      <c r="X81" s="205">
        <f t="shared" si="34"/>
        <v>1</v>
      </c>
      <c r="Y81" s="205">
        <f t="shared" si="35"/>
        <v>4.3799999999999999E-2</v>
      </c>
      <c r="Z81" s="205">
        <f t="shared" si="36"/>
        <v>23.334700000000002</v>
      </c>
      <c r="AA81" s="205">
        <f t="shared" si="37"/>
        <v>23.290900000000001</v>
      </c>
      <c r="AB81" s="54" t="e">
        <f>VLOOKUP(A81,Enforcements!$C$7:$K$11,8,0)</f>
        <v>#N/A</v>
      </c>
      <c r="AC81" s="51" t="e">
        <f>VLOOKUP(A81,Enforcements!$C$7:$E$11,3,0)</f>
        <v>#N/A</v>
      </c>
      <c r="AD81" s="180">
        <f t="shared" si="38"/>
        <v>167</v>
      </c>
      <c r="AE81" s="77" t="str">
        <f t="shared" si="39"/>
        <v>aws s3 cp s3://rtdc.mdm.uploadarchive.raw/RTDC4060/ "%USERPROFILE%\AppData\Local\Temp\OnboardLogs"\RTDC4060\2017-09-17 --exclude "*" --recursive --include "*20170917*" &amp; "%USERPROFILE%\Documents\GitHub\mrs-test-scripts\Headless Mode &amp; Sideloading\WalkAndUnGZ.bat" "%USERPROFILE%\AppData\Local\Temp\OnboardLogs"\RTDC4060\2017-09-17 &amp; aws s3 cp s3://rtdc.mdm.uploadarchive.raw/RTDC4060/ "%USERPROFILE%\AppData\Local\Temp\OnboardLogs"\RTDC4060\2017-09-18 --exclude "*" --recursive --include "*20170918*" &amp; "%USERPROFILE%\Documents\GitHub\mrs-test-scripts\Headless Mode &amp; Sideloading\WalkAndUnGZ.bat" "%USERPROFILE%\AppData\Local\Temp\OnboardLogs"\RTDC4060\2017-09-18</v>
      </c>
      <c r="AF81" s="74" t="str">
        <f t="shared" si="40"/>
        <v>"C:\Program Files (x86)\AstroGrep\AstroGrep.exe" /e /r /s /spath="%USERPROFILE%\AppData\Local\Temp\OnboardLogs" /stypes="app*4060*20170917*" /stext=" 18:.+((SYSTEM_STATE.+slice.+state.+changed )|(ment ac)|(multiple cpu faults)|(system.+state.+changed )|(\[timeout)|(PRM\|1\|D)|(kpr)|(kdp)|(train st.+moving)|(\|lc)|(penalty))"</v>
      </c>
      <c r="AG81" s="183" t="str">
        <f t="shared" si="41"/>
        <v>EC</v>
      </c>
      <c r="AH81" s="78" t="str">
        <f t="shared" si="42"/>
        <v>"%USERPROFILE%\Documents\GitHub\eaglep3\Utilities\RefineRTDCRunTimes.py" --tripid 167-17 --locoid 4060 --swversion DE.1.0.9.0 --startMP 204:438 --initTime 2017-09-17T11:55:14 --startdatetime 2017-09-17T12:00:16 --delay 51 --endMP 204:233347 --enddatetime 2017-09-17T12:36:48 --enforcementcount 0 &gt;&gt;C:\Users\stu\Documents\GitHub\eaglep3-reporting\EC\2017-09-17-refined-times.txt</v>
      </c>
      <c r="AI81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{"issue":{"subject":"","project_id":79,"tracker_id":40,"status_id":1,"priority_id":2,"assigned_to_id":338,"start_date":"2017-09-17","description":"","custom_fields":[{"id":1,"name":"Subdivision","value":"EC"},{"id":4,"name":"Milepost","value":"23.3347"},{"id":17,"name":"Train ID","value":"167-17"},{"id":16,"name":"Locomotive ID","value":"4060"},{"id":130,"name":"Impact","value":""},{"id":150,"name":"Time of Event (Mountain Time)","value":"12:36:48"},{"id":151,"name":"Denver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4"/>
        <v>start /low /b %USERPROFILE%\Documents\GitHub\eaglep3\Utilities\DownloadLogsFromS3.py --loco 4060 --day 2017-09-17</v>
      </c>
      <c r="AN81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18:36:48"},{"id":29,"name":"Sharepoint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Message%20ID',Summary),filters:!(),index:'emp_*',interval:auto,query:"&amp;"(query_string:(analyze_wildcard:!t,query:'Message%5C+ID:(*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-09-17T10:55:14-0600',mode:absolute,to:'2017-09-17T13:36:48-0600'))&amp;_a=(columns:!('Message%20ID',Summary),filters:!(),index:'emp_*',interval:auto,query:(query_string:(analyze_wildcard:!t,query:'Message%5C+ID:(*)+AND+%22rtdc.l.rtdc.4060%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594</v>
      </c>
      <c r="B82" s="7">
        <v>4059</v>
      </c>
      <c r="C82" s="21" t="s">
        <v>197</v>
      </c>
      <c r="D82" s="21" t="s">
        <v>822</v>
      </c>
      <c r="E82" s="13">
        <v>42995.529374999998</v>
      </c>
      <c r="F82" s="13">
        <v>42995.53974537037</v>
      </c>
      <c r="G82" s="7">
        <v>52</v>
      </c>
      <c r="H82" s="21" t="s">
        <v>342</v>
      </c>
      <c r="I82" s="13">
        <v>42995.567326388889</v>
      </c>
      <c r="J82" s="7">
        <v>0</v>
      </c>
      <c r="K82" s="89" t="str">
        <f t="shared" si="30"/>
        <v>4059/4060</v>
      </c>
      <c r="L82" s="186" t="str">
        <f>VLOOKUP(A82,'Trips&amp;Operators'!$C$1:$G$99911,5,FALSE)</f>
        <v>BADERTSCHER DIANE</v>
      </c>
      <c r="M82" s="6">
        <f t="shared" si="31"/>
        <v>2.7581018519413192E-2</v>
      </c>
      <c r="N82" s="7">
        <f t="shared" si="28"/>
        <v>39.716666667954996</v>
      </c>
      <c r="O82" s="7"/>
      <c r="P82" s="7"/>
      <c r="Q82" s="22"/>
      <c r="R82" s="174"/>
      <c r="S82" s="222">
        <f t="shared" si="29"/>
        <v>1</v>
      </c>
      <c r="T82" s="174" t="str">
        <f t="shared" si="32"/>
        <v>Southbound</v>
      </c>
      <c r="U82" s="19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7" t="str">
        <f t="shared" si="33"/>
        <v>https://d0f6bd738d7f1b3e5a7ca70fe4ff75f0.us-east-1.aws.found.io/app/kibana#/discover/Steve-Slow-Train-Analysis-(2080s-and-2083s)?_g=(refreshInterval:(display:Off,pause:!f,section:0,value:0),time:(from:'2017-09-17T11:42:18-0600',mode:absolute,to:'2017-09-17T14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2" s="205" t="str">
        <f>IF(AA82&lt;VLOOKUP(AG82,Variables!$AC$3:$AD$8,2,FALSE),"Y","N")</f>
        <v>N</v>
      </c>
      <c r="X82" s="205">
        <f t="shared" si="34"/>
        <v>1</v>
      </c>
      <c r="Y82" s="205">
        <f t="shared" si="35"/>
        <v>23.3017</v>
      </c>
      <c r="Z82" s="205">
        <f t="shared" si="36"/>
        <v>1.41E-2</v>
      </c>
      <c r="AA82" s="205">
        <f t="shared" si="37"/>
        <v>23.287600000000001</v>
      </c>
      <c r="AB82" s="54" t="e">
        <f>VLOOKUP(A82,Enforcements!$C$7:$K$11,8,0)</f>
        <v>#N/A</v>
      </c>
      <c r="AC82" s="51" t="e">
        <f>VLOOKUP(A82,Enforcements!$C$7:$E$11,3,0)</f>
        <v>#N/A</v>
      </c>
      <c r="AD82" s="180">
        <f t="shared" si="38"/>
        <v>168</v>
      </c>
      <c r="AE82" s="77" t="str">
        <f t="shared" si="39"/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AF82" s="74" t="str">
        <f t="shared" si="40"/>
        <v>"C:\Program Files (x86)\AstroGrep\AstroGrep.exe" /e /r /s /spath="%USERPROFILE%\AppData\Local\Temp\OnboardLogs" /stypes="app*4059*20170917*" /stext=" 19:.+((SYSTEM_STATE.+slice.+state.+changed )|(ment ac)|(multiple cpu faults)|(system.+state.+changed )|(\[timeout)|(PRM\|1\|D)|(kpr)|(kdp)|(train st.+moving)|(\|lc)|(penalty))"</v>
      </c>
      <c r="AG82" s="183" t="str">
        <f t="shared" si="41"/>
        <v>EC</v>
      </c>
      <c r="AH82" s="78" t="str">
        <f t="shared" si="42"/>
        <v>"%USERPROFILE%\Documents\GitHub\eaglep3\Utilities\RefineRTDCRunTimes.py" --tripid 168-17 --locoid 4059 --swversion DE.1.0.9.0 --startMP 204:233017 --initTime 2017-09-17T12:42:18 --startdatetime 2017-09-17T12:57:14 --delay 52 --endMP 204:141 --enddatetime 2017-09-17T13:36:57 --enforcementcount 0 &gt;&gt;C:\Users\stu\Documents\GitHub\eaglep3-reporting\EC\2017-09-17-refined-times.txt</v>
      </c>
      <c r="AI82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{"issue":{"subject":"","project_id":79,"tracker_id":40,"status_id":1,"priority_id":2,"assigned_to_id":338,"start_date":"2017-09-17","description":"","custom_fields":[{"id":1,"name":"Subdivision","value":"EC"},{"id":4,"name":"Milepost","value":"0.0141"},{"id":17,"name":"Train ID","value":"168-17"},{"id":16,"name":"Locomotive ID","value":"4059"},{"id":130,"name":"Impact","value":""},{"id":150,"name":"Time of Event (Mountain Time)","value":"13:36:57"},{"id":151,"name":"Denver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4"/>
        <v>start /low /b %USERPROFILE%\Documents\GitHub\eaglep3\Utilities\DownloadLogsFromS3.py --loco 4059 --day 2017-09-17</v>
      </c>
      <c r="AN82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19:36:57"},{"id":29,"name":"Sharepoint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Message%20ID',Summary),filters:!(),index:'emp_*',interval:auto,query:"&amp;"(query_string:(analyze_wildcard:!t,query:'Message%5C+ID:(*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-09-17T11:42:18-0600',mode:absolute,to:'2017-09-17T14:36:57-0600'))&amp;_a=(columns:!('Message%20ID',Summary),filters:!(),index:'emp_*',interval:auto,query:(query_string:(analyze_wildcard:!t,query:'Message%5C+ID:(*)+AND+%22rtdc.l.rtdc.4059%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708</v>
      </c>
      <c r="B83" s="7">
        <v>4002</v>
      </c>
      <c r="C83" s="21" t="s">
        <v>197</v>
      </c>
      <c r="D83" s="21" t="s">
        <v>539</v>
      </c>
      <c r="E83" s="13">
        <v>42995.504571759258</v>
      </c>
      <c r="F83" s="13">
        <v>42995.510625000003</v>
      </c>
      <c r="G83" s="7">
        <v>97</v>
      </c>
      <c r="H83" s="21" t="s">
        <v>425</v>
      </c>
      <c r="I83" s="13">
        <v>42995.535717592589</v>
      </c>
      <c r="J83" s="7">
        <v>0</v>
      </c>
      <c r="K83" s="89" t="str">
        <f t="shared" si="30"/>
        <v>4001/4002</v>
      </c>
      <c r="L83" s="186" t="str">
        <f>VLOOKUP(A83,'Trips&amp;Operators'!$C$1:$G$99911,5,FALSE)</f>
        <v>DAVIDSON DAVID</v>
      </c>
      <c r="M83" s="6">
        <f t="shared" si="31"/>
        <v>2.509259258658858E-2</v>
      </c>
      <c r="N83" s="7">
        <f t="shared" si="28"/>
        <v>36.133333324687555</v>
      </c>
      <c r="O83" s="7"/>
      <c r="P83" s="7"/>
      <c r="Q83" s="22"/>
      <c r="R83" s="174"/>
      <c r="S83" s="222">
        <f t="shared" si="29"/>
        <v>1</v>
      </c>
      <c r="T83" s="174" t="str">
        <f t="shared" si="32"/>
        <v>NorthBound</v>
      </c>
      <c r="U83" s="19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7" t="str">
        <f t="shared" si="33"/>
        <v>https://d0f6bd738d7f1b3e5a7ca70fe4ff75f0.us-east-1.aws.found.io/app/kibana#/discover/Steve-Slow-Train-Analysis-(2080s-and-2083s)?_g=(refreshInterval:(display:Off,pause:!f,section:0,value:0),time:(from:'2017-09-17T11:06:35-0600',mode:absolute,to:'2017-09-17T13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3" s="205" t="str">
        <f>IF(AA83&lt;VLOOKUP(AG83,Variables!$AC$3:$AD$8,2,FALSE),"Y","N")</f>
        <v>N</v>
      </c>
      <c r="X83" s="205">
        <f t="shared" si="34"/>
        <v>1</v>
      </c>
      <c r="Y83" s="205">
        <f t="shared" si="35"/>
        <v>4.7500000000000001E-2</v>
      </c>
      <c r="Z83" s="205">
        <f t="shared" si="36"/>
        <v>23.331199999999999</v>
      </c>
      <c r="AA83" s="205">
        <f t="shared" si="37"/>
        <v>23.2837</v>
      </c>
      <c r="AB83" s="54" t="e">
        <f>VLOOKUP(A83,Enforcements!$C$7:$K$11,8,0)</f>
        <v>#N/A</v>
      </c>
      <c r="AC83" s="51" t="e">
        <f>VLOOKUP(A83,Enforcements!$C$7:$E$11,3,0)</f>
        <v>#N/A</v>
      </c>
      <c r="AD83" s="180">
        <f t="shared" si="38"/>
        <v>169</v>
      </c>
      <c r="AE83" s="77" t="str">
        <f t="shared" si="39"/>
        <v>aws s3 cp s3://rtdc.mdm.uploadarchive.raw/RTDC4002/ "%USERPROFILE%\AppData\Local\Temp\OnboardLogs"\RTDC4002\2017-09-17 --exclude "*" --recursive --include "*20170917*" &amp; "%USERPROFILE%\Documents\GitHub\mrs-test-scripts\Headless Mode &amp; Sideloading\WalkAndUnGZ.bat" "%USERPROFILE%\AppData\Local\Temp\OnboardLogs"\RTDC4002\2017-09-17 &amp; aws s3 cp s3://rtdc.mdm.uploadarchive.raw/RTDC4002/ "%USERPROFILE%\AppData\Local\Temp\OnboardLogs"\RTDC4002\2017-09-18 --exclude "*" --recursive --include "*20170918*" &amp; "%USERPROFILE%\Documents\GitHub\mrs-test-scripts\Headless Mode &amp; Sideloading\WalkAndUnGZ.bat" "%USERPROFILE%\AppData\Local\Temp\OnboardLogs"\RTDC4002\2017-09-18</v>
      </c>
      <c r="AF83" s="74" t="str">
        <f t="shared" si="40"/>
        <v>"C:\Program Files (x86)\AstroGrep\AstroGrep.exe" /e /r /s /spath="%USERPROFILE%\AppData\Local\Temp\OnboardLogs" /stypes="app*4002*20170917*" /stext=" 18:.+((SYSTEM_STATE.+slice.+state.+changed )|(ment ac)|(multiple cpu faults)|(system.+state.+changed )|(\[timeout)|(PRM\|1\|D)|(kpr)|(kdp)|(train st.+moving)|(\|lc)|(penalty))"</v>
      </c>
      <c r="AG83" s="183" t="str">
        <f t="shared" si="41"/>
        <v>EC</v>
      </c>
      <c r="AH83" s="78" t="str">
        <f t="shared" si="42"/>
        <v>"%USERPROFILE%\Documents\GitHub\eaglep3\Utilities\RefineRTDCRunTimes.py" --tripid 169-17 --locoid 4002 --swversion DE.1.0.9.0 --startMP 204:475 --initTime 2017-09-17T12:06:35 --startdatetime 2017-09-17T12:15:18 --delay 97 --endMP 204:233312 --enddatetime 2017-09-17T12:51:26 --enforcementcount 0 &gt;&gt;C:\Users\stu\Documents\GitHub\eaglep3-reporting\EC\2017-09-17-refined-times.txt</v>
      </c>
      <c r="AI83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{"issue":{"subject":"","project_id":79,"tracker_id":40,"status_id":1,"priority_id":2,"assigned_to_id":338,"start_date":"2017-09-17","description":"","custom_fields":[{"id":1,"name":"Subdivision","value":"EC"},{"id":4,"name":"Milepost","value":"23.3312"},{"id":17,"name":"Train ID","value":"169-17"},{"id":16,"name":"Locomotive ID","value":"4002"},{"id":130,"name":"Impact","value":""},{"id":150,"name":"Time of Event (Mountain Time)","value":"12:51:26"},{"id":151,"name":"Denver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4"/>
        <v>start /low /b %USERPROFILE%\Documents\GitHub\eaglep3\Utilities\DownloadLogsFromS3.py --loco 4002 --day 2017-09-17</v>
      </c>
      <c r="AN83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18:51:26"},{"id":29,"name":"Sharepoint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Message%20ID',Summary),filters:!(),index:'emp_*',interval:auto,query:"&amp;"(query_string:(analyze_wildcard:!t,query:'Message%5C+ID:(*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-09-17T11:06:35-0600',mode:absolute,to:'2017-09-17T13:51:26-0600'))&amp;_a=(columns:!('Message%20ID',Summary),filters:!(),index:'emp_*',interval:auto,query:(query_string:(analyze_wildcard:!t,query:'Message%5C+ID:(*)+AND+%22rtdc.l.rtdc.4002%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717</v>
      </c>
      <c r="B84" s="7">
        <v>4001</v>
      </c>
      <c r="C84" s="21" t="s">
        <v>197</v>
      </c>
      <c r="D84" s="21" t="s">
        <v>543</v>
      </c>
      <c r="E84" s="13">
        <v>42995.537881944445</v>
      </c>
      <c r="F84" s="13">
        <v>42995.550208333334</v>
      </c>
      <c r="G84" s="7">
        <v>72</v>
      </c>
      <c r="H84" s="21" t="s">
        <v>359</v>
      </c>
      <c r="I84" s="13">
        <v>42995.577268518522</v>
      </c>
      <c r="J84" s="7">
        <v>0</v>
      </c>
      <c r="K84" s="89" t="str">
        <f t="shared" si="30"/>
        <v>4001/4002</v>
      </c>
      <c r="L84" s="186" t="str">
        <f>VLOOKUP(A84,'Trips&amp;Operators'!$C$1:$G$99911,5,FALSE)</f>
        <v>DAVIDSON DAVID</v>
      </c>
      <c r="M84" s="6">
        <f t="shared" si="31"/>
        <v>2.7060185188020114E-2</v>
      </c>
      <c r="N84" s="7">
        <f t="shared" si="28"/>
        <v>38.966666670748964</v>
      </c>
      <c r="O84" s="7"/>
      <c r="P84" s="7"/>
      <c r="Q84" s="22"/>
      <c r="R84" s="174"/>
      <c r="S84" s="222">
        <f t="shared" si="29"/>
        <v>1</v>
      </c>
      <c r="T84" s="174" t="str">
        <f t="shared" si="32"/>
        <v>Southbound</v>
      </c>
      <c r="U84" s="19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7" t="str">
        <f t="shared" si="33"/>
        <v>https://d0f6bd738d7f1b3e5a7ca70fe4ff75f0.us-east-1.aws.found.io/app/kibana#/discover/Steve-Slow-Train-Analysis-(2080s-and-2083s)?_g=(refreshInterval:(display:Off,pause:!f,section:0,value:0),time:(from:'2017-09-17T11:54:33-0600',mode:absolute,to:'2017-09-17T14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4" s="205" t="str">
        <f>IF(AA84&lt;VLOOKUP(AG84,Variables!$AC$3:$AD$8,2,FALSE),"Y","N")</f>
        <v>N</v>
      </c>
      <c r="X84" s="205">
        <f t="shared" si="34"/>
        <v>1</v>
      </c>
      <c r="Y84" s="205">
        <f t="shared" si="35"/>
        <v>23.2973</v>
      </c>
      <c r="Z84" s="205">
        <f t="shared" si="36"/>
        <v>1.52E-2</v>
      </c>
      <c r="AA84" s="205">
        <f t="shared" si="37"/>
        <v>23.2821</v>
      </c>
      <c r="AB84" s="54" t="e">
        <f>VLOOKUP(A84,Enforcements!$C$7:$K$11,8,0)</f>
        <v>#N/A</v>
      </c>
      <c r="AC84" s="51" t="e">
        <f>VLOOKUP(A84,Enforcements!$C$7:$E$11,3,0)</f>
        <v>#N/A</v>
      </c>
      <c r="AD84" s="180">
        <f t="shared" si="38"/>
        <v>170</v>
      </c>
      <c r="AE84" s="77" t="str">
        <f t="shared" si="39"/>
        <v>aws s3 cp s3://rtdc.mdm.uploadarchive.raw/RTDC4001/ "%USERPROFILE%\AppData\Local\Temp\OnboardLogs"\RTDC4001\2017-09-17 --exclude "*" --recursive --include "*20170917*" &amp; "%USERPROFILE%\Documents\GitHub\mrs-test-scripts\Headless Mode &amp; Sideloading\WalkAndUnGZ.bat" "%USERPROFILE%\AppData\Local\Temp\OnboardLogs"\RTDC4001\2017-09-17 &amp; aws s3 cp s3://rtdc.mdm.uploadarchive.raw/RTDC4001/ "%USERPROFILE%\AppData\Local\Temp\OnboardLogs"\RTDC4001\2017-09-18 --exclude "*" --recursive --include "*20170918*" &amp; "%USERPROFILE%\Documents\GitHub\mrs-test-scripts\Headless Mode &amp; Sideloading\WalkAndUnGZ.bat" "%USERPROFILE%\AppData\Local\Temp\OnboardLogs"\RTDC4001\2017-09-18</v>
      </c>
      <c r="AF84" s="74" t="str">
        <f t="shared" si="40"/>
        <v>"C:\Program Files (x86)\AstroGrep\AstroGrep.exe" /e /r /s /spath="%USERPROFILE%\AppData\Local\Temp\OnboardLogs" /stypes="app*4001*20170917*" /stext=" 19:.+((SYSTEM_STATE.+slice.+state.+changed )|(ment ac)|(multiple cpu faults)|(system.+state.+changed )|(\[timeout)|(PRM\|1\|D)|(kpr)|(kdp)|(train st.+moving)|(\|lc)|(penalty))"</v>
      </c>
      <c r="AG84" s="183" t="str">
        <f t="shared" si="41"/>
        <v>EC</v>
      </c>
      <c r="AH84" s="78" t="str">
        <f t="shared" si="42"/>
        <v>"%USERPROFILE%\Documents\GitHub\eaglep3\Utilities\RefineRTDCRunTimes.py" --tripid 170-17 --locoid 4001 --swversion DE.1.0.9.0 --startMP 204:232973 --initTime 2017-09-17T12:54:33 --startdatetime 2017-09-17T13:12:18 --delay 72 --endMP 204:152 --enddatetime 2017-09-17T13:51:16 --enforcementcount 0 &gt;&gt;C:\Users\stu\Documents\GitHub\eaglep3-reporting\EC\2017-09-17-refined-times.txt</v>
      </c>
      <c r="AI84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{"issue":{"subject":"","project_id":79,"tracker_id":40,"status_id":1,"priority_id":2,"assigned_to_id":338,"start_date":"2017-09-17","description":"","custom_fields":[{"id":1,"name":"Subdivision","value":"EC"},{"id":4,"name":"Milepost","value":"0.0152"},{"id":17,"name":"Train ID","value":"170-17"},{"id":16,"name":"Locomotive ID","value":"4001"},{"id":130,"name":"Impact","value":""},{"id":150,"name":"Time of Event (Mountain Time)","value":"13:51:16"},{"id":151,"name":"Denver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4"/>
        <v>start /low /b %USERPROFILE%\Documents\GitHub\eaglep3\Utilities\DownloadLogsFromS3.py --loco 4001 --day 2017-09-17</v>
      </c>
      <c r="AN84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19:51:16"},{"id":29,"name":"Sharepoint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Message%20ID',Summary),filters:!(),index:'emp_*',interval:auto,query:"&amp;"(query_string:(analyze_wildcard:!t,query:'Message%5C+ID:(*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-09-17T11:54:33-0600',mode:absolute,to:'2017-09-17T14:51:16-0600'))&amp;_a=(columns:!('Message%20ID',Summary),filters:!(),index:'emp_*',interval:auto,query:(query_string:(analyze_wildcard:!t,query:'Message%5C+ID:(*)+AND+%22rtdc.l.rtdc.4001%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713</v>
      </c>
      <c r="B85" s="7">
        <v>4016</v>
      </c>
      <c r="C85" s="21" t="s">
        <v>197</v>
      </c>
      <c r="D85" s="21" t="s">
        <v>453</v>
      </c>
      <c r="E85" s="13">
        <v>42995.516203703701</v>
      </c>
      <c r="F85" s="13">
        <v>42995.521018518521</v>
      </c>
      <c r="G85" s="7">
        <v>48</v>
      </c>
      <c r="H85" s="21" t="s">
        <v>553</v>
      </c>
      <c r="I85" s="13">
        <v>42995.54587962963</v>
      </c>
      <c r="J85" s="7">
        <v>0</v>
      </c>
      <c r="K85" s="89" t="str">
        <f t="shared" si="30"/>
        <v>4015/4016</v>
      </c>
      <c r="L85" s="186" t="str">
        <f>VLOOKUP(A85,'Trips&amp;Operators'!$C$1:$G$99911,5,FALSE)</f>
        <v>LOPES KIMBERLY</v>
      </c>
      <c r="M85" s="6">
        <f t="shared" si="31"/>
        <v>2.4861111109203193E-2</v>
      </c>
      <c r="N85" s="7">
        <f t="shared" si="28"/>
        <v>35.799999997252598</v>
      </c>
      <c r="O85" s="7"/>
      <c r="P85" s="7"/>
      <c r="Q85" s="22"/>
      <c r="R85" s="174"/>
      <c r="S85" s="222">
        <f t="shared" si="29"/>
        <v>1</v>
      </c>
      <c r="T85" s="174" t="str">
        <f t="shared" si="32"/>
        <v>NorthBound</v>
      </c>
      <c r="U85" s="19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7" t="str">
        <f t="shared" si="33"/>
        <v>https://d0f6bd738d7f1b3e5a7ca70fe4ff75f0.us-east-1.aws.found.io/app/kibana#/discover/Steve-Slow-Train-Analysis-(2080s-and-2083s)?_g=(refreshInterval:(display:Off,pause:!f,section:0,value:0),time:(from:'2017-09-17T11:23:20-0600',mode:absolute,to:'2017-09-17T14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205" t="str">
        <f>IF(AA85&lt;VLOOKUP(AG85,Variables!$AC$3:$AD$8,2,FALSE),"Y","N")</f>
        <v>N</v>
      </c>
      <c r="X85" s="205">
        <f t="shared" si="34"/>
        <v>1</v>
      </c>
      <c r="Y85" s="205">
        <f t="shared" si="35"/>
        <v>4.3799999999999999E-2</v>
      </c>
      <c r="Z85" s="205">
        <f t="shared" si="36"/>
        <v>23.3325</v>
      </c>
      <c r="AA85" s="205">
        <f t="shared" si="37"/>
        <v>23.288699999999999</v>
      </c>
      <c r="AB85" s="54" t="e">
        <f>VLOOKUP(A85,Enforcements!$C$7:$K$11,8,0)</f>
        <v>#N/A</v>
      </c>
      <c r="AC85" s="51" t="e">
        <f>VLOOKUP(A85,Enforcements!$C$7:$E$11,3,0)</f>
        <v>#N/A</v>
      </c>
      <c r="AD85" s="180">
        <f t="shared" si="38"/>
        <v>171</v>
      </c>
      <c r="AE85" s="77" t="str">
        <f t="shared" si="39"/>
        <v>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 &amp; 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</v>
      </c>
      <c r="AF85" s="74" t="str">
        <f t="shared" si="40"/>
        <v>"C:\Program Files (x86)\AstroGrep\AstroGrep.exe" /e /r /s /spath="%USERPROFILE%\AppData\Local\Temp\OnboardLogs" /stypes="app*4016*20170917*" /stext=" 19:.+((SYSTEM_STATE.+slice.+state.+changed )|(ment ac)|(multiple cpu faults)|(system.+state.+changed )|(\[timeout)|(PRM\|1\|D)|(kpr)|(kdp)|(train st.+moving)|(\|lc)|(penalty))"</v>
      </c>
      <c r="AG85" s="183" t="str">
        <f t="shared" si="41"/>
        <v>EC</v>
      </c>
      <c r="AH85" s="78" t="str">
        <f t="shared" si="42"/>
        <v>"%USERPROFILE%\Documents\GitHub\eaglep3\Utilities\RefineRTDCRunTimes.py" --tripid 171-17 --locoid 4016 --swversion DE.1.0.9.0 --startMP 204:438 --initTime 2017-09-17T12:23:20 --startdatetime 2017-09-17T12:30:16 --delay 48 --endMP 204:233325 --enddatetime 2017-09-17T13:06:04 --enforcementcount 0 &gt;&gt;C:\Users\stu\Documents\GitHub\eaglep3-reporting\EC\2017-09-17-refined-times.txt</v>
      </c>
      <c r="AI85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{"issue":{"subject":"","project_id":79,"tracker_id":40,"status_id":1,"priority_id":2,"assigned_to_id":338,"start_date":"2017-09-17","description":"","custom_fields":[{"id":1,"name":"Subdivision","value":"EC"},{"id":4,"name":"Milepost","value":"23.3325"},{"id":17,"name":"Train ID","value":"171-17"},{"id":16,"name":"Locomotive ID","value":"4016"},{"id":130,"name":"Impact","value":""},{"id":150,"name":"Time of Event (Mountain Time)","value":"13:06:04"},{"id":151,"name":"Denver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4"/>
        <v>start /low /b %USERPROFILE%\Documents\GitHub\eaglep3\Utilities\DownloadLogsFromS3.py --loco 4016 --day 2017-09-17</v>
      </c>
      <c r="AN85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19:06:04"},{"id":29,"name":"Sharepoint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Message%20ID',Summary),filters:!(),index:'emp_*',interval:auto,query:"&amp;"(query_string:(analyze_wildcard:!t,query:'Message%5C+ID:(*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-09-17T11:23:20-0600',mode:absolute,to:'2017-09-17T14:06:04-0600'))&amp;_a=(columns:!('Message%20ID',Summary),filters:!(),index:'emp_*',interval:auto,query:(query_string:(analyze_wildcard:!t,query:'Message%5C+ID:(*)+AND+%22rtdc.l.rtdc.4016%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721</v>
      </c>
      <c r="B86" s="7">
        <v>4015</v>
      </c>
      <c r="C86" s="21" t="s">
        <v>197</v>
      </c>
      <c r="D86" s="21" t="s">
        <v>848</v>
      </c>
      <c r="E86" s="13">
        <v>42995.553194444445</v>
      </c>
      <c r="F86" s="13">
        <v>42995.560624999998</v>
      </c>
      <c r="G86" s="7">
        <v>52</v>
      </c>
      <c r="H86" s="21" t="s">
        <v>343</v>
      </c>
      <c r="I86" s="13">
        <v>42995.586863425924</v>
      </c>
      <c r="J86" s="7">
        <v>0</v>
      </c>
      <c r="K86" s="89" t="str">
        <f t="shared" si="30"/>
        <v>4015/4016</v>
      </c>
      <c r="L86" s="186" t="str">
        <f>VLOOKUP(A86,'Trips&amp;Operators'!$C$1:$G$99911,5,FALSE)</f>
        <v>LOPES KIMBERLY</v>
      </c>
      <c r="M86" s="6">
        <f t="shared" si="31"/>
        <v>2.6238425925839692E-2</v>
      </c>
      <c r="N86" s="7">
        <f t="shared" si="28"/>
        <v>37.783333333209157</v>
      </c>
      <c r="O86" s="7"/>
      <c r="P86" s="7"/>
      <c r="Q86" s="22"/>
      <c r="R86" s="174"/>
      <c r="S86" s="222">
        <f t="shared" si="29"/>
        <v>1</v>
      </c>
      <c r="T86" s="174" t="str">
        <f t="shared" si="32"/>
        <v>Southbound</v>
      </c>
      <c r="U86" s="19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7" t="str">
        <f t="shared" si="33"/>
        <v>https://d0f6bd738d7f1b3e5a7ca70fe4ff75f0.us-east-1.aws.found.io/app/kibana#/discover/Steve-Slow-Train-Analysis-(2080s-and-2083s)?_g=(refreshInterval:(display:Off,pause:!f,section:0,value:0),time:(from:'2017-09-17T12:16:36-0600',mode:absolute,to:'2017-09-17T15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205" t="str">
        <f>IF(AA86&lt;VLOOKUP(AG86,Variables!$AC$3:$AD$8,2,FALSE),"Y","N")</f>
        <v>N</v>
      </c>
      <c r="X86" s="205">
        <f t="shared" si="34"/>
        <v>1</v>
      </c>
      <c r="Y86" s="205">
        <f t="shared" si="35"/>
        <v>23.3019</v>
      </c>
      <c r="Z86" s="205">
        <f t="shared" si="36"/>
        <v>1.47E-2</v>
      </c>
      <c r="AA86" s="205">
        <f t="shared" si="37"/>
        <v>23.287199999999999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180">
        <f t="shared" si="38"/>
        <v>172</v>
      </c>
      <c r="AE86" s="77" t="str">
        <f t="shared" si="39"/>
        <v>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 &amp; 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</v>
      </c>
      <c r="AF86" s="74" t="str">
        <f t="shared" si="40"/>
        <v>"C:\Program Files (x86)\AstroGrep\AstroGrep.exe" /e /r /s /spath="%USERPROFILE%\AppData\Local\Temp\OnboardLogs" /stypes="app*4015*20170917*" /stext=" 20:.+((SYSTEM_STATE.+slice.+state.+changed )|(ment ac)|(multiple cpu faults)|(system.+state.+changed )|(\[timeout)|(PRM\|1\|D)|(kpr)|(kdp)|(train st.+moving)|(\|lc)|(penalty))"</v>
      </c>
      <c r="AG86" s="183" t="str">
        <f t="shared" si="41"/>
        <v>EC</v>
      </c>
      <c r="AH86" s="78" t="str">
        <f t="shared" si="42"/>
        <v>"%USERPROFILE%\Documents\GitHub\eaglep3\Utilities\RefineRTDCRunTimes.py" --tripid 172-17 --locoid 4015 --swversion DE.1.0.9.0 --startMP 204:233019 --initTime 2017-09-17T13:16:36 --startdatetime 2017-09-17T13:27:18 --delay 52 --endMP 204:147 --enddatetime 2017-09-17T14:05:05 --enforcementcount 0 &gt;&gt;C:\Users\stu\Documents\GitHub\eaglep3-reporting\EC\2017-09-17-refined-times.txt</v>
      </c>
      <c r="AI86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{"issue":{"subject":"","project_id":79,"tracker_id":40,"status_id":1,"priority_id":2,"assigned_to_id":338,"start_date":"2017-09-17","description":"","custom_fields":[{"id":1,"name":"Subdivision","value":"EC"},{"id":4,"name":"Milepost","value":"0.0147"},{"id":17,"name":"Train ID","value":"172-17"},{"id":16,"name":"Locomotive ID","value":"4015"},{"id":130,"name":"Impact","value":""},{"id":150,"name":"Time of Event (Mountain Time)","value":"14:05:05"},{"id":151,"name":"Denver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4"/>
        <v>start /low /b %USERPROFILE%\Documents\GitHub\eaglep3\Utilities\DownloadLogsFromS3.py --loco 4015 --day 2017-09-17</v>
      </c>
      <c r="AN86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20:05:05"},{"id":29,"name":"Sharepoint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Message%20ID',Summary),filters:!(),index:'emp_*',interval:auto,query:"&amp;"(query_string:(analyze_wildcard:!t,query:'Message%5C+ID:(*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-09-17T12:16:36-0600',mode:absolute,to:'2017-09-17T15:05:05-0600'))&amp;_a=(columns:!('Message%20ID',Summary),filters:!(),index:'emp_*',interval:auto,query:(query_string:(analyze_wildcard:!t,query:'Message%5C+ID:(*)+AND+%22rtdc.l.rtdc.4015%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715</v>
      </c>
      <c r="B87" s="7">
        <v>4066</v>
      </c>
      <c r="C87" s="21" t="s">
        <v>197</v>
      </c>
      <c r="D87" s="21" t="s">
        <v>420</v>
      </c>
      <c r="E87" s="13">
        <v>42995.527256944442</v>
      </c>
      <c r="F87" s="13">
        <v>42995.531481481485</v>
      </c>
      <c r="G87" s="7">
        <v>72</v>
      </c>
      <c r="H87" s="21" t="s">
        <v>548</v>
      </c>
      <c r="I87" s="13">
        <v>42995.55574074074</v>
      </c>
      <c r="J87" s="7">
        <v>0</v>
      </c>
      <c r="K87" s="89" t="str">
        <f t="shared" si="30"/>
        <v>4065/4066</v>
      </c>
      <c r="L87" s="186" t="str">
        <f>VLOOKUP(A87,'Trips&amp;Operators'!$C$1:$G$99911,5,FALSE)</f>
        <v>SMITH MICHAEL</v>
      </c>
      <c r="M87" s="6">
        <f t="shared" si="31"/>
        <v>2.4259259254904464E-2</v>
      </c>
      <c r="N87" s="7">
        <f t="shared" si="28"/>
        <v>34.933333327062428</v>
      </c>
      <c r="O87" s="7"/>
      <c r="P87" s="7"/>
      <c r="Q87" s="22"/>
      <c r="R87" s="174"/>
      <c r="S87" s="222">
        <f t="shared" si="29"/>
        <v>1</v>
      </c>
      <c r="T87" s="174" t="str">
        <f t="shared" si="32"/>
        <v>NorthBound</v>
      </c>
      <c r="U87" s="19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7" t="str">
        <f t="shared" si="33"/>
        <v>https://d0f6bd738d7f1b3e5a7ca70fe4ff75f0.us-east-1.aws.found.io/app/kibana#/discover/Steve-Slow-Train-Analysis-(2080s-and-2083s)?_g=(refreshInterval:(display:Off,pause:!f,section:0,value:0),time:(from:'2017-09-17T11:39:15-0600',mode:absolute,to:'2017-09-17T14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7" s="205" t="str">
        <f>IF(AA87&lt;VLOOKUP(AG87,Variables!$AC$3:$AD$8,2,FALSE),"Y","N")</f>
        <v>N</v>
      </c>
      <c r="X87" s="205">
        <f t="shared" si="34"/>
        <v>1</v>
      </c>
      <c r="Y87" s="205">
        <f t="shared" si="35"/>
        <v>4.4400000000000002E-2</v>
      </c>
      <c r="Z87" s="205">
        <f t="shared" si="36"/>
        <v>23.331600000000002</v>
      </c>
      <c r="AA87" s="205">
        <f t="shared" si="37"/>
        <v>23.287200000000002</v>
      </c>
      <c r="AB87" s="54" t="e">
        <f>VLOOKUP(A87,Enforcements!$C$7:$K$11,8,0)</f>
        <v>#N/A</v>
      </c>
      <c r="AC87" s="51" t="e">
        <f>VLOOKUP(A87,Enforcements!$C$7:$E$11,3,0)</f>
        <v>#N/A</v>
      </c>
      <c r="AD87" s="180">
        <f t="shared" si="38"/>
        <v>173</v>
      </c>
      <c r="AE87" s="77" t="str">
        <f t="shared" si="39"/>
        <v>aws s3 cp s3://rtdc.mdm.uploadarchive.raw/RTDC4066/ "%USERPROFILE%\AppData\Local\Temp\OnboardLogs"\RTDC4066\2017-09-17 --exclude "*" --recursive --include "*20170917*" &amp; "%USERPROFILE%\Documents\GitHub\mrs-test-scripts\Headless Mode &amp; Sideloading\WalkAndUnGZ.bat" "%USERPROFILE%\AppData\Local\Temp\OnboardLogs"\RTDC4066\2017-09-17 &amp; 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</v>
      </c>
      <c r="AF87" s="74" t="str">
        <f t="shared" si="40"/>
        <v>"C:\Program Files (x86)\AstroGrep\AstroGrep.exe" /e /r /s /spath="%USERPROFILE%\AppData\Local\Temp\OnboardLogs" /stypes="app*4066*20170917*" /stext=" 19:.+((SYSTEM_STATE.+slice.+state.+changed )|(ment ac)|(multiple cpu faults)|(system.+state.+changed )|(\[timeout)|(PRM\|1\|D)|(kpr)|(kdp)|(train st.+moving)|(\|lc)|(penalty))"</v>
      </c>
      <c r="AG87" s="183" t="str">
        <f t="shared" si="41"/>
        <v>EC</v>
      </c>
      <c r="AH87" s="78" t="str">
        <f t="shared" si="42"/>
        <v>"%USERPROFILE%\Documents\GitHub\eaglep3\Utilities\RefineRTDCRunTimes.py" --tripid 173-17 --locoid 4066 --swversion DE.1.0.9.0 --startMP 204:444 --initTime 2017-09-17T12:39:15 --startdatetime 2017-09-17T12:45:20 --delay 72 --endMP 204:233316 --enddatetime 2017-09-17T13:20:16 --enforcementcount 0 &gt;&gt;C:\Users\stu\Documents\GitHub\eaglep3-reporting\EC\2017-09-17-refined-times.txt</v>
      </c>
      <c r="AI87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{"issue":{"subject":"","project_id":79,"tracker_id":40,"status_id":1,"priority_id":2,"assigned_to_id":338,"start_date":"2017-09-17","description":"","custom_fields":[{"id":1,"name":"Subdivision","value":"EC"},{"id":4,"name":"Milepost","value":"23.3316"},{"id":17,"name":"Train ID","value":"173-17"},{"id":16,"name":"Locomotive ID","value":"4066"},{"id":130,"name":"Impact","value":""},{"id":150,"name":"Time of Event (Mountain Time)","value":"13:20:16"},{"id":151,"name":"Denver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4"/>
        <v>start /low /b %USERPROFILE%\Documents\GitHub\eaglep3\Utilities\DownloadLogsFromS3.py --loco 4066 --day 2017-09-17</v>
      </c>
      <c r="AN87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19:20:16"},{"id":29,"name":"Sharepoint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Message%20ID',Summary),filters:!(),index:'emp_*',interval:auto,query:"&amp;"(query_string:(analyze_wildcard:!t,query:'Message%5C+ID:(*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-09-17T11:39:15-0600',mode:absolute,to:'2017-09-17T14:20:16-0600'))&amp;_a=(columns:!('Message%20ID',Summary),filters:!(),index:'emp_*',interval:auto,query:(query_string:(analyze_wildcard:!t,query:'Message%5C+ID:(*)+AND+%22rtdc.l.rtdc.4066%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724</v>
      </c>
      <c r="B88" s="7">
        <v>4065</v>
      </c>
      <c r="C88" s="21" t="s">
        <v>197</v>
      </c>
      <c r="D88" s="21" t="s">
        <v>550</v>
      </c>
      <c r="E88" s="13">
        <v>42995.563298611109</v>
      </c>
      <c r="F88" s="13">
        <v>42995.571157407408</v>
      </c>
      <c r="G88" s="7">
        <v>107</v>
      </c>
      <c r="H88" s="21" t="s">
        <v>364</v>
      </c>
      <c r="I88" s="13">
        <v>42995.597013888888</v>
      </c>
      <c r="J88" s="7">
        <v>0</v>
      </c>
      <c r="K88" s="89" t="str">
        <f t="shared" si="30"/>
        <v>4065/4066</v>
      </c>
      <c r="L88" s="186" t="str">
        <f>VLOOKUP(A88,'Trips&amp;Operators'!$C$1:$G$99911,5,FALSE)</f>
        <v>SMITH MICHAEL</v>
      </c>
      <c r="M88" s="6">
        <f t="shared" si="31"/>
        <v>2.5856481479422655E-2</v>
      </c>
      <c r="N88" s="7">
        <f t="shared" si="28"/>
        <v>37.233333330368623</v>
      </c>
      <c r="O88" s="7"/>
      <c r="P88" s="7"/>
      <c r="Q88" s="22"/>
      <c r="R88" s="174"/>
      <c r="S88" s="222">
        <f t="shared" si="29"/>
        <v>1</v>
      </c>
      <c r="T88" s="174" t="str">
        <f t="shared" si="32"/>
        <v>Southbound</v>
      </c>
      <c r="U88" s="19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7" t="str">
        <f t="shared" si="33"/>
        <v>https://d0f6bd738d7f1b3e5a7ca70fe4ff75f0.us-east-1.aws.found.io/app/kibana#/discover/Steve-Slow-Train-Analysis-(2080s-and-2083s)?_g=(refreshInterval:(display:Off,pause:!f,section:0,value:0),time:(from:'2017-09-17T12:31:09-0600',mode:absolute,to:'2017-09-17T15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8" s="205" t="str">
        <f>IF(AA88&lt;VLOOKUP(AG88,Variables!$AC$3:$AD$8,2,FALSE),"Y","N")</f>
        <v>N</v>
      </c>
      <c r="X88" s="205">
        <f t="shared" si="34"/>
        <v>1</v>
      </c>
      <c r="Y88" s="205">
        <f t="shared" si="35"/>
        <v>23.3003</v>
      </c>
      <c r="Z88" s="205">
        <f t="shared" si="36"/>
        <v>1.4500000000000001E-2</v>
      </c>
      <c r="AA88" s="205">
        <f t="shared" si="37"/>
        <v>23.285799999999998</v>
      </c>
      <c r="AB88" s="54" t="e">
        <f>VLOOKUP(A88,Enforcements!$C$7:$K$11,8,0)</f>
        <v>#N/A</v>
      </c>
      <c r="AC88" s="51" t="e">
        <f>VLOOKUP(A88,Enforcements!$C$7:$E$11,3,0)</f>
        <v>#N/A</v>
      </c>
      <c r="AD88" s="180">
        <f t="shared" si="38"/>
        <v>174</v>
      </c>
      <c r="AE88" s="77" t="str">
        <f t="shared" si="39"/>
        <v>aws s3 cp s3://rtdc.mdm.uploadarchive.raw/RTDC4065/ "%USERPROFILE%\AppData\Local\Temp\OnboardLogs"\RTDC4065\2017-09-17 --exclude "*" --recursive --include "*20170917*" &amp; "%USERPROFILE%\Documents\GitHub\mrs-test-scripts\Headless Mode &amp; Sideloading\WalkAndUnGZ.bat" "%USERPROFILE%\AppData\Local\Temp\OnboardLogs"\RTDC4065\2017-09-17 &amp; 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</v>
      </c>
      <c r="AF88" s="74" t="str">
        <f t="shared" si="40"/>
        <v>"C:\Program Files (x86)\AstroGrep\AstroGrep.exe" /e /r /s /spath="%USERPROFILE%\AppData\Local\Temp\OnboardLogs" /stypes="app*4065*20170917*" /stext=" 20:.+((SYSTEM_STATE.+slice.+state.+changed )|(ment ac)|(multiple cpu faults)|(system.+state.+changed )|(\[timeout)|(PRM\|1\|D)|(kpr)|(kdp)|(train st.+moving)|(\|lc)|(penalty))"</v>
      </c>
      <c r="AG88" s="183" t="str">
        <f t="shared" si="41"/>
        <v>EC</v>
      </c>
      <c r="AH88" s="78" t="str">
        <f t="shared" si="42"/>
        <v>"%USERPROFILE%\Documents\GitHub\eaglep3\Utilities\RefineRTDCRunTimes.py" --tripid 174-17 --locoid 4065 --swversion DE.1.0.9.0 --startMP 204:233003 --initTime 2017-09-17T13:31:09 --startdatetime 2017-09-17T13:42:28 --delay 107 --endMP 204:145 --enddatetime 2017-09-17T14:19:42 --enforcementcount 0 &gt;&gt;C:\Users\stu\Documents\GitHub\eaglep3-reporting\EC\2017-09-17-refined-times.txt</v>
      </c>
      <c r="AI88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{"issue":{"subject":"","project_id":79,"tracker_id":40,"status_id":1,"priority_id":2,"assigned_to_id":338,"start_date":"2017-09-17","description":"","custom_fields":[{"id":1,"name":"Subdivision","value":"EC"},{"id":4,"name":"Milepost","value":"0.0145"},{"id":17,"name":"Train ID","value":"174-17"},{"id":16,"name":"Locomotive ID","value":"4065"},{"id":130,"name":"Impact","value":""},{"id":150,"name":"Time of Event (Mountain Time)","value":"14:19:42"},{"id":151,"name":"Denver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4"/>
        <v>start /low /b %USERPROFILE%\Documents\GitHub\eaglep3\Utilities\DownloadLogsFromS3.py --loco 4065 --day 2017-09-17</v>
      </c>
      <c r="AN88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20:19:42"},{"id":29,"name":"Sharepoint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Message%20ID',Summary),filters:!(),index:'emp_*',interval:auto,query:"&amp;"(query_string:(analyze_wildcard:!t,query:'Message%5C+ID:(*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-09-17T12:31:09-0600',mode:absolute,to:'2017-09-17T15:19:42-0600'))&amp;_a=(columns:!('Message%20ID',Summary),filters:!(),index:'emp_*',interval:auto,query:(query_string:(analyze_wildcard:!t,query:'Message%5C+ID:(*)+AND+%22rtdc.l.rtdc.4065%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719</v>
      </c>
      <c r="B89" s="7">
        <v>4028</v>
      </c>
      <c r="C89" s="21" t="s">
        <v>197</v>
      </c>
      <c r="D89" s="21" t="s">
        <v>441</v>
      </c>
      <c r="E89" s="13">
        <v>42995.540381944447</v>
      </c>
      <c r="F89" s="13">
        <v>42995.542326388888</v>
      </c>
      <c r="G89" s="7">
        <v>88</v>
      </c>
      <c r="H89" s="21" t="s">
        <v>857</v>
      </c>
      <c r="I89" s="13">
        <v>42995.567812499998</v>
      </c>
      <c r="J89" s="7">
        <v>0</v>
      </c>
      <c r="K89" s="89" t="str">
        <f t="shared" si="30"/>
        <v>4027/4028</v>
      </c>
      <c r="L89" s="186" t="str">
        <f>VLOOKUP(A89,'Trips&amp;Operators'!$C$1:$G$99911,5,FALSE)</f>
        <v>DAVIS MICHAEL</v>
      </c>
      <c r="M89" s="6">
        <f t="shared" si="31"/>
        <v>2.548611110978527E-2</v>
      </c>
      <c r="N89" s="7">
        <f t="shared" si="28"/>
        <v>36.699999998090789</v>
      </c>
      <c r="O89" s="7"/>
      <c r="P89" s="7"/>
      <c r="Q89" s="22"/>
      <c r="R89" s="174"/>
      <c r="S89" s="222">
        <f t="shared" si="29"/>
        <v>1</v>
      </c>
      <c r="T89" s="174" t="str">
        <f t="shared" si="32"/>
        <v>NorthBound</v>
      </c>
      <c r="U89" s="19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7" t="str">
        <f t="shared" si="33"/>
        <v>https://d0f6bd738d7f1b3e5a7ca70fe4ff75f0.us-east-1.aws.found.io/app/kibana#/discover/Steve-Slow-Train-Analysis-(2080s-and-2083s)?_g=(refreshInterval:(display:Off,pause:!f,section:0,value:0),time:(from:'2017-09-17T11:58:09-0600',mode:absolute,to:'2017-09-17T14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9" s="205" t="str">
        <f>IF(AA89&lt;VLOOKUP(AG89,Variables!$AC$3:$AD$8,2,FALSE),"Y","N")</f>
        <v>N</v>
      </c>
      <c r="X89" s="205">
        <f t="shared" si="34"/>
        <v>1</v>
      </c>
      <c r="Y89" s="205">
        <f t="shared" si="35"/>
        <v>4.3700000000000003E-2</v>
      </c>
      <c r="Z89" s="205">
        <f t="shared" si="36"/>
        <v>23.3368</v>
      </c>
      <c r="AA89" s="205">
        <f t="shared" si="37"/>
        <v>23.293099999999999</v>
      </c>
      <c r="AB89" s="54" t="e">
        <f>VLOOKUP(A89,Enforcements!$C$7:$K$11,8,0)</f>
        <v>#N/A</v>
      </c>
      <c r="AC89" s="51" t="e">
        <f>VLOOKUP(A89,Enforcements!$C$7:$E$11,3,0)</f>
        <v>#N/A</v>
      </c>
      <c r="AD89" s="180">
        <f t="shared" si="38"/>
        <v>175</v>
      </c>
      <c r="AE89" s="77" t="str">
        <f t="shared" si="39"/>
        <v>aws s3 cp s3://rtdc.mdm.uploadarchive.raw/RTDC4028/ "%USERPROFILE%\AppData\Local\Temp\OnboardLogs"\RTDC4028\2017-09-17 --exclude "*" --recursive --include "*20170917*" &amp; "%USERPROFILE%\Documents\GitHub\mrs-test-scripts\Headless Mode &amp; Sideloading\WalkAndUnGZ.bat" "%USERPROFILE%\AppData\Local\Temp\OnboardLogs"\RTDC4028\2017-09-17 &amp; 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</v>
      </c>
      <c r="AF89" s="74" t="str">
        <f t="shared" si="40"/>
        <v>"C:\Program Files (x86)\AstroGrep\AstroGrep.exe" /e /r /s /spath="%USERPROFILE%\AppData\Local\Temp\OnboardLogs" /stypes="app*4028*20170917*" /stext=" 19:.+((SYSTEM_STATE.+slice.+state.+changed )|(ment ac)|(multiple cpu faults)|(system.+state.+changed )|(\[timeout)|(PRM\|1\|D)|(kpr)|(kdp)|(train st.+moving)|(\|lc)|(penalty))"</v>
      </c>
      <c r="AG89" s="183" t="str">
        <f t="shared" si="41"/>
        <v>EC</v>
      </c>
      <c r="AH89" s="78" t="str">
        <f t="shared" si="42"/>
        <v>"%USERPROFILE%\Documents\GitHub\eaglep3\Utilities\RefineRTDCRunTimes.py" --tripid 175-17 --locoid 4028 --swversion DE.1.0.9.0 --startMP 204:437 --initTime 2017-09-17T12:58:09 --startdatetime 2017-09-17T13:00:57 --delay 88 --endMP 204:233368 --enddatetime 2017-09-17T13:37:39 --enforcementcount 0 &gt;&gt;C:\Users\stu\Documents\GitHub\eaglep3-reporting\EC\2017-09-17-refined-times.txt</v>
      </c>
      <c r="AI89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{"issue":{"subject":"","project_id":79,"tracker_id":40,"status_id":1,"priority_id":2,"assigned_to_id":338,"start_date":"2017-09-17","description":"","custom_fields":[{"id":1,"name":"Subdivision","value":"EC"},{"id":4,"name":"Milepost","value":"23.3368"},{"id":17,"name":"Train ID","value":"175-17"},{"id":16,"name":"Locomotive ID","value":"4028"},{"id":130,"name":"Impact","value":""},{"id":150,"name":"Time of Event (Mountain Time)","value":"13:37:39"},{"id":151,"name":"Denver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4"/>
        <v>start /low /b %USERPROFILE%\Documents\GitHub\eaglep3\Utilities\DownloadLogsFromS3.py --loco 4028 --day 2017-09-17</v>
      </c>
      <c r="AN89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19:37:39"},{"id":29,"name":"Sharepoint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Message%20ID',Summary),filters:!(),index:'emp_*',interval:auto,query:"&amp;"(query_string:(analyze_wildcard:!t,query:'Message%5C+ID:(*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-09-17T11:58:09-0600',mode:absolute,to:'2017-09-17T14:37:39-0600'))&amp;_a=(columns:!('Message%20ID',Summary),filters:!(),index:'emp_*',interval:auto,query:(query_string:(analyze_wildcard:!t,query:'Message%5C+ID:(*)+AND+%22rtdc.l.rtdc.4028%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727</v>
      </c>
      <c r="B90" s="7">
        <v>4027</v>
      </c>
      <c r="C90" s="21" t="s">
        <v>197</v>
      </c>
      <c r="D90" s="21" t="s">
        <v>566</v>
      </c>
      <c r="E90" s="13">
        <v>42995.579699074071</v>
      </c>
      <c r="F90" s="13">
        <v>42995.581597222219</v>
      </c>
      <c r="G90" s="7">
        <v>65</v>
      </c>
      <c r="H90" s="21" t="s">
        <v>397</v>
      </c>
      <c r="I90" s="13">
        <v>42995.608715277776</v>
      </c>
      <c r="J90" s="7">
        <v>0</v>
      </c>
      <c r="K90" s="89" t="str">
        <f t="shared" si="30"/>
        <v>4027/4028</v>
      </c>
      <c r="L90" s="186" t="str">
        <f>VLOOKUP(A90,'Trips&amp;Operators'!$C$1:$G$99911,5,FALSE)</f>
        <v>DAVIS MICHAEL</v>
      </c>
      <c r="M90" s="6">
        <f t="shared" si="31"/>
        <v>2.7118055557366461E-2</v>
      </c>
      <c r="N90" s="7">
        <f t="shared" si="28"/>
        <v>39.050000002607703</v>
      </c>
      <c r="O90" s="7"/>
      <c r="P90" s="7"/>
      <c r="Q90" s="22"/>
      <c r="R90" s="174"/>
      <c r="S90" s="222">
        <f t="shared" si="29"/>
        <v>1</v>
      </c>
      <c r="T90" s="174" t="str">
        <f t="shared" si="32"/>
        <v>Southbound</v>
      </c>
      <c r="U90" s="19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7" t="str">
        <f t="shared" si="33"/>
        <v>https://d0f6bd738d7f1b3e5a7ca70fe4ff75f0.us-east-1.aws.found.io/app/kibana#/discover/Steve-Slow-Train-Analysis-(2080s-and-2083s)?_g=(refreshInterval:(display:Off,pause:!f,section:0,value:0),time:(from:'2017-09-17T12:54:46-0600',mode:absolute,to:'2017-09-17T15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0" s="205" t="str">
        <f>IF(AA90&lt;VLOOKUP(AG90,Variables!$AC$3:$AD$8,2,FALSE),"Y","N")</f>
        <v>N</v>
      </c>
      <c r="X90" s="205">
        <f t="shared" si="34"/>
        <v>1</v>
      </c>
      <c r="Y90" s="205">
        <f t="shared" si="35"/>
        <v>23.302700000000002</v>
      </c>
      <c r="Z90" s="205">
        <f t="shared" si="36"/>
        <v>1.3899999999999999E-2</v>
      </c>
      <c r="AA90" s="205">
        <f t="shared" si="37"/>
        <v>23.288800000000002</v>
      </c>
      <c r="AB90" s="54" t="e">
        <f>VLOOKUP(A90,Enforcements!$C$7:$K$11,8,0)</f>
        <v>#N/A</v>
      </c>
      <c r="AC90" s="51" t="e">
        <f>VLOOKUP(A90,Enforcements!$C$7:$E$11,3,0)</f>
        <v>#N/A</v>
      </c>
      <c r="AD90" s="180">
        <f t="shared" si="38"/>
        <v>176</v>
      </c>
      <c r="AE90" s="77" t="str">
        <f t="shared" si="39"/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AF90" s="74" t="str">
        <f t="shared" si="40"/>
        <v>"C:\Program Files (x86)\AstroGrep\AstroGrep.exe" /e /r /s /spath="%USERPROFILE%\AppData\Local\Temp\OnboardLogs" /stypes="app*4027*20170917*" /stext=" 20:.+((SYSTEM_STATE.+slice.+state.+changed )|(ment ac)|(multiple cpu faults)|(system.+state.+changed )|(\[timeout)|(PRM\|1\|D)|(kpr)|(kdp)|(train st.+moving)|(\|lc)|(penalty))"</v>
      </c>
      <c r="AG90" s="183" t="str">
        <f t="shared" si="41"/>
        <v>EC</v>
      </c>
      <c r="AH90" s="78" t="str">
        <f t="shared" si="42"/>
        <v>"%USERPROFILE%\Documents\GitHub\eaglep3\Utilities\RefineRTDCRunTimes.py" --tripid 176-17 --locoid 4027 --swversion DE.1.0.9.0 --startMP 204:233027 --initTime 2017-09-17T13:54:46 --startdatetime 2017-09-17T13:57:30 --delay 65 --endMP 204:139 --enddatetime 2017-09-17T14:36:33 --enforcementcount 0 &gt;&gt;C:\Users\stu\Documents\GitHub\eaglep3-reporting\EC\2017-09-17-refined-times.txt</v>
      </c>
      <c r="AI90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{"issue":{"subject":"","project_id":79,"tracker_id":40,"status_id":1,"priority_id":2,"assigned_to_id":338,"start_date":"2017-09-17","description":"","custom_fields":[{"id":1,"name":"Subdivision","value":"EC"},{"id":4,"name":"Milepost","value":"0.0139"},{"id":17,"name":"Train ID","value":"176-17"},{"id":16,"name":"Locomotive ID","value":"4027"},{"id":130,"name":"Impact","value":""},{"id":150,"name":"Time of Event (Mountain Time)","value":"14:36:33"},{"id":151,"name":"Denver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4"/>
        <v>start /low /b %USERPROFILE%\Documents\GitHub\eaglep3\Utilities\DownloadLogsFromS3.py --loco 4027 --day 2017-09-17</v>
      </c>
      <c r="AN90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20:36:33"},{"id":29,"name":"Sharepoint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Message%20ID',Summary),filters:!(),index:'emp_*',interval:auto,query:"&amp;"(query_string:(analyze_wildcard:!t,query:'Message%5C+ID:(*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-09-17T12:54:46-0600',mode:absolute,to:'2017-09-17T15:36:33-0600'))&amp;_a=(columns:!('Message%20ID',Summary),filters:!(),index:'emp_*',interval:auto,query:(query_string:(analyze_wildcard:!t,query:'Message%5C+ID:(*)+AND+%22rtdc.l.rtdc.4027%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720</v>
      </c>
      <c r="B91" s="7">
        <v>4056</v>
      </c>
      <c r="C91" s="21" t="s">
        <v>197</v>
      </c>
      <c r="D91" s="21" t="s">
        <v>337</v>
      </c>
      <c r="E91" s="13">
        <v>42995.548796296294</v>
      </c>
      <c r="F91" s="13">
        <v>42995.552581018521</v>
      </c>
      <c r="G91" s="7">
        <v>60</v>
      </c>
      <c r="H91" s="21" t="s">
        <v>547</v>
      </c>
      <c r="I91" s="13">
        <v>42995.576851851853</v>
      </c>
      <c r="J91" s="7">
        <v>0</v>
      </c>
      <c r="K91" s="89" t="str">
        <f t="shared" si="30"/>
        <v>4055/4056</v>
      </c>
      <c r="L91" s="186" t="str">
        <f>VLOOKUP(A91,'Trips&amp;Operators'!$C$1:$G$99911,5,FALSE)</f>
        <v>SAFIEF AEIMEN</v>
      </c>
      <c r="M91" s="6">
        <f t="shared" si="31"/>
        <v>2.4270833331684116E-2</v>
      </c>
      <c r="N91" s="7">
        <f t="shared" si="28"/>
        <v>34.949999997625127</v>
      </c>
      <c r="O91" s="7"/>
      <c r="P91" s="7"/>
      <c r="Q91" s="22"/>
      <c r="R91" s="174"/>
      <c r="S91" s="222">
        <f t="shared" si="29"/>
        <v>1</v>
      </c>
      <c r="T91" s="174" t="str">
        <f t="shared" si="32"/>
        <v>NorthBound</v>
      </c>
      <c r="U91" s="19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7" t="str">
        <f t="shared" si="33"/>
        <v>https://d0f6bd738d7f1b3e5a7ca70fe4ff75f0.us-east-1.aws.found.io/app/kibana#/discover/Steve-Slow-Train-Analysis-(2080s-and-2083s)?_g=(refreshInterval:(display:Off,pause:!f,section:0,value:0),time:(from:'2017-09-17T12:10:16-0600',mode:absolute,to:'2017-09-17T14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1" s="205" t="str">
        <f>IF(AA91&lt;VLOOKUP(AG91,Variables!$AC$3:$AD$8,2,FALSE),"Y","N")</f>
        <v>N</v>
      </c>
      <c r="X91" s="205">
        <f t="shared" si="34"/>
        <v>1</v>
      </c>
      <c r="Y91" s="205">
        <f t="shared" si="35"/>
        <v>4.4600000000000001E-2</v>
      </c>
      <c r="Z91" s="205">
        <f t="shared" si="36"/>
        <v>23.335699999999999</v>
      </c>
      <c r="AA91" s="205">
        <f t="shared" si="37"/>
        <v>23.2911</v>
      </c>
      <c r="AB91" s="54" t="e">
        <f>VLOOKUP(A91,Enforcements!$C$7:$K$11,8,0)</f>
        <v>#N/A</v>
      </c>
      <c r="AC91" s="51" t="e">
        <f>VLOOKUP(A91,Enforcements!$C$7:$E$11,3,0)</f>
        <v>#N/A</v>
      </c>
      <c r="AD91" s="180">
        <f t="shared" si="38"/>
        <v>177</v>
      </c>
      <c r="AE91" s="77" t="str">
        <f t="shared" si="39"/>
        <v>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 &amp; aws s3 cp s3://rtdc.mdm.uploadarchive.raw/RTDC4056/ "%USERPROFILE%\AppData\Local\Temp\OnboardLogs"\RTDC4056\2017-09-18 --exclude "*" --recursive --include "*20170918*" &amp; "%USERPROFILE%\Documents\GitHub\mrs-test-scripts\Headless Mode &amp; Sideloading\WalkAndUnGZ.bat" "%USERPROFILE%\AppData\Local\Temp\OnboardLogs"\RTDC4056\2017-09-18</v>
      </c>
      <c r="AF91" s="74" t="str">
        <f t="shared" si="40"/>
        <v>"C:\Program Files (x86)\AstroGrep\AstroGrep.exe" /e /r /s /spath="%USERPROFILE%\AppData\Local\Temp\OnboardLogs" /stypes="app*4056*20170917*" /stext=" 19:.+((SYSTEM_STATE.+slice.+state.+changed )|(ment ac)|(multiple cpu faults)|(system.+state.+changed )|(\[timeout)|(PRM\|1\|D)|(kpr)|(kdp)|(train st.+moving)|(\|lc)|(penalty))"</v>
      </c>
      <c r="AG91" s="183" t="str">
        <f t="shared" si="41"/>
        <v>EC</v>
      </c>
      <c r="AH91" s="78" t="str">
        <f t="shared" si="42"/>
        <v>"%USERPROFILE%\Documents\GitHub\eaglep3\Utilities\RefineRTDCRunTimes.py" --tripid 177-17 --locoid 4056 --swversion DE.1.0.9.0 --startMP 204:446 --initTime 2017-09-17T13:10:16 --startdatetime 2017-09-17T13:15:43 --delay 60 --endMP 204:233357 --enddatetime 2017-09-17T13:50:40 --enforcementcount 0 &gt;&gt;C:\Users\stu\Documents\GitHub\eaglep3-reporting\EC\2017-09-17-refined-times.txt</v>
      </c>
      <c r="AI91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{"issue":{"subject":"","project_id":79,"tracker_id":40,"status_id":1,"priority_id":2,"assigned_to_id":338,"start_date":"2017-09-17","description":"","custom_fields":[{"id":1,"name":"Subdivision","value":"EC"},{"id":4,"name":"Milepost","value":"23.3357"},{"id":17,"name":"Train ID","value":"177-17"},{"id":16,"name":"Locomotive ID","value":"4056"},{"id":130,"name":"Impact","value":""},{"id":150,"name":"Time of Event (Mountain Time)","value":"13:50:40"},{"id":151,"name":"Denver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4"/>
        <v>start /low /b %USERPROFILE%\Documents\GitHub\eaglep3\Utilities\DownloadLogsFromS3.py --loco 4056 --day 2017-09-17</v>
      </c>
      <c r="AN91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19:50:40"},{"id":29,"name":"Sharepoint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Message%20ID',Summary),filters:!(),index:'emp_*',interval:auto,query:"&amp;"(query_string:(analyze_wildcard:!t,query:'Message%5C+ID:(*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-09-17T12:10:16-0600',mode:absolute,to:'2017-09-17T14:50:40-0600'))&amp;_a=(columns:!('Message%20ID',Summary),filters:!(),index:'emp_*',interval:auto,query:(query_string:(analyze_wildcard:!t,query:'Message%5C+ID:(*)+AND+%22rtdc.l.rtdc.4056%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728</v>
      </c>
      <c r="B92" s="7">
        <v>4055</v>
      </c>
      <c r="C92" s="21" t="s">
        <v>197</v>
      </c>
      <c r="D92" s="21" t="s">
        <v>431</v>
      </c>
      <c r="E92" s="13">
        <v>42995.580659722225</v>
      </c>
      <c r="F92" s="13">
        <v>42995.592094907406</v>
      </c>
      <c r="G92" s="7">
        <v>65</v>
      </c>
      <c r="H92" s="21" t="s">
        <v>382</v>
      </c>
      <c r="I92" s="13">
        <v>42995.617893518516</v>
      </c>
      <c r="J92" s="7">
        <v>0</v>
      </c>
      <c r="K92" s="89" t="str">
        <f t="shared" si="30"/>
        <v>4055/4056</v>
      </c>
      <c r="L92" s="186" t="str">
        <f>VLOOKUP(A92,'Trips&amp;Operators'!$C$1:$G$99911,5,FALSE)</f>
        <v>SAFIEF AEIMEN</v>
      </c>
      <c r="M92" s="6">
        <f t="shared" si="31"/>
        <v>2.5798611110076308E-2</v>
      </c>
      <c r="N92" s="7">
        <f t="shared" si="28"/>
        <v>37.149999998509884</v>
      </c>
      <c r="O92" s="7"/>
      <c r="P92" s="7"/>
      <c r="Q92" s="22"/>
      <c r="R92" s="174"/>
      <c r="S92" s="222">
        <f t="shared" si="29"/>
        <v>1</v>
      </c>
      <c r="T92" s="174" t="str">
        <f t="shared" si="32"/>
        <v>Southbound</v>
      </c>
      <c r="U92" s="19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7" t="str">
        <f t="shared" si="33"/>
        <v>https://d0f6bd738d7f1b3e5a7ca70fe4ff75f0.us-east-1.aws.found.io/app/kibana#/discover/Steve-Slow-Train-Analysis-(2080s-and-2083s)?_g=(refreshInterval:(display:Off,pause:!f,section:0,value:0),time:(from:'2017-09-17T12:56:09-0600',mode:absolute,to:'2017-09-17T15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2" s="205" t="str">
        <f>IF(AA92&lt;VLOOKUP(AG92,Variables!$AC$3:$AD$8,2,FALSE),"Y","N")</f>
        <v>N</v>
      </c>
      <c r="X92" s="205">
        <f t="shared" si="34"/>
        <v>1</v>
      </c>
      <c r="Y92" s="205">
        <f t="shared" si="35"/>
        <v>23.301300000000001</v>
      </c>
      <c r="Z92" s="205">
        <f t="shared" si="36"/>
        <v>1.5800000000000002E-2</v>
      </c>
      <c r="AA92" s="205">
        <f t="shared" si="37"/>
        <v>23.285500000000003</v>
      </c>
      <c r="AB92" s="54" t="e">
        <f>VLOOKUP(A92,Enforcements!$C$7:$K$11,8,0)</f>
        <v>#N/A</v>
      </c>
      <c r="AC92" s="51" t="e">
        <f>VLOOKUP(A92,Enforcements!$C$7:$E$11,3,0)</f>
        <v>#N/A</v>
      </c>
      <c r="AD92" s="180">
        <f t="shared" si="38"/>
        <v>178</v>
      </c>
      <c r="AE92" s="77" t="str">
        <f t="shared" si="39"/>
        <v>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 &amp; aws s3 cp s3://rtdc.mdm.uploadarchive.raw/RTDC4055/ "%USERPROFILE%\AppData\Local\Temp\OnboardLogs"\RTDC4055\2017-09-18 --exclude "*" --recursive --include "*20170918*" &amp; "%USERPROFILE%\Documents\GitHub\mrs-test-scripts\Headless Mode &amp; Sideloading\WalkAndUnGZ.bat" "%USERPROFILE%\AppData\Local\Temp\OnboardLogs"\RTDC4055\2017-09-18</v>
      </c>
      <c r="AF92" s="74" t="str">
        <f t="shared" si="40"/>
        <v>"C:\Program Files (x86)\AstroGrep\AstroGrep.exe" /e /r /s /spath="%USERPROFILE%\AppData\Local\Temp\OnboardLogs" /stypes="app*4055*20170917*" /stext=" 20:.+((SYSTEM_STATE.+slice.+state.+changed )|(ment ac)|(multiple cpu faults)|(system.+state.+changed )|(\[timeout)|(PRM\|1\|D)|(kpr)|(kdp)|(train st.+moving)|(\|lc)|(penalty))"</v>
      </c>
      <c r="AG92" s="183" t="str">
        <f t="shared" si="41"/>
        <v>EC</v>
      </c>
      <c r="AH92" s="78" t="str">
        <f t="shared" si="42"/>
        <v>"%USERPROFILE%\Documents\GitHub\eaglep3\Utilities\RefineRTDCRunTimes.py" --tripid 178-17 --locoid 4055 --swversion DE.1.0.9.0 --startMP 204:233013 --initTime 2017-09-17T13:56:09 --startdatetime 2017-09-17T14:12:37 --delay 65 --endMP 204:158 --enddatetime 2017-09-17T14:49:46 --enforcementcount 0 &gt;&gt;C:\Users\stu\Documents\GitHub\eaglep3-reporting\EC\2017-09-17-refined-times.txt</v>
      </c>
      <c r="AI92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{"issue":{"subject":"","project_id":79,"tracker_id":40,"status_id":1,"priority_id":2,"assigned_to_id":338,"start_date":"2017-09-17","description":"","custom_fields":[{"id":1,"name":"Subdivision","value":"EC"},{"id":4,"name":"Milepost","value":"0.0158"},{"id":17,"name":"Train ID","value":"178-17"},{"id":16,"name":"Locomotive ID","value":"4055"},{"id":130,"name":"Impact","value":""},{"id":150,"name":"Time of Event (Mountain Time)","value":"14:49:46"},{"id":151,"name":"Denver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4"/>
        <v>start /low /b %USERPROFILE%\Documents\GitHub\eaglep3\Utilities\DownloadLogsFromS3.py --loco 4055 --day 2017-09-17</v>
      </c>
      <c r="AN92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20:49:46"},{"id":29,"name":"Sharepoint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Message%20ID',Summary),filters:!(),index:'emp_*',interval:auto,query:"&amp;"(query_string:(analyze_wildcard:!t,query:'Message%5C+ID:(*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-09-17T12:56:09-0600',mode:absolute,to:'2017-09-17T15:49:46-0600'))&amp;_a=(columns:!('Message%20ID',Summary),filters:!(),index:'emp_*',interval:auto,query:(query_string:(analyze_wildcard:!t,query:'Message%5C+ID:(*)+AND+%22rtdc.l.rtdc.4055%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722</v>
      </c>
      <c r="B93" s="7">
        <v>4044</v>
      </c>
      <c r="C93" s="21" t="s">
        <v>197</v>
      </c>
      <c r="D93" s="21" t="s">
        <v>358</v>
      </c>
      <c r="E93" s="13">
        <v>42995.557488425926</v>
      </c>
      <c r="F93" s="13">
        <v>42995.562650462962</v>
      </c>
      <c r="G93" s="7">
        <v>62</v>
      </c>
      <c r="H93" s="21" t="s">
        <v>552</v>
      </c>
      <c r="I93" s="13">
        <v>42995.587581018517</v>
      </c>
      <c r="J93" s="7">
        <v>0</v>
      </c>
      <c r="K93" s="89" t="str">
        <f t="shared" si="30"/>
        <v>4043/4044</v>
      </c>
      <c r="L93" s="186" t="str">
        <f>VLOOKUP(A93,'Trips&amp;Operators'!$C$1:$G$99911,5,FALSE)</f>
        <v>MCREYNOLDS KYLE</v>
      </c>
      <c r="M93" s="6">
        <f t="shared" si="31"/>
        <v>2.4930555555329192E-2</v>
      </c>
      <c r="N93" s="7">
        <f t="shared" si="28"/>
        <v>35.899999999674037</v>
      </c>
      <c r="O93" s="7"/>
      <c r="P93" s="7"/>
      <c r="Q93" s="22"/>
      <c r="R93" s="174"/>
      <c r="S93" s="222">
        <f t="shared" si="29"/>
        <v>1</v>
      </c>
      <c r="T93" s="174" t="str">
        <f t="shared" si="32"/>
        <v>NorthBound</v>
      </c>
      <c r="U93" s="19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7" t="str">
        <f t="shared" si="33"/>
        <v>https://d0f6bd738d7f1b3e5a7ca70fe4ff75f0.us-east-1.aws.found.io/app/kibana#/discover/Steve-Slow-Train-Analysis-(2080s-and-2083s)?_g=(refreshInterval:(display:Off,pause:!f,section:0,value:0),time:(from:'2017-09-17T12:22:47-0600',mode:absolute,to:'2017-09-17T15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205" t="str">
        <f>IF(AA93&lt;VLOOKUP(AG93,Variables!$AC$3:$AD$8,2,FALSE),"Y","N")</f>
        <v>N</v>
      </c>
      <c r="X93" s="205">
        <f t="shared" si="34"/>
        <v>1</v>
      </c>
      <c r="Y93" s="205">
        <f t="shared" si="35"/>
        <v>4.58E-2</v>
      </c>
      <c r="Z93" s="205">
        <f t="shared" si="36"/>
        <v>23.3355</v>
      </c>
      <c r="AA93" s="205">
        <f t="shared" si="37"/>
        <v>23.2897</v>
      </c>
      <c r="AB93" s="54" t="e">
        <f>VLOOKUP(A93,Enforcements!$C$7:$K$11,8,0)</f>
        <v>#N/A</v>
      </c>
      <c r="AC93" s="51" t="e">
        <f>VLOOKUP(A93,Enforcements!$C$7:$E$11,3,0)</f>
        <v>#N/A</v>
      </c>
      <c r="AD93" s="180">
        <f t="shared" si="38"/>
        <v>179</v>
      </c>
      <c r="AE93" s="77" t="str">
        <f t="shared" si="39"/>
        <v>aws s3 cp s3://rtdc.mdm.uploadarchive.raw/RTDC4044/ "%USERPROFILE%\AppData\Local\Temp\OnboardLogs"\RTDC4044\2017-09-17 --exclude "*" --recursive --include "*20170917*" &amp; "%USERPROFILE%\Documents\GitHub\mrs-test-scripts\Headless Mode &amp; Sideloading\WalkAndUnGZ.bat" "%USERPROFILE%\AppData\Local\Temp\OnboardLogs"\RTDC4044\2017-09-17 &amp; aws s3 cp s3://rtdc.mdm.uploadarchive.raw/RTDC4044/ "%USERPROFILE%\AppData\Local\Temp\OnboardLogs"\RTDC4044\2017-09-18 --exclude "*" --recursive --include "*20170918*" &amp; "%USERPROFILE%\Documents\GitHub\mrs-test-scripts\Headless Mode &amp; Sideloading\WalkAndUnGZ.bat" "%USERPROFILE%\AppData\Local\Temp\OnboardLogs"\RTDC4044\2017-09-18</v>
      </c>
      <c r="AF93" s="74" t="str">
        <f t="shared" si="40"/>
        <v>"C:\Program Files (x86)\AstroGrep\AstroGrep.exe" /e /r /s /spath="%USERPROFILE%\AppData\Local\Temp\OnboardLogs" /stypes="app*4044*20170917*" /stext=" 20:.+((SYSTEM_STATE.+slice.+state.+changed )|(ment ac)|(multiple cpu faults)|(system.+state.+changed )|(\[timeout)|(PRM\|1\|D)|(kpr)|(kdp)|(train st.+moving)|(\|lc)|(penalty))"</v>
      </c>
      <c r="AG93" s="183" t="str">
        <f t="shared" si="41"/>
        <v>EC</v>
      </c>
      <c r="AH93" s="78" t="str">
        <f t="shared" si="42"/>
        <v>"%USERPROFILE%\Documents\GitHub\eaglep3\Utilities\RefineRTDCRunTimes.py" --tripid 179-17 --locoid 4044 --swversion DE.1.0.9.0 --startMP 204:458 --initTime 2017-09-17T13:22:47 --startdatetime 2017-09-17T13:30:13 --delay 62 --endMP 204:233355 --enddatetime 2017-09-17T14:06:07 --enforcementcount 0 &gt;&gt;C:\Users\stu\Documents\GitHub\eaglep3-reporting\EC\2017-09-17-refined-times.txt</v>
      </c>
      <c r="AI93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{"issue":{"subject":"","project_id":79,"tracker_id":40,"status_id":1,"priority_id":2,"assigned_to_id":338,"start_date":"2017-09-17","description":"","custom_fields":[{"id":1,"name":"Subdivision","value":"EC"},{"id":4,"name":"Milepost","value":"23.3355"},{"id":17,"name":"Train ID","value":"179-17"},{"id":16,"name":"Locomotive ID","value":"4044"},{"id":130,"name":"Impact","value":""},{"id":150,"name":"Time of Event (Mountain Time)","value":"14:06:07"},{"id":151,"name":"Denver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4"/>
        <v>start /low /b %USERPROFILE%\Documents\GitHub\eaglep3\Utilities\DownloadLogsFromS3.py --loco 4044 --day 2017-09-17</v>
      </c>
      <c r="AN93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20:06:07"},{"id":29,"name":"Sharepoint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Message%20ID',Summary),filters:!(),index:'emp_*',interval:auto,query:"&amp;"(query_string:(analyze_wildcard:!t,query:'Message%5C+ID:(*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-09-17T12:22:47-0600',mode:absolute,to:'2017-09-17T15:06:07-0600'))&amp;_a=(columns:!('Message%20ID',Summary),filters:!(),index:'emp_*',interval:auto,query:(query_string:(analyze_wildcard:!t,query:'Message%5C+ID:(*)+AND+%22rtdc.l.rtdc.4044%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730</v>
      </c>
      <c r="B94" s="7">
        <v>4043</v>
      </c>
      <c r="C94" s="21" t="s">
        <v>197</v>
      </c>
      <c r="D94" s="21" t="s">
        <v>485</v>
      </c>
      <c r="E94" s="13">
        <v>42995.595451388886</v>
      </c>
      <c r="F94" s="13">
        <v>42995.60224537037</v>
      </c>
      <c r="G94" s="7">
        <v>58</v>
      </c>
      <c r="H94" s="21" t="s">
        <v>359</v>
      </c>
      <c r="I94" s="13">
        <v>42995.628275462965</v>
      </c>
      <c r="J94" s="7">
        <v>0</v>
      </c>
      <c r="K94" s="89" t="str">
        <f t="shared" si="30"/>
        <v>4043/4044</v>
      </c>
      <c r="L94" s="186" t="str">
        <f>VLOOKUP(A94,'Trips&amp;Operators'!$C$1:$G$99911,5,FALSE)</f>
        <v>MCREYNOLDS KYLE</v>
      </c>
      <c r="M94" s="6">
        <f t="shared" si="31"/>
        <v>2.6030092594737653E-2</v>
      </c>
      <c r="N94" s="7">
        <f t="shared" si="28"/>
        <v>37.48333333642222</v>
      </c>
      <c r="O94" s="7"/>
      <c r="P94" s="7"/>
      <c r="Q94" s="22"/>
      <c r="R94" s="174"/>
      <c r="S94" s="222">
        <f t="shared" si="29"/>
        <v>1</v>
      </c>
      <c r="T94" s="174" t="str">
        <f t="shared" si="32"/>
        <v>Southbound</v>
      </c>
      <c r="U94" s="19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7" t="str">
        <f t="shared" si="33"/>
        <v>https://d0f6bd738d7f1b3e5a7ca70fe4ff75f0.us-east-1.aws.found.io/app/kibana#/discover/Steve-Slow-Train-Analysis-(2080s-and-2083s)?_g=(refreshInterval:(display:Off,pause:!f,section:0,value:0),time:(from:'2017-09-17T13:17:27-0600',mode:absolute,to:'2017-09-17T16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205" t="str">
        <f>IF(AA94&lt;VLOOKUP(AG94,Variables!$AC$3:$AD$8,2,FALSE),"Y","N")</f>
        <v>N</v>
      </c>
      <c r="X94" s="205">
        <f t="shared" si="34"/>
        <v>1</v>
      </c>
      <c r="Y94" s="205">
        <f t="shared" si="35"/>
        <v>23.303999999999998</v>
      </c>
      <c r="Z94" s="205">
        <f t="shared" si="36"/>
        <v>1.52E-2</v>
      </c>
      <c r="AA94" s="205">
        <f t="shared" si="37"/>
        <v>23.288799999999998</v>
      </c>
      <c r="AB94" s="54" t="e">
        <f>VLOOKUP(A94,Enforcements!$C$7:$K$11,8,0)</f>
        <v>#N/A</v>
      </c>
      <c r="AC94" s="51" t="e">
        <f>VLOOKUP(A94,Enforcements!$C$7:$E$11,3,0)</f>
        <v>#N/A</v>
      </c>
      <c r="AD94" s="180">
        <f t="shared" si="38"/>
        <v>180</v>
      </c>
      <c r="AE94" s="77" t="str">
        <f t="shared" si="39"/>
        <v>aws s3 cp s3://rtdc.mdm.uploadarchive.raw/RTDC4043/ "%USERPROFILE%\AppData\Local\Temp\OnboardLogs"\RTDC4043\2017-09-17 --exclude "*" --recursive --include "*20170917*" &amp; "%USERPROFILE%\Documents\GitHub\mrs-test-scripts\Headless Mode &amp; Sideloading\WalkAndUnGZ.bat" "%USERPROFILE%\AppData\Local\Temp\OnboardLogs"\RTDC4043\2017-09-17 &amp; aws s3 cp s3://rtdc.mdm.uploadarchive.raw/RTDC4043/ "%USERPROFILE%\AppData\Local\Temp\OnboardLogs"\RTDC4043\2017-09-18 --exclude "*" --recursive --include "*20170918*" &amp; "%USERPROFILE%\Documents\GitHub\mrs-test-scripts\Headless Mode &amp; Sideloading\WalkAndUnGZ.bat" "%USERPROFILE%\AppData\Local\Temp\OnboardLogs"\RTDC4043\2017-09-18</v>
      </c>
      <c r="AF94" s="74" t="str">
        <f t="shared" si="40"/>
        <v>"C:\Program Files (x86)\AstroGrep\AstroGrep.exe" /e /r /s /spath="%USERPROFILE%\AppData\Local\Temp\OnboardLogs" /stypes="app*4043*20170917*" /stext=" 21:.+((SYSTEM_STATE.+slice.+state.+changed )|(ment ac)|(multiple cpu faults)|(system.+state.+changed )|(\[timeout)|(PRM\|1\|D)|(kpr)|(kdp)|(train st.+moving)|(\|lc)|(penalty))"</v>
      </c>
      <c r="AG94" s="183" t="str">
        <f t="shared" si="41"/>
        <v>EC</v>
      </c>
      <c r="AH94" s="78" t="str">
        <f t="shared" si="42"/>
        <v>"%USERPROFILE%\Documents\GitHub\eaglep3\Utilities\RefineRTDCRunTimes.py" --tripid 180-17 --locoid 4043 --swversion DE.1.0.9.0 --startMP 204:233040 --initTime 2017-09-17T14:17:27 --startdatetime 2017-09-17T14:27:14 --delay 58 --endMP 204:152 --enddatetime 2017-09-17T15:04:43 --enforcementcount 0 &gt;&gt;C:\Users\stu\Documents\GitHub\eaglep3-reporting\EC\2017-09-17-refined-times.txt</v>
      </c>
      <c r="AI94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{"issue":{"subject":"","project_id":79,"tracker_id":40,"status_id":1,"priority_id":2,"assigned_to_id":338,"start_date":"2017-09-17","description":"","custom_fields":[{"id":1,"name":"Subdivision","value":"EC"},{"id":4,"name":"Milepost","value":"0.0152"},{"id":17,"name":"Train ID","value":"180-17"},{"id":16,"name":"Locomotive ID","value":"4043"},{"id":130,"name":"Impact","value":""},{"id":150,"name":"Time of Event (Mountain Time)","value":"15:04:43"},{"id":151,"name":"Denver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4"/>
        <v>start /low /b %USERPROFILE%\Documents\GitHub\eaglep3\Utilities\DownloadLogsFromS3.py --loco 4043 --day 2017-09-17</v>
      </c>
      <c r="AN94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21:04:43"},{"id":29,"name":"Sharepoint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Message%20ID',Summary),filters:!(),index:'emp_*',interval:auto,query:"&amp;"(query_string:(analyze_wildcard:!t,query:'Message%5C+ID:(*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-09-17T13:17:27-0600',mode:absolute,to:'2017-09-17T16:04:43-0600'))&amp;_a=(columns:!('Message%20ID',Summary),filters:!(),index:'emp_*',interval:auto,query:(query_string:(analyze_wildcard:!t,query:'Message%5C+ID:(*)+AND+%22rtdc.l.rtdc.4043%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725</v>
      </c>
      <c r="B95" s="7">
        <v>4060</v>
      </c>
      <c r="C95" s="21" t="s">
        <v>197</v>
      </c>
      <c r="D95" s="21" t="s">
        <v>337</v>
      </c>
      <c r="E95" s="13">
        <v>42995.569641203707</v>
      </c>
      <c r="F95" s="13">
        <v>42995.573101851849</v>
      </c>
      <c r="G95" s="7">
        <v>48</v>
      </c>
      <c r="H95" s="21" t="s">
        <v>877</v>
      </c>
      <c r="I95" s="13">
        <v>42995.598692129628</v>
      </c>
      <c r="J95" s="7">
        <v>0</v>
      </c>
      <c r="K95" s="89" t="str">
        <f t="shared" si="30"/>
        <v>4059/4060</v>
      </c>
      <c r="L95" s="186" t="str">
        <f>VLOOKUP(A95,'Trips&amp;Operators'!$C$1:$G$99911,5,FALSE)</f>
        <v>BADERTSCHER DIANE</v>
      </c>
      <c r="M95" s="6">
        <f t="shared" si="31"/>
        <v>2.5590277778974269E-2</v>
      </c>
      <c r="N95" s="7">
        <f t="shared" si="28"/>
        <v>36.850000001722947</v>
      </c>
      <c r="O95" s="7"/>
      <c r="P95" s="7"/>
      <c r="Q95" s="22"/>
      <c r="R95" s="174"/>
      <c r="S95" s="222">
        <f t="shared" si="29"/>
        <v>1</v>
      </c>
      <c r="T95" s="174" t="str">
        <f t="shared" si="32"/>
        <v>NorthBound</v>
      </c>
      <c r="U95" s="19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7" t="str">
        <f t="shared" si="33"/>
        <v>https://d0f6bd738d7f1b3e5a7ca70fe4ff75f0.us-east-1.aws.found.io/app/kibana#/discover/Steve-Slow-Train-Analysis-(2080s-and-2083s)?_g=(refreshInterval:(display:Off,pause:!f,section:0,value:0),time:(from:'2017-09-17T12:40:17-0600',mode:absolute,to:'2017-09-17T15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5" s="205" t="str">
        <f>IF(AA95&lt;VLOOKUP(AG95,Variables!$AC$3:$AD$8,2,FALSE),"Y","N")</f>
        <v>N</v>
      </c>
      <c r="X95" s="205">
        <f t="shared" si="34"/>
        <v>1</v>
      </c>
      <c r="Y95" s="205">
        <f t="shared" si="35"/>
        <v>4.4600000000000001E-2</v>
      </c>
      <c r="Z95" s="205">
        <f t="shared" si="36"/>
        <v>23.335899999999999</v>
      </c>
      <c r="AA95" s="205">
        <f t="shared" si="37"/>
        <v>23.2913</v>
      </c>
      <c r="AB95" s="54" t="e">
        <f>VLOOKUP(A95,Enforcements!$C$7:$K$11,8,0)</f>
        <v>#N/A</v>
      </c>
      <c r="AC95" s="51" t="e">
        <f>VLOOKUP(A95,Enforcements!$C$7:$E$11,3,0)</f>
        <v>#N/A</v>
      </c>
      <c r="AD95" s="180">
        <f t="shared" si="38"/>
        <v>181</v>
      </c>
      <c r="AE95" s="77" t="str">
        <f t="shared" si="39"/>
        <v>aws s3 cp s3://rtdc.mdm.uploadarchive.raw/RTDC4060/ "%USERPROFILE%\AppData\Local\Temp\OnboardLogs"\RTDC4060\2017-09-17 --exclude "*" --recursive --include "*20170917*" &amp; "%USERPROFILE%\Documents\GitHub\mrs-test-scripts\Headless Mode &amp; Sideloading\WalkAndUnGZ.bat" "%USERPROFILE%\AppData\Local\Temp\OnboardLogs"\RTDC4060\2017-09-17 &amp; aws s3 cp s3://rtdc.mdm.uploadarchive.raw/RTDC4060/ "%USERPROFILE%\AppData\Local\Temp\OnboardLogs"\RTDC4060\2017-09-18 --exclude "*" --recursive --include "*20170918*" &amp; "%USERPROFILE%\Documents\GitHub\mrs-test-scripts\Headless Mode &amp; Sideloading\WalkAndUnGZ.bat" "%USERPROFILE%\AppData\Local\Temp\OnboardLogs"\RTDC4060\2017-09-18</v>
      </c>
      <c r="AF95" s="74" t="str">
        <f t="shared" si="40"/>
        <v>"C:\Program Files (x86)\AstroGrep\AstroGrep.exe" /e /r /s /spath="%USERPROFILE%\AppData\Local\Temp\OnboardLogs" /stypes="app*4060*20170917*" /stext=" 20:.+((SYSTEM_STATE.+slice.+state.+changed )|(ment ac)|(multiple cpu faults)|(system.+state.+changed )|(\[timeout)|(PRM\|1\|D)|(kpr)|(kdp)|(train st.+moving)|(\|lc)|(penalty))"</v>
      </c>
      <c r="AG95" s="183" t="str">
        <f t="shared" si="41"/>
        <v>EC</v>
      </c>
      <c r="AH95" s="78" t="str">
        <f t="shared" si="42"/>
        <v>"%USERPROFILE%\Documents\GitHub\eaglep3\Utilities\RefineRTDCRunTimes.py" --tripid 181-17 --locoid 4060 --swversion DE.1.0.9.0 --startMP 204:446 --initTime 2017-09-17T13:40:17 --startdatetime 2017-09-17T13:45:16 --delay 48 --endMP 204:233359 --enddatetime 2017-09-17T14:22:07 --enforcementcount 0 &gt;&gt;C:\Users\stu\Documents\GitHub\eaglep3-reporting\EC\2017-09-17-refined-times.txt</v>
      </c>
      <c r="AI95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{"issue":{"subject":"","project_id":79,"tracker_id":40,"status_id":1,"priority_id":2,"assigned_to_id":338,"start_date":"2017-09-17","description":"","custom_fields":[{"id":1,"name":"Subdivision","value":"EC"},{"id":4,"name":"Milepost","value":"23.3359"},{"id":17,"name":"Train ID","value":"181-17"},{"id":16,"name":"Locomotive ID","value":"4060"},{"id":130,"name":"Impact","value":""},{"id":150,"name":"Time of Event (Mountain Time)","value":"14:22:07"},{"id":151,"name":"Denver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4"/>
        <v>start /low /b %USERPROFILE%\Documents\GitHub\eaglep3\Utilities\DownloadLogsFromS3.py --loco 4060 --day 2017-09-17</v>
      </c>
      <c r="AN95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20:22:07"},{"id":29,"name":"Sharepoint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Message%20ID',Summary),filters:!(),index:'emp_*',interval:auto,query:"&amp;"(query_string:(analyze_wildcard:!t,query:'Message%5C+ID:(*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-09-17T12:40:17-0600',mode:absolute,to:'2017-09-17T15:22:07-0600'))&amp;_a=(columns:!('Message%20ID',Summary),filters:!(),index:'emp_*',interval:auto,query:(query_string:(analyze_wildcard:!t,query:'Message%5C+ID:(*)+AND+%22rtdc.l.rtdc.4060%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597</v>
      </c>
      <c r="B96" s="7">
        <v>4059</v>
      </c>
      <c r="C96" s="21" t="s">
        <v>197</v>
      </c>
      <c r="D96" s="21" t="s">
        <v>854</v>
      </c>
      <c r="E96" s="13">
        <v>42995.608356481483</v>
      </c>
      <c r="F96" s="13">
        <v>42995.632256944446</v>
      </c>
      <c r="G96" s="7">
        <v>68</v>
      </c>
      <c r="H96" s="21" t="s">
        <v>896</v>
      </c>
      <c r="I96" s="13">
        <v>42995.643912037034</v>
      </c>
      <c r="J96" s="7">
        <v>0</v>
      </c>
      <c r="K96" s="89" t="str">
        <f t="shared" si="30"/>
        <v>4059/4060</v>
      </c>
      <c r="L96" s="186" t="str">
        <f>VLOOKUP(A96,'Trips&amp;Operators'!$C$1:$G$99911,5,FALSE)</f>
        <v>BADERTSCHER DIANE</v>
      </c>
      <c r="M96" s="6">
        <f t="shared" si="31"/>
        <v>1.1655092588625848E-2</v>
      </c>
      <c r="N96" s="7"/>
      <c r="O96" s="7"/>
      <c r="P96" s="7">
        <f>24*60*SUM($M96:$M96)</f>
        <v>16.783333327621222</v>
      </c>
      <c r="Q96" s="22"/>
      <c r="R96" s="174" t="s">
        <v>571</v>
      </c>
      <c r="S96" s="222">
        <f>1/IF(AG96="EC",12,1)*SUM(U96:U97)</f>
        <v>0.91666666666666663</v>
      </c>
      <c r="T96" s="174" t="str">
        <f t="shared" si="32"/>
        <v>Southbound</v>
      </c>
      <c r="U96" s="19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2</v>
      </c>
      <c r="V96" s="217" t="str">
        <f t="shared" si="33"/>
        <v>https://d0f6bd738d7f1b3e5a7ca70fe4ff75f0.us-east-1.aws.found.io/app/kibana#/discover/Steve-Slow-Train-Analysis-(2080s-and-2083s)?_g=(refreshInterval:(display:Off,pause:!f,section:0,value:0),time:(from:'2017-09-17T13:36:02-0600',mode:absolute,to:'2017-09-17T16:27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6" s="205" t="str">
        <f>IF(AA96&lt;VLOOKUP(AG96,Variables!$AC$3:$AD$8,2,FALSE),"Y","N")</f>
        <v>Y</v>
      </c>
      <c r="X96" s="205">
        <f t="shared" si="34"/>
        <v>1</v>
      </c>
      <c r="Y96" s="205">
        <f t="shared" si="35"/>
        <v>23.301500000000001</v>
      </c>
      <c r="Z96" s="205">
        <f t="shared" si="36"/>
        <v>8.8145000000000007</v>
      </c>
      <c r="AA96" s="205">
        <f t="shared" si="37"/>
        <v>14.487</v>
      </c>
      <c r="AB96" s="54" t="e">
        <f>VLOOKUP(A96,Enforcements!$C$7:$K$11,8,0)</f>
        <v>#N/A</v>
      </c>
      <c r="AC96" s="51" t="e">
        <f>VLOOKUP(A96,Enforcements!$C$7:$E$11,3,0)</f>
        <v>#N/A</v>
      </c>
      <c r="AD96" s="180">
        <f t="shared" si="38"/>
        <v>182</v>
      </c>
      <c r="AE96" s="77" t="str">
        <f t="shared" si="39"/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AF96" s="74" t="str">
        <f t="shared" si="40"/>
        <v>"C:\Program Files (x86)\AstroGrep\AstroGrep.exe" /e /r /s /spath="%USERPROFILE%\AppData\Local\Temp\OnboardLogs" /stypes="app*4059*20170917*" /stext=" 21:.+((SYSTEM_STATE.+slice.+state.+changed )|(ment ac)|(multiple cpu faults)|(system.+state.+changed )|(\[timeout)|(PRM\|1\|D)|(kpr)|(kdp)|(train st.+moving)|(\|lc)|(penalty))"</v>
      </c>
      <c r="AG96" s="183" t="str">
        <f t="shared" si="41"/>
        <v>EC</v>
      </c>
      <c r="AH96" s="78" t="str">
        <f t="shared" si="42"/>
        <v>"%USERPROFILE%\Documents\GitHub\eaglep3\Utilities\RefineRTDCRunTimes.py" --tripid 182-17 --locoid 4059 --swversion DE.1.0.9.0 --startMP 204:233015 --initTime 2017-09-17T14:36:02 --startdatetime 2017-09-17T15:10:27 --delay 68 --endMP 204:88145 --enddatetime 2017-09-17T15:27:14 --enforcementcount 0 &gt;&gt;C:\Users\stu\Documents\GitHub\eaglep3-reporting\EC\2017-09-17-refined-times.txt</v>
      </c>
      <c r="AI96" s="96" t="str">
        <f t="shared" si="43"/>
        <v>echo {"issue":{"subject":"Wi-MAX data drop","project_id":79,"tracker_id":40,"status_id":1,"priority_id":2,"assigned_to_id":338,"start_date":"2017-09-17","description":"","custom_fields":[{"id":1,"name":"Subdivision","value":"EC"},{"id":4,"name":"Milepost","value":"8.8145"},{"id":17,"name":"Train ID","value":"182-17"},{"id":16,"name":"Locomotive ID","value":"4059"},{"id":130,"name":"Impact","value":""},{"id":150,"name":"Time of Event (Mountain Time)","value":"15:27:14"},{"id":151,"name":"Denver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4"/>
        <v>start /low /b %USERPROFILE%\Documents\GitHub\eaglep3\Utilities\DownloadLogsFromS3.py --loco 4059 --day 2017-09-17</v>
      </c>
      <c r="AN96" s="151" t="str">
        <f t="shared" si="45"/>
        <v>echo {"issue":{"subject":"Wi-MAX data drop","project_id":30,"tracker_id":4,"status_id":1,"priority_id":1,"assigned_to_id":10,"start_date":"2017-09-17","description":"","custom_fields":[{"id":30,"name":"Category","value":"Issue"},{"id":3,"name":"Functional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21:27:14"},{"id":29,"name":"Sharepoint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Message%20ID',Summary),filters:!(),index:'emp_*',interval:auto,query:"&amp;"(query_string:(analyze_wildcard:!t,query:'Message%5C+ID:(*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-09-17T13:36:02-0600',mode:absolute,to:'2017-09-17T16:27:14-0600'))&amp;_a=(columns:!('Message%20ID',Summary),filters:!(),index:'emp_*',interval:auto,query:(query_string:(analyze_wildcard:!t,query:'Message%5C+ID:(*)+AND+%22rtdc.l.rtdc.4059%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597</v>
      </c>
      <c r="B97" s="7">
        <v>4059</v>
      </c>
      <c r="C97" s="21" t="s">
        <v>197</v>
      </c>
      <c r="D97" s="21" t="s">
        <v>897</v>
      </c>
      <c r="E97" s="13">
        <v>42995.630856481483</v>
      </c>
      <c r="F97" s="13">
        <v>42995.632256944446</v>
      </c>
      <c r="G97" s="7">
        <v>38</v>
      </c>
      <c r="H97" s="21" t="s">
        <v>856</v>
      </c>
      <c r="I97" s="13">
        <v>42995.643912037034</v>
      </c>
      <c r="J97" s="7">
        <v>0</v>
      </c>
      <c r="K97" s="89" t="str">
        <f t="shared" si="30"/>
        <v>4059/4060</v>
      </c>
      <c r="L97" s="186" t="str">
        <f>VLOOKUP(A97,'Trips&amp;Operators'!$C$1:$G$99911,5,FALSE)</f>
        <v>BADERTSCHER DIANE</v>
      </c>
      <c r="M97" s="6">
        <f t="shared" si="31"/>
        <v>1.1655092588625848E-2</v>
      </c>
      <c r="N97" s="7"/>
      <c r="O97" s="7"/>
      <c r="P97" s="7"/>
      <c r="Q97" s="22"/>
      <c r="R97" s="174"/>
      <c r="S97" s="222"/>
      <c r="T97" s="174" t="str">
        <f t="shared" si="32"/>
        <v>Southbound</v>
      </c>
      <c r="U97" s="19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9</v>
      </c>
      <c r="V97" s="217" t="str">
        <f t="shared" si="33"/>
        <v>https://d0f6bd738d7f1b3e5a7ca70fe4ff75f0.us-east-1.aws.found.io/app/kibana#/discover/Steve-Slow-Train-Analysis-(2080s-and-2083s)?_g=(refreshInterval:(display:Off,pause:!f,section:0,value:0),time:(from:'2017-09-17T14:08:26-0600',mode:absolute,to:'2017-09-17T16:27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7" s="205" t="str">
        <f>IF(AA97&lt;VLOOKUP(AG97,Variables!$AC$3:$AD$8,2,FALSE),"Y","N")</f>
        <v>Y</v>
      </c>
      <c r="X97" s="205">
        <f t="shared" si="34"/>
        <v>0</v>
      </c>
      <c r="Y97" s="205">
        <f t="shared" si="35"/>
        <v>6.4173999999999998</v>
      </c>
      <c r="Z97" s="205">
        <f t="shared" si="36"/>
        <v>1.23E-2</v>
      </c>
      <c r="AA97" s="205">
        <f t="shared" si="37"/>
        <v>6.4051</v>
      </c>
      <c r="AB97" s="54" t="e">
        <f>VLOOKUP(A97,Enforcements!$C$7:$K$11,8,0)</f>
        <v>#N/A</v>
      </c>
      <c r="AC97" s="51" t="e">
        <f>VLOOKUP(A97,Enforcements!$C$7:$E$11,3,0)</f>
        <v>#N/A</v>
      </c>
      <c r="AD97" s="180">
        <f t="shared" si="38"/>
        <v>182</v>
      </c>
      <c r="AE97" s="77" t="str">
        <f t="shared" si="39"/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AF97" s="74" t="str">
        <f t="shared" si="40"/>
        <v>"C:\Program Files (x86)\AstroGrep\AstroGrep.exe" /e /r /s /spath="%USERPROFILE%\AppData\Local\Temp\OnboardLogs" /stypes="app*4059*20170917*" /stext=" 21:.+((SYSTEM_STATE.+slice.+state.+changed )|(ment ac)|(multiple cpu faults)|(system.+state.+changed )|(\[timeout)|(PRM\|1\|D)|(kpr)|(kdp)|(train st.+moving)|(\|lc)|(penalty))"</v>
      </c>
      <c r="AG97" s="183" t="str">
        <f t="shared" si="41"/>
        <v>EC</v>
      </c>
      <c r="AH97" s="78" t="str">
        <f t="shared" si="42"/>
        <v>"%USERPROFILE%\Documents\GitHub\eaglep3\Utilities\RefineRTDCRunTimes.py" --tripid 182-17 --locoid 4059 --swversion DE.1.0.9.0 --startMP 204:64174 --initTime 2017-09-17T15:08:26 --startdatetime 2017-09-17T15:10:27 --delay 38 --endMP 204:123 --enddatetime 2017-09-17T15:27:14 --enforcementcount 0 &gt;&gt;C:\Users\stu\Documents\GitHub\eaglep3-reporting\EC\2017-09-17-refined-times.txt</v>
      </c>
      <c r="AI97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{"issue":{"subject":"","project_id":79,"tracker_id":40,"status_id":1,"priority_id":2,"assigned_to_id":338,"start_date":"2017-09-17","description":"","custom_fields":[{"id":1,"name":"Subdivision","value":"EC"},{"id":4,"name":"Milepost","value":"0.0123"},{"id":17,"name":"Train ID","value":"182-17"},{"id":16,"name":"Locomotive ID","value":"4059"},{"id":130,"name":"Impact","value":""},{"id":150,"name":"Time of Event (Mountain Time)","value":"15:27:14"},{"id":151,"name":"Denver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4"/>
        <v>start /low /b %USERPROFILE%\Documents\GitHub\eaglep3\Utilities\DownloadLogsFromS3.py --loco 4059 --day 2017-09-17</v>
      </c>
      <c r="AN97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21:27:14"},{"id":29,"name":"Sharepoint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Message%20ID',Summary),filters:!(),index:'emp_*',interval:auto,query:"&amp;"(query_string:(analyze_wildcard:!t,query:'Message%5C+ID:(*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-09-17T14:08:26-0600',mode:absolute,to:'2017-09-17T16:27:14-0600'))&amp;_a=(columns:!('Message%20ID',Summary),filters:!(),index:'emp_*',interval:auto,query:(query_string:(analyze_wildcard:!t,query:'Message%5C+ID:(*)+AND+%22rtdc.l.rtdc.4059%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726</v>
      </c>
      <c r="B98" s="7">
        <v>4002</v>
      </c>
      <c r="C98" s="21" t="s">
        <v>197</v>
      </c>
      <c r="D98" s="21" t="s">
        <v>907</v>
      </c>
      <c r="E98" s="13">
        <v>42995.578622685185</v>
      </c>
      <c r="F98" s="13">
        <v>42995.583541666667</v>
      </c>
      <c r="G98" s="7">
        <v>49</v>
      </c>
      <c r="H98" s="21" t="s">
        <v>423</v>
      </c>
      <c r="I98" s="13">
        <v>42995.608506944445</v>
      </c>
      <c r="J98" s="7">
        <v>0</v>
      </c>
      <c r="K98" s="89" t="str">
        <f t="shared" si="30"/>
        <v>4001/4002</v>
      </c>
      <c r="L98" s="186" t="str">
        <f>VLOOKUP(A98,'Trips&amp;Operators'!$C$1:$G$99911,5,FALSE)</f>
        <v>DAVIDSON DAVID</v>
      </c>
      <c r="M98" s="6">
        <f t="shared" si="31"/>
        <v>2.4965277778392192E-2</v>
      </c>
      <c r="N98" s="7">
        <f t="shared" ref="N98:N129" si="46">24*60*SUM($M98:$M98)</f>
        <v>35.950000000884756</v>
      </c>
      <c r="O98" s="7"/>
      <c r="P98" s="7"/>
      <c r="Q98" s="22"/>
      <c r="R98" s="174"/>
      <c r="S98" s="222">
        <f t="shared" ref="S98:S129" si="47">1/IF(AG98="EC",12,1)*SUM(U98:U98)</f>
        <v>1</v>
      </c>
      <c r="T98" s="174" t="str">
        <f t="shared" si="32"/>
        <v>NorthBound</v>
      </c>
      <c r="U98" s="19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7" t="str">
        <f t="shared" si="33"/>
        <v>https://d0f6bd738d7f1b3e5a7ca70fe4ff75f0.us-east-1.aws.found.io/app/kibana#/discover/Steve-Slow-Train-Analysis-(2080s-and-2083s)?_g=(refreshInterval:(display:Off,pause:!f,section:0,value:0),time:(from:'2017-09-17T12:53:13-0600',mode:absolute,to:'2017-09-17T15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8" s="205" t="str">
        <f>IF(AA98&lt;VLOOKUP(AG98,Variables!$AC$3:$AD$8,2,FALSE),"Y","N")</f>
        <v>N</v>
      </c>
      <c r="X98" s="205">
        <f t="shared" si="34"/>
        <v>1</v>
      </c>
      <c r="Y98" s="205">
        <f t="shared" si="35"/>
        <v>4.5699999999999998E-2</v>
      </c>
      <c r="Z98" s="205">
        <f t="shared" si="36"/>
        <v>23.328900000000001</v>
      </c>
      <c r="AA98" s="205">
        <f t="shared" si="37"/>
        <v>23.283200000000001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80">
        <f t="shared" si="38"/>
        <v>183</v>
      </c>
      <c r="AE98" s="77" t="str">
        <f t="shared" si="39"/>
        <v>aws s3 cp s3://rtdc.mdm.uploadarchive.raw/RTDC4002/ "%USERPROFILE%\AppData\Local\Temp\OnboardLogs"\RTDC4002\2017-09-17 --exclude "*" --recursive --include "*20170917*" &amp; "%USERPROFILE%\Documents\GitHub\mrs-test-scripts\Headless Mode &amp; Sideloading\WalkAndUnGZ.bat" "%USERPROFILE%\AppData\Local\Temp\OnboardLogs"\RTDC4002\2017-09-17 &amp; aws s3 cp s3://rtdc.mdm.uploadarchive.raw/RTDC4002/ "%USERPROFILE%\AppData\Local\Temp\OnboardLogs"\RTDC4002\2017-09-18 --exclude "*" --recursive --include "*20170918*" &amp; "%USERPROFILE%\Documents\GitHub\mrs-test-scripts\Headless Mode &amp; Sideloading\WalkAndUnGZ.bat" "%USERPROFILE%\AppData\Local\Temp\OnboardLogs"\RTDC4002\2017-09-18</v>
      </c>
      <c r="AF98" s="74" t="str">
        <f t="shared" si="40"/>
        <v>"C:\Program Files (x86)\AstroGrep\AstroGrep.exe" /e /r /s /spath="%USERPROFILE%\AppData\Local\Temp\OnboardLogs" /stypes="app*4002*20170917*" /stext=" 20:.+((SYSTEM_STATE.+slice.+state.+changed )|(ment ac)|(multiple cpu faults)|(system.+state.+changed )|(\[timeout)|(PRM\|1\|D)|(kpr)|(kdp)|(train st.+moving)|(\|lc)|(penalty))"</v>
      </c>
      <c r="AG98" s="183" t="str">
        <f t="shared" si="41"/>
        <v>EC</v>
      </c>
      <c r="AH98" s="78" t="str">
        <f t="shared" si="42"/>
        <v>"%USERPROFILE%\Documents\GitHub\eaglep3\Utilities\RefineRTDCRunTimes.py" --tripid 183-17 --locoid 4002 --swversion DE.1.0.9.0 --startMP 204:457 --initTime 2017-09-17T13:53:13 --startdatetime 2017-09-17T14:00:18 --delay 49 --endMP 204:233289 --enddatetime 2017-09-17T14:36:15 --enforcementcount 0 &gt;&gt;C:\Users\stu\Documents\GitHub\eaglep3-reporting\EC\2017-09-17-refined-times.txt</v>
      </c>
      <c r="AI98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{"issue":{"subject":"","project_id":79,"tracker_id":40,"status_id":1,"priority_id":2,"assigned_to_id":338,"start_date":"2017-09-17","description":"","custom_fields":[{"id":1,"name":"Subdivision","value":"EC"},{"id":4,"name":"Milepost","value":"23.3289"},{"id":17,"name":"Train ID","value":"183-17"},{"id":16,"name":"Locomotive ID","value":"4002"},{"id":130,"name":"Impact","value":""},{"id":150,"name":"Time of Event (Mountain Time)","value":"14:36:15"},{"id":151,"name":"Denver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4"/>
        <v>start /low /b %USERPROFILE%\Documents\GitHub\eaglep3\Utilities\DownloadLogsFromS3.py --loco 4002 --day 2017-09-17</v>
      </c>
      <c r="AN98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20:36:15"},{"id":29,"name":"Sharepoint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Message%20ID',Summary),filters:!(),index:'emp_*',interval:auto,query:"&amp;"(query_string:(analyze_wildcard:!t,query:'Message%5C+ID:(*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-09-17T12:53:13-0600',mode:absolute,to:'2017-09-17T15:36:15-0600'))&amp;_a=(columns:!('Message%20ID',Summary),filters:!(),index:'emp_*',interval:auto,query:(query_string:(analyze_wildcard:!t,query:'Message%5C+ID:(*)+AND+%22rtdc.l.rtdc.4002%22')),sort:!(Time.ISO8601,asc))</v>
      </c>
    </row>
    <row r="99" spans="1:91" s="20" customFormat="1" x14ac:dyDescent="0.25">
      <c r="A99" s="32" t="s">
        <v>732</v>
      </c>
      <c r="B99" s="7">
        <v>4001</v>
      </c>
      <c r="C99" s="21" t="s">
        <v>197</v>
      </c>
      <c r="D99" s="21" t="s">
        <v>455</v>
      </c>
      <c r="E99" s="13">
        <v>42995.609733796293</v>
      </c>
      <c r="F99" s="13">
        <v>42995.623113425929</v>
      </c>
      <c r="G99" s="7">
        <v>53</v>
      </c>
      <c r="H99" s="21" t="s">
        <v>338</v>
      </c>
      <c r="I99" s="13">
        <v>42995.650694444441</v>
      </c>
      <c r="J99" s="7">
        <v>0</v>
      </c>
      <c r="K99" s="89" t="str">
        <f t="shared" si="30"/>
        <v>4001/4002</v>
      </c>
      <c r="L99" s="186" t="str">
        <f>VLOOKUP(A99,'Trips&amp;Operators'!$C$1:$G$99911,5,FALSE)</f>
        <v>DAVIDSON DAVID</v>
      </c>
      <c r="M99" s="6">
        <f t="shared" si="31"/>
        <v>2.7581018512137234E-2</v>
      </c>
      <c r="N99" s="7">
        <f t="shared" si="46"/>
        <v>39.716666657477617</v>
      </c>
      <c r="O99" s="7"/>
      <c r="P99" s="7"/>
      <c r="Q99" s="22"/>
      <c r="R99" s="174"/>
      <c r="S99" s="222">
        <f t="shared" si="47"/>
        <v>1</v>
      </c>
      <c r="T99" s="174" t="str">
        <f t="shared" si="32"/>
        <v>Southbound</v>
      </c>
      <c r="U99" s="19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7" t="str">
        <f t="shared" si="33"/>
        <v>https://d0f6bd738d7f1b3e5a7ca70fe4ff75f0.us-east-1.aws.found.io/app/kibana#/discover/Steve-Slow-Train-Analysis-(2080s-and-2083s)?_g=(refreshInterval:(display:Off,pause:!f,section:0,value:0),time:(from:'2017-09-17T13:38:01-0600',mode:absolute,to:'2017-09-17T16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9" s="205" t="str">
        <f>IF(AA99&lt;VLOOKUP(AG99,Variables!$AC$3:$AD$8,2,FALSE),"Y","N")</f>
        <v>N</v>
      </c>
      <c r="X99" s="205">
        <f t="shared" si="34"/>
        <v>1</v>
      </c>
      <c r="Y99" s="205">
        <f t="shared" si="35"/>
        <v>23.299099999999999</v>
      </c>
      <c r="Z99" s="205">
        <f t="shared" si="36"/>
        <v>1.4999999999999999E-2</v>
      </c>
      <c r="AA99" s="205">
        <f t="shared" si="37"/>
        <v>23.284099999999999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80">
        <f t="shared" si="38"/>
        <v>184</v>
      </c>
      <c r="AE99" s="77" t="str">
        <f t="shared" si="39"/>
        <v>aws s3 cp s3://rtdc.mdm.uploadarchive.raw/RTDC4001/ "%USERPROFILE%\AppData\Local\Temp\OnboardLogs"\RTDC4001\2017-09-17 --exclude "*" --recursive --include "*20170917*" &amp; "%USERPROFILE%\Documents\GitHub\mrs-test-scripts\Headless Mode &amp; Sideloading\WalkAndUnGZ.bat" "%USERPROFILE%\AppData\Local\Temp\OnboardLogs"\RTDC4001\2017-09-17 &amp; aws s3 cp s3://rtdc.mdm.uploadarchive.raw/RTDC4001/ "%USERPROFILE%\AppData\Local\Temp\OnboardLogs"\RTDC4001\2017-09-18 --exclude "*" --recursive --include "*20170918*" &amp; "%USERPROFILE%\Documents\GitHub\mrs-test-scripts\Headless Mode &amp; Sideloading\WalkAndUnGZ.bat" "%USERPROFILE%\AppData\Local\Temp\OnboardLogs"\RTDC4001\2017-09-18</v>
      </c>
      <c r="AF99" s="74" t="str">
        <f t="shared" si="40"/>
        <v>"C:\Program Files (x86)\AstroGrep\AstroGrep.exe" /e /r /s /spath="%USERPROFILE%\AppData\Local\Temp\OnboardLogs" /stypes="app*4001*20170917*" /stext=" 21:.+((SYSTEM_STATE.+slice.+state.+changed )|(ment ac)|(multiple cpu faults)|(system.+state.+changed )|(\[timeout)|(PRM\|1\|D)|(kpr)|(kdp)|(train st.+moving)|(\|lc)|(penalty))"</v>
      </c>
      <c r="AG99" s="183" t="str">
        <f t="shared" si="41"/>
        <v>EC</v>
      </c>
      <c r="AH99" s="78" t="str">
        <f t="shared" si="42"/>
        <v>"%USERPROFILE%\Documents\GitHub\eaglep3\Utilities\RefineRTDCRunTimes.py" --tripid 184-17 --locoid 4001 --swversion DE.1.0.9.0 --startMP 204:232991 --initTime 2017-09-17T14:38:01 --startdatetime 2017-09-17T14:57:17 --delay 53 --endMP 204:150 --enddatetime 2017-09-17T15:37:00 --enforcementcount 0 &gt;&gt;C:\Users\stu\Documents\GitHub\eaglep3-reporting\EC\2017-09-17-refined-times.txt</v>
      </c>
      <c r="AI99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{"issue":{"subject":"","project_id":79,"tracker_id":40,"status_id":1,"priority_id":2,"assigned_to_id":338,"start_date":"2017-09-17","description":"","custom_fields":[{"id":1,"name":"Subdivision","value":"EC"},{"id":4,"name":"Milepost","value":"0.015"},{"id":17,"name":"Train ID","value":"184-17"},{"id":16,"name":"Locomotive ID","value":"4001"},{"id":130,"name":"Impact","value":""},{"id":150,"name":"Time of Event (Mountain Time)","value":"15:37:00"},{"id":151,"name":"Denver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4"/>
        <v>start /low /b %USERPROFILE%\Documents\GitHub\eaglep3\Utilities\DownloadLogsFromS3.py --loco 4001 --day 2017-09-17</v>
      </c>
      <c r="AN99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21:37:00"},{"id":29,"name":"Sharepoint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Message%20ID',Summary),filters:!(),index:'emp_*',interval:auto,query:"&amp;"(query_string:(analyze_wildcard:!t,query:'Message%5C+ID:(*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-09-17T13:38:01-0600',mode:absolute,to:'2017-09-17T16:37:00-0600'))&amp;_a=(columns:!('Message%20ID',Summary),filters:!(),index:'emp_*',interval:auto,query:(query_string:(analyze_wildcard:!t,query:'Message%5C+ID:(*)+AND+%22rtdc.l.rtdc.4001%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729</v>
      </c>
      <c r="B100" s="7">
        <v>4016</v>
      </c>
      <c r="C100" s="21" t="s">
        <v>197</v>
      </c>
      <c r="D100" s="21" t="s">
        <v>441</v>
      </c>
      <c r="E100" s="13">
        <v>42995.588402777779</v>
      </c>
      <c r="F100" s="13">
        <v>42995.594155092593</v>
      </c>
      <c r="G100" s="7">
        <v>53</v>
      </c>
      <c r="H100" s="21" t="s">
        <v>538</v>
      </c>
      <c r="I100" s="13">
        <v>42995.61886574074</v>
      </c>
      <c r="J100" s="7">
        <v>0</v>
      </c>
      <c r="K100" s="89" t="str">
        <f t="shared" si="30"/>
        <v>4015/4016</v>
      </c>
      <c r="L100" s="186" t="str">
        <f>VLOOKUP(A100,'Trips&amp;Operators'!$C$1:$G$99911,5,FALSE)</f>
        <v>LOPES KIMBERLY</v>
      </c>
      <c r="M100" s="6">
        <f t="shared" si="31"/>
        <v>2.47106481474475E-2</v>
      </c>
      <c r="N100" s="7">
        <f t="shared" si="46"/>
        <v>35.583333332324401</v>
      </c>
      <c r="O100" s="7"/>
      <c r="P100" s="7"/>
      <c r="Q100" s="22"/>
      <c r="R100" s="174"/>
      <c r="S100" s="222">
        <f t="shared" si="47"/>
        <v>1</v>
      </c>
      <c r="T100" s="174" t="str">
        <f t="shared" si="32"/>
        <v>NorthBound</v>
      </c>
      <c r="U100" s="19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7" t="str">
        <f t="shared" si="33"/>
        <v>https://d0f6bd738d7f1b3e5a7ca70fe4ff75f0.us-east-1.aws.found.io/app/kibana#/discover/Steve-Slow-Train-Analysis-(2080s-and-2083s)?_g=(refreshInterval:(display:Off,pause:!f,section:0,value:0),time:(from:'2017-09-17T13:07:18-0600',mode:absolute,to:'2017-09-17T15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0" s="205" t="str">
        <f>IF(AA100&lt;VLOOKUP(AG100,Variables!$AC$3:$AD$8,2,FALSE),"Y","N")</f>
        <v>N</v>
      </c>
      <c r="X100" s="205">
        <f t="shared" si="34"/>
        <v>1</v>
      </c>
      <c r="Y100" s="205">
        <f t="shared" si="35"/>
        <v>4.3700000000000003E-2</v>
      </c>
      <c r="Z100" s="205">
        <f t="shared" si="36"/>
        <v>23.334099999999999</v>
      </c>
      <c r="AA100" s="205">
        <f t="shared" si="37"/>
        <v>23.290399999999998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80">
        <f t="shared" si="38"/>
        <v>185</v>
      </c>
      <c r="AE100" s="77" t="str">
        <f t="shared" si="39"/>
        <v>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 &amp; 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</v>
      </c>
      <c r="AF100" s="74" t="str">
        <f t="shared" si="40"/>
        <v>"C:\Program Files (x86)\AstroGrep\AstroGrep.exe" /e /r /s /spath="%USERPROFILE%\AppData\Local\Temp\OnboardLogs" /stypes="app*4016*20170917*" /stext=" 20:.+((SYSTEM_STATE.+slice.+state.+changed )|(ment ac)|(multiple cpu faults)|(system.+state.+changed )|(\[timeout)|(PRM\|1\|D)|(kpr)|(kdp)|(train st.+moving)|(\|lc)|(penalty))"</v>
      </c>
      <c r="AG100" s="183" t="str">
        <f t="shared" si="41"/>
        <v>EC</v>
      </c>
      <c r="AH100" s="78" t="str">
        <f t="shared" si="42"/>
        <v>"%USERPROFILE%\Documents\GitHub\eaglep3\Utilities\RefineRTDCRunTimes.py" --tripid 185-17 --locoid 4016 --swversion DE.1.0.9.0 --startMP 204:437 --initTime 2017-09-17T14:07:18 --startdatetime 2017-09-17T14:15:35 --delay 53 --endMP 204:233341 --enddatetime 2017-09-17T14:51:10 --enforcementcount 0 &gt;&gt;C:\Users\stu\Documents\GitHub\eaglep3-reporting\EC\2017-09-17-refined-times.txt</v>
      </c>
      <c r="AI100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{"issue":{"subject":"","project_id":79,"tracker_id":40,"status_id":1,"priority_id":2,"assigned_to_id":338,"start_date":"2017-09-17","description":"","custom_fields":[{"id":1,"name":"Subdivision","value":"EC"},{"id":4,"name":"Milepost","value":"23.3341"},{"id":17,"name":"Train ID","value":"185-17"},{"id":16,"name":"Locomotive ID","value":"4016"},{"id":130,"name":"Impact","value":""},{"id":150,"name":"Time of Event (Mountain Time)","value":"14:51:10"},{"id":151,"name":"Denver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4"/>
        <v>start /low /b %USERPROFILE%\Documents\GitHub\eaglep3\Utilities\DownloadLogsFromS3.py --loco 4016 --day 2017-09-17</v>
      </c>
      <c r="AN100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20:51:10"},{"id":29,"name":"Sharepoint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Message%20ID',Summary),filters:!(),index:'emp_*',interval:auto,query:"&amp;"(query_string:(analyze_wildcard:!t,query:'Message%5C+ID:(*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-09-17T13:07:18-0600',mode:absolute,to:'2017-09-17T15:51:10-0600'))&amp;_a=(columns:!('Message%20ID',Summary),filters:!(),index:'emp_*',interval:auto,query:(query_string:(analyze_wildcard:!t,query:'Message%5C+ID:(*)+AND+%22rtdc.l.rtdc.4016%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736</v>
      </c>
      <c r="B101" s="7">
        <v>4015</v>
      </c>
      <c r="C101" s="21" t="s">
        <v>197</v>
      </c>
      <c r="D101" s="21" t="s">
        <v>854</v>
      </c>
      <c r="E101" s="13">
        <v>42995.628344907411</v>
      </c>
      <c r="F101" s="13">
        <v>42995.633506944447</v>
      </c>
      <c r="G101" s="7">
        <v>72</v>
      </c>
      <c r="H101" s="21" t="s">
        <v>912</v>
      </c>
      <c r="I101" s="13">
        <v>42995.659930555557</v>
      </c>
      <c r="J101" s="7">
        <v>0</v>
      </c>
      <c r="K101" s="89" t="str">
        <f t="shared" si="30"/>
        <v>4015/4016</v>
      </c>
      <c r="L101" s="186" t="str">
        <f>VLOOKUP(A101,'Trips&amp;Operators'!$C$1:$G$99911,5,FALSE)</f>
        <v>LOPES KIMBERLY</v>
      </c>
      <c r="M101" s="6">
        <f t="shared" si="31"/>
        <v>2.6423611110658385E-2</v>
      </c>
      <c r="N101" s="7">
        <f t="shared" si="46"/>
        <v>38.049999999348074</v>
      </c>
      <c r="O101" s="7"/>
      <c r="P101" s="7"/>
      <c r="Q101" s="22"/>
      <c r="R101" s="174"/>
      <c r="S101" s="222">
        <f t="shared" si="47"/>
        <v>1</v>
      </c>
      <c r="T101" s="174" t="str">
        <f t="shared" si="32"/>
        <v>Southbound</v>
      </c>
      <c r="U101" s="19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7" t="str">
        <f t="shared" si="33"/>
        <v>https://d0f6bd738d7f1b3e5a7ca70fe4ff75f0.us-east-1.aws.found.io/app/kibana#/discover/Steve-Slow-Train-Analysis-(2080s-and-2083s)?_g=(refreshInterval:(display:Off,pause:!f,section:0,value:0),time:(from:'2017-09-17T14:04:49-0600',mode:absolute,to:'2017-09-17T16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1" s="205" t="str">
        <f>IF(AA101&lt;VLOOKUP(AG101,Variables!$AC$3:$AD$8,2,FALSE),"Y","N")</f>
        <v>N</v>
      </c>
      <c r="X101" s="205">
        <f t="shared" si="34"/>
        <v>1</v>
      </c>
      <c r="Y101" s="205">
        <f t="shared" si="35"/>
        <v>23.301500000000001</v>
      </c>
      <c r="Z101" s="205">
        <f t="shared" si="36"/>
        <v>1.34E-2</v>
      </c>
      <c r="AA101" s="205">
        <f t="shared" si="37"/>
        <v>23.2881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80">
        <f t="shared" si="38"/>
        <v>186</v>
      </c>
      <c r="AE101" s="77" t="str">
        <f t="shared" si="39"/>
        <v>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 &amp; 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</v>
      </c>
      <c r="AF101" s="74" t="str">
        <f t="shared" si="40"/>
        <v>"C:\Program Files (x86)\AstroGrep\AstroGrep.exe" /e /r /s /spath="%USERPROFILE%\AppData\Local\Temp\OnboardLogs" /stypes="app*4015*20170917*" /stext=" 21:.+((SYSTEM_STATE.+slice.+state.+changed )|(ment ac)|(multiple cpu faults)|(system.+state.+changed )|(\[timeout)|(PRM\|1\|D)|(kpr)|(kdp)|(train st.+moving)|(\|lc)|(penalty))"</v>
      </c>
      <c r="AG101" s="183" t="str">
        <f t="shared" si="41"/>
        <v>EC</v>
      </c>
      <c r="AH101" s="78" t="str">
        <f t="shared" si="42"/>
        <v>"%USERPROFILE%\Documents\GitHub\eaglep3\Utilities\RefineRTDCRunTimes.py" --tripid 186-17 --locoid 4015 --swversion DE.1.0.9.0 --startMP 204:233015 --initTime 2017-09-17T15:04:49 --startdatetime 2017-09-17T15:12:15 --delay 72 --endMP 204:134 --enddatetime 2017-09-17T15:50:18 --enforcementcount 0 &gt;&gt;C:\Users\stu\Documents\GitHub\eaglep3-reporting\EC\2017-09-17-refined-times.txt</v>
      </c>
      <c r="AI101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{"issue":{"subject":"","project_id":79,"tracker_id":40,"status_id":1,"priority_id":2,"assigned_to_id":338,"start_date":"2017-09-17","description":"","custom_fields":[{"id":1,"name":"Subdivision","value":"EC"},{"id":4,"name":"Milepost","value":"0.0134"},{"id":17,"name":"Train ID","value":"186-17"},{"id":16,"name":"Locomotive ID","value":"4015"},{"id":130,"name":"Impact","value":""},{"id":150,"name":"Time of Event (Mountain Time)","value":"15:50:18"},{"id":151,"name":"Denver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4"/>
        <v>start /low /b %USERPROFILE%\Documents\GitHub\eaglep3\Utilities\DownloadLogsFromS3.py --loco 4015 --day 2017-09-17</v>
      </c>
      <c r="AN101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21:50:18"},{"id":29,"name":"Sharepoint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Message%20ID',Summary),filters:!(),index:'emp_*',interval:auto,query:"&amp;"(query_string:(analyze_wildcard:!t,query:'Message%5C+ID:(*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-09-17T14:04:49-0600',mode:absolute,to:'2017-09-17T16:50:18-0600'))&amp;_a=(columns:!('Message%20ID',Summary),filters:!(),index:'emp_*',interval:auto,query:(query_string:(analyze_wildcard:!t,query:'Message%5C+ID:(*)+AND+%22rtdc.l.rtdc.4015%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731</v>
      </c>
      <c r="B102" s="7">
        <v>4066</v>
      </c>
      <c r="C102" s="21" t="s">
        <v>197</v>
      </c>
      <c r="D102" s="21" t="s">
        <v>341</v>
      </c>
      <c r="E102" s="13">
        <v>42995.599398148152</v>
      </c>
      <c r="F102" s="13">
        <v>42995.604490740741</v>
      </c>
      <c r="G102" s="7">
        <v>81</v>
      </c>
      <c r="H102" s="21" t="s">
        <v>553</v>
      </c>
      <c r="I102" s="13">
        <v>42995.629432870373</v>
      </c>
      <c r="J102" s="7">
        <v>0</v>
      </c>
      <c r="K102" s="89" t="str">
        <f t="shared" si="30"/>
        <v>4065/4066</v>
      </c>
      <c r="L102" s="186" t="str">
        <f>VLOOKUP(A102,'Trips&amp;Operators'!$C$1:$G$99911,5,FALSE)</f>
        <v>SMITH MICHAEL</v>
      </c>
      <c r="M102" s="6">
        <f t="shared" si="31"/>
        <v>2.4942129632108845E-2</v>
      </c>
      <c r="N102" s="7">
        <f t="shared" si="46"/>
        <v>35.916666670236737</v>
      </c>
      <c r="O102" s="7"/>
      <c r="P102" s="7"/>
      <c r="Q102" s="22"/>
      <c r="R102" s="174"/>
      <c r="S102" s="222">
        <f t="shared" si="47"/>
        <v>1</v>
      </c>
      <c r="T102" s="174" t="str">
        <f t="shared" si="32"/>
        <v>NorthBound</v>
      </c>
      <c r="U102" s="19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7" t="str">
        <f t="shared" si="33"/>
        <v>https://d0f6bd738d7f1b3e5a7ca70fe4ff75f0.us-east-1.aws.found.io/app/kibana#/discover/Steve-Slow-Train-Analysis-(2080s-and-2083s)?_g=(refreshInterval:(display:Off,pause:!f,section:0,value:0),time:(from:'2017-09-17T13:23:08-0600',mode:absolute,to:'2017-09-17T16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2" s="205" t="str">
        <f>IF(AA102&lt;VLOOKUP(AG102,Variables!$AC$3:$AD$8,2,FALSE),"Y","N")</f>
        <v>N</v>
      </c>
      <c r="X102" s="205">
        <f t="shared" si="34"/>
        <v>1</v>
      </c>
      <c r="Y102" s="205">
        <f t="shared" si="35"/>
        <v>4.53E-2</v>
      </c>
      <c r="Z102" s="205">
        <f t="shared" si="36"/>
        <v>23.3325</v>
      </c>
      <c r="AA102" s="205">
        <f t="shared" si="37"/>
        <v>23.287199999999999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80">
        <f t="shared" si="38"/>
        <v>187</v>
      </c>
      <c r="AE102" s="77" t="str">
        <f t="shared" si="39"/>
        <v>aws s3 cp s3://rtdc.mdm.uploadarchive.raw/RTDC4066/ "%USERPROFILE%\AppData\Local\Temp\OnboardLogs"\RTDC4066\2017-09-17 --exclude "*" --recursive --include "*20170917*" &amp; "%USERPROFILE%\Documents\GitHub\mrs-test-scripts\Headless Mode &amp; Sideloading\WalkAndUnGZ.bat" "%USERPROFILE%\AppData\Local\Temp\OnboardLogs"\RTDC4066\2017-09-17 &amp; 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</v>
      </c>
      <c r="AF102" s="74" t="str">
        <f t="shared" si="40"/>
        <v>"C:\Program Files (x86)\AstroGrep\AstroGrep.exe" /e /r /s /spath="%USERPROFILE%\AppData\Local\Temp\OnboardLogs" /stypes="app*4066*20170917*" /stext=" 21:.+((SYSTEM_STATE.+slice.+state.+changed )|(ment ac)|(multiple cpu faults)|(system.+state.+changed )|(\[timeout)|(PRM\|1\|D)|(kpr)|(kdp)|(train st.+moving)|(\|lc)|(penalty))"</v>
      </c>
      <c r="AG102" s="183" t="str">
        <f t="shared" si="41"/>
        <v>EC</v>
      </c>
      <c r="AH102" s="78" t="str">
        <f t="shared" si="42"/>
        <v>"%USERPROFILE%\Documents\GitHub\eaglep3\Utilities\RefineRTDCRunTimes.py" --tripid 187-17 --locoid 4066 --swversion DE.1.0.9.0 --startMP 204:453 --initTime 2017-09-17T14:23:08 --startdatetime 2017-09-17T14:30:28 --delay 81 --endMP 204:233325 --enddatetime 2017-09-17T15:06:23 --enforcementcount 0 &gt;&gt;C:\Users\stu\Documents\GitHub\eaglep3-reporting\EC\2017-09-17-refined-times.txt</v>
      </c>
      <c r="AI102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{"issue":{"subject":"","project_id":79,"tracker_id":40,"status_id":1,"priority_id":2,"assigned_to_id":338,"start_date":"2017-09-17","description":"","custom_fields":[{"id":1,"name":"Subdivision","value":"EC"},{"id":4,"name":"Milepost","value":"23.3325"},{"id":17,"name":"Train ID","value":"187-17"},{"id":16,"name":"Locomotive ID","value":"4066"},{"id":130,"name":"Impact","value":""},{"id":150,"name":"Time of Event (Mountain Time)","value":"15:06:23"},{"id":151,"name":"Denver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4"/>
        <v>start /low /b %USERPROFILE%\Documents\GitHub\eaglep3\Utilities\DownloadLogsFromS3.py --loco 4066 --day 2017-09-17</v>
      </c>
      <c r="AN102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21:06:23"},{"id":29,"name":"Sharepoint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Message%20ID',Summary),filters:!(),index:'emp_*',interval:auto,query:"&amp;"(query_string:(analyze_wildcard:!t,query:'Message%5C+ID:(*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-09-17T13:23:08-0600',mode:absolute,to:'2017-09-17T16:06:23-0600'))&amp;_a=(columns:!('Message%20ID',Summary),filters:!(),index:'emp_*',interval:auto,query:(query_string:(analyze_wildcard:!t,query:'Message%5C+ID:(*)+AND+%22rtdc.l.rtdc.4066%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738</v>
      </c>
      <c r="B103" s="7">
        <v>4065</v>
      </c>
      <c r="C103" s="21" t="s">
        <v>197</v>
      </c>
      <c r="D103" s="21" t="s">
        <v>850</v>
      </c>
      <c r="E103" s="13">
        <v>42995.635243055556</v>
      </c>
      <c r="F103" s="13">
        <v>42995.64402777778</v>
      </c>
      <c r="G103" s="7">
        <v>106</v>
      </c>
      <c r="H103" s="21" t="s">
        <v>339</v>
      </c>
      <c r="I103" s="13">
        <v>42995.670034722221</v>
      </c>
      <c r="J103" s="7">
        <v>0</v>
      </c>
      <c r="K103" s="89" t="str">
        <f t="shared" si="30"/>
        <v>4065/4066</v>
      </c>
      <c r="L103" s="186" t="str">
        <f>VLOOKUP(A103,'Trips&amp;Operators'!$C$1:$G$99911,5,FALSE)</f>
        <v>SMITH MICHAEL</v>
      </c>
      <c r="M103" s="6">
        <f t="shared" si="31"/>
        <v>2.6006944441178348E-2</v>
      </c>
      <c r="N103" s="7">
        <f t="shared" si="46"/>
        <v>37.449999995296821</v>
      </c>
      <c r="O103" s="7"/>
      <c r="P103" s="7"/>
      <c r="Q103" s="22"/>
      <c r="R103" s="174"/>
      <c r="S103" s="222">
        <f t="shared" si="47"/>
        <v>1</v>
      </c>
      <c r="T103" s="174" t="str">
        <f t="shared" si="32"/>
        <v>Southbound</v>
      </c>
      <c r="U103" s="19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7" t="str">
        <f t="shared" si="33"/>
        <v>https://d0f6bd738d7f1b3e5a7ca70fe4ff75f0.us-east-1.aws.found.io/app/kibana#/discover/Steve-Slow-Train-Analysis-(2080s-and-2083s)?_g=(refreshInterval:(display:Off,pause:!f,section:0,value:0),time:(from:'2017-09-17T14:14:45-0600',mode:absolute,to:'2017-09-17T17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3" s="205" t="str">
        <f>IF(AA103&lt;VLOOKUP(AG103,Variables!$AC$3:$AD$8,2,FALSE),"Y","N")</f>
        <v>N</v>
      </c>
      <c r="X103" s="205">
        <f t="shared" si="34"/>
        <v>1</v>
      </c>
      <c r="Y103" s="205">
        <f t="shared" si="35"/>
        <v>23.301100000000002</v>
      </c>
      <c r="Z103" s="205">
        <f t="shared" si="36"/>
        <v>1.49E-2</v>
      </c>
      <c r="AA103" s="205">
        <f t="shared" si="37"/>
        <v>23.286200000000001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80">
        <f t="shared" si="38"/>
        <v>188</v>
      </c>
      <c r="AE103" s="77" t="str">
        <f t="shared" si="39"/>
        <v>aws s3 cp s3://rtdc.mdm.uploadarchive.raw/RTDC4065/ "%USERPROFILE%\AppData\Local\Temp\OnboardLogs"\RTDC4065\2017-09-17 --exclude "*" --recursive --include "*20170917*" &amp; "%USERPROFILE%\Documents\GitHub\mrs-test-scripts\Headless Mode &amp; Sideloading\WalkAndUnGZ.bat" "%USERPROFILE%\AppData\Local\Temp\OnboardLogs"\RTDC4065\2017-09-17 &amp; 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</v>
      </c>
      <c r="AF103" s="74" t="str">
        <f t="shared" si="40"/>
        <v>"C:\Program Files (x86)\AstroGrep\AstroGrep.exe" /e /r /s /spath="%USERPROFILE%\AppData\Local\Temp\OnboardLogs" /stypes="app*4065*20170917*" /stext=" 22:.+((SYSTEM_STATE.+slice.+state.+changed )|(ment ac)|(multiple cpu faults)|(system.+state.+changed )|(\[timeout)|(PRM\|1\|D)|(kpr)|(kdp)|(train st.+moving)|(\|lc)|(penalty))"</v>
      </c>
      <c r="AG103" s="183" t="str">
        <f t="shared" si="41"/>
        <v>EC</v>
      </c>
      <c r="AH103" s="78" t="str">
        <f t="shared" si="42"/>
        <v>"%USERPROFILE%\Documents\GitHub\eaglep3\Utilities\RefineRTDCRunTimes.py" --tripid 188-17 --locoid 4065 --swversion DE.1.0.9.0 --startMP 204:233011 --initTime 2017-09-17T15:14:45 --startdatetime 2017-09-17T15:27:24 --delay 106 --endMP 204:149 --enddatetime 2017-09-17T16:04:51 --enforcementcount 0 &gt;&gt;C:\Users\stu\Documents\GitHub\eaglep3-reporting\EC\2017-09-17-refined-times.txt</v>
      </c>
      <c r="AI103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{"issue":{"subject":"","project_id":79,"tracker_id":40,"status_id":1,"priority_id":2,"assigned_to_id":338,"start_date":"2017-09-17","description":"","custom_fields":[{"id":1,"name":"Subdivision","value":"EC"},{"id":4,"name":"Milepost","value":"0.0149"},{"id":17,"name":"Train ID","value":"188-17"},{"id":16,"name":"Locomotive ID","value":"4065"},{"id":130,"name":"Impact","value":""},{"id":150,"name":"Time of Event (Mountain Time)","value":"16:04:51"},{"id":151,"name":"Denver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4"/>
        <v>start /low /b %USERPROFILE%\Documents\GitHub\eaglep3\Utilities\DownloadLogsFromS3.py --loco 4065 --day 2017-09-17</v>
      </c>
      <c r="AN103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22:04:51"},{"id":29,"name":"Sharepoint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Message%20ID',Summary),filters:!(),index:'emp_*',interval:auto,query:"&amp;"(query_string:(analyze_wildcard:!t,query:'Message%5C+ID:(*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-09-17T14:14:45-0600',mode:absolute,to:'2017-09-17T17:04:51-0600'))&amp;_a=(columns:!('Message%20ID',Summary),filters:!(),index:'emp_*',interval:auto,query:(query_string:(analyze_wildcard:!t,query:'Message%5C+ID:(*)+AND+%22rtdc.l.rtdc.4065%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733</v>
      </c>
      <c r="B104" s="7">
        <v>4028</v>
      </c>
      <c r="C104" s="21" t="s">
        <v>197</v>
      </c>
      <c r="D104" s="21" t="s">
        <v>349</v>
      </c>
      <c r="E104" s="13">
        <v>42995.613136574073</v>
      </c>
      <c r="F104" s="13">
        <v>42995.615127314813</v>
      </c>
      <c r="G104" s="7">
        <v>73</v>
      </c>
      <c r="H104" s="21" t="s">
        <v>549</v>
      </c>
      <c r="I104" s="13">
        <v>42995.641203703701</v>
      </c>
      <c r="J104" s="7">
        <v>0</v>
      </c>
      <c r="K104" s="89" t="str">
        <f t="shared" si="30"/>
        <v>4027/4028</v>
      </c>
      <c r="L104" s="186" t="str">
        <f>VLOOKUP(A104,'Trips&amp;Operators'!$C$1:$G$99911,5,FALSE)</f>
        <v>DAVIS MICHAEL</v>
      </c>
      <c r="M104" s="6">
        <f t="shared" si="31"/>
        <v>2.6076388887304347E-2</v>
      </c>
      <c r="N104" s="7">
        <f t="shared" si="46"/>
        <v>37.54999999771826</v>
      </c>
      <c r="O104" s="7"/>
      <c r="P104" s="7"/>
      <c r="Q104" s="22"/>
      <c r="R104" s="174"/>
      <c r="S104" s="222">
        <f t="shared" si="47"/>
        <v>1</v>
      </c>
      <c r="T104" s="174" t="str">
        <f t="shared" si="32"/>
        <v>NorthBound</v>
      </c>
      <c r="U104" s="19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7" t="str">
        <f t="shared" si="33"/>
        <v>https://d0f6bd738d7f1b3e5a7ca70fe4ff75f0.us-east-1.aws.found.io/app/kibana#/discover/Steve-Slow-Train-Analysis-(2080s-and-2083s)?_g=(refreshInterval:(display:Off,pause:!f,section:0,value:0),time:(from:'2017-09-17T13:42:55-0600',mode:absolute,to:'2017-09-17T16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4" s="205" t="str">
        <f>IF(AA104&lt;VLOOKUP(AG104,Variables!$AC$3:$AD$8,2,FALSE),"Y","N")</f>
        <v>N</v>
      </c>
      <c r="X104" s="205">
        <f t="shared" si="34"/>
        <v>1</v>
      </c>
      <c r="Y104" s="205">
        <f t="shared" si="35"/>
        <v>4.5499999999999999E-2</v>
      </c>
      <c r="Z104" s="205">
        <f t="shared" si="36"/>
        <v>23.333200000000001</v>
      </c>
      <c r="AA104" s="205">
        <f t="shared" si="37"/>
        <v>23.287700000000001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80">
        <f t="shared" si="38"/>
        <v>189</v>
      </c>
      <c r="AE104" s="77" t="str">
        <f t="shared" si="39"/>
        <v>aws s3 cp s3://rtdc.mdm.uploadarchive.raw/RTDC4028/ "%USERPROFILE%\AppData\Local\Temp\OnboardLogs"\RTDC4028\2017-09-17 --exclude "*" --recursive --include "*20170917*" &amp; "%USERPROFILE%\Documents\GitHub\mrs-test-scripts\Headless Mode &amp; Sideloading\WalkAndUnGZ.bat" "%USERPROFILE%\AppData\Local\Temp\OnboardLogs"\RTDC4028\2017-09-17 &amp; 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</v>
      </c>
      <c r="AF104" s="74" t="str">
        <f t="shared" si="40"/>
        <v>"C:\Program Files (x86)\AstroGrep\AstroGrep.exe" /e /r /s /spath="%USERPROFILE%\AppData\Local\Temp\OnboardLogs" /stypes="app*4028*20170917*" /stext=" 21:.+((SYSTEM_STATE.+slice.+state.+changed )|(ment ac)|(multiple cpu faults)|(system.+state.+changed )|(\[timeout)|(PRM\|1\|D)|(kpr)|(kdp)|(train st.+moving)|(\|lc)|(penalty))"</v>
      </c>
      <c r="AG104" s="183" t="str">
        <f t="shared" si="41"/>
        <v>EC</v>
      </c>
      <c r="AH104" s="78" t="str">
        <f t="shared" si="42"/>
        <v>"%USERPROFILE%\Documents\GitHub\eaglep3\Utilities\RefineRTDCRunTimes.py" --tripid 189-17 --locoid 4028 --swversion DE.1.0.9.0 --startMP 204:455 --initTime 2017-09-17T14:42:55 --startdatetime 2017-09-17T14:45:47 --delay 73 --endMP 204:233332 --enddatetime 2017-09-17T15:23:20 --enforcementcount 0 &gt;&gt;C:\Users\stu\Documents\GitHub\eaglep3-reporting\EC\2017-09-17-refined-times.txt</v>
      </c>
      <c r="AI104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{"issue":{"subject":"","project_id":79,"tracker_id":40,"status_id":1,"priority_id":2,"assigned_to_id":338,"start_date":"2017-09-17","description":"","custom_fields":[{"id":1,"name":"Subdivision","value":"EC"},{"id":4,"name":"Milepost","value":"23.3332"},{"id":17,"name":"Train ID","value":"189-17"},{"id":16,"name":"Locomotive ID","value":"4028"},{"id":130,"name":"Impact","value":""},{"id":150,"name":"Time of Event (Mountain Time)","value":"15:23:20"},{"id":151,"name":"Denver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4"/>
        <v>start /low /b %USERPROFILE%\Documents\GitHub\eaglep3\Utilities\DownloadLogsFromS3.py --loco 4028 --day 2017-09-17</v>
      </c>
      <c r="AN104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21:23:20"},{"id":29,"name":"Sharepoint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Message%20ID',Summary),filters:!(),index:'emp_*',interval:auto,query:"&amp;"(query_string:(analyze_wildcard:!t,query:'Message%5C+ID:(*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-09-17T13:42:55-0600',mode:absolute,to:'2017-09-17T16:23:20-0600'))&amp;_a=(columns:!('Message%20ID',Summary),filters:!(),index:'emp_*',interval:auto,query:(query_string:(analyze_wildcard:!t,query:'Message%5C+ID:(*)+AND+%22rtdc.l.rtdc.4028%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741</v>
      </c>
      <c r="B105" s="7">
        <v>4027</v>
      </c>
      <c r="C105" s="21" t="s">
        <v>197</v>
      </c>
      <c r="D105" s="21" t="s">
        <v>913</v>
      </c>
      <c r="E105" s="13">
        <v>42995.65152777778</v>
      </c>
      <c r="F105" s="13">
        <v>42995.654502314814</v>
      </c>
      <c r="G105" s="7">
        <v>85</v>
      </c>
      <c r="H105" s="21" t="s">
        <v>436</v>
      </c>
      <c r="I105" s="13">
        <v>42995.681712962964</v>
      </c>
      <c r="J105" s="7">
        <v>0</v>
      </c>
      <c r="K105" s="89" t="str">
        <f t="shared" si="30"/>
        <v>4027/4028</v>
      </c>
      <c r="L105" s="186" t="str">
        <f>VLOOKUP(A105,'Trips&amp;Operators'!$C$1:$G$99911,5,FALSE)</f>
        <v>DAVIS MICHAEL</v>
      </c>
      <c r="M105" s="6">
        <f t="shared" si="31"/>
        <v>2.7210648149775807E-2</v>
      </c>
      <c r="N105" s="7">
        <f t="shared" si="46"/>
        <v>39.183333335677162</v>
      </c>
      <c r="O105" s="7"/>
      <c r="P105" s="7"/>
      <c r="Q105" s="22"/>
      <c r="R105" s="174"/>
      <c r="S105" s="222">
        <f t="shared" si="47"/>
        <v>1</v>
      </c>
      <c r="T105" s="174" t="str">
        <f t="shared" si="32"/>
        <v>Southbound</v>
      </c>
      <c r="U105" s="19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7" t="str">
        <f t="shared" si="33"/>
        <v>https://d0f6bd738d7f1b3e5a7ca70fe4ff75f0.us-east-1.aws.found.io/app/kibana#/discover/Steve-Slow-Train-Analysis-(2080s-and-2083s)?_g=(refreshInterval:(display:Off,pause:!f,section:0,value:0),time:(from:'2017-09-17T14:38:12-0600',mode:absolute,to:'2017-09-17T17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5" s="205" t="str">
        <f>IF(AA105&lt;VLOOKUP(AG105,Variables!$AC$3:$AD$8,2,FALSE),"Y","N")</f>
        <v>N</v>
      </c>
      <c r="X105" s="205">
        <f t="shared" si="34"/>
        <v>1</v>
      </c>
      <c r="Y105" s="205">
        <f t="shared" si="35"/>
        <v>23.3049</v>
      </c>
      <c r="Z105" s="205">
        <f t="shared" si="36"/>
        <v>1.54E-2</v>
      </c>
      <c r="AA105" s="205">
        <f t="shared" si="37"/>
        <v>23.2895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80">
        <f t="shared" si="38"/>
        <v>190</v>
      </c>
      <c r="AE105" s="77" t="str">
        <f t="shared" si="39"/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AF105" s="74" t="str">
        <f t="shared" si="40"/>
        <v>"C:\Program Files (x86)\AstroGrep\AstroGrep.exe" /e /r /s /spath="%USERPROFILE%\AppData\Local\Temp\OnboardLogs" /stypes="app*4027*20170917*" /stext=" 22:.+((SYSTEM_STATE.+slice.+state.+changed )|(ment ac)|(multiple cpu faults)|(system.+state.+changed )|(\[timeout)|(PRM\|1\|D)|(kpr)|(kdp)|(train st.+moving)|(\|lc)|(penalty))"</v>
      </c>
      <c r="AG105" s="183" t="str">
        <f t="shared" si="41"/>
        <v>EC</v>
      </c>
      <c r="AH105" s="78" t="str">
        <f t="shared" si="42"/>
        <v>"%USERPROFILE%\Documents\GitHub\eaglep3\Utilities\RefineRTDCRunTimes.py" --tripid 190-17 --locoid 4027 --swversion DE.1.0.9.0 --startMP 204:233049 --initTime 2017-09-17T15:38:12 --startdatetime 2017-09-17T15:42:29 --delay 85 --endMP 204:154 --enddatetime 2017-09-17T16:21:40 --enforcementcount 0 &gt;&gt;C:\Users\stu\Documents\GitHub\eaglep3-reporting\EC\2017-09-17-refined-times.txt</v>
      </c>
      <c r="AI105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{"issue":{"subject":"","project_id":79,"tracker_id":40,"status_id":1,"priority_id":2,"assigned_to_id":338,"start_date":"2017-09-17","description":"","custom_fields":[{"id":1,"name":"Subdivision","value":"EC"},{"id":4,"name":"Milepost","value":"0.0154"},{"id":17,"name":"Train ID","value":"190-17"},{"id":16,"name":"Locomotive ID","value":"4027"},{"id":130,"name":"Impact","value":""},{"id":150,"name":"Time of Event (Mountain Time)","value":"16:21:40"},{"id":151,"name":"Denver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4"/>
        <v>start /low /b %USERPROFILE%\Documents\GitHub\eaglep3\Utilities\DownloadLogsFromS3.py --loco 4027 --day 2017-09-17</v>
      </c>
      <c r="AN105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22:21:40"},{"id":29,"name":"Sharepoint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Message%20ID',Summary),filters:!(),index:'emp_*',interval:auto,query:"&amp;"(query_string:(analyze_wildcard:!t,query:'Message%5C+ID:(*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-09-17T14:38:12-0600',mode:absolute,to:'2017-09-17T17:21:40-0600'))&amp;_a=(columns:!('Message%20ID',Summary),filters:!(),index:'emp_*',interval:auto,query:(query_string:(analyze_wildcard:!t,query:'Message%5C+ID:(*)+AND+%22rtdc.l.rtdc.4027%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734</v>
      </c>
      <c r="B106" s="7">
        <v>4056</v>
      </c>
      <c r="C106" s="21" t="s">
        <v>197</v>
      </c>
      <c r="D106" s="21" t="s">
        <v>486</v>
      </c>
      <c r="E106" s="13">
        <v>42995.622175925928</v>
      </c>
      <c r="F106" s="13">
        <v>42995.625254629631</v>
      </c>
      <c r="G106" s="7">
        <v>93</v>
      </c>
      <c r="H106" s="21" t="s">
        <v>842</v>
      </c>
      <c r="I106" s="13">
        <v>42995.650312500002</v>
      </c>
      <c r="J106" s="7">
        <v>0</v>
      </c>
      <c r="K106" s="89" t="str">
        <f t="shared" si="30"/>
        <v>4055/4056</v>
      </c>
      <c r="L106" s="186" t="str">
        <f>VLOOKUP(A106,'Trips&amp;Operators'!$C$1:$G$99911,5,FALSE)</f>
        <v>SAFIEF AEIMEN</v>
      </c>
      <c r="M106" s="6">
        <f t="shared" si="31"/>
        <v>2.5057870370801538E-2</v>
      </c>
      <c r="N106" s="7">
        <f t="shared" si="46"/>
        <v>36.083333333954215</v>
      </c>
      <c r="O106" s="7"/>
      <c r="P106" s="7"/>
      <c r="Q106" s="22"/>
      <c r="R106" s="174"/>
      <c r="S106" s="222">
        <f t="shared" si="47"/>
        <v>1</v>
      </c>
      <c r="T106" s="174" t="str">
        <f t="shared" si="32"/>
        <v>NorthBound</v>
      </c>
      <c r="U106" s="19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7" t="str">
        <f t="shared" si="33"/>
        <v>https://d0f6bd738d7f1b3e5a7ca70fe4ff75f0.us-east-1.aws.found.io/app/kibana#/discover/Steve-Slow-Train-Analysis-(2080s-and-2083s)?_g=(refreshInterval:(display:Off,pause:!f,section:0,value:0),time:(from:'2017-09-17T13:55:56-0600',mode:absolute,to:'2017-09-17T16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6" s="205" t="str">
        <f>IF(AA106&lt;VLOOKUP(AG106,Variables!$AC$3:$AD$8,2,FALSE),"Y","N")</f>
        <v>N</v>
      </c>
      <c r="X106" s="205">
        <f t="shared" si="34"/>
        <v>1</v>
      </c>
      <c r="Y106" s="205">
        <f t="shared" si="35"/>
        <v>4.7300000000000002E-2</v>
      </c>
      <c r="Z106" s="205">
        <f t="shared" si="36"/>
        <v>23.3338</v>
      </c>
      <c r="AA106" s="205">
        <f t="shared" si="37"/>
        <v>23.2865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80">
        <f t="shared" si="38"/>
        <v>191</v>
      </c>
      <c r="AE106" s="77" t="str">
        <f t="shared" si="39"/>
        <v>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 &amp; aws s3 cp s3://rtdc.mdm.uploadarchive.raw/RTDC4056/ "%USERPROFILE%\AppData\Local\Temp\OnboardLogs"\RTDC4056\2017-09-18 --exclude "*" --recursive --include "*20170918*" &amp; "%USERPROFILE%\Documents\GitHub\mrs-test-scripts\Headless Mode &amp; Sideloading\WalkAndUnGZ.bat" "%USERPROFILE%\AppData\Local\Temp\OnboardLogs"\RTDC4056\2017-09-18</v>
      </c>
      <c r="AF106" s="74" t="str">
        <f t="shared" si="40"/>
        <v>"C:\Program Files (x86)\AstroGrep\AstroGrep.exe" /e /r /s /spath="%USERPROFILE%\AppData\Local\Temp\OnboardLogs" /stypes="app*4056*20170917*" /stext=" 21:.+((SYSTEM_STATE.+slice.+state.+changed )|(ment ac)|(multiple cpu faults)|(system.+state.+changed )|(\[timeout)|(PRM\|1\|D)|(kpr)|(kdp)|(train st.+moving)|(\|lc)|(penalty))"</v>
      </c>
      <c r="AG106" s="183" t="str">
        <f t="shared" si="41"/>
        <v>EC</v>
      </c>
      <c r="AH106" s="78" t="str">
        <f t="shared" si="42"/>
        <v>"%USERPROFILE%\Documents\GitHub\eaglep3\Utilities\RefineRTDCRunTimes.py" --tripid 191-17 --locoid 4056 --swversion DE.1.0.9.0 --startMP 204:473 --initTime 2017-09-17T14:55:56 --startdatetime 2017-09-17T15:00:22 --delay 93 --endMP 204:233338 --enddatetime 2017-09-17T15:36:27 --enforcementcount 0 &gt;&gt;C:\Users\stu\Documents\GitHub\eaglep3-reporting\EC\2017-09-17-refined-times.txt</v>
      </c>
      <c r="AI106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{"issue":{"subject":"","project_id":79,"tracker_id":40,"status_id":1,"priority_id":2,"assigned_to_id":338,"start_date":"2017-09-17","description":"","custom_fields":[{"id":1,"name":"Subdivision","value":"EC"},{"id":4,"name":"Milepost","value":"23.3338"},{"id":17,"name":"Train ID","value":"191-17"},{"id":16,"name":"Locomotive ID","value":"4056"},{"id":130,"name":"Impact","value":""},{"id":150,"name":"Time of Event (Mountain Time)","value":"15:36:27"},{"id":151,"name":"Denver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4"/>
        <v>start /low /b %USERPROFILE%\Documents\GitHub\eaglep3\Utilities\DownloadLogsFromS3.py --loco 4056 --day 2017-09-17</v>
      </c>
      <c r="AN106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21:36:27"},{"id":29,"name":"Sharepoint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Message%20ID',Summary),filters:!(),index:'emp_*',interval:auto,query:"&amp;"(query_string:(analyze_wildcard:!t,query:'Message%5C+ID:(*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-09-17T13:55:56-0600',mode:absolute,to:'2017-09-17T16:36:27-0600'))&amp;_a=(columns:!('Message%20ID',Summary),filters:!(),index:'emp_*',interval:auto,query:(query_string:(analyze_wildcard:!t,query:'Message%5C+ID:(*)+AND+%22rtdc.l.rtdc.4056%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743</v>
      </c>
      <c r="B107" s="7">
        <v>4055</v>
      </c>
      <c r="C107" s="21" t="s">
        <v>197</v>
      </c>
      <c r="D107" s="21" t="s">
        <v>854</v>
      </c>
      <c r="E107" s="13">
        <v>42995.658877314818</v>
      </c>
      <c r="F107" s="13">
        <v>42995.66479166667</v>
      </c>
      <c r="G107" s="7">
        <v>77</v>
      </c>
      <c r="H107" s="21" t="s">
        <v>342</v>
      </c>
      <c r="I107" s="13">
        <v>42995.691307870373</v>
      </c>
      <c r="J107" s="7">
        <v>0</v>
      </c>
      <c r="K107" s="89" t="str">
        <f t="shared" si="30"/>
        <v>4055/4056</v>
      </c>
      <c r="L107" s="186" t="str">
        <f>VLOOKUP(A107,'Trips&amp;Operators'!$C$1:$G$99911,5,FALSE)</f>
        <v>SAFIEF AEIMEN</v>
      </c>
      <c r="M107" s="6">
        <f t="shared" si="31"/>
        <v>2.6516203703067731E-2</v>
      </c>
      <c r="N107" s="7">
        <f t="shared" si="46"/>
        <v>38.183333332417533</v>
      </c>
      <c r="O107" s="7"/>
      <c r="P107" s="7"/>
      <c r="Q107" s="22"/>
      <c r="R107" s="174"/>
      <c r="S107" s="222">
        <f t="shared" si="47"/>
        <v>1</v>
      </c>
      <c r="T107" s="174" t="str">
        <f t="shared" si="32"/>
        <v>Southbound</v>
      </c>
      <c r="U107" s="19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7" t="str">
        <f t="shared" si="33"/>
        <v>https://d0f6bd738d7f1b3e5a7ca70fe4ff75f0.us-east-1.aws.found.io/app/kibana#/discover/Steve-Slow-Train-Analysis-(2080s-and-2083s)?_g=(refreshInterval:(display:Off,pause:!f,section:0,value:0),time:(from:'2017-09-17T14:48:47-0600',mode:absolute,to:'2017-09-17T17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7" s="205" t="str">
        <f>IF(AA107&lt;VLOOKUP(AG107,Variables!$AC$3:$AD$8,2,FALSE),"Y","N")</f>
        <v>N</v>
      </c>
      <c r="X107" s="205">
        <f t="shared" si="34"/>
        <v>1</v>
      </c>
      <c r="Y107" s="205">
        <f t="shared" si="35"/>
        <v>23.301500000000001</v>
      </c>
      <c r="Z107" s="205">
        <f t="shared" si="36"/>
        <v>1.41E-2</v>
      </c>
      <c r="AA107" s="205">
        <f t="shared" si="37"/>
        <v>23.287400000000002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80">
        <f t="shared" si="38"/>
        <v>192</v>
      </c>
      <c r="AE107" s="77" t="str">
        <f t="shared" si="39"/>
        <v>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 &amp; aws s3 cp s3://rtdc.mdm.uploadarchive.raw/RTDC4055/ "%USERPROFILE%\AppData\Local\Temp\OnboardLogs"\RTDC4055\2017-09-18 --exclude "*" --recursive --include "*20170918*" &amp; "%USERPROFILE%\Documents\GitHub\mrs-test-scripts\Headless Mode &amp; Sideloading\WalkAndUnGZ.bat" "%USERPROFILE%\AppData\Local\Temp\OnboardLogs"\RTDC4055\2017-09-18</v>
      </c>
      <c r="AF107" s="74" t="str">
        <f t="shared" si="40"/>
        <v>"C:\Program Files (x86)\AstroGrep\AstroGrep.exe" /e /r /s /spath="%USERPROFILE%\AppData\Local\Temp\OnboardLogs" /stypes="app*4055*20170917*" /stext=" 22:.+((SYSTEM_STATE.+slice.+state.+changed )|(ment ac)|(multiple cpu faults)|(system.+state.+changed )|(\[timeout)|(PRM\|1\|D)|(kpr)|(kdp)|(train st.+moving)|(\|lc)|(penalty))"</v>
      </c>
      <c r="AG107" s="183" t="str">
        <f t="shared" si="41"/>
        <v>EC</v>
      </c>
      <c r="AH107" s="78" t="str">
        <f t="shared" si="42"/>
        <v>"%USERPROFILE%\Documents\GitHub\eaglep3\Utilities\RefineRTDCRunTimes.py" --tripid 192-17 --locoid 4055 --swversion DE.1.0.9.0 --startMP 204:233015 --initTime 2017-09-17T15:48:47 --startdatetime 2017-09-17T15:57:18 --delay 77 --endMP 204:141 --enddatetime 2017-09-17T16:35:29 --enforcementcount 0 &gt;&gt;C:\Users\stu\Documents\GitHub\eaglep3-reporting\EC\2017-09-17-refined-times.txt</v>
      </c>
      <c r="AI107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{"issue":{"subject":"","project_id":79,"tracker_id":40,"status_id":1,"priority_id":2,"assigned_to_id":338,"start_date":"2017-09-17","description":"","custom_fields":[{"id":1,"name":"Subdivision","value":"EC"},{"id":4,"name":"Milepost","value":"0.0141"},{"id":17,"name":"Train ID","value":"192-17"},{"id":16,"name":"Locomotive ID","value":"4055"},{"id":130,"name":"Impact","value":""},{"id":150,"name":"Time of Event (Mountain Time)","value":"16:35:29"},{"id":151,"name":"Denver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4"/>
        <v>start /low /b %USERPROFILE%\Documents\GitHub\eaglep3\Utilities\DownloadLogsFromS3.py --loco 4055 --day 2017-09-17</v>
      </c>
      <c r="AN107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22:35:29"},{"id":29,"name":"Sharepoint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Message%20ID',Summary),filters:!(),index:'emp_*',interval:auto,query:"&amp;"(query_string:(analyze_wildcard:!t,query:'Message%5C+ID:(*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-09-17T14:48:47-0600',mode:absolute,to:'2017-09-17T17:35:29-0600'))&amp;_a=(columns:!('Message%20ID',Summary),filters:!(),index:'emp_*',interval:auto,query:(query_string:(analyze_wildcard:!t,query:'Message%5C+ID:(*)+AND+%22rtdc.l.rtdc.4055%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737</v>
      </c>
      <c r="B108" s="7">
        <v>4044</v>
      </c>
      <c r="C108" s="21" t="s">
        <v>197</v>
      </c>
      <c r="D108" s="21" t="s">
        <v>358</v>
      </c>
      <c r="E108" s="13">
        <v>42995.630659722221</v>
      </c>
      <c r="F108" s="13">
        <v>42995.635567129626</v>
      </c>
      <c r="G108" s="7">
        <v>68</v>
      </c>
      <c r="H108" s="21" t="s">
        <v>917</v>
      </c>
      <c r="I108" s="13">
        <v>42995.660555555558</v>
      </c>
      <c r="J108" s="7">
        <v>0</v>
      </c>
      <c r="K108" s="89" t="str">
        <f t="shared" si="30"/>
        <v>4043/4044</v>
      </c>
      <c r="L108" s="186" t="str">
        <f>VLOOKUP(A108,'Trips&amp;Operators'!$C$1:$G$99911,5,FALSE)</f>
        <v>MCREYNOLDS KYLE</v>
      </c>
      <c r="M108" s="6">
        <f t="shared" si="31"/>
        <v>2.4988425931951497E-2</v>
      </c>
      <c r="N108" s="7">
        <f t="shared" si="46"/>
        <v>35.983333342010155</v>
      </c>
      <c r="O108" s="7"/>
      <c r="P108" s="7"/>
      <c r="Q108" s="22"/>
      <c r="R108" s="174"/>
      <c r="S108" s="222">
        <f t="shared" si="47"/>
        <v>1</v>
      </c>
      <c r="T108" s="174" t="str">
        <f t="shared" si="32"/>
        <v>NorthBound</v>
      </c>
      <c r="U108" s="19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7" t="str">
        <f t="shared" si="33"/>
        <v>https://d0f6bd738d7f1b3e5a7ca70fe4ff75f0.us-east-1.aws.found.io/app/kibana#/discover/Steve-Slow-Train-Analysis-(2080s-and-2083s)?_g=(refreshInterval:(display:Off,pause:!f,section:0,value:0),time:(from:'2017-09-17T14:08:09-0600',mode:absolute,to:'2017-09-17T16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8" s="205" t="str">
        <f>IF(AA108&lt;VLOOKUP(AG108,Variables!$AC$3:$AD$8,2,FALSE),"Y","N")</f>
        <v>N</v>
      </c>
      <c r="X108" s="205">
        <f t="shared" si="34"/>
        <v>1</v>
      </c>
      <c r="Y108" s="205">
        <f t="shared" si="35"/>
        <v>4.58E-2</v>
      </c>
      <c r="Z108" s="205">
        <f t="shared" si="36"/>
        <v>23.337599999999998</v>
      </c>
      <c r="AA108" s="205">
        <f t="shared" si="37"/>
        <v>23.291799999999999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80">
        <f t="shared" si="38"/>
        <v>193</v>
      </c>
      <c r="AE108" s="77" t="str">
        <f t="shared" si="39"/>
        <v>aws s3 cp s3://rtdc.mdm.uploadarchive.raw/RTDC4044/ "%USERPROFILE%\AppData\Local\Temp\OnboardLogs"\RTDC4044\2017-09-17 --exclude "*" --recursive --include "*20170917*" &amp; "%USERPROFILE%\Documents\GitHub\mrs-test-scripts\Headless Mode &amp; Sideloading\WalkAndUnGZ.bat" "%USERPROFILE%\AppData\Local\Temp\OnboardLogs"\RTDC4044\2017-09-17 &amp; aws s3 cp s3://rtdc.mdm.uploadarchive.raw/RTDC4044/ "%USERPROFILE%\AppData\Local\Temp\OnboardLogs"\RTDC4044\2017-09-18 --exclude "*" --recursive --include "*20170918*" &amp; "%USERPROFILE%\Documents\GitHub\mrs-test-scripts\Headless Mode &amp; Sideloading\WalkAndUnGZ.bat" "%USERPROFILE%\AppData\Local\Temp\OnboardLogs"\RTDC4044\2017-09-18</v>
      </c>
      <c r="AF108" s="74" t="str">
        <f t="shared" si="40"/>
        <v>"C:\Program Files (x86)\AstroGrep\AstroGrep.exe" /e /r /s /spath="%USERPROFILE%\AppData\Local\Temp\OnboardLogs" /stypes="app*4044*20170917*" /stext=" 21:.+((SYSTEM_STATE.+slice.+state.+changed )|(ment ac)|(multiple cpu faults)|(system.+state.+changed )|(\[timeout)|(PRM\|1\|D)|(kpr)|(kdp)|(train st.+moving)|(\|lc)|(penalty))"</v>
      </c>
      <c r="AG108" s="183" t="str">
        <f t="shared" si="41"/>
        <v>EC</v>
      </c>
      <c r="AH108" s="78" t="str">
        <f t="shared" si="42"/>
        <v>"%USERPROFILE%\Documents\GitHub\eaglep3\Utilities\RefineRTDCRunTimes.py" --tripid 193-17 --locoid 4044 --swversion DE.1.0.9.0 --startMP 204:458 --initTime 2017-09-17T15:08:09 --startdatetime 2017-09-17T15:15:13 --delay 68 --endMP 204:233376 --enddatetime 2017-09-17T15:51:12 --enforcementcount 0 &gt;&gt;C:\Users\stu\Documents\GitHub\eaglep3-reporting\EC\2017-09-17-refined-times.txt</v>
      </c>
      <c r="AI108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{"issue":{"subject":"","project_id":79,"tracker_id":40,"status_id":1,"priority_id":2,"assigned_to_id":338,"start_date":"2017-09-17","description":"","custom_fields":[{"id":1,"name":"Subdivision","value":"EC"},{"id":4,"name":"Milepost","value":"23.3376"},{"id":17,"name":"Train ID","value":"193-17"},{"id":16,"name":"Locomotive ID","value":"4044"},{"id":130,"name":"Impact","value":""},{"id":150,"name":"Time of Event (Mountain Time)","value":"15:51:12"},{"id":151,"name":"Denver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4"/>
        <v>start /low /b %USERPROFILE%\Documents\GitHub\eaglep3\Utilities\DownloadLogsFromS3.py --loco 4044 --day 2017-09-17</v>
      </c>
      <c r="AN108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21:51:12"},{"id":29,"name":"Sharepoint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Message%20ID',Summary),filters:!(),index:'emp_*',interval:auto,query:"&amp;"(query_string:(analyze_wildcard:!t,query:'Message%5C+ID:(*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-09-17T14:08:09-0600',mode:absolute,to:'2017-09-17T16:51:12-0600'))&amp;_a=(columns:!('Message%20ID',Summary),filters:!(),index:'emp_*',interval:auto,query:(query_string:(analyze_wildcard:!t,query:'Message%5C+ID:(*)+AND+%22rtdc.l.rtdc.4044%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744</v>
      </c>
      <c r="B109" s="7">
        <v>4043</v>
      </c>
      <c r="C109" s="21" t="s">
        <v>197</v>
      </c>
      <c r="D109" s="21" t="s">
        <v>918</v>
      </c>
      <c r="E109" s="13">
        <v>42995.667222222219</v>
      </c>
      <c r="F109" s="13">
        <v>42995.675150462965</v>
      </c>
      <c r="G109" s="7">
        <v>51</v>
      </c>
      <c r="H109" s="21" t="s">
        <v>339</v>
      </c>
      <c r="I109" s="13">
        <v>42995.700740740744</v>
      </c>
      <c r="J109" s="7">
        <v>0</v>
      </c>
      <c r="K109" s="89" t="str">
        <f t="shared" si="30"/>
        <v>4043/4044</v>
      </c>
      <c r="L109" s="186" t="str">
        <f>VLOOKUP(A109,'Trips&amp;Operators'!$C$1:$G$99911,5,FALSE)</f>
        <v>MCREYNOLDS KYLE</v>
      </c>
      <c r="M109" s="6">
        <f t="shared" si="31"/>
        <v>2.5590277778974269E-2</v>
      </c>
      <c r="N109" s="7">
        <f t="shared" si="46"/>
        <v>36.850000001722947</v>
      </c>
      <c r="O109" s="7"/>
      <c r="P109" s="7"/>
      <c r="Q109" s="22"/>
      <c r="R109" s="174"/>
      <c r="S109" s="222">
        <f t="shared" si="47"/>
        <v>1</v>
      </c>
      <c r="T109" s="174" t="str">
        <f t="shared" si="32"/>
        <v>Southbound</v>
      </c>
      <c r="U109" s="19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7" t="str">
        <f t="shared" si="33"/>
        <v>https://d0f6bd738d7f1b3e5a7ca70fe4ff75f0.us-east-1.aws.found.io/app/kibana#/discover/Steve-Slow-Train-Analysis-(2080s-and-2083s)?_g=(refreshInterval:(display:Off,pause:!f,section:0,value:0),time:(from:'2017-09-17T15:00:48-0600',mode:absolute,to:'2017-09-17T17:49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9" s="205" t="str">
        <f>IF(AA109&lt;VLOOKUP(AG109,Variables!$AC$3:$AD$8,2,FALSE),"Y","N")</f>
        <v>N</v>
      </c>
      <c r="X109" s="205">
        <f t="shared" ref="X109:X133" si="48">VALUE(LEFT(AD109,4))-VALUE(LEFT(AD108,4))</f>
        <v>1</v>
      </c>
      <c r="Y109" s="205">
        <f t="shared" ref="Y109:Y140" si="49">RIGHT(D109,LEN(D109)-4)/10000</f>
        <v>23.3048</v>
      </c>
      <c r="Z109" s="205">
        <f t="shared" ref="Z109:Z140" si="50">RIGHT(H109,LEN(H109)-4)/10000</f>
        <v>1.49E-2</v>
      </c>
      <c r="AA109" s="205">
        <f t="shared" si="37"/>
        <v>23.289899999999999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80">
        <f t="shared" si="38"/>
        <v>194</v>
      </c>
      <c r="AE109" s="77" t="str">
        <f t="shared" si="39"/>
        <v>aws s3 cp s3://rtdc.mdm.uploadarchive.raw/RTDC4043/ "%USERPROFILE%\AppData\Local\Temp\OnboardLogs"\RTDC4043\2017-09-17 --exclude "*" --recursive --include "*20170917*" &amp; "%USERPROFILE%\Documents\GitHub\mrs-test-scripts\Headless Mode &amp; Sideloading\WalkAndUnGZ.bat" "%USERPROFILE%\AppData\Local\Temp\OnboardLogs"\RTDC4043\2017-09-17 &amp; aws s3 cp s3://rtdc.mdm.uploadarchive.raw/RTDC4043/ "%USERPROFILE%\AppData\Local\Temp\OnboardLogs"\RTDC4043\2017-09-18 --exclude "*" --recursive --include "*20170918*" &amp; "%USERPROFILE%\Documents\GitHub\mrs-test-scripts\Headless Mode &amp; Sideloading\WalkAndUnGZ.bat" "%USERPROFILE%\AppData\Local\Temp\OnboardLogs"\RTDC4043\2017-09-18</v>
      </c>
      <c r="AF109" s="74" t="str">
        <f t="shared" si="40"/>
        <v>"C:\Program Files (x86)\AstroGrep\AstroGrep.exe" /e /r /s /spath="%USERPROFILE%\AppData\Local\Temp\OnboardLogs" /stypes="app*4043*20170917*" /stext=" 22:.+((SYSTEM_STATE.+slice.+state.+changed )|(ment ac)|(multiple cpu faults)|(system.+state.+changed )|(\[timeout)|(PRM\|1\|D)|(kpr)|(kdp)|(train st.+moving)|(\|lc)|(penalty))"</v>
      </c>
      <c r="AG109" s="183" t="str">
        <f t="shared" si="41"/>
        <v>EC</v>
      </c>
      <c r="AH109" s="78" t="str">
        <f t="shared" si="42"/>
        <v>"%USERPROFILE%\Documents\GitHub\eaglep3\Utilities\RefineRTDCRunTimes.py" --tripid 194-17 --locoid 4043 --swversion DE.1.0.9.0 --startMP 204:233048 --initTime 2017-09-17T16:00:48 --startdatetime 2017-09-17T16:12:13 --delay 51 --endMP 204:149 --enddatetime 2017-09-17T16:49:04 --enforcementcount 0 &gt;&gt;C:\Users\stu\Documents\GitHub\eaglep3-reporting\EC\2017-09-17-refined-times.txt</v>
      </c>
      <c r="AI109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{"issue":{"subject":"","project_id":79,"tracker_id":40,"status_id":1,"priority_id":2,"assigned_to_id":338,"start_date":"2017-09-17","description":"","custom_fields":[{"id":1,"name":"Subdivision","value":"EC"},{"id":4,"name":"Milepost","value":"0.0149"},{"id":17,"name":"Train ID","value":"194-17"},{"id":16,"name":"Locomotive ID","value":"4043"},{"id":130,"name":"Impact","value":""},{"id":150,"name":"Time of Event (Mountain Time)","value":"16:49:04"},{"id":151,"name":"Denver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4"/>
        <v>start /low /b %USERPROFILE%\Documents\GitHub\eaglep3\Utilities\DownloadLogsFromS3.py --loco 4043 --day 2017-09-17</v>
      </c>
      <c r="AN109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22:49:04"},{"id":29,"name":"Sharepoint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Message%20ID',Summary),filters:!(),index:'emp_*',interval:auto,query:"&amp;"(query_string:(analyze_wildcard:!t,query:'Message%5C+ID:(*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-09-17T15:00:48-0600',mode:absolute,to:'2017-09-17T17:49:04-0600'))&amp;_a=(columns:!('Message%20ID',Summary),filters:!(),index:'emp_*',interval:auto,query:(query_string:(analyze_wildcard:!t,query:'Message%5C+ID:(*)+AND+%22rtdc.l.rtdc.4043%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739</v>
      </c>
      <c r="B110" s="7">
        <v>4060</v>
      </c>
      <c r="C110" s="21" t="s">
        <v>197</v>
      </c>
      <c r="D110" s="21" t="s">
        <v>453</v>
      </c>
      <c r="E110" s="13">
        <v>42995.645590277774</v>
      </c>
      <c r="F110" s="13">
        <v>42995.646956018521</v>
      </c>
      <c r="G110" s="7">
        <v>51</v>
      </c>
      <c r="H110" s="21" t="s">
        <v>857</v>
      </c>
      <c r="I110" s="13">
        <v>42995.671956018516</v>
      </c>
      <c r="J110" s="7">
        <v>0</v>
      </c>
      <c r="K110" s="89" t="str">
        <f t="shared" si="30"/>
        <v>4059/4060</v>
      </c>
      <c r="L110" s="186" t="str">
        <f>VLOOKUP(A110,'Trips&amp;Operators'!$C$1:$G$99911,5,FALSE)</f>
        <v>BADERTSCHER DIANE</v>
      </c>
      <c r="M110" s="6">
        <f t="shared" si="31"/>
        <v>2.4999999994179234E-2</v>
      </c>
      <c r="N110" s="7">
        <f t="shared" si="46"/>
        <v>35.999999991618097</v>
      </c>
      <c r="O110" s="7"/>
      <c r="P110" s="7"/>
      <c r="Q110" s="22"/>
      <c r="R110" s="174"/>
      <c r="S110" s="222">
        <f t="shared" si="47"/>
        <v>1</v>
      </c>
      <c r="T110" s="174" t="str">
        <f t="shared" si="32"/>
        <v>NorthBound</v>
      </c>
      <c r="U110" s="19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7" t="str">
        <f t="shared" si="33"/>
        <v>https://d0f6bd738d7f1b3e5a7ca70fe4ff75f0.us-east-1.aws.found.io/app/kibana#/discover/Steve-Slow-Train-Analysis-(2080s-and-2083s)?_g=(refreshInterval:(display:Off,pause:!f,section:0,value:0),time:(from:'2017-09-17T14:29:39-0600',mode:absolute,to:'2017-09-17T17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0" s="205" t="str">
        <f>IF(AA110&lt;VLOOKUP(AG110,Variables!$AC$3:$AD$8,2,FALSE),"Y","N")</f>
        <v>N</v>
      </c>
      <c r="X110" s="205">
        <f t="shared" si="48"/>
        <v>1</v>
      </c>
      <c r="Y110" s="205">
        <f t="shared" si="49"/>
        <v>4.3799999999999999E-2</v>
      </c>
      <c r="Z110" s="205">
        <f t="shared" si="50"/>
        <v>23.3368</v>
      </c>
      <c r="AA110" s="205">
        <f t="shared" si="37"/>
        <v>23.292999999999999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80">
        <f t="shared" si="38"/>
        <v>195</v>
      </c>
      <c r="AE110" s="77" t="str">
        <f t="shared" si="39"/>
        <v>aws s3 cp s3://rtdc.mdm.uploadarchive.raw/RTDC4060/ "%USERPROFILE%\AppData\Local\Temp\OnboardLogs"\RTDC4060\2017-09-17 --exclude "*" --recursive --include "*20170917*" &amp; "%USERPROFILE%\Documents\GitHub\mrs-test-scripts\Headless Mode &amp; Sideloading\WalkAndUnGZ.bat" "%USERPROFILE%\AppData\Local\Temp\OnboardLogs"\RTDC4060\2017-09-17 &amp; aws s3 cp s3://rtdc.mdm.uploadarchive.raw/RTDC4060/ "%USERPROFILE%\AppData\Local\Temp\OnboardLogs"\RTDC4060\2017-09-18 --exclude "*" --recursive --include "*20170918*" &amp; "%USERPROFILE%\Documents\GitHub\mrs-test-scripts\Headless Mode &amp; Sideloading\WalkAndUnGZ.bat" "%USERPROFILE%\AppData\Local\Temp\OnboardLogs"\RTDC4060\2017-09-18</v>
      </c>
      <c r="AF110" s="74" t="str">
        <f t="shared" si="40"/>
        <v>"C:\Program Files (x86)\AstroGrep\AstroGrep.exe" /e /r /s /spath="%USERPROFILE%\AppData\Local\Temp\OnboardLogs" /stypes="app*4060*20170917*" /stext=" 22:.+((SYSTEM_STATE.+slice.+state.+changed )|(ment ac)|(multiple cpu faults)|(system.+state.+changed )|(\[timeout)|(PRM\|1\|D)|(kpr)|(kdp)|(train st.+moving)|(\|lc)|(penalty))"</v>
      </c>
      <c r="AG110" s="183" t="str">
        <f t="shared" si="41"/>
        <v>EC</v>
      </c>
      <c r="AH110" s="78" t="str">
        <f t="shared" si="42"/>
        <v>"%USERPROFILE%\Documents\GitHub\eaglep3\Utilities\RefineRTDCRunTimes.py" --tripid 195-17 --locoid 4060 --swversion DE.1.0.9.0 --startMP 204:438 --initTime 2017-09-17T15:29:39 --startdatetime 2017-09-17T15:31:37 --delay 51 --endMP 204:233368 --enddatetime 2017-09-17T16:07:37 --enforcementcount 0 &gt;&gt;C:\Users\stu\Documents\GitHub\eaglep3-reporting\EC\2017-09-17-refined-times.txt</v>
      </c>
      <c r="AI110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{"issue":{"subject":"","project_id":79,"tracker_id":40,"status_id":1,"priority_id":2,"assigned_to_id":338,"start_date":"2017-09-17","description":"","custom_fields":[{"id":1,"name":"Subdivision","value":"EC"},{"id":4,"name":"Milepost","value":"23.3368"},{"id":17,"name":"Train ID","value":"195-17"},{"id":16,"name":"Locomotive ID","value":"4060"},{"id":130,"name":"Impact","value":""},{"id":150,"name":"Time of Event (Mountain Time)","value":"16:07:37"},{"id":151,"name":"Denver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4"/>
        <v>start /low /b %USERPROFILE%\Documents\GitHub\eaglep3\Utilities\DownloadLogsFromS3.py --loco 4060 --day 2017-09-17</v>
      </c>
      <c r="AN110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22:07:37"},{"id":29,"name":"Sharepoint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Message%20ID',Summary),filters:!(),index:'emp_*',interval:auto,query:"&amp;"(query_string:(analyze_wildcard:!t,query:'Message%5C+ID:(*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-09-17T14:29:39-0600',mode:absolute,to:'2017-09-17T17:07:37-0600'))&amp;_a=(columns:!('Message%20ID',Summary),filters:!(),index:'emp_*',interval:auto,query:(query_string:(analyze_wildcard:!t,query:'Message%5C+ID:(*)+AND+%22rtdc.l.rtdc.4060%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747</v>
      </c>
      <c r="B111" s="7">
        <v>4059</v>
      </c>
      <c r="C111" s="21" t="s">
        <v>197</v>
      </c>
      <c r="D111" s="21" t="s">
        <v>568</v>
      </c>
      <c r="E111" s="13">
        <v>42995.67765046296</v>
      </c>
      <c r="F111" s="13">
        <v>42995.685694444444</v>
      </c>
      <c r="G111" s="7">
        <v>48</v>
      </c>
      <c r="H111" s="21" t="s">
        <v>912</v>
      </c>
      <c r="I111" s="13">
        <v>42995.712361111109</v>
      </c>
      <c r="J111" s="7">
        <v>0</v>
      </c>
      <c r="K111" s="89" t="str">
        <f t="shared" si="30"/>
        <v>4059/4060</v>
      </c>
      <c r="L111" s="186" t="str">
        <f>VLOOKUP(A111,'Trips&amp;Operators'!$C$1:$G$99911,5,FALSE)</f>
        <v>BADERTSCHER DIANE</v>
      </c>
      <c r="M111" s="6">
        <f t="shared" si="31"/>
        <v>2.6666666664823424E-2</v>
      </c>
      <c r="N111" s="7">
        <f t="shared" si="46"/>
        <v>38.399999997345731</v>
      </c>
      <c r="O111" s="7"/>
      <c r="P111" s="7"/>
      <c r="Q111" s="22"/>
      <c r="R111" s="174"/>
      <c r="S111" s="222">
        <f t="shared" si="47"/>
        <v>1</v>
      </c>
      <c r="T111" s="174" t="str">
        <f t="shared" si="32"/>
        <v>Southbound</v>
      </c>
      <c r="U111" s="19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7" t="str">
        <f t="shared" si="33"/>
        <v>https://d0f6bd738d7f1b3e5a7ca70fe4ff75f0.us-east-1.aws.found.io/app/kibana#/discover/Steve-Slow-Train-Analysis-(2080s-and-2083s)?_g=(refreshInterval:(display:Off,pause:!f,section:0,value:0),time:(from:'2017-09-17T15:15:49-0600',mode:absolute,to:'2017-09-17T18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1" s="205" t="str">
        <f>IF(AA111&lt;VLOOKUP(AG111,Variables!$AC$3:$AD$8,2,FALSE),"Y","N")</f>
        <v>N</v>
      </c>
      <c r="X111" s="205">
        <f t="shared" si="48"/>
        <v>1</v>
      </c>
      <c r="Y111" s="205">
        <f t="shared" si="49"/>
        <v>23.305099999999999</v>
      </c>
      <c r="Z111" s="205">
        <f t="shared" si="50"/>
        <v>1.34E-2</v>
      </c>
      <c r="AA111" s="205">
        <f t="shared" si="37"/>
        <v>23.291699999999999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80">
        <f t="shared" si="38"/>
        <v>196</v>
      </c>
      <c r="AE111" s="77" t="str">
        <f t="shared" si="39"/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AF111" s="74" t="str">
        <f t="shared" si="40"/>
        <v>"C:\Program Files (x86)\AstroGrep\AstroGrep.exe" /e /r /s /spath="%USERPROFILE%\AppData\Local\Temp\OnboardLogs" /stypes="app*4059*20170917*" /stext=" 23:.+((SYSTEM_STATE.+slice.+state.+changed )|(ment ac)|(multiple cpu faults)|(system.+state.+changed )|(\[timeout)|(PRM\|1\|D)|(kpr)|(kdp)|(train st.+moving)|(\|lc)|(penalty))"</v>
      </c>
      <c r="AG111" s="183" t="str">
        <f t="shared" si="41"/>
        <v>EC</v>
      </c>
      <c r="AH111" s="78" t="str">
        <f t="shared" si="42"/>
        <v>"%USERPROFILE%\Documents\GitHub\eaglep3\Utilities\RefineRTDCRunTimes.py" --tripid 196-17 --locoid 4059 --swversion DE.1.0.9.0 --startMP 204:233051 --initTime 2017-09-17T16:15:49 --startdatetime 2017-09-17T16:27:24 --delay 48 --endMP 204:134 --enddatetime 2017-09-17T17:05:48 --enforcementcount 0 &gt;&gt;C:\Users\stu\Documents\GitHub\eaglep3-reporting\EC\2017-09-17-refined-times.txt</v>
      </c>
      <c r="AI111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{"issue":{"subject":"","project_id":79,"tracker_id":40,"status_id":1,"priority_id":2,"assigned_to_id":338,"start_date":"2017-09-17","description":"","custom_fields":[{"id":1,"name":"Subdivision","value":"EC"},{"id":4,"name":"Milepost","value":"0.0134"},{"id":17,"name":"Train ID","value":"196-17"},{"id":16,"name":"Locomotive ID","value":"4059"},{"id":130,"name":"Impact","value":""},{"id":150,"name":"Time of Event (Mountain Time)","value":"17:05:48"},{"id":151,"name":"Denver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4"/>
        <v>start /low /b %USERPROFILE%\Documents\GitHub\eaglep3\Utilities\DownloadLogsFromS3.py --loco 4059 --day 2017-09-17</v>
      </c>
      <c r="AN111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23:05:48"},{"id":29,"name":"Sharepoint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Message%20ID',Summary),filters:!(),index:'emp_*',interval:auto,query:"&amp;"(query_string:(analyze_wildcard:!t,query:'Message%5C+ID:(*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-09-17T15:15:49-0600',mode:absolute,to:'2017-09-17T18:05:48-0600'))&amp;_a=(columns:!('Message%20ID',Summary),filters:!(),index:'emp_*',interval:auto,query:(query_string:(analyze_wildcard:!t,query:'Message%5C+ID:(*)+AND+%22rtdc.l.rtdc.4059%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742</v>
      </c>
      <c r="B112" s="7">
        <v>4002</v>
      </c>
      <c r="C112" s="21" t="s">
        <v>197</v>
      </c>
      <c r="D112" s="21" t="s">
        <v>442</v>
      </c>
      <c r="E112" s="13">
        <v>42995.652361111112</v>
      </c>
      <c r="F112" s="13">
        <v>42995.656597222223</v>
      </c>
      <c r="G112" s="7">
        <v>58</v>
      </c>
      <c r="H112" s="21" t="s">
        <v>919</v>
      </c>
      <c r="I112" s="13">
        <v>42995.68236111111</v>
      </c>
      <c r="J112" s="7">
        <v>0</v>
      </c>
      <c r="K112" s="89" t="str">
        <f t="shared" si="30"/>
        <v>4001/4002</v>
      </c>
      <c r="L112" s="186" t="str">
        <f>VLOOKUP(A112,'Trips&amp;Operators'!$C$1:$G$99911,5,FALSE)</f>
        <v>DAVIDSON DAVID</v>
      </c>
      <c r="M112" s="6">
        <f t="shared" si="31"/>
        <v>2.5763888887013309E-2</v>
      </c>
      <c r="N112" s="7">
        <f t="shared" si="46"/>
        <v>37.099999997299165</v>
      </c>
      <c r="O112" s="7"/>
      <c r="P112" s="7"/>
      <c r="Q112" s="22"/>
      <c r="R112" s="174"/>
      <c r="S112" s="222">
        <f t="shared" si="47"/>
        <v>1</v>
      </c>
      <c r="T112" s="174" t="str">
        <f t="shared" si="32"/>
        <v>NorthBound</v>
      </c>
      <c r="U112" s="19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7" t="str">
        <f t="shared" si="33"/>
        <v>https://d0f6bd738d7f1b3e5a7ca70fe4ff75f0.us-east-1.aws.found.io/app/kibana#/discover/Steve-Slow-Train-Analysis-(2080s-and-2083s)?_g=(refreshInterval:(display:Off,pause:!f,section:0,value:0),time:(from:'2017-09-17T14:39:24-0600',mode:absolute,to:'2017-09-17T17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2" s="205" t="str">
        <f>IF(AA112&lt;VLOOKUP(AG112,Variables!$AC$3:$AD$8,2,FALSE),"Y","N")</f>
        <v>N</v>
      </c>
      <c r="X112" s="205">
        <f t="shared" si="48"/>
        <v>1</v>
      </c>
      <c r="Y112" s="205">
        <f t="shared" si="49"/>
        <v>4.6600000000000003E-2</v>
      </c>
      <c r="Z112" s="205">
        <f t="shared" si="50"/>
        <v>23.328600000000002</v>
      </c>
      <c r="AA112" s="205">
        <f t="shared" si="37"/>
        <v>23.282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80">
        <f t="shared" si="38"/>
        <v>197</v>
      </c>
      <c r="AE112" s="77" t="str">
        <f t="shared" si="39"/>
        <v>aws s3 cp s3://rtdc.mdm.uploadarchive.raw/RTDC4002/ "%USERPROFILE%\AppData\Local\Temp\OnboardLogs"\RTDC4002\2017-09-17 --exclude "*" --recursive --include "*20170917*" &amp; "%USERPROFILE%\Documents\GitHub\mrs-test-scripts\Headless Mode &amp; Sideloading\WalkAndUnGZ.bat" "%USERPROFILE%\AppData\Local\Temp\OnboardLogs"\RTDC4002\2017-09-17 &amp; aws s3 cp s3://rtdc.mdm.uploadarchive.raw/RTDC4002/ "%USERPROFILE%\AppData\Local\Temp\OnboardLogs"\RTDC4002\2017-09-18 --exclude "*" --recursive --include "*20170918*" &amp; "%USERPROFILE%\Documents\GitHub\mrs-test-scripts\Headless Mode &amp; Sideloading\WalkAndUnGZ.bat" "%USERPROFILE%\AppData\Local\Temp\OnboardLogs"\RTDC4002\2017-09-18</v>
      </c>
      <c r="AF112" s="74" t="str">
        <f t="shared" si="40"/>
        <v>"C:\Program Files (x86)\AstroGrep\AstroGrep.exe" /e /r /s /spath="%USERPROFILE%\AppData\Local\Temp\OnboardLogs" /stypes="app*4002*20170917*" /stext=" 22:.+((SYSTEM_STATE.+slice.+state.+changed )|(ment ac)|(multiple cpu faults)|(system.+state.+changed )|(\[timeout)|(PRM\|1\|D)|(kpr)|(kdp)|(train st.+moving)|(\|lc)|(penalty))"</v>
      </c>
      <c r="AG112" s="183" t="str">
        <f t="shared" si="41"/>
        <v>EC</v>
      </c>
      <c r="AH112" s="78" t="str">
        <f t="shared" si="42"/>
        <v>"%USERPROFILE%\Documents\GitHub\eaglep3\Utilities\RefineRTDCRunTimes.py" --tripid 197-17 --locoid 4002 --swversion DE.1.0.9.0 --startMP 204:466 --initTime 2017-09-17T15:39:24 --startdatetime 2017-09-17T15:45:30 --delay 58 --endMP 204:233286 --enddatetime 2017-09-17T16:22:36 --enforcementcount 0 &gt;&gt;C:\Users\stu\Documents\GitHub\eaglep3-reporting\EC\2017-09-17-refined-times.txt</v>
      </c>
      <c r="AI112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{"issue":{"subject":"","project_id":79,"tracker_id":40,"status_id":1,"priority_id":2,"assigned_to_id":338,"start_date":"2017-09-17","description":"","custom_fields":[{"id":1,"name":"Subdivision","value":"EC"},{"id":4,"name":"Milepost","value":"23.3286"},{"id":17,"name":"Train ID","value":"197-17"},{"id":16,"name":"Locomotive ID","value":"4002"},{"id":130,"name":"Impact","value":""},{"id":150,"name":"Time of Event (Mountain Time)","value":"16:22:36"},{"id":151,"name":"Denver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4"/>
        <v>start /low /b %USERPROFILE%\Documents\GitHub\eaglep3\Utilities\DownloadLogsFromS3.py --loco 4002 --day 2017-09-17</v>
      </c>
      <c r="AN112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22:22:36"},{"id":29,"name":"Sharepoint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Message%20ID',Summary),filters:!(),index:'emp_*',interval:auto,query:"&amp;"(query_string:(analyze_wildcard:!t,query:'Message%5C+ID:(*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-09-17T14:39:24-0600',mode:absolute,to:'2017-09-17T17:22:36-0600'))&amp;_a=(columns:!('Message%20ID',Summary),filters:!(),index:'emp_*',interval:auto,query:(query_string:(analyze_wildcard:!t,query:'Message%5C+ID:(*)+AND+%22rtdc.l.rtdc.4002%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749</v>
      </c>
      <c r="B113" s="7">
        <v>4001</v>
      </c>
      <c r="C113" s="21" t="s">
        <v>197</v>
      </c>
      <c r="D113" s="21" t="s">
        <v>920</v>
      </c>
      <c r="E113" s="13">
        <v>42995.68677083333</v>
      </c>
      <c r="F113" s="13">
        <v>42995.696030092593</v>
      </c>
      <c r="G113" s="7">
        <v>54</v>
      </c>
      <c r="H113" s="21" t="s">
        <v>489</v>
      </c>
      <c r="I113" s="13">
        <v>42995.722453703704</v>
      </c>
      <c r="J113" s="7">
        <v>0</v>
      </c>
      <c r="K113" s="89" t="str">
        <f t="shared" si="30"/>
        <v>4001/4002</v>
      </c>
      <c r="L113" s="186" t="str">
        <f>VLOOKUP(A113,'Trips&amp;Operators'!$C$1:$G$99911,5,FALSE)</f>
        <v>DAVIDSON DAVID</v>
      </c>
      <c r="M113" s="6">
        <f t="shared" si="31"/>
        <v>2.6423611110658385E-2</v>
      </c>
      <c r="N113" s="7">
        <f t="shared" si="46"/>
        <v>38.049999999348074</v>
      </c>
      <c r="O113" s="7"/>
      <c r="P113" s="7"/>
      <c r="Q113" s="22"/>
      <c r="R113" s="174"/>
      <c r="S113" s="222">
        <f t="shared" si="47"/>
        <v>1</v>
      </c>
      <c r="T113" s="174" t="str">
        <f t="shared" si="32"/>
        <v>Southbound</v>
      </c>
      <c r="U113" s="19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7" t="str">
        <f t="shared" si="33"/>
        <v>https://d0f6bd738d7f1b3e5a7ca70fe4ff75f0.us-east-1.aws.found.io/app/kibana#/discover/Steve-Slow-Train-Analysis-(2080s-and-2083s)?_g=(refreshInterval:(display:Off,pause:!f,section:0,value:0),time:(from:'2017-09-17T15:28:57-0600',mode:absolute,to:'2017-09-17T18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3" s="205" t="str">
        <f>IF(AA113&lt;VLOOKUP(AG113,Variables!$AC$3:$AD$8,2,FALSE),"Y","N")</f>
        <v>N</v>
      </c>
      <c r="X113" s="205">
        <f t="shared" si="48"/>
        <v>1</v>
      </c>
      <c r="Y113" s="205">
        <f t="shared" si="49"/>
        <v>23.2971</v>
      </c>
      <c r="Z113" s="205">
        <f t="shared" si="50"/>
        <v>1.67E-2</v>
      </c>
      <c r="AA113" s="205">
        <f t="shared" si="37"/>
        <v>23.2804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80">
        <f t="shared" si="38"/>
        <v>198</v>
      </c>
      <c r="AE113" s="77" t="str">
        <f t="shared" si="39"/>
        <v>aws s3 cp s3://rtdc.mdm.uploadarchive.raw/RTDC4001/ "%USERPROFILE%\AppData\Local\Temp\OnboardLogs"\RTDC4001\2017-09-17 --exclude "*" --recursive --include "*20170917*" &amp; "%USERPROFILE%\Documents\GitHub\mrs-test-scripts\Headless Mode &amp; Sideloading\WalkAndUnGZ.bat" "%USERPROFILE%\AppData\Local\Temp\OnboardLogs"\RTDC4001\2017-09-17 &amp; aws s3 cp s3://rtdc.mdm.uploadarchive.raw/RTDC4001/ "%USERPROFILE%\AppData\Local\Temp\OnboardLogs"\RTDC4001\2017-09-18 --exclude "*" --recursive --include "*20170918*" &amp; "%USERPROFILE%\Documents\GitHub\mrs-test-scripts\Headless Mode &amp; Sideloading\WalkAndUnGZ.bat" "%USERPROFILE%\AppData\Local\Temp\OnboardLogs"\RTDC4001\2017-09-18</v>
      </c>
      <c r="AF113" s="74" t="str">
        <f t="shared" si="40"/>
        <v>"C:\Program Files (x86)\AstroGrep\AstroGrep.exe" /e /r /s /spath="%USERPROFILE%\AppData\Local\Temp\OnboardLogs" /stypes="app*4001*20170917*" /stext=" 23:.+((SYSTEM_STATE.+slice.+state.+changed )|(ment ac)|(multiple cpu faults)|(system.+state.+changed )|(\[timeout)|(PRM\|1\|D)|(kpr)|(kdp)|(train st.+moving)|(\|lc)|(penalty))"</v>
      </c>
      <c r="AG113" s="183" t="str">
        <f t="shared" si="41"/>
        <v>EC</v>
      </c>
      <c r="AH113" s="78" t="str">
        <f t="shared" si="42"/>
        <v>"%USERPROFILE%\Documents\GitHub\eaglep3\Utilities\RefineRTDCRunTimes.py" --tripid 198-17 --locoid 4001 --swversion DE.1.0.9.0 --startMP 204:232971 --initTime 2017-09-17T16:28:57 --startdatetime 2017-09-17T16:42:17 --delay 54 --endMP 204:167 --enddatetime 2017-09-17T17:20:20 --enforcementcount 0 &gt;&gt;C:\Users\stu\Documents\GitHub\eaglep3-reporting\EC\2017-09-17-refined-times.txt</v>
      </c>
      <c r="AI113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{"issue":{"subject":"","project_id":79,"tracker_id":40,"status_id":1,"priority_id":2,"assigned_to_id":338,"start_date":"2017-09-17","description":"","custom_fields":[{"id":1,"name":"Subdivision","value":"EC"},{"id":4,"name":"Milepost","value":"0.0167"},{"id":17,"name":"Train ID","value":"198-17"},{"id":16,"name":"Locomotive ID","value":"4001"},{"id":130,"name":"Impact","value":""},{"id":150,"name":"Time of Event (Mountain Time)","value":"17:20:20"},{"id":151,"name":"Denver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4"/>
        <v>start /low /b %USERPROFILE%\Documents\GitHub\eaglep3\Utilities\DownloadLogsFromS3.py --loco 4001 --day 2017-09-17</v>
      </c>
      <c r="AN113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23:20:20"},{"id":29,"name":"Sharepoint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Message%20ID',Summary),filters:!(),index:'emp_*',interval:auto,query:"&amp;"(query_string:(analyze_wildcard:!t,query:'Message%5C+ID:(*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-09-17T15:28:57-0600',mode:absolute,to:'2017-09-17T18:20:20-0600'))&amp;_a=(columns:!('Message%20ID',Summary),filters:!(),index:'emp_*',interval:auto,query:(query_string:(analyze_wildcard:!t,query:'Message%5C+ID:(*)+AND+%22rtdc.l.rtdc.4001%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598</v>
      </c>
      <c r="B114" s="7">
        <v>4016</v>
      </c>
      <c r="C114" s="21" t="s">
        <v>197</v>
      </c>
      <c r="D114" s="21" t="s">
        <v>486</v>
      </c>
      <c r="E114" s="13">
        <v>42995.663368055553</v>
      </c>
      <c r="F114" s="13">
        <v>42995.66684027778</v>
      </c>
      <c r="G114" s="7">
        <v>55</v>
      </c>
      <c r="H114" s="21" t="s">
        <v>549</v>
      </c>
      <c r="I114" s="13">
        <v>42995.691481481481</v>
      </c>
      <c r="J114" s="7">
        <v>0</v>
      </c>
      <c r="K114" s="89" t="str">
        <f t="shared" si="30"/>
        <v>4015/4016</v>
      </c>
      <c r="L114" s="186" t="str">
        <f>VLOOKUP(A114,'Trips&amp;Operators'!$C$1:$G$99911,5,FALSE)</f>
        <v>LOPES KIMBERLY</v>
      </c>
      <c r="M114" s="6">
        <f t="shared" si="31"/>
        <v>2.4641203701321501E-2</v>
      </c>
      <c r="N114" s="7">
        <f t="shared" si="46"/>
        <v>35.483333329902962</v>
      </c>
      <c r="O114" s="7"/>
      <c r="P114" s="7"/>
      <c r="Q114" s="22"/>
      <c r="R114" s="174"/>
      <c r="S114" s="222">
        <f t="shared" si="47"/>
        <v>1</v>
      </c>
      <c r="T114" s="174" t="str">
        <f t="shared" si="32"/>
        <v>NorthBound</v>
      </c>
      <c r="U114" s="19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7" t="str">
        <f t="shared" si="33"/>
        <v>https://d0f6bd738d7f1b3e5a7ca70fe4ff75f0.us-east-1.aws.found.io/app/kibana#/discover/Steve-Slow-Train-Analysis-(2080s-and-2083s)?_g=(refreshInterval:(display:Off,pause:!f,section:0,value:0),time:(from:'2017-09-17T14:55:15-0600',mode:absolute,to:'2017-09-17T17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4" s="205" t="str">
        <f>IF(AA114&lt;VLOOKUP(AG114,Variables!$AC$3:$AD$8,2,FALSE),"Y","N")</f>
        <v>N</v>
      </c>
      <c r="X114" s="205">
        <f t="shared" si="48"/>
        <v>1</v>
      </c>
      <c r="Y114" s="205">
        <f t="shared" si="49"/>
        <v>4.7300000000000002E-2</v>
      </c>
      <c r="Z114" s="205">
        <f t="shared" si="50"/>
        <v>23.333200000000001</v>
      </c>
      <c r="AA114" s="205">
        <f t="shared" si="37"/>
        <v>23.285900000000002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80">
        <f t="shared" si="38"/>
        <v>199</v>
      </c>
      <c r="AE114" s="77" t="str">
        <f t="shared" si="39"/>
        <v>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 &amp; 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</v>
      </c>
      <c r="AF114" s="74" t="str">
        <f t="shared" si="40"/>
        <v>"C:\Program Files (x86)\AstroGrep\AstroGrep.exe" /e /r /s /spath="%USERPROFILE%\AppData\Local\Temp\OnboardLogs" /stypes="app*4016*20170917*" /stext=" 22:.+((SYSTEM_STATE.+slice.+state.+changed )|(ment ac)|(multiple cpu faults)|(system.+state.+changed )|(\[timeout)|(PRM\|1\|D)|(kpr)|(kdp)|(train st.+moving)|(\|lc)|(penalty))"</v>
      </c>
      <c r="AG114" s="183" t="str">
        <f t="shared" si="41"/>
        <v>EC</v>
      </c>
      <c r="AH114" s="78" t="str">
        <f t="shared" si="42"/>
        <v>"%USERPROFILE%\Documents\GitHub\eaglep3\Utilities\RefineRTDCRunTimes.py" --tripid 199-17 --locoid 4016 --swversion DE.1.0.9.0 --startMP 204:473 --initTime 2017-09-17T15:55:15 --startdatetime 2017-09-17T16:00:15 --delay 55 --endMP 204:233332 --enddatetime 2017-09-17T16:35:44 --enforcementcount 0 &gt;&gt;C:\Users\stu\Documents\GitHub\eaglep3-reporting\EC\2017-09-17-refined-times.txt</v>
      </c>
      <c r="AI114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{"issue":{"subject":"","project_id":79,"tracker_id":40,"status_id":1,"priority_id":2,"assigned_to_id":338,"start_date":"2017-09-17","description":"","custom_fields":[{"id":1,"name":"Subdivision","value":"EC"},{"id":4,"name":"Milepost","value":"23.3332"},{"id":17,"name":"Train ID","value":"199-17"},{"id":16,"name":"Locomotive ID","value":"4016"},{"id":130,"name":"Impact","value":""},{"id":150,"name":"Time of Event (Mountain Time)","value":"16:35:44"},{"id":151,"name":"Denver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4"/>
        <v>start /low /b %USERPROFILE%\Documents\GitHub\eaglep3\Utilities\DownloadLogsFromS3.py --loco 4016 --day 2017-09-17</v>
      </c>
      <c r="AN114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22:35:44"},{"id":29,"name":"Sharepoint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Message%20ID',Summary),filters:!(),index:'emp_*',interval:auto,query:"&amp;"(query_string:(analyze_wildcard:!t,query:'Message%5C+ID:(*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-09-17T14:55:15-0600',mode:absolute,to:'2017-09-17T17:35:44-0600'))&amp;_a=(columns:!('Message%20ID',Summary),filters:!(),index:'emp_*',interval:auto,query:(query_string:(analyze_wildcard:!t,query:'Message%5C+ID:(*)+AND+%22rtdc.l.rtdc.4016%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753</v>
      </c>
      <c r="B115" s="7">
        <v>4015</v>
      </c>
      <c r="C115" s="21" t="s">
        <v>197</v>
      </c>
      <c r="D115" s="21" t="s">
        <v>546</v>
      </c>
      <c r="E115" s="13">
        <v>42995.7028125</v>
      </c>
      <c r="F115" s="13">
        <v>42995.706400462965</v>
      </c>
      <c r="G115" s="7">
        <v>49</v>
      </c>
      <c r="H115" s="21" t="s">
        <v>338</v>
      </c>
      <c r="I115" s="13">
        <v>42995.731782407405</v>
      </c>
      <c r="J115" s="7">
        <v>0</v>
      </c>
      <c r="K115" s="89" t="str">
        <f t="shared" si="30"/>
        <v>4015/4016</v>
      </c>
      <c r="L115" s="186" t="str">
        <f>VLOOKUP(A115,'Trips&amp;Operators'!$C$1:$G$99911,5,FALSE)</f>
        <v>LOPES KIMBERLY</v>
      </c>
      <c r="M115" s="6">
        <f t="shared" si="31"/>
        <v>2.5381944440596271E-2</v>
      </c>
      <c r="N115" s="7">
        <f t="shared" si="46"/>
        <v>36.549999994458631</v>
      </c>
      <c r="O115" s="7"/>
      <c r="P115" s="7"/>
      <c r="Q115" s="22"/>
      <c r="R115" s="174"/>
      <c r="S115" s="222">
        <f t="shared" si="47"/>
        <v>1</v>
      </c>
      <c r="T115" s="174" t="str">
        <f t="shared" si="32"/>
        <v>Southbound</v>
      </c>
      <c r="U115" s="19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7" t="str">
        <f t="shared" si="33"/>
        <v>https://d0f6bd738d7f1b3e5a7ca70fe4ff75f0.us-east-1.aws.found.io/app/kibana#/discover/Steve-Slow-Train-Analysis-(2080s-and-2083s)?_g=(refreshInterval:(display:Off,pause:!f,section:0,value:0),time:(from:'2017-09-17T15:52:03-0600',mode:absolute,to:'2017-09-17T18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5" s="205" t="str">
        <f>IF(AA115&lt;VLOOKUP(AG115,Variables!$AC$3:$AD$8,2,FALSE),"Y","N")</f>
        <v>N</v>
      </c>
      <c r="X115" s="205">
        <f t="shared" si="48"/>
        <v>1</v>
      </c>
      <c r="Y115" s="205">
        <f t="shared" si="49"/>
        <v>23.302499999999998</v>
      </c>
      <c r="Z115" s="205">
        <f t="shared" si="50"/>
        <v>1.4999999999999999E-2</v>
      </c>
      <c r="AA115" s="205">
        <f t="shared" si="37"/>
        <v>23.287499999999998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80">
        <f t="shared" si="38"/>
        <v>200</v>
      </c>
      <c r="AE115" s="77" t="str">
        <f t="shared" si="39"/>
        <v>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 &amp; 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</v>
      </c>
      <c r="AF115" s="74" t="str">
        <f t="shared" si="40"/>
        <v>"C:\Program Files (x86)\AstroGrep\AstroGrep.exe" /e /r /s /spath="%USERPROFILE%\AppData\Local\Temp\OnboardLogs" /stypes="app*4015*20170917*" /stext=" 23:.+((SYSTEM_STATE.+slice.+state.+changed )|(ment ac)|(multiple cpu faults)|(system.+state.+changed )|(\[timeout)|(PRM\|1\|D)|(kpr)|(kdp)|(train st.+moving)|(\|lc)|(penalty))"</v>
      </c>
      <c r="AG115" s="183" t="str">
        <f t="shared" si="41"/>
        <v>EC</v>
      </c>
      <c r="AH115" s="78" t="str">
        <f t="shared" si="42"/>
        <v>"%USERPROFILE%\Documents\GitHub\eaglep3\Utilities\RefineRTDCRunTimes.py" --tripid 200-17 --locoid 4015 --swversion DE.1.0.9.0 --startMP 204:233025 --initTime 2017-09-17T16:52:03 --startdatetime 2017-09-17T16:57:13 --delay 49 --endMP 204:150 --enddatetime 2017-09-17T17:33:46 --enforcementcount 0 &gt;&gt;C:\Users\stu\Documents\GitHub\eaglep3-reporting\EC\2017-09-17-refined-times.txt</v>
      </c>
      <c r="AI115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{"issue":{"subject":"","project_id":79,"tracker_id":40,"status_id":1,"priority_id":2,"assigned_to_id":338,"start_date":"2017-09-17","description":"","custom_fields":[{"id":1,"name":"Subdivision","value":"EC"},{"id":4,"name":"Milepost","value":"0.015"},{"id":17,"name":"Train ID","value":"200-17"},{"id":16,"name":"Locomotive ID","value":"4015"},{"id":130,"name":"Impact","value":""},{"id":150,"name":"Time of Event (Mountain Time)","value":"17:33:46"},{"id":151,"name":"Denver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4"/>
        <v>start /low /b %USERPROFILE%\Documents\GitHub\eaglep3\Utilities\DownloadLogsFromS3.py --loco 4015 --day 2017-09-17</v>
      </c>
      <c r="AN115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23:33:46"},{"id":29,"name":"Sharepoint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Message%20ID',Summary),filters:!(),index:'emp_*',interval:auto,query:"&amp;"(query_string:(analyze_wildcard:!t,query:'Message%5C+ID:(*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-09-17T15:52:03-0600',mode:absolute,to:'2017-09-17T18:33:46-0600'))&amp;_a=(columns:!('Message%20ID',Summary),filters:!(),index:'emp_*',interval:auto,query:(query_string:(analyze_wildcard:!t,query:'Message%5C+ID:(*)+AND+%22rtdc.l.rtdc.4015%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746</v>
      </c>
      <c r="B116" s="7">
        <v>4066</v>
      </c>
      <c r="C116" s="21" t="s">
        <v>197</v>
      </c>
      <c r="D116" s="21" t="s">
        <v>921</v>
      </c>
      <c r="E116" s="13">
        <v>42995.671967592592</v>
      </c>
      <c r="F116" s="13">
        <v>42995.677314814813</v>
      </c>
      <c r="G116" s="7">
        <v>63</v>
      </c>
      <c r="H116" s="21" t="s">
        <v>483</v>
      </c>
      <c r="I116" s="13">
        <v>42995.702581018515</v>
      </c>
      <c r="J116" s="7">
        <v>0</v>
      </c>
      <c r="K116" s="89" t="str">
        <f t="shared" si="30"/>
        <v>4065/4066</v>
      </c>
      <c r="L116" s="186" t="str">
        <f>VLOOKUP(A116,'Trips&amp;Operators'!$C$1:$G$99911,5,FALSE)</f>
        <v>SMITH MICHAEL</v>
      </c>
      <c r="M116" s="6">
        <f t="shared" si="31"/>
        <v>2.5266203701903578E-2</v>
      </c>
      <c r="N116" s="7">
        <f t="shared" si="46"/>
        <v>36.383333330741152</v>
      </c>
      <c r="O116" s="7"/>
      <c r="P116" s="7"/>
      <c r="Q116" s="22"/>
      <c r="R116" s="174"/>
      <c r="S116" s="222">
        <f t="shared" si="47"/>
        <v>1</v>
      </c>
      <c r="T116" s="174" t="str">
        <f t="shared" si="32"/>
        <v>NorthBound</v>
      </c>
      <c r="U116" s="19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7" t="str">
        <f t="shared" si="33"/>
        <v>https://d0f6bd738d7f1b3e5a7ca70fe4ff75f0.us-east-1.aws.found.io/app/kibana#/discover/Steve-Slow-Train-Analysis-(2080s-and-2083s)?_g=(refreshInterval:(display:Off,pause:!f,section:0,value:0),time:(from:'2017-09-17T15:07:38-0600',mode:absolute,to:'2017-09-17T17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6" s="205" t="str">
        <f>IF(AA116&lt;VLOOKUP(AG116,Variables!$AC$3:$AD$8,2,FALSE),"Y","N")</f>
        <v>N</v>
      </c>
      <c r="X116" s="205">
        <f t="shared" si="48"/>
        <v>1</v>
      </c>
      <c r="Y116" s="205">
        <f t="shared" si="49"/>
        <v>4.8899999999999999E-2</v>
      </c>
      <c r="Z116" s="205">
        <f t="shared" si="50"/>
        <v>23.329899999999999</v>
      </c>
      <c r="AA116" s="205">
        <f t="shared" si="37"/>
        <v>23.280999999999999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80">
        <f t="shared" si="38"/>
        <v>201</v>
      </c>
      <c r="AE116" s="77" t="str">
        <f t="shared" si="39"/>
        <v>aws s3 cp s3://rtdc.mdm.uploadarchive.raw/RTDC4066/ "%USERPROFILE%\AppData\Local\Temp\OnboardLogs"\RTDC4066\2017-09-17 --exclude "*" --recursive --include "*20170917*" &amp; "%USERPROFILE%\Documents\GitHub\mrs-test-scripts\Headless Mode &amp; Sideloading\WalkAndUnGZ.bat" "%USERPROFILE%\AppData\Local\Temp\OnboardLogs"\RTDC4066\2017-09-17 &amp; 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</v>
      </c>
      <c r="AF116" s="74" t="str">
        <f t="shared" si="40"/>
        <v>"C:\Program Files (x86)\AstroGrep\AstroGrep.exe" /e /r /s /spath="%USERPROFILE%\AppData\Local\Temp\OnboardLogs" /stypes="app*4066*20170917*" /stext=" 22:.+((SYSTEM_STATE.+slice.+state.+changed )|(ment ac)|(multiple cpu faults)|(system.+state.+changed )|(\[timeout)|(PRM\|1\|D)|(kpr)|(kdp)|(train st.+moving)|(\|lc)|(penalty))"</v>
      </c>
      <c r="AG116" s="183" t="str">
        <f t="shared" si="41"/>
        <v>EC</v>
      </c>
      <c r="AH116" s="78" t="str">
        <f t="shared" si="42"/>
        <v>"%USERPROFILE%\Documents\GitHub\eaglep3\Utilities\RefineRTDCRunTimes.py" --tripid 201-17 --locoid 4066 --swversion DE.1.0.9.0 --startMP 204:489 --initTime 2017-09-17T16:07:38 --startdatetime 2017-09-17T16:15:20 --delay 63 --endMP 204:233299 --enddatetime 2017-09-17T16:51:43 --enforcementcount 0 &gt;&gt;C:\Users\stu\Documents\GitHub\eaglep3-reporting\EC\2017-09-17-refined-times.txt</v>
      </c>
      <c r="AI116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{"issue":{"subject":"","project_id":79,"tracker_id":40,"status_id":1,"priority_id":2,"assigned_to_id":338,"start_date":"2017-09-17","description":"","custom_fields":[{"id":1,"name":"Subdivision","value":"EC"},{"id":4,"name":"Milepost","value":"23.3299"},{"id":17,"name":"Train ID","value":"201-17"},{"id":16,"name":"Locomotive ID","value":"4066"},{"id":130,"name":"Impact","value":""},{"id":150,"name":"Time of Event (Mountain Time)","value":"16:51:43"},{"id":151,"name":"Denver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4"/>
        <v>start /low /b %USERPROFILE%\Documents\GitHub\eaglep3\Utilities\DownloadLogsFromS3.py --loco 4066 --day 2017-09-17</v>
      </c>
      <c r="AN116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22:51:43"},{"id":29,"name":"Sharepoint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Message%20ID',Summary),filters:!(),index:'emp_*',interval:auto,query:"&amp;"(query_string:(analyze_wildcard:!t,query:'Message%5C+ID:(*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-09-17T15:07:38-0600',mode:absolute,to:'2017-09-17T17:51:43-0600'))&amp;_a=(columns:!('Message%20ID',Summary),filters:!(),index:'emp_*',interval:auto,query:(query_string:(analyze_wildcard:!t,query:'Message%5C+ID:(*)+AND+%22rtdc.l.rtdc.4066%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600</v>
      </c>
      <c r="B117" s="7">
        <v>4065</v>
      </c>
      <c r="C117" s="21" t="s">
        <v>197</v>
      </c>
      <c r="D117" s="21" t="s">
        <v>452</v>
      </c>
      <c r="E117" s="13">
        <v>42995.712233796294</v>
      </c>
      <c r="F117" s="13">
        <v>42995.716921296298</v>
      </c>
      <c r="G117" s="7">
        <v>66</v>
      </c>
      <c r="H117" s="21" t="s">
        <v>365</v>
      </c>
      <c r="I117" s="13">
        <v>42995.742349537039</v>
      </c>
      <c r="J117" s="7">
        <v>0</v>
      </c>
      <c r="K117" s="89" t="str">
        <f t="shared" si="30"/>
        <v>4065/4066</v>
      </c>
      <c r="L117" s="186" t="str">
        <f>VLOOKUP(A117,'Trips&amp;Operators'!$C$1:$G$99911,5,FALSE)</f>
        <v>SMITH MICHAEL</v>
      </c>
      <c r="M117" s="6">
        <f t="shared" si="31"/>
        <v>2.5428240740438923E-2</v>
      </c>
      <c r="N117" s="7">
        <f t="shared" si="46"/>
        <v>36.616666666232049</v>
      </c>
      <c r="O117" s="7"/>
      <c r="P117" s="7"/>
      <c r="Q117" s="22"/>
      <c r="R117" s="174"/>
      <c r="S117" s="222">
        <f t="shared" si="47"/>
        <v>1</v>
      </c>
      <c r="T117" s="174" t="str">
        <f t="shared" si="32"/>
        <v>Southbound</v>
      </c>
      <c r="U117" s="19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7" t="str">
        <f t="shared" si="33"/>
        <v>https://d0f6bd738d7f1b3e5a7ca70fe4ff75f0.us-east-1.aws.found.io/app/kibana#/discover/Steve-Slow-Train-Analysis-(2080s-and-2083s)?_g=(refreshInterval:(display:Off,pause:!f,section:0,value:0),time:(from:'2017-09-17T16:05:37-0600',mode:absolute,to:'2017-09-17T18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7" s="205" t="str">
        <f>IF(AA117&lt;VLOOKUP(AG117,Variables!$AC$3:$AD$8,2,FALSE),"Y","N")</f>
        <v>N</v>
      </c>
      <c r="X117" s="205">
        <f t="shared" si="48"/>
        <v>1</v>
      </c>
      <c r="Y117" s="205">
        <f t="shared" si="49"/>
        <v>23.297799999999999</v>
      </c>
      <c r="Z117" s="205">
        <f t="shared" si="50"/>
        <v>1.38E-2</v>
      </c>
      <c r="AA117" s="205">
        <f t="shared" si="37"/>
        <v>23.283999999999999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80">
        <f t="shared" si="38"/>
        <v>202</v>
      </c>
      <c r="AE117" s="77" t="str">
        <f t="shared" si="39"/>
        <v>aws s3 cp s3://rtdc.mdm.uploadarchive.raw/RTDC4065/ "%USERPROFILE%\AppData\Local\Temp\OnboardLogs"\RTDC4065\2017-09-17 --exclude "*" --recursive --include "*20170917*" &amp; "%USERPROFILE%\Documents\GitHub\mrs-test-scripts\Headless Mode &amp; Sideloading\WalkAndUnGZ.bat" "%USERPROFILE%\AppData\Local\Temp\OnboardLogs"\RTDC4065\2017-09-17 &amp; 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</v>
      </c>
      <c r="AF117" s="74" t="str">
        <f t="shared" si="40"/>
        <v>"C:\Program Files (x86)\AstroGrep\AstroGrep.exe" /e /r /s /spath="%USERPROFILE%\AppData\Local\Temp\OnboardLogs" /stypes="app*4065*20170917*" /stext=" 23:.+((SYSTEM_STATE.+slice.+state.+changed )|(ment ac)|(multiple cpu faults)|(system.+state.+changed )|(\[timeout)|(PRM\|1\|D)|(kpr)|(kdp)|(train st.+moving)|(\|lc)|(penalty))"</v>
      </c>
      <c r="AG117" s="183" t="str">
        <f t="shared" si="41"/>
        <v>EC</v>
      </c>
      <c r="AH117" s="78" t="str">
        <f t="shared" si="42"/>
        <v>"%USERPROFILE%\Documents\GitHub\eaglep3\Utilities\RefineRTDCRunTimes.py" --tripid 202-17 --locoid 4065 --swversion DE.1.0.9.0 --startMP 204:232978 --initTime 2017-09-17T17:05:37 --startdatetime 2017-09-17T17:12:22 --delay 66 --endMP 204:138 --enddatetime 2017-09-17T17:48:59 --enforcementcount 0 &gt;&gt;C:\Users\stu\Documents\GitHub\eaglep3-reporting\EC\2017-09-17-refined-times.txt</v>
      </c>
      <c r="AI117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{"issue":{"subject":"","project_id":79,"tracker_id":40,"status_id":1,"priority_id":2,"assigned_to_id":338,"start_date":"2017-09-17","description":"","custom_fields":[{"id":1,"name":"Subdivision","value":"EC"},{"id":4,"name":"Milepost","value":"0.0138"},{"id":17,"name":"Train ID","value":"202-17"},{"id":16,"name":"Locomotive ID","value":"4065"},{"id":130,"name":"Impact","value":""},{"id":150,"name":"Time of Event (Mountain Time)","value":"17:48:59"},{"id":151,"name":"Denver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4"/>
        <v>start /low /b %USERPROFILE%\Documents\GitHub\eaglep3\Utilities\DownloadLogsFromS3.py --loco 4065 --day 2017-09-17</v>
      </c>
      <c r="AN117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23:48:59"},{"id":29,"name":"Sharepoint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Message%20ID',Summary),filters:!(),index:'emp_*',interval:auto,query:"&amp;"(query_string:(analyze_wildcard:!t,query:'Message%5C+ID:(*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-09-17T16:05:37-0600',mode:absolute,to:'2017-09-17T18:48:59-0600'))&amp;_a=(columns:!('Message%20ID',Summary),filters:!(),index:'emp_*',interval:auto,query:(query_string:(analyze_wildcard:!t,query:'Message%5C+ID:(*)+AND+%22rtdc.l.rtdc.4065%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748</v>
      </c>
      <c r="B118" s="7">
        <v>4028</v>
      </c>
      <c r="C118" s="21" t="s">
        <v>197</v>
      </c>
      <c r="D118" s="21" t="s">
        <v>341</v>
      </c>
      <c r="E118" s="13">
        <v>42995.685486111113</v>
      </c>
      <c r="F118" s="13">
        <v>42995.687893518516</v>
      </c>
      <c r="G118" s="7">
        <v>51</v>
      </c>
      <c r="H118" s="21" t="s">
        <v>456</v>
      </c>
      <c r="I118" s="13">
        <v>42995.712789351855</v>
      </c>
      <c r="J118" s="7">
        <v>0</v>
      </c>
      <c r="K118" s="89" t="str">
        <f t="shared" si="30"/>
        <v>4027/4028</v>
      </c>
      <c r="L118" s="186" t="str">
        <f>VLOOKUP(A118,'Trips&amp;Operators'!$C$1:$G$99911,5,FALSE)</f>
        <v>DAVIS MICHAEL</v>
      </c>
      <c r="M118" s="6">
        <f t="shared" si="31"/>
        <v>2.489583333954215E-2</v>
      </c>
      <c r="N118" s="7">
        <f t="shared" si="46"/>
        <v>35.850000008940697</v>
      </c>
      <c r="O118" s="7"/>
      <c r="P118" s="7"/>
      <c r="Q118" s="22"/>
      <c r="R118" s="174"/>
      <c r="S118" s="222">
        <f t="shared" si="47"/>
        <v>1</v>
      </c>
      <c r="T118" s="174" t="str">
        <f t="shared" si="32"/>
        <v>NorthBound</v>
      </c>
      <c r="U118" s="19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7" t="str">
        <f t="shared" si="33"/>
        <v>https://d0f6bd738d7f1b3e5a7ca70fe4ff75f0.us-east-1.aws.found.io/app/kibana#/discover/Steve-Slow-Train-Analysis-(2080s-and-2083s)?_g=(refreshInterval:(display:Off,pause:!f,section:0,value:0),time:(from:'2017-09-17T15:27:06-0600',mode:absolute,to:'2017-09-17T18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8" s="205" t="str">
        <f>IF(AA118&lt;VLOOKUP(AG118,Variables!$AC$3:$AD$8,2,FALSE),"Y","N")</f>
        <v>N</v>
      </c>
      <c r="X118" s="205">
        <f t="shared" si="48"/>
        <v>1</v>
      </c>
      <c r="Y118" s="205">
        <f t="shared" si="49"/>
        <v>4.53E-2</v>
      </c>
      <c r="Z118" s="205">
        <f t="shared" si="50"/>
        <v>23.334700000000002</v>
      </c>
      <c r="AA118" s="205">
        <f t="shared" si="37"/>
        <v>23.289400000000001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80">
        <f t="shared" si="38"/>
        <v>203</v>
      </c>
      <c r="AE118" s="77" t="str">
        <f t="shared" si="39"/>
        <v>aws s3 cp s3://rtdc.mdm.uploadarchive.raw/RTDC4028/ "%USERPROFILE%\AppData\Local\Temp\OnboardLogs"\RTDC4028\2017-09-17 --exclude "*" --recursive --include "*20170917*" &amp; "%USERPROFILE%\Documents\GitHub\mrs-test-scripts\Headless Mode &amp; Sideloading\WalkAndUnGZ.bat" "%USERPROFILE%\AppData\Local\Temp\OnboardLogs"\RTDC4028\2017-09-17 &amp; 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</v>
      </c>
      <c r="AF118" s="74" t="str">
        <f t="shared" si="40"/>
        <v>"C:\Program Files (x86)\AstroGrep\AstroGrep.exe" /e /r /s /spath="%USERPROFILE%\AppData\Local\Temp\OnboardLogs" /stypes="app*4028*20170917*" /stext=" 23:.+((SYSTEM_STATE.+slice.+state.+changed )|(ment ac)|(multiple cpu faults)|(system.+state.+changed )|(\[timeout)|(PRM\|1\|D)|(kpr)|(kdp)|(train st.+moving)|(\|lc)|(penalty))"</v>
      </c>
      <c r="AG118" s="183" t="str">
        <f t="shared" si="41"/>
        <v>EC</v>
      </c>
      <c r="AH118" s="78" t="str">
        <f t="shared" si="42"/>
        <v>"%USERPROFILE%\Documents\GitHub\eaglep3\Utilities\RefineRTDCRunTimes.py" --tripid 203-17 --locoid 4028 --swversion DE.1.0.9.0 --startMP 204:453 --initTime 2017-09-17T16:27:06 --startdatetime 2017-09-17T16:30:34 --delay 51 --endMP 204:233347 --enddatetime 2017-09-17T17:06:25 --enforcementcount 0 &gt;&gt;C:\Users\stu\Documents\GitHub\eaglep3-reporting\EC\2017-09-17-refined-times.txt</v>
      </c>
      <c r="AI118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{"issue":{"subject":"","project_id":79,"tracker_id":40,"status_id":1,"priority_id":2,"assigned_to_id":338,"start_date":"2017-09-17","description":"","custom_fields":[{"id":1,"name":"Subdivision","value":"EC"},{"id":4,"name":"Milepost","value":"23.3347"},{"id":17,"name":"Train ID","value":"203-17"},{"id":16,"name":"Locomotive ID","value":"4028"},{"id":130,"name":"Impact","value":""},{"id":150,"name":"Time of Event (Mountain Time)","value":"17:06:25"},{"id":151,"name":"Denver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4"/>
        <v>start /low /b %USERPROFILE%\Documents\GitHub\eaglep3\Utilities\DownloadLogsFromS3.py --loco 4028 --day 2017-09-17</v>
      </c>
      <c r="AN118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23:06:25"},{"id":29,"name":"Sharepoint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Message%20ID',Summary),filters:!(),index:'emp_*',interval:auto,query:"&amp;"(query_string:(analyze_wildcard:!t,query:'Message%5C+ID:(*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-09-17T15:27:06-0600',mode:absolute,to:'2017-09-17T18:06:25-0600'))&amp;_a=(columns:!('Message%20ID',Summary),filters:!(),index:'emp_*',interval:auto,query:(query_string:(analyze_wildcard:!t,query:'Message%5C+ID:(*)+AND+%22rtdc.l.rtdc.4028%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756</v>
      </c>
      <c r="B119" s="7">
        <v>4027</v>
      </c>
      <c r="C119" s="21" t="s">
        <v>197</v>
      </c>
      <c r="D119" s="21" t="s">
        <v>546</v>
      </c>
      <c r="E119" s="13">
        <v>42995.724479166667</v>
      </c>
      <c r="F119" s="13">
        <v>42995.727569444447</v>
      </c>
      <c r="G119" s="7">
        <v>83</v>
      </c>
      <c r="H119" s="21" t="s">
        <v>340</v>
      </c>
      <c r="I119" s="13">
        <v>42995.754548611112</v>
      </c>
      <c r="J119" s="7">
        <v>0</v>
      </c>
      <c r="K119" s="89" t="str">
        <f t="shared" si="30"/>
        <v>4027/4028</v>
      </c>
      <c r="L119" s="186" t="str">
        <f>VLOOKUP(A119,'Trips&amp;Operators'!$C$1:$G$99911,5,FALSE)</f>
        <v>DAVIS MICHAEL</v>
      </c>
      <c r="M119" s="6">
        <f t="shared" si="31"/>
        <v>2.6979166665114462E-2</v>
      </c>
      <c r="N119" s="7">
        <f t="shared" si="46"/>
        <v>38.849999997764826</v>
      </c>
      <c r="O119" s="7"/>
      <c r="P119" s="7"/>
      <c r="Q119" s="22"/>
      <c r="R119" s="174"/>
      <c r="S119" s="222">
        <f t="shared" si="47"/>
        <v>1</v>
      </c>
      <c r="T119" s="174" t="str">
        <f t="shared" si="32"/>
        <v>Southbound</v>
      </c>
      <c r="U119" s="19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7" t="str">
        <f t="shared" si="33"/>
        <v>https://d0f6bd738d7f1b3e5a7ca70fe4ff75f0.us-east-1.aws.found.io/app/kibana#/discover/Steve-Slow-Train-Analysis-(2080s-and-2083s)?_g=(refreshInterval:(display:Off,pause:!f,section:0,value:0),time:(from:'2017-09-17T16:23:15-0600',mode:absolute,to:'2017-09-17T19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9" s="205" t="str">
        <f>IF(AA119&lt;VLOOKUP(AG119,Variables!$AC$3:$AD$8,2,FALSE),"Y","N")</f>
        <v>N</v>
      </c>
      <c r="X119" s="205">
        <f t="shared" si="48"/>
        <v>1</v>
      </c>
      <c r="Y119" s="205">
        <f t="shared" si="49"/>
        <v>23.302499999999998</v>
      </c>
      <c r="Z119" s="205">
        <f t="shared" si="50"/>
        <v>1.43E-2</v>
      </c>
      <c r="AA119" s="205">
        <f t="shared" si="37"/>
        <v>23.2882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80">
        <f t="shared" si="38"/>
        <v>204</v>
      </c>
      <c r="AE119" s="77" t="str">
        <f t="shared" si="39"/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AF119" s="74" t="str">
        <f t="shared" si="40"/>
        <v>"C:\Program Files (x86)\AstroGrep\AstroGrep.exe" /e /r /s /spath="%USERPROFILE%\AppData\Local\Temp\OnboardLogs" /stypes="app*4027*20170918*" /stext=" 00:.+((SYSTEM_STATE.+slice.+state.+changed )|(ment ac)|(multiple cpu faults)|(system.+state.+changed )|(\[timeout)|(PRM\|1\|D)|(kpr)|(kdp)|(train st.+moving)|(\|lc)|(penalty))"</v>
      </c>
      <c r="AG119" s="183" t="str">
        <f t="shared" si="41"/>
        <v>EC</v>
      </c>
      <c r="AH119" s="78" t="str">
        <f t="shared" si="42"/>
        <v>"%USERPROFILE%\Documents\GitHub\eaglep3\Utilities\RefineRTDCRunTimes.py" --tripid 204-17 --locoid 4027 --swversion DE.1.0.9.0 --startMP 204:233025 --initTime 2017-09-17T17:23:15 --startdatetime 2017-09-17T17:27:42 --delay 83 --endMP 204:143 --enddatetime 2017-09-17T18:06:33 --enforcementcount 0 &gt;&gt;C:\Users\stu\Documents\GitHub\eaglep3-reporting\EC\2017-09-17-refined-times.txt</v>
      </c>
      <c r="AI119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{"issue":{"subject":"","project_id":79,"tracker_id":40,"status_id":1,"priority_id":2,"assigned_to_id":338,"start_date":"2017-09-17","description":"","custom_fields":[{"id":1,"name":"Subdivision","value":"EC"},{"id":4,"name":"Milepost","value":"0.0143"},{"id":17,"name":"Train ID","value":"204-17"},{"id":16,"name":"Locomotive ID","value":"4027"},{"id":130,"name":"Impact","value":""},{"id":150,"name":"Time of Event (Mountain Time)","value":"18:06:33"},{"id":151,"name":"Denver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4"/>
        <v>start /low /b %USERPROFILE%\Documents\GitHub\eaglep3\Utilities\DownloadLogsFromS3.py --loco 4027 --day 2017-09-17</v>
      </c>
      <c r="AN119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00:06:33"},{"id":29,"name":"Sharepoint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Message%20ID',Summary),filters:!(),index:'emp_*',interval:auto,query:"&amp;"(query_string:(analyze_wildcard:!t,query:'Message%5C+ID:(*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-09-17T16:23:15-0600',mode:absolute,to:'2017-09-17T19:06:33-0600'))&amp;_a=(columns:!('Message%20ID',Summary),filters:!(),index:'emp_*',interval:auto,query:(query_string:(analyze_wildcard:!t,query:'Message%5C+ID:(*)+AND+%22rtdc.l.rtdc.4027%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751</v>
      </c>
      <c r="B120" s="7">
        <v>4056</v>
      </c>
      <c r="C120" s="21" t="s">
        <v>197</v>
      </c>
      <c r="D120" s="21" t="s">
        <v>453</v>
      </c>
      <c r="E120" s="13">
        <v>42995.695370370369</v>
      </c>
      <c r="F120" s="13">
        <v>42995.69840277778</v>
      </c>
      <c r="G120" s="7">
        <v>60</v>
      </c>
      <c r="H120" s="21" t="s">
        <v>823</v>
      </c>
      <c r="I120" s="13">
        <v>42995.723368055558</v>
      </c>
      <c r="J120" s="7">
        <v>0</v>
      </c>
      <c r="K120" s="89" t="str">
        <f t="shared" si="30"/>
        <v>4055/4056</v>
      </c>
      <c r="L120" s="186" t="str">
        <f>VLOOKUP(A120,'Trips&amp;Operators'!$C$1:$G$99911,5,FALSE)</f>
        <v>SAFIEF AEIMEN</v>
      </c>
      <c r="M120" s="6">
        <f t="shared" si="31"/>
        <v>2.4965277778392192E-2</v>
      </c>
      <c r="N120" s="7">
        <f t="shared" si="46"/>
        <v>35.950000000884756</v>
      </c>
      <c r="O120" s="7"/>
      <c r="P120" s="7"/>
      <c r="Q120" s="22"/>
      <c r="R120" s="174"/>
      <c r="S120" s="222">
        <f t="shared" si="47"/>
        <v>1</v>
      </c>
      <c r="T120" s="174" t="str">
        <f t="shared" si="32"/>
        <v>NorthBound</v>
      </c>
      <c r="U120" s="19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7" t="str">
        <f t="shared" si="33"/>
        <v>https://d0f6bd738d7f1b3e5a7ca70fe4ff75f0.us-east-1.aws.found.io/app/kibana#/discover/Steve-Slow-Train-Analysis-(2080s-and-2083s)?_g=(refreshInterval:(display:Off,pause:!f,section:0,value:0),time:(from:'2017-09-17T15:41:20-0600',mode:absolute,to:'2017-09-17T18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0" s="205" t="str">
        <f>IF(AA120&lt;VLOOKUP(AG120,Variables!$AC$3:$AD$8,2,FALSE),"Y","N")</f>
        <v>N</v>
      </c>
      <c r="X120" s="205">
        <f t="shared" si="48"/>
        <v>1</v>
      </c>
      <c r="Y120" s="205">
        <f t="shared" si="49"/>
        <v>4.3799999999999999E-2</v>
      </c>
      <c r="Z120" s="205">
        <f t="shared" si="50"/>
        <v>23.3324</v>
      </c>
      <c r="AA120" s="205">
        <f t="shared" si="37"/>
        <v>23.288599999999999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80">
        <f t="shared" si="38"/>
        <v>205</v>
      </c>
      <c r="AE120" s="77" t="str">
        <f t="shared" si="39"/>
        <v>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 &amp; aws s3 cp s3://rtdc.mdm.uploadarchive.raw/RTDC4056/ "%USERPROFILE%\AppData\Local\Temp\OnboardLogs"\RTDC4056\2017-09-18 --exclude "*" --recursive --include "*20170918*" &amp; "%USERPROFILE%\Documents\GitHub\mrs-test-scripts\Headless Mode &amp; Sideloading\WalkAndUnGZ.bat" "%USERPROFILE%\AppData\Local\Temp\OnboardLogs"\RTDC4056\2017-09-18</v>
      </c>
      <c r="AF120" s="74" t="str">
        <f t="shared" si="40"/>
        <v>"C:\Program Files (x86)\AstroGrep\AstroGrep.exe" /e /r /s /spath="%USERPROFILE%\AppData\Local\Temp\OnboardLogs" /stypes="app*4056*20170917*" /stext=" 23:.+((SYSTEM_STATE.+slice.+state.+changed )|(ment ac)|(multiple cpu faults)|(system.+state.+changed )|(\[timeout)|(PRM\|1\|D)|(kpr)|(kdp)|(train st.+moving)|(\|lc)|(penalty))"</v>
      </c>
      <c r="AG120" s="183" t="str">
        <f t="shared" si="41"/>
        <v>EC</v>
      </c>
      <c r="AH120" s="78" t="str">
        <f t="shared" si="42"/>
        <v>"%USERPROFILE%\Documents\GitHub\eaglep3\Utilities\RefineRTDCRunTimes.py" --tripid 205-17 --locoid 4056 --swversion DE.1.0.9.0 --startMP 204:438 --initTime 2017-09-17T16:41:20 --startdatetime 2017-09-17T16:45:42 --delay 60 --endMP 204:233324 --enddatetime 2017-09-17T17:21:39 --enforcementcount 0 &gt;&gt;C:\Users\stu\Documents\GitHub\eaglep3-reporting\EC\2017-09-17-refined-times.txt</v>
      </c>
      <c r="AI120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{"issue":{"subject":"","project_id":79,"tracker_id":40,"status_id":1,"priority_id":2,"assigned_to_id":338,"start_date":"2017-09-17","description":"","custom_fields":[{"id":1,"name":"Subdivision","value":"EC"},{"id":4,"name":"Milepost","value":"23.3324"},{"id":17,"name":"Train ID","value":"205-17"},{"id":16,"name":"Locomotive ID","value":"4056"},{"id":130,"name":"Impact","value":""},{"id":150,"name":"Time of Event (Mountain Time)","value":"17:21:39"},{"id":151,"name":"Denver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4"/>
        <v>start /low /b %USERPROFILE%\Documents\GitHub\eaglep3\Utilities\DownloadLogsFromS3.py --loco 4056 --day 2017-09-17</v>
      </c>
      <c r="AN120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23:21:39"},{"id":29,"name":"Sharepoint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Message%20ID',Summary),filters:!(),index:'emp_*',interval:auto,query:"&amp;"(query_string:(analyze_wildcard:!t,query:'Message%5C+ID:(*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-09-17T15:41:20-0600',mode:absolute,to:'2017-09-17T18:21:39-0600'))&amp;_a=(columns:!('Message%20ID',Summary),filters:!(),index:'emp_*',interval:auto,query:(query_string:(analyze_wildcard:!t,query:'Message%5C+ID:(*)+AND+%22rtdc.l.rtdc.4056%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757</v>
      </c>
      <c r="B121" s="7">
        <v>4055</v>
      </c>
      <c r="C121" s="21" t="s">
        <v>197</v>
      </c>
      <c r="D121" s="21" t="s">
        <v>922</v>
      </c>
      <c r="E121" s="13">
        <v>42995.727835648147</v>
      </c>
      <c r="F121" s="13">
        <v>42995.737673611111</v>
      </c>
      <c r="G121" s="7">
        <v>61</v>
      </c>
      <c r="H121" s="21" t="s">
        <v>340</v>
      </c>
      <c r="I121" s="13">
        <v>42995.763275462959</v>
      </c>
      <c r="J121" s="7">
        <v>0</v>
      </c>
      <c r="K121" s="89" t="str">
        <f t="shared" si="30"/>
        <v>4055/4056</v>
      </c>
      <c r="L121" s="186" t="str">
        <f>VLOOKUP(A121,'Trips&amp;Operators'!$C$1:$G$99911,5,FALSE)</f>
        <v>SAFIEF AEIMEN</v>
      </c>
      <c r="M121" s="6">
        <f t="shared" si="31"/>
        <v>2.5601851848477963E-2</v>
      </c>
      <c r="N121" s="7">
        <f t="shared" si="46"/>
        <v>36.866666661808267</v>
      </c>
      <c r="O121" s="7"/>
      <c r="P121" s="7"/>
      <c r="Q121" s="22"/>
      <c r="R121" s="174"/>
      <c r="S121" s="222">
        <f t="shared" si="47"/>
        <v>1</v>
      </c>
      <c r="T121" s="174" t="str">
        <f t="shared" si="32"/>
        <v>Southbound</v>
      </c>
      <c r="U121" s="19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7" t="str">
        <f t="shared" si="33"/>
        <v>https://d0f6bd738d7f1b3e5a7ca70fe4ff75f0.us-east-1.aws.found.io/app/kibana#/discover/Steve-Slow-Train-Analysis-(2080s-and-2083s)?_g=(refreshInterval:(display:Off,pause:!f,section:0,value:0),time:(from:'2017-09-17T16:28:05-0600',mode:absolute,to:'2017-09-17T19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1" s="205" t="str">
        <f>IF(AA121&lt;VLOOKUP(AG121,Variables!$AC$3:$AD$8,2,FALSE),"Y","N")</f>
        <v>N</v>
      </c>
      <c r="X121" s="205">
        <f t="shared" si="48"/>
        <v>1</v>
      </c>
      <c r="Y121" s="205">
        <f t="shared" si="49"/>
        <v>23.302299999999999</v>
      </c>
      <c r="Z121" s="205">
        <f t="shared" si="50"/>
        <v>1.43E-2</v>
      </c>
      <c r="AA121" s="205">
        <f t="shared" si="37"/>
        <v>23.288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80">
        <f t="shared" si="38"/>
        <v>206</v>
      </c>
      <c r="AE121" s="77" t="str">
        <f t="shared" si="39"/>
        <v>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 &amp; aws s3 cp s3://rtdc.mdm.uploadarchive.raw/RTDC4055/ "%USERPROFILE%\AppData\Local\Temp\OnboardLogs"\RTDC4055\2017-09-18 --exclude "*" --recursive --include "*20170918*" &amp; "%USERPROFILE%\Documents\GitHub\mrs-test-scripts\Headless Mode &amp; Sideloading\WalkAndUnGZ.bat" "%USERPROFILE%\AppData\Local\Temp\OnboardLogs"\RTDC4055\2017-09-18</v>
      </c>
      <c r="AF121" s="74" t="str">
        <f t="shared" si="40"/>
        <v>"C:\Program Files (x86)\AstroGrep\AstroGrep.exe" /e /r /s /spath="%USERPROFILE%\AppData\Local\Temp\OnboardLogs" /stypes="app*4055*20170918*" /stext=" 00:.+((SYSTEM_STATE.+slice.+state.+changed )|(ment ac)|(multiple cpu faults)|(system.+state.+changed )|(\[timeout)|(PRM\|1\|D)|(kpr)|(kdp)|(train st.+moving)|(\|lc)|(penalty))"</v>
      </c>
      <c r="AG121" s="183" t="str">
        <f t="shared" si="41"/>
        <v>EC</v>
      </c>
      <c r="AH121" s="78" t="str">
        <f t="shared" si="42"/>
        <v>"%USERPROFILE%\Documents\GitHub\eaglep3\Utilities\RefineRTDCRunTimes.py" --tripid 206-17 --locoid 4055 --swversion DE.1.0.9.0 --startMP 204:233023 --initTime 2017-09-17T17:28:05 --startdatetime 2017-09-17T17:42:15 --delay 61 --endMP 204:143 --enddatetime 2017-09-17T18:19:07 --enforcementcount 0 &gt;&gt;C:\Users\stu\Documents\GitHub\eaglep3-reporting\EC\2017-09-17-refined-times.txt</v>
      </c>
      <c r="AI121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{"issue":{"subject":"","project_id":79,"tracker_id":40,"status_id":1,"priority_id":2,"assigned_to_id":338,"start_date":"2017-09-17","description":"","custom_fields":[{"id":1,"name":"Subdivision","value":"EC"},{"id":4,"name":"Milepost","value":"0.0143"},{"id":17,"name":"Train ID","value":"206-17"},{"id":16,"name":"Locomotive ID","value":"4055"},{"id":130,"name":"Impact","value":""},{"id":150,"name":"Time of Event (Mountain Time)","value":"18:19:07"},{"id":151,"name":"Denver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4"/>
        <v>start /low /b %USERPROFILE%\Documents\GitHub\eaglep3\Utilities\DownloadLogsFromS3.py --loco 4055 --day 2017-09-17</v>
      </c>
      <c r="AN121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00:19:07"},{"id":29,"name":"Sharepoint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Message%20ID',Summary),filters:!(),index:'emp_*',interval:auto,query:"&amp;"(query_string:(analyze_wildcard:!t,query:'Message%5C+ID:(*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-09-17T16:28:05-0600',mode:absolute,to:'2017-09-17T19:19:07-0600'))&amp;_a=(columns:!('Message%20ID',Summary),filters:!(),index:'emp_*',interval:auto,query:(query_string:(analyze_wildcard:!t,query:'Message%5C+ID:(*)+AND+%22rtdc.l.rtdc.4055%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752</v>
      </c>
      <c r="B122" s="7">
        <v>4044</v>
      </c>
      <c r="C122" s="21" t="s">
        <v>197</v>
      </c>
      <c r="D122" s="21" t="s">
        <v>358</v>
      </c>
      <c r="E122" s="13">
        <v>42995.702418981484</v>
      </c>
      <c r="F122" s="13">
        <v>42995.708506944444</v>
      </c>
      <c r="G122" s="7">
        <v>64</v>
      </c>
      <c r="H122" s="21" t="s">
        <v>552</v>
      </c>
      <c r="I122" s="13">
        <v>42995.733460648145</v>
      </c>
      <c r="J122" s="7">
        <v>0</v>
      </c>
      <c r="K122" s="89" t="str">
        <f t="shared" si="30"/>
        <v>4043/4044</v>
      </c>
      <c r="L122" s="186" t="str">
        <f>VLOOKUP(A122,'Trips&amp;Operators'!$C$1:$G$99911,5,FALSE)</f>
        <v>MCREYNOLDS KYLE</v>
      </c>
      <c r="M122" s="6">
        <f t="shared" si="31"/>
        <v>2.495370370161254E-2</v>
      </c>
      <c r="N122" s="7">
        <f t="shared" si="46"/>
        <v>35.933333330322057</v>
      </c>
      <c r="O122" s="7"/>
      <c r="P122" s="7"/>
      <c r="Q122" s="22"/>
      <c r="R122" s="174"/>
      <c r="S122" s="222">
        <f t="shared" si="47"/>
        <v>1</v>
      </c>
      <c r="T122" s="174" t="str">
        <f t="shared" si="32"/>
        <v>NorthBound</v>
      </c>
      <c r="U122" s="19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7" t="str">
        <f t="shared" si="33"/>
        <v>https://d0f6bd738d7f1b3e5a7ca70fe4ff75f0.us-east-1.aws.found.io/app/kibana#/discover/Steve-Slow-Train-Analysis-(2080s-and-2083s)?_g=(refreshInterval:(display:Off,pause:!f,section:0,value:0),time:(from:'2017-09-17T15:51:29-0600',mode:absolute,to:'2017-09-17T18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2" s="205" t="str">
        <f>IF(AA122&lt;VLOOKUP(AG122,Variables!$AC$3:$AD$8,2,FALSE),"Y","N")</f>
        <v>N</v>
      </c>
      <c r="X122" s="205">
        <f t="shared" si="48"/>
        <v>1</v>
      </c>
      <c r="Y122" s="205">
        <f t="shared" si="49"/>
        <v>4.58E-2</v>
      </c>
      <c r="Z122" s="205">
        <f t="shared" si="50"/>
        <v>23.3355</v>
      </c>
      <c r="AA122" s="205">
        <f t="shared" si="37"/>
        <v>23.2897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80">
        <f t="shared" si="38"/>
        <v>207</v>
      </c>
      <c r="AE122" s="77" t="str">
        <f t="shared" si="39"/>
        <v>aws s3 cp s3://rtdc.mdm.uploadarchive.raw/RTDC4044/ "%USERPROFILE%\AppData\Local\Temp\OnboardLogs"\RTDC4044\2017-09-17 --exclude "*" --recursive --include "*20170917*" &amp; "%USERPROFILE%\Documents\GitHub\mrs-test-scripts\Headless Mode &amp; Sideloading\WalkAndUnGZ.bat" "%USERPROFILE%\AppData\Local\Temp\OnboardLogs"\RTDC4044\2017-09-17 &amp; aws s3 cp s3://rtdc.mdm.uploadarchive.raw/RTDC4044/ "%USERPROFILE%\AppData\Local\Temp\OnboardLogs"\RTDC4044\2017-09-18 --exclude "*" --recursive --include "*20170918*" &amp; "%USERPROFILE%\Documents\GitHub\mrs-test-scripts\Headless Mode &amp; Sideloading\WalkAndUnGZ.bat" "%USERPROFILE%\AppData\Local\Temp\OnboardLogs"\RTDC4044\2017-09-18</v>
      </c>
      <c r="AF122" s="74" t="str">
        <f t="shared" si="40"/>
        <v>"C:\Program Files (x86)\AstroGrep\AstroGrep.exe" /e /r /s /spath="%USERPROFILE%\AppData\Local\Temp\OnboardLogs" /stypes="app*4044*20170917*" /stext=" 23:.+((SYSTEM_STATE.+slice.+state.+changed )|(ment ac)|(multiple cpu faults)|(system.+state.+changed )|(\[timeout)|(PRM\|1\|D)|(kpr)|(kdp)|(train st.+moving)|(\|lc)|(penalty))"</v>
      </c>
      <c r="AG122" s="183" t="str">
        <f t="shared" si="41"/>
        <v>EC</v>
      </c>
      <c r="AH122" s="78" t="str">
        <f t="shared" si="42"/>
        <v>"%USERPROFILE%\Documents\GitHub\eaglep3\Utilities\RefineRTDCRunTimes.py" --tripid 207-17 --locoid 4044 --swversion DE.1.0.9.0 --startMP 204:458 --initTime 2017-09-17T16:51:29 --startdatetime 2017-09-17T17:00:15 --delay 64 --endMP 204:233355 --enddatetime 2017-09-17T17:36:11 --enforcementcount 0 &gt;&gt;C:\Users\stu\Documents\GitHub\eaglep3-reporting\EC\2017-09-17-refined-times.txt</v>
      </c>
      <c r="AI122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{"issue":{"subject":"","project_id":79,"tracker_id":40,"status_id":1,"priority_id":2,"assigned_to_id":338,"start_date":"2017-09-17","description":"","custom_fields":[{"id":1,"name":"Subdivision","value":"EC"},{"id":4,"name":"Milepost","value":"23.3355"},{"id":17,"name":"Train ID","value":"207-17"},{"id":16,"name":"Locomotive ID","value":"4044"},{"id":130,"name":"Impact","value":""},{"id":150,"name":"Time of Event (Mountain Time)","value":"17:36:11"},{"id":151,"name":"Denver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4"/>
        <v>start /low /b %USERPROFILE%\Documents\GitHub\eaglep3\Utilities\DownloadLogsFromS3.py --loco 4044 --day 2017-09-17</v>
      </c>
      <c r="AN122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23:36:11"},{"id":29,"name":"Sharepoint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Message%20ID',Summary),filters:!(),index:'emp_*',interval:auto,query:"&amp;"(query_string:(analyze_wildcard:!t,query:'Message%5C+ID:(*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-09-17T15:51:29-0600',mode:absolute,to:'2017-09-17T18:36:11-0600'))&amp;_a=(columns:!('Message%20ID',Summary),filters:!(),index:'emp_*',interval:auto,query:(query_string:(analyze_wildcard:!t,query:'Message%5C+ID:(*)+AND+%22rtdc.l.rtdc.4044%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761</v>
      </c>
      <c r="B123" s="7">
        <v>4043</v>
      </c>
      <c r="C123" s="21" t="s">
        <v>197</v>
      </c>
      <c r="D123" s="21" t="s">
        <v>838</v>
      </c>
      <c r="E123" s="13">
        <v>42995.741388888891</v>
      </c>
      <c r="F123" s="13">
        <v>42995.748067129629</v>
      </c>
      <c r="G123" s="7">
        <v>49</v>
      </c>
      <c r="H123" s="21" t="s">
        <v>382</v>
      </c>
      <c r="I123" s="13">
        <v>42995.773958333331</v>
      </c>
      <c r="J123" s="7">
        <v>0</v>
      </c>
      <c r="K123" s="89" t="str">
        <f t="shared" si="30"/>
        <v>4043/4044</v>
      </c>
      <c r="L123" s="186" t="str">
        <f>VLOOKUP(A123,'Trips&amp;Operators'!$C$1:$G$99911,5,FALSE)</f>
        <v>MCREYNOLDS KYLE</v>
      </c>
      <c r="M123" s="6">
        <f t="shared" si="31"/>
        <v>2.5891203702485655E-2</v>
      </c>
      <c r="N123" s="7">
        <f t="shared" si="46"/>
        <v>37.283333331579342</v>
      </c>
      <c r="O123" s="7"/>
      <c r="P123" s="7"/>
      <c r="Q123" s="22"/>
      <c r="R123" s="174"/>
      <c r="S123" s="222">
        <f t="shared" si="47"/>
        <v>1</v>
      </c>
      <c r="T123" s="174" t="str">
        <f t="shared" si="32"/>
        <v>Southbound</v>
      </c>
      <c r="U123" s="19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7" t="str">
        <f t="shared" si="33"/>
        <v>https://d0f6bd738d7f1b3e5a7ca70fe4ff75f0.us-east-1.aws.found.io/app/kibana#/discover/Steve-Slow-Train-Analysis-(2080s-and-2083s)?_g=(refreshInterval:(display:Off,pause:!f,section:0,value:0),time:(from:'2017-09-17T16:47:36-0600',mode:absolute,to:'2017-09-17T19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3" s="205" t="str">
        <f>IF(AA123&lt;VLOOKUP(AG123,Variables!$AC$3:$AD$8,2,FALSE),"Y","N")</f>
        <v>N</v>
      </c>
      <c r="X123" s="205">
        <f t="shared" si="48"/>
        <v>1</v>
      </c>
      <c r="Y123" s="205">
        <f t="shared" si="49"/>
        <v>23.302800000000001</v>
      </c>
      <c r="Z123" s="205">
        <f t="shared" si="50"/>
        <v>1.5800000000000002E-2</v>
      </c>
      <c r="AA123" s="205">
        <f t="shared" si="37"/>
        <v>23.287000000000003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80">
        <f t="shared" si="38"/>
        <v>208</v>
      </c>
      <c r="AE123" s="77" t="str">
        <f t="shared" si="39"/>
        <v>aws s3 cp s3://rtdc.mdm.uploadarchive.raw/RTDC4043/ "%USERPROFILE%\AppData\Local\Temp\OnboardLogs"\RTDC4043\2017-09-17 --exclude "*" --recursive --include "*20170917*" &amp; "%USERPROFILE%\Documents\GitHub\mrs-test-scripts\Headless Mode &amp; Sideloading\WalkAndUnGZ.bat" "%USERPROFILE%\AppData\Local\Temp\OnboardLogs"\RTDC4043\2017-09-17 &amp; aws s3 cp s3://rtdc.mdm.uploadarchive.raw/RTDC4043/ "%USERPROFILE%\AppData\Local\Temp\OnboardLogs"\RTDC4043\2017-09-18 --exclude "*" --recursive --include "*20170918*" &amp; "%USERPROFILE%\Documents\GitHub\mrs-test-scripts\Headless Mode &amp; Sideloading\WalkAndUnGZ.bat" "%USERPROFILE%\AppData\Local\Temp\OnboardLogs"\RTDC4043\2017-09-18</v>
      </c>
      <c r="AF123" s="74" t="str">
        <f t="shared" si="40"/>
        <v>"C:\Program Files (x86)\AstroGrep\AstroGrep.exe" /e /r /s /spath="%USERPROFILE%\AppData\Local\Temp\OnboardLogs" /stypes="app*4043*20170918*" /stext=" 00:.+((SYSTEM_STATE.+slice.+state.+changed )|(ment ac)|(multiple cpu faults)|(system.+state.+changed )|(\[timeout)|(PRM\|1\|D)|(kpr)|(kdp)|(train st.+moving)|(\|lc)|(penalty))"</v>
      </c>
      <c r="AG123" s="183" t="str">
        <f t="shared" si="41"/>
        <v>EC</v>
      </c>
      <c r="AH123" s="78" t="str">
        <f t="shared" si="42"/>
        <v>"%USERPROFILE%\Documents\GitHub\eaglep3\Utilities\RefineRTDCRunTimes.py" --tripid 208-17 --locoid 4043 --swversion DE.1.0.9.0 --startMP 204:233028 --initTime 2017-09-17T17:47:36 --startdatetime 2017-09-17T17:57:13 --delay 49 --endMP 204:158 --enddatetime 2017-09-17T18:34:30 --enforcementcount 0 &gt;&gt;C:\Users\stu\Documents\GitHub\eaglep3-reporting\EC\2017-09-17-refined-times.txt</v>
      </c>
      <c r="AI123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{"issue":{"subject":"","project_id":79,"tracker_id":40,"status_id":1,"priority_id":2,"assigned_to_id":338,"start_date":"2017-09-17","description":"","custom_fields":[{"id":1,"name":"Subdivision","value":"EC"},{"id":4,"name":"Milepost","value":"0.0158"},{"id":17,"name":"Train ID","value":"208-17"},{"id":16,"name":"Locomotive ID","value":"4043"},{"id":130,"name":"Impact","value":""},{"id":150,"name":"Time of Event (Mountain Time)","value":"18:34:30"},{"id":151,"name":"Denver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4"/>
        <v>start /low /b %USERPROFILE%\Documents\GitHub\eaglep3\Utilities\DownloadLogsFromS3.py --loco 4043 --day 2017-09-17</v>
      </c>
      <c r="AN123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00:34:30"},{"id":29,"name":"Sharepoint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Message%20ID',Summary),filters:!(),index:'emp_*',interval:auto,query:"&amp;"(query_string:(analyze_wildcard:!t,query:'Message%5C+ID:(*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-09-17T16:47:36-0600',mode:absolute,to:'2017-09-17T19:34:30-0600'))&amp;_a=(columns:!('Message%20ID',Summary),filters:!(),index:'emp_*',interval:auto,query:(query_string:(analyze_wildcard:!t,query:'Message%5C+ID:(*)+AND+%22rtdc.l.rtdc.4043%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754</v>
      </c>
      <c r="B124" s="7">
        <v>4060</v>
      </c>
      <c r="C124" s="21" t="s">
        <v>197</v>
      </c>
      <c r="D124" s="21" t="s">
        <v>395</v>
      </c>
      <c r="E124" s="13">
        <v>42995.714537037034</v>
      </c>
      <c r="F124" s="13">
        <v>42995.719247685185</v>
      </c>
      <c r="G124" s="7">
        <v>91</v>
      </c>
      <c r="H124" s="21" t="s">
        <v>923</v>
      </c>
      <c r="I124" s="13">
        <v>42995.743935185186</v>
      </c>
      <c r="J124" s="7">
        <v>0</v>
      </c>
      <c r="K124" s="89" t="str">
        <f t="shared" si="30"/>
        <v>4059/4060</v>
      </c>
      <c r="L124" s="186" t="str">
        <f>VLOOKUP(A124,'Trips&amp;Operators'!$C$1:$G$99911,5,FALSE)</f>
        <v>STAMBAUGH JAMES</v>
      </c>
      <c r="M124" s="6">
        <f t="shared" si="31"/>
        <v>2.4687500001164153E-2</v>
      </c>
      <c r="N124" s="7">
        <f t="shared" si="46"/>
        <v>35.550000001676381</v>
      </c>
      <c r="O124" s="7"/>
      <c r="P124" s="7"/>
      <c r="Q124" s="22"/>
      <c r="R124" s="174"/>
      <c r="S124" s="222">
        <f t="shared" si="47"/>
        <v>1</v>
      </c>
      <c r="T124" s="174" t="str">
        <f t="shared" si="32"/>
        <v>NorthBound</v>
      </c>
      <c r="U124" s="19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7" t="str">
        <f t="shared" si="33"/>
        <v>https://d0f6bd738d7f1b3e5a7ca70fe4ff75f0.us-east-1.aws.found.io/app/kibana#/discover/Steve-Slow-Train-Analysis-(2080s-and-2083s)?_g=(refreshInterval:(display:Off,pause:!f,section:0,value:0),time:(from:'2017-09-17T16:08:56-0600',mode:absolute,to:'2017-09-17T18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4" s="205" t="str">
        <f>IF(AA124&lt;VLOOKUP(AG124,Variables!$AC$3:$AD$8,2,FALSE),"Y","N")</f>
        <v>N</v>
      </c>
      <c r="X124" s="205">
        <f t="shared" si="48"/>
        <v>1</v>
      </c>
      <c r="Y124" s="205">
        <f t="shared" si="49"/>
        <v>4.3999999999999997E-2</v>
      </c>
      <c r="Z124" s="205">
        <f t="shared" si="50"/>
        <v>23.345300000000002</v>
      </c>
      <c r="AA124" s="205">
        <f t="shared" si="37"/>
        <v>23.301300000000001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80">
        <f t="shared" si="38"/>
        <v>209</v>
      </c>
      <c r="AE124" s="77" t="str">
        <f t="shared" si="39"/>
        <v>aws s3 cp s3://rtdc.mdm.uploadarchive.raw/RTDC4060/ "%USERPROFILE%\AppData\Local\Temp\OnboardLogs"\RTDC4060\2017-09-17 --exclude "*" --recursive --include "*20170917*" &amp; "%USERPROFILE%\Documents\GitHub\mrs-test-scripts\Headless Mode &amp; Sideloading\WalkAndUnGZ.bat" "%USERPROFILE%\AppData\Local\Temp\OnboardLogs"\RTDC4060\2017-09-17 &amp; aws s3 cp s3://rtdc.mdm.uploadarchive.raw/RTDC4060/ "%USERPROFILE%\AppData\Local\Temp\OnboardLogs"\RTDC4060\2017-09-18 --exclude "*" --recursive --include "*20170918*" &amp; "%USERPROFILE%\Documents\GitHub\mrs-test-scripts\Headless Mode &amp; Sideloading\WalkAndUnGZ.bat" "%USERPROFILE%\AppData\Local\Temp\OnboardLogs"\RTDC4060\2017-09-18</v>
      </c>
      <c r="AF124" s="74" t="str">
        <f t="shared" si="40"/>
        <v>"C:\Program Files (x86)\AstroGrep\AstroGrep.exe" /e /r /s /spath="%USERPROFILE%\AppData\Local\Temp\OnboardLogs" /stypes="app*4060*20170917*" /stext=" 23:.+((SYSTEM_STATE.+slice.+state.+changed )|(ment ac)|(multiple cpu faults)|(system.+state.+changed )|(\[timeout)|(PRM\|1\|D)|(kpr)|(kdp)|(train st.+moving)|(\|lc)|(penalty))"</v>
      </c>
      <c r="AG124" s="183" t="str">
        <f t="shared" si="41"/>
        <v>EC</v>
      </c>
      <c r="AH124" s="78" t="str">
        <f t="shared" si="42"/>
        <v>"%USERPROFILE%\Documents\GitHub\eaglep3\Utilities\RefineRTDCRunTimes.py" --tripid 209-17 --locoid 4060 --swversion DE.1.0.9.0 --startMP 204:440 --initTime 2017-09-17T17:08:56 --startdatetime 2017-09-17T17:15:43 --delay 91 --endMP 204:233453 --enddatetime 2017-09-17T17:51:16 --enforcementcount 0 &gt;&gt;C:\Users\stu\Documents\GitHub\eaglep3-reporting\EC\2017-09-17-refined-times.txt</v>
      </c>
      <c r="AI124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{"issue":{"subject":"","project_id":79,"tracker_id":40,"status_id":1,"priority_id":2,"assigned_to_id":338,"start_date":"2017-09-17","description":"","custom_fields":[{"id":1,"name":"Subdivision","value":"EC"},{"id":4,"name":"Milepost","value":"23.3453"},{"id":17,"name":"Train ID","value":"209-17"},{"id":16,"name":"Locomotive ID","value":"4060"},{"id":130,"name":"Impact","value":""},{"id":150,"name":"Time of Event (Mountain Time)","value":"17:51:16"},{"id":151,"name":"Denver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4"/>
        <v>start /low /b %USERPROFILE%\Documents\GitHub\eaglep3\Utilities\DownloadLogsFromS3.py --loco 4060 --day 2017-09-17</v>
      </c>
      <c r="AN124" s="151" t="str">
        <f t="shared" si="45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23:51:16"},{"id":29,"name":"Sharepoint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Message%20ID',Summary),filters:!(),index:'emp_*',interval:auto,query:"&amp;"(query_string:(analyze_wildcard:!t,query:'Message%5C+ID:(*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-09-17T16:08:56-0600',mode:absolute,to:'2017-09-17T18:51:16-0600'))&amp;_a=(columns:!('Message%20ID',Summary),filters:!(),index:'emp_*',interval:auto,query:(query_string:(analyze_wildcard:!t,query:'Message%5C+ID:(*)+AND+%22rtdc.l.rtdc.4060%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764</v>
      </c>
      <c r="B125" s="7">
        <v>4059</v>
      </c>
      <c r="C125" s="21" t="s">
        <v>197</v>
      </c>
      <c r="D125" s="21" t="s">
        <v>924</v>
      </c>
      <c r="E125" s="13">
        <v>42995.751793981479</v>
      </c>
      <c r="F125" s="13">
        <v>42995.758657407408</v>
      </c>
      <c r="G125" s="7">
        <v>56</v>
      </c>
      <c r="H125" s="21" t="s">
        <v>570</v>
      </c>
      <c r="I125" s="13">
        <v>42995.784074074072</v>
      </c>
      <c r="J125" s="7">
        <v>0</v>
      </c>
      <c r="K125" s="89" t="str">
        <f t="shared" si="30"/>
        <v>4059/4060</v>
      </c>
      <c r="L125" s="186" t="str">
        <f>VLOOKUP(A125,'Trips&amp;Operators'!$C$1:$G$99911,5,FALSE)</f>
        <v>STAMBAUGH JAMES</v>
      </c>
      <c r="M125" s="6">
        <f t="shared" si="31"/>
        <v>2.5416666663659271E-2</v>
      </c>
      <c r="N125" s="7">
        <f t="shared" si="46"/>
        <v>36.59999999566935</v>
      </c>
      <c r="O125" s="7"/>
      <c r="P125" s="7"/>
      <c r="Q125" s="22"/>
      <c r="R125" s="174"/>
      <c r="S125" s="222">
        <f t="shared" si="47"/>
        <v>1</v>
      </c>
      <c r="T125" s="174" t="str">
        <f t="shared" si="32"/>
        <v>Southbound</v>
      </c>
      <c r="U125" s="19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7" t="str">
        <f t="shared" si="33"/>
        <v>https://d0f6bd738d7f1b3e5a7ca70fe4ff75f0.us-east-1.aws.found.io/app/kibana#/discover/Steve-Slow-Train-Analysis-(2080s-and-2083s)?_g=(refreshInterval:(display:Off,pause:!f,section:0,value:0),time:(from:'2017-09-17T17:02:35-0600',mode:absolute,to:'2017-09-17T19:49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5" s="205" t="str">
        <f>IF(AA125&lt;VLOOKUP(AG125,Variables!$AC$3:$AD$8,2,FALSE),"Y","N")</f>
        <v>N</v>
      </c>
      <c r="X125" s="205">
        <f t="shared" si="48"/>
        <v>1</v>
      </c>
      <c r="Y125" s="205">
        <f t="shared" si="49"/>
        <v>23.3126</v>
      </c>
      <c r="Z125" s="205">
        <f t="shared" si="50"/>
        <v>1.29E-2</v>
      </c>
      <c r="AA125" s="205">
        <f t="shared" si="37"/>
        <v>23.299700000000001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80">
        <f t="shared" si="38"/>
        <v>210</v>
      </c>
      <c r="AE125" s="77" t="str">
        <f t="shared" si="39"/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AF125" s="74" t="str">
        <f t="shared" si="40"/>
        <v>"C:\Program Files (x86)\AstroGrep\AstroGrep.exe" /e /r /s /spath="%USERPROFILE%\AppData\Local\Temp\OnboardLogs" /stypes="app*4059*20170918*" /stext=" 00:.+((SYSTEM_STATE.+slice.+state.+changed )|(ment ac)|(multiple cpu faults)|(system.+state.+changed )|(\[timeout)|(PRM\|1\|D)|(kpr)|(kdp)|(train st.+moving)|(\|lc)|(penalty))"</v>
      </c>
      <c r="AG125" s="183" t="str">
        <f t="shared" si="41"/>
        <v>EC</v>
      </c>
      <c r="AH125" s="78" t="str">
        <f t="shared" si="42"/>
        <v>"%USERPROFILE%\Documents\GitHub\eaglep3\Utilities\RefineRTDCRunTimes.py" --tripid 210-17 --locoid 4059 --swversion DE.1.0.9.0 --startMP 204:233126 --initTime 2017-09-17T18:02:35 --startdatetime 2017-09-17T18:12:28 --delay 56 --endMP 204:129 --enddatetime 2017-09-17T18:49:04 --enforcementcount 0 &gt;&gt;C:\Users\stu\Documents\GitHub\eaglep3-reporting\EC\2017-09-17-refined-times.txt</v>
      </c>
      <c r="AI125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{"issue":{"subject":"","project_id":79,"tracker_id":40,"status_id":1,"priority_id":2,"assigned_to_id":338,"start_date":"2017-09-17","description":"","custom_fields":[{"id":1,"name":"Subdivision","value":"EC"},{"id":4,"name":"Milepost","value":"0.0129"},{"id":17,"name":"Train ID","value":"210-17"},{"id":16,"name":"Locomotive ID","value":"4059"},{"id":130,"name":"Impact","value":""},{"id":150,"name":"Time of Event (Mountain Time)","value":"18:49:04"},{"id":151,"name":"Denver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4"/>
        <v>start /low /b %USERPROFILE%\Documents\GitHub\eaglep3\Utilities\DownloadLogsFromS3.py --loco 4059 --day 2017-09-17</v>
      </c>
      <c r="AN125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00:49:04"},{"id":29,"name":"Sharepoint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Message%20ID',Summary),filters:!(),index:'emp_*',interval:auto,query:"&amp;"(query_string:(analyze_wildcard:!t,query:'Message%5C+ID:(*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-09-17T17:02:35-0600',mode:absolute,to:'2017-09-17T19:49:04-0600'))&amp;_a=(columns:!('Message%20ID',Summary),filters:!(),index:'emp_*',interval:auto,query:(query_string:(analyze_wildcard:!t,query:'Message%5C+ID:(*)+AND+%22rtdc.l.rtdc.4059%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755</v>
      </c>
      <c r="B126" s="7">
        <v>4002</v>
      </c>
      <c r="C126" s="21" t="s">
        <v>197</v>
      </c>
      <c r="D126" s="21" t="s">
        <v>376</v>
      </c>
      <c r="E126" s="13">
        <v>42995.723946759259</v>
      </c>
      <c r="F126" s="13">
        <v>42995.729363425926</v>
      </c>
      <c r="G126" s="7">
        <v>53</v>
      </c>
      <c r="H126" s="21" t="s">
        <v>454</v>
      </c>
      <c r="I126" s="13">
        <v>42995.754618055558</v>
      </c>
      <c r="J126" s="7">
        <v>0</v>
      </c>
      <c r="K126" s="89" t="str">
        <f t="shared" si="30"/>
        <v>4001/4002</v>
      </c>
      <c r="L126" s="186" t="str">
        <f>VLOOKUP(A126,'Trips&amp;Operators'!$C$1:$G$99911,5,FALSE)</f>
        <v>DAVIDSON DAVID</v>
      </c>
      <c r="M126" s="6">
        <f t="shared" si="31"/>
        <v>2.5254629632399883E-2</v>
      </c>
      <c r="N126" s="7">
        <f t="shared" si="46"/>
        <v>36.366666670655832</v>
      </c>
      <c r="O126" s="7"/>
      <c r="P126" s="7"/>
      <c r="Q126" s="22"/>
      <c r="R126" s="174"/>
      <c r="S126" s="222">
        <f t="shared" si="47"/>
        <v>1</v>
      </c>
      <c r="T126" s="174" t="str">
        <f t="shared" si="32"/>
        <v>NorthBound</v>
      </c>
      <c r="U126" s="19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7" t="str">
        <f t="shared" si="33"/>
        <v>https://d0f6bd738d7f1b3e5a7ca70fe4ff75f0.us-east-1.aws.found.io/app/kibana#/discover/Steve-Slow-Train-Analysis-(2080s-and-2083s)?_g=(refreshInterval:(display:Off,pause:!f,section:0,value:0),time:(from:'2017-09-17T16:22:29-0600',mode:absolute,to:'2017-09-17T19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6" s="205" t="str">
        <f>IF(AA126&lt;VLOOKUP(AG126,Variables!$AC$3:$AD$8,2,FALSE),"Y","N")</f>
        <v>N</v>
      </c>
      <c r="X126" s="205">
        <f t="shared" si="48"/>
        <v>1</v>
      </c>
      <c r="Y126" s="205">
        <f t="shared" si="49"/>
        <v>4.6899999999999997E-2</v>
      </c>
      <c r="Z126" s="205">
        <f t="shared" si="50"/>
        <v>23.331900000000001</v>
      </c>
      <c r="AA126" s="205">
        <f t="shared" si="37"/>
        <v>23.285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80">
        <f t="shared" si="38"/>
        <v>211</v>
      </c>
      <c r="AE126" s="77" t="str">
        <f t="shared" si="39"/>
        <v>aws s3 cp s3://rtdc.mdm.uploadarchive.raw/RTDC4002/ "%USERPROFILE%\AppData\Local\Temp\OnboardLogs"\RTDC4002\2017-09-17 --exclude "*" --recursive --include "*20170917*" &amp; "%USERPROFILE%\Documents\GitHub\mrs-test-scripts\Headless Mode &amp; Sideloading\WalkAndUnGZ.bat" "%USERPROFILE%\AppData\Local\Temp\OnboardLogs"\RTDC4002\2017-09-17 &amp; aws s3 cp s3://rtdc.mdm.uploadarchive.raw/RTDC4002/ "%USERPROFILE%\AppData\Local\Temp\OnboardLogs"\RTDC4002\2017-09-18 --exclude "*" --recursive --include "*20170918*" &amp; "%USERPROFILE%\Documents\GitHub\mrs-test-scripts\Headless Mode &amp; Sideloading\WalkAndUnGZ.bat" "%USERPROFILE%\AppData\Local\Temp\OnboardLogs"\RTDC4002\2017-09-18</v>
      </c>
      <c r="AF126" s="74" t="str">
        <f t="shared" si="40"/>
        <v>"C:\Program Files (x86)\AstroGrep\AstroGrep.exe" /e /r /s /spath="%USERPROFILE%\AppData\Local\Temp\OnboardLogs" /stypes="app*4002*20170918*" /stext=" 00:.+((SYSTEM_STATE.+slice.+state.+changed )|(ment ac)|(multiple cpu faults)|(system.+state.+changed )|(\[timeout)|(PRM\|1\|D)|(kpr)|(kdp)|(train st.+moving)|(\|lc)|(penalty))"</v>
      </c>
      <c r="AG126" s="183" t="str">
        <f t="shared" si="41"/>
        <v>EC</v>
      </c>
      <c r="AH126" s="78" t="str">
        <f t="shared" si="42"/>
        <v>"%USERPROFILE%\Documents\GitHub\eaglep3\Utilities\RefineRTDCRunTimes.py" --tripid 211-17 --locoid 4002 --swversion DE.1.0.9.0 --startMP 204:469 --initTime 2017-09-17T17:22:29 --startdatetime 2017-09-17T17:30:17 --delay 53 --endMP 204:233319 --enddatetime 2017-09-17T18:06:39 --enforcementcount 0 &gt;&gt;C:\Users\stu\Documents\GitHub\eaglep3-reporting\EC\2017-09-17-refined-times.txt</v>
      </c>
      <c r="AI126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{"issue":{"subject":"","project_id":79,"tracker_id":40,"status_id":1,"priority_id":2,"assigned_to_id":338,"start_date":"2017-09-17","description":"","custom_fields":[{"id":1,"name":"Subdivision","value":"EC"},{"id":4,"name":"Milepost","value":"23.3319"},{"id":17,"name":"Train ID","value":"211-17"},{"id":16,"name":"Locomotive ID","value":"4002"},{"id":130,"name":"Impact","value":""},{"id":150,"name":"Time of Event (Mountain Time)","value":"18:06:39"},{"id":151,"name":"Denver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4"/>
        <v>start /low /b %USERPROFILE%\Documents\GitHub\eaglep3\Utilities\DownloadLogsFromS3.py --loco 4002 --day 2017-09-17</v>
      </c>
      <c r="AN126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00:06:39"},{"id":29,"name":"Sharepoint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Message%20ID',Summary),filters:!(),index:'emp_*',interval:auto,query:"&amp;"(query_string:(analyze_wildcard:!t,query:'Message%5C+ID:(*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-09-17T16:22:29-0600',mode:absolute,to:'2017-09-17T19:06:39-0600'))&amp;_a=(columns:!('Message%20ID',Summary),filters:!(),index:'emp_*',interval:auto,query:(query_string:(analyze_wildcard:!t,query:'Message%5C+ID:(*)+AND+%22rtdc.l.rtdc.4002%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767</v>
      </c>
      <c r="B127" s="7">
        <v>4001</v>
      </c>
      <c r="C127" s="21" t="s">
        <v>197</v>
      </c>
      <c r="D127" s="21" t="s">
        <v>843</v>
      </c>
      <c r="E127" s="13">
        <v>42995.756331018521</v>
      </c>
      <c r="F127" s="13">
        <v>42995.768958333334</v>
      </c>
      <c r="G127" s="7">
        <v>58</v>
      </c>
      <c r="H127" s="21" t="s">
        <v>827</v>
      </c>
      <c r="I127" s="13">
        <v>42995.796412037038</v>
      </c>
      <c r="J127" s="7">
        <v>0</v>
      </c>
      <c r="K127" s="89" t="str">
        <f t="shared" si="30"/>
        <v>4001/4002</v>
      </c>
      <c r="L127" s="186" t="str">
        <f>VLOOKUP(A127,'Trips&amp;Operators'!$C$1:$G$99911,5,FALSE)</f>
        <v>DAVIDSON DAVID</v>
      </c>
      <c r="M127" s="6">
        <f t="shared" si="31"/>
        <v>2.7453703703940846E-2</v>
      </c>
      <c r="N127" s="7">
        <f t="shared" si="46"/>
        <v>39.533333333674818</v>
      </c>
      <c r="O127" s="7"/>
      <c r="P127" s="7"/>
      <c r="Q127" s="22"/>
      <c r="R127" s="174"/>
      <c r="S127" s="222">
        <f t="shared" si="47"/>
        <v>1</v>
      </c>
      <c r="T127" s="174" t="str">
        <f t="shared" si="32"/>
        <v>Southbound</v>
      </c>
      <c r="U127" s="19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7" t="str">
        <f t="shared" si="33"/>
        <v>https://d0f6bd738d7f1b3e5a7ca70fe4ff75f0.us-east-1.aws.found.io/app/kibana#/discover/Steve-Slow-Train-Analysis-(2080s-and-2083s)?_g=(refreshInterval:(display:Off,pause:!f,section:0,value:0),time:(from:'2017-09-17T17:09:07-0600',mode:absolute,to:'2017-09-17T20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7" s="205" t="str">
        <f>IF(AA127&lt;VLOOKUP(AG127,Variables!$AC$3:$AD$8,2,FALSE),"Y","N")</f>
        <v>N</v>
      </c>
      <c r="X127" s="205">
        <f t="shared" si="48"/>
        <v>1</v>
      </c>
      <c r="Y127" s="205">
        <f t="shared" si="49"/>
        <v>23.300599999999999</v>
      </c>
      <c r="Z127" s="205">
        <f t="shared" si="50"/>
        <v>1.6899999999999998E-2</v>
      </c>
      <c r="AA127" s="205">
        <f t="shared" si="37"/>
        <v>23.2837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80">
        <f t="shared" si="38"/>
        <v>212</v>
      </c>
      <c r="AE127" s="77" t="str">
        <f t="shared" si="39"/>
        <v>aws s3 cp s3://rtdc.mdm.uploadarchive.raw/RTDC4001/ "%USERPROFILE%\AppData\Local\Temp\OnboardLogs"\RTDC4001\2017-09-17 --exclude "*" --recursive --include "*20170917*" &amp; "%USERPROFILE%\Documents\GitHub\mrs-test-scripts\Headless Mode &amp; Sideloading\WalkAndUnGZ.bat" "%USERPROFILE%\AppData\Local\Temp\OnboardLogs"\RTDC4001\2017-09-17 &amp; aws s3 cp s3://rtdc.mdm.uploadarchive.raw/RTDC4001/ "%USERPROFILE%\AppData\Local\Temp\OnboardLogs"\RTDC4001\2017-09-18 --exclude "*" --recursive --include "*20170918*" &amp; "%USERPROFILE%\Documents\GitHub\mrs-test-scripts\Headless Mode &amp; Sideloading\WalkAndUnGZ.bat" "%USERPROFILE%\AppData\Local\Temp\OnboardLogs"\RTDC4001\2017-09-18</v>
      </c>
      <c r="AF127" s="74" t="str">
        <f t="shared" si="40"/>
        <v>"C:\Program Files (x86)\AstroGrep\AstroGrep.exe" /e /r /s /spath="%USERPROFILE%\AppData\Local\Temp\OnboardLogs" /stypes="app*4001*20170918*" /stext=" 01:.+((SYSTEM_STATE.+slice.+state.+changed )|(ment ac)|(multiple cpu faults)|(system.+state.+changed )|(\[timeout)|(PRM\|1\|D)|(kpr)|(kdp)|(train st.+moving)|(\|lc)|(penalty))"</v>
      </c>
      <c r="AG127" s="183" t="str">
        <f t="shared" si="41"/>
        <v>EC</v>
      </c>
      <c r="AH127" s="78" t="str">
        <f t="shared" si="42"/>
        <v>"%USERPROFILE%\Documents\GitHub\eaglep3\Utilities\RefineRTDCRunTimes.py" --tripid 212-17 --locoid 4001 --swversion DE.1.0.9.0 --startMP 204:233006 --initTime 2017-09-17T18:09:07 --startdatetime 2017-09-17T18:27:18 --delay 58 --endMP 204:169 --enddatetime 2017-09-17T19:06:50 --enforcementcount 0 &gt;&gt;C:\Users\stu\Documents\GitHub\eaglep3-reporting\EC\2017-09-17-refined-times.txt</v>
      </c>
      <c r="AI127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{"issue":{"subject":"","project_id":79,"tracker_id":40,"status_id":1,"priority_id":2,"assigned_to_id":338,"start_date":"2017-09-17","description":"","custom_fields":[{"id":1,"name":"Subdivision","value":"EC"},{"id":4,"name":"Milepost","value":"0.0169"},{"id":17,"name":"Train ID","value":"212-17"},{"id":16,"name":"Locomotive ID","value":"4001"},{"id":130,"name":"Impact","value":""},{"id":150,"name":"Time of Event (Mountain Time)","value":"19:06:50"},{"id":151,"name":"Denver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4"/>
        <v>start /low /b %USERPROFILE%\Documents\GitHub\eaglep3\Utilities\DownloadLogsFromS3.py --loco 4001 --day 2017-09-17</v>
      </c>
      <c r="AN127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01:06:50"},{"id":29,"name":"Sharepoint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Message%20ID',Summary),filters:!(),index:'emp_*',interval:auto,query:"&amp;"(query_string:(analyze_wildcard:!t,query:'Message%5C+ID:(*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-09-17T17:09:07-0600',mode:absolute,to:'2017-09-17T20:06:50-0600'))&amp;_a=(columns:!('Message%20ID',Summary),filters:!(),index:'emp_*',interval:auto,query:(query_string:(analyze_wildcard:!t,query:'Message%5C+ID:(*)+AND+%22rtdc.l.rtdc.4001%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759</v>
      </c>
      <c r="B128" s="7">
        <v>4016</v>
      </c>
      <c r="C128" s="21" t="s">
        <v>197</v>
      </c>
      <c r="D128" s="21" t="s">
        <v>381</v>
      </c>
      <c r="E128" s="13">
        <v>42995.735254629632</v>
      </c>
      <c r="F128" s="13">
        <v>42995.740034722221</v>
      </c>
      <c r="G128" s="7">
        <v>124</v>
      </c>
      <c r="H128" s="21" t="s">
        <v>925</v>
      </c>
      <c r="I128" s="13">
        <v>42995.764398148145</v>
      </c>
      <c r="J128" s="7">
        <v>0</v>
      </c>
      <c r="K128" s="89" t="str">
        <f t="shared" si="30"/>
        <v>4015/4016</v>
      </c>
      <c r="L128" s="186" t="str">
        <f>VLOOKUP(A128,'Trips&amp;Operators'!$C$1:$G$99911,5,FALSE)</f>
        <v>LOZA FIDEL</v>
      </c>
      <c r="M128" s="6">
        <f t="shared" si="31"/>
        <v>2.4363425924093463E-2</v>
      </c>
      <c r="N128" s="7">
        <f t="shared" si="46"/>
        <v>35.083333330694586</v>
      </c>
      <c r="O128" s="7"/>
      <c r="P128" s="7"/>
      <c r="Q128" s="22"/>
      <c r="R128" s="174"/>
      <c r="S128" s="222">
        <f t="shared" si="47"/>
        <v>1</v>
      </c>
      <c r="T128" s="174" t="str">
        <f t="shared" si="32"/>
        <v>NorthBound</v>
      </c>
      <c r="U128" s="19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7" t="str">
        <f t="shared" si="33"/>
        <v>https://d0f6bd738d7f1b3e5a7ca70fe4ff75f0.us-east-1.aws.found.io/app/kibana#/discover/Steve-Slow-Train-Analysis-(2080s-and-2083s)?_g=(refreshInterval:(display:Off,pause:!f,section:0,value:0),time:(from:'2017-09-17T16:38:46-0600',mode:absolute,to:'2017-09-17T19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8" s="205" t="str">
        <f>IF(AA128&lt;VLOOKUP(AG128,Variables!$AC$3:$AD$8,2,FALSE),"Y","N")</f>
        <v>N</v>
      </c>
      <c r="X128" s="205">
        <f t="shared" si="48"/>
        <v>1</v>
      </c>
      <c r="Y128" s="205">
        <f t="shared" si="49"/>
        <v>4.5999999999999999E-2</v>
      </c>
      <c r="Z128" s="205">
        <f t="shared" si="50"/>
        <v>23.332599999999999</v>
      </c>
      <c r="AA128" s="205">
        <f t="shared" si="37"/>
        <v>23.2866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80">
        <f t="shared" si="38"/>
        <v>213</v>
      </c>
      <c r="AE128" s="77" t="str">
        <f t="shared" si="39"/>
        <v>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 &amp; 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</v>
      </c>
      <c r="AF128" s="74" t="str">
        <f t="shared" si="40"/>
        <v>"C:\Program Files (x86)\AstroGrep\AstroGrep.exe" /e /r /s /spath="%USERPROFILE%\AppData\Local\Temp\OnboardLogs" /stypes="app*4016*20170918*" /stext=" 00:.+((SYSTEM_STATE.+slice.+state.+changed )|(ment ac)|(multiple cpu faults)|(system.+state.+changed )|(\[timeout)|(PRM\|1\|D)|(kpr)|(kdp)|(train st.+moving)|(\|lc)|(penalty))"</v>
      </c>
      <c r="AG128" s="183" t="str">
        <f t="shared" si="41"/>
        <v>EC</v>
      </c>
      <c r="AH128" s="78" t="str">
        <f t="shared" si="42"/>
        <v>"%USERPROFILE%\Documents\GitHub\eaglep3\Utilities\RefineRTDCRunTimes.py" --tripid 213-17 --locoid 4016 --swversion DE.1.0.9.0 --startMP 204:460 --initTime 2017-09-17T17:38:46 --startdatetime 2017-09-17T17:45:39 --delay 124 --endMP 204:233326 --enddatetime 2017-09-17T18:20:44 --enforcementcount 0 &gt;&gt;C:\Users\stu\Documents\GitHub\eaglep3-reporting\EC\2017-09-17-refined-times.txt</v>
      </c>
      <c r="AI128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{"issue":{"subject":"","project_id":79,"tracker_id":40,"status_id":1,"priority_id":2,"assigned_to_id":338,"start_date":"2017-09-17","description":"","custom_fields":[{"id":1,"name":"Subdivision","value":"EC"},{"id":4,"name":"Milepost","value":"23.3326"},{"id":17,"name":"Train ID","value":"213-17"},{"id":16,"name":"Locomotive ID","value":"4016"},{"id":130,"name":"Impact","value":""},{"id":150,"name":"Time of Event (Mountain Time)","value":"18:20:44"},{"id":151,"name":"Denver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4"/>
        <v>start /low /b %USERPROFILE%\Documents\GitHub\eaglep3\Utilities\DownloadLogsFromS3.py --loco 4016 --day 2017-09-17</v>
      </c>
      <c r="AN128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00:20:44"},{"id":29,"name":"Sharepoint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Message%20ID',Summary),filters:!(),index:'emp_*',interval:auto,query:"&amp;"(query_string:(analyze_wildcard:!t,query:'Message%5C+ID:(*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-09-17T16:38:46-0600',mode:absolute,to:'2017-09-17T19:20:44-0600'))&amp;_a=(columns:!('Message%20ID',Summary),filters:!(),index:'emp_*',interval:auto,query:(query_string:(analyze_wildcard:!t,query:'Message%5C+ID:(*)+AND+%22rtdc.l.rtdc.4016%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769</v>
      </c>
      <c r="B129" s="7">
        <v>4015</v>
      </c>
      <c r="C129" s="21" t="s">
        <v>197</v>
      </c>
      <c r="D129" s="21" t="s">
        <v>418</v>
      </c>
      <c r="E129" s="13">
        <v>42995.768703703703</v>
      </c>
      <c r="F129" s="13">
        <v>42995.77957175926</v>
      </c>
      <c r="G129" s="7">
        <v>136</v>
      </c>
      <c r="H129" s="21" t="s">
        <v>377</v>
      </c>
      <c r="I129" s="13">
        <v>42995.804398148146</v>
      </c>
      <c r="J129" s="7">
        <v>0</v>
      </c>
      <c r="K129" s="89" t="str">
        <f t="shared" si="30"/>
        <v>4015/4016</v>
      </c>
      <c r="L129" s="186" t="str">
        <f>VLOOKUP(A129,'Trips&amp;Operators'!$C$1:$G$99911,5,FALSE)</f>
        <v>LOZA FIDEL</v>
      </c>
      <c r="M129" s="6">
        <f t="shared" si="31"/>
        <v>2.4826388886140194E-2</v>
      </c>
      <c r="N129" s="7">
        <f t="shared" si="46"/>
        <v>35.749999996041879</v>
      </c>
      <c r="O129" s="7"/>
      <c r="P129" s="7"/>
      <c r="Q129" s="22"/>
      <c r="R129" s="174"/>
      <c r="S129" s="222">
        <f t="shared" si="47"/>
        <v>1</v>
      </c>
      <c r="T129" s="174" t="str">
        <f t="shared" si="32"/>
        <v>Southbound</v>
      </c>
      <c r="U129" s="19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7" t="str">
        <f t="shared" si="33"/>
        <v>https://d0f6bd738d7f1b3e5a7ca70fe4ff75f0.us-east-1.aws.found.io/app/kibana#/discover/Steve-Slow-Train-Analysis-(2080s-and-2083s)?_g=(refreshInterval:(display:Off,pause:!f,section:0,value:0),time:(from:'2017-09-17T17:26:56-0600',mode:absolute,to:'2017-09-17T20:18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9" s="205" t="str">
        <f>IF(AA129&lt;VLOOKUP(AG129,Variables!$AC$3:$AD$8,2,FALSE),"Y","N")</f>
        <v>N</v>
      </c>
      <c r="X129" s="205">
        <f t="shared" si="48"/>
        <v>1</v>
      </c>
      <c r="Y129" s="205">
        <f t="shared" si="49"/>
        <v>23.299600000000002</v>
      </c>
      <c r="Z129" s="205">
        <f t="shared" si="50"/>
        <v>1.61E-2</v>
      </c>
      <c r="AA129" s="205">
        <f t="shared" si="37"/>
        <v>23.2835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80">
        <f t="shared" si="38"/>
        <v>214</v>
      </c>
      <c r="AE129" s="77" t="str">
        <f t="shared" si="39"/>
        <v>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 &amp; 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</v>
      </c>
      <c r="AF129" s="74" t="str">
        <f t="shared" si="40"/>
        <v>"C:\Program Files (x86)\AstroGrep\AstroGrep.exe" /e /r /s /spath="%USERPROFILE%\AppData\Local\Temp\OnboardLogs" /stypes="app*4015*20170918*" /stext=" 01:.+((SYSTEM_STATE.+slice.+state.+changed )|(ment ac)|(multiple cpu faults)|(system.+state.+changed )|(\[timeout)|(PRM\|1\|D)|(kpr)|(kdp)|(train st.+moving)|(\|lc)|(penalty))"</v>
      </c>
      <c r="AG129" s="183" t="str">
        <f t="shared" si="41"/>
        <v>EC</v>
      </c>
      <c r="AH129" s="78" t="str">
        <f t="shared" si="42"/>
        <v>"%USERPROFILE%\Documents\GitHub\eaglep3\Utilities\RefineRTDCRunTimes.py" --tripid 214-17 --locoid 4015 --swversion DE.1.0.9.0 --startMP 204:232996 --initTime 2017-09-17T18:26:56 --startdatetime 2017-09-17T18:42:35 --delay 136 --endMP 204:161 --enddatetime 2017-09-17T19:18:20 --enforcementcount 0 &gt;&gt;C:\Users\stu\Documents\GitHub\eaglep3-reporting\EC\2017-09-17-refined-times.txt</v>
      </c>
      <c r="AI129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{"issue":{"subject":"","project_id":79,"tracker_id":40,"status_id":1,"priority_id":2,"assigned_to_id":338,"start_date":"2017-09-17","description":"","custom_fields":[{"id":1,"name":"Subdivision","value":"EC"},{"id":4,"name":"Milepost","value":"0.0161"},{"id":17,"name":"Train ID","value":"214-17"},{"id":16,"name":"Locomotive ID","value":"4015"},{"id":130,"name":"Impact","value":""},{"id":150,"name":"Time of Event (Mountain Time)","value":"19:18:20"},{"id":151,"name":"Denver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4"/>
        <v>start /low /b %USERPROFILE%\Documents\GitHub\eaglep3\Utilities\DownloadLogsFromS3.py --loco 4015 --day 2017-09-17</v>
      </c>
      <c r="AN129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01:18:20"},{"id":29,"name":"Sharepoint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Message%20ID',Summary),filters:!(),index:'emp_*',interval:auto,query:"&amp;"(query_string:(analyze_wildcard:!t,query:'Message%5C+ID:(*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-09-17T17:26:56-0600',mode:absolute,to:'2017-09-17T20:18:20-0600'))&amp;_a=(columns:!('Message%20ID',Summary),filters:!(),index:'emp_*',interval:auto,query:(query_string:(analyze_wildcard:!t,query:'Message%5C+ID:(*)+AND+%22rtdc.l.rtdc.4015%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763</v>
      </c>
      <c r="B130" s="7">
        <v>4066</v>
      </c>
      <c r="C130" s="21" t="s">
        <v>197</v>
      </c>
      <c r="D130" s="21" t="s">
        <v>341</v>
      </c>
      <c r="E130" s="13">
        <v>42995.745659722219</v>
      </c>
      <c r="F130" s="13">
        <v>42995.750254629631</v>
      </c>
      <c r="G130" s="7">
        <v>60</v>
      </c>
      <c r="H130" s="21" t="s">
        <v>553</v>
      </c>
      <c r="I130" s="13">
        <v>42995.774988425925</v>
      </c>
      <c r="J130" s="7">
        <v>0</v>
      </c>
      <c r="K130" s="89" t="str">
        <f t="shared" si="30"/>
        <v>4065/4066</v>
      </c>
      <c r="L130" s="186" t="str">
        <f>VLOOKUP(A130,'Trips&amp;Operators'!$C$1:$G$99911,5,FALSE)</f>
        <v>SMITH MICHAEL</v>
      </c>
      <c r="M130" s="6">
        <f t="shared" si="31"/>
        <v>2.4733796293730848E-2</v>
      </c>
      <c r="N130" s="7">
        <f t="shared" ref="N130:N149" si="51">24*60*SUM($M130:$M130)</f>
        <v>35.61666666297242</v>
      </c>
      <c r="O130" s="7"/>
      <c r="P130" s="7"/>
      <c r="Q130" s="22"/>
      <c r="R130" s="174"/>
      <c r="S130" s="222">
        <f t="shared" ref="S130:S149" si="52">1/IF(AG130="EC",12,1)*SUM(U130:U130)</f>
        <v>1</v>
      </c>
      <c r="T130" s="174" t="str">
        <f t="shared" si="32"/>
        <v>NorthBound</v>
      </c>
      <c r="U130" s="19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7" t="str">
        <f t="shared" si="33"/>
        <v>https://d0f6bd738d7f1b3e5a7ca70fe4ff75f0.us-east-1.aws.found.io/app/kibana#/discover/Steve-Slow-Train-Analysis-(2080s-and-2083s)?_g=(refreshInterval:(display:Off,pause:!f,section:0,value:0),time:(from:'2017-09-17T16:53:45-0600',mode:absolute,to:'2017-09-17T19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0" s="205" t="str">
        <f>IF(AA130&lt;VLOOKUP(AG130,Variables!$AC$3:$AD$8,2,FALSE),"Y","N")</f>
        <v>N</v>
      </c>
      <c r="X130" s="205">
        <f t="shared" si="48"/>
        <v>1</v>
      </c>
      <c r="Y130" s="205">
        <f t="shared" si="49"/>
        <v>4.53E-2</v>
      </c>
      <c r="Z130" s="205">
        <f t="shared" si="50"/>
        <v>23.3325</v>
      </c>
      <c r="AA130" s="205">
        <f t="shared" si="37"/>
        <v>23.287199999999999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80">
        <f t="shared" si="38"/>
        <v>215</v>
      </c>
      <c r="AE130" s="77" t="str">
        <f t="shared" si="39"/>
        <v>aws s3 cp s3://rtdc.mdm.uploadarchive.raw/RTDC4066/ "%USERPROFILE%\AppData\Local\Temp\OnboardLogs"\RTDC4066\2017-09-17 --exclude "*" --recursive --include "*20170917*" &amp; "%USERPROFILE%\Documents\GitHub\mrs-test-scripts\Headless Mode &amp; Sideloading\WalkAndUnGZ.bat" "%USERPROFILE%\AppData\Local\Temp\OnboardLogs"\RTDC4066\2017-09-17 &amp; 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</v>
      </c>
      <c r="AF130" s="74" t="str">
        <f t="shared" si="40"/>
        <v>"C:\Program Files (x86)\AstroGrep\AstroGrep.exe" /e /r /s /spath="%USERPROFILE%\AppData\Local\Temp\OnboardLogs" /stypes="app*4066*20170918*" /stext=" 00:.+((SYSTEM_STATE.+slice.+state.+changed )|(ment ac)|(multiple cpu faults)|(system.+state.+changed )|(\[timeout)|(PRM\|1\|D)|(kpr)|(kdp)|(train st.+moving)|(\|lc)|(penalty))"</v>
      </c>
      <c r="AG130" s="183" t="str">
        <f t="shared" si="41"/>
        <v>EC</v>
      </c>
      <c r="AH130" s="78" t="str">
        <f t="shared" si="42"/>
        <v>"%USERPROFILE%\Documents\GitHub\eaglep3\Utilities\RefineRTDCRunTimes.py" --tripid 215-17 --locoid 4066 --swversion DE.1.0.9.0 --startMP 204:453 --initTime 2017-09-17T17:53:45 --startdatetime 2017-09-17T18:00:22 --delay 60 --endMP 204:233325 --enddatetime 2017-09-17T18:35:59 --enforcementcount 0 &gt;&gt;C:\Users\stu\Documents\GitHub\eaglep3-reporting\EC\2017-09-17-refined-times.txt</v>
      </c>
      <c r="AI130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{"issue":{"subject":"","project_id":79,"tracker_id":40,"status_id":1,"priority_id":2,"assigned_to_id":338,"start_date":"2017-09-17","description":"","custom_fields":[{"id":1,"name":"Subdivision","value":"EC"},{"id":4,"name":"Milepost","value":"23.3325"},{"id":17,"name":"Train ID","value":"215-17"},{"id":16,"name":"Locomotive ID","value":"4066"},{"id":130,"name":"Impact","value":""},{"id":150,"name":"Time of Event (Mountain Time)","value":"18:35:59"},{"id":151,"name":"Denver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4"/>
        <v>start /low /b %USERPROFILE%\Documents\GitHub\eaglep3\Utilities\DownloadLogsFromS3.py --loco 4066 --day 2017-09-17</v>
      </c>
      <c r="AN130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00:35:59"},{"id":29,"name":"Sharepoint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Message%20ID',Summary),filters:!(),index:'emp_*',interval:auto,query:"&amp;"(query_string:(analyze_wildcard:!t,query:'Message%5C+ID:(*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-09-17T16:53:45-0600',mode:absolute,to:'2017-09-17T19:35:59-0600'))&amp;_a=(columns:!('Message%20ID',Summary),filters:!(),index:'emp_*',interval:auto,query:(query_string:(analyze_wildcard:!t,query:'Message%5C+ID:(*)+AND+%22rtdc.l.rtdc.4066%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774</v>
      </c>
      <c r="B131" s="7">
        <v>4065</v>
      </c>
      <c r="C131" s="21" t="s">
        <v>197</v>
      </c>
      <c r="D131" s="21" t="s">
        <v>541</v>
      </c>
      <c r="E131" s="13">
        <v>42995.783067129632</v>
      </c>
      <c r="F131" s="13">
        <v>42995.789953703701</v>
      </c>
      <c r="G131" s="7">
        <v>75</v>
      </c>
      <c r="H131" s="21" t="s">
        <v>342</v>
      </c>
      <c r="I131" s="13">
        <v>42995.81517361111</v>
      </c>
      <c r="J131" s="7">
        <v>0</v>
      </c>
      <c r="K131" s="89" t="str">
        <f t="shared" si="30"/>
        <v>4065/4066</v>
      </c>
      <c r="L131" s="186" t="str">
        <f>VLOOKUP(A131,'Trips&amp;Operators'!$C$1:$G$99911,5,FALSE)</f>
        <v>SMITH MICHAEL</v>
      </c>
      <c r="M131" s="6">
        <f t="shared" si="31"/>
        <v>2.5219907409336884E-2</v>
      </c>
      <c r="N131" s="7">
        <f t="shared" si="51"/>
        <v>36.316666669445112</v>
      </c>
      <c r="O131" s="7"/>
      <c r="P131" s="7"/>
      <c r="Q131" s="22"/>
      <c r="R131" s="174"/>
      <c r="S131" s="222">
        <f t="shared" si="52"/>
        <v>1</v>
      </c>
      <c r="T131" s="174" t="str">
        <f t="shared" si="32"/>
        <v>Southbound</v>
      </c>
      <c r="U131" s="19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7" t="str">
        <f t="shared" si="33"/>
        <v>https://d0f6bd738d7f1b3e5a7ca70fe4ff75f0.us-east-1.aws.found.io/app/kibana#/discover/Steve-Slow-Train-Analysis-(2080s-and-2083s)?_g=(refreshInterval:(display:Off,pause:!f,section:0,value:0),time:(from:'2017-09-17T17:47:37-0600',mode:absolute,to:'2017-09-17T20:33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1" s="205" t="str">
        <f>IF(AA131&lt;VLOOKUP(AG131,Variables!$AC$3:$AD$8,2,FALSE),"Y","N")</f>
        <v>N</v>
      </c>
      <c r="X131" s="205">
        <f t="shared" si="48"/>
        <v>1</v>
      </c>
      <c r="Y131" s="205">
        <f t="shared" si="49"/>
        <v>23.299299999999999</v>
      </c>
      <c r="Z131" s="205">
        <f t="shared" si="50"/>
        <v>1.41E-2</v>
      </c>
      <c r="AA131" s="205">
        <f t="shared" si="37"/>
        <v>23.2852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80">
        <f t="shared" si="38"/>
        <v>216</v>
      </c>
      <c r="AE131" s="77" t="str">
        <f t="shared" si="39"/>
        <v>aws s3 cp s3://rtdc.mdm.uploadarchive.raw/RTDC4065/ "%USERPROFILE%\AppData\Local\Temp\OnboardLogs"\RTDC4065\2017-09-17 --exclude "*" --recursive --include "*20170917*" &amp; "%USERPROFILE%\Documents\GitHub\mrs-test-scripts\Headless Mode &amp; Sideloading\WalkAndUnGZ.bat" "%USERPROFILE%\AppData\Local\Temp\OnboardLogs"\RTDC4065\2017-09-17 &amp; 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</v>
      </c>
      <c r="AF131" s="74" t="str">
        <f t="shared" si="40"/>
        <v>"C:\Program Files (x86)\AstroGrep\AstroGrep.exe" /e /r /s /spath="%USERPROFILE%\AppData\Local\Temp\OnboardLogs" /stypes="app*4065*20170918*" /stext=" 01:.+((SYSTEM_STATE.+slice.+state.+changed )|(ment ac)|(multiple cpu faults)|(system.+state.+changed )|(\[timeout)|(PRM\|1\|D)|(kpr)|(kdp)|(train st.+moving)|(\|lc)|(penalty))"</v>
      </c>
      <c r="AG131" s="183" t="str">
        <f t="shared" si="41"/>
        <v>EC</v>
      </c>
      <c r="AH131" s="78" t="str">
        <f t="shared" si="42"/>
        <v>"%USERPROFILE%\Documents\GitHub\eaglep3\Utilities\RefineRTDCRunTimes.py" --tripid 216-17 --locoid 4065 --swversion DE.1.0.9.0 --startMP 204:232993 --initTime 2017-09-17T18:47:37 --startdatetime 2017-09-17T18:57:32 --delay 75 --endMP 204:141 --enddatetime 2017-09-17T19:33:51 --enforcementcount 0 &gt;&gt;C:\Users\stu\Documents\GitHub\eaglep3-reporting\EC\2017-09-17-refined-times.txt</v>
      </c>
      <c r="AI131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{"issue":{"subject":"","project_id":79,"tracker_id":40,"status_id":1,"priority_id":2,"assigned_to_id":338,"start_date":"2017-09-17","description":"","custom_fields":[{"id":1,"name":"Subdivision","value":"EC"},{"id":4,"name":"Milepost","value":"0.0141"},{"id":17,"name":"Train ID","value":"216-17"},{"id":16,"name":"Locomotive ID","value":"4065"},{"id":130,"name":"Impact","value":""},{"id":150,"name":"Time of Event (Mountain Time)","value":"19:33:51"},{"id":151,"name":"Denver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4"/>
        <v>start /low /b %USERPROFILE%\Documents\GitHub\eaglep3\Utilities\DownloadLogsFromS3.py --loco 4065 --day 2017-09-17</v>
      </c>
      <c r="AN131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01:33:51"},{"id":29,"name":"Sharepoint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Message%20ID',Summary),filters:!(),index:'emp_*',interval:auto,query:"&amp;"(query_string:(analyze_wildcard:!t,query:'Message%5C+ID:(*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-09-17T17:47:37-0600',mode:absolute,to:'2017-09-17T20:33:51-0600'))&amp;_a=(columns:!('Message%20ID',Summary),filters:!(),index:'emp_*',interval:auto,query:(query_string:(analyze_wildcard:!t,query:'Message%5C+ID:(*)+AND+%22rtdc.l.rtdc.4065%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766</v>
      </c>
      <c r="B132" s="7">
        <v>4028</v>
      </c>
      <c r="C132" s="21" t="s">
        <v>197</v>
      </c>
      <c r="D132" s="21" t="s">
        <v>449</v>
      </c>
      <c r="E132" s="13">
        <v>42995.755833333336</v>
      </c>
      <c r="F132" s="13">
        <v>42995.760613425926</v>
      </c>
      <c r="G132" s="7">
        <v>101</v>
      </c>
      <c r="H132" s="21" t="s">
        <v>483</v>
      </c>
      <c r="I132" s="13">
        <v>42995.785277777781</v>
      </c>
      <c r="J132" s="7">
        <v>0</v>
      </c>
      <c r="K132" s="89" t="str">
        <f t="shared" si="30"/>
        <v>4027/4028</v>
      </c>
      <c r="L132" s="186" t="str">
        <f>VLOOKUP(A132,'Trips&amp;Operators'!$C$1:$G$99911,5,FALSE)</f>
        <v>ELBAUM MIKE</v>
      </c>
      <c r="M132" s="6">
        <f t="shared" si="31"/>
        <v>2.4664351854880806E-2</v>
      </c>
      <c r="N132" s="7">
        <f t="shared" si="51"/>
        <v>35.516666671028361</v>
      </c>
      <c r="O132" s="7"/>
      <c r="P132" s="7"/>
      <c r="Q132" s="22"/>
      <c r="R132" s="174"/>
      <c r="S132" s="222">
        <f t="shared" si="52"/>
        <v>1</v>
      </c>
      <c r="T132" s="174" t="str">
        <f t="shared" si="32"/>
        <v>NorthBound</v>
      </c>
      <c r="U132" s="19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7" t="str">
        <f t="shared" si="33"/>
        <v>https://d0f6bd738d7f1b3e5a7ca70fe4ff75f0.us-east-1.aws.found.io/app/kibana#/discover/Steve-Slow-Train-Analysis-(2080s-and-2083s)?_g=(refreshInterval:(display:Off,pause:!f,section:0,value:0),time:(from:'2017-09-17T17:08:24-0600',mode:absolute,to:'2017-09-17T19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2" s="205" t="str">
        <f>IF(AA132&lt;VLOOKUP(AG132,Variables!$AC$3:$AD$8,2,FALSE),"Y","N")</f>
        <v>N</v>
      </c>
      <c r="X132" s="205">
        <f t="shared" si="48"/>
        <v>1</v>
      </c>
      <c r="Y132" s="205">
        <f t="shared" si="49"/>
        <v>4.4699999999999997E-2</v>
      </c>
      <c r="Z132" s="205">
        <f t="shared" si="50"/>
        <v>23.329899999999999</v>
      </c>
      <c r="AA132" s="205">
        <f t="shared" si="37"/>
        <v>23.2852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80">
        <f t="shared" si="38"/>
        <v>217</v>
      </c>
      <c r="AE132" s="77" t="str">
        <f t="shared" si="39"/>
        <v>aws s3 cp s3://rtdc.mdm.uploadarchive.raw/RTDC4028/ "%USERPROFILE%\AppData\Local\Temp\OnboardLogs"\RTDC4028\2017-09-17 --exclude "*" --recursive --include "*20170917*" &amp; "%USERPROFILE%\Documents\GitHub\mrs-test-scripts\Headless Mode &amp; Sideloading\WalkAndUnGZ.bat" "%USERPROFILE%\AppData\Local\Temp\OnboardLogs"\RTDC4028\2017-09-17 &amp; 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</v>
      </c>
      <c r="AF132" s="74" t="str">
        <f t="shared" si="40"/>
        <v>"C:\Program Files (x86)\AstroGrep\AstroGrep.exe" /e /r /s /spath="%USERPROFILE%\AppData\Local\Temp\OnboardLogs" /stypes="app*4028*20170918*" /stext=" 00:.+((SYSTEM_STATE.+slice.+state.+changed )|(ment ac)|(multiple cpu faults)|(system.+state.+changed )|(\[timeout)|(PRM\|1\|D)|(kpr)|(kdp)|(train st.+moving)|(\|lc)|(penalty))"</v>
      </c>
      <c r="AG132" s="183" t="str">
        <f t="shared" si="41"/>
        <v>EC</v>
      </c>
      <c r="AH132" s="78" t="str">
        <f t="shared" si="42"/>
        <v>"%USERPROFILE%\Documents\GitHub\eaglep3\Utilities\RefineRTDCRunTimes.py" --tripid 217-17 --locoid 4028 --swversion DE.1.0.9.0 --startMP 204:447 --initTime 2017-09-17T18:08:24 --startdatetime 2017-09-17T18:15:17 --delay 101 --endMP 204:233299 --enddatetime 2017-09-17T18:50:48 --enforcementcount 0 &gt;&gt;C:\Users\stu\Documents\GitHub\eaglep3-reporting\EC\2017-09-17-refined-times.txt</v>
      </c>
      <c r="AI132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{"issue":{"subject":"","project_id":79,"tracker_id":40,"status_id":1,"priority_id":2,"assigned_to_id":338,"start_date":"2017-09-17","description":"","custom_fields":[{"id":1,"name":"Subdivision","value":"EC"},{"id":4,"name":"Milepost","value":"23.3299"},{"id":17,"name":"Train ID","value":"217-17"},{"id":16,"name":"Locomotive ID","value":"4028"},{"id":130,"name":"Impact","value":""},{"id":150,"name":"Time of Event (Mountain Time)","value":"18:50:48"},{"id":151,"name":"Denver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4"/>
        <v>start /low /b %USERPROFILE%\Documents\GitHub\eaglep3\Utilities\DownloadLogsFromS3.py --loco 4028 --day 2017-09-17</v>
      </c>
      <c r="AN132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00:50:48"},{"id":29,"name":"Sharepoint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Message%20ID',Summary),filters:!(),index:'emp_*',interval:auto,query:"&amp;"(query_string:(analyze_wildcard:!t,query:'Message%5C+ID:(*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-09-17T17:08:24-0600',mode:absolute,to:'2017-09-17T19:50:48-0600'))&amp;_a=(columns:!('Message%20ID',Summary),filters:!(),index:'emp_*',interval:auto,query:(query_string:(analyze_wildcard:!t,query:'Message%5C+ID:(*)+AND+%22rtdc.l.rtdc.4028%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776</v>
      </c>
      <c r="B133" s="7">
        <v>4027</v>
      </c>
      <c r="C133" s="21" t="s">
        <v>197</v>
      </c>
      <c r="D133" s="21" t="s">
        <v>374</v>
      </c>
      <c r="E133" s="13">
        <v>42995.786574074074</v>
      </c>
      <c r="F133" s="13">
        <v>42995.800312500003</v>
      </c>
      <c r="G133" s="7">
        <v>70</v>
      </c>
      <c r="H133" s="21" t="s">
        <v>339</v>
      </c>
      <c r="I133" s="13">
        <v>42995.82571759259</v>
      </c>
      <c r="J133" s="7">
        <v>0</v>
      </c>
      <c r="K133" s="89" t="str">
        <f t="shared" si="30"/>
        <v>4027/4028</v>
      </c>
      <c r="L133" s="186" t="str">
        <f>VLOOKUP(A133,'Trips&amp;Operators'!$C$1:$G$99911,5,FALSE)</f>
        <v>ELBAUM MIKE</v>
      </c>
      <c r="M133" s="6">
        <f t="shared" si="31"/>
        <v>2.5405092586879618E-2</v>
      </c>
      <c r="N133" s="7">
        <f t="shared" si="51"/>
        <v>36.583333325106651</v>
      </c>
      <c r="O133" s="7"/>
      <c r="P133" s="7"/>
      <c r="Q133" s="22"/>
      <c r="R133" s="174"/>
      <c r="S133" s="222">
        <f t="shared" si="52"/>
        <v>1</v>
      </c>
      <c r="T133" s="174" t="str">
        <f t="shared" si="32"/>
        <v>Southbound</v>
      </c>
      <c r="U133" s="19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7" t="str">
        <f t="shared" si="33"/>
        <v>https://d0f6bd738d7f1b3e5a7ca70fe4ff75f0.us-east-1.aws.found.io/app/kibana#/discover/Steve-Slow-Train-Analysis-(2080s-and-2083s)?_g=(refreshInterval:(display:Off,pause:!f,section:0,value:0),time:(from:'2017-09-17T17:52:40-0600',mode:absolute,to:'2017-09-17T20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3" s="205" t="str">
        <f>IF(AA133&lt;VLOOKUP(AG133,Variables!$AC$3:$AD$8,2,FALSE),"Y","N")</f>
        <v>N</v>
      </c>
      <c r="X133" s="205">
        <f t="shared" si="48"/>
        <v>1</v>
      </c>
      <c r="Y133" s="205">
        <f t="shared" si="49"/>
        <v>23.297699999999999</v>
      </c>
      <c r="Z133" s="205">
        <f t="shared" si="50"/>
        <v>1.49E-2</v>
      </c>
      <c r="AA133" s="205">
        <f t="shared" si="37"/>
        <v>23.282799999999998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80">
        <f t="shared" si="38"/>
        <v>218</v>
      </c>
      <c r="AE133" s="77" t="str">
        <f t="shared" si="39"/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AF133" s="74" t="str">
        <f t="shared" si="40"/>
        <v>"C:\Program Files (x86)\AstroGrep\AstroGrep.exe" /e /r /s /spath="%USERPROFILE%\AppData\Local\Temp\OnboardLogs" /stypes="app*4027*20170918*" /stext=" 01:.+((SYSTEM_STATE.+slice.+state.+changed )|(ment ac)|(multiple cpu faults)|(system.+state.+changed )|(\[timeout)|(PRM\|1\|D)|(kpr)|(kdp)|(train st.+moving)|(\|lc)|(penalty))"</v>
      </c>
      <c r="AG133" s="183" t="str">
        <f t="shared" si="41"/>
        <v>EC</v>
      </c>
      <c r="AH133" s="78" t="str">
        <f t="shared" si="42"/>
        <v>"%USERPROFILE%\Documents\GitHub\eaglep3\Utilities\RefineRTDCRunTimes.py" --tripid 218-17 --locoid 4027 --swversion DE.1.0.9.0 --startMP 204:232977 --initTime 2017-09-17T18:52:40 --startdatetime 2017-09-17T19:12:27 --delay 70 --endMP 204:149 --enddatetime 2017-09-17T19:49:02 --enforcementcount 0 &gt;&gt;C:\Users\stu\Documents\GitHub\eaglep3-reporting\EC\2017-09-17-refined-times.txt</v>
      </c>
      <c r="AI133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{"issue":{"subject":"","project_id":79,"tracker_id":40,"status_id":1,"priority_id":2,"assigned_to_id":338,"start_date":"2017-09-17","description":"","custom_fields":[{"id":1,"name":"Subdivision","value":"EC"},{"id":4,"name":"Milepost","value":"0.0149"},{"id":17,"name":"Train ID","value":"218-17"},{"id":16,"name":"Locomotive ID","value":"4027"},{"id":130,"name":"Impact","value":""},{"id":150,"name":"Time of Event (Mountain Time)","value":"19:49:02"},{"id":151,"name":"Denver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4"/>
        <v>start /low /b %USERPROFILE%\Documents\GitHub\eaglep3\Utilities\DownloadLogsFromS3.py --loco 4027 --day 2017-09-17</v>
      </c>
      <c r="AN133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01:49:02"},{"id":29,"name":"Sharepoint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Message%20ID',Summary),filters:!(),index:'emp_*',interval:auto,query:"&amp;"(query_string:(analyze_wildcard:!t,query:'Message%5C+ID:(*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-09-17T17:52:40-0600',mode:absolute,to:'2017-09-17T20:49:02-0600'))&amp;_a=(columns:!('Message%20ID',Summary),filters:!(),index:'emp_*',interval:auto,query:(query_string:(analyze_wildcard:!t,query:'Message%5C+ID:(*)+AND+%22rtdc.l.rtdc.4027%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768</v>
      </c>
      <c r="B134" s="7">
        <v>4056</v>
      </c>
      <c r="C134" s="21" t="s">
        <v>197</v>
      </c>
      <c r="D134" s="21" t="s">
        <v>417</v>
      </c>
      <c r="E134" s="13">
        <v>42995.76489583333</v>
      </c>
      <c r="F134" s="13">
        <v>42995.771006944444</v>
      </c>
      <c r="G134" s="7">
        <v>96</v>
      </c>
      <c r="H134" s="21" t="s">
        <v>926</v>
      </c>
      <c r="I134" s="13">
        <v>42995.795983796299</v>
      </c>
      <c r="J134" s="7">
        <v>0</v>
      </c>
      <c r="K134" s="89" t="str">
        <f t="shared" si="30"/>
        <v>4055/4056</v>
      </c>
      <c r="L134" s="186" t="str">
        <f>VLOOKUP(A134,'Trips&amp;Operators'!$C$1:$G$99911,5,FALSE)</f>
        <v>DUNCAN SHEILA</v>
      </c>
      <c r="M134" s="6">
        <f t="shared" si="31"/>
        <v>2.4976851855171844E-2</v>
      </c>
      <c r="N134" s="7">
        <f t="shared" si="51"/>
        <v>35.966666671447456</v>
      </c>
      <c r="O134" s="7"/>
      <c r="P134" s="7"/>
      <c r="Q134" s="22"/>
      <c r="R134" s="174"/>
      <c r="S134" s="222">
        <f t="shared" si="52"/>
        <v>1</v>
      </c>
      <c r="T134" s="174" t="str">
        <f t="shared" si="32"/>
        <v>NorthBound</v>
      </c>
      <c r="U134" s="19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7" t="str">
        <f t="shared" si="33"/>
        <v>https://d0f6bd738d7f1b3e5a7ca70fe4ff75f0.us-east-1.aws.found.io/app/kibana#/discover/Steve-Slow-Train-Analysis-(2080s-and-2083s)?_g=(refreshInterval:(display:Off,pause:!f,section:0,value:0),time:(from:'2017-09-17T17:21:27-0600',mode:absolute,to:'2017-09-17T20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4" s="205" t="str">
        <f>IF(AA134&lt;VLOOKUP(AG134,Variables!$AC$3:$AD$8,2,FALSE),"Y","N")</f>
        <v>N</v>
      </c>
      <c r="X134" s="205">
        <f t="shared" ref="X134:X146" si="53">VALUE(LEFT(AD134,4))-VALUE(LEFT(AD133,4))</f>
        <v>1</v>
      </c>
      <c r="Y134" s="205">
        <f t="shared" si="49"/>
        <v>4.6199999999999998E-2</v>
      </c>
      <c r="Z134" s="205">
        <f t="shared" si="50"/>
        <v>23.322700000000001</v>
      </c>
      <c r="AA134" s="205">
        <f t="shared" si="37"/>
        <v>23.276500000000002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80">
        <f t="shared" si="38"/>
        <v>219</v>
      </c>
      <c r="AE134" s="77" t="str">
        <f t="shared" si="39"/>
        <v>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 &amp; aws s3 cp s3://rtdc.mdm.uploadarchive.raw/RTDC4056/ "%USERPROFILE%\AppData\Local\Temp\OnboardLogs"\RTDC4056\2017-09-18 --exclude "*" --recursive --include "*20170918*" &amp; "%USERPROFILE%\Documents\GitHub\mrs-test-scripts\Headless Mode &amp; Sideloading\WalkAndUnGZ.bat" "%USERPROFILE%\AppData\Local\Temp\OnboardLogs"\RTDC4056\2017-09-18</v>
      </c>
      <c r="AF134" s="74" t="str">
        <f t="shared" si="40"/>
        <v>"C:\Program Files (x86)\AstroGrep\AstroGrep.exe" /e /r /s /spath="%USERPROFILE%\AppData\Local\Temp\OnboardLogs" /stypes="app*4056*20170918*" /stext=" 01:.+((SYSTEM_STATE.+slice.+state.+changed )|(ment ac)|(multiple cpu faults)|(system.+state.+changed )|(\[timeout)|(PRM\|1\|D)|(kpr)|(kdp)|(train st.+moving)|(\|lc)|(penalty))"</v>
      </c>
      <c r="AG134" s="183" t="str">
        <f t="shared" si="41"/>
        <v>EC</v>
      </c>
      <c r="AH134" s="78" t="str">
        <f t="shared" si="42"/>
        <v>"%USERPROFILE%\Documents\GitHub\eaglep3\Utilities\RefineRTDCRunTimes.py" --tripid 219-17 --locoid 4056 --swversion DE.1.0.9.0 --startMP 204:462 --initTime 2017-09-17T18:21:27 --startdatetime 2017-09-17T18:30:15 --delay 96 --endMP 204:233227 --enddatetime 2017-09-17T19:06:13 --enforcementcount 0 &gt;&gt;C:\Users\stu\Documents\GitHub\eaglep3-reporting\EC\2017-09-17-refined-times.txt</v>
      </c>
      <c r="AI134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{"issue":{"subject":"","project_id":79,"tracker_id":40,"status_id":1,"priority_id":2,"assigned_to_id":338,"start_date":"2017-09-17","description":"","custom_fields":[{"id":1,"name":"Subdivision","value":"EC"},{"id":4,"name":"Milepost","value":"23.3227"},{"id":17,"name":"Train ID","value":"219-17"},{"id":16,"name":"Locomotive ID","value":"4056"},{"id":130,"name":"Impact","value":""},{"id":150,"name":"Time of Event (Mountain Time)","value":"19:06:13"},{"id":151,"name":"Denver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4"/>
        <v>start /low /b %USERPROFILE%\Documents\GitHub\eaglep3\Utilities\DownloadLogsFromS3.py --loco 4056 --day 2017-09-17</v>
      </c>
      <c r="AN134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01:06:13"},{"id":29,"name":"Sharepoint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Message%20ID',Summary),filters:!(),index:'emp_*',interval:auto,query:"&amp;"(query_string:(analyze_wildcard:!t,query:'Message%5C+ID:(*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-09-17T17:21:27-0600',mode:absolute,to:'2017-09-17T20:06:13-0600'))&amp;_a=(columns:!('Message%20ID',Summary),filters:!(),index:'emp_*',interval:auto,query:(query_string:(analyze_wildcard:!t,query:'Message%5C+ID:(*)+AND+%22rtdc.l.rtdc.4056%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771</v>
      </c>
      <c r="B135" s="7">
        <v>4044</v>
      </c>
      <c r="C135" s="21" t="s">
        <v>197</v>
      </c>
      <c r="D135" s="21" t="s">
        <v>381</v>
      </c>
      <c r="E135" s="13">
        <v>42995.778912037036</v>
      </c>
      <c r="F135" s="13">
        <v>42995.781493055554</v>
      </c>
      <c r="G135" s="7">
        <v>57</v>
      </c>
      <c r="H135" s="21" t="s">
        <v>933</v>
      </c>
      <c r="I135" s="13">
        <v>42995.806400462963</v>
      </c>
      <c r="J135" s="7">
        <v>0</v>
      </c>
      <c r="K135" s="89" t="str">
        <f t="shared" si="30"/>
        <v>4043/4044</v>
      </c>
      <c r="L135" s="186" t="str">
        <f>VLOOKUP(A135,'Trips&amp;Operators'!$C$1:$G$99911,5,FALSE)</f>
        <v>RESPASS AARON</v>
      </c>
      <c r="M135" s="6">
        <f t="shared" si="31"/>
        <v>2.4907407409045845E-2</v>
      </c>
      <c r="N135" s="7">
        <f t="shared" si="51"/>
        <v>35.866666669026017</v>
      </c>
      <c r="O135" s="7"/>
      <c r="P135" s="7"/>
      <c r="Q135" s="22"/>
      <c r="R135" s="174" t="s">
        <v>979</v>
      </c>
      <c r="S135" s="222">
        <f t="shared" si="52"/>
        <v>1</v>
      </c>
      <c r="T135" s="174" t="str">
        <f t="shared" si="32"/>
        <v>NorthBound</v>
      </c>
      <c r="U135" s="19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7" t="str">
        <f t="shared" si="33"/>
        <v>https://d0f6bd738d7f1b3e5a7ca70fe4ff75f0.us-east-1.aws.found.io/app/kibana#/discover/Steve-Slow-Train-Analysis-(2080s-and-2083s)?_g=(refreshInterval:(display:Off,pause:!f,section:0,value:0),time:(from:'2017-09-17T17:41:38-0600',mode:absolute,to:'2017-09-17T20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5" s="205" t="str">
        <f>IF(AA135&lt;VLOOKUP(AG135,Variables!$AC$3:$AD$8,2,FALSE),"Y","N")</f>
        <v>N</v>
      </c>
      <c r="X135" s="205">
        <f t="shared" si="53"/>
        <v>76</v>
      </c>
      <c r="Y135" s="205">
        <f t="shared" si="49"/>
        <v>4.5999999999999999E-2</v>
      </c>
      <c r="Z135" s="205">
        <f t="shared" si="50"/>
        <v>23.324300000000001</v>
      </c>
      <c r="AA135" s="205">
        <f t="shared" si="37"/>
        <v>23.278300000000002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80">
        <f t="shared" si="38"/>
        <v>295</v>
      </c>
      <c r="AE135" s="77" t="str">
        <f t="shared" si="39"/>
        <v>aws s3 cp s3://rtdc.mdm.uploadarchive.raw/RTDC4044/ "%USERPROFILE%\AppData\Local\Temp\OnboardLogs"\RTDC4044\2017-09-17 --exclude "*" --recursive --include "*20170917*" &amp; "%USERPROFILE%\Documents\GitHub\mrs-test-scripts\Headless Mode &amp; Sideloading\WalkAndUnGZ.bat" "%USERPROFILE%\AppData\Local\Temp\OnboardLogs"\RTDC4044\2017-09-17 &amp; aws s3 cp s3://rtdc.mdm.uploadarchive.raw/RTDC4044/ "%USERPROFILE%\AppData\Local\Temp\OnboardLogs"\RTDC4044\2017-09-18 --exclude "*" --recursive --include "*20170918*" &amp; "%USERPROFILE%\Documents\GitHub\mrs-test-scripts\Headless Mode &amp; Sideloading\WalkAndUnGZ.bat" "%USERPROFILE%\AppData\Local\Temp\OnboardLogs"\RTDC4044\2017-09-18</v>
      </c>
      <c r="AF135" s="74" t="str">
        <f t="shared" si="40"/>
        <v>"C:\Program Files (x86)\AstroGrep\AstroGrep.exe" /e /r /s /spath="%USERPROFILE%\AppData\Local\Temp\OnboardLogs" /stypes="app*4044*20170918*" /stext=" 01:.+((SYSTEM_STATE.+slice.+state.+changed )|(ment ac)|(multiple cpu faults)|(system.+state.+changed )|(\[timeout)|(PRM\|1\|D)|(kpr)|(kdp)|(train st.+moving)|(\|lc)|(penalty))"</v>
      </c>
      <c r="AG135" s="183" t="str">
        <f t="shared" si="41"/>
        <v>EC</v>
      </c>
      <c r="AH135" s="78" t="str">
        <f>refinertdcruntimes&amp;" --tripid "&amp;A135&amp;" --locoid "&amp;B135&amp;" --swversion "&amp;C135&amp;" --startMP "&amp;D135&amp;" --initTime "&amp;TEXT(E135,"yyyy-mm-ddTHH:MM:SS")&amp;" --startdatetime "&amp;TEXT(F135,"yyyy-mm-ddTHH:MM:SS")&amp;" --delay "&amp;G135&amp;" --endMP "&amp;H135&amp;" --enddatetime "&amp;TEXT(I135,"yyyy-mm-ddTHH:MM:SS")&amp;" --enforcementcount "&amp;J135&amp;IF(outputrefinedruntimes," &gt;&gt;"&amp;RefinedRTDCRunTimesOutputFile,"")</f>
        <v>"%USERPROFILE%\Documents\GitHub\eaglep3\Utilities\RefineRTDCRunTimes.py" --tripid 295-17 --locoid 4044 --swversion DE.1.0.9.0 --startMP 204:460 --initTime 2017-09-17T18:41:38 --startdatetime 2017-09-17T18:45:21 --delay 57 --endMP 204:233243 --enddatetime 2017-09-17T19:21:13 --enforcementcount 0 &gt;&gt;C:\Users\stu\Documents\GitHub\eaglep3-reporting\EC\2017-09-17-refined-times.txt</v>
      </c>
      <c r="AI135" s="96" t="str">
        <f>"echo {""issue"":{""subject"":"""&amp;R135&amp;""",""project_id"":79,""tracker_id"":40,""status_id"":"&amp;redmine_status&amp;",""priority_id"":"&amp;redmine_priority&amp;",""assigned_to_id"":"&amp;redmine_assignee&amp;",""start_date"":"""&amp;TEXT(I135,"YYYY-mm-dd")&amp;""",""description"":"""&amp;AJ135&amp;""",""custom_fields"":[{""id"":1,""name"":""Subdivision"",""value"":"""&amp;AG135&amp;"""},{""id"":4,""name"":""Milepost"",""value"":"""&amp;Z135&amp;"""},{""id"":17,""name"":""Train ID"",""value"":"""&amp;A135&amp;"""},{""id"":16,""name"":""Locomotive ID"",""value"":"""&amp;B135&amp;"""},{""id"":130,""name"":""Impact"",""value"":"""&amp;AK135&amp;"""},{""id"":150,""name"":""Time of Event (Mountain Time)"",""value"":"""&amp;TEXT(I135,"hh:mm:ss")&amp;"""},{""id"":151,""name"":""Denver Issue ID"",""value"":"""&amp;"""},{""id"":178,""name"":""Operational Impact"",""value"":"""&amp;redmine_op_impact&amp;"""},{""id"":179,""name"":""Denver Segment Assigned"",""value"":"""&amp;AL135&amp;"""}]}}"&amp;" | curl --insecure -X POST -H ""Content-Type: application/json"" -H ""X-Redmine-API-Key: "&amp;redm_api_key&amp;""" "&amp;redm_url&amp;" --data @-"</f>
        <v>echo {"issue":{"subject":"Go Broncos","project_id":79,"tracker_id":40,"status_id":1,"priority_id":2,"assigned_to_id":338,"start_date":"2017-09-17","description":"","custom_fields":[{"id":1,"name":"Subdivision","value":"EC"},{"id":4,"name":"Milepost","value":"23.3243"},{"id":17,"name":"Train ID","value":"295-17"},{"id":16,"name":"Locomotive ID","value":"4044"},{"id":130,"name":"Impact","value":""},{"id":150,"name":"Time of Event (Mountain Time)","value":"19:21:13"},{"id":151,"name":"Denver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>"start /low /b "&amp;dls3logs&amp;" --loco "&amp;B135&amp;" --day "&amp;TEXT(F135,"YYYY-MM-DD")</f>
        <v>start /low /b %USERPROFILE%\Documents\GitHub\eaglep3\Utilities\DownloadLogsFromS3.py --loco 4044 --day 2017-09-17</v>
      </c>
      <c r="AN135" s="151" t="str">
        <f>"echo {""issue"":{""subject"":"""&amp;R135&amp;""",""project_id"":30,""tracker_id"":4,""status_id"":"&amp;redmine_status_wcr&amp;",""priority_id"":"&amp;redmine_priority_wcr&amp;",""assigned_to_id"":"&amp;redmine_assignee_wcr&amp;",""start_date"":"""&amp;TEXT(I135-utc_offset/24,"YYYY-mm-dd")&amp;""",""description"":"""&amp;AJ135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{"issue":{"subject":"Go Broncos","project_id":30,"tracker_id":4,"status_id":1,"priority_id":1,"assigned_to_id":10,"start_date":"2017-09-18","description":"","custom_fields":[{"id":30,"name":"Category","value":"Issue"},{"id":3,"name":"Functional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01:21:13"},{"id":29,"name":"Sharepoint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Message%20ID',Summary),filters:!(),index:'emp_*',interval:auto,query:"&amp;"(query_string:(analyze_wildcard:!t,query:'Message%5C+ID:(*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-09-17T17:41:38-0600',mode:absolute,to:'2017-09-17T20:21:13-0600'))&amp;_a=(columns:!('Message%20ID',Summary),filters:!(),index:'emp_*',interval:auto,query:(query_string:(analyze_wildcard:!t,query:'Message%5C+ID:(*)+AND+%22rtdc.l.rtdc.4044%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781</v>
      </c>
      <c r="B136" s="7">
        <v>4055</v>
      </c>
      <c r="C136" s="21" t="s">
        <v>197</v>
      </c>
      <c r="D136" s="21" t="s">
        <v>484</v>
      </c>
      <c r="E136" s="13">
        <v>42995.80300925926</v>
      </c>
      <c r="F136" s="13">
        <v>42995.810879629629</v>
      </c>
      <c r="G136" s="7">
        <v>77</v>
      </c>
      <c r="H136" s="21" t="s">
        <v>382</v>
      </c>
      <c r="I136" s="13">
        <v>42995.837094907409</v>
      </c>
      <c r="J136" s="7">
        <v>0</v>
      </c>
      <c r="K136" s="89" t="str">
        <f t="shared" si="30"/>
        <v>4055/4056</v>
      </c>
      <c r="L136" s="186" t="str">
        <f>VLOOKUP(A136,'Trips&amp;Operators'!$C$1:$G$99911,5,FALSE)</f>
        <v>DUNCAN SHEILA</v>
      </c>
      <c r="M136" s="6">
        <f t="shared" si="31"/>
        <v>2.6215277779556345E-2</v>
      </c>
      <c r="N136" s="7">
        <f t="shared" si="51"/>
        <v>37.750000002561137</v>
      </c>
      <c r="O136" s="7"/>
      <c r="P136" s="7"/>
      <c r="Q136" s="22"/>
      <c r="R136" s="174"/>
      <c r="S136" s="222">
        <f t="shared" si="52"/>
        <v>1</v>
      </c>
      <c r="T136" s="174" t="str">
        <f t="shared" si="32"/>
        <v>Southbound</v>
      </c>
      <c r="U136" s="19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7" t="str">
        <f t="shared" si="33"/>
        <v>https://d0f6bd738d7f1b3e5a7ca70fe4ff75f0.us-east-1.aws.found.io/app/kibana#/discover/Steve-Slow-Train-Analysis-(2080s-and-2083s)?_g=(refreshInterval:(display:Off,pause:!f,section:0,value:0),time:(from:'2017-09-17T18:16:20-0600',mode:absolute,to:'2017-09-17T21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6" s="205" t="str">
        <f>IF(AA136&lt;VLOOKUP(AG136,Variables!$AC$3:$AD$8,2,FALSE),"Y","N")</f>
        <v>N</v>
      </c>
      <c r="X136" s="205">
        <f t="shared" si="53"/>
        <v>-75</v>
      </c>
      <c r="Y136" s="205">
        <f t="shared" si="49"/>
        <v>23.304200000000002</v>
      </c>
      <c r="Z136" s="205">
        <f t="shared" si="50"/>
        <v>1.5800000000000002E-2</v>
      </c>
      <c r="AA136" s="205">
        <f t="shared" si="37"/>
        <v>23.288400000000003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80">
        <f t="shared" si="38"/>
        <v>220</v>
      </c>
      <c r="AE136" s="77" t="str">
        <f t="shared" si="39"/>
        <v>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 &amp; aws s3 cp s3://rtdc.mdm.uploadarchive.raw/RTDC4055/ "%USERPROFILE%\AppData\Local\Temp\OnboardLogs"\RTDC4055\2017-09-18 --exclude "*" --recursive --include "*20170918*" &amp; "%USERPROFILE%\Documents\GitHub\mrs-test-scripts\Headless Mode &amp; Sideloading\WalkAndUnGZ.bat" "%USERPROFILE%\AppData\Local\Temp\OnboardLogs"\RTDC4055\2017-09-18</v>
      </c>
      <c r="AF136" s="74" t="str">
        <f t="shared" si="40"/>
        <v>"C:\Program Files (x86)\AstroGrep\AstroGrep.exe" /e /r /s /spath="%USERPROFILE%\AppData\Local\Temp\OnboardLogs" /stypes="app*4055*20170918*" /stext=" 02:.+((SYSTEM_STATE.+slice.+state.+changed )|(ment ac)|(multiple cpu faults)|(system.+state.+changed )|(\[timeout)|(PRM\|1\|D)|(kpr)|(kdp)|(train st.+moving)|(\|lc)|(penalty))"</v>
      </c>
      <c r="AG136" s="183" t="str">
        <f t="shared" si="41"/>
        <v>EC</v>
      </c>
      <c r="AH136" s="78" t="str">
        <f t="shared" si="42"/>
        <v>"%USERPROFILE%\Documents\GitHub\eaglep3\Utilities\RefineRTDCRunTimes.py" --tripid 220-17 --locoid 4055 --swversion DE.1.0.9.0 --startMP 204:233042 --initTime 2017-09-17T19:16:20 --startdatetime 2017-09-17T19:27:40 --delay 77 --endMP 204:158 --enddatetime 2017-09-17T20:05:25 --enforcementcount 0 &gt;&gt;C:\Users\stu\Documents\GitHub\eaglep3-reporting\EC\2017-09-17-refined-times.txt</v>
      </c>
      <c r="AI136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{"issue":{"subject":"","project_id":79,"tracker_id":40,"status_id":1,"priority_id":2,"assigned_to_id":338,"start_date":"2017-09-17","description":"","custom_fields":[{"id":1,"name":"Subdivision","value":"EC"},{"id":4,"name":"Milepost","value":"0.0158"},{"id":17,"name":"Train ID","value":"220-17"},{"id":16,"name":"Locomotive ID","value":"4055"},{"id":130,"name":"Impact","value":""},{"id":150,"name":"Time of Event (Mountain Time)","value":"20:05:25"},{"id":151,"name":"Denver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4"/>
        <v>start /low /b %USERPROFILE%\Documents\GitHub\eaglep3\Utilities\DownloadLogsFromS3.py --loco 4055 --day 2017-09-17</v>
      </c>
      <c r="AN136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02:05:25"},{"id":29,"name":"Sharepoint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Message%20ID',Summary),filters:!(),index:'emp_*',interval:auto,query:"&amp;"(query_string:(analyze_wildcard:!t,query:'Message%5C+ID:(*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-09-17T18:16:20-0600',mode:absolute,to:'2017-09-17T21:05:25-0600'))&amp;_a=(columns:!('Message%20ID',Summary),filters:!(),index:'emp_*',interval:auto,query:(query_string:(analyze_wildcard:!t,query:'Message%5C+ID:(*)+AND+%22rtdc.l.rtdc.4055%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775</v>
      </c>
      <c r="B137" s="7">
        <v>4060</v>
      </c>
      <c r="C137" s="21" t="s">
        <v>197</v>
      </c>
      <c r="D137" s="21" t="s">
        <v>457</v>
      </c>
      <c r="E137" s="13">
        <v>42995.786192129628</v>
      </c>
      <c r="F137" s="13">
        <v>42995.79184027778</v>
      </c>
      <c r="G137" s="7">
        <v>62</v>
      </c>
      <c r="H137" s="21" t="s">
        <v>824</v>
      </c>
      <c r="I137" s="13">
        <v>42995.817812499998</v>
      </c>
      <c r="J137" s="7">
        <v>0</v>
      </c>
      <c r="K137" s="89" t="str">
        <f t="shared" si="30"/>
        <v>4059/4060</v>
      </c>
      <c r="L137" s="186" t="str">
        <f>VLOOKUP(A137,'Trips&amp;Operators'!$C$1:$G$99911,5,FALSE)</f>
        <v>KILLION DAVID</v>
      </c>
      <c r="M137" s="6">
        <f t="shared" si="31"/>
        <v>2.5972222218115348E-2</v>
      </c>
      <c r="N137" s="7">
        <f t="shared" si="51"/>
        <v>37.399999994086102</v>
      </c>
      <c r="O137" s="7"/>
      <c r="P137" s="7"/>
      <c r="Q137" s="22"/>
      <c r="R137" s="174"/>
      <c r="S137" s="222">
        <f t="shared" si="52"/>
        <v>1</v>
      </c>
      <c r="T137" s="174" t="str">
        <f t="shared" si="32"/>
        <v>NorthBound</v>
      </c>
      <c r="U137" s="19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7" t="str">
        <f t="shared" si="33"/>
        <v>https://d0f6bd738d7f1b3e5a7ca70fe4ff75f0.us-east-1.aws.found.io/app/kibana#/discover/Steve-Slow-Train-Analysis-(2080s-and-2083s)?_g=(refreshInterval:(display:Off,pause:!f,section:0,value:0),time:(from:'2017-09-17T17:52:07-0600',mode:absolute,to:'2017-09-17T20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7" s="205" t="str">
        <f>IF(AA137&lt;VLOOKUP(AG137,Variables!$AC$3:$AD$8,2,FALSE),"Y","N")</f>
        <v>N</v>
      </c>
      <c r="X137" s="205">
        <f t="shared" si="53"/>
        <v>1</v>
      </c>
      <c r="Y137" s="205">
        <f t="shared" si="49"/>
        <v>4.3299999999999998E-2</v>
      </c>
      <c r="Z137" s="205">
        <f t="shared" si="50"/>
        <v>23.330200000000001</v>
      </c>
      <c r="AA137" s="205">
        <f t="shared" si="37"/>
        <v>23.286900000000003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80">
        <f t="shared" si="38"/>
        <v>221</v>
      </c>
      <c r="AE137" s="77" t="str">
        <f t="shared" si="39"/>
        <v>aws s3 cp s3://rtdc.mdm.uploadarchive.raw/RTDC4060/ "%USERPROFILE%\AppData\Local\Temp\OnboardLogs"\RTDC4060\2017-09-17 --exclude "*" --recursive --include "*20170917*" &amp; "%USERPROFILE%\Documents\GitHub\mrs-test-scripts\Headless Mode &amp; Sideloading\WalkAndUnGZ.bat" "%USERPROFILE%\AppData\Local\Temp\OnboardLogs"\RTDC4060\2017-09-17 &amp; aws s3 cp s3://rtdc.mdm.uploadarchive.raw/RTDC4060/ "%USERPROFILE%\AppData\Local\Temp\OnboardLogs"\RTDC4060\2017-09-18 --exclude "*" --recursive --include "*20170918*" &amp; "%USERPROFILE%\Documents\GitHub\mrs-test-scripts\Headless Mode &amp; Sideloading\WalkAndUnGZ.bat" "%USERPROFILE%\AppData\Local\Temp\OnboardLogs"\RTDC4060\2017-09-18</v>
      </c>
      <c r="AF137" s="74" t="str">
        <f t="shared" si="40"/>
        <v>"C:\Program Files (x86)\AstroGrep\AstroGrep.exe" /e /r /s /spath="%USERPROFILE%\AppData\Local\Temp\OnboardLogs" /stypes="app*4060*20170918*" /stext=" 01:.+((SYSTEM_STATE.+slice.+state.+changed )|(ment ac)|(multiple cpu faults)|(system.+state.+changed )|(\[timeout)|(PRM\|1\|D)|(kpr)|(kdp)|(train st.+moving)|(\|lc)|(penalty))"</v>
      </c>
      <c r="AG137" s="183" t="str">
        <f t="shared" si="41"/>
        <v>EC</v>
      </c>
      <c r="AH137" s="78" t="str">
        <f t="shared" si="42"/>
        <v>"%USERPROFILE%\Documents\GitHub\eaglep3\Utilities\RefineRTDCRunTimes.py" --tripid 221-17 --locoid 4060 --swversion DE.1.0.9.0 --startMP 204:433 --initTime 2017-09-17T18:52:07 --startdatetime 2017-09-17T19:00:15 --delay 62 --endMP 204:233302 --enddatetime 2017-09-17T19:37:39 --enforcementcount 0 &gt;&gt;C:\Users\stu\Documents\GitHub\eaglep3-reporting\EC\2017-09-17-refined-times.txt</v>
      </c>
      <c r="AI137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{"issue":{"subject":"","project_id":79,"tracker_id":40,"status_id":1,"priority_id":2,"assigned_to_id":338,"start_date":"2017-09-17","description":"","custom_fields":[{"id":1,"name":"Subdivision","value":"EC"},{"id":4,"name":"Milepost","value":"23.3302"},{"id":17,"name":"Train ID","value":"221-17"},{"id":16,"name":"Locomotive ID","value":"4060"},{"id":130,"name":"Impact","value":""},{"id":150,"name":"Time of Event (Mountain Time)","value":"19:37:39"},{"id":151,"name":"Denver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4"/>
        <v>start /low /b %USERPROFILE%\Documents\GitHub\eaglep3\Utilities\DownloadLogsFromS3.py --loco 4060 --day 2017-09-17</v>
      </c>
      <c r="AN137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01:37:39"},{"id":29,"name":"Sharepoint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Message%20ID',Summary),filters:!(),index:'emp_*',interval:auto,query:"&amp;"(query_string:(analyze_wildcard:!t,query:'Message%5C+ID:(*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-09-17T17:52:07-0600',mode:absolute,to:'2017-09-17T20:37:39-0600'))&amp;_a=(columns:!('Message%20ID',Summary),filters:!(),index:'emp_*',interval:auto,query:(query_string:(analyze_wildcard:!t,query:'Message%5C+ID:(*)+AND+%22rtdc.l.rtdc.4060%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778</v>
      </c>
      <c r="B138" s="7">
        <v>4002</v>
      </c>
      <c r="C138" s="21" t="s">
        <v>197</v>
      </c>
      <c r="D138" s="21" t="s">
        <v>451</v>
      </c>
      <c r="E138" s="13">
        <v>42995.798333333332</v>
      </c>
      <c r="F138" s="13">
        <v>42995.802442129629</v>
      </c>
      <c r="G138" s="7">
        <v>60</v>
      </c>
      <c r="H138" s="21" t="s">
        <v>857</v>
      </c>
      <c r="I138" s="13">
        <v>42995.827881944446</v>
      </c>
      <c r="J138" s="7">
        <v>0</v>
      </c>
      <c r="K138" s="89" t="str">
        <f t="shared" si="30"/>
        <v>4001/4002</v>
      </c>
      <c r="L138" s="186" t="str">
        <f>VLOOKUP(A138,'Trips&amp;Operators'!$C$1:$G$99911,5,FALSE)</f>
        <v>MAGEE KENYA</v>
      </c>
      <c r="M138" s="6">
        <f t="shared" si="31"/>
        <v>2.5439814817218576E-2</v>
      </c>
      <c r="N138" s="7">
        <f t="shared" si="51"/>
        <v>36.633333336794749</v>
      </c>
      <c r="O138" s="7"/>
      <c r="P138" s="7"/>
      <c r="Q138" s="22"/>
      <c r="R138" s="174" t="s">
        <v>979</v>
      </c>
      <c r="S138" s="222">
        <f t="shared" si="52"/>
        <v>1</v>
      </c>
      <c r="T138" s="174" t="str">
        <f t="shared" si="32"/>
        <v>NorthBound</v>
      </c>
      <c r="U138" s="19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7" t="str">
        <f t="shared" si="33"/>
        <v>https://d0f6bd738d7f1b3e5a7ca70fe4ff75f0.us-east-1.aws.found.io/app/kibana#/discover/Steve-Slow-Train-Analysis-(2080s-and-2083s)?_g=(refreshInterval:(display:Off,pause:!f,section:0,value:0),time:(from:'2017-09-17T18:09:36-0600',mode:absolute,to:'2017-09-17T20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8" s="205" t="str">
        <f>IF(AA138&lt;VLOOKUP(AG138,Variables!$AC$3:$AD$8,2,FALSE),"Y","N")</f>
        <v>N</v>
      </c>
      <c r="X138" s="205">
        <f t="shared" si="53"/>
        <v>76</v>
      </c>
      <c r="Y138" s="205">
        <f t="shared" si="49"/>
        <v>4.8599999999999997E-2</v>
      </c>
      <c r="Z138" s="205">
        <f t="shared" si="50"/>
        <v>23.3368</v>
      </c>
      <c r="AA138" s="205">
        <f t="shared" si="37"/>
        <v>23.2882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80">
        <f t="shared" si="38"/>
        <v>297</v>
      </c>
      <c r="AE138" s="77" t="str">
        <f t="shared" si="39"/>
        <v>aws s3 cp s3://rtdc.mdm.uploadarchive.raw/RTDC4002/ "%USERPROFILE%\AppData\Local\Temp\OnboardLogs"\RTDC4002\2017-09-17 --exclude "*" --recursive --include "*20170917*" &amp; "%USERPROFILE%\Documents\GitHub\mrs-test-scripts\Headless Mode &amp; Sideloading\WalkAndUnGZ.bat" "%USERPROFILE%\AppData\Local\Temp\OnboardLogs"\RTDC4002\2017-09-17 &amp; aws s3 cp s3://rtdc.mdm.uploadarchive.raw/RTDC4002/ "%USERPROFILE%\AppData\Local\Temp\OnboardLogs"\RTDC4002\2017-09-18 --exclude "*" --recursive --include "*20170918*" &amp; "%USERPROFILE%\Documents\GitHub\mrs-test-scripts\Headless Mode &amp; Sideloading\WalkAndUnGZ.bat" "%USERPROFILE%\AppData\Local\Temp\OnboardLogs"\RTDC4002\2017-09-18</v>
      </c>
      <c r="AF138" s="74" t="str">
        <f t="shared" si="40"/>
        <v>"C:\Program Files (x86)\AstroGrep\AstroGrep.exe" /e /r /s /spath="%USERPROFILE%\AppData\Local\Temp\OnboardLogs" /stypes="app*4002*20170918*" /stext=" 01:.+((SYSTEM_STATE.+slice.+state.+changed )|(ment ac)|(multiple cpu faults)|(system.+state.+changed )|(\[timeout)|(PRM\|1\|D)|(kpr)|(kdp)|(train st.+moving)|(\|lc)|(penalty))"</v>
      </c>
      <c r="AG138" s="183" t="str">
        <f t="shared" si="41"/>
        <v>EC</v>
      </c>
      <c r="AH138" s="78" t="str">
        <f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297-17 --locoid 4002 --swversion DE.1.0.9.0 --startMP 204:486 --initTime 2017-09-17T19:09:36 --startdatetime 2017-09-17T19:15:31 --delay 60 --endMP 204:233368 --enddatetime 2017-09-17T19:52:09 --enforcementcount 0 &gt;&gt;C:\Users\stu\Documents\GitHub\eaglep3-reporting\EC\2017-09-17-refined-times.txt</v>
      </c>
      <c r="AI138" s="96" t="str">
        <f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Z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--insecure -X POST -H ""Content-Type: application/json"" -H ""X-Redmine-API-Key: "&amp;redm_api_key&amp;""" "&amp;redm_url&amp;" --data @-"</f>
        <v>echo {"issue":{"subject":"Go Broncos","project_id":79,"tracker_id":40,"status_id":1,"priority_id":2,"assigned_to_id":338,"start_date":"2017-09-17","description":"","custom_fields":[{"id":1,"name":"Subdivision","value":"EC"},{"id":4,"name":"Milepost","value":"23.3368"},{"id":17,"name":"Train ID","value":"297-17"},{"id":16,"name":"Locomotive ID","value":"4002"},{"id":130,"name":"Impact","value":""},{"id":150,"name":"Time of Event (Mountain Time)","value":"19:52:09"},{"id":151,"name":"Denver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>"start /low /b "&amp;dls3logs&amp;" --loco "&amp;B138&amp;" --day "&amp;TEXT(F138,"YYYY-MM-DD")</f>
        <v>start /low /b %USERPROFILE%\Documents\GitHub\eaglep3\Utilities\DownloadLogsFromS3.py --loco 4002 --day 2017-09-17</v>
      </c>
      <c r="AN138" s="151" t="str">
        <f>"echo {""issue"":{""subject"":"""&amp;R138&amp;""",""project_id"":30,""tracker_id"":4,""status_id"":"&amp;redmine_status_wcr&amp;",""priority_id"":"&amp;redmine_priority_wcr&amp;",""assigned_to_id"":"&amp;redmine_assignee_wcr&amp;",""start_date"":"""&amp;TEXT(I138-utc_offset/24,"YYYY-mm-dd")&amp;""",""description"":"""&amp;AJ138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{"issue":{"subject":"Go Broncos","project_id":30,"tracker_id":4,"status_id":1,"priority_id":1,"assigned_to_id":10,"start_date":"2017-09-18","description":"","custom_fields":[{"id":30,"name":"Category","value":"Issue"},{"id":3,"name":"Functional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01:52:09"},{"id":29,"name":"Sharepoint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Message%20ID',Summary),filters:!(),index:'emp_*',interval:auto,query:"&amp;"(query_string:(analyze_wildcard:!t,query:'Message%5C+ID:(*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-09-17T18:09:36-0600',mode:absolute,to:'2017-09-17T20:52:09-0600'))&amp;_a=(columns:!('Message%20ID',Summary),filters:!(),index:'emp_*',interval:auto,query:(query_string:(analyze_wildcard:!t,query:'Message%5C+ID:(*)+AND+%22rtdc.l.rtdc.4002%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783</v>
      </c>
      <c r="B139" s="7">
        <v>4043</v>
      </c>
      <c r="C139" s="21" t="s">
        <v>197</v>
      </c>
      <c r="D139" s="21" t="s">
        <v>920</v>
      </c>
      <c r="E139" s="13">
        <v>42995.811493055553</v>
      </c>
      <c r="F139" s="13">
        <v>42995.821064814816</v>
      </c>
      <c r="G139" s="7">
        <v>82</v>
      </c>
      <c r="H139" s="21" t="s">
        <v>934</v>
      </c>
      <c r="I139" s="13">
        <v>42995.847488425927</v>
      </c>
      <c r="J139" s="7">
        <v>0</v>
      </c>
      <c r="K139" s="89" t="str">
        <f t="shared" si="30"/>
        <v>4043/4044</v>
      </c>
      <c r="L139" s="186" t="str">
        <f>VLOOKUP(A139,'Trips&amp;Operators'!$C$1:$G$99911,5,FALSE)</f>
        <v>RESPASS AARON</v>
      </c>
      <c r="M139" s="6">
        <f t="shared" si="31"/>
        <v>2.6423611110658385E-2</v>
      </c>
      <c r="N139" s="7">
        <f t="shared" si="51"/>
        <v>38.049999999348074</v>
      </c>
      <c r="O139" s="7"/>
      <c r="P139" s="7"/>
      <c r="Q139" s="22"/>
      <c r="R139" s="174" t="s">
        <v>979</v>
      </c>
      <c r="S139" s="222">
        <f t="shared" si="52"/>
        <v>1</v>
      </c>
      <c r="T139" s="174" t="str">
        <f t="shared" si="32"/>
        <v>Southbound</v>
      </c>
      <c r="U139" s="19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7" t="str">
        <f t="shared" si="33"/>
        <v>https://d0f6bd738d7f1b3e5a7ca70fe4ff75f0.us-east-1.aws.found.io/app/kibana#/discover/Steve-Slow-Train-Analysis-(2080s-and-2083s)?_g=(refreshInterval:(display:Off,pause:!f,section:0,value:0),time:(from:'2017-09-17T18:28:33-0600',mode:absolute,to:'2017-09-17T21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9" s="205" t="str">
        <f>IF(AA139&lt;VLOOKUP(AG139,Variables!$AC$3:$AD$8,2,FALSE),"Y","N")</f>
        <v>N</v>
      </c>
      <c r="X139" s="205">
        <f t="shared" si="53"/>
        <v>-1</v>
      </c>
      <c r="Y139" s="205">
        <f t="shared" si="49"/>
        <v>23.2971</v>
      </c>
      <c r="Z139" s="205">
        <f t="shared" si="50"/>
        <v>2.2200000000000001E-2</v>
      </c>
      <c r="AA139" s="205">
        <f t="shared" si="37"/>
        <v>23.274899999999999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80">
        <f t="shared" si="38"/>
        <v>296</v>
      </c>
      <c r="AE139" s="77" t="str">
        <f t="shared" si="39"/>
        <v>aws s3 cp s3://rtdc.mdm.uploadarchive.raw/RTDC4043/ "%USERPROFILE%\AppData\Local\Temp\OnboardLogs"\RTDC4043\2017-09-17 --exclude "*" --recursive --include "*20170917*" &amp; "%USERPROFILE%\Documents\GitHub\mrs-test-scripts\Headless Mode &amp; Sideloading\WalkAndUnGZ.bat" "%USERPROFILE%\AppData\Local\Temp\OnboardLogs"\RTDC4043\2017-09-17 &amp; aws s3 cp s3://rtdc.mdm.uploadarchive.raw/RTDC4043/ "%USERPROFILE%\AppData\Local\Temp\OnboardLogs"\RTDC4043\2017-09-18 --exclude "*" --recursive --include "*20170918*" &amp; "%USERPROFILE%\Documents\GitHub\mrs-test-scripts\Headless Mode &amp; Sideloading\WalkAndUnGZ.bat" "%USERPROFILE%\AppData\Local\Temp\OnboardLogs"\RTDC4043\2017-09-18</v>
      </c>
      <c r="AF139" s="74" t="str">
        <f t="shared" si="40"/>
        <v>"C:\Program Files (x86)\AstroGrep\AstroGrep.exe" /e /r /s /spath="%USERPROFILE%\AppData\Local\Temp\OnboardLogs" /stypes="app*4043*20170918*" /stext=" 02:.+((SYSTEM_STATE.+slice.+state.+changed )|(ment ac)|(multiple cpu faults)|(system.+state.+changed )|(\[timeout)|(PRM\|1\|D)|(kpr)|(kdp)|(train st.+moving)|(\|lc)|(penalty))"</v>
      </c>
      <c r="AG139" s="183" t="str">
        <f t="shared" si="41"/>
        <v>EC</v>
      </c>
      <c r="AH139" s="78" t="str">
        <f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296-17 --locoid 4043 --swversion DE.1.0.9.0 --startMP 204:232971 --initTime 2017-09-17T19:28:33 --startdatetime 2017-09-17T19:42:20 --delay 82 --endMP 204:222 --enddatetime 2017-09-17T20:20:23 --enforcementcount 0 &gt;&gt;C:\Users\stu\Documents\GitHub\eaglep3-reporting\EC\2017-09-17-refined-times.txt</v>
      </c>
      <c r="AI139" s="96" t="str">
        <f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{"issue":{"subject":"Go Broncos","project_id":79,"tracker_id":40,"status_id":1,"priority_id":2,"assigned_to_id":338,"start_date":"2017-09-17","description":"","custom_fields":[{"id":1,"name":"Subdivision","value":"EC"},{"id":4,"name":"Milepost","value":"0.0222"},{"id":17,"name":"Train ID","value":"296-17"},{"id":16,"name":"Locomotive ID","value":"4043"},{"id":130,"name":"Impact","value":""},{"id":150,"name":"Time of Event (Mountain Time)","value":"20:20:23"},{"id":151,"name":"Denver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>"start /low /b "&amp;dls3logs&amp;" --loco "&amp;B139&amp;" --day "&amp;TEXT(F139,"YYYY-MM-DD")</f>
        <v>start /low /b %USERPROFILE%\Documents\GitHub\eaglep3\Utilities\DownloadLogsFromS3.py --loco 4043 --day 2017-09-17</v>
      </c>
      <c r="AN139" s="151" t="str">
        <f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{"issue":{"subject":"Go Broncos","project_id":30,"tracker_id":4,"status_id":1,"priority_id":1,"assigned_to_id":10,"start_date":"2017-09-18","description":"","custom_fields":[{"id":30,"name":"Category","value":"Issue"},{"id":3,"name":"Functional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02:20:23"},{"id":29,"name":"Sharepoint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Message%5C+ID:(*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-09-17T18:28:33-0600',mode:absolute,to:'2017-09-17T21:20:23-0600'))&amp;_a=(columns:!('Message%20ID',Summary),filters:!(),index:'emp_*',interval:auto,query:(query_string:(analyze_wildcard:!t,query:'Message%5C+ID:(*)+AND+%22rtdc.l.rtdc.4043%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786</v>
      </c>
      <c r="B140" s="7">
        <v>4059</v>
      </c>
      <c r="C140" s="21" t="s">
        <v>197</v>
      </c>
      <c r="D140" s="21" t="s">
        <v>438</v>
      </c>
      <c r="E140" s="13">
        <v>42995.823414351849</v>
      </c>
      <c r="F140" s="13">
        <v>42995.831435185188</v>
      </c>
      <c r="G140" s="7">
        <v>71</v>
      </c>
      <c r="H140" s="21" t="s">
        <v>338</v>
      </c>
      <c r="I140" s="13">
        <v>42995.858680555553</v>
      </c>
      <c r="J140" s="7">
        <v>0</v>
      </c>
      <c r="K140" s="89" t="str">
        <f t="shared" si="30"/>
        <v>4059/4060</v>
      </c>
      <c r="L140" s="186" t="str">
        <f>VLOOKUP(A140,'Trips&amp;Operators'!$C$1:$G$99911,5,FALSE)</f>
        <v>KILLION DAVID</v>
      </c>
      <c r="M140" s="6">
        <f t="shared" si="31"/>
        <v>2.7245370365562849E-2</v>
      </c>
      <c r="N140" s="7">
        <f t="shared" si="51"/>
        <v>39.233333326410502</v>
      </c>
      <c r="O140" s="7"/>
      <c r="P140" s="7"/>
      <c r="Q140" s="22"/>
      <c r="R140" s="174"/>
      <c r="S140" s="222">
        <f t="shared" si="52"/>
        <v>1</v>
      </c>
      <c r="T140" s="174" t="str">
        <f t="shared" si="32"/>
        <v>Southbound</v>
      </c>
      <c r="U140" s="19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7" t="str">
        <f t="shared" si="33"/>
        <v>https://d0f6bd738d7f1b3e5a7ca70fe4ff75f0.us-east-1.aws.found.io/app/kibana#/discover/Steve-Slow-Train-Analysis-(2080s-and-2083s)?_g=(refreshInterval:(display:Off,pause:!f,section:0,value:0),time:(from:'2017-09-17T18:45:43-0600',mode:absolute,to:'2017-09-17T21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0" s="205" t="str">
        <f>IF(AA140&lt;VLOOKUP(AG140,Variables!$AC$3:$AD$8,2,FALSE),"Y","N")</f>
        <v>N</v>
      </c>
      <c r="X140" s="205">
        <f t="shared" si="53"/>
        <v>-74</v>
      </c>
      <c r="Y140" s="205">
        <f t="shared" si="49"/>
        <v>23.298100000000002</v>
      </c>
      <c r="Z140" s="205">
        <f t="shared" si="50"/>
        <v>1.4999999999999999E-2</v>
      </c>
      <c r="AA140" s="205">
        <f t="shared" si="37"/>
        <v>23.283100000000001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80">
        <f t="shared" si="38"/>
        <v>222</v>
      </c>
      <c r="AE140" s="77" t="str">
        <f t="shared" si="39"/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AF140" s="74" t="str">
        <f t="shared" si="40"/>
        <v>"C:\Program Files (x86)\AstroGrep\AstroGrep.exe" /e /r /s /spath="%USERPROFILE%\AppData\Local\Temp\OnboardLogs" /stypes="app*4059*20170918*" /stext=" 02:.+((SYSTEM_STATE.+slice.+state.+changed )|(ment ac)|(multiple cpu faults)|(system.+state.+changed )|(\[timeout)|(PRM\|1\|D)|(kpr)|(kdp)|(train st.+moving)|(\|lc)|(penalty))"</v>
      </c>
      <c r="AG140" s="183" t="str">
        <f t="shared" si="41"/>
        <v>EC</v>
      </c>
      <c r="AH140" s="78" t="str">
        <f t="shared" si="42"/>
        <v>"%USERPROFILE%\Documents\GitHub\eaglep3\Utilities\RefineRTDCRunTimes.py" --tripid 222-17 --locoid 4059 --swversion DE.1.0.9.0 --startMP 204:232981 --initTime 2017-09-17T19:45:43 --startdatetime 2017-09-17T19:57:16 --delay 71 --endMP 204:150 --enddatetime 2017-09-17T20:36:30 --enforcementcount 0 &gt;&gt;C:\Users\stu\Documents\GitHub\eaglep3-reporting\EC\2017-09-17-refined-times.txt</v>
      </c>
      <c r="AI140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{"issue":{"subject":"","project_id":79,"tracker_id":40,"status_id":1,"priority_id":2,"assigned_to_id":338,"start_date":"2017-09-17","description":"","custom_fields":[{"id":1,"name":"Subdivision","value":"EC"},{"id":4,"name":"Milepost","value":"0.015"},{"id":17,"name":"Train ID","value":"222-17"},{"id":16,"name":"Locomotive ID","value":"4059"},{"id":130,"name":"Impact","value":""},{"id":150,"name":"Time of Event (Mountain Time)","value":"20:36:30"},{"id":151,"name":"Denver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4"/>
        <v>start /low /b %USERPROFILE%\Documents\GitHub\eaglep3\Utilities\DownloadLogsFromS3.py --loco 4059 --day 2017-09-17</v>
      </c>
      <c r="AN140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02:36:30"},{"id":29,"name":"Sharepoint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Message%20ID',Summary),filters:!(),index:'emp_*',interval:auto,query:"&amp;"(query_string:(analyze_wildcard:!t,query:'Message%5C+ID:(*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-09-17T18:45:43-0600',mode:absolute,to:'2017-09-17T21:36:30-0600'))&amp;_a=(columns:!('Message%20ID',Summary),filters:!(),index:'emp_*',interval:auto,query:(query_string:(analyze_wildcard:!t,query:'Message%5C+ID:(*)+AND+%22rtdc.l.rtdc.4059%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782</v>
      </c>
      <c r="B141" s="7">
        <v>4016</v>
      </c>
      <c r="C141" s="21" t="s">
        <v>197</v>
      </c>
      <c r="D141" s="21" t="s">
        <v>449</v>
      </c>
      <c r="E141" s="13">
        <v>42995.80846064815</v>
      </c>
      <c r="F141" s="13">
        <v>42995.812685185185</v>
      </c>
      <c r="G141" s="7">
        <v>75</v>
      </c>
      <c r="H141" s="21" t="s">
        <v>481</v>
      </c>
      <c r="I141" s="13">
        <v>42995.837604166663</v>
      </c>
      <c r="J141" s="7">
        <v>0</v>
      </c>
      <c r="K141" s="89" t="str">
        <f t="shared" ref="K141:K204" si="54">IF(ISEVEN(B141),(B141-1)&amp;"/"&amp;B141,B141&amp;"/"&amp;(B141+1))</f>
        <v>4015/4016</v>
      </c>
      <c r="L141" s="186" t="str">
        <f>VLOOKUP(A141,'Trips&amp;Operators'!$C$1:$G$99911,5,FALSE)</f>
        <v>LOZA FIDEL</v>
      </c>
      <c r="M141" s="6">
        <f t="shared" ref="M141:M204" si="55">I141-F141</f>
        <v>2.491898147854954E-2</v>
      </c>
      <c r="N141" s="7">
        <f t="shared" si="51"/>
        <v>35.883333329111338</v>
      </c>
      <c r="O141" s="7"/>
      <c r="P141" s="7"/>
      <c r="Q141" s="22"/>
      <c r="R141" s="174"/>
      <c r="S141" s="222">
        <f t="shared" si="52"/>
        <v>1</v>
      </c>
      <c r="T141" s="174" t="str">
        <f t="shared" ref="T141:T204" si="56">IF(ISEVEN(LEFT(AD141,4)),"Southbound","NorthBound")</f>
        <v>NorthBound</v>
      </c>
      <c r="U141" s="19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7" t="str">
        <f t="shared" ref="V141:V204" si="5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-17T18:24:11-0600',mode:absolute,to:'2017-09-17T21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205" t="str">
        <f>IF(AA141&lt;VLOOKUP(AG141,Variables!$AC$3:$AD$8,2,FALSE),"Y","N")</f>
        <v>N</v>
      </c>
      <c r="X141" s="205">
        <f t="shared" si="53"/>
        <v>1</v>
      </c>
      <c r="Y141" s="205">
        <f t="shared" ref="Y141:Y172" si="58">RIGHT(D141,LEN(D141)-4)/10000</f>
        <v>4.4699999999999997E-2</v>
      </c>
      <c r="Z141" s="205">
        <f t="shared" ref="Z141:Z172" si="59">RIGHT(H141,LEN(H141)-4)/10000</f>
        <v>23.33</v>
      </c>
      <c r="AA141" s="205">
        <f t="shared" ref="AA141:AA204" si="60">ABS(Z141-Y141)</f>
        <v>23.285299999999999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80">
        <f t="shared" ref="AD141:AD204" si="61">VALUE(LEFT(A141,LEN(A141)-3))</f>
        <v>223</v>
      </c>
      <c r="AE141" s="77" t="str">
        <f t="shared" ref="AE141:AE204" si="6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 &amp; 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</v>
      </c>
      <c r="AF141" s="74" t="str">
        <f t="shared" ref="AF141:AF204" si="6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/stypes="app*4016*20170918*" /stext=" 02:.+((SYSTEM_STATE.+slice.+state.+changed )|(ment ac)|(multiple cpu faults)|(system.+state.+changed )|(\[timeout)|(PRM\|1\|D)|(kpr)|(kdp)|(train st.+moving)|(\|lc)|(penalty))"</v>
      </c>
      <c r="AG141" s="183" t="str">
        <f t="shared" ref="AG141:AG204" si="64">DetSubdiv(A141)</f>
        <v>EC</v>
      </c>
      <c r="AH141" s="78" t="str">
        <f t="shared" si="42"/>
        <v>"%USERPROFILE%\Documents\GitHub\eaglep3\Utilities\RefineRTDCRunTimes.py" --tripid 223-17 --locoid 4016 --swversion DE.1.0.9.0 --startMP 204:447 --initTime 2017-09-17T19:24:11 --startdatetime 2017-09-17T19:30:16 --delay 75 --endMP 204:233300 --enddatetime 2017-09-17T20:06:09 --enforcementcount 0 &gt;&gt;C:\Users\stu\Documents\GitHub\eaglep3-reporting\EC\2017-09-17-refined-times.txt</v>
      </c>
      <c r="AI141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{"issue":{"subject":"","project_id":79,"tracker_id":40,"status_id":1,"priority_id":2,"assigned_to_id":338,"start_date":"2017-09-17","description":"","custom_fields":[{"id":1,"name":"Subdivision","value":"EC"},{"id":4,"name":"Milepost","value":"23.33"},{"id":17,"name":"Train ID","value":"223-17"},{"id":16,"name":"Locomotive ID","value":"4016"},{"id":130,"name":"Impact","value":""},{"id":150,"name":"Time of Event (Mountain Time)","value":"20:06:09"},{"id":151,"name":"Denver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4"/>
        <v>start /low /b %USERPROFILE%\Documents\GitHub\eaglep3\Utilities\DownloadLogsFromS3.py --loco 4016 --day 2017-09-17</v>
      </c>
      <c r="AN141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02:06:09"},{"id":29,"name":"Sharepoint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Message%5C+ID:(*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-17T18:24:11-0600',mode:absolute,to:'2017-09-17T21:06:09-0600'))&amp;_a=(columns:!('Message%20ID',Summary),filters:!(),index:'emp_*',interval:auto,query:(query_string:(analyze_wildcard:!t,query:'Message%5C+ID:(*)+AND+%22rtdc.l.rtdc.4016%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789</v>
      </c>
      <c r="B142" s="7">
        <v>4001</v>
      </c>
      <c r="C142" s="21" t="s">
        <v>197</v>
      </c>
      <c r="D142" s="21" t="s">
        <v>935</v>
      </c>
      <c r="E142" s="13">
        <v>42995.839537037034</v>
      </c>
      <c r="F142" s="13">
        <v>42995.841979166667</v>
      </c>
      <c r="G142" s="7">
        <v>81</v>
      </c>
      <c r="H142" s="21" t="s">
        <v>339</v>
      </c>
      <c r="I142" s="13">
        <v>42995.867928240739</v>
      </c>
      <c r="J142" s="7">
        <v>0</v>
      </c>
      <c r="K142" s="89" t="str">
        <f t="shared" si="54"/>
        <v>4001/4002</v>
      </c>
      <c r="L142" s="186" t="str">
        <f>VLOOKUP(A142,'Trips&amp;Operators'!$C$1:$G$99911,5,FALSE)</f>
        <v>MAGEE KENYA</v>
      </c>
      <c r="M142" s="6">
        <f t="shared" si="55"/>
        <v>2.5949074071832001E-2</v>
      </c>
      <c r="N142" s="7">
        <f t="shared" si="51"/>
        <v>37.366666663438082</v>
      </c>
      <c r="O142" s="7"/>
      <c r="P142" s="7"/>
      <c r="Q142" s="22"/>
      <c r="R142" s="174" t="s">
        <v>979</v>
      </c>
      <c r="S142" s="222">
        <f t="shared" si="52"/>
        <v>1</v>
      </c>
      <c r="T142" s="174" t="str">
        <f t="shared" si="56"/>
        <v>Southbound</v>
      </c>
      <c r="U142" s="19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7" t="str">
        <f t="shared" si="57"/>
        <v>https://d0f6bd738d7f1b3e5a7ca70fe4ff75f0.us-east-1.aws.found.io/app/kibana#/discover/Steve-Slow-Train-Analysis-(2080s-and-2083s)?_g=(refreshInterval:(display:Off,pause:!f,section:0,value:0),time:(from:'2017-09-17T19:08:56-0600',mode:absolute,to:'2017-09-17T21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2" s="205" t="str">
        <f>IF(AA142&lt;VLOOKUP(AG142,Variables!$AC$3:$AD$8,2,FALSE),"Y","N")</f>
        <v>N</v>
      </c>
      <c r="X142" s="205">
        <f t="shared" si="53"/>
        <v>75</v>
      </c>
      <c r="Y142" s="205">
        <f t="shared" si="58"/>
        <v>23.309899999999999</v>
      </c>
      <c r="Z142" s="205">
        <f t="shared" si="59"/>
        <v>1.49E-2</v>
      </c>
      <c r="AA142" s="205">
        <f t="shared" si="60"/>
        <v>23.294999999999998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80">
        <f t="shared" si="61"/>
        <v>298</v>
      </c>
      <c r="AE142" s="77" t="str">
        <f t="shared" si="62"/>
        <v>aws s3 cp s3://rtdc.mdm.uploadarchive.raw/RTDC4001/ "%USERPROFILE%\AppData\Local\Temp\OnboardLogs"\RTDC4001\2017-09-17 --exclude "*" --recursive --include "*20170917*" &amp; "%USERPROFILE%\Documents\GitHub\mrs-test-scripts\Headless Mode &amp; Sideloading\WalkAndUnGZ.bat" "%USERPROFILE%\AppData\Local\Temp\OnboardLogs"\RTDC4001\2017-09-17 &amp; aws s3 cp s3://rtdc.mdm.uploadarchive.raw/RTDC4001/ "%USERPROFILE%\AppData\Local\Temp\OnboardLogs"\RTDC4001\2017-09-18 --exclude "*" --recursive --include "*20170918*" &amp; "%USERPROFILE%\Documents\GitHub\mrs-test-scripts\Headless Mode &amp; Sideloading\WalkAndUnGZ.bat" "%USERPROFILE%\AppData\Local\Temp\OnboardLogs"\RTDC4001\2017-09-18</v>
      </c>
      <c r="AF142" s="74" t="str">
        <f t="shared" si="63"/>
        <v>"C:\Program Files (x86)\AstroGrep\AstroGrep.exe" /e /r /s /spath="%USERPROFILE%\AppData\Local\Temp\OnboardLogs" /stypes="app*4001*20170918*" /stext=" 02:.+((SYSTEM_STATE.+slice.+state.+changed )|(ment ac)|(multiple cpu faults)|(system.+state.+changed )|(\[timeout)|(PRM\|1\|D)|(kpr)|(kdp)|(train st.+moving)|(\|lc)|(penalty))"</v>
      </c>
      <c r="AG142" s="183" t="str">
        <f t="shared" si="64"/>
        <v>EC</v>
      </c>
      <c r="AH142" s="78" t="str">
        <f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298-17 --locoid 4001 --swversion DE.1.0.9.0 --startMP 204:233099 --initTime 2017-09-17T20:08:56 --startdatetime 2017-09-17T20:12:27 --delay 81 --endMP 204:149 --enddatetime 2017-09-17T20:49:49 --enforcementcount 0 &gt;&gt;C:\Users\stu\Documents\GitHub\eaglep3-reporting\EC\2017-09-17-refined-times.txt</v>
      </c>
      <c r="AI142" s="96" t="str">
        <f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{"issue":{"subject":"Go Broncos","project_id":79,"tracker_id":40,"status_id":1,"priority_id":2,"assigned_to_id":338,"start_date":"2017-09-17","description":"","custom_fields":[{"id":1,"name":"Subdivision","value":"EC"},{"id":4,"name":"Milepost","value":"0.0149"},{"id":17,"name":"Train ID","value":"298-17"},{"id":16,"name":"Locomotive ID","value":"4001"},{"id":130,"name":"Impact","value":""},{"id":150,"name":"Time of Event (Mountain Time)","value":"20:49:49"},{"id":151,"name":"Denver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>"start /low /b "&amp;dls3logs&amp;" --loco "&amp;B142&amp;" --day "&amp;TEXT(F142,"YYYY-MM-DD")</f>
        <v>start /low /b %USERPROFILE%\Documents\GitHub\eaglep3\Utilities\DownloadLogsFromS3.py --loco 4001 --day 2017-09-17</v>
      </c>
      <c r="AN142" s="151" t="str">
        <f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{"issue":{"subject":"Go Broncos","project_id":30,"tracker_id":4,"status_id":1,"priority_id":1,"assigned_to_id":10,"start_date":"2017-09-18","description":"","custom_fields":[{"id":30,"name":"Category","value":"Issue"},{"id":3,"name":"Functional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02:49:49"},{"id":29,"name":"Sharepoint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Message%5C+ID:(*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-09-17T19:08:56-0600',mode:absolute,to:'2017-09-17T21:49:49-0600'))&amp;_a=(columns:!('Message%20ID',Summary),filters:!(),index:'emp_*',interval:auto,query:(query_string:(analyze_wildcard:!t,query:'Message%5C+ID:(*)+AND+%22rtdc.l.rtdc.4001%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791</v>
      </c>
      <c r="B143" s="7">
        <v>4015</v>
      </c>
      <c r="C143" s="21" t="s">
        <v>197</v>
      </c>
      <c r="D143" s="21" t="s">
        <v>927</v>
      </c>
      <c r="E143" s="13">
        <v>42995.84946759259</v>
      </c>
      <c r="F143" s="13">
        <v>42995.852326388886</v>
      </c>
      <c r="G143" s="7">
        <v>79</v>
      </c>
      <c r="H143" s="21" t="s">
        <v>436</v>
      </c>
      <c r="I143" s="13">
        <v>42995.877696759257</v>
      </c>
      <c r="J143" s="7">
        <v>0</v>
      </c>
      <c r="K143" s="89" t="str">
        <f t="shared" si="54"/>
        <v>4015/4016</v>
      </c>
      <c r="L143" s="186" t="str">
        <f>VLOOKUP(A143,'Trips&amp;Operators'!$C$1:$G$99911,5,FALSE)</f>
        <v>LOZA FIDEL</v>
      </c>
      <c r="M143" s="6">
        <f t="shared" si="55"/>
        <v>2.5370370371092577E-2</v>
      </c>
      <c r="N143" s="7">
        <f t="shared" si="51"/>
        <v>36.53333333437331</v>
      </c>
      <c r="O143" s="7"/>
      <c r="P143" s="7"/>
      <c r="Q143" s="22"/>
      <c r="R143" s="174"/>
      <c r="S143" s="222">
        <f t="shared" si="52"/>
        <v>1</v>
      </c>
      <c r="T143" s="174" t="str">
        <f t="shared" si="56"/>
        <v>Southbound</v>
      </c>
      <c r="U143" s="19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7" t="str">
        <f t="shared" si="57"/>
        <v>https://d0f6bd738d7f1b3e5a7ca70fe4ff75f0.us-east-1.aws.found.io/app/kibana#/discover/Steve-Slow-Train-Analysis-(2080s-and-2083s)?_g=(refreshInterval:(display:Off,pause:!f,section:0,value:0),time:(from:'2017-09-17T19:23:14-0600',mode:absolute,to:'2017-09-17T22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3" s="205" t="str">
        <f>IF(AA143&lt;VLOOKUP(AG143,Variables!$AC$3:$AD$8,2,FALSE),"Y","N")</f>
        <v>N</v>
      </c>
      <c r="X143" s="205">
        <f t="shared" si="53"/>
        <v>-74</v>
      </c>
      <c r="Y143" s="205">
        <f t="shared" si="58"/>
        <v>23.302099999999999</v>
      </c>
      <c r="Z143" s="205">
        <f t="shared" si="59"/>
        <v>1.54E-2</v>
      </c>
      <c r="AA143" s="205">
        <f t="shared" si="60"/>
        <v>23.2867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80">
        <f t="shared" si="61"/>
        <v>224</v>
      </c>
      <c r="AE143" s="77" t="str">
        <f t="shared" si="62"/>
        <v>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 &amp; 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</v>
      </c>
      <c r="AF143" s="74" t="str">
        <f t="shared" si="63"/>
        <v>"C:\Program Files (x86)\AstroGrep\AstroGrep.exe" /e /r /s /spath="%USERPROFILE%\AppData\Local\Temp\OnboardLogs" /stypes="app*4015*20170918*" /stext=" 03:.+((SYSTEM_STATE.+slice.+state.+changed )|(ment ac)|(multiple cpu faults)|(system.+state.+changed )|(\[timeout)|(PRM\|1\|D)|(kpr)|(kdp)|(train st.+moving)|(\|lc)|(penalty))"</v>
      </c>
      <c r="AG143" s="183" t="str">
        <f t="shared" si="64"/>
        <v>EC</v>
      </c>
      <c r="AH143" s="78" t="str">
        <f t="shared" si="42"/>
        <v>"%USERPROFILE%\Documents\GitHub\eaglep3\Utilities\RefineRTDCRunTimes.py" --tripid 224-17 --locoid 4015 --swversion DE.1.0.9.0 --startMP 204:233021 --initTime 2017-09-17T20:23:14 --startdatetime 2017-09-17T20:27:21 --delay 79 --endMP 204:154 --enddatetime 2017-09-17T21:03:53 --enforcementcount 0 &gt;&gt;C:\Users\stu\Documents\GitHub\eaglep3-reporting\EC\2017-09-17-refined-times.txt</v>
      </c>
      <c r="AI143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{"issue":{"subject":"","project_id":79,"tracker_id":40,"status_id":1,"priority_id":2,"assigned_to_id":338,"start_date":"2017-09-17","description":"","custom_fields":[{"id":1,"name":"Subdivision","value":"EC"},{"id":4,"name":"Milepost","value":"0.0154"},{"id":17,"name":"Train ID","value":"224-17"},{"id":16,"name":"Locomotive ID","value":"4015"},{"id":130,"name":"Impact","value":""},{"id":150,"name":"Time of Event (Mountain Time)","value":"21:03:53"},{"id":151,"name":"Denver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44"/>
        <v>start /low /b %USERPROFILE%\Documents\GitHub\eaglep3\Utilities\DownloadLogsFromS3.py --loco 4015 --day 2017-09-17</v>
      </c>
      <c r="AN143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03:03:53"},{"id":29,"name":"Sharepoint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Message%5C+ID:(*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-09-17T19:23:14-0600',mode:absolute,to:'2017-09-17T22:03:53-0600'))&amp;_a=(columns:!('Message%20ID',Summary),filters:!(),index:'emp_*',interval:auto,query:(query_string:(analyze_wildcard:!t,query:'Message%5C+ID:(*)+AND+%22rtdc.l.rtdc.4015%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601</v>
      </c>
      <c r="B144" s="7">
        <v>4028</v>
      </c>
      <c r="C144" s="21" t="s">
        <v>197</v>
      </c>
      <c r="D144" s="21" t="s">
        <v>451</v>
      </c>
      <c r="E144" s="13">
        <v>42995.827025462961</v>
      </c>
      <c r="F144" s="13">
        <v>42995.833506944444</v>
      </c>
      <c r="G144" s="7">
        <v>50</v>
      </c>
      <c r="H144" s="21" t="s">
        <v>928</v>
      </c>
      <c r="I144" s="13">
        <v>42995.858263888891</v>
      </c>
      <c r="J144" s="7">
        <v>0</v>
      </c>
      <c r="K144" s="89" t="str">
        <f t="shared" si="54"/>
        <v>4027/4028</v>
      </c>
      <c r="L144" s="186" t="str">
        <f>VLOOKUP(A144,'Trips&amp;Operators'!$C$1:$G$99911,5,FALSE)</f>
        <v>ELBAUM MIKE</v>
      </c>
      <c r="M144" s="6">
        <f t="shared" si="55"/>
        <v>2.4756944447290152E-2</v>
      </c>
      <c r="N144" s="7">
        <f t="shared" si="51"/>
        <v>35.650000004097819</v>
      </c>
      <c r="O144" s="7"/>
      <c r="P144" s="7"/>
      <c r="Q144" s="22"/>
      <c r="R144" s="174"/>
      <c r="S144" s="222">
        <f t="shared" si="52"/>
        <v>1</v>
      </c>
      <c r="T144" s="174" t="str">
        <f t="shared" si="56"/>
        <v>NorthBound</v>
      </c>
      <c r="U144" s="19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7" t="str">
        <f t="shared" si="57"/>
        <v>https://d0f6bd738d7f1b3e5a7ca70fe4ff75f0.us-east-1.aws.found.io/app/kibana#/discover/Steve-Slow-Train-Analysis-(2080s-and-2083s)?_g=(refreshInterval:(display:Off,pause:!f,section:0,value:0),time:(from:'2017-09-17T18:50:55-0600',mode:absolute,to:'2017-09-17T21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4" s="205" t="str">
        <f>IF(AA144&lt;VLOOKUP(AG144,Variables!$AC$3:$AD$8,2,FALSE),"Y","N")</f>
        <v>N</v>
      </c>
      <c r="X144" s="205">
        <f t="shared" si="53"/>
        <v>1</v>
      </c>
      <c r="Y144" s="205">
        <f t="shared" si="58"/>
        <v>4.8599999999999997E-2</v>
      </c>
      <c r="Z144" s="205">
        <f t="shared" si="59"/>
        <v>23.334</v>
      </c>
      <c r="AA144" s="205">
        <f t="shared" si="60"/>
        <v>23.285399999999999</v>
      </c>
      <c r="AB144" s="54" t="str">
        <f>VLOOKUP(A144,Enforcements!$C$7:$K$11,8,0)</f>
        <v>Speed (6)</v>
      </c>
      <c r="AC144" s="51" t="str">
        <f>VLOOKUP(A144,Enforcements!$C$7:$E$11,3,0)</f>
        <v>PERMANENT SPEED RESTRICTION</v>
      </c>
      <c r="AD144" s="180">
        <f t="shared" si="61"/>
        <v>225</v>
      </c>
      <c r="AE144" s="77" t="str">
        <f t="shared" si="62"/>
        <v>aws s3 cp s3://rtdc.mdm.uploadarchive.raw/RTDC4028/ "%USERPROFILE%\AppData\Local\Temp\OnboardLogs"\RTDC4028\2017-09-17 --exclude "*" --recursive --include "*20170917*" &amp; "%USERPROFILE%\Documents\GitHub\mrs-test-scripts\Headless Mode &amp; Sideloading\WalkAndUnGZ.bat" "%USERPROFILE%\AppData\Local\Temp\OnboardLogs"\RTDC4028\2017-09-17 &amp; 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</v>
      </c>
      <c r="AF144" s="74" t="str">
        <f t="shared" si="63"/>
        <v>"C:\Program Files (x86)\AstroGrep\AstroGrep.exe" /e /r /s /spath="%USERPROFILE%\AppData\Local\Temp\OnboardLogs" /stypes="app*4028*20170918*" /stext=" 02:.+((SYSTEM_STATE.+slice.+state.+changed )|(ment ac)|(multiple cpu faults)|(system.+state.+changed )|(\[timeout)|(PRM\|1\|D)|(kpr)|(kdp)|(train st.+moving)|(\|lc)|(penalty))"</v>
      </c>
      <c r="AG144" s="183" t="str">
        <f t="shared" si="64"/>
        <v>EC</v>
      </c>
      <c r="AH144" s="78" t="str">
        <f t="shared" si="42"/>
        <v>"%USERPROFILE%\Documents\GitHub\eaglep3\Utilities\RefineRTDCRunTimes.py" --tripid 225-17 --locoid 4028 --swversion DE.1.0.9.0 --startMP 204:486 --initTime 2017-09-17T19:50:55 --startdatetime 2017-09-17T20:00:15 --delay 50 --endMP 204:233340 --enddatetime 2017-09-17T20:35:54 --enforcementcount 0 &gt;&gt;C:\Users\stu\Documents\GitHub\eaglep3-reporting\EC\2017-09-17-refined-times.txt</v>
      </c>
      <c r="AI144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{"issue":{"subject":"","project_id":79,"tracker_id":40,"status_id":1,"priority_id":2,"assigned_to_id":338,"start_date":"2017-09-17","description":"","custom_fields":[{"id":1,"name":"Subdivision","value":"EC"},{"id":4,"name":"Milepost","value":"23.334"},{"id":17,"name":"Train ID","value":"225-17"},{"id":16,"name":"Locomotive ID","value":"4028"},{"id":130,"name":"Impact","value":""},{"id":150,"name":"Time of Event (Mountain Time)","value":"20:35:54"},{"id":151,"name":"Denver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44"/>
        <v>start /low /b %USERPROFILE%\Documents\GitHub\eaglep3\Utilities\DownloadLogsFromS3.py --loco 4028 --day 2017-09-17</v>
      </c>
      <c r="AN144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02:35:54"},{"id":29,"name":"Sharepoint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Message%5C+ID:(*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-09-17T18:50:55-0600',mode:absolute,to:'2017-09-17T21:35:54-0600'))&amp;_a=(columns:!('Message%20ID',Summary),filters:!(),index:'emp_*',interval:auto,query:(query_string:(analyze_wildcard:!t,query:'Message%5C+ID:(*)+AND+%22rtdc.l.rtdc.4028%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602</v>
      </c>
      <c r="B145" s="7">
        <v>4027</v>
      </c>
      <c r="C145" s="21" t="s">
        <v>197</v>
      </c>
      <c r="D145" s="21" t="s">
        <v>822</v>
      </c>
      <c r="E145" s="13">
        <v>42995.8593287037</v>
      </c>
      <c r="F145" s="13">
        <v>42995.873090277775</v>
      </c>
      <c r="G145" s="7">
        <v>55</v>
      </c>
      <c r="H145" s="21" t="s">
        <v>364</v>
      </c>
      <c r="I145" s="13">
        <v>42995.899143518516</v>
      </c>
      <c r="J145" s="7">
        <v>0</v>
      </c>
      <c r="K145" s="89" t="str">
        <f t="shared" si="54"/>
        <v>4027/4028</v>
      </c>
      <c r="L145" s="186" t="str">
        <f>VLOOKUP(A145,'Trips&amp;Operators'!$C$1:$G$99911,5,FALSE)</f>
        <v>ELBAUM MIKE</v>
      </c>
      <c r="M145" s="6">
        <f t="shared" si="55"/>
        <v>2.6053240741021E-2</v>
      </c>
      <c r="N145" s="7">
        <f t="shared" si="51"/>
        <v>37.51666666707024</v>
      </c>
      <c r="O145" s="7"/>
      <c r="P145" s="7"/>
      <c r="Q145" s="22"/>
      <c r="R145" s="174"/>
      <c r="S145" s="222">
        <f t="shared" si="52"/>
        <v>1</v>
      </c>
      <c r="T145" s="174" t="str">
        <f t="shared" si="56"/>
        <v>Southbound</v>
      </c>
      <c r="U145" s="19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7" t="str">
        <f t="shared" si="57"/>
        <v>https://d0f6bd738d7f1b3e5a7ca70fe4ff75f0.us-east-1.aws.found.io/app/kibana#/discover/Steve-Slow-Train-Analysis-(2080s-and-2083s)?_g=(refreshInterval:(display:Off,pause:!f,section:0,value:0),time:(from:'2017-09-17T19:37:26-0600',mode:absolute,to:'2017-09-17T22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5" s="205" t="str">
        <f>IF(AA145&lt;VLOOKUP(AG145,Variables!$AC$3:$AD$8,2,FALSE),"Y","N")</f>
        <v>N</v>
      </c>
      <c r="X145" s="205">
        <f t="shared" si="53"/>
        <v>1</v>
      </c>
      <c r="Y145" s="205">
        <f t="shared" si="58"/>
        <v>23.3017</v>
      </c>
      <c r="Z145" s="205">
        <f t="shared" si="59"/>
        <v>1.4500000000000001E-2</v>
      </c>
      <c r="AA145" s="205">
        <f t="shared" si="60"/>
        <v>23.287199999999999</v>
      </c>
      <c r="AB145" s="54" t="str">
        <f>VLOOKUP(A145,Enforcements!$C$7:$K$11,8,0)</f>
        <v>Bulletin (2)</v>
      </c>
      <c r="AC145" s="51" t="str">
        <f>VLOOKUP(A145,Enforcements!$C$7:$E$11,3,0)</f>
        <v>GRADE CROSSING</v>
      </c>
      <c r="AD145" s="180">
        <f t="shared" si="61"/>
        <v>226</v>
      </c>
      <c r="AE145" s="77" t="str">
        <f t="shared" si="62"/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AF145" s="74" t="str">
        <f t="shared" si="63"/>
        <v>"C:\Program Files (x86)\AstroGrep\AstroGrep.exe" /e /r /s /spath="%USERPROFILE%\AppData\Local\Temp\OnboardLogs" /stypes="app*4027*20170918*" /stext=" 03:.+((SYSTEM_STATE.+slice.+state.+changed )|(ment ac)|(multiple cpu faults)|(system.+state.+changed )|(\[timeout)|(PRM\|1\|D)|(kpr)|(kdp)|(train st.+moving)|(\|lc)|(penalty))"</v>
      </c>
      <c r="AG145" s="183" t="str">
        <f t="shared" si="64"/>
        <v>EC</v>
      </c>
      <c r="AH145" s="78" t="str">
        <f t="shared" si="42"/>
        <v>"%USERPROFILE%\Documents\GitHub\eaglep3\Utilities\RefineRTDCRunTimes.py" --tripid 226-17 --locoid 4027 --swversion DE.1.0.9.0 --startMP 204:233017 --initTime 2017-09-17T20:37:26 --startdatetime 2017-09-17T20:57:15 --delay 55 --endMP 204:145 --enddatetime 2017-09-17T21:34:46 --enforcementcount 0 &gt;&gt;C:\Users\stu\Documents\GitHub\eaglep3-reporting\EC\2017-09-17-refined-times.txt</v>
      </c>
      <c r="AI145" s="96" t="str">
        <f t="shared" si="43"/>
        <v>echo {"issue":{"subject":"","project_id":79,"tracker_id":40,"status_id":1,"priority_id":2,"assigned_to_id":338,"start_date":"2017-09-17","description":"","custom_fields":[{"id":1,"name":"Subdivision","value":"EC"},{"id":4,"name":"Milepost","value":"0.0145"},{"id":17,"name":"Train ID","value":"226-17"},{"id":16,"name":"Locomotive ID","value":"4027"},{"id":130,"name":"Impact","value":""},{"id":150,"name":"Time of Event (Mountain Time)","value":"21:34:46"},{"id":151,"name":"Denver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44"/>
        <v>start /low /b %USERPROFILE%\Documents\GitHub\eaglep3\Utilities\DownloadLogsFromS3.py --loco 4027 --day 2017-09-17</v>
      </c>
      <c r="AN145" s="151" t="str">
        <f t="shared" si="45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03:34:46"},{"id":29,"name":"Sharepoint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Message%5C+ID:(*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-09-17T19:37:26-0600',mode:absolute,to:'2017-09-17T22:34:46-0600'))&amp;_a=(columns:!('Message%20ID',Summary),filters:!(),index:'emp_*',interval:auto,query:(query_string:(analyze_wildcard:!t,query:'Message%5C+ID:(*)+AND+%22rtdc.l.rtdc.4027%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788</v>
      </c>
      <c r="B146" s="7">
        <v>4056</v>
      </c>
      <c r="C146" s="21" t="s">
        <v>197</v>
      </c>
      <c r="D146" s="21" t="s">
        <v>449</v>
      </c>
      <c r="E146" s="13">
        <v>42995.838587962964</v>
      </c>
      <c r="F146" s="13">
        <v>42995.85460648148</v>
      </c>
      <c r="G146" s="7">
        <v>70</v>
      </c>
      <c r="H146" s="21" t="s">
        <v>456</v>
      </c>
      <c r="I146" s="13">
        <v>42995.879594907405</v>
      </c>
      <c r="J146" s="7">
        <v>0</v>
      </c>
      <c r="K146" s="89" t="str">
        <f t="shared" si="54"/>
        <v>4055/4056</v>
      </c>
      <c r="L146" s="186" t="str">
        <f>VLOOKUP(A146,'Trips&amp;Operators'!$C$1:$G$99911,5,FALSE)</f>
        <v>DUNCAN SHEILA</v>
      </c>
      <c r="M146" s="6">
        <f t="shared" si="55"/>
        <v>2.4988425924675539E-2</v>
      </c>
      <c r="N146" s="7">
        <f t="shared" si="51"/>
        <v>35.983333331532776</v>
      </c>
      <c r="O146" s="7"/>
      <c r="P146" s="7"/>
      <c r="Q146" s="22"/>
      <c r="R146" s="174"/>
      <c r="S146" s="222">
        <f t="shared" si="52"/>
        <v>1</v>
      </c>
      <c r="T146" s="174" t="str">
        <f t="shared" si="56"/>
        <v>NorthBound</v>
      </c>
      <c r="U146" s="19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7" t="str">
        <f t="shared" si="57"/>
        <v>https://d0f6bd738d7f1b3e5a7ca70fe4ff75f0.us-east-1.aws.found.io/app/kibana#/discover/Steve-Slow-Train-Analysis-(2080s-and-2083s)?_g=(refreshInterval:(display:Off,pause:!f,section:0,value:0),time:(from:'2017-09-17T19:07:34-0600',mode:absolute,to:'2017-09-17T22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6" s="205" t="str">
        <f>IF(AA146&lt;VLOOKUP(AG146,Variables!$AC$3:$AD$8,2,FALSE),"Y","N")</f>
        <v>N</v>
      </c>
      <c r="X146" s="205">
        <f t="shared" si="53"/>
        <v>1</v>
      </c>
      <c r="Y146" s="205">
        <f t="shared" si="58"/>
        <v>4.4699999999999997E-2</v>
      </c>
      <c r="Z146" s="205">
        <f t="shared" si="59"/>
        <v>23.334700000000002</v>
      </c>
      <c r="AA146" s="205">
        <f t="shared" si="60"/>
        <v>23.290000000000003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80">
        <f t="shared" si="61"/>
        <v>227</v>
      </c>
      <c r="AE146" s="77" t="str">
        <f t="shared" si="62"/>
        <v>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 &amp; aws s3 cp s3://rtdc.mdm.uploadarchive.raw/RTDC4056/ "%USERPROFILE%\AppData\Local\Temp\OnboardLogs"\RTDC4056\2017-09-18 --exclude "*" --recursive --include "*20170918*" &amp; "%USERPROFILE%\Documents\GitHub\mrs-test-scripts\Headless Mode &amp; Sideloading\WalkAndUnGZ.bat" "%USERPROFILE%\AppData\Local\Temp\OnboardLogs"\RTDC4056\2017-09-18</v>
      </c>
      <c r="AF146" s="74" t="str">
        <f t="shared" si="63"/>
        <v>"C:\Program Files (x86)\AstroGrep\AstroGrep.exe" /e /r /s /spath="%USERPROFILE%\AppData\Local\Temp\OnboardLogs" /stypes="app*4056*20170918*" /stext=" 03:.+((SYSTEM_STATE.+slice.+state.+changed )|(ment ac)|(multiple cpu faults)|(system.+state.+changed )|(\[timeout)|(PRM\|1\|D)|(kpr)|(kdp)|(train st.+moving)|(\|lc)|(penalty))"</v>
      </c>
      <c r="AG146" s="183" t="str">
        <f t="shared" si="64"/>
        <v>EC</v>
      </c>
      <c r="AH146" s="78" t="str">
        <f t="shared" ref="AH146:AH206" si="65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227-17 --locoid 4056 --swversion DE.1.0.9.0 --startMP 204:447 --initTime 2017-09-17T20:07:34 --startdatetime 2017-09-17T20:30:38 --delay 70 --endMP 204:233347 --enddatetime 2017-09-17T21:06:37 --enforcementcount 0 &gt;&gt;C:\Users\stu\Documents\GitHub\eaglep3-reporting\EC\2017-09-17-refined-times.txt</v>
      </c>
      <c r="AI146" s="96" t="str">
        <f t="shared" ref="AI146:AI206" si="66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{"issue":{"subject":"","project_id":79,"tracker_id":40,"status_id":1,"priority_id":2,"assigned_to_id":338,"start_date":"2017-09-17","description":"","custom_fields":[{"id":1,"name":"Subdivision","value":"EC"},{"id":4,"name":"Milepost","value":"23.3347"},{"id":17,"name":"Train ID","value":"227-17"},{"id":16,"name":"Locomotive ID","value":"4056"},{"id":130,"name":"Impact","value":""},{"id":150,"name":"Time of Event (Mountain Time)","value":"21:06:37"},{"id":151,"name":"Denver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ref="AM146:AM206" si="67">"start /low /b "&amp;dls3logs&amp;" --loco "&amp;B146&amp;" --day "&amp;TEXT(F146,"YYYY-MM-DD")</f>
        <v>start /low /b %USERPROFILE%\Documents\GitHub\eaglep3\Utilities\DownloadLogsFromS3.py --loco 4056 --day 2017-09-17</v>
      </c>
      <c r="AN146" s="151" t="str">
        <f t="shared" ref="AN146:AN206" si="68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03:06:37"},{"id":29,"name":"Sharepoint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Message%5C+ID:(*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-09-17T19:07:34-0600',mode:absolute,to:'2017-09-17T22:06:37-0600'))&amp;_a=(columns:!('Message%20ID',Summary),filters:!(),index:'emp_*',interval:auto,query:(query_string:(analyze_wildcard:!t,query:'Message%5C+ID:(*)+AND+%22rtdc.l.rtdc.4056%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796</v>
      </c>
      <c r="B147" s="7">
        <v>4055</v>
      </c>
      <c r="C147" s="21" t="s">
        <v>197</v>
      </c>
      <c r="D147" s="21" t="s">
        <v>929</v>
      </c>
      <c r="E147" s="13">
        <v>42995.880648148152</v>
      </c>
      <c r="F147" s="13">
        <v>42995.894155092596</v>
      </c>
      <c r="G147" s="7">
        <v>50</v>
      </c>
      <c r="H147" s="21" t="s">
        <v>338</v>
      </c>
      <c r="I147" s="13">
        <v>42995.920451388891</v>
      </c>
      <c r="J147" s="7">
        <v>0</v>
      </c>
      <c r="K147" s="89" t="str">
        <f t="shared" si="54"/>
        <v>4055/4056</v>
      </c>
      <c r="L147" s="186" t="str">
        <f>VLOOKUP(A147,'Trips&amp;Operators'!$C$1:$G$99911,5,FALSE)</f>
        <v>DUNCAN SHEILA</v>
      </c>
      <c r="M147" s="6">
        <f t="shared" si="55"/>
        <v>2.6296296295186039E-2</v>
      </c>
      <c r="N147" s="7">
        <f t="shared" si="51"/>
        <v>37.866666665067896</v>
      </c>
      <c r="O147" s="7"/>
      <c r="P147" s="7"/>
      <c r="Q147" s="22"/>
      <c r="R147" s="174"/>
      <c r="S147" s="222">
        <f t="shared" si="52"/>
        <v>1</v>
      </c>
      <c r="T147" s="174" t="str">
        <f t="shared" si="56"/>
        <v>Southbound</v>
      </c>
      <c r="U147" s="19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7" t="str">
        <f t="shared" si="57"/>
        <v>https://d0f6bd738d7f1b3e5a7ca70fe4ff75f0.us-east-1.aws.found.io/app/kibana#/discover/Steve-Slow-Train-Analysis-(2080s-and-2083s)?_g=(refreshInterval:(display:Off,pause:!f,section:0,value:0),time:(from:'2017-09-17T20:08:08-0600',mode:absolute,to:'2017-09-17T23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7" s="205" t="str">
        <f>IF(AA147&lt;VLOOKUP(AG147,Variables!$AC$3:$AD$8,2,FALSE),"Y","N")</f>
        <v>N</v>
      </c>
      <c r="X147" s="205">
        <f t="shared" ref="X147:X163" si="69">VALUE(LEFT(AD147,4))-VALUE(LEFT(AD146,4))</f>
        <v>1</v>
      </c>
      <c r="Y147" s="205">
        <f t="shared" si="58"/>
        <v>23.303799999999999</v>
      </c>
      <c r="Z147" s="205">
        <f t="shared" si="59"/>
        <v>1.4999999999999999E-2</v>
      </c>
      <c r="AA147" s="205">
        <f t="shared" si="60"/>
        <v>23.288799999999998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80">
        <f t="shared" si="61"/>
        <v>228</v>
      </c>
      <c r="AE147" s="77" t="str">
        <f t="shared" si="62"/>
        <v>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 &amp; aws s3 cp s3://rtdc.mdm.uploadarchive.raw/RTDC4055/ "%USERPROFILE%\AppData\Local\Temp\OnboardLogs"\RTDC4055\2017-09-18 --exclude "*" --recursive --include "*20170918*" &amp; "%USERPROFILE%\Documents\GitHub\mrs-test-scripts\Headless Mode &amp; Sideloading\WalkAndUnGZ.bat" "%USERPROFILE%\AppData\Local\Temp\OnboardLogs"\RTDC4055\2017-09-18</v>
      </c>
      <c r="AF147" s="74" t="str">
        <f t="shared" si="63"/>
        <v>"C:\Program Files (x86)\AstroGrep\AstroGrep.exe" /e /r /s /spath="%USERPROFILE%\AppData\Local\Temp\OnboardLogs" /stypes="app*4055*20170918*" /stext=" 04:.+((SYSTEM_STATE.+slice.+state.+changed )|(ment ac)|(multiple cpu faults)|(system.+state.+changed )|(\[timeout)|(PRM\|1\|D)|(kpr)|(kdp)|(train st.+moving)|(\|lc)|(penalty))"</v>
      </c>
      <c r="AG147" s="183" t="str">
        <f t="shared" si="64"/>
        <v>EC</v>
      </c>
      <c r="AH147" s="78" t="str">
        <f t="shared" si="65"/>
        <v>"%USERPROFILE%\Documents\GitHub\eaglep3\Utilities\RefineRTDCRunTimes.py" --tripid 228-17 --locoid 4055 --swversion DE.1.0.9.0 --startMP 204:233038 --initTime 2017-09-17T21:08:08 --startdatetime 2017-09-17T21:27:35 --delay 50 --endMP 204:150 --enddatetime 2017-09-17T22:05:27 --enforcementcount 0 &gt;&gt;C:\Users\stu\Documents\GitHub\eaglep3-reporting\EC\2017-09-17-refined-times.txt</v>
      </c>
      <c r="AI147" s="96" t="str">
        <f t="shared" si="66"/>
        <v>echo {"issue":{"subject":"","project_id":79,"tracker_id":40,"status_id":1,"priority_id":2,"assigned_to_id":338,"start_date":"2017-09-17","description":"","custom_fields":[{"id":1,"name":"Subdivision","value":"EC"},{"id":4,"name":"Milepost","value":"0.015"},{"id":17,"name":"Train ID","value":"228-17"},{"id":16,"name":"Locomotive ID","value":"4055"},{"id":130,"name":"Impact","value":""},{"id":150,"name":"Time of Event (Mountain Time)","value":"22:05:27"},{"id":151,"name":"Denver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7"/>
        <v>start /low /b %USERPROFILE%\Documents\GitHub\eaglep3\Utilities\DownloadLogsFromS3.py --loco 4055 --day 2017-09-17</v>
      </c>
      <c r="AN147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04:05:27"},{"id":29,"name":"Sharepoint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Message%5C+ID:(*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-09-17T20:08:08-0600',mode:absolute,to:'2017-09-17T23:05:27-0600'))&amp;_a=(columns:!('Message%20ID',Summary),filters:!(),index:'emp_*',interval:auto,query:(query_string:(analyze_wildcard:!t,query:'Message%5C+ID:(*)+AND+%22rtdc.l.rtdc.4055%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603</v>
      </c>
      <c r="B148" s="7">
        <v>4060</v>
      </c>
      <c r="C148" s="21" t="s">
        <v>197</v>
      </c>
      <c r="D148" s="21" t="s">
        <v>420</v>
      </c>
      <c r="E148" s="13">
        <v>42995.860115740739</v>
      </c>
      <c r="F148" s="13">
        <v>42995.875289351854</v>
      </c>
      <c r="G148" s="7">
        <v>62</v>
      </c>
      <c r="H148" s="21" t="s">
        <v>930</v>
      </c>
      <c r="I148" s="13">
        <v>42995.899942129632</v>
      </c>
      <c r="J148" s="7">
        <v>0</v>
      </c>
      <c r="K148" s="89" t="str">
        <f t="shared" si="54"/>
        <v>4059/4060</v>
      </c>
      <c r="L148" s="186" t="str">
        <f>VLOOKUP(A148,'Trips&amp;Operators'!$C$1:$G$99911,5,FALSE)</f>
        <v>STAMBAUGH JAMES</v>
      </c>
      <c r="M148" s="6">
        <f t="shared" si="55"/>
        <v>2.4652777778101154E-2</v>
      </c>
      <c r="N148" s="7">
        <f t="shared" si="51"/>
        <v>35.500000000465661</v>
      </c>
      <c r="O148" s="7"/>
      <c r="P148" s="7"/>
      <c r="Q148" s="22"/>
      <c r="R148" s="174"/>
      <c r="S148" s="222">
        <f t="shared" si="52"/>
        <v>1</v>
      </c>
      <c r="T148" s="174" t="str">
        <f t="shared" si="56"/>
        <v>NorthBound</v>
      </c>
      <c r="U148" s="19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7" t="str">
        <f t="shared" si="57"/>
        <v>https://d0f6bd738d7f1b3e5a7ca70fe4ff75f0.us-east-1.aws.found.io/app/kibana#/discover/Steve-Slow-Train-Analysis-(2080s-and-2083s)?_g=(refreshInterval:(display:Off,pause:!f,section:0,value:0),time:(from:'2017-09-17T19:38:34-0600',mode:absolute,to:'2017-09-17T22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8" s="205" t="str">
        <f>IF(AA148&lt;VLOOKUP(AG148,Variables!$AC$3:$AD$8,2,FALSE),"Y","N")</f>
        <v>N</v>
      </c>
      <c r="X148" s="205">
        <f t="shared" si="69"/>
        <v>1</v>
      </c>
      <c r="Y148" s="205">
        <f t="shared" si="58"/>
        <v>4.4400000000000002E-2</v>
      </c>
      <c r="Z148" s="205">
        <f t="shared" si="59"/>
        <v>23.344899999999999</v>
      </c>
      <c r="AA148" s="205">
        <f t="shared" si="60"/>
        <v>23.3005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80">
        <f t="shared" si="61"/>
        <v>229</v>
      </c>
      <c r="AE148" s="77" t="str">
        <f t="shared" si="62"/>
        <v>aws s3 cp s3://rtdc.mdm.uploadarchive.raw/RTDC4060/ "%USERPROFILE%\AppData\Local\Temp\OnboardLogs"\RTDC4060\2017-09-17 --exclude "*" --recursive --include "*20170917*" &amp; "%USERPROFILE%\Documents\GitHub\mrs-test-scripts\Headless Mode &amp; Sideloading\WalkAndUnGZ.bat" "%USERPROFILE%\AppData\Local\Temp\OnboardLogs"\RTDC4060\2017-09-17 &amp; aws s3 cp s3://rtdc.mdm.uploadarchive.raw/RTDC4060/ "%USERPROFILE%\AppData\Local\Temp\OnboardLogs"\RTDC4060\2017-09-18 --exclude "*" --recursive --include "*20170918*" &amp; "%USERPROFILE%\Documents\GitHub\mrs-test-scripts\Headless Mode &amp; Sideloading\WalkAndUnGZ.bat" "%USERPROFILE%\AppData\Local\Temp\OnboardLogs"\RTDC4060\2017-09-18</v>
      </c>
      <c r="AF148" s="74" t="str">
        <f t="shared" si="63"/>
        <v>"C:\Program Files (x86)\AstroGrep\AstroGrep.exe" /e /r /s /spath="%USERPROFILE%\AppData\Local\Temp\OnboardLogs" /stypes="app*4060*20170918*" /stext=" 03:.+((SYSTEM_STATE.+slice.+state.+changed )|(ment ac)|(multiple cpu faults)|(system.+state.+changed )|(\[timeout)|(PRM\|1\|D)|(kpr)|(kdp)|(train st.+moving)|(\|lc)|(penalty))"</v>
      </c>
      <c r="AG148" s="183" t="str">
        <f t="shared" si="64"/>
        <v>EC</v>
      </c>
      <c r="AH148" s="78" t="str">
        <f t="shared" si="65"/>
        <v>"%USERPROFILE%\Documents\GitHub\eaglep3\Utilities\RefineRTDCRunTimes.py" --tripid 229-17 --locoid 4060 --swversion DE.1.0.9.0 --startMP 204:444 --initTime 2017-09-17T20:38:34 --startdatetime 2017-09-17T21:00:25 --delay 62 --endMP 204:233449 --enddatetime 2017-09-17T21:35:55 --enforcementcount 0 &gt;&gt;C:\Users\stu\Documents\GitHub\eaglep3-reporting\EC\2017-09-17-refined-times.txt</v>
      </c>
      <c r="AI148" s="96" t="str">
        <f t="shared" si="66"/>
        <v>echo {"issue":{"subject":"","project_id":79,"tracker_id":40,"status_id":1,"priority_id":2,"assigned_to_id":338,"start_date":"2017-09-17","description":"","custom_fields":[{"id":1,"name":"Subdivision","value":"EC"},{"id":4,"name":"Milepost","value":"23.3449"},{"id":17,"name":"Train ID","value":"229-17"},{"id":16,"name":"Locomotive ID","value":"4060"},{"id":130,"name":"Impact","value":""},{"id":150,"name":"Time of Event (Mountain Time)","value":"21:35:55"},{"id":151,"name":"Denver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7"/>
        <v>start /low /b %USERPROFILE%\Documents\GitHub\eaglep3\Utilities\DownloadLogsFromS3.py --loco 4060 --day 2017-09-17</v>
      </c>
      <c r="AN148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Message%5C+ID:(*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-09-17T19:38:34-0600',mode:absolute,to:'2017-09-17T22:35:55-0600'))&amp;_a=(columns:!('Message%20ID',Summary),filters:!(),index:'emp_*',interval:auto,query:(query_string:(analyze_wildcard:!t,query:'Message%5C+ID:(*)+AND+%22rtdc.l.rtdc.4060%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798</v>
      </c>
      <c r="B149" s="7">
        <v>4059</v>
      </c>
      <c r="C149" s="21" t="s">
        <v>197</v>
      </c>
      <c r="D149" s="21" t="s">
        <v>931</v>
      </c>
      <c r="E149" s="13">
        <v>42995.911817129629</v>
      </c>
      <c r="F149" s="13">
        <v>42995.914872685185</v>
      </c>
      <c r="G149" s="7">
        <v>56</v>
      </c>
      <c r="H149" s="21" t="s">
        <v>343</v>
      </c>
      <c r="I149" s="13">
        <v>42995.941620370373</v>
      </c>
      <c r="J149" s="7">
        <v>0</v>
      </c>
      <c r="K149" s="89" t="str">
        <f t="shared" si="54"/>
        <v>4059/4060</v>
      </c>
      <c r="L149" s="186" t="str">
        <f>VLOOKUP(A149,'Trips&amp;Operators'!$C$1:$G$99911,5,FALSE)</f>
        <v>STAMBAUGH JAMES</v>
      </c>
      <c r="M149" s="6">
        <f t="shared" si="55"/>
        <v>2.6747685187729076E-2</v>
      </c>
      <c r="N149" s="7">
        <f t="shared" si="51"/>
        <v>38.516666670329869</v>
      </c>
      <c r="O149" s="7"/>
      <c r="P149" s="7"/>
      <c r="Q149" s="22"/>
      <c r="R149" s="174"/>
      <c r="S149" s="222">
        <f t="shared" si="52"/>
        <v>1</v>
      </c>
      <c r="T149" s="174" t="str">
        <f t="shared" si="56"/>
        <v>Southbound</v>
      </c>
      <c r="U149" s="19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7" t="str">
        <f t="shared" si="57"/>
        <v>https://d0f6bd738d7f1b3e5a7ca70fe4ff75f0.us-east-1.aws.found.io/app/kibana#/discover/Steve-Slow-Train-Analysis-(2080s-and-2083s)?_g=(refreshInterval:(display:Off,pause:!f,section:0,value:0),time:(from:'2017-09-17T20:53:01-0600',mode:absolute,to:'2017-09-17T23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9" s="205" t="str">
        <f>IF(AA149&lt;VLOOKUP(AG149,Variables!$AC$3:$AD$8,2,FALSE),"Y","N")</f>
        <v>N</v>
      </c>
      <c r="X149" s="205">
        <f t="shared" si="69"/>
        <v>1</v>
      </c>
      <c r="Y149" s="205">
        <f t="shared" si="58"/>
        <v>23.316400000000002</v>
      </c>
      <c r="Z149" s="205">
        <f t="shared" si="59"/>
        <v>1.47E-2</v>
      </c>
      <c r="AA149" s="205">
        <f t="shared" si="60"/>
        <v>23.3017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80">
        <f t="shared" si="61"/>
        <v>230</v>
      </c>
      <c r="AE149" s="77" t="str">
        <f t="shared" si="62"/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AF149" s="74" t="str">
        <f t="shared" si="63"/>
        <v>"C:\Program Files (x86)\AstroGrep\AstroGrep.exe" /e /r /s /spath="%USERPROFILE%\AppData\Local\Temp\OnboardLogs" /stypes="app*4059*20170918*" /stext=" 04:.+((SYSTEM_STATE.+slice.+state.+changed )|(ment ac)|(multiple cpu faults)|(system.+state.+changed )|(\[timeout)|(PRM\|1\|D)|(kpr)|(kdp)|(train st.+moving)|(\|lc)|(penalty))"</v>
      </c>
      <c r="AG149" s="183" t="str">
        <f t="shared" si="64"/>
        <v>EC</v>
      </c>
      <c r="AH149" s="78" t="str">
        <f t="shared" si="65"/>
        <v>"%USERPROFILE%\Documents\GitHub\eaglep3\Utilities\RefineRTDCRunTimes.py" --tripid 230-17 --locoid 4059 --swversion DE.1.0.9.0 --startMP 204:233164 --initTime 2017-09-17T21:53:01 --startdatetime 2017-09-17T21:57:25 --delay 56 --endMP 204:147 --enddatetime 2017-09-17T22:35:56 --enforcementcount 0 &gt;&gt;C:\Users\stu\Documents\GitHub\eaglep3-reporting\EC\2017-09-17-refined-times.txt</v>
      </c>
      <c r="AI149" s="96" t="str">
        <f t="shared" si="66"/>
        <v>echo {"issue":{"subject":"","project_id":79,"tracker_id":40,"status_id":1,"priority_id":2,"assigned_to_id":338,"start_date":"2017-09-17","description":"","custom_fields":[{"id":1,"name":"Subdivision","value":"EC"},{"id":4,"name":"Milepost","value":"0.0147"},{"id":17,"name":"Train ID","value":"230-17"},{"id":16,"name":"Locomotive ID","value":"4059"},{"id":130,"name":"Impact","value":""},{"id":150,"name":"Time of Event (Mountain Time)","value":"22:35:56"},{"id":151,"name":"Denver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7"/>
        <v>start /low /b %USERPROFILE%\Documents\GitHub\eaglep3\Utilities\DownloadLogsFromS3.py --loco 4059 --day 2017-09-17</v>
      </c>
      <c r="AN149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04:35:56"},{"id":29,"name":"Sharepoint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Message%5C+ID:(*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-09-17T20:53:01-0600',mode:absolute,to:'2017-09-17T23:35:56-0600'))&amp;_a=(columns:!('Message%20ID',Summary),filters:!(),index:'emp_*',interval:auto,query:(query_string:(analyze_wildcard:!t,query:'Message%5C+ID:(*)+AND+%22rtdc.l.rtdc.4059%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795</v>
      </c>
      <c r="B150" s="7">
        <v>4016</v>
      </c>
      <c r="C150" s="21" t="s">
        <v>197</v>
      </c>
      <c r="D150" s="21" t="s">
        <v>358</v>
      </c>
      <c r="E150" s="13">
        <v>42995.879328703704</v>
      </c>
      <c r="F150" s="13">
        <v>42995.896099537036</v>
      </c>
      <c r="G150" s="7">
        <v>56</v>
      </c>
      <c r="H150" s="21" t="s">
        <v>539</v>
      </c>
      <c r="I150" s="13">
        <v>42995.922731481478</v>
      </c>
      <c r="J150" s="7">
        <v>0</v>
      </c>
      <c r="K150" s="89" t="str">
        <f t="shared" si="54"/>
        <v>4015/4016</v>
      </c>
      <c r="L150" s="186" t="str">
        <f>VLOOKUP(A150,'Trips&amp;Operators'!$C$1:$G$99911,5,FALSE)</f>
        <v>LOZA FIDEL</v>
      </c>
      <c r="M150" s="6">
        <f t="shared" si="55"/>
        <v>2.6631944441760425E-2</v>
      </c>
      <c r="N150" s="7"/>
      <c r="O150" s="7"/>
      <c r="P150" s="7"/>
      <c r="Q150" s="22"/>
      <c r="R150" s="174"/>
      <c r="S150" s="222"/>
      <c r="T150" s="174" t="str">
        <f t="shared" si="56"/>
        <v>NorthBound</v>
      </c>
      <c r="U150" s="19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217" t="str">
        <f t="shared" si="57"/>
        <v>https://d0f6bd738d7f1b3e5a7ca70fe4ff75f0.us-east-1.aws.found.io/app/kibana#/discover/Steve-Slow-Train-Analysis-(2080s-and-2083s)?_g=(refreshInterval:(display:Off,pause:!f,section:0,value:0),time:(from:'2017-09-17T20:06:14-0600',mode:absolute,to:'2017-09-17T23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0" s="205" t="str">
        <f>IF(AA150&lt;VLOOKUP(AG150,Variables!$AC$3:$AD$8,2,FALSE),"Y","N")</f>
        <v>Y</v>
      </c>
      <c r="X150" s="205">
        <f t="shared" si="69"/>
        <v>1</v>
      </c>
      <c r="Y150" s="205">
        <f t="shared" si="58"/>
        <v>4.58E-2</v>
      </c>
      <c r="Z150" s="205">
        <f t="shared" si="59"/>
        <v>4.7500000000000001E-2</v>
      </c>
      <c r="AA150" s="205">
        <f t="shared" si="60"/>
        <v>1.7000000000000001E-3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80">
        <f t="shared" si="61"/>
        <v>231</v>
      </c>
      <c r="AE150" s="77" t="str">
        <f t="shared" si="62"/>
        <v>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 &amp; 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</v>
      </c>
      <c r="AF150" s="74" t="str">
        <f t="shared" si="63"/>
        <v>"C:\Program Files (x86)\AstroGrep\AstroGrep.exe" /e /r /s /spath="%USERPROFILE%\AppData\Local\Temp\OnboardLogs" /stypes="app*4016*20170918*" /stext=" 04:.+((SYSTEM_STATE.+slice.+state.+changed )|(ment ac)|(multiple cpu faults)|(system.+state.+changed )|(\[timeout)|(PRM\|1\|D)|(kpr)|(kdp)|(train st.+moving)|(\|lc)|(penalty))"</v>
      </c>
      <c r="AG150" s="183" t="str">
        <f t="shared" si="64"/>
        <v>EC</v>
      </c>
      <c r="AH150" s="78" t="str">
        <f t="shared" si="65"/>
        <v>"%USERPROFILE%\Documents\GitHub\eaglep3\Utilities\RefineRTDCRunTimes.py" --tripid 231-17 --locoid 4016 --swversion DE.1.0.9.0 --startMP 204:458 --initTime 2017-09-17T21:06:14 --startdatetime 2017-09-17T21:30:23 --delay 56 --endMP 204:475 --enddatetime 2017-09-17T22:08:44 --enforcementcount 0 &gt;&gt;C:\Users\stu\Documents\GitHub\eaglep3-reporting\EC\2017-09-17-refined-times.txt</v>
      </c>
      <c r="AI150" s="96" t="str">
        <f t="shared" si="66"/>
        <v>echo {"issue":{"subject":"","project_id":79,"tracker_id":40,"status_id":1,"priority_id":2,"assigned_to_id":338,"start_date":"2017-09-17","description":"","custom_fields":[{"id":1,"name":"Subdivision","value":"EC"},{"id":4,"name":"Milepost","value":"0.0475"},{"id":17,"name":"Train ID","value":"231-17"},{"id":16,"name":"Locomotive ID","value":"4016"},{"id":130,"name":"Impact","value":""},{"id":150,"name":"Time of Event (Mountain Time)","value":"22:08:44"},{"id":151,"name":"Denver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7"/>
        <v>start /low /b %USERPROFILE%\Documents\GitHub\eaglep3\Utilities\DownloadLogsFromS3.py --loco 4016 --day 2017-09-17</v>
      </c>
      <c r="AN150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04:08:44"},{"id":29,"name":"Sharepoint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Message%20ID',Summary),filters:!(),index:'emp_*',interval:auto,query:"&amp;"(query_string:(analyze_wildcard:!t,query:'Message%5C+ID:(*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-09-17T20:06:14-0600',mode:absolute,to:'2017-09-17T23:08:44-0600'))&amp;_a=(columns:!('Message%20ID',Summary),filters:!(),index:'emp_*',interval:auto,query:(query_string:(analyze_wildcard:!t,query:'Message%5C+ID:(*)+AND+%22rtdc.l.rtdc.4016%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795</v>
      </c>
      <c r="B151" s="7">
        <v>4016</v>
      </c>
      <c r="C151" s="21" t="s">
        <v>197</v>
      </c>
      <c r="D151" s="21" t="s">
        <v>427</v>
      </c>
      <c r="E151" s="13">
        <v>42995.890092592592</v>
      </c>
      <c r="F151" s="13">
        <v>42995.896099537036</v>
      </c>
      <c r="G151" s="7">
        <v>111</v>
      </c>
      <c r="H151" s="21" t="s">
        <v>481</v>
      </c>
      <c r="I151" s="13">
        <v>42995.922731481478</v>
      </c>
      <c r="J151" s="7">
        <v>0</v>
      </c>
      <c r="K151" s="89" t="str">
        <f t="shared" si="54"/>
        <v>4015/4016</v>
      </c>
      <c r="L151" s="186" t="str">
        <f>VLOOKUP(A151,'Trips&amp;Operators'!$C$1:$G$99911,5,FALSE)</f>
        <v>LOZA FIDEL</v>
      </c>
      <c r="M151" s="6">
        <f t="shared" si="55"/>
        <v>2.6631944441760425E-2</v>
      </c>
      <c r="N151" s="7">
        <f>24*60*SUM($M151:$M151)</f>
        <v>38.349999996135011</v>
      </c>
      <c r="O151" s="7"/>
      <c r="P151" s="7"/>
      <c r="Q151" s="22"/>
      <c r="R151" s="174"/>
      <c r="S151" s="222">
        <f>1/IF(AG151="EC",12,1)*SUM(U151:U151)</f>
        <v>1</v>
      </c>
      <c r="T151" s="174" t="str">
        <f t="shared" si="56"/>
        <v>NorthBound</v>
      </c>
      <c r="U151" s="19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7" t="str">
        <f t="shared" si="57"/>
        <v>https://d0f6bd738d7f1b3e5a7ca70fe4ff75f0.us-east-1.aws.found.io/app/kibana#/discover/Steve-Slow-Train-Analysis-(2080s-and-2083s)?_g=(refreshInterval:(display:Off,pause:!f,section:0,value:0),time:(from:'2017-09-17T20:21:44-0600',mode:absolute,to:'2017-09-17T23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1" s="205" t="str">
        <f>IF(AA151&lt;VLOOKUP(AG151,Variables!$AC$3:$AD$8,2,FALSE),"Y","N")</f>
        <v>N</v>
      </c>
      <c r="X151" s="205">
        <f t="shared" si="69"/>
        <v>0</v>
      </c>
      <c r="Y151" s="205">
        <f t="shared" si="58"/>
        <v>4.7100000000000003E-2</v>
      </c>
      <c r="Z151" s="205">
        <f t="shared" si="59"/>
        <v>23.33</v>
      </c>
      <c r="AA151" s="205">
        <f t="shared" si="60"/>
        <v>23.282899999999998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80">
        <f t="shared" si="61"/>
        <v>231</v>
      </c>
      <c r="AE151" s="77" t="str">
        <f t="shared" si="62"/>
        <v>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 &amp; 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</v>
      </c>
      <c r="AF151" s="74" t="str">
        <f t="shared" si="63"/>
        <v>"C:\Program Files (x86)\AstroGrep\AstroGrep.exe" /e /r /s /spath="%USERPROFILE%\AppData\Local\Temp\OnboardLogs" /stypes="app*4016*20170918*" /stext=" 04:.+((SYSTEM_STATE.+slice.+state.+changed )|(ment ac)|(multiple cpu faults)|(system.+state.+changed )|(\[timeout)|(PRM\|1\|D)|(kpr)|(kdp)|(train st.+moving)|(\|lc)|(penalty))"</v>
      </c>
      <c r="AG151" s="183" t="str">
        <f t="shared" si="64"/>
        <v>EC</v>
      </c>
      <c r="AH151" s="78" t="str">
        <f t="shared" si="65"/>
        <v>"%USERPROFILE%\Documents\GitHub\eaglep3\Utilities\RefineRTDCRunTimes.py" --tripid 231-17 --locoid 4016 --swversion DE.1.0.9.0 --startMP 204:471 --initTime 2017-09-17T21:21:44 --startdatetime 2017-09-17T21:30:23 --delay 111 --endMP 204:233300 --enddatetime 2017-09-17T22:08:44 --enforcementcount 0 &gt;&gt;C:\Users\stu\Documents\GitHub\eaglep3-reporting\EC\2017-09-17-refined-times.txt</v>
      </c>
      <c r="AI151" s="96" t="str">
        <f t="shared" si="66"/>
        <v>echo {"issue":{"subject":"","project_id":79,"tracker_id":40,"status_id":1,"priority_id":2,"assigned_to_id":338,"start_date":"2017-09-17","description":"","custom_fields":[{"id":1,"name":"Subdivision","value":"EC"},{"id":4,"name":"Milepost","value":"23.33"},{"id":17,"name":"Train ID","value":"231-17"},{"id":16,"name":"Locomotive ID","value":"4016"},{"id":130,"name":"Impact","value":""},{"id":150,"name":"Time of Event (Mountain Time)","value":"22:08:44"},{"id":151,"name":"Denver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7"/>
        <v>start /low /b %USERPROFILE%\Documents\GitHub\eaglep3\Utilities\DownloadLogsFromS3.py --loco 4016 --day 2017-09-17</v>
      </c>
      <c r="AN151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04:08:44"},{"id":29,"name":"Sharepoint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Message%5C+ID:(*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-09-17T20:21:44-0600',mode:absolute,to:'2017-09-17T23:08:44-0600'))&amp;_a=(columns:!('Message%20ID',Summary),filters:!(),index:'emp_*',interval:auto,query:(query_string:(analyze_wildcard:!t,query:'Message%5C+ID:(*)+AND+%22rtdc.l.rtdc.4016%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801</v>
      </c>
      <c r="B152" s="7">
        <v>4015</v>
      </c>
      <c r="C152" s="21" t="s">
        <v>197</v>
      </c>
      <c r="D152" s="21" t="s">
        <v>544</v>
      </c>
      <c r="E152" s="13">
        <v>42995.925729166665</v>
      </c>
      <c r="F152" s="13">
        <v>42995.935740740744</v>
      </c>
      <c r="G152" s="7">
        <v>106</v>
      </c>
      <c r="H152" s="21" t="s">
        <v>343</v>
      </c>
      <c r="I152" s="13">
        <v>42995.962858796294</v>
      </c>
      <c r="J152" s="7">
        <v>0</v>
      </c>
      <c r="K152" s="89" t="str">
        <f t="shared" si="54"/>
        <v>4015/4016</v>
      </c>
      <c r="L152" s="186" t="str">
        <f>VLOOKUP(A152,'Trips&amp;Operators'!$C$1:$G$99911,5,FALSE)</f>
        <v>NICHOLSON WESLEY</v>
      </c>
      <c r="M152" s="6">
        <f t="shared" si="55"/>
        <v>2.7118055550090503E-2</v>
      </c>
      <c r="N152" s="7">
        <f>24*60*SUM($M152:$M152)</f>
        <v>39.049999992130324</v>
      </c>
      <c r="O152" s="7"/>
      <c r="P152" s="7"/>
      <c r="Q152" s="22"/>
      <c r="R152" s="174"/>
      <c r="S152" s="222">
        <f>1/IF(AG152="EC",12,1)*SUM(U152:U152)</f>
        <v>1</v>
      </c>
      <c r="T152" s="174" t="str">
        <f t="shared" si="56"/>
        <v>Southbound</v>
      </c>
      <c r="U152" s="19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7" t="str">
        <f t="shared" si="57"/>
        <v>https://d0f6bd738d7f1b3e5a7ca70fe4ff75f0.us-east-1.aws.found.io/app/kibana#/discover/Steve-Slow-Train-Analysis-(2080s-and-2083s)?_g=(refreshInterval:(display:Off,pause:!f,section:0,value:0),time:(from:'2017-09-17T21:13:03-0600',mode:absolute,to:'2017-09-18T00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2" s="205" t="str">
        <f>IF(AA152&lt;VLOOKUP(AG152,Variables!$AC$3:$AD$8,2,FALSE),"Y","N")</f>
        <v>N</v>
      </c>
      <c r="X152" s="205">
        <f t="shared" si="69"/>
        <v>1</v>
      </c>
      <c r="Y152" s="205">
        <f t="shared" si="58"/>
        <v>23.298500000000001</v>
      </c>
      <c r="Z152" s="205">
        <f t="shared" si="59"/>
        <v>1.47E-2</v>
      </c>
      <c r="AA152" s="205">
        <f t="shared" si="60"/>
        <v>23.283799999999999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80">
        <f t="shared" si="61"/>
        <v>232</v>
      </c>
      <c r="AE152" s="77" t="str">
        <f t="shared" si="62"/>
        <v>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 &amp; 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</v>
      </c>
      <c r="AF152" s="74" t="str">
        <f t="shared" si="63"/>
        <v>"C:\Program Files (x86)\AstroGrep\AstroGrep.exe" /e /r /s /spath="%USERPROFILE%\AppData\Local\Temp\OnboardLogs" /stypes="app*4015*20170918*" /stext=" 05:.+((SYSTEM_STATE.+slice.+state.+changed )|(ment ac)|(multiple cpu faults)|(system.+state.+changed )|(\[timeout)|(PRM\|1\|D)|(kpr)|(kdp)|(train st.+moving)|(\|lc)|(penalty))"</v>
      </c>
      <c r="AG152" s="183" t="str">
        <f t="shared" si="64"/>
        <v>EC</v>
      </c>
      <c r="AH152" s="78" t="str">
        <f t="shared" si="65"/>
        <v>"%USERPROFILE%\Documents\GitHub\eaglep3\Utilities\RefineRTDCRunTimes.py" --tripid 232-17 --locoid 4015 --swversion DE.1.0.9.0 --startMP 204:232985 --initTime 2017-09-17T22:13:03 --startdatetime 2017-09-17T22:27:28 --delay 106 --endMP 204:147 --enddatetime 2017-09-17T23:06:31 --enforcementcount 0 &gt;&gt;C:\Users\stu\Documents\GitHub\eaglep3-reporting\EC\2017-09-17-refined-times.txt</v>
      </c>
      <c r="AI152" s="96" t="str">
        <f t="shared" si="66"/>
        <v>echo {"issue":{"subject":"","project_id":79,"tracker_id":40,"status_id":1,"priority_id":2,"assigned_to_id":338,"start_date":"2017-09-17","description":"","custom_fields":[{"id":1,"name":"Subdivision","value":"EC"},{"id":4,"name":"Milepost","value":"0.0147"},{"id":17,"name":"Train ID","value":"232-17"},{"id":16,"name":"Locomotive ID","value":"4015"},{"id":130,"name":"Impact","value":""},{"id":150,"name":"Time of Event (Mountain Time)","value":"23:06:31"},{"id":151,"name":"Denver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7"/>
        <v>start /low /b %USERPROFILE%\Documents\GitHub\eaglep3\Utilities\DownloadLogsFromS3.py --loco 4015 --day 2017-09-17</v>
      </c>
      <c r="AN152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05:06:31"},{"id":29,"name":"Sharepoint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Message%20ID',Summary),filters:!(),index:'emp_*',interval:auto,query:"&amp;"(query_string:(analyze_wildcard:!t,query:'Message%5C+ID:(*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-09-17T21:13:03-0600',mode:absolute,to:'2017-09-18T00:06:31-0600'))&amp;_a=(columns:!('Message%20ID',Summary),filters:!(),index:'emp_*',interval:auto,query:(query_string:(analyze_wildcard:!t,query:'Message%5C+ID:(*)+AND+%22rtdc.l.rtdc.4015%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797</v>
      </c>
      <c r="B153" s="7">
        <v>4028</v>
      </c>
      <c r="C153" s="21" t="s">
        <v>197</v>
      </c>
      <c r="D153" s="21" t="s">
        <v>419</v>
      </c>
      <c r="E153" s="13">
        <v>42995.900462962964</v>
      </c>
      <c r="F153" s="13">
        <v>42995.91684027778</v>
      </c>
      <c r="G153" s="7">
        <v>47</v>
      </c>
      <c r="H153" s="21" t="s">
        <v>851</v>
      </c>
      <c r="I153" s="13">
        <v>42995.940752314818</v>
      </c>
      <c r="J153" s="7">
        <v>0</v>
      </c>
      <c r="K153" s="89" t="str">
        <f t="shared" si="54"/>
        <v>4027/4028</v>
      </c>
      <c r="L153" s="186" t="str">
        <f>VLOOKUP(A153,'Trips&amp;Operators'!$C$1:$G$99911,5,FALSE)</f>
        <v>ELBAUM MIKE</v>
      </c>
      <c r="M153" s="6">
        <f t="shared" si="55"/>
        <v>2.3912037038826384E-2</v>
      </c>
      <c r="N153" s="7">
        <f>24*60*SUM($M153:$M153)</f>
        <v>34.433333335909992</v>
      </c>
      <c r="O153" s="7"/>
      <c r="P153" s="7"/>
      <c r="Q153" s="22"/>
      <c r="R153" s="174"/>
      <c r="S153" s="222">
        <f>1/IF(AG153="EC",12,1)*SUM(U153:U153)</f>
        <v>1</v>
      </c>
      <c r="T153" s="174" t="str">
        <f t="shared" si="56"/>
        <v>NorthBound</v>
      </c>
      <c r="U153" s="19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7" t="str">
        <f t="shared" si="57"/>
        <v>https://d0f6bd738d7f1b3e5a7ca70fe4ff75f0.us-east-1.aws.found.io/app/kibana#/discover/Steve-Slow-Train-Analysis-(2080s-and-2083s)?_g=(refreshInterval:(display:Off,pause:!f,section:0,value:0),time:(from:'2017-09-17T20:36:40-0600',mode:absolute,to:'2017-09-17T23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3" s="205" t="str">
        <f>IF(AA153&lt;VLOOKUP(AG153,Variables!$AC$3:$AD$8,2,FALSE),"Y","N")</f>
        <v>N</v>
      </c>
      <c r="X153" s="205">
        <f t="shared" si="69"/>
        <v>1</v>
      </c>
      <c r="Y153" s="205">
        <f t="shared" si="58"/>
        <v>4.5100000000000001E-2</v>
      </c>
      <c r="Z153" s="205">
        <f t="shared" si="59"/>
        <v>23.332999999999998</v>
      </c>
      <c r="AA153" s="205">
        <f t="shared" si="60"/>
        <v>23.287899999999997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80">
        <f t="shared" si="61"/>
        <v>233</v>
      </c>
      <c r="AE153" s="77" t="str">
        <f t="shared" si="62"/>
        <v>aws s3 cp s3://rtdc.mdm.uploadarchive.raw/RTDC4028/ "%USERPROFILE%\AppData\Local\Temp\OnboardLogs"\RTDC4028\2017-09-17 --exclude "*" --recursive --include "*20170917*" &amp; "%USERPROFILE%\Documents\GitHub\mrs-test-scripts\Headless Mode &amp; Sideloading\WalkAndUnGZ.bat" "%USERPROFILE%\AppData\Local\Temp\OnboardLogs"\RTDC4028\2017-09-17 &amp; 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</v>
      </c>
      <c r="AF153" s="74" t="str">
        <f t="shared" si="63"/>
        <v>"C:\Program Files (x86)\AstroGrep\AstroGrep.exe" /e /r /s /spath="%USERPROFILE%\AppData\Local\Temp\OnboardLogs" /stypes="app*4028*20170918*" /stext=" 04:.+((SYSTEM_STATE.+slice.+state.+changed )|(ment ac)|(multiple cpu faults)|(system.+state.+changed )|(\[timeout)|(PRM\|1\|D)|(kpr)|(kdp)|(train st.+moving)|(\|lc)|(penalty))"</v>
      </c>
      <c r="AG153" s="183" t="str">
        <f t="shared" si="64"/>
        <v>EC</v>
      </c>
      <c r="AH153" s="78" t="str">
        <f t="shared" si="65"/>
        <v>"%USERPROFILE%\Documents\GitHub\eaglep3\Utilities\RefineRTDCRunTimes.py" --tripid 233-17 --locoid 4028 --swversion DE.1.0.9.0 --startMP 204:451 --initTime 2017-09-17T21:36:40 --startdatetime 2017-09-17T22:00:15 --delay 47 --endMP 204:233330 --enddatetime 2017-09-17T22:34:41 --enforcementcount 0 &gt;&gt;C:\Users\stu\Documents\GitHub\eaglep3-reporting\EC\2017-09-17-refined-times.txt</v>
      </c>
      <c r="AI153" s="96" t="str">
        <f t="shared" si="66"/>
        <v>echo {"issue":{"subject":"","project_id":79,"tracker_id":40,"status_id":1,"priority_id":2,"assigned_to_id":338,"start_date":"2017-09-17","description":"","custom_fields":[{"id":1,"name":"Subdivision","value":"EC"},{"id":4,"name":"Milepost","value":"23.333"},{"id":17,"name":"Train ID","value":"233-17"},{"id":16,"name":"Locomotive ID","value":"4028"},{"id":130,"name":"Impact","value":""},{"id":150,"name":"Time of Event (Mountain Time)","value":"22:34:41"},{"id":151,"name":"Denver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7"/>
        <v>start /low /b %USERPROFILE%\Documents\GitHub\eaglep3\Utilities\DownloadLogsFromS3.py --loco 4028 --day 2017-09-17</v>
      </c>
      <c r="AN153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04:34:41"},{"id":29,"name":"Sharepoint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Message%5C+ID:(*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-09-17T20:36:40-0600',mode:absolute,to:'2017-09-17T23:34:41-0600'))&amp;_a=(columns:!('Message%20ID',Summary),filters:!(),index:'emp_*',interval:auto,query:(query_string:(analyze_wildcard:!t,query:'Message%5C+ID:(*)+AND+%22rtdc.l.rtdc.4028%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802</v>
      </c>
      <c r="B154" s="7">
        <v>4027</v>
      </c>
      <c r="C154" s="21" t="s">
        <v>197</v>
      </c>
      <c r="D154" s="21" t="s">
        <v>550</v>
      </c>
      <c r="E154" s="13">
        <v>42995.942187499997</v>
      </c>
      <c r="F154" s="13">
        <v>42995.956423611111</v>
      </c>
      <c r="G154" s="7">
        <v>79</v>
      </c>
      <c r="H154" s="21" t="s">
        <v>342</v>
      </c>
      <c r="I154" s="13">
        <v>42995.982627314814</v>
      </c>
      <c r="J154" s="7">
        <v>0</v>
      </c>
      <c r="K154" s="89" t="str">
        <f t="shared" si="54"/>
        <v>4027/4028</v>
      </c>
      <c r="L154" s="186" t="str">
        <f>VLOOKUP(A154,'Trips&amp;Operators'!$C$1:$G$99911,5,FALSE)</f>
        <v>ELBAUM MIKE</v>
      </c>
      <c r="M154" s="6">
        <f t="shared" si="55"/>
        <v>2.6203703702776693E-2</v>
      </c>
      <c r="N154" s="7">
        <f>24*60*SUM($M154:$M154)</f>
        <v>37.733333331998438</v>
      </c>
      <c r="O154" s="7"/>
      <c r="P154" s="7"/>
      <c r="Q154" s="22"/>
      <c r="R154" s="174"/>
      <c r="S154" s="222">
        <f>1/IF(AG154="EC",12,1)*SUM(U154:U154)</f>
        <v>1</v>
      </c>
      <c r="T154" s="174" t="str">
        <f t="shared" si="56"/>
        <v>Southbound</v>
      </c>
      <c r="U154" s="19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7" t="str">
        <f t="shared" si="57"/>
        <v>https://d0f6bd738d7f1b3e5a7ca70fe4ff75f0.us-east-1.aws.found.io/app/kibana#/discover/Steve-Slow-Train-Analysis-(2080s-and-2083s)?_g=(refreshInterval:(display:Off,pause:!f,section:0,value:0),time:(from:'2017-09-17T21:36:45-0600',mode:absolute,to:'2017-09-18T00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4" s="205" t="str">
        <f>IF(AA154&lt;VLOOKUP(AG154,Variables!$AC$3:$AD$8,2,FALSE),"Y","N")</f>
        <v>N</v>
      </c>
      <c r="X154" s="205">
        <f t="shared" si="69"/>
        <v>1</v>
      </c>
      <c r="Y154" s="205">
        <f t="shared" si="58"/>
        <v>23.3003</v>
      </c>
      <c r="Z154" s="205">
        <f t="shared" si="59"/>
        <v>1.41E-2</v>
      </c>
      <c r="AA154" s="205">
        <f t="shared" si="60"/>
        <v>23.286200000000001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80">
        <f t="shared" si="61"/>
        <v>234</v>
      </c>
      <c r="AE154" s="77" t="str">
        <f t="shared" si="62"/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AF154" s="74" t="str">
        <f t="shared" si="63"/>
        <v>"C:\Program Files (x86)\AstroGrep\AstroGrep.exe" /e /r /s /spath="%USERPROFILE%\AppData\Local\Temp\OnboardLogs" /stypes="app*4027*20170918*" /stext=" 05:.+((SYSTEM_STATE.+slice.+state.+changed )|(ment ac)|(multiple cpu faults)|(system.+state.+changed )|(\[timeout)|(PRM\|1\|D)|(kpr)|(kdp)|(train st.+moving)|(\|lc)|(penalty))"</v>
      </c>
      <c r="AG154" s="183" t="str">
        <f t="shared" si="64"/>
        <v>EC</v>
      </c>
      <c r="AH154" s="78" t="str">
        <f t="shared" si="65"/>
        <v>"%USERPROFILE%\Documents\GitHub\eaglep3\Utilities\RefineRTDCRunTimes.py" --tripid 234-17 --locoid 4027 --swversion DE.1.0.9.0 --startMP 204:233003 --initTime 2017-09-17T22:36:45 --startdatetime 2017-09-17T22:57:15 --delay 79 --endMP 204:141 --enddatetime 2017-09-17T23:34:59 --enforcementcount 0 &gt;&gt;C:\Users\stu\Documents\GitHub\eaglep3-reporting\EC\2017-09-17-refined-times.txt</v>
      </c>
      <c r="AI154" s="96" t="str">
        <f t="shared" si="66"/>
        <v>echo {"issue":{"subject":"","project_id":79,"tracker_id":40,"status_id":1,"priority_id":2,"assigned_to_id":338,"start_date":"2017-09-17","description":"","custom_fields":[{"id":1,"name":"Subdivision","value":"EC"},{"id":4,"name":"Milepost","value":"0.0141"},{"id":17,"name":"Train ID","value":"234-17"},{"id":16,"name":"Locomotive ID","value":"4027"},{"id":130,"name":"Impact","value":""},{"id":150,"name":"Time of Event (Mountain Time)","value":"23:34:59"},{"id":151,"name":"Denver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7"/>
        <v>start /low /b %USERPROFILE%\Documents\GitHub\eaglep3\Utilities\DownloadLogsFromS3.py --loco 4027 --day 2017-09-17</v>
      </c>
      <c r="AN154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05:34:59"},{"id":29,"name":"Sharepoint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Message%20ID',Summary),filters:!(),index:'emp_*',interval:auto,query:"&amp;"(query_string:(analyze_wildcard:!t,query:'Message%5C+ID:(*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-09-17T21:36:45-0600',mode:absolute,to:'2017-09-18T00:34:59-0600'))&amp;_a=(columns:!('Message%20ID',Summary),filters:!(),index:'emp_*',interval:auto,query:(query_string:(analyze_wildcard:!t,query:'Message%5C+ID:(*)+AND+%22rtdc.l.rtdc.4027%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800</v>
      </c>
      <c r="B155" s="7">
        <v>4056</v>
      </c>
      <c r="C155" s="21" t="s">
        <v>197</v>
      </c>
      <c r="D155" s="21" t="s">
        <v>341</v>
      </c>
      <c r="E155" s="13">
        <v>42995.922997685186</v>
      </c>
      <c r="F155" s="13">
        <v>42995.937743055554</v>
      </c>
      <c r="G155" s="7">
        <v>59</v>
      </c>
      <c r="H155" s="21" t="s">
        <v>376</v>
      </c>
      <c r="I155" s="13">
        <v>42995.963125000002</v>
      </c>
      <c r="J155" s="7">
        <v>0</v>
      </c>
      <c r="K155" s="89" t="str">
        <f t="shared" si="54"/>
        <v>4055/4056</v>
      </c>
      <c r="L155" s="186" t="str">
        <f>VLOOKUP(A155,'Trips&amp;Operators'!$C$1:$G$99911,5,FALSE)</f>
        <v>DUNCAN SHEILA</v>
      </c>
      <c r="M155" s="6">
        <f t="shared" si="55"/>
        <v>2.5381944447872229E-2</v>
      </c>
      <c r="N155" s="7"/>
      <c r="O155" s="7"/>
      <c r="P155" s="7"/>
      <c r="Q155" s="22"/>
      <c r="R155" s="174"/>
      <c r="S155" s="222"/>
      <c r="T155" s="174" t="str">
        <f t="shared" si="56"/>
        <v>NorthBound</v>
      </c>
      <c r="U155" s="19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217" t="str">
        <f t="shared" si="57"/>
        <v>https://d0f6bd738d7f1b3e5a7ca70fe4ff75f0.us-east-1.aws.found.io/app/kibana#/discover/Steve-Slow-Train-Analysis-(2080s-and-2083s)?_g=(refreshInterval:(display:Off,pause:!f,section:0,value:0),time:(from:'2017-09-17T21:09:07-0600',mode:absolute,to:'2017-09-18T00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5" s="205" t="str">
        <f>IF(AA155&lt;VLOOKUP(AG155,Variables!$AC$3:$AD$8,2,FALSE),"Y","N")</f>
        <v>Y</v>
      </c>
      <c r="X155" s="205">
        <f t="shared" si="69"/>
        <v>1</v>
      </c>
      <c r="Y155" s="205">
        <f t="shared" si="58"/>
        <v>4.53E-2</v>
      </c>
      <c r="Z155" s="205">
        <f t="shared" si="59"/>
        <v>4.6899999999999997E-2</v>
      </c>
      <c r="AA155" s="205">
        <f t="shared" si="60"/>
        <v>1.5999999999999973E-3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80">
        <f t="shared" si="61"/>
        <v>235</v>
      </c>
      <c r="AE155" s="77" t="str">
        <f t="shared" si="62"/>
        <v>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 &amp; aws s3 cp s3://rtdc.mdm.uploadarchive.raw/RTDC4056/ "%USERPROFILE%\AppData\Local\Temp\OnboardLogs"\RTDC4056\2017-09-18 --exclude "*" --recursive --include "*20170918*" &amp; "%USERPROFILE%\Documents\GitHub\mrs-test-scripts\Headless Mode &amp; Sideloading\WalkAndUnGZ.bat" "%USERPROFILE%\AppData\Local\Temp\OnboardLogs"\RTDC4056\2017-09-18</v>
      </c>
      <c r="AF155" s="74" t="str">
        <f t="shared" si="63"/>
        <v>"C:\Program Files (x86)\AstroGrep\AstroGrep.exe" /e /r /s /spath="%USERPROFILE%\AppData\Local\Temp\OnboardLogs" /stypes="app*4056*20170918*" /stext=" 05:.+((SYSTEM_STATE.+slice.+state.+changed )|(ment ac)|(multiple cpu faults)|(system.+state.+changed )|(\[timeout)|(PRM\|1\|D)|(kpr)|(kdp)|(train st.+moving)|(\|lc)|(penalty))"</v>
      </c>
      <c r="AG155" s="183" t="str">
        <f t="shared" si="64"/>
        <v>EC</v>
      </c>
      <c r="AH155" s="78" t="str">
        <f t="shared" si="65"/>
        <v>"%USERPROFILE%\Documents\GitHub\eaglep3\Utilities\RefineRTDCRunTimes.py" --tripid 235-17 --locoid 4056 --swversion DE.1.0.9.0 --startMP 204:453 --initTime 2017-09-17T22:09:07 --startdatetime 2017-09-17T22:30:21 --delay 59 --endMP 204:469 --enddatetime 2017-09-17T23:06:54 --enforcementcount 0 &gt;&gt;C:\Users\stu\Documents\GitHub\eaglep3-reporting\EC\2017-09-17-refined-times.txt</v>
      </c>
      <c r="AI155" s="96" t="str">
        <f t="shared" si="66"/>
        <v>echo {"issue":{"subject":"","project_id":79,"tracker_id":40,"status_id":1,"priority_id":2,"assigned_to_id":338,"start_date":"2017-09-17","description":"","custom_fields":[{"id":1,"name":"Subdivision","value":"EC"},{"id":4,"name":"Milepost","value":"0.0469"},{"id":17,"name":"Train ID","value":"235-17"},{"id":16,"name":"Locomotive ID","value":"4056"},{"id":130,"name":"Impact","value":""},{"id":150,"name":"Time of Event (Mountain Time)","value":"23:06:54"},{"id":151,"name":"Denver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7"/>
        <v>start /low /b %USERPROFILE%\Documents\GitHub\eaglep3\Utilities\DownloadLogsFromS3.py --loco 4056 --day 2017-09-17</v>
      </c>
      <c r="AN155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05:06:54"},{"id":29,"name":"Sharepoint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Message%20ID',Summary),filters:!(),index:'emp_*',interval:auto,query:"&amp;"(query_string:(analyze_wildcard:!t,query:'Message%5C+ID:(*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-09-17T21:09:07-0600',mode:absolute,to:'2017-09-18T00:06:54-0600'))&amp;_a=(columns:!('Message%20ID',Summary),filters:!(),index:'emp_*',interval:auto,query:(query_string:(analyze_wildcard:!t,query:'Message%5C+ID:(*)+AND+%22rtdc.l.rtdc.4056%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800</v>
      </c>
      <c r="B156" s="7">
        <v>4056</v>
      </c>
      <c r="C156" s="21" t="s">
        <v>197</v>
      </c>
      <c r="D156" s="21" t="s">
        <v>427</v>
      </c>
      <c r="E156" s="13">
        <v>42995.93476851852</v>
      </c>
      <c r="F156" s="13">
        <v>42995.937743055554</v>
      </c>
      <c r="G156" s="7">
        <v>111</v>
      </c>
      <c r="H156" s="21" t="s">
        <v>430</v>
      </c>
      <c r="I156" s="13">
        <v>42995.963125000002</v>
      </c>
      <c r="J156" s="7">
        <v>0</v>
      </c>
      <c r="K156" s="89" t="str">
        <f t="shared" si="54"/>
        <v>4055/4056</v>
      </c>
      <c r="L156" s="186" t="str">
        <f>VLOOKUP(A156,'Trips&amp;Operators'!$C$1:$G$99911,5,FALSE)</f>
        <v>DUNCAN SHEILA</v>
      </c>
      <c r="M156" s="6">
        <f t="shared" si="55"/>
        <v>2.5381944447872229E-2</v>
      </c>
      <c r="N156" s="7">
        <f t="shared" ref="N156:N177" si="70">24*60*SUM($M156:$M156)</f>
        <v>36.55000000493601</v>
      </c>
      <c r="O156" s="7"/>
      <c r="P156" s="7"/>
      <c r="Q156" s="22"/>
      <c r="R156" s="174"/>
      <c r="S156" s="222">
        <f t="shared" ref="S156:S177" si="71">1/IF(AG156="EC",12,1)*SUM(U156:U156)</f>
        <v>1</v>
      </c>
      <c r="T156" s="174" t="str">
        <f t="shared" si="56"/>
        <v>NorthBound</v>
      </c>
      <c r="U156" s="19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7" t="str">
        <f t="shared" si="57"/>
        <v>https://d0f6bd738d7f1b3e5a7ca70fe4ff75f0.us-east-1.aws.found.io/app/kibana#/discover/Steve-Slow-Train-Analysis-(2080s-and-2083s)?_g=(refreshInterval:(display:Off,pause:!f,section:0,value:0),time:(from:'2017-09-17T21:26:04-0600',mode:absolute,to:'2017-09-18T00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6" s="205" t="str">
        <f>IF(AA156&lt;VLOOKUP(AG156,Variables!$AC$3:$AD$8,2,FALSE),"Y","N")</f>
        <v>N</v>
      </c>
      <c r="X156" s="205">
        <f t="shared" si="69"/>
        <v>0</v>
      </c>
      <c r="Y156" s="205">
        <f t="shared" si="58"/>
        <v>4.7100000000000003E-2</v>
      </c>
      <c r="Z156" s="205">
        <f t="shared" si="59"/>
        <v>23.3308</v>
      </c>
      <c r="AA156" s="205">
        <f t="shared" si="60"/>
        <v>23.2837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80">
        <f t="shared" si="61"/>
        <v>235</v>
      </c>
      <c r="AE156" s="77" t="str">
        <f t="shared" si="62"/>
        <v>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 &amp; aws s3 cp s3://rtdc.mdm.uploadarchive.raw/RTDC4056/ "%USERPROFILE%\AppData\Local\Temp\OnboardLogs"\RTDC4056\2017-09-18 --exclude "*" --recursive --include "*20170918*" &amp; "%USERPROFILE%\Documents\GitHub\mrs-test-scripts\Headless Mode &amp; Sideloading\WalkAndUnGZ.bat" "%USERPROFILE%\AppData\Local\Temp\OnboardLogs"\RTDC4056\2017-09-18</v>
      </c>
      <c r="AF156" s="74" t="str">
        <f t="shared" si="63"/>
        <v>"C:\Program Files (x86)\AstroGrep\AstroGrep.exe" /e /r /s /spath="%USERPROFILE%\AppData\Local\Temp\OnboardLogs" /stypes="app*4056*20170918*" /stext=" 05:.+((SYSTEM_STATE.+slice.+state.+changed )|(ment ac)|(multiple cpu faults)|(system.+state.+changed )|(\[timeout)|(PRM\|1\|D)|(kpr)|(kdp)|(train st.+moving)|(\|lc)|(penalty))"</v>
      </c>
      <c r="AG156" s="183" t="str">
        <f t="shared" si="64"/>
        <v>EC</v>
      </c>
      <c r="AH156" s="78" t="str">
        <f t="shared" si="65"/>
        <v>"%USERPROFILE%\Documents\GitHub\eaglep3\Utilities\RefineRTDCRunTimes.py" --tripid 235-17 --locoid 4056 --swversion DE.1.0.9.0 --startMP 204:471 --initTime 2017-09-17T22:26:04 --startdatetime 2017-09-17T22:30:21 --delay 111 --endMP 204:233308 --enddatetime 2017-09-17T23:06:54 --enforcementcount 0 &gt;&gt;C:\Users\stu\Documents\GitHub\eaglep3-reporting\EC\2017-09-17-refined-times.txt</v>
      </c>
      <c r="AI156" s="96" t="str">
        <f t="shared" si="66"/>
        <v>echo {"issue":{"subject":"","project_id":79,"tracker_id":40,"status_id":1,"priority_id":2,"assigned_to_id":338,"start_date":"2017-09-17","description":"","custom_fields":[{"id":1,"name":"Subdivision","value":"EC"},{"id":4,"name":"Milepost","value":"23.3308"},{"id":17,"name":"Train ID","value":"235-17"},{"id":16,"name":"Locomotive ID","value":"4056"},{"id":130,"name":"Impact","value":""},{"id":150,"name":"Time of Event (Mountain Time)","value":"23:06:54"},{"id":151,"name":"Denver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7"/>
        <v>start /low /b %USERPROFILE%\Documents\GitHub\eaglep3\Utilities\DownloadLogsFromS3.py --loco 4056 --day 2017-09-17</v>
      </c>
      <c r="AN156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05:06:54"},{"id":29,"name":"Sharepoint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Message%5C+ID:(*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-09-17T21:26:04-0600',mode:absolute,to:'2017-09-18T00:06:54-0600'))&amp;_a=(columns:!('Message%20ID',Summary),filters:!(),index:'emp_*',interval:auto,query:(query_string:(analyze_wildcard:!t,query:'Message%5C+ID:(*)+AND+%22rtdc.l.rtdc.4056%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805</v>
      </c>
      <c r="B157" s="7">
        <v>4055</v>
      </c>
      <c r="C157" s="21" t="s">
        <v>197</v>
      </c>
      <c r="D157" s="21" t="s">
        <v>384</v>
      </c>
      <c r="E157" s="13">
        <v>42995.965405092589</v>
      </c>
      <c r="F157" s="13">
        <v>42995.977314814816</v>
      </c>
      <c r="G157" s="7">
        <v>72</v>
      </c>
      <c r="H157" s="21" t="s">
        <v>365</v>
      </c>
      <c r="I157" s="13">
        <v>42996.004513888889</v>
      </c>
      <c r="J157" s="7">
        <v>0</v>
      </c>
      <c r="K157" s="89" t="str">
        <f t="shared" si="54"/>
        <v>4055/4056</v>
      </c>
      <c r="L157" s="186" t="str">
        <f>VLOOKUP(A157,'Trips&amp;Operators'!$C$1:$G$99911,5,FALSE)</f>
        <v>ANDERS STEVEN</v>
      </c>
      <c r="M157" s="6">
        <f t="shared" si="55"/>
        <v>2.7199074072996154E-2</v>
      </c>
      <c r="N157" s="7">
        <f t="shared" si="70"/>
        <v>39.166666665114462</v>
      </c>
      <c r="O157" s="7"/>
      <c r="P157" s="7"/>
      <c r="Q157" s="22"/>
      <c r="R157" s="174"/>
      <c r="S157" s="222">
        <f t="shared" si="71"/>
        <v>1</v>
      </c>
      <c r="T157" s="174" t="str">
        <f t="shared" si="56"/>
        <v>Southbound</v>
      </c>
      <c r="U157" s="19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7" t="str">
        <f t="shared" si="57"/>
        <v>https://d0f6bd738d7f1b3e5a7ca70fe4ff75f0.us-east-1.aws.found.io/app/kibana#/discover/Steve-Slow-Train-Analysis-(2080s-and-2083s)?_g=(refreshInterval:(display:Off,pause:!f,section:0,value:0),time:(from:'2017-09-17T22:10:11-0600',mode:absolute,to:'2017-09-18T01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7" s="205" t="str">
        <f>IF(AA157&lt;VLOOKUP(AG157,Variables!$AC$3:$AD$8,2,FALSE),"Y","N")</f>
        <v>N</v>
      </c>
      <c r="X157" s="205">
        <f t="shared" si="69"/>
        <v>1</v>
      </c>
      <c r="Y157" s="205">
        <f t="shared" si="58"/>
        <v>23.299399999999999</v>
      </c>
      <c r="Z157" s="205">
        <f t="shared" si="59"/>
        <v>1.38E-2</v>
      </c>
      <c r="AA157" s="205">
        <f t="shared" si="60"/>
        <v>23.285599999999999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80">
        <f t="shared" si="61"/>
        <v>236</v>
      </c>
      <c r="AE157" s="77" t="str">
        <f t="shared" si="62"/>
        <v>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 &amp; aws s3 cp s3://rtdc.mdm.uploadarchive.raw/RTDC4055/ "%USERPROFILE%\AppData\Local\Temp\OnboardLogs"\RTDC4055\2017-09-18 --exclude "*" --recursive --include "*20170918*" &amp; "%USERPROFILE%\Documents\GitHub\mrs-test-scripts\Headless Mode &amp; Sideloading\WalkAndUnGZ.bat" "%USERPROFILE%\AppData\Local\Temp\OnboardLogs"\RTDC4055\2017-09-18</v>
      </c>
      <c r="AF157" s="74" t="str">
        <f t="shared" si="63"/>
        <v>"C:\Program Files (x86)\AstroGrep\AstroGrep.exe" /e /r /s /spath="%USERPROFILE%\AppData\Local\Temp\OnboardLogs" /stypes="app*4055*20170918*" /stext=" 06:.+((SYSTEM_STATE.+slice.+state.+changed )|(ment ac)|(multiple cpu faults)|(system.+state.+changed )|(\[timeout)|(PRM\|1\|D)|(kpr)|(kdp)|(train st.+moving)|(\|lc)|(penalty))"</v>
      </c>
      <c r="AG157" s="183" t="str">
        <f t="shared" si="64"/>
        <v>EC</v>
      </c>
      <c r="AH157" s="78" t="str">
        <f t="shared" si="65"/>
        <v>"%USERPROFILE%\Documents\GitHub\eaglep3\Utilities\RefineRTDCRunTimes.py" --tripid 236-17 --locoid 4055 --swversion DE.1.0.9.0 --startMP 204:232994 --initTime 2017-09-17T23:10:11 --startdatetime 2017-09-17T23:27:20 --delay 72 --endMP 204:138 --enddatetime 2017-09-18T00:06:30 --enforcementcount 0 &gt;&gt;C:\Users\stu\Documents\GitHub\eaglep3-reporting\EC\2017-09-17-refined-times.txt</v>
      </c>
      <c r="AI157" s="96" t="str">
        <f t="shared" si="66"/>
        <v>echo {"issue":{"subject":"","project_id":79,"tracker_id":40,"status_id":1,"priority_id":2,"assigned_to_id":338,"start_date":"2017-09-18","description":"","custom_fields":[{"id":1,"name":"Subdivision","value":"EC"},{"id":4,"name":"Milepost","value":"0.0138"},{"id":17,"name":"Train ID","value":"236-17"},{"id":16,"name":"Locomotive ID","value":"4055"},{"id":130,"name":"Impact","value":""},{"id":150,"name":"Time of Event (Mountain Time)","value":"00:06:30"},{"id":151,"name":"Denver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7"/>
        <v>start /low /b %USERPROFILE%\Documents\GitHub\eaglep3\Utilities\DownloadLogsFromS3.py --loco 4055 --day 2017-09-17</v>
      </c>
      <c r="AN157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06:06:30"},{"id":29,"name":"Sharepoint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Message%5C+ID:(*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-09-17T22:10:11-0600',mode:absolute,to:'2017-09-18T01:06:30-0600'))&amp;_a=(columns:!('Message%20ID',Summary),filters:!(),index:'emp_*',interval:auto,query:(query_string:(analyze_wildcard:!t,query:'Message%5C+ID:(*)+AND+%22rtdc.l.rtdc.4055%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804</v>
      </c>
      <c r="B158" s="7">
        <v>4060</v>
      </c>
      <c r="C158" s="21" t="s">
        <v>197</v>
      </c>
      <c r="D158" s="21" t="s">
        <v>337</v>
      </c>
      <c r="E158" s="13">
        <v>42995.943611111114</v>
      </c>
      <c r="F158" s="13">
        <v>42995.958819444444</v>
      </c>
      <c r="G158" s="7">
        <v>76</v>
      </c>
      <c r="H158" s="21" t="s">
        <v>930</v>
      </c>
      <c r="I158" s="13">
        <v>42995.983229166668</v>
      </c>
      <c r="J158" s="7">
        <v>0</v>
      </c>
      <c r="K158" s="89" t="str">
        <f t="shared" si="54"/>
        <v>4059/4060</v>
      </c>
      <c r="L158" s="186" t="str">
        <f>VLOOKUP(A158,'Trips&amp;Operators'!$C$1:$G$99911,5,FALSE)</f>
        <v>STAMBAUGH JAMES</v>
      </c>
      <c r="M158" s="6">
        <f t="shared" si="55"/>
        <v>2.4409722223936114E-2</v>
      </c>
      <c r="N158" s="7">
        <f t="shared" si="70"/>
        <v>35.150000002468005</v>
      </c>
      <c r="O158" s="7"/>
      <c r="P158" s="7"/>
      <c r="Q158" s="22"/>
      <c r="R158" s="174"/>
      <c r="S158" s="222">
        <f t="shared" si="71"/>
        <v>1</v>
      </c>
      <c r="T158" s="174" t="str">
        <f t="shared" si="56"/>
        <v>NorthBound</v>
      </c>
      <c r="U158" s="19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7" t="str">
        <f t="shared" si="57"/>
        <v>https://d0f6bd738d7f1b3e5a7ca70fe4ff75f0.us-east-1.aws.found.io/app/kibana#/discover/Steve-Slow-Train-Analysis-(2080s-and-2083s)?_g=(refreshInterval:(display:Off,pause:!f,section:0,value:0),time:(from:'2017-09-17T21:38:48-0600',mode:absolute,to:'2017-09-18T00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8" s="205" t="str">
        <f>IF(AA158&lt;VLOOKUP(AG158,Variables!$AC$3:$AD$8,2,FALSE),"Y","N")</f>
        <v>N</v>
      </c>
      <c r="X158" s="205">
        <f t="shared" si="69"/>
        <v>1</v>
      </c>
      <c r="Y158" s="205">
        <f t="shared" si="58"/>
        <v>4.4600000000000001E-2</v>
      </c>
      <c r="Z158" s="205">
        <f t="shared" si="59"/>
        <v>23.344899999999999</v>
      </c>
      <c r="AA158" s="205">
        <f t="shared" si="60"/>
        <v>23.3003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80">
        <f t="shared" si="61"/>
        <v>237</v>
      </c>
      <c r="AE158" s="77" t="str">
        <f t="shared" si="62"/>
        <v>aws s3 cp s3://rtdc.mdm.uploadarchive.raw/RTDC4060/ "%USERPROFILE%\AppData\Local\Temp\OnboardLogs"\RTDC4060\2017-09-17 --exclude "*" --recursive --include "*20170917*" &amp; "%USERPROFILE%\Documents\GitHub\mrs-test-scripts\Headless Mode &amp; Sideloading\WalkAndUnGZ.bat" "%USERPROFILE%\AppData\Local\Temp\OnboardLogs"\RTDC4060\2017-09-17 &amp; aws s3 cp s3://rtdc.mdm.uploadarchive.raw/RTDC4060/ "%USERPROFILE%\AppData\Local\Temp\OnboardLogs"\RTDC4060\2017-09-18 --exclude "*" --recursive --include "*20170918*" &amp; "%USERPROFILE%\Documents\GitHub\mrs-test-scripts\Headless Mode &amp; Sideloading\WalkAndUnGZ.bat" "%USERPROFILE%\AppData\Local\Temp\OnboardLogs"\RTDC4060\2017-09-18</v>
      </c>
      <c r="AF158" s="74" t="str">
        <f t="shared" si="63"/>
        <v>"C:\Program Files (x86)\AstroGrep\AstroGrep.exe" /e /r /s /spath="%USERPROFILE%\AppData\Local\Temp\OnboardLogs" /stypes="app*4060*20170918*" /stext=" 05:.+((SYSTEM_STATE.+slice.+state.+changed )|(ment ac)|(multiple cpu faults)|(system.+state.+changed )|(\[timeout)|(PRM\|1\|D)|(kpr)|(kdp)|(train st.+moving)|(\|lc)|(penalty))"</v>
      </c>
      <c r="AG158" s="183" t="str">
        <f t="shared" si="64"/>
        <v>EC</v>
      </c>
      <c r="AH158" s="78" t="str">
        <f t="shared" si="65"/>
        <v>"%USERPROFILE%\Documents\GitHub\eaglep3\Utilities\RefineRTDCRunTimes.py" --tripid 237-17 --locoid 4060 --swversion DE.1.0.9.0 --startMP 204:446 --initTime 2017-09-17T22:38:48 --startdatetime 2017-09-17T23:00:42 --delay 76 --endMP 204:233449 --enddatetime 2017-09-17T23:35:51 --enforcementcount 0 &gt;&gt;C:\Users\stu\Documents\GitHub\eaglep3-reporting\EC\2017-09-17-refined-times.txt</v>
      </c>
      <c r="AI158" s="96" t="str">
        <f t="shared" si="66"/>
        <v>echo {"issue":{"subject":"","project_id":79,"tracker_id":40,"status_id":1,"priority_id":2,"assigned_to_id":338,"start_date":"2017-09-17","description":"","custom_fields":[{"id":1,"name":"Subdivision","value":"EC"},{"id":4,"name":"Milepost","value":"23.3449"},{"id":17,"name":"Train ID","value":"237-17"},{"id":16,"name":"Locomotive ID","value":"4060"},{"id":130,"name":"Impact","value":""},{"id":150,"name":"Time of Event (Mountain Time)","value":"23:35:51"},{"id":151,"name":"Denver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7"/>
        <v>start /low /b %USERPROFILE%\Documents\GitHub\eaglep3\Utilities\DownloadLogsFromS3.py --loco 4060 --day 2017-09-17</v>
      </c>
      <c r="AN158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05:35:51"},{"id":29,"name":"Sharepoint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Message%5C+ID:(*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-09-17T21:38:48-0600',mode:absolute,to:'2017-09-18T00:35:51-0600'))&amp;_a=(columns:!('Message%20ID',Summary),filters:!(),index:'emp_*',interval:auto,query:(query_string:(analyze_wildcard:!t,query:'Message%5C+ID:(*)+AND+%22rtdc.l.rtdc.4060%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808</v>
      </c>
      <c r="B159" s="7">
        <v>4059</v>
      </c>
      <c r="C159" s="21" t="s">
        <v>197</v>
      </c>
      <c r="D159" s="21" t="s">
        <v>535</v>
      </c>
      <c r="E159" s="13">
        <v>42995.993645833332</v>
      </c>
      <c r="F159" s="13">
        <v>42995.998437499999</v>
      </c>
      <c r="G159" s="7">
        <v>75</v>
      </c>
      <c r="H159" s="21" t="s">
        <v>397</v>
      </c>
      <c r="I159" s="13">
        <v>42996.025405092594</v>
      </c>
      <c r="J159" s="7">
        <v>0</v>
      </c>
      <c r="K159" s="89" t="str">
        <f t="shared" si="54"/>
        <v>4059/4060</v>
      </c>
      <c r="L159" s="186" t="str">
        <f>VLOOKUP(A159,'Trips&amp;Operators'!$C$1:$G$99911,5,FALSE)</f>
        <v>STAMBAUGH JAMES</v>
      </c>
      <c r="M159" s="6">
        <f t="shared" si="55"/>
        <v>2.6967592595610768E-2</v>
      </c>
      <c r="N159" s="7">
        <f t="shared" si="70"/>
        <v>38.833333337679505</v>
      </c>
      <c r="O159" s="7"/>
      <c r="P159" s="7"/>
      <c r="Q159" s="22"/>
      <c r="R159" s="174"/>
      <c r="S159" s="222">
        <f t="shared" si="71"/>
        <v>1</v>
      </c>
      <c r="T159" s="174" t="str">
        <f t="shared" si="56"/>
        <v>Southbound</v>
      </c>
      <c r="U159" s="19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7" t="str">
        <f t="shared" si="57"/>
        <v>https://d0f6bd738d7f1b3e5a7ca70fe4ff75f0.us-east-1.aws.found.io/app/kibana#/discover/Steve-Slow-Train-Analysis-(2080s-and-2083s)?_g=(refreshInterval:(display:Off,pause:!f,section:0,value:0),time:(from:'2017-09-17T22:50:51-0600',mode:absolute,to:'2017-09-18T01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9" s="205" t="str">
        <f>IF(AA159&lt;VLOOKUP(AG159,Variables!$AC$3:$AD$8,2,FALSE),"Y","N")</f>
        <v>N</v>
      </c>
      <c r="X159" s="205">
        <f t="shared" si="69"/>
        <v>1</v>
      </c>
      <c r="Y159" s="205">
        <f t="shared" si="58"/>
        <v>23.313800000000001</v>
      </c>
      <c r="Z159" s="205">
        <f t="shared" si="59"/>
        <v>1.3899999999999999E-2</v>
      </c>
      <c r="AA159" s="205">
        <f t="shared" si="60"/>
        <v>23.299900000000001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80">
        <f t="shared" si="61"/>
        <v>238</v>
      </c>
      <c r="AE159" s="77" t="str">
        <f t="shared" si="62"/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AF159" s="74" t="str">
        <f t="shared" si="63"/>
        <v>"C:\Program Files (x86)\AstroGrep\AstroGrep.exe" /e /r /s /spath="%USERPROFILE%\AppData\Local\Temp\OnboardLogs" /stypes="app*4059*20170918*" /stext=" 06:.+((SYSTEM_STATE.+slice.+state.+changed )|(ment ac)|(multiple cpu faults)|(system.+state.+changed )|(\[timeout)|(PRM\|1\|D)|(kpr)|(kdp)|(train st.+moving)|(\|lc)|(penalty))"</v>
      </c>
      <c r="AG159" s="183" t="str">
        <f t="shared" si="64"/>
        <v>EC</v>
      </c>
      <c r="AH159" s="78" t="str">
        <f t="shared" si="65"/>
        <v>"%USERPROFILE%\Documents\GitHub\eaglep3\Utilities\RefineRTDCRunTimes.py" --tripid 238-17 --locoid 4059 --swversion DE.1.0.9.0 --startMP 204:233138 --initTime 2017-09-17T23:50:51 --startdatetime 2017-09-17T23:57:45 --delay 75 --endMP 204:139 --enddatetime 2017-09-18T00:36:35 --enforcementcount 0 &gt;&gt;C:\Users\stu\Documents\GitHub\eaglep3-reporting\EC\2017-09-17-refined-times.txt</v>
      </c>
      <c r="AI159" s="96" t="str">
        <f t="shared" si="66"/>
        <v>echo {"issue":{"subject":"","project_id":79,"tracker_id":40,"status_id":1,"priority_id":2,"assigned_to_id":338,"start_date":"2017-09-18","description":"","custom_fields":[{"id":1,"name":"Subdivision","value":"EC"},{"id":4,"name":"Milepost","value":"0.0139"},{"id":17,"name":"Train ID","value":"238-17"},{"id":16,"name":"Locomotive ID","value":"4059"},{"id":130,"name":"Impact","value":""},{"id":150,"name":"Time of Event (Mountain Time)","value":"00:36:35"},{"id":151,"name":"Denver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7"/>
        <v>start /low /b %USERPROFILE%\Documents\GitHub\eaglep3\Utilities\DownloadLogsFromS3.py --loco 4059 --day 2017-09-17</v>
      </c>
      <c r="AN159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06:36:35"},{"id":29,"name":"Sharepoint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Message%5C+ID:(*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-09-17T22:50:51-0600',mode:absolute,to:'2017-09-18T01:36:35-0600'))&amp;_a=(columns:!('Message%20ID',Summary),filters:!(),index:'emp_*',interval:auto,query:(query_string:(analyze_wildcard:!t,query:'Message%5C+ID:(*)+AND+%22rtdc.l.rtdc.4059%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806</v>
      </c>
      <c r="B160" s="7">
        <v>4016</v>
      </c>
      <c r="C160" s="21" t="s">
        <v>197</v>
      </c>
      <c r="D160" s="21" t="s">
        <v>358</v>
      </c>
      <c r="E160" s="13">
        <v>42995.967083333337</v>
      </c>
      <c r="F160" s="13">
        <v>42995.979363425926</v>
      </c>
      <c r="G160" s="7">
        <v>105</v>
      </c>
      <c r="H160" s="21" t="s">
        <v>932</v>
      </c>
      <c r="I160" s="13">
        <v>42996.004340277781</v>
      </c>
      <c r="J160" s="7">
        <v>0</v>
      </c>
      <c r="K160" s="89" t="str">
        <f t="shared" si="54"/>
        <v>4015/4016</v>
      </c>
      <c r="L160" s="186" t="str">
        <f>VLOOKUP(A160,'Trips&amp;Operators'!$C$1:$G$99911,5,FALSE)</f>
        <v>LOZA FIDEL</v>
      </c>
      <c r="M160" s="6">
        <f t="shared" si="55"/>
        <v>2.4976851855171844E-2</v>
      </c>
      <c r="N160" s="7">
        <f t="shared" si="70"/>
        <v>35.966666671447456</v>
      </c>
      <c r="O160" s="7"/>
      <c r="P160" s="7"/>
      <c r="Q160" s="22"/>
      <c r="R160" s="174"/>
      <c r="S160" s="222">
        <f t="shared" si="71"/>
        <v>1</v>
      </c>
      <c r="T160" s="174" t="str">
        <f t="shared" si="56"/>
        <v>NorthBound</v>
      </c>
      <c r="U160" s="19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7" t="str">
        <f t="shared" si="57"/>
        <v>https://d0f6bd738d7f1b3e5a7ca70fe4ff75f0.us-east-1.aws.found.io/app/kibana#/discover/Steve-Slow-Train-Analysis-(2080s-and-2083s)?_g=(refreshInterval:(display:Off,pause:!f,section:0,value:0),time:(from:'2017-09-17T22:12:36-0600',mode:absolute,to:'2017-09-18T01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0" s="205" t="str">
        <f>IF(AA160&lt;VLOOKUP(AG160,Variables!$AC$3:$AD$8,2,FALSE),"Y","N")</f>
        <v>N</v>
      </c>
      <c r="X160" s="205">
        <f t="shared" si="69"/>
        <v>1</v>
      </c>
      <c r="Y160" s="205">
        <f t="shared" si="58"/>
        <v>4.58E-2</v>
      </c>
      <c r="Z160" s="205">
        <f t="shared" si="59"/>
        <v>23.332899999999999</v>
      </c>
      <c r="AA160" s="205">
        <f t="shared" si="60"/>
        <v>23.287099999999999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80">
        <f t="shared" si="61"/>
        <v>239</v>
      </c>
      <c r="AE160" s="77" t="str">
        <f t="shared" si="62"/>
        <v>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 &amp; 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</v>
      </c>
      <c r="AF160" s="74" t="str">
        <f t="shared" si="63"/>
        <v>"C:\Program Files (x86)\AstroGrep\AstroGrep.exe" /e /r /s /spath="%USERPROFILE%\AppData\Local\Temp\OnboardLogs" /stypes="app*4016*20170918*" /stext=" 06:.+((SYSTEM_STATE.+slice.+state.+changed )|(ment ac)|(multiple cpu faults)|(system.+state.+changed )|(\[timeout)|(PRM\|1\|D)|(kpr)|(kdp)|(train st.+moving)|(\|lc)|(penalty))"</v>
      </c>
      <c r="AG160" s="183" t="str">
        <f t="shared" si="64"/>
        <v>EC</v>
      </c>
      <c r="AH160" s="78" t="str">
        <f t="shared" si="65"/>
        <v>"%USERPROFILE%\Documents\GitHub\eaglep3\Utilities\RefineRTDCRunTimes.py" --tripid 239-17 --locoid 4016 --swversion DE.1.0.9.0 --startMP 204:458 --initTime 2017-09-17T23:12:36 --startdatetime 2017-09-17T23:30:17 --delay 105 --endMP 204:233329 --enddatetime 2017-09-18T00:06:15 --enforcementcount 0 &gt;&gt;C:\Users\stu\Documents\GitHub\eaglep3-reporting\EC\2017-09-17-refined-times.txt</v>
      </c>
      <c r="AI160" s="96" t="str">
        <f t="shared" si="66"/>
        <v>echo {"issue":{"subject":"","project_id":79,"tracker_id":40,"status_id":1,"priority_id":2,"assigned_to_id":338,"start_date":"2017-09-18","description":"","custom_fields":[{"id":1,"name":"Subdivision","value":"EC"},{"id":4,"name":"Milepost","value":"23.3329"},{"id":17,"name":"Train ID","value":"239-17"},{"id":16,"name":"Locomotive ID","value":"4016"},{"id":130,"name":"Impact","value":""},{"id":150,"name":"Time of Event (Mountain Time)","value":"00:06:15"},{"id":151,"name":"Denver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7"/>
        <v>start /low /b %USERPROFILE%\Documents\GitHub\eaglep3\Utilities\DownloadLogsFromS3.py --loco 4016 --day 2017-09-17</v>
      </c>
      <c r="AN160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06:06:15"},{"id":29,"name":"Sharepoint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Message%5C+ID:(*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-09-17T22:12:36-0600',mode:absolute,to:'2017-09-18T01:06:15-0600'))&amp;_a=(columns:!('Message%20ID',Summary),filters:!(),index:'emp_*',interval:auto,query:(query_string:(analyze_wildcard:!t,query:'Message%5C+ID:(*)+AND+%22rtdc.l.rtdc.4016%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810</v>
      </c>
      <c r="B161" s="7">
        <v>4015</v>
      </c>
      <c r="C161" s="21" t="s">
        <v>197</v>
      </c>
      <c r="D161" s="21" t="s">
        <v>537</v>
      </c>
      <c r="E161" s="13">
        <v>42996.016782407409</v>
      </c>
      <c r="F161" s="13">
        <v>42996.019004629627</v>
      </c>
      <c r="G161" s="7">
        <v>68</v>
      </c>
      <c r="H161" s="21" t="s">
        <v>359</v>
      </c>
      <c r="I161" s="13">
        <v>42996.044074074074</v>
      </c>
      <c r="J161" s="7">
        <v>0</v>
      </c>
      <c r="K161" s="89" t="str">
        <f t="shared" si="54"/>
        <v>4015/4016</v>
      </c>
      <c r="L161" s="186" t="str">
        <f>VLOOKUP(A161,'Trips&amp;Operators'!$C$1:$G$99911,5,FALSE)</f>
        <v>LOZA FIDEL</v>
      </c>
      <c r="M161" s="6">
        <f t="shared" si="55"/>
        <v>2.5069444447581191E-2</v>
      </c>
      <c r="N161" s="7">
        <f t="shared" si="70"/>
        <v>36.100000004516914</v>
      </c>
      <c r="O161" s="7"/>
      <c r="P161" s="7"/>
      <c r="Q161" s="22"/>
      <c r="R161" s="174"/>
      <c r="S161" s="222">
        <f t="shared" si="71"/>
        <v>1</v>
      </c>
      <c r="T161" s="174" t="str">
        <f t="shared" si="56"/>
        <v>Southbound</v>
      </c>
      <c r="U161" s="19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17" t="str">
        <f t="shared" si="57"/>
        <v>https://d0f6bd738d7f1b3e5a7ca70fe4ff75f0.us-east-1.aws.found.io/app/kibana#/discover/Steve-Slow-Train-Analysis-(2080s-and-2083s)?_g=(refreshInterval:(display:Off,pause:!f,section:0,value:0),time:(from:'2017-09-17T23:24:10-0600',mode:absolute,to:'2017-09-18T02:03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205" t="str">
        <f>IF(AA161&lt;VLOOKUP(AG161,Variables!$AC$3:$AD$8,2,FALSE),"Y","N")</f>
        <v>N</v>
      </c>
      <c r="X161" s="205">
        <f t="shared" si="69"/>
        <v>1</v>
      </c>
      <c r="Y161" s="205">
        <f t="shared" si="58"/>
        <v>23.3002</v>
      </c>
      <c r="Z161" s="205">
        <f t="shared" si="59"/>
        <v>1.52E-2</v>
      </c>
      <c r="AA161" s="205">
        <f t="shared" si="60"/>
        <v>23.285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80">
        <f t="shared" si="61"/>
        <v>240</v>
      </c>
      <c r="AE161" s="77" t="str">
        <f t="shared" si="62"/>
        <v>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 &amp; aws s3 cp s3://rtdc.mdm.uploadarchive.raw/RTDC4015/ "%USERPROFILE%\AppData\Local\Temp\OnboardLogs"\RTDC4015\2017-09-19 --exclude "*" --recursive --include "*20170919*" &amp; "%USERPROFILE%\Documents\GitHub\mrs-test-scripts\Headless Mode &amp; Sideloading\WalkAndUnGZ.bat" "%USERPROFILE%\AppData\Local\Temp\OnboardLogs"\RTDC4015\2017-09-19</v>
      </c>
      <c r="AF161" s="74" t="str">
        <f t="shared" si="63"/>
        <v>"C:\Program Files (x86)\AstroGrep\AstroGrep.exe" /e /r /s /spath="%USERPROFILE%\AppData\Local\Temp\OnboardLogs" /stypes="app*4015*20170918*" /stext=" 07:.+((SYSTEM_STATE.+slice.+state.+changed )|(ment ac)|(multiple cpu faults)|(system.+state.+changed )|(\[timeout)|(PRM\|1\|D)|(kpr)|(kdp)|(train st.+moving)|(\|lc)|(penalty))"</v>
      </c>
      <c r="AG161" s="183" t="str">
        <f t="shared" si="64"/>
        <v>EC</v>
      </c>
      <c r="AH161" s="78" t="str">
        <f t="shared" si="65"/>
        <v>"%USERPROFILE%\Documents\GitHub\eaglep3\Utilities\RefineRTDCRunTimes.py" --tripid 240-17 --locoid 4015 --swversion DE.1.0.9.0 --startMP 204:233002 --initTime 2017-09-18T00:24:10 --startdatetime 2017-09-18T00:27:22 --delay 68 --endMP 204:152 --enddatetime 2017-09-18T01:03:28 --enforcementcount 0 &gt;&gt;C:\Users\stu\Documents\GitHub\eaglep3-reporting\EC\2017-09-17-refined-times.txt</v>
      </c>
      <c r="AI161" s="96" t="str">
        <f t="shared" si="66"/>
        <v>echo {"issue":{"subject":"","project_id":79,"tracker_id":40,"status_id":1,"priority_id":2,"assigned_to_id":338,"start_date":"2017-09-18","description":"","custom_fields":[{"id":1,"name":"Subdivision","value":"EC"},{"id":4,"name":"Milepost","value":"0.0152"},{"id":17,"name":"Train ID","value":"240-17"},{"id":16,"name":"Locomotive ID","value":"4015"},{"id":130,"name":"Impact","value":""},{"id":150,"name":"Time of Event (Mountain Time)","value":"01:03:28"},{"id":151,"name":"Denver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7"/>
        <v>start /low /b %USERPROFILE%\Documents\GitHub\eaglep3\Utilities\DownloadLogsFromS3.py --loco 4015 --day 2017-09-18</v>
      </c>
      <c r="AN161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07:03:28"},{"id":29,"name":"Sharepoint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Message%20ID',Summary),filters:!(),index:'emp_*',interval:auto,query:"&amp;"(query_string:(analyze_wildcard:!t,query:'Message%5C+ID:(*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-09-17T23:24:10-0600',mode:absolute,to:'2017-09-18T02:03:28-0600'))&amp;_a=(columns:!('Message%20ID',Summary),filters:!(),index:'emp_*',interval:auto,query:(query_string:(analyze_wildcard:!t,query:'Message%5C+ID:(*)+AND+%22rtdc.l.rtdc.4015%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606</v>
      </c>
      <c r="B162" s="7">
        <v>4028</v>
      </c>
      <c r="C162" s="21" t="s">
        <v>197</v>
      </c>
      <c r="D162" s="21" t="s">
        <v>341</v>
      </c>
      <c r="E162" s="13">
        <v>42995.997974537036</v>
      </c>
      <c r="F162" s="13">
        <v>42996.000150462962</v>
      </c>
      <c r="G162" s="7">
        <v>54</v>
      </c>
      <c r="H162" s="21" t="s">
        <v>819</v>
      </c>
      <c r="I162" s="13">
        <v>42996.025046296294</v>
      </c>
      <c r="J162" s="7">
        <v>0</v>
      </c>
      <c r="K162" s="89" t="str">
        <f t="shared" si="54"/>
        <v>4027/4028</v>
      </c>
      <c r="L162" s="186" t="str">
        <f>VLOOKUP(A162,'Trips&amp;Operators'!$C$1:$G$99911,5,FALSE)</f>
        <v>ELBAUM MIKE</v>
      </c>
      <c r="M162" s="6">
        <f t="shared" si="55"/>
        <v>2.4895833332266193E-2</v>
      </c>
      <c r="N162" s="7">
        <f t="shared" si="70"/>
        <v>35.849999998463318</v>
      </c>
      <c r="O162" s="7"/>
      <c r="P162" s="7"/>
      <c r="Q162" s="22"/>
      <c r="R162" s="174"/>
      <c r="S162" s="222">
        <f t="shared" si="71"/>
        <v>1</v>
      </c>
      <c r="T162" s="174" t="str">
        <f t="shared" si="56"/>
        <v>NorthBound</v>
      </c>
      <c r="U162" s="19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17" t="str">
        <f t="shared" si="57"/>
        <v>https://d0f6bd738d7f1b3e5a7ca70fe4ff75f0.us-east-1.aws.found.io/app/kibana#/discover/Steve-Slow-Train-Analysis-(2080s-and-2083s)?_g=(refreshInterval:(display:Off,pause:!f,section:0,value:0),time:(from:'2017-09-17T22:57:05-0600',mode:absolute,to:'2017-09-18T01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2" s="205" t="str">
        <f>IF(AA162&lt;VLOOKUP(AG162,Variables!$AC$3:$AD$8,2,FALSE),"Y","N")</f>
        <v>N</v>
      </c>
      <c r="X162" s="205">
        <f t="shared" si="69"/>
        <v>1</v>
      </c>
      <c r="Y162" s="205">
        <f t="shared" si="58"/>
        <v>4.53E-2</v>
      </c>
      <c r="Z162" s="205">
        <f t="shared" si="59"/>
        <v>23.330100000000002</v>
      </c>
      <c r="AA162" s="205">
        <f t="shared" si="60"/>
        <v>23.284800000000001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80">
        <f t="shared" si="61"/>
        <v>241</v>
      </c>
      <c r="AE162" s="77" t="str">
        <f t="shared" si="62"/>
        <v>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 &amp; 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</v>
      </c>
      <c r="AF162" s="74" t="str">
        <f t="shared" si="63"/>
        <v>"C:\Program Files (x86)\AstroGrep\AstroGrep.exe" /e /r /s /spath="%USERPROFILE%\AppData\Local\Temp\OnboardLogs" /stypes="app*4028*20170918*" /stext=" 06:.+((SYSTEM_STATE.+slice.+state.+changed )|(ment ac)|(multiple cpu faults)|(system.+state.+changed )|(\[timeout)|(PRM\|1\|D)|(kpr)|(kdp)|(train st.+moving)|(\|lc)|(penalty))"</v>
      </c>
      <c r="AG162" s="183" t="str">
        <f t="shared" si="64"/>
        <v>EC</v>
      </c>
      <c r="AH162" s="78" t="str">
        <f t="shared" si="65"/>
        <v>"%USERPROFILE%\Documents\GitHub\eaglep3\Utilities\RefineRTDCRunTimes.py" --tripid 241-17 --locoid 4028 --swversion DE.1.0.9.0 --startMP 204:453 --initTime 2017-09-17T23:57:05 --startdatetime 2017-09-18T00:00:13 --delay 54 --endMP 204:233301 --enddatetime 2017-09-18T00:36:04 --enforcementcount 0 &gt;&gt;C:\Users\stu\Documents\GitHub\eaglep3-reporting\EC\2017-09-17-refined-times.txt</v>
      </c>
      <c r="AI162" s="96" t="str">
        <f t="shared" si="66"/>
        <v>echo {"issue":{"subject":"","project_id":79,"tracker_id":40,"status_id":1,"priority_id":2,"assigned_to_id":338,"start_date":"2017-09-18","description":"","custom_fields":[{"id":1,"name":"Subdivision","value":"EC"},{"id":4,"name":"Milepost","value":"23.3301"},{"id":17,"name":"Train ID","value":"241-17"},{"id":16,"name":"Locomotive ID","value":"4028"},{"id":130,"name":"Impact","value":""},{"id":150,"name":"Time of Event (Mountain Time)","value":"00:36:04"},{"id":151,"name":"Denver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7"/>
        <v>start /low /b %USERPROFILE%\Documents\GitHub\eaglep3\Utilities\DownloadLogsFromS3.py --loco 4028 --day 2017-09-18</v>
      </c>
      <c r="AN162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06:36:04"},{"id":29,"name":"Sharepoint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Message%20ID',Summary),filters:!(),index:'emp_*',interval:auto,query:"&amp;"(query_string:(analyze_wildcard:!t,query:'Message%5C+ID:(*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-09-17T22:57:05-0600',mode:absolute,to:'2017-09-18T01:36:04-0600'))&amp;_a=(columns:!('Message%20ID',Summary),filters:!(),index:'emp_*',interval:auto,query:(query_string:(analyze_wildcard:!t,query:'Message%5C+ID:(*)+AND+%22rtdc.l.rtdc.4028%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811</v>
      </c>
      <c r="B163" s="7">
        <v>4027</v>
      </c>
      <c r="C163" s="21" t="s">
        <v>197</v>
      </c>
      <c r="D163" s="21" t="s">
        <v>482</v>
      </c>
      <c r="E163" s="13">
        <v>42996.026273148149</v>
      </c>
      <c r="F163" s="13">
        <v>42996.03974537037</v>
      </c>
      <c r="G163" s="7">
        <v>60</v>
      </c>
      <c r="H163" s="21" t="s">
        <v>416</v>
      </c>
      <c r="I163" s="13">
        <v>42996.068379629629</v>
      </c>
      <c r="J163" s="7">
        <v>0</v>
      </c>
      <c r="K163" s="89" t="str">
        <f t="shared" si="54"/>
        <v>4027/4028</v>
      </c>
      <c r="L163" s="186" t="str">
        <f>VLOOKUP(A163,'Trips&amp;Operators'!$C$1:$G$99911,5,FALSE)</f>
        <v>ELBAUM MIKE</v>
      </c>
      <c r="M163" s="6">
        <f t="shared" si="55"/>
        <v>2.8634259258979E-2</v>
      </c>
      <c r="N163" s="7">
        <f t="shared" si="70"/>
        <v>41.23333333292976</v>
      </c>
      <c r="O163" s="7"/>
      <c r="P163" s="7"/>
      <c r="Q163" s="22"/>
      <c r="R163" s="174"/>
      <c r="S163" s="222">
        <f t="shared" si="71"/>
        <v>1</v>
      </c>
      <c r="T163" s="174" t="str">
        <f t="shared" si="56"/>
        <v>Southbound</v>
      </c>
      <c r="U163" s="19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217" t="str">
        <f t="shared" si="57"/>
        <v>https://d0f6bd738d7f1b3e5a7ca70fe4ff75f0.us-east-1.aws.found.io/app/kibana#/discover/Steve-Slow-Train-Analysis-(2080s-and-2083s)?_g=(refreshInterval:(display:Off,pause:!f,section:0,value:0),time:(from:'2017-09-17T23:37:50-0600',mode:absolute,to:'2017-09-18T02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3" s="205" t="str">
        <f>IF(AA163&lt;VLOOKUP(AG163,Variables!$AC$3:$AD$8,2,FALSE),"Y","N")</f>
        <v>N</v>
      </c>
      <c r="X163" s="205">
        <f t="shared" si="69"/>
        <v>1</v>
      </c>
      <c r="Y163" s="205">
        <f t="shared" si="58"/>
        <v>23.298999999999999</v>
      </c>
      <c r="Z163" s="205">
        <f t="shared" si="59"/>
        <v>1.6299999999999999E-2</v>
      </c>
      <c r="AA163" s="205">
        <f t="shared" si="60"/>
        <v>23.282699999999998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80">
        <f t="shared" si="61"/>
        <v>242</v>
      </c>
      <c r="AE163" s="77" t="str">
        <f t="shared" si="62"/>
        <v>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 &amp; 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</v>
      </c>
      <c r="AF163" s="74" t="str">
        <f t="shared" si="63"/>
        <v>"C:\Program Files (x86)\AstroGrep\AstroGrep.exe" /e /r /s /spath="%USERPROFILE%\AppData\Local\Temp\OnboardLogs" /stypes="app*4027*20170918*" /stext=" 07:.+((SYSTEM_STATE.+slice.+state.+changed )|(ment ac)|(multiple cpu faults)|(system.+state.+changed )|(\[timeout)|(PRM\|1\|D)|(kpr)|(kdp)|(train st.+moving)|(\|lc)|(penalty))"</v>
      </c>
      <c r="AG163" s="183" t="str">
        <f t="shared" si="64"/>
        <v>EC</v>
      </c>
      <c r="AH163" s="78" t="str">
        <f t="shared" si="65"/>
        <v>"%USERPROFILE%\Documents\GitHub\eaglep3\Utilities\RefineRTDCRunTimes.py" --tripid 242-17 --locoid 4027 --swversion DE.1.0.9.0 --startMP 204:232990 --initTime 2017-09-18T00:37:50 --startdatetime 2017-09-18T00:57:14 --delay 60 --endMP 204:163 --enddatetime 2017-09-18T01:38:28 --enforcementcount 0 &gt;&gt;C:\Users\stu\Documents\GitHub\eaglep3-reporting\EC\2017-09-17-refined-times.txt</v>
      </c>
      <c r="AI163" s="96" t="str">
        <f t="shared" si="66"/>
        <v>echo {"issue":{"subject":"","project_id":79,"tracker_id":40,"status_id":1,"priority_id":2,"assigned_to_id":338,"start_date":"2017-09-18","description":"","custom_fields":[{"id":1,"name":"Subdivision","value":"EC"},{"id":4,"name":"Milepost","value":"0.0163"},{"id":17,"name":"Train ID","value":"242-17"},{"id":16,"name":"Locomotive ID","value":"4027"},{"id":130,"name":"Impact","value":""},{"id":150,"name":"Time of Event (Mountain Time)","value":"01:38:28"},{"id":151,"name":"Denver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7"/>
        <v>start /low /b %USERPROFILE%\Documents\GitHub\eaglep3\Utilities\DownloadLogsFromS3.py --loco 4027 --day 2017-09-18</v>
      </c>
      <c r="AN163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07:38:28"},{"id":29,"name":"Sharepoint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Message%20ID',Summary),filters:!(),index:'emp_*',interval:auto,query:"&amp;"(query_string:(analyze_wildcard:!t,query:'Message%5C+ID:(*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-09-17T23:37:50-0600',mode:absolute,to:'2017-09-18T02:38:28-0600'))&amp;_a=(columns:!('Message%20ID',Summary),filters:!(),index:'emp_*',interval:auto,query:(query_string:(analyze_wildcard:!t,query:'Message%5C+ID:(*)+AND+%22rtdc.l.rtdc.4027%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809</v>
      </c>
      <c r="B164" s="7">
        <v>4056</v>
      </c>
      <c r="C164" s="21" t="s">
        <v>197</v>
      </c>
      <c r="D164" s="21" t="s">
        <v>907</v>
      </c>
      <c r="E164" s="13">
        <v>42996.005671296298</v>
      </c>
      <c r="F164" s="13">
        <v>42996.020995370367</v>
      </c>
      <c r="G164" s="7">
        <v>100</v>
      </c>
      <c r="H164" s="21" t="s">
        <v>549</v>
      </c>
      <c r="I164" s="13">
        <v>42996.045219907406</v>
      </c>
      <c r="J164" s="7">
        <v>0</v>
      </c>
      <c r="K164" s="89" t="str">
        <f t="shared" si="54"/>
        <v>4055/4056</v>
      </c>
      <c r="L164" s="186" t="str">
        <f>VLOOKUP(A164,'Trips&amp;Operators'!$C$1:$G$99911,5,FALSE)</f>
        <v>DUNCAN SHEILA</v>
      </c>
      <c r="M164" s="6">
        <f t="shared" si="55"/>
        <v>2.4224537039117422E-2</v>
      </c>
      <c r="N164" s="7">
        <f t="shared" si="70"/>
        <v>34.883333336329088</v>
      </c>
      <c r="O164" s="7"/>
      <c r="P164" s="7"/>
      <c r="Q164" s="22"/>
      <c r="R164" s="174"/>
      <c r="S164" s="222">
        <f t="shared" si="71"/>
        <v>1</v>
      </c>
      <c r="T164" s="174" t="str">
        <f t="shared" si="56"/>
        <v>NorthBound</v>
      </c>
      <c r="U164" s="19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12</v>
      </c>
      <c r="V164" s="217" t="str">
        <f t="shared" si="57"/>
        <v>https://d0f6bd738d7f1b3e5a7ca70fe4ff75f0.us-east-1.aws.found.io/app/kibana#/discover/Steve-Slow-Train-Analysis-(2080s-and-2083s)?_g=(refreshInterval:(display:Off,pause:!f,section:0,value:0),time:(from:'2017-09-17T23:08:10-0600',mode:absolute,to:'2017-09-18T02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4" s="205" t="str">
        <f>IF(AA164&lt;VLOOKUP(AG164,Variables!$AC$3:$AD$8,2,FALSE),"Y","N")</f>
        <v>N</v>
      </c>
      <c r="X164" s="205">
        <f t="shared" ref="X164:X169" si="72">VALUE(LEFT(AD164,4))-VALUE(LEFT(AD163,4))</f>
        <v>1</v>
      </c>
      <c r="Y164" s="205">
        <f t="shared" si="58"/>
        <v>4.5699999999999998E-2</v>
      </c>
      <c r="Z164" s="205">
        <f t="shared" si="59"/>
        <v>23.333200000000001</v>
      </c>
      <c r="AA164" s="205">
        <f t="shared" si="60"/>
        <v>23.287500000000001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80">
        <f t="shared" si="61"/>
        <v>243</v>
      </c>
      <c r="AE164" s="77" t="str">
        <f t="shared" si="62"/>
        <v>aws s3 cp s3://rtdc.mdm.uploadarchive.raw/RTDC4056/ "%USERPROFILE%\AppData\Local\Temp\OnboardLogs"\RTDC4056\2017-09-18 --exclude "*" --recursive --include "*20170918*" &amp; "%USERPROFILE%\Documents\GitHub\mrs-test-scripts\Headless Mode &amp; Sideloading\WalkAndUnGZ.bat" "%USERPROFILE%\AppData\Local\Temp\OnboardLogs"\RTDC4056\2017-09-18 &amp; aws s3 cp s3://rtdc.mdm.uploadarchive.raw/RTDC4056/ "%USERPROFILE%\AppData\Local\Temp\OnboardLogs"\RTDC4056\2017-09-19 --exclude "*" --recursive --include "*20170919*" &amp; "%USERPROFILE%\Documents\GitHub\mrs-test-scripts\Headless Mode &amp; Sideloading\WalkAndUnGZ.bat" "%USERPROFILE%\AppData\Local\Temp\OnboardLogs"\RTDC4056\2017-09-19</v>
      </c>
      <c r="AF164" s="74" t="str">
        <f t="shared" si="63"/>
        <v>"C:\Program Files (x86)\AstroGrep\AstroGrep.exe" /e /r /s /spath="%USERPROFILE%\AppData\Local\Temp\OnboardLogs" /stypes="app*4056*20170918*" /stext=" 07:.+((SYSTEM_STATE.+slice.+state.+changed )|(ment ac)|(multiple cpu faults)|(system.+state.+changed )|(\[timeout)|(PRM\|1\|D)|(kpr)|(kdp)|(train st.+moving)|(\|lc)|(penalty))"</v>
      </c>
      <c r="AG164" s="183" t="str">
        <f t="shared" si="64"/>
        <v>EC</v>
      </c>
      <c r="AH164" s="78" t="str">
        <f t="shared" si="65"/>
        <v>"%USERPROFILE%\Documents\GitHub\eaglep3\Utilities\RefineRTDCRunTimes.py" --tripid 243-17 --locoid 4056 --swversion DE.1.0.9.0 --startMP 204:457 --initTime 2017-09-18T00:08:10 --startdatetime 2017-09-18T00:30:14 --delay 100 --endMP 204:233332 --enddatetime 2017-09-18T01:05:07 --enforcementcount 0 &gt;&gt;C:\Users\stu\Documents\GitHub\eaglep3-reporting\EC\2017-09-17-refined-times.txt</v>
      </c>
      <c r="AI164" s="96" t="str">
        <f t="shared" si="66"/>
        <v>echo {"issue":{"subject":"","project_id":79,"tracker_id":40,"status_id":1,"priority_id":2,"assigned_to_id":338,"start_date":"2017-09-18","description":"","custom_fields":[{"id":1,"name":"Subdivision","value":"EC"},{"id":4,"name":"Milepost","value":"23.3332"},{"id":17,"name":"Train ID","value":"243-17"},{"id":16,"name":"Locomotive ID","value":"4056"},{"id":130,"name":"Impact","value":""},{"id":150,"name":"Time of Event (Mountain Time)","value":"01:05:07"},{"id":151,"name":"Denver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7"/>
        <v>start /low /b %USERPROFILE%\Documents\GitHub\eaglep3\Utilities\DownloadLogsFromS3.py --loco 4056 --day 2017-09-18</v>
      </c>
      <c r="AN164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07:05:07"},{"id":29,"name":"Sharepoint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Message%20ID',Summary),filters:!(),index:'emp_*',interval:auto,query:"&amp;"(query_string:(analyze_wildcard:!t,query:'Message%5C+ID:(*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-09-17T23:08:10-0600',mode:absolute,to:'2017-09-18T02:05:07-0600'))&amp;_a=(columns:!('Message%20ID',Summary),filters:!(),index:'emp_*',interval:auto,query:(query_string:(analyze_wildcard:!t,query:'Message%5C+ID:(*)+AND+%22rtdc.l.rtdc.4056%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814</v>
      </c>
      <c r="B165" s="7">
        <v>4055</v>
      </c>
      <c r="C165" s="21" t="s">
        <v>197</v>
      </c>
      <c r="D165" s="21" t="s">
        <v>431</v>
      </c>
      <c r="E165" s="13">
        <v>42996.055937500001</v>
      </c>
      <c r="F165" s="13">
        <v>42996.060659722221</v>
      </c>
      <c r="G165" s="7">
        <v>62</v>
      </c>
      <c r="H165" s="21" t="s">
        <v>827</v>
      </c>
      <c r="I165" s="13">
        <v>42996.086215277777</v>
      </c>
      <c r="J165" s="7">
        <v>0</v>
      </c>
      <c r="K165" s="89" t="str">
        <f t="shared" si="54"/>
        <v>4055/4056</v>
      </c>
      <c r="L165" s="186" t="str">
        <f>VLOOKUP(A165,'Trips&amp;Operators'!$C$1:$G$99911,5,FALSE)</f>
        <v>DUNCAN SHEILA</v>
      </c>
      <c r="M165" s="6">
        <f t="shared" si="55"/>
        <v>2.5555555555911269E-2</v>
      </c>
      <c r="N165" s="7">
        <f t="shared" si="70"/>
        <v>36.800000000512227</v>
      </c>
      <c r="O165" s="7"/>
      <c r="P165" s="7"/>
      <c r="Q165" s="22"/>
      <c r="R165" s="174"/>
      <c r="S165" s="222">
        <f t="shared" si="71"/>
        <v>1</v>
      </c>
      <c r="T165" s="174" t="str">
        <f t="shared" si="56"/>
        <v>Southbound</v>
      </c>
      <c r="U165" s="19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12</v>
      </c>
      <c r="V165" s="217" t="str">
        <f t="shared" si="57"/>
        <v>https://d0f6bd738d7f1b3e5a7ca70fe4ff75f0.us-east-1.aws.found.io/app/kibana#/discover/Steve-Slow-Train-Analysis-(2080s-and-2083s)?_g=(refreshInterval:(display:Off,pause:!f,section:0,value:0),time:(from:'2017-09-18T00:20:33-0600',mode:absolute,to:'2017-09-18T03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5" s="205" t="str">
        <f>IF(AA165&lt;VLOOKUP(AG165,Variables!$AC$3:$AD$8,2,FALSE),"Y","N")</f>
        <v>N</v>
      </c>
      <c r="X165" s="205">
        <f t="shared" si="72"/>
        <v>1</v>
      </c>
      <c r="Y165" s="205">
        <f t="shared" si="58"/>
        <v>23.301300000000001</v>
      </c>
      <c r="Z165" s="205">
        <f t="shared" si="59"/>
        <v>1.6899999999999998E-2</v>
      </c>
      <c r="AA165" s="205">
        <f t="shared" si="60"/>
        <v>23.284400000000002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80">
        <f t="shared" si="61"/>
        <v>244</v>
      </c>
      <c r="AE165" s="77" t="str">
        <f t="shared" si="62"/>
        <v>aws s3 cp s3://rtdc.mdm.uploadarchive.raw/RTDC4055/ "%USERPROFILE%\AppData\Local\Temp\OnboardLogs"\RTDC4055\2017-09-18 --exclude "*" --recursive --include "*20170918*" &amp; "%USERPROFILE%\Documents\GitHub\mrs-test-scripts\Headless Mode &amp; Sideloading\WalkAndUnGZ.bat" "%USERPROFILE%\AppData\Local\Temp\OnboardLogs"\RTDC4055\2017-09-18 &amp; 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</v>
      </c>
      <c r="AF165" s="74" t="str">
        <f t="shared" si="63"/>
        <v>"C:\Program Files (x86)\AstroGrep\AstroGrep.exe" /e /r /s /spath="%USERPROFILE%\AppData\Local\Temp\OnboardLogs" /stypes="app*4055*20170918*" /stext=" 08:.+((SYSTEM_STATE.+slice.+state.+changed )|(ment ac)|(multiple cpu faults)|(system.+state.+changed )|(\[timeout)|(PRM\|1\|D)|(kpr)|(kdp)|(train st.+moving)|(\|lc)|(penalty))"</v>
      </c>
      <c r="AG165" s="183" t="str">
        <f t="shared" si="64"/>
        <v>EC</v>
      </c>
      <c r="AH165" s="78" t="str">
        <f t="shared" si="65"/>
        <v>"%USERPROFILE%\Documents\GitHub\eaglep3\Utilities\RefineRTDCRunTimes.py" --tripid 244-17 --locoid 4055 --swversion DE.1.0.9.0 --startMP 204:233013 --initTime 2017-09-18T01:20:33 --startdatetime 2017-09-18T01:27:21 --delay 62 --endMP 204:169 --enddatetime 2017-09-18T02:04:09 --enforcementcount 0 &gt;&gt;C:\Users\stu\Documents\GitHub\eaglep3-reporting\EC\2017-09-17-refined-times.txt</v>
      </c>
      <c r="AI165" s="96" t="str">
        <f t="shared" si="66"/>
        <v>echo {"issue":{"subject":"","project_id":79,"tracker_id":40,"status_id":1,"priority_id":2,"assigned_to_id":338,"start_date":"2017-09-18","description":"","custom_fields":[{"id":1,"name":"Subdivision","value":"EC"},{"id":4,"name":"Milepost","value":"0.0169"},{"id":17,"name":"Train ID","value":"244-17"},{"id":16,"name":"Locomotive ID","value":"4055"},{"id":130,"name":"Impact","value":""},{"id":150,"name":"Time of Event (Mountain Time)","value":"02:04:09"},{"id":151,"name":"Denver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7"/>
        <v>start /low /b %USERPROFILE%\Documents\GitHub\eaglep3\Utilities\DownloadLogsFromS3.py --loco 4055 --day 2017-09-18</v>
      </c>
      <c r="AN165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08:04:09"},{"id":29,"name":"Sharepoint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Message%20ID',Summary),filters:!(),index:'emp_*',interval:auto,query:"&amp;"(query_string:(analyze_wildcard:!t,query:'Message%5C+ID:(*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-09-18T00:20:33-0600',mode:absolute,to:'2017-09-18T03:04:09-0600'))&amp;_a=(columns:!('Message%20ID',Summary),filters:!(),index:'emp_*',interval:auto,query:(query_string:(analyze_wildcard:!t,query:'Message%5C+ID:(*)+AND+%22rtdc.l.rtdc.4055%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579</v>
      </c>
      <c r="B166" s="7">
        <v>4023</v>
      </c>
      <c r="C166" s="21" t="s">
        <v>197</v>
      </c>
      <c r="D166" s="21" t="s">
        <v>858</v>
      </c>
      <c r="E166" s="13">
        <v>42995.23609953704</v>
      </c>
      <c r="F166" s="13">
        <v>42995.238807870373</v>
      </c>
      <c r="G166" s="7">
        <v>155</v>
      </c>
      <c r="H166" s="21" t="s">
        <v>859</v>
      </c>
      <c r="I166" s="13">
        <v>42995.24800925926</v>
      </c>
      <c r="J166" s="7">
        <v>0</v>
      </c>
      <c r="K166" s="89" t="str">
        <f t="shared" si="54"/>
        <v>4023/4024</v>
      </c>
      <c r="L166" s="186" t="str">
        <f>VLOOKUP(A166,'Trips&amp;Operators'!$C$1:$G$99911,5,FALSE)</f>
        <v>ROMERO CHAD</v>
      </c>
      <c r="M166" s="6">
        <f t="shared" si="55"/>
        <v>9.2013888861401938E-3</v>
      </c>
      <c r="N166" s="7">
        <f t="shared" si="70"/>
        <v>13.249999996041879</v>
      </c>
      <c r="O166" s="7"/>
      <c r="P166" s="7"/>
      <c r="Q166" s="22"/>
      <c r="R166" s="174"/>
      <c r="S166" s="222">
        <f t="shared" si="71"/>
        <v>1</v>
      </c>
      <c r="T166" s="174" t="str">
        <f t="shared" si="56"/>
        <v>Southbound</v>
      </c>
      <c r="U166" s="19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7" t="str">
        <f t="shared" si="57"/>
        <v>https://d0f6bd738d7f1b3e5a7ca70fe4ff75f0.us-east-1.aws.found.io/app/kibana#/discover/Steve-Slow-Train-Analysis-(2080s-and-2083s)?_g=(refreshInterval:(display:Off,pause:!f,section:0,value:0),time:(from:'2017-09-17T04:39:59-0600',mode:absolute,to:'2017-09-17T06:57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6" s="205" t="str">
        <f>IF(AA166&lt;VLOOKUP(AG166,Variables!$AC$3:$AD$8,2,FALSE),"Y","N")</f>
        <v>N</v>
      </c>
      <c r="X166" s="205">
        <f t="shared" si="72"/>
        <v>1556</v>
      </c>
      <c r="Y166" s="205">
        <f t="shared" si="58"/>
        <v>5.8689</v>
      </c>
      <c r="Z166" s="205">
        <f t="shared" si="59"/>
        <v>6.4699999999999994E-2</v>
      </c>
      <c r="AA166" s="205">
        <f t="shared" si="60"/>
        <v>5.8041999999999998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80">
        <f t="shared" si="61"/>
        <v>1800</v>
      </c>
      <c r="AE166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66" s="74" t="str">
        <f t="shared" si="63"/>
        <v>"C:\Program Files (x86)\AstroGrep\AstroGrep.exe" /e /r /s /spath="%USERPROFILE%\AppData\Local\Temp\OnboardLogs" /stypes="app*4023*20170917*" /stext=" 11:.+((SYSTEM_STATE.+slice.+state.+changed )|(ment ac)|(multiple cpu faults)|(system.+state.+changed )|(\[timeout)|(PRM\|1\|D)|(kpr)|(kdp)|(train st.+moving)|(\|lc)|(penalty))"</v>
      </c>
      <c r="AG166" s="183" t="str">
        <f t="shared" si="64"/>
        <v>NW</v>
      </c>
      <c r="AH166" s="78" t="str">
        <f t="shared" si="65"/>
        <v>"%USERPROFILE%\Documents\GitHub\eaglep3\Utilities\RefineRTDCRunTimes.py" --tripid 1800-17 --locoid 4023 --swversion DE.1.0.9.0 --startMP 300:58689 --initTime 2017-09-17T05:39:59 --startdatetime 2017-09-17T05:43:53 --delay 155 --endMP 204:647 --enddatetime 2017-09-17T05:57:08 --enforcementcount 0 &gt;&gt;C:\Users\stu\Documents\GitHub\eaglep3-reporting\EC\2017-09-17-refined-times.txt</v>
      </c>
      <c r="AI166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{"issue":{"subject":"","project_id":79,"tracker_id":40,"status_id":1,"priority_id":2,"assigned_to_id":338,"start_date":"2017-09-17","description":"","custom_fields":[{"id":1,"name":"Subdivision","value":"NW"},{"id":4,"name":"Milepost","value":"0.0647"},{"id":17,"name":"Train ID","value":"1800-17"},{"id":16,"name":"Locomotive ID","value":"4023"},{"id":130,"name":"Impact","value":""},{"id":150,"name":"Time of Event (Mountain Time)","value":"05:57:08"},{"id":151,"name":"Denver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7"/>
        <v>start /low /b %USERPROFILE%\Documents\GitHub\eaglep3\Utilities\DownloadLogsFromS3.py --loco 4023 --day 2017-09-17</v>
      </c>
      <c r="AN166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11:57:08"},{"id":29,"name":"Sharepoint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Message%20ID',Summary),filters:!(),index:'emp_*',interval:auto,query:"&amp;"(query_string:(analyze_wildcard:!t,query:'Message%5C+ID:(*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-09-17T04:39:59-0600',mode:absolute,to:'2017-09-17T06:57:08-0600'))&amp;_a=(columns:!('Message%20ID',Summary),filters:!(),index:'emp_*',interval:auto,query:(query_string:(analyze_wildcard:!t,query:'Message%5C+ID:(*)+AND+%22rtdc.l.rtdc.4023%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655</v>
      </c>
      <c r="B167" s="7">
        <v>4024</v>
      </c>
      <c r="C167" s="21" t="s">
        <v>197</v>
      </c>
      <c r="D167" s="21" t="s">
        <v>860</v>
      </c>
      <c r="E167" s="13">
        <v>42995.249930555554</v>
      </c>
      <c r="F167" s="13">
        <v>42995.256469907406</v>
      </c>
      <c r="G167" s="7">
        <v>46</v>
      </c>
      <c r="H167" s="21" t="s">
        <v>861</v>
      </c>
      <c r="I167" s="13">
        <v>42995.265729166669</v>
      </c>
      <c r="J167" s="7">
        <v>0</v>
      </c>
      <c r="K167" s="89" t="str">
        <f t="shared" si="54"/>
        <v>4023/4024</v>
      </c>
      <c r="L167" s="186" t="str">
        <f>VLOOKUP(A167,'Trips&amp;Operators'!$C$1:$G$99911,5,FALSE)</f>
        <v>ROMERO CHAD</v>
      </c>
      <c r="M167" s="6">
        <f t="shared" si="55"/>
        <v>9.2592592627624981E-3</v>
      </c>
      <c r="N167" s="7">
        <f t="shared" si="70"/>
        <v>13.333333338377997</v>
      </c>
      <c r="O167" s="7"/>
      <c r="P167" s="7"/>
      <c r="Q167" s="22"/>
      <c r="R167" s="174"/>
      <c r="S167" s="222">
        <f t="shared" si="71"/>
        <v>1</v>
      </c>
      <c r="T167" s="174" t="str">
        <f t="shared" si="56"/>
        <v>NorthBound</v>
      </c>
      <c r="U167" s="19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7" t="str">
        <f t="shared" si="57"/>
        <v>https://d0f6bd738d7f1b3e5a7ca70fe4ff75f0.us-east-1.aws.found.io/app/kibana#/discover/Steve-Slow-Train-Analysis-(2080s-and-2083s)?_g=(refreshInterval:(display:Off,pause:!f,section:0,value:0),time:(from:'2017-09-17T04:59:54-0600',mode:absolute,to:'2017-09-17T07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7" s="205" t="str">
        <f>IF(AA167&lt;VLOOKUP(AG167,Variables!$AC$3:$AD$8,2,FALSE),"Y","N")</f>
        <v>N</v>
      </c>
      <c r="X167" s="205">
        <f t="shared" si="72"/>
        <v>1</v>
      </c>
      <c r="Y167" s="205">
        <f t="shared" si="58"/>
        <v>9.3700000000000006E-2</v>
      </c>
      <c r="Z167" s="205">
        <f t="shared" si="59"/>
        <v>5.9001000000000001</v>
      </c>
      <c r="AA167" s="205">
        <f t="shared" si="60"/>
        <v>5.8064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80">
        <f t="shared" si="61"/>
        <v>1801</v>
      </c>
      <c r="AE167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67" s="74" t="str">
        <f t="shared" si="63"/>
        <v>"C:\Program Files (x86)\AstroGrep\AstroGrep.exe" /e /r /s /spath="%USERPROFILE%\AppData\Local\Temp\OnboardLogs" /stypes="app*4024*20170917*" /stext=" 12:.+((SYSTEM_STATE.+slice.+state.+changed )|(ment ac)|(multiple cpu faults)|(system.+state.+changed )|(\[timeout)|(PRM\|1\|D)|(kpr)|(kdp)|(train st.+moving)|(\|lc)|(penalty))"</v>
      </c>
      <c r="AG167" s="183" t="str">
        <f t="shared" si="64"/>
        <v>NW</v>
      </c>
      <c r="AH167" s="78" t="str">
        <f t="shared" si="65"/>
        <v>"%USERPROFILE%\Documents\GitHub\eaglep3\Utilities\RefineRTDCRunTimes.py" --tripid 1801-17 --locoid 4024 --swversion DE.1.0.9.0 --startMP 204:937 --initTime 2017-09-17T05:59:54 --startdatetime 2017-09-17T06:09:19 --delay 46 --endMP 300:59001 --enddatetime 2017-09-17T06:22:39 --enforcementcount 0 &gt;&gt;C:\Users\stu\Documents\GitHub\eaglep3-reporting\EC\2017-09-17-refined-times.txt</v>
      </c>
      <c r="AI167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{"issue":{"subject":"","project_id":79,"tracker_id":40,"status_id":1,"priority_id":2,"assigned_to_id":338,"start_date":"2017-09-17","description":"","custom_fields":[{"id":1,"name":"Subdivision","value":"NW"},{"id":4,"name":"Milepost","value":"5.9001"},{"id":17,"name":"Train ID","value":"1801-17"},{"id":16,"name":"Locomotive ID","value":"4024"},{"id":130,"name":"Impact","value":""},{"id":150,"name":"Time of Event (Mountain Time)","value":"06:22:39"},{"id":151,"name":"Denver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7"/>
        <v>start /low /b %USERPROFILE%\Documents\GitHub\eaglep3\Utilities\DownloadLogsFromS3.py --loco 4024 --day 2017-09-17</v>
      </c>
      <c r="AN167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12:22:39"},{"id":29,"name":"Sharepoint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Message%20ID',Summary),filters:!(),index:'emp_*',interval:auto,query:"&amp;"(query_string:(analyze_wildcard:!t,query:'Message%5C+ID:(*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-09-17T04:59:54-0600',mode:absolute,to:'2017-09-17T07:22:39-0600'))&amp;_a=(columns:!('Message%20ID',Summary),filters:!(),index:'emp_*',interval:auto,query:(query_string:(analyze_wildcard:!t,query:'Message%5C+ID:(*)+AND+%22rtdc.l.rtdc.4024%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658</v>
      </c>
      <c r="B168" s="7">
        <v>4023</v>
      </c>
      <c r="C168" s="21" t="s">
        <v>197</v>
      </c>
      <c r="D168" s="21" t="s">
        <v>862</v>
      </c>
      <c r="E168" s="13">
        <v>42995.267361111109</v>
      </c>
      <c r="F168" s="13">
        <v>42995.272268518522</v>
      </c>
      <c r="G168" s="7">
        <v>59</v>
      </c>
      <c r="H168" s="21" t="s">
        <v>863</v>
      </c>
      <c r="I168" s="13">
        <v>42995.288032407407</v>
      </c>
      <c r="J168" s="7">
        <v>0</v>
      </c>
      <c r="K168" s="89" t="str">
        <f t="shared" si="54"/>
        <v>4023/4024</v>
      </c>
      <c r="L168" s="186" t="str">
        <f>VLOOKUP(A168,'Trips&amp;Operators'!$C$1:$G$99911,5,FALSE)</f>
        <v>ROMERO CHAD</v>
      </c>
      <c r="M168" s="6">
        <f t="shared" si="55"/>
        <v>1.5763888884976041E-2</v>
      </c>
      <c r="N168" s="7">
        <f t="shared" si="70"/>
        <v>22.699999994365498</v>
      </c>
      <c r="O168" s="7"/>
      <c r="P168" s="7"/>
      <c r="Q168" s="22"/>
      <c r="R168" s="174"/>
      <c r="S168" s="222">
        <f t="shared" si="71"/>
        <v>1</v>
      </c>
      <c r="T168" s="174" t="str">
        <f t="shared" si="56"/>
        <v>Southbound</v>
      </c>
      <c r="U168" s="19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7" t="str">
        <f t="shared" si="57"/>
        <v>https://d0f6bd738d7f1b3e5a7ca70fe4ff75f0.us-east-1.aws.found.io/app/kibana#/discover/Steve-Slow-Train-Analysis-(2080s-and-2083s)?_g=(refreshInterval:(display:Off,pause:!f,section:0,value:0),time:(from:'2017-09-17T05:25:00-0600',mode:absolute,to:'2017-09-17T07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8" s="205" t="str">
        <f>IF(AA168&lt;VLOOKUP(AG168,Variables!$AC$3:$AD$8,2,FALSE),"Y","N")</f>
        <v>N</v>
      </c>
      <c r="X168" s="205">
        <f t="shared" si="72"/>
        <v>1</v>
      </c>
      <c r="Y168" s="205">
        <f t="shared" si="58"/>
        <v>5.8681000000000001</v>
      </c>
      <c r="Z168" s="205">
        <f t="shared" si="59"/>
        <v>6.4299999999999996E-2</v>
      </c>
      <c r="AA168" s="205">
        <f t="shared" si="60"/>
        <v>5.8037999999999998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80">
        <f t="shared" si="61"/>
        <v>1802</v>
      </c>
      <c r="AE168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68" s="74" t="str">
        <f t="shared" si="63"/>
        <v>"C:\Program Files (x86)\AstroGrep\AstroGrep.exe" /e /r /s /spath="%USERPROFILE%\AppData\Local\Temp\OnboardLogs" /stypes="app*4023*20170917*" /stext=" 12:.+((SYSTEM_STATE.+slice.+state.+changed )|(ment ac)|(multiple cpu faults)|(system.+state.+changed )|(\[timeout)|(PRM\|1\|D)|(kpr)|(kdp)|(train st.+moving)|(\|lc)|(penalty))"</v>
      </c>
      <c r="AG168" s="183" t="str">
        <f t="shared" si="64"/>
        <v>NW</v>
      </c>
      <c r="AH168" s="78" t="str">
        <f t="shared" si="65"/>
        <v>"%USERPROFILE%\Documents\GitHub\eaglep3\Utilities\RefineRTDCRunTimes.py" --tripid 1802-17 --locoid 4023 --swversion DE.1.0.9.0 --startMP 300:58681 --initTime 2017-09-17T06:25:00 --startdatetime 2017-09-17T06:32:04 --delay 59 --endMP 204:643 --enddatetime 2017-09-17T06:54:46 --enforcementcount 0 &gt;&gt;C:\Users\stu\Documents\GitHub\eaglep3-reporting\EC\2017-09-17-refined-times.txt</v>
      </c>
      <c r="AI168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{"issue":{"subject":"","project_id":79,"tracker_id":40,"status_id":1,"priority_id":2,"assigned_to_id":338,"start_date":"2017-09-17","description":"","custom_fields":[{"id":1,"name":"Subdivision","value":"NW"},{"id":4,"name":"Milepost","value":"0.0643"},{"id":17,"name":"Train ID","value":"1802-17"},{"id":16,"name":"Locomotive ID","value":"4023"},{"id":130,"name":"Impact","value":""},{"id":150,"name":"Time of Event (Mountain Time)","value":"06:54:46"},{"id":151,"name":"Denver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7"/>
        <v>start /low /b %USERPROFILE%\Documents\GitHub\eaglep3\Utilities\DownloadLogsFromS3.py --loco 4023 --day 2017-09-17</v>
      </c>
      <c r="AN168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12:54:46"},{"id":29,"name":"Sharepoint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Message%20ID',Summary),filters:!(),index:'emp_*',interval:auto,query:"&amp;"(query_string:(analyze_wildcard:!t,query:'Message%5C+ID:(*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-09-17T05:25:00-0600',mode:absolute,to:'2017-09-17T07:54:46-0600'))&amp;_a=(columns:!('Message%20ID',Summary),filters:!(),index:'emp_*',interval:auto,query:(query_string:(analyze_wildcard:!t,query:'Message%5C+ID:(*)+AND+%22rtdc.l.rtdc.4023%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661</v>
      </c>
      <c r="B169" s="7">
        <v>4024</v>
      </c>
      <c r="C169" s="21" t="s">
        <v>197</v>
      </c>
      <c r="D169" s="21" t="s">
        <v>864</v>
      </c>
      <c r="E169" s="13">
        <v>42995.289178240739</v>
      </c>
      <c r="F169" s="13">
        <v>42995.298078703701</v>
      </c>
      <c r="G169" s="7">
        <v>52</v>
      </c>
      <c r="H169" s="21" t="s">
        <v>865</v>
      </c>
      <c r="I169" s="13">
        <v>42995.307187500002</v>
      </c>
      <c r="J169" s="7">
        <v>0</v>
      </c>
      <c r="K169" s="89" t="str">
        <f t="shared" si="54"/>
        <v>4023/4024</v>
      </c>
      <c r="L169" s="186" t="str">
        <f>VLOOKUP(A169,'Trips&amp;Operators'!$C$1:$G$99911,5,FALSE)</f>
        <v>ROMERO CHAD</v>
      </c>
      <c r="M169" s="6">
        <f t="shared" si="55"/>
        <v>9.1087963010068052E-3</v>
      </c>
      <c r="N169" s="7">
        <f t="shared" si="70"/>
        <v>13.116666673449799</v>
      </c>
      <c r="O169" s="7"/>
      <c r="P169" s="7"/>
      <c r="Q169" s="22"/>
      <c r="R169" s="174"/>
      <c r="S169" s="222">
        <f t="shared" si="71"/>
        <v>1</v>
      </c>
      <c r="T169" s="174" t="str">
        <f t="shared" si="56"/>
        <v>NorthBound</v>
      </c>
      <c r="U169" s="19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7" t="str">
        <f t="shared" si="57"/>
        <v>https://d0f6bd738d7f1b3e5a7ca70fe4ff75f0.us-east-1.aws.found.io/app/kibana#/discover/Steve-Slow-Train-Analysis-(2080s-and-2083s)?_g=(refreshInterval:(display:Off,pause:!f,section:0,value:0),time:(from:'2017-09-17T05:56:25-0600',mode:absolute,to:'2017-09-17T08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9" s="205" t="str">
        <f>IF(AA169&lt;VLOOKUP(AG169,Variables!$AC$3:$AD$8,2,FALSE),"Y","N")</f>
        <v>N</v>
      </c>
      <c r="X169" s="205">
        <f t="shared" si="72"/>
        <v>1</v>
      </c>
      <c r="Y169" s="205">
        <f t="shared" si="58"/>
        <v>9.2700000000000005E-2</v>
      </c>
      <c r="Z169" s="205">
        <f t="shared" si="59"/>
        <v>5.9006999999999996</v>
      </c>
      <c r="AA169" s="205">
        <f t="shared" si="60"/>
        <v>5.8079999999999998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80">
        <f t="shared" si="61"/>
        <v>1803</v>
      </c>
      <c r="AE169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69" s="74" t="str">
        <f t="shared" si="63"/>
        <v>"C:\Program Files (x86)\AstroGrep\AstroGrep.exe" /e /r /s /spath="%USERPROFILE%\AppData\Local\Temp\OnboardLogs" /stypes="app*4024*20170917*" /stext=" 13:.+((SYSTEM_STATE.+slice.+state.+changed )|(ment ac)|(multiple cpu faults)|(system.+state.+changed )|(\[timeout)|(PRM\|1\|D)|(kpr)|(kdp)|(train st.+moving)|(\|lc)|(penalty))"</v>
      </c>
      <c r="AG169" s="183" t="str">
        <f t="shared" si="64"/>
        <v>NW</v>
      </c>
      <c r="AH169" s="78" t="str">
        <f t="shared" si="65"/>
        <v>"%USERPROFILE%\Documents\GitHub\eaglep3\Utilities\RefineRTDCRunTimes.py" --tripid 1803-17 --locoid 4024 --swversion DE.1.0.9.0 --startMP 204:927 --initTime 2017-09-17T06:56:25 --startdatetime 2017-09-17T07:09:14 --delay 52 --endMP 300:59007 --enddatetime 2017-09-17T07:22:21 --enforcementcount 0 &gt;&gt;C:\Users\stu\Documents\GitHub\eaglep3-reporting\EC\2017-09-17-refined-times.txt</v>
      </c>
      <c r="AI169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{"issue":{"subject":"","project_id":79,"tracker_id":40,"status_id":1,"priority_id":2,"assigned_to_id":338,"start_date":"2017-09-17","description":"","custom_fields":[{"id":1,"name":"Subdivision","value":"NW"},{"id":4,"name":"Milepost","value":"5.9007"},{"id":17,"name":"Train ID","value":"1803-17"},{"id":16,"name":"Locomotive ID","value":"4024"},{"id":130,"name":"Impact","value":""},{"id":150,"name":"Time of Event (Mountain Time)","value":"07:22:21"},{"id":151,"name":"Denver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7"/>
        <v>start /low /b %USERPROFILE%\Documents\GitHub\eaglep3\Utilities\DownloadLogsFromS3.py --loco 4024 --day 2017-09-17</v>
      </c>
      <c r="AN169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13:22:21"},{"id":29,"name":"Sharepoint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Message%20ID',Summary),filters:!(),index:'emp_*',interval:auto,query:"&amp;"(query_string:(analyze_wildcard:!t,query:'Message%5C+ID:(*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-09-17T05:56:25-0600',mode:absolute,to:'2017-09-17T08:22:21-0600'))&amp;_a=(columns:!('Message%20ID',Summary),filters:!(),index:'emp_*',interval:auto,query:(query_string:(analyze_wildcard:!t,query:'Message%5C+ID:(*)+AND+%22rtdc.l.rtdc.4024%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665</v>
      </c>
      <c r="B170" s="7">
        <v>4023</v>
      </c>
      <c r="C170" s="21" t="s">
        <v>197</v>
      </c>
      <c r="D170" s="21" t="s">
        <v>866</v>
      </c>
      <c r="E170" s="13">
        <v>42995.308749999997</v>
      </c>
      <c r="F170" s="13">
        <v>42995.321655092594</v>
      </c>
      <c r="G170" s="7">
        <v>55</v>
      </c>
      <c r="H170" s="21" t="s">
        <v>867</v>
      </c>
      <c r="I170" s="13">
        <v>42995.329548611109</v>
      </c>
      <c r="J170" s="7">
        <v>0</v>
      </c>
      <c r="K170" s="89" t="str">
        <f t="shared" si="54"/>
        <v>4023/4024</v>
      </c>
      <c r="L170" s="186" t="str">
        <f>VLOOKUP(A170,'Trips&amp;Operators'!$C$1:$G$99911,5,FALSE)</f>
        <v>ROMERO CHAD</v>
      </c>
      <c r="M170" s="6">
        <f t="shared" si="55"/>
        <v>7.8935185156296939E-3</v>
      </c>
      <c r="N170" s="7">
        <f t="shared" si="70"/>
        <v>11.366666662506759</v>
      </c>
      <c r="O170" s="7"/>
      <c r="P170" s="7"/>
      <c r="Q170" s="22"/>
      <c r="R170" s="174"/>
      <c r="S170" s="222">
        <f t="shared" si="71"/>
        <v>1</v>
      </c>
      <c r="T170" s="174" t="str">
        <f t="shared" si="56"/>
        <v>Southbound</v>
      </c>
      <c r="U170" s="19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7" t="str">
        <f t="shared" si="57"/>
        <v>https://d0f6bd738d7f1b3e5a7ca70fe4ff75f0.us-east-1.aws.found.io/app/kibana#/discover/Steve-Slow-Train-Analysis-(2080s-and-2083s)?_g=(refreshInterval:(display:Off,pause:!f,section:0,value:0),time:(from:'2017-09-17T06:24:36-0600',mode:absolute,to:'2017-09-17T08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0" s="205" t="str">
        <f>IF(AA170&lt;VLOOKUP(AG170,Variables!$AC$3:$AD$8,2,FALSE),"Y","N")</f>
        <v>N</v>
      </c>
      <c r="X170" s="205">
        <f t="shared" ref="X170:X193" si="73">VALUE(LEFT(AD170,4))-VALUE(LEFT(AD169,4))</f>
        <v>1</v>
      </c>
      <c r="Y170" s="205">
        <f t="shared" si="58"/>
        <v>5.8686999999999996</v>
      </c>
      <c r="Z170" s="205">
        <f t="shared" si="59"/>
        <v>6.4000000000000001E-2</v>
      </c>
      <c r="AA170" s="205">
        <f t="shared" si="60"/>
        <v>5.8046999999999995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80">
        <f t="shared" si="61"/>
        <v>1804</v>
      </c>
      <c r="AE170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70" s="74" t="str">
        <f t="shared" si="63"/>
        <v>"C:\Program Files (x86)\AstroGrep\AstroGrep.exe" /e /r /s /spath="%USERPROFILE%\AppData\Local\Temp\OnboardLogs" /stypes="app*4023*20170917*" /stext=" 13:.+((SYSTEM_STATE.+slice.+state.+changed )|(ment ac)|(multiple cpu faults)|(system.+state.+changed )|(\[timeout)|(PRM\|1\|D)|(kpr)|(kdp)|(train st.+moving)|(\|lc)|(penalty))"</v>
      </c>
      <c r="AG170" s="183" t="str">
        <f t="shared" si="64"/>
        <v>NW</v>
      </c>
      <c r="AH170" s="78" t="str">
        <f t="shared" si="65"/>
        <v>"%USERPROFILE%\Documents\GitHub\eaglep3\Utilities\RefineRTDCRunTimes.py" --tripid 1804-17 --locoid 4023 --swversion DE.1.0.9.0 --startMP 300:58687 --initTime 2017-09-17T07:24:36 --startdatetime 2017-09-17T07:43:11 --delay 55 --endMP 204:640 --enddatetime 2017-09-17T07:54:33 --enforcementcount 0 &gt;&gt;C:\Users\stu\Documents\GitHub\eaglep3-reporting\EC\2017-09-17-refined-times.txt</v>
      </c>
      <c r="AI170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{"issue":{"subject":"","project_id":79,"tracker_id":40,"status_id":1,"priority_id":2,"assigned_to_id":338,"start_date":"2017-09-17","description":"","custom_fields":[{"id":1,"name":"Subdivision","value":"NW"},{"id":4,"name":"Milepost","value":"0.064"},{"id":17,"name":"Train ID","value":"1804-17"},{"id":16,"name":"Locomotive ID","value":"4023"},{"id":130,"name":"Impact","value":""},{"id":150,"name":"Time of Event (Mountain Time)","value":"07:54:33"},{"id":151,"name":"Denver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7"/>
        <v>start /low /b %USERPROFILE%\Documents\GitHub\eaglep3\Utilities\DownloadLogsFromS3.py --loco 4023 --day 2017-09-17</v>
      </c>
      <c r="AN170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13:54:33"},{"id":29,"name":"Sharepoint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Message%20ID',Summary),filters:!(),index:'emp_*',interval:auto,query:"&amp;"(query_string:(analyze_wildcard:!t,query:'Message%5C+ID:(*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-09-17T06:24:36-0600',mode:absolute,to:'2017-09-17T08:54:33-0600'))&amp;_a=(columns:!('Message%20ID',Summary),filters:!(),index:'emp_*',interval:auto,query:(query_string:(analyze_wildcard:!t,query:'Message%5C+ID:(*)+AND+%22rtdc.l.rtdc.4023%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670</v>
      </c>
      <c r="B171" s="7">
        <v>4024</v>
      </c>
      <c r="C171" s="21" t="s">
        <v>197</v>
      </c>
      <c r="D171" s="21" t="s">
        <v>868</v>
      </c>
      <c r="E171" s="13">
        <v>42995.330833333333</v>
      </c>
      <c r="F171" s="13">
        <v>42995.339803240742</v>
      </c>
      <c r="G171" s="7">
        <v>56</v>
      </c>
      <c r="H171" s="21" t="s">
        <v>869</v>
      </c>
      <c r="I171" s="13">
        <v>42995.349062499998</v>
      </c>
      <c r="J171" s="7">
        <v>0</v>
      </c>
      <c r="K171" s="89" t="str">
        <f t="shared" si="54"/>
        <v>4023/4024</v>
      </c>
      <c r="L171" s="186" t="str">
        <f>VLOOKUP(A171,'Trips&amp;Operators'!$C$1:$G$99911,5,FALSE)</f>
        <v>ROMERO CHAD</v>
      </c>
      <c r="M171" s="6">
        <f t="shared" si="55"/>
        <v>9.2592592554865405E-3</v>
      </c>
      <c r="N171" s="7">
        <f t="shared" si="70"/>
        <v>13.333333327900618</v>
      </c>
      <c r="O171" s="7"/>
      <c r="P171" s="7"/>
      <c r="Q171" s="22"/>
      <c r="R171" s="174"/>
      <c r="S171" s="222">
        <f t="shared" si="71"/>
        <v>1</v>
      </c>
      <c r="T171" s="174" t="str">
        <f t="shared" si="56"/>
        <v>NorthBound</v>
      </c>
      <c r="U171" s="19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7" t="str">
        <f t="shared" si="57"/>
        <v>https://d0f6bd738d7f1b3e5a7ca70fe4ff75f0.us-east-1.aws.found.io/app/kibana#/discover/Steve-Slow-Train-Analysis-(2080s-and-2083s)?_g=(refreshInterval:(display:Off,pause:!f,section:0,value:0),time:(from:'2017-09-17T06:56:24-0600',mode:absolute,to:'2017-09-17T09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1" s="205" t="str">
        <f>IF(AA171&lt;VLOOKUP(AG171,Variables!$AC$3:$AD$8,2,FALSE),"Y","N")</f>
        <v>N</v>
      </c>
      <c r="X171" s="205">
        <f t="shared" si="73"/>
        <v>1</v>
      </c>
      <c r="Y171" s="205">
        <f t="shared" si="58"/>
        <v>9.3399999999999997E-2</v>
      </c>
      <c r="Z171" s="205">
        <f t="shared" si="59"/>
        <v>5.9009999999999998</v>
      </c>
      <c r="AA171" s="205">
        <f t="shared" si="60"/>
        <v>5.8075999999999999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80">
        <f t="shared" si="61"/>
        <v>1805</v>
      </c>
      <c r="AE171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71" s="74" t="str">
        <f t="shared" si="63"/>
        <v>"C:\Program Files (x86)\AstroGrep\AstroGrep.exe" /e /r /s /spath="%USERPROFILE%\AppData\Local\Temp\OnboardLogs" /stypes="app*4024*20170917*" /stext=" 14:.+((SYSTEM_STATE.+slice.+state.+changed )|(ment ac)|(multiple cpu faults)|(system.+state.+changed )|(\[timeout)|(PRM\|1\|D)|(kpr)|(kdp)|(train st.+moving)|(\|lc)|(penalty))"</v>
      </c>
      <c r="AG171" s="183" t="str">
        <f t="shared" si="64"/>
        <v>NW</v>
      </c>
      <c r="AH171" s="78" t="str">
        <f t="shared" si="65"/>
        <v>"%USERPROFILE%\Documents\GitHub\eaglep3\Utilities\RefineRTDCRunTimes.py" --tripid 1805-17 --locoid 4024 --swversion DE.1.0.9.0 --startMP 204:934 --initTime 2017-09-17T07:56:24 --startdatetime 2017-09-17T08:09:19 --delay 56 --endMP 300:59010 --enddatetime 2017-09-17T08:22:39 --enforcementcount 0 &gt;&gt;C:\Users\stu\Documents\GitHub\eaglep3-reporting\EC\2017-09-17-refined-times.txt</v>
      </c>
      <c r="AI171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{"issue":{"subject":"","project_id":79,"tracker_id":40,"status_id":1,"priority_id":2,"assigned_to_id":338,"start_date":"2017-09-17","description":"","custom_fields":[{"id":1,"name":"Subdivision","value":"NW"},{"id":4,"name":"Milepost","value":"5.901"},{"id":17,"name":"Train ID","value":"1805-17"},{"id":16,"name":"Locomotive ID","value":"4024"},{"id":130,"name":"Impact","value":""},{"id":150,"name":"Time of Event (Mountain Time)","value":"08:22:39"},{"id":151,"name":"Denver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7"/>
        <v>start /low /b %USERPROFILE%\Documents\GitHub\eaglep3\Utilities\DownloadLogsFromS3.py --loco 4024 --day 2017-09-17</v>
      </c>
      <c r="AN171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14:22:39"},{"id":29,"name":"Sharepoint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Message%20ID',Summary),filters:!(),index:'emp_*',interval:auto,query:"&amp;"(query_string:(analyze_wildcard:!t,query:'Message%5C+ID:(*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-09-17T06:56:24-0600',mode:absolute,to:'2017-09-17T09:22:39-0600'))&amp;_a=(columns:!('Message%20ID',Summary),filters:!(),index:'emp_*',interval:auto,query:(query_string:(analyze_wildcard:!t,query:'Message%5C+ID:(*)+AND+%22rtdc.l.rtdc.4024%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675</v>
      </c>
      <c r="B172" s="7">
        <v>4023</v>
      </c>
      <c r="C172" s="21" t="s">
        <v>197</v>
      </c>
      <c r="D172" s="21" t="s">
        <v>560</v>
      </c>
      <c r="E172" s="13">
        <v>42995.350324074076</v>
      </c>
      <c r="F172" s="13">
        <v>42995.35670138889</v>
      </c>
      <c r="G172" s="7">
        <v>67</v>
      </c>
      <c r="H172" s="21" t="s">
        <v>870</v>
      </c>
      <c r="I172" s="13">
        <v>42995.371481481481</v>
      </c>
      <c r="J172" s="7">
        <v>0</v>
      </c>
      <c r="K172" s="89" t="str">
        <f t="shared" si="54"/>
        <v>4023/4024</v>
      </c>
      <c r="L172" s="186" t="str">
        <f>VLOOKUP(A172,'Trips&amp;Operators'!$C$1:$G$99911,5,FALSE)</f>
        <v>ROMERO CHAD</v>
      </c>
      <c r="M172" s="6">
        <f t="shared" si="55"/>
        <v>1.4780092591536231E-2</v>
      </c>
      <c r="N172" s="7">
        <f t="shared" si="70"/>
        <v>21.283333331812173</v>
      </c>
      <c r="O172" s="7"/>
      <c r="P172" s="7"/>
      <c r="Q172" s="22"/>
      <c r="R172" s="174"/>
      <c r="S172" s="222">
        <f t="shared" si="71"/>
        <v>1</v>
      </c>
      <c r="T172" s="174" t="str">
        <f t="shared" si="56"/>
        <v>Southbound</v>
      </c>
      <c r="U172" s="19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7" t="str">
        <f t="shared" si="57"/>
        <v>https://d0f6bd738d7f1b3e5a7ca70fe4ff75f0.us-east-1.aws.found.io/app/kibana#/discover/Steve-Slow-Train-Analysis-(2080s-and-2083s)?_g=(refreshInterval:(display:Off,pause:!f,section:0,value:0),time:(from:'2017-09-17T07:24:28-0600',mode:absolute,to:'2017-09-17T09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2" s="205" t="str">
        <f>IF(AA172&lt;VLOOKUP(AG172,Variables!$AC$3:$AD$8,2,FALSE),"Y","N")</f>
        <v>N</v>
      </c>
      <c r="X172" s="205">
        <f t="shared" si="73"/>
        <v>1</v>
      </c>
      <c r="Y172" s="205">
        <f t="shared" si="58"/>
        <v>5.8693999999999997</v>
      </c>
      <c r="Z172" s="205">
        <f t="shared" si="59"/>
        <v>6.3600000000000004E-2</v>
      </c>
      <c r="AA172" s="205">
        <f t="shared" si="60"/>
        <v>5.8057999999999996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80">
        <f t="shared" si="61"/>
        <v>1806</v>
      </c>
      <c r="AE172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72" s="74" t="str">
        <f t="shared" si="63"/>
        <v>"C:\Program Files (x86)\AstroGrep\AstroGrep.exe" /e /r /s /spath="%USERPROFILE%\AppData\Local\Temp\OnboardLogs" /stypes="app*4023*20170917*" /stext=" 14:.+((SYSTEM_STATE.+slice.+state.+changed )|(ment ac)|(multiple cpu faults)|(system.+state.+changed )|(\[timeout)|(PRM\|1\|D)|(kpr)|(kdp)|(train st.+moving)|(\|lc)|(penalty))"</v>
      </c>
      <c r="AG172" s="183" t="str">
        <f t="shared" si="64"/>
        <v>NW</v>
      </c>
      <c r="AH172" s="78" t="str">
        <f t="shared" si="65"/>
        <v>"%USERPROFILE%\Documents\GitHub\eaglep3\Utilities\RefineRTDCRunTimes.py" --tripid 1806-17 --locoid 4023 --swversion DE.1.0.9.0 --startMP 300:58694 --initTime 2017-09-17T08:24:28 --startdatetime 2017-09-17T08:33:39 --delay 67 --endMP 204:636 --enddatetime 2017-09-17T08:54:56 --enforcementcount 0 &gt;&gt;C:\Users\stu\Documents\GitHub\eaglep3-reporting\EC\2017-09-17-refined-times.txt</v>
      </c>
      <c r="AI172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{"issue":{"subject":"","project_id":79,"tracker_id":40,"status_id":1,"priority_id":2,"assigned_to_id":338,"start_date":"2017-09-17","description":"","custom_fields":[{"id":1,"name":"Subdivision","value":"NW"},{"id":4,"name":"Milepost","value":"0.0636"},{"id":17,"name":"Train ID","value":"1806-17"},{"id":16,"name":"Locomotive ID","value":"4023"},{"id":130,"name":"Impact","value":""},{"id":150,"name":"Time of Event (Mountain Time)","value":"08:54:56"},{"id":151,"name":"Denver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67"/>
        <v>start /low /b %USERPROFILE%\Documents\GitHub\eaglep3\Utilities\DownloadLogsFromS3.py --loco 4023 --day 2017-09-17</v>
      </c>
      <c r="AN172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14:54:56"},{"id":29,"name":"Sharepoint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Message%20ID',Summary),filters:!(),index:'emp_*',interval:auto,query:"&amp;"(query_string:(analyze_wildcard:!t,query:'Message%5C+ID:(*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-09-17T07:24:28-0600',mode:absolute,to:'2017-09-17T09:54:56-0600'))&amp;_a=(columns:!('Message%20ID',Summary),filters:!(),index:'emp_*',interval:auto,query:(query_string:(analyze_wildcard:!t,query:'Message%5C+ID:(*)+AND+%22rtdc.l.rtdc.4023%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679</v>
      </c>
      <c r="B173" s="7">
        <v>4024</v>
      </c>
      <c r="C173" s="21" t="s">
        <v>197</v>
      </c>
      <c r="D173" s="21" t="s">
        <v>871</v>
      </c>
      <c r="E173" s="13">
        <v>42995.372442129628</v>
      </c>
      <c r="F173" s="13">
        <v>42995.381504629629</v>
      </c>
      <c r="G173" s="7">
        <v>77</v>
      </c>
      <c r="H173" s="21" t="s">
        <v>872</v>
      </c>
      <c r="I173" s="13">
        <v>42995.390347222223</v>
      </c>
      <c r="J173" s="7">
        <v>0</v>
      </c>
      <c r="K173" s="89" t="str">
        <f t="shared" si="54"/>
        <v>4023/4024</v>
      </c>
      <c r="L173" s="186" t="str">
        <f>VLOOKUP(A173,'Trips&amp;Operators'!$C$1:$G$99911,5,FALSE)</f>
        <v>DELGADO DIANAH</v>
      </c>
      <c r="M173" s="6">
        <f t="shared" si="55"/>
        <v>8.8425925932824612E-3</v>
      </c>
      <c r="N173" s="7">
        <f t="shared" si="70"/>
        <v>12.733333334326744</v>
      </c>
      <c r="O173" s="7"/>
      <c r="P173" s="7"/>
      <c r="Q173" s="22"/>
      <c r="R173" s="174"/>
      <c r="S173" s="222">
        <f t="shared" si="71"/>
        <v>1</v>
      </c>
      <c r="T173" s="174" t="str">
        <f t="shared" si="56"/>
        <v>NorthBound</v>
      </c>
      <c r="U173" s="19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7" t="str">
        <f t="shared" si="57"/>
        <v>https://d0f6bd738d7f1b3e5a7ca70fe4ff75f0.us-east-1.aws.found.io/app/kibana#/discover/Steve-Slow-Train-Analysis-(2080s-and-2083s)?_g=(refreshInterval:(display:Off,pause:!f,section:0,value:0),time:(from:'2017-09-17T07:56:19-0600',mode:absolute,to:'2017-09-17T10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3" s="205" t="str">
        <f>IF(AA173&lt;VLOOKUP(AG173,Variables!$AC$3:$AD$8,2,FALSE),"Y","N")</f>
        <v>N</v>
      </c>
      <c r="X173" s="205">
        <f t="shared" si="73"/>
        <v>1</v>
      </c>
      <c r="Y173" s="205">
        <f t="shared" ref="Y173:Y193" si="74">RIGHT(D173,LEN(D173)-4)/10000</f>
        <v>9.0899999999999995E-2</v>
      </c>
      <c r="Z173" s="205">
        <f t="shared" ref="Z173:Z193" si="75">RIGHT(H173,LEN(H173)-4)/10000</f>
        <v>5.8971</v>
      </c>
      <c r="AA173" s="205">
        <f t="shared" si="60"/>
        <v>5.8061999999999996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80">
        <f t="shared" si="61"/>
        <v>1807</v>
      </c>
      <c r="AE173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73" s="74" t="str">
        <f t="shared" si="63"/>
        <v>"C:\Program Files (x86)\AstroGrep\AstroGrep.exe" /e /r /s /spath="%USERPROFILE%\AppData\Local\Temp\OnboardLogs" /stypes="app*4024*20170917*" /stext=" 15:.+((SYSTEM_STATE.+slice.+state.+changed )|(ment ac)|(multiple cpu faults)|(system.+state.+changed )|(\[timeout)|(PRM\|1\|D)|(kpr)|(kdp)|(train st.+moving)|(\|lc)|(penalty))"</v>
      </c>
      <c r="AG173" s="183" t="str">
        <f t="shared" si="64"/>
        <v>NW</v>
      </c>
      <c r="AH173" s="78" t="str">
        <f t="shared" si="65"/>
        <v>"%USERPROFILE%\Documents\GitHub\eaglep3\Utilities\RefineRTDCRunTimes.py" --tripid 1807-17 --locoid 4024 --swversion DE.1.0.9.0 --startMP 204:909 --initTime 2017-09-17T08:56:19 --startdatetime 2017-09-17T09:09:22 --delay 77 --endMP 300:58971 --enddatetime 2017-09-17T09:22:06 --enforcementcount 0 &gt;&gt;C:\Users\stu\Documents\GitHub\eaglep3-reporting\EC\2017-09-17-refined-times.txt</v>
      </c>
      <c r="AI173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{"issue":{"subject":"","project_id":79,"tracker_id":40,"status_id":1,"priority_id":2,"assigned_to_id":338,"start_date":"2017-09-17","description":"","custom_fields":[{"id":1,"name":"Subdivision","value":"NW"},{"id":4,"name":"Milepost","value":"5.8971"},{"id":17,"name":"Train ID","value":"1807-17"},{"id":16,"name":"Locomotive ID","value":"4024"},{"id":130,"name":"Impact","value":""},{"id":150,"name":"Time of Event (Mountain Time)","value":"09:22:06"},{"id":151,"name":"Denver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67"/>
        <v>start /low /b %USERPROFILE%\Documents\GitHub\eaglep3\Utilities\DownloadLogsFromS3.py --loco 4024 --day 2017-09-17</v>
      </c>
      <c r="AN173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15:22:06"},{"id":29,"name":"Sharepoint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Message%20ID',Summary),filters:!(),index:'emp_*',interval:auto,query:"&amp;"(query_string:(analyze_wildcard:!t,query:'Message%5C+ID:(*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-09-17T07:56:19-0600',mode:absolute,to:'2017-09-17T10:22:06-0600'))&amp;_a=(columns:!('Message%20ID',Summary),filters:!(),index:'emp_*',interval:auto,query:(query_string:(analyze_wildcard:!t,query:'Message%5C+ID:(*)+AND+%22rtdc.l.rtdc.4024%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587</v>
      </c>
      <c r="B174" s="7">
        <v>4023</v>
      </c>
      <c r="C174" s="21" t="s">
        <v>197</v>
      </c>
      <c r="D174" s="21" t="s">
        <v>873</v>
      </c>
      <c r="E174" s="13">
        <v>42995.391643518517</v>
      </c>
      <c r="F174" s="13">
        <v>42995.406284722223</v>
      </c>
      <c r="G174" s="7">
        <v>91</v>
      </c>
      <c r="H174" s="21" t="s">
        <v>874</v>
      </c>
      <c r="I174" s="13">
        <v>42995.413217592592</v>
      </c>
      <c r="J174" s="7">
        <v>0</v>
      </c>
      <c r="K174" s="89" t="str">
        <f t="shared" si="54"/>
        <v>4023/4024</v>
      </c>
      <c r="L174" s="186" t="str">
        <f>VLOOKUP(A174,'Trips&amp;Operators'!$C$1:$G$99911,5,FALSE)</f>
        <v>DELGADO DIANAH</v>
      </c>
      <c r="M174" s="6">
        <f t="shared" si="55"/>
        <v>6.9328703684732318E-3</v>
      </c>
      <c r="N174" s="7">
        <f t="shared" si="70"/>
        <v>9.9833333306014538</v>
      </c>
      <c r="O174" s="7"/>
      <c r="P174" s="7"/>
      <c r="Q174" s="22"/>
      <c r="R174" s="174"/>
      <c r="S174" s="222">
        <f t="shared" si="71"/>
        <v>1</v>
      </c>
      <c r="T174" s="174" t="str">
        <f t="shared" si="56"/>
        <v>Southbound</v>
      </c>
      <c r="U174" s="19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7" t="str">
        <f t="shared" si="57"/>
        <v>https://d0f6bd738d7f1b3e5a7ca70fe4ff75f0.us-east-1.aws.found.io/app/kibana#/discover/Steve-Slow-Train-Analysis-(2080s-and-2083s)?_g=(refreshInterval:(display:Off,pause:!f,section:0,value:0),time:(from:'2017-09-17T08:23:58-0600',mode:absolute,to:'2017-09-17T10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4" s="205" t="str">
        <f>IF(AA174&lt;VLOOKUP(AG174,Variables!$AC$3:$AD$8,2,FALSE),"Y","N")</f>
        <v>N</v>
      </c>
      <c r="X174" s="205">
        <f t="shared" si="73"/>
        <v>1</v>
      </c>
      <c r="Y174" s="205">
        <f t="shared" si="74"/>
        <v>5.8663999999999996</v>
      </c>
      <c r="Z174" s="205">
        <f t="shared" si="75"/>
        <v>6.0699999999999997E-2</v>
      </c>
      <c r="AA174" s="205">
        <f t="shared" si="60"/>
        <v>5.8056999999999999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80">
        <f t="shared" si="61"/>
        <v>1808</v>
      </c>
      <c r="AE174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74" s="74" t="str">
        <f t="shared" si="63"/>
        <v>"C:\Program Files (x86)\AstroGrep\AstroGrep.exe" /e /r /s /spath="%USERPROFILE%\AppData\Local\Temp\OnboardLogs" /stypes="app*4023*20170917*" /stext=" 15:.+((SYSTEM_STATE.+slice.+state.+changed )|(ment ac)|(multiple cpu faults)|(system.+state.+changed )|(\[timeout)|(PRM\|1\|D)|(kpr)|(kdp)|(train st.+moving)|(\|lc)|(penalty))"</v>
      </c>
      <c r="AG174" s="183" t="str">
        <f t="shared" si="64"/>
        <v>NW</v>
      </c>
      <c r="AH174" s="78" t="str">
        <f t="shared" si="65"/>
        <v>"%USERPROFILE%\Documents\GitHub\eaglep3\Utilities\RefineRTDCRunTimes.py" --tripid 1808-17 --locoid 4023 --swversion DE.1.0.9.0 --startMP 300:58664 --initTime 2017-09-17T09:23:58 --startdatetime 2017-09-17T09:45:03 --delay 91 --endMP 204:607 --enddatetime 2017-09-17T09:55:02 --enforcementcount 0 &gt;&gt;C:\Users\stu\Documents\GitHub\eaglep3-reporting\EC\2017-09-17-refined-times.txt</v>
      </c>
      <c r="AI174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{"issue":{"subject":"","project_id":79,"tracker_id":40,"status_id":1,"priority_id":2,"assigned_to_id":338,"start_date":"2017-09-17","description":"","custom_fields":[{"id":1,"name":"Subdivision","value":"NW"},{"id":4,"name":"Milepost","value":"0.0607"},{"id":17,"name":"Train ID","value":"1808-17"},{"id":16,"name":"Locomotive ID","value":"4023"},{"id":130,"name":"Impact","value":""},{"id":150,"name":"Time of Event (Mountain Time)","value":"09:55:02"},{"id":151,"name":"Denver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67"/>
        <v>start /low /b %USERPROFILE%\Documents\GitHub\eaglep3\Utilities\DownloadLogsFromS3.py --loco 4023 --day 2017-09-17</v>
      </c>
      <c r="AN174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15:55:02"},{"id":29,"name":"Sharepoint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Message%20ID',Summary),filters:!(),index:'emp_*',interval:auto,query:"&amp;"(query_string:(analyze_wildcard:!t,query:'Message%5C+ID:(*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-09-17T08:23:58-0600',mode:absolute,to:'2017-09-17T10:55:02-0600'))&amp;_a=(columns:!('Message%20ID',Summary),filters:!(),index:'emp_*',interval:auto,query:(query_string:(analyze_wildcard:!t,query:'Message%5C+ID:(*)+AND+%22rtdc.l.rtdc.4023%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686</v>
      </c>
      <c r="B175" s="7">
        <v>4024</v>
      </c>
      <c r="C175" s="21" t="s">
        <v>197</v>
      </c>
      <c r="D175" s="21" t="s">
        <v>875</v>
      </c>
      <c r="E175" s="13">
        <v>42995.415173611109</v>
      </c>
      <c r="F175" s="13">
        <v>42995.424293981479</v>
      </c>
      <c r="G175" s="7">
        <v>73</v>
      </c>
      <c r="H175" s="21" t="s">
        <v>876</v>
      </c>
      <c r="I175" s="13">
        <v>42995.433009259257</v>
      </c>
      <c r="J175" s="7">
        <v>0</v>
      </c>
      <c r="K175" s="89" t="str">
        <f t="shared" si="54"/>
        <v>4023/4024</v>
      </c>
      <c r="L175" s="186" t="str">
        <f>VLOOKUP(A175,'Trips&amp;Operators'!$C$1:$G$99911,5,FALSE)</f>
        <v>DELGADO DIANAH</v>
      </c>
      <c r="M175" s="6">
        <f t="shared" si="55"/>
        <v>8.7152777778101154E-3</v>
      </c>
      <c r="N175" s="7">
        <f t="shared" si="70"/>
        <v>12.550000000046566</v>
      </c>
      <c r="O175" s="7"/>
      <c r="P175" s="7"/>
      <c r="Q175" s="22"/>
      <c r="R175" s="174"/>
      <c r="S175" s="222">
        <f t="shared" si="71"/>
        <v>1</v>
      </c>
      <c r="T175" s="174" t="str">
        <f t="shared" si="56"/>
        <v>NorthBound</v>
      </c>
      <c r="U175" s="19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7" t="str">
        <f t="shared" si="57"/>
        <v>https://d0f6bd738d7f1b3e5a7ca70fe4ff75f0.us-east-1.aws.found.io/app/kibana#/discover/Steve-Slow-Train-Analysis-(2080s-and-2083s)?_g=(refreshInterval:(display:Off,pause:!f,section:0,value:0),time:(from:'2017-09-17T08:57:51-0600',mode:absolute,to:'2017-09-17T11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5" s="205" t="str">
        <f>IF(AA175&lt;VLOOKUP(AG175,Variables!$AC$3:$AD$8,2,FALSE),"Y","N")</f>
        <v>N</v>
      </c>
      <c r="X175" s="205">
        <f t="shared" si="73"/>
        <v>1</v>
      </c>
      <c r="Y175" s="205">
        <f t="shared" si="74"/>
        <v>8.8300000000000003E-2</v>
      </c>
      <c r="Z175" s="205">
        <f t="shared" si="75"/>
        <v>5.9002999999999997</v>
      </c>
      <c r="AA175" s="205">
        <f t="shared" si="60"/>
        <v>5.8119999999999994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80">
        <f t="shared" si="61"/>
        <v>1809</v>
      </c>
      <c r="AE175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75" s="74" t="str">
        <f t="shared" si="63"/>
        <v>"C:\Program Files (x86)\AstroGrep\AstroGrep.exe" /e /r /s /spath="%USERPROFILE%\AppData\Local\Temp\OnboardLogs" /stypes="app*4024*20170917*" /stext=" 16:.+((SYSTEM_STATE.+slice.+state.+changed )|(ment ac)|(multiple cpu faults)|(system.+state.+changed )|(\[timeout)|(PRM\|1\|D)|(kpr)|(kdp)|(train st.+moving)|(\|lc)|(penalty))"</v>
      </c>
      <c r="AG175" s="183" t="str">
        <f t="shared" si="64"/>
        <v>NW</v>
      </c>
      <c r="AH175" s="78" t="str">
        <f t="shared" si="65"/>
        <v>"%USERPROFILE%\Documents\GitHub\eaglep3\Utilities\RefineRTDCRunTimes.py" --tripid 1809-17 --locoid 4024 --swversion DE.1.0.9.0 --startMP 204:883 --initTime 2017-09-17T09:57:51 --startdatetime 2017-09-17T10:10:59 --delay 73 --endMP 300:59003 --enddatetime 2017-09-17T10:23:32 --enforcementcount 0 &gt;&gt;C:\Users\stu\Documents\GitHub\eaglep3-reporting\EC\2017-09-17-refined-times.txt</v>
      </c>
      <c r="AI175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{"issue":{"subject":"","project_id":79,"tracker_id":40,"status_id":1,"priority_id":2,"assigned_to_id":338,"start_date":"2017-09-17","description":"","custom_fields":[{"id":1,"name":"Subdivision","value":"NW"},{"id":4,"name":"Milepost","value":"5.9003"},{"id":17,"name":"Train ID","value":"1809-17"},{"id":16,"name":"Locomotive ID","value":"4024"},{"id":130,"name":"Impact","value":""},{"id":150,"name":"Time of Event (Mountain Time)","value":"10:23:32"},{"id":151,"name":"Denver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67"/>
        <v>start /low /b %USERPROFILE%\Documents\GitHub\eaglep3\Utilities\DownloadLogsFromS3.py --loco 4024 --day 2017-09-17</v>
      </c>
      <c r="AN175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16:23:32"},{"id":29,"name":"Sharepoint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Message%20ID',Summary),filters:!(),index:'emp_*',interval:auto,query:"&amp;"(query_string:(analyze_wildcard:!t,query:'Message%5C+ID:(*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-09-17T08:57:51-0600',mode:absolute,to:'2017-09-17T11:23:32-0600'))&amp;_a=(columns:!('Message%20ID',Summary),filters:!(),index:'emp_*',interval:auto,query:(query_string:(analyze_wildcard:!t,query:'Message%5C+ID:(*)+AND+%22rtdc.l.rtdc.4024%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691</v>
      </c>
      <c r="B176" s="7">
        <v>4023</v>
      </c>
      <c r="C176" s="21" t="s">
        <v>197</v>
      </c>
      <c r="D176" s="21" t="s">
        <v>560</v>
      </c>
      <c r="E176" s="13">
        <v>42995.434189814812</v>
      </c>
      <c r="F176" s="13">
        <v>42995.447916666664</v>
      </c>
      <c r="G176" s="7">
        <v>134</v>
      </c>
      <c r="H176" s="21" t="s">
        <v>878</v>
      </c>
      <c r="I176" s="13">
        <v>42995.455000000002</v>
      </c>
      <c r="J176" s="7">
        <v>0</v>
      </c>
      <c r="K176" s="89" t="str">
        <f t="shared" si="54"/>
        <v>4023/4024</v>
      </c>
      <c r="L176" s="186" t="str">
        <f>VLOOKUP(A176,'Trips&amp;Operators'!$C$1:$G$99911,5,FALSE)</f>
        <v>ROMERO CHAD</v>
      </c>
      <c r="M176" s="6">
        <f t="shared" si="55"/>
        <v>7.0833333375048824E-3</v>
      </c>
      <c r="N176" s="7">
        <f t="shared" si="70"/>
        <v>10.200000006007031</v>
      </c>
      <c r="O176" s="7"/>
      <c r="P176" s="7"/>
      <c r="Q176" s="22"/>
      <c r="R176" s="174"/>
      <c r="S176" s="222">
        <f t="shared" si="71"/>
        <v>1</v>
      </c>
      <c r="T176" s="174" t="str">
        <f t="shared" si="56"/>
        <v>Southbound</v>
      </c>
      <c r="U176" s="19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7" t="str">
        <f t="shared" si="57"/>
        <v>https://d0f6bd738d7f1b3e5a7ca70fe4ff75f0.us-east-1.aws.found.io/app/kibana#/discover/Steve-Slow-Train-Analysis-(2080s-and-2083s)?_g=(refreshInterval:(display:Off,pause:!f,section:0,value:0),time:(from:'2017-09-17T09:25:14-0600',mode:absolute,to:'2017-09-17T11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6" s="205" t="str">
        <f>IF(AA176&lt;VLOOKUP(AG176,Variables!$AC$3:$AD$8,2,FALSE),"Y","N")</f>
        <v>N</v>
      </c>
      <c r="X176" s="205">
        <f t="shared" si="73"/>
        <v>1</v>
      </c>
      <c r="Y176" s="205">
        <f t="shared" si="74"/>
        <v>5.8693999999999997</v>
      </c>
      <c r="Z176" s="205">
        <f t="shared" si="75"/>
        <v>6.5000000000000002E-2</v>
      </c>
      <c r="AA176" s="205">
        <f t="shared" si="60"/>
        <v>5.8043999999999993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80">
        <f t="shared" si="61"/>
        <v>1810</v>
      </c>
      <c r="AE176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76" s="74" t="str">
        <f t="shared" si="63"/>
        <v>"C:\Program Files (x86)\AstroGrep\AstroGrep.exe" /e /r /s /spath="%USERPROFILE%\AppData\Local\Temp\OnboardLogs" /stypes="app*4023*20170917*" /stext=" 16:.+((SYSTEM_STATE.+slice.+state.+changed )|(ment ac)|(multiple cpu faults)|(system.+state.+changed )|(\[timeout)|(PRM\|1\|D)|(kpr)|(kdp)|(train st.+moving)|(\|lc)|(penalty))"</v>
      </c>
      <c r="AG176" s="183" t="str">
        <f t="shared" si="64"/>
        <v>NW</v>
      </c>
      <c r="AH176" s="78" t="str">
        <f t="shared" si="65"/>
        <v>"%USERPROFILE%\Documents\GitHub\eaglep3\Utilities\RefineRTDCRunTimes.py" --tripid 1810-17 --locoid 4023 --swversion DE.1.0.9.0 --startMP 300:58694 --initTime 2017-09-17T10:25:14 --startdatetime 2017-09-17T10:45:00 --delay 134 --endMP 204:650 --enddatetime 2017-09-17T10:55:12 --enforcementcount 0 &gt;&gt;C:\Users\stu\Documents\GitHub\eaglep3-reporting\EC\2017-09-17-refined-times.txt</v>
      </c>
      <c r="AI176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{"issue":{"subject":"","project_id":79,"tracker_id":40,"status_id":1,"priority_id":2,"assigned_to_id":338,"start_date":"2017-09-17","description":"","custom_fields":[{"id":1,"name":"Subdivision","value":"NW"},{"id":4,"name":"Milepost","value":"0.065"},{"id":17,"name":"Train ID","value":"1810-17"},{"id":16,"name":"Locomotive ID","value":"4023"},{"id":130,"name":"Impact","value":""},{"id":150,"name":"Time of Event (Mountain Time)","value":"10:55:12"},{"id":151,"name":"Denver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67"/>
        <v>start /low /b %USERPROFILE%\Documents\GitHub\eaglep3\Utilities\DownloadLogsFromS3.py --loco 4023 --day 2017-09-17</v>
      </c>
      <c r="AN176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16:55:12"},{"id":29,"name":"Sharepoint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Message%20ID',Summary),filters:!(),index:'emp_*',interval:auto,query:"&amp;"(query_string:(analyze_wildcard:!t,query:'Message%5C+ID:(*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-09-17T09:25:14-0600',mode:absolute,to:'2017-09-17T11:55:12-0600'))&amp;_a=(columns:!('Message%20ID',Summary),filters:!(),index:'emp_*',interval:auto,query:(query_string:(analyze_wildcard:!t,query:'Message%5C+ID:(*)+AND+%22rtdc.l.rtdc.4023%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590</v>
      </c>
      <c r="B177" s="7">
        <v>4024</v>
      </c>
      <c r="C177" s="21" t="s">
        <v>197</v>
      </c>
      <c r="D177" s="21" t="s">
        <v>879</v>
      </c>
      <c r="E177" s="13">
        <v>42995.456782407404</v>
      </c>
      <c r="F177" s="13">
        <v>42995.465497685182</v>
      </c>
      <c r="G177" s="7">
        <v>95</v>
      </c>
      <c r="H177" s="21" t="s">
        <v>880</v>
      </c>
      <c r="I177" s="13">
        <v>42995.474803240744</v>
      </c>
      <c r="J177" s="7">
        <v>0</v>
      </c>
      <c r="K177" s="89" t="str">
        <f t="shared" si="54"/>
        <v>4023/4024</v>
      </c>
      <c r="L177" s="186" t="str">
        <f>VLOOKUP(A177,'Trips&amp;Operators'!$C$1:$G$99911,5,FALSE)</f>
        <v>ROMERO CHAD</v>
      </c>
      <c r="M177" s="6">
        <f t="shared" si="55"/>
        <v>9.30555556260515E-3</v>
      </c>
      <c r="N177" s="7">
        <f t="shared" si="70"/>
        <v>13.400000010151416</v>
      </c>
      <c r="O177" s="7"/>
      <c r="P177" s="7"/>
      <c r="Q177" s="22"/>
      <c r="R177" s="174"/>
      <c r="S177" s="222">
        <f t="shared" si="71"/>
        <v>1</v>
      </c>
      <c r="T177" s="174" t="str">
        <f t="shared" si="56"/>
        <v>NorthBound</v>
      </c>
      <c r="U177" s="19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7" t="str">
        <f t="shared" si="57"/>
        <v>https://d0f6bd738d7f1b3e5a7ca70fe4ff75f0.us-east-1.aws.found.io/app/kibana#/discover/Steve-Slow-Train-Analysis-(2080s-and-2083s)?_g=(refreshInterval:(display:Off,pause:!f,section:0,value:0),time:(from:'2017-09-17T09:57:46-0600',mode:absolute,to:'2017-09-17T12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7" s="205" t="str">
        <f>IF(AA177&lt;VLOOKUP(AG177,Variables!$AC$3:$AD$8,2,FALSE),"Y","N")</f>
        <v>N</v>
      </c>
      <c r="X177" s="205">
        <f t="shared" si="73"/>
        <v>1</v>
      </c>
      <c r="Y177" s="205">
        <f t="shared" si="74"/>
        <v>0.13819999999999999</v>
      </c>
      <c r="Z177" s="205">
        <f t="shared" si="75"/>
        <v>5.8118999999999996</v>
      </c>
      <c r="AA177" s="205">
        <f t="shared" si="60"/>
        <v>5.6736999999999993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80">
        <f t="shared" si="61"/>
        <v>1811</v>
      </c>
      <c r="AE177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77" s="74" t="str">
        <f t="shared" si="63"/>
        <v>"C:\Program Files (x86)\AstroGrep\AstroGrep.exe" /e /r /s /spath="%USERPROFILE%\AppData\Local\Temp\OnboardLogs" /stypes="app*4024*20170917*" /stext=" 17:.+((SYSTEM_STATE.+slice.+state.+changed )|(ment ac)|(multiple cpu faults)|(system.+state.+changed )|(\[timeout)|(PRM\|1\|D)|(kpr)|(kdp)|(train st.+moving)|(\|lc)|(penalty))"</v>
      </c>
      <c r="AG177" s="183" t="str">
        <f t="shared" si="64"/>
        <v>NW</v>
      </c>
      <c r="AH177" s="78" t="str">
        <f t="shared" si="65"/>
        <v>"%USERPROFILE%\Documents\GitHub\eaglep3\Utilities\RefineRTDCRunTimes.py" --tripid 1811-17 --locoid 4024 --swversion DE.1.0.9.0 --startMP 204:1382 --initTime 2017-09-17T10:57:46 --startdatetime 2017-09-17T11:10:19 --delay 95 --endMP 300:58119 --enddatetime 2017-09-17T11:23:43 --enforcementcount 0 &gt;&gt;C:\Users\stu\Documents\GitHub\eaglep3-reporting\EC\2017-09-17-refined-times.txt</v>
      </c>
      <c r="AI177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{"issue":{"subject":"","project_id":79,"tracker_id":40,"status_id":1,"priority_id":2,"assigned_to_id":338,"start_date":"2017-09-17","description":"","custom_fields":[{"id":1,"name":"Subdivision","value":"NW"},{"id":4,"name":"Milepost","value":"5.8119"},{"id":17,"name":"Train ID","value":"1811-17"},{"id":16,"name":"Locomotive ID","value":"4024"},{"id":130,"name":"Impact","value":""},{"id":150,"name":"Time of Event (Mountain Time)","value":"11:23:43"},{"id":151,"name":"Denver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67"/>
        <v>start /low /b %USERPROFILE%\Documents\GitHub\eaglep3\Utilities\DownloadLogsFromS3.py --loco 4024 --day 2017-09-17</v>
      </c>
      <c r="AN177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17:23:43"},{"id":29,"name":"Sharepoint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Message%20ID',Summary),filters:!(),index:'emp_*',interval:auto,query:"&amp;"(query_string:(analyze_wildcard:!t,query:'Message%5C+ID:(*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-09-17T09:57:46-0600',mode:absolute,to:'2017-09-17T12:23:43-0600'))&amp;_a=(columns:!('Message%20ID',Summary),filters:!(),index:'emp_*',interval:auto,query:(query_string:(analyze_wildcard:!t,query:'Message%5C+ID:(*)+AND+%22rtdc.l.rtdc.4024%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590</v>
      </c>
      <c r="B178" s="7">
        <v>4024</v>
      </c>
      <c r="C178" s="21" t="s">
        <v>197</v>
      </c>
      <c r="D178" s="21" t="s">
        <v>879</v>
      </c>
      <c r="E178" s="13">
        <v>42995.463784722226</v>
      </c>
      <c r="F178" s="13">
        <v>42995.465497685182</v>
      </c>
      <c r="G178" s="7">
        <v>61</v>
      </c>
      <c r="H178" s="21" t="s">
        <v>880</v>
      </c>
      <c r="I178" s="13">
        <v>42995.474803240744</v>
      </c>
      <c r="J178" s="7">
        <v>0</v>
      </c>
      <c r="K178" s="89" t="str">
        <f t="shared" si="54"/>
        <v>4023/4024</v>
      </c>
      <c r="L178" s="186" t="str">
        <f>VLOOKUP(A178,'Trips&amp;Operators'!$C$1:$G$99911,5,FALSE)</f>
        <v>ROMERO CHAD</v>
      </c>
      <c r="M178" s="6">
        <f t="shared" si="55"/>
        <v>9.30555556260515E-3</v>
      </c>
      <c r="N178" s="7"/>
      <c r="O178" s="7"/>
      <c r="P178" s="7"/>
      <c r="Q178" s="22"/>
      <c r="R178" s="174"/>
      <c r="S178" s="222"/>
      <c r="T178" s="174" t="str">
        <f t="shared" si="56"/>
        <v>NorthBound</v>
      </c>
      <c r="U178" s="19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7" t="str">
        <f t="shared" si="57"/>
        <v>https://d0f6bd738d7f1b3e5a7ca70fe4ff75f0.us-east-1.aws.found.io/app/kibana#/discover/Steve-Slow-Train-Analysis-(2080s-and-2083s)?_g=(refreshInterval:(display:Off,pause:!f,section:0,value:0),time:(from:'2017-09-17T10:07:51-0600',mode:absolute,to:'2017-09-17T12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8" s="205" t="str">
        <f>IF(AA178&lt;VLOOKUP(AG178,Variables!$AC$3:$AD$8,2,FALSE),"Y","N")</f>
        <v>N</v>
      </c>
      <c r="X178" s="205">
        <f t="shared" si="73"/>
        <v>0</v>
      </c>
      <c r="Y178" s="205">
        <f t="shared" si="74"/>
        <v>0.13819999999999999</v>
      </c>
      <c r="Z178" s="205">
        <f t="shared" si="75"/>
        <v>5.8118999999999996</v>
      </c>
      <c r="AA178" s="205">
        <f t="shared" si="60"/>
        <v>5.6736999999999993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80">
        <f t="shared" si="61"/>
        <v>1811</v>
      </c>
      <c r="AE178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78" s="74" t="str">
        <f t="shared" si="63"/>
        <v>"C:\Program Files (x86)\AstroGrep\AstroGrep.exe" /e /r /s /spath="%USERPROFILE%\AppData\Local\Temp\OnboardLogs" /stypes="app*4024*20170917*" /stext=" 17:.+((SYSTEM_STATE.+slice.+state.+changed )|(ment ac)|(multiple cpu faults)|(system.+state.+changed )|(\[timeout)|(PRM\|1\|D)|(kpr)|(kdp)|(train st.+moving)|(\|lc)|(penalty))"</v>
      </c>
      <c r="AG178" s="183" t="str">
        <f t="shared" si="64"/>
        <v>NW</v>
      </c>
      <c r="AH178" s="78" t="str">
        <f t="shared" si="65"/>
        <v>"%USERPROFILE%\Documents\GitHub\eaglep3\Utilities\RefineRTDCRunTimes.py" --tripid 1811-17 --locoid 4024 --swversion DE.1.0.9.0 --startMP 204:1382 --initTime 2017-09-17T11:07:51 --startdatetime 2017-09-17T11:10:19 --delay 61 --endMP 300:58119 --enddatetime 2017-09-17T11:23:43 --enforcementcount 0 &gt;&gt;C:\Users\stu\Documents\GitHub\eaglep3-reporting\EC\2017-09-17-refined-times.txt</v>
      </c>
      <c r="AI178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{"issue":{"subject":"","project_id":79,"tracker_id":40,"status_id":1,"priority_id":2,"assigned_to_id":338,"start_date":"2017-09-17","description":"","custom_fields":[{"id":1,"name":"Subdivision","value":"NW"},{"id":4,"name":"Milepost","value":"5.8119"},{"id":17,"name":"Train ID","value":"1811-17"},{"id":16,"name":"Locomotive ID","value":"4024"},{"id":130,"name":"Impact","value":""},{"id":150,"name":"Time of Event (Mountain Time)","value":"11:23:43"},{"id":151,"name":"Denver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67"/>
        <v>start /low /b %USERPROFILE%\Documents\GitHub\eaglep3\Utilities\DownloadLogsFromS3.py --loco 4024 --day 2017-09-17</v>
      </c>
      <c r="AN178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17:23:43"},{"id":29,"name":"Sharepoint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Message%20ID',Summary),filters:!(),index:'emp_*',interval:auto,query:"&amp;"(query_string:(analyze_wildcard:!t,query:'Message%5C+ID:(*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-09-17T10:07:51-0600',mode:absolute,to:'2017-09-17T12:23:43-0600'))&amp;_a=(columns:!('Message%20ID',Summary),filters:!(),index:'emp_*',interval:auto,query:(query_string:(analyze_wildcard:!t,query:'Message%5C+ID:(*)+AND+%22rtdc.l.rtdc.4024%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701</v>
      </c>
      <c r="B179" s="7">
        <v>4023</v>
      </c>
      <c r="C179" s="21" t="s">
        <v>197</v>
      </c>
      <c r="D179" s="21" t="s">
        <v>881</v>
      </c>
      <c r="E179" s="13">
        <v>42995.475798611114</v>
      </c>
      <c r="F179" s="13">
        <v>42995.489583333336</v>
      </c>
      <c r="G179" s="7">
        <v>58</v>
      </c>
      <c r="H179" s="21" t="s">
        <v>882</v>
      </c>
      <c r="I179" s="13">
        <v>42995.496469907404</v>
      </c>
      <c r="J179" s="7">
        <v>0</v>
      </c>
      <c r="K179" s="89" t="str">
        <f t="shared" si="54"/>
        <v>4023/4024</v>
      </c>
      <c r="L179" s="186" t="str">
        <f>VLOOKUP(A179,'Trips&amp;Operators'!$C$1:$G$99911,5,FALSE)</f>
        <v>ROMERO CHAD</v>
      </c>
      <c r="M179" s="6">
        <f t="shared" si="55"/>
        <v>6.8865740686305799E-3</v>
      </c>
      <c r="N179" s="7">
        <f>24*60*SUM($M179:$M179)</f>
        <v>9.916666658828035</v>
      </c>
      <c r="O179" s="7"/>
      <c r="P179" s="7"/>
      <c r="Q179" s="22"/>
      <c r="R179" s="174"/>
      <c r="S179" s="222">
        <f>1/IF(AG179="EC",12,1)*SUM(U179:U179)</f>
        <v>1</v>
      </c>
      <c r="T179" s="174" t="str">
        <f t="shared" si="56"/>
        <v>Southbound</v>
      </c>
      <c r="U179" s="19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7" t="str">
        <f t="shared" si="57"/>
        <v>https://d0f6bd738d7f1b3e5a7ca70fe4ff75f0.us-east-1.aws.found.io/app/kibana#/discover/Steve-Slow-Train-Analysis-(2080s-and-2083s)?_g=(refreshInterval:(display:Off,pause:!f,section:0,value:0),time:(from:'2017-09-17T10:25:09-0600',mode:absolute,to:'2017-09-17T12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9" s="205" t="str">
        <f>IF(AA179&lt;VLOOKUP(AG179,Variables!$AC$3:$AD$8,2,FALSE),"Y","N")</f>
        <v>N</v>
      </c>
      <c r="X179" s="205">
        <f t="shared" si="73"/>
        <v>1</v>
      </c>
      <c r="Y179" s="205">
        <f t="shared" si="74"/>
        <v>5.8692000000000002</v>
      </c>
      <c r="Z179" s="205">
        <f t="shared" si="75"/>
        <v>6.3299999999999995E-2</v>
      </c>
      <c r="AA179" s="205">
        <f t="shared" si="60"/>
        <v>5.8059000000000003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80">
        <f t="shared" si="61"/>
        <v>1812</v>
      </c>
      <c r="AE179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79" s="74" t="str">
        <f t="shared" si="63"/>
        <v>"C:\Program Files (x86)\AstroGrep\AstroGrep.exe" /e /r /s /spath="%USERPROFILE%\AppData\Local\Temp\OnboardLogs" /stypes="app*4023*20170917*" /stext=" 17:.+((SYSTEM_STATE.+slice.+state.+changed )|(ment ac)|(multiple cpu faults)|(system.+state.+changed )|(\[timeout)|(PRM\|1\|D)|(kpr)|(kdp)|(train st.+moving)|(\|lc)|(penalty))"</v>
      </c>
      <c r="AG179" s="183" t="str">
        <f t="shared" si="64"/>
        <v>NW</v>
      </c>
      <c r="AH179" s="78" t="str">
        <f t="shared" si="65"/>
        <v>"%USERPROFILE%\Documents\GitHub\eaglep3\Utilities\RefineRTDCRunTimes.py" --tripid 1812-17 --locoid 4023 --swversion DE.1.0.9.0 --startMP 300:58692 --initTime 2017-09-17T11:25:09 --startdatetime 2017-09-17T11:45:00 --delay 58 --endMP 204:633 --enddatetime 2017-09-17T11:54:55 --enforcementcount 0 &gt;&gt;C:\Users\stu\Documents\GitHub\eaglep3-reporting\EC\2017-09-17-refined-times.txt</v>
      </c>
      <c r="AI179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{"issue":{"subject":"","project_id":79,"tracker_id":40,"status_id":1,"priority_id":2,"assigned_to_id":338,"start_date":"2017-09-17","description":"","custom_fields":[{"id":1,"name":"Subdivision","value":"NW"},{"id":4,"name":"Milepost","value":"0.0633"},{"id":17,"name":"Train ID","value":"1812-17"},{"id":16,"name":"Locomotive ID","value":"4023"},{"id":130,"name":"Impact","value":""},{"id":150,"name":"Time of Event (Mountain Time)","value":"11:54:55"},{"id":151,"name":"Denver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7"/>
        <v>start /low /b %USERPROFILE%\Documents\GitHub\eaglep3\Utilities\DownloadLogsFromS3.py --loco 4023 --day 2017-09-17</v>
      </c>
      <c r="AN179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17:54:55"},{"id":29,"name":"Sharepoint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Message%20ID',Summary),filters:!(),index:'emp_*',interval:auto,query:"&amp;"(query_string:(analyze_wildcard:!t,query:'Message%5C+ID:(*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-09-17T10:25:09-0600',mode:absolute,to:'2017-09-17T12:54:55-0600'))&amp;_a=(columns:!('Message%20ID',Summary),filters:!(),index:'emp_*',interval:auto,query:(query_string:(analyze_wildcard:!t,query:'Message%5C+ID:(*)+AND+%22rtdc.l.rtdc.4023%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593</v>
      </c>
      <c r="B180" s="7">
        <v>4024</v>
      </c>
      <c r="C180" s="21" t="s">
        <v>197</v>
      </c>
      <c r="D180" s="21" t="s">
        <v>883</v>
      </c>
      <c r="E180" s="13">
        <v>42995.507592592592</v>
      </c>
      <c r="F180" s="13">
        <v>42995.508553240739</v>
      </c>
      <c r="G180" s="7">
        <v>47</v>
      </c>
      <c r="H180" s="21" t="s">
        <v>884</v>
      </c>
      <c r="I180" s="13">
        <v>42995.517685185187</v>
      </c>
      <c r="J180" s="7">
        <v>0</v>
      </c>
      <c r="K180" s="89" t="str">
        <f t="shared" si="54"/>
        <v>4023/4024</v>
      </c>
      <c r="L180" s="186" t="str">
        <f>VLOOKUP(A180,'Trips&amp;Operators'!$C$1:$G$99911,5,FALSE)</f>
        <v>ROMERO CHAD</v>
      </c>
      <c r="M180" s="6">
        <f t="shared" si="55"/>
        <v>9.1319444472901523E-3</v>
      </c>
      <c r="N180" s="7">
        <f>24*60*SUM($M180:$M180)</f>
        <v>13.150000004097819</v>
      </c>
      <c r="O180" s="7"/>
      <c r="P180" s="7"/>
      <c r="Q180" s="22"/>
      <c r="R180" s="174"/>
      <c r="S180" s="222">
        <f>1/IF(AG180="EC",12,1)*SUM(U180:U180)</f>
        <v>1</v>
      </c>
      <c r="T180" s="174" t="str">
        <f t="shared" si="56"/>
        <v>NorthBound</v>
      </c>
      <c r="U180" s="19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7" t="str">
        <f t="shared" si="57"/>
        <v>https://d0f6bd738d7f1b3e5a7ca70fe4ff75f0.us-east-1.aws.found.io/app/kibana#/discover/Steve-Slow-Train-Analysis-(2080s-and-2083s)?_g=(refreshInterval:(display:Off,pause:!f,section:0,value:0),time:(from:'2017-09-17T11:10:56-0600',mode:absolute,to:'2017-09-17T13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0" s="205" t="str">
        <f>IF(AA180&lt;VLOOKUP(AG180,Variables!$AC$3:$AD$8,2,FALSE),"Y","N")</f>
        <v>N</v>
      </c>
      <c r="X180" s="205">
        <f t="shared" si="73"/>
        <v>1</v>
      </c>
      <c r="Y180" s="205">
        <f t="shared" si="74"/>
        <v>0.20499999999999999</v>
      </c>
      <c r="Z180" s="205">
        <f t="shared" si="75"/>
        <v>5.8987999999999996</v>
      </c>
      <c r="AA180" s="205">
        <f t="shared" si="60"/>
        <v>5.6937999999999995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80">
        <f t="shared" si="61"/>
        <v>1813</v>
      </c>
      <c r="AE180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80" s="74" t="str">
        <f t="shared" si="63"/>
        <v>"C:\Program Files (x86)\AstroGrep\AstroGrep.exe" /e /r /s /spath="%USERPROFILE%\AppData\Local\Temp\OnboardLogs" /stypes="app*4024*20170917*" /stext=" 18:.+((SYSTEM_STATE.+slice.+state.+changed )|(ment ac)|(multiple cpu faults)|(system.+state.+changed )|(\[timeout)|(PRM\|1\|D)|(kpr)|(kdp)|(train st.+moving)|(\|lc)|(penalty))"</v>
      </c>
      <c r="AG180" s="183" t="str">
        <f t="shared" si="64"/>
        <v>NW</v>
      </c>
      <c r="AH180" s="78" t="str">
        <f t="shared" si="65"/>
        <v>"%USERPROFILE%\Documents\GitHub\eaglep3\Utilities\RefineRTDCRunTimes.py" --tripid 1813-17 --locoid 4024 --swversion DE.1.0.9.0 --startMP 204:2050 --initTime 2017-09-17T12:10:56 --startdatetime 2017-09-17T12:12:19 --delay 47 --endMP 300:58988 --enddatetime 2017-09-17T12:25:28 --enforcementcount 0 &gt;&gt;C:\Users\stu\Documents\GitHub\eaglep3-reporting\EC\2017-09-17-refined-times.txt</v>
      </c>
      <c r="AI180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{"issue":{"subject":"","project_id":79,"tracker_id":40,"status_id":1,"priority_id":2,"assigned_to_id":338,"start_date":"2017-09-17","description":"","custom_fields":[{"id":1,"name":"Subdivision","value":"NW"},{"id":4,"name":"Milepost","value":"5.8988"},{"id":17,"name":"Train ID","value":"1813-17"},{"id":16,"name":"Locomotive ID","value":"4024"},{"id":130,"name":"Impact","value":""},{"id":150,"name":"Time of Event (Mountain Time)","value":"12:25:28"},{"id":151,"name":"Denver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67"/>
        <v>start /low /b %USERPROFILE%\Documents\GitHub\eaglep3\Utilities\DownloadLogsFromS3.py --loco 4024 --day 2017-09-17</v>
      </c>
      <c r="AN180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18:25:28"},{"id":29,"name":"Sharepoint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Message%20ID',Summary),filters:!(),index:'emp_*',interval:auto,query:"&amp;"(query_string:(analyze_wildcard:!t,query:'Message%5C+ID:(*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-09-17T11:10:56-0600',mode:absolute,to:'2017-09-17T13:25:28-0600'))&amp;_a=(columns:!('Message%20ID',Summary),filters:!(),index:'emp_*',interval:auto,query:(query_string:(analyze_wildcard:!t,query:'Message%5C+ID:(*)+AND+%22rtdc.l.rtdc.4024%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593</v>
      </c>
      <c r="B181" s="7">
        <v>4024</v>
      </c>
      <c r="C181" s="21" t="s">
        <v>197</v>
      </c>
      <c r="D181" s="21" t="s">
        <v>868</v>
      </c>
      <c r="E181" s="13">
        <v>42995.498067129629</v>
      </c>
      <c r="F181" s="13">
        <v>42995.508553240739</v>
      </c>
      <c r="G181" s="7">
        <v>54</v>
      </c>
      <c r="H181" s="21" t="s">
        <v>885</v>
      </c>
      <c r="I181" s="13">
        <v>42995.517685185187</v>
      </c>
      <c r="J181" s="7">
        <v>0</v>
      </c>
      <c r="K181" s="89" t="str">
        <f t="shared" si="54"/>
        <v>4023/4024</v>
      </c>
      <c r="L181" s="186" t="str">
        <f>VLOOKUP(A181,'Trips&amp;Operators'!$C$1:$G$99911,5,FALSE)</f>
        <v>ROMERO CHAD</v>
      </c>
      <c r="M181" s="6">
        <f t="shared" si="55"/>
        <v>9.1319444472901523E-3</v>
      </c>
      <c r="N181" s="7"/>
      <c r="O181" s="7"/>
      <c r="P181" s="7"/>
      <c r="Q181" s="22"/>
      <c r="R181" s="174"/>
      <c r="S181" s="222"/>
      <c r="T181" s="174" t="str">
        <f t="shared" si="56"/>
        <v>NorthBound</v>
      </c>
      <c r="U181" s="19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0</v>
      </c>
      <c r="V181" s="217" t="str">
        <f t="shared" si="57"/>
        <v>https://d0f6bd738d7f1b3e5a7ca70fe4ff75f0.us-east-1.aws.found.io/app/kibana#/discover/Steve-Slow-Train-Analysis-(2080s-and-2083s)?_g=(refreshInterval:(display:Off,pause:!f,section:0,value:0),time:(from:'2017-09-17T10:57:13-0600',mode:absolute,to:'2017-09-17T13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1" s="205" t="str">
        <f>IF(AA181&lt;VLOOKUP(AG181,Variables!$AC$3:$AD$8,2,FALSE),"Y","N")</f>
        <v>Y</v>
      </c>
      <c r="X181" s="205">
        <f t="shared" si="73"/>
        <v>0</v>
      </c>
      <c r="Y181" s="205">
        <f t="shared" si="74"/>
        <v>9.3399999999999997E-2</v>
      </c>
      <c r="Z181" s="205">
        <f t="shared" si="75"/>
        <v>0.20580000000000001</v>
      </c>
      <c r="AA181" s="205">
        <f t="shared" si="60"/>
        <v>0.11240000000000001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80">
        <f t="shared" si="61"/>
        <v>1813</v>
      </c>
      <c r="AE181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81" s="74" t="str">
        <f t="shared" si="63"/>
        <v>"C:\Program Files (x86)\AstroGrep\AstroGrep.exe" /e /r /s /spath="%USERPROFILE%\AppData\Local\Temp\OnboardLogs" /stypes="app*4024*20170917*" /stext=" 18:.+((SYSTEM_STATE.+slice.+state.+changed )|(ment ac)|(multiple cpu faults)|(system.+state.+changed )|(\[timeout)|(PRM\|1\|D)|(kpr)|(kdp)|(train st.+moving)|(\|lc)|(penalty))"</v>
      </c>
      <c r="AG181" s="183" t="str">
        <f t="shared" si="64"/>
        <v>NW</v>
      </c>
      <c r="AH181" s="78" t="str">
        <f t="shared" si="65"/>
        <v>"%USERPROFILE%\Documents\GitHub\eaglep3\Utilities\RefineRTDCRunTimes.py" --tripid 1813-17 --locoid 4024 --swversion DE.1.0.9.0 --startMP 204:934 --initTime 2017-09-17T11:57:13 --startdatetime 2017-09-17T12:12:19 --delay 54 --endMP 204:2058 --enddatetime 2017-09-17T12:25:28 --enforcementcount 0 &gt;&gt;C:\Users\stu\Documents\GitHub\eaglep3-reporting\EC\2017-09-17-refined-times.txt</v>
      </c>
      <c r="AI181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{"issue":{"subject":"","project_id":79,"tracker_id":40,"status_id":1,"priority_id":2,"assigned_to_id":338,"start_date":"2017-09-17","description":"","custom_fields":[{"id":1,"name":"Subdivision","value":"NW"},{"id":4,"name":"Milepost","value":"0.2058"},{"id":17,"name":"Train ID","value":"1813-17"},{"id":16,"name":"Locomotive ID","value":"4024"},{"id":130,"name":"Impact","value":""},{"id":150,"name":"Time of Event (Mountain Time)","value":"12:25:28"},{"id":151,"name":"Denver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67"/>
        <v>start /low /b %USERPROFILE%\Documents\GitHub\eaglep3\Utilities\DownloadLogsFromS3.py --loco 4024 --day 2017-09-17</v>
      </c>
      <c r="AN181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18:25:28"},{"id":29,"name":"Sharepoint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Message%20ID',Summary),filters:!(),index:'emp_*',interval:auto,query:"&amp;"(query_string:(analyze_wildcard:!t,query:'Message%5C+ID:(*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-09-17T10:57:13-0600',mode:absolute,to:'2017-09-17T13:25:28-0600'))&amp;_a=(columns:!('Message%20ID',Summary),filters:!(),index:'emp_*',interval:auto,query:(query_string:(analyze_wildcard:!t,query:'Message%5C+ID:(*)+AND+%22rtdc.l.rtdc.4024%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714</v>
      </c>
      <c r="B182" s="7">
        <v>4023</v>
      </c>
      <c r="C182" s="21" t="s">
        <v>197</v>
      </c>
      <c r="D182" s="21" t="s">
        <v>886</v>
      </c>
      <c r="E182" s="13">
        <v>42995.518645833334</v>
      </c>
      <c r="F182" s="13">
        <v>42995.53125</v>
      </c>
      <c r="G182" s="7">
        <v>56</v>
      </c>
      <c r="H182" s="21" t="s">
        <v>882</v>
      </c>
      <c r="I182" s="13">
        <v>42995.537951388891</v>
      </c>
      <c r="J182" s="7">
        <v>0</v>
      </c>
      <c r="K182" s="89" t="str">
        <f t="shared" si="54"/>
        <v>4023/4024</v>
      </c>
      <c r="L182" s="186" t="str">
        <f>VLOOKUP(A182,'Trips&amp;Operators'!$C$1:$G$99911,5,FALSE)</f>
        <v>ROMERO CHAD</v>
      </c>
      <c r="M182" s="6">
        <f t="shared" si="55"/>
        <v>6.701388891087845E-3</v>
      </c>
      <c r="N182" s="7">
        <f>24*60*SUM($M182:$M182)</f>
        <v>9.6500000031664968</v>
      </c>
      <c r="O182" s="7"/>
      <c r="P182" s="7"/>
      <c r="Q182" s="22"/>
      <c r="R182" s="174"/>
      <c r="S182" s="222">
        <f>1/IF(AG182="EC",12,1)*SUM(U182:U182)</f>
        <v>1</v>
      </c>
      <c r="T182" s="174" t="str">
        <f t="shared" si="56"/>
        <v>Southbound</v>
      </c>
      <c r="U182" s="19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7" t="str">
        <f t="shared" si="57"/>
        <v>https://d0f6bd738d7f1b3e5a7ca70fe4ff75f0.us-east-1.aws.found.io/app/kibana#/discover/Steve-Slow-Train-Analysis-(2080s-and-2083s)?_g=(refreshInterval:(display:Off,pause:!f,section:0,value:0),time:(from:'2017-09-17T11:26:51-0600',mode:absolute,to:'2017-09-17T13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2" s="205" t="str">
        <f>IF(AA182&lt;VLOOKUP(AG182,Variables!$AC$3:$AD$8,2,FALSE),"Y","N")</f>
        <v>N</v>
      </c>
      <c r="X182" s="205">
        <f t="shared" si="73"/>
        <v>1</v>
      </c>
      <c r="Y182" s="205">
        <f t="shared" si="74"/>
        <v>5.8673000000000002</v>
      </c>
      <c r="Z182" s="205">
        <f t="shared" si="75"/>
        <v>6.3299999999999995E-2</v>
      </c>
      <c r="AA182" s="205">
        <f t="shared" si="60"/>
        <v>5.8040000000000003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80">
        <f t="shared" si="61"/>
        <v>1814</v>
      </c>
      <c r="AE182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82" s="74" t="str">
        <f t="shared" si="63"/>
        <v>"C:\Program Files (x86)\AstroGrep\AstroGrep.exe" /e /r /s /spath="%USERPROFILE%\AppData\Local\Temp\OnboardLogs" /stypes="app*4023*20170917*" /stext=" 18:.+((SYSTEM_STATE.+slice.+state.+changed )|(ment ac)|(multiple cpu faults)|(system.+state.+changed )|(\[timeout)|(PRM\|1\|D)|(kpr)|(kdp)|(train st.+moving)|(\|lc)|(penalty))"</v>
      </c>
      <c r="AG182" s="183" t="str">
        <f t="shared" si="64"/>
        <v>NW</v>
      </c>
      <c r="AH182" s="78" t="str">
        <f t="shared" si="65"/>
        <v>"%USERPROFILE%\Documents\GitHub\eaglep3\Utilities\RefineRTDCRunTimes.py" --tripid 1814-17 --locoid 4023 --swversion DE.1.0.9.0 --startMP 300:58673 --initTime 2017-09-17T12:26:51 --startdatetime 2017-09-17T12:45:00 --delay 56 --endMP 204:633 --enddatetime 2017-09-17T12:54:39 --enforcementcount 0 &gt;&gt;C:\Users\stu\Documents\GitHub\eaglep3-reporting\EC\2017-09-17-refined-times.txt</v>
      </c>
      <c r="AI182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{"issue":{"subject":"","project_id":79,"tracker_id":40,"status_id":1,"priority_id":2,"assigned_to_id":338,"start_date":"2017-09-17","description":"","custom_fields":[{"id":1,"name":"Subdivision","value":"NW"},{"id":4,"name":"Milepost","value":"0.0633"},{"id":17,"name":"Train ID","value":"1814-17"},{"id":16,"name":"Locomotive ID","value":"4023"},{"id":130,"name":"Impact","value":""},{"id":150,"name":"Time of Event (Mountain Time)","value":"12:54:39"},{"id":151,"name":"Denver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67"/>
        <v>start /low /b %USERPROFILE%\Documents\GitHub\eaglep3\Utilities\DownloadLogsFromS3.py --loco 4023 --day 2017-09-17</v>
      </c>
      <c r="AN182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18:54:39"},{"id":29,"name":"Sharepoint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Message%20ID',Summary),filters:!(),index:'emp_*',interval:auto,query:"&amp;"(query_string:(analyze_wildcard:!t,query:'Message%5C+ID:(*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-09-17T11:26:51-0600',mode:absolute,to:'2017-09-17T13:54:39-0600'))&amp;_a=(columns:!('Message%20ID',Summary),filters:!(),index:'emp_*',interval:auto,query:(query_string:(analyze_wildcard:!t,query:'Message%5C+ID:(*)+AND+%22rtdc.l.rtdc.4023%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718</v>
      </c>
      <c r="B183" s="7">
        <v>4024</v>
      </c>
      <c r="C183" s="21" t="s">
        <v>197</v>
      </c>
      <c r="D183" s="21" t="s">
        <v>887</v>
      </c>
      <c r="E183" s="13">
        <v>42995.540347222224</v>
      </c>
      <c r="F183" s="13">
        <v>42995.548148148147</v>
      </c>
      <c r="G183" s="7">
        <v>45</v>
      </c>
      <c r="H183" s="21" t="s">
        <v>888</v>
      </c>
      <c r="I183" s="13">
        <v>42995.557638888888</v>
      </c>
      <c r="J183" s="7">
        <v>0</v>
      </c>
      <c r="K183" s="89" t="str">
        <f t="shared" si="54"/>
        <v>4023/4024</v>
      </c>
      <c r="L183" s="186" t="str">
        <f>VLOOKUP(A183,'Trips&amp;Operators'!$C$1:$G$99911,5,FALSE)</f>
        <v>ROMERO CHAD</v>
      </c>
      <c r="M183" s="6">
        <f t="shared" si="55"/>
        <v>9.4907407401478849E-3</v>
      </c>
      <c r="N183" s="7">
        <f>24*60*SUM($M183:$M183)</f>
        <v>13.666666665812954</v>
      </c>
      <c r="O183" s="7"/>
      <c r="P183" s="7"/>
      <c r="Q183" s="22"/>
      <c r="R183" s="174"/>
      <c r="S183" s="222">
        <f>1/IF(AG183="EC",12,1)*SUM(U183:U183)</f>
        <v>1</v>
      </c>
      <c r="T183" s="174" t="str">
        <f t="shared" si="56"/>
        <v>NorthBound</v>
      </c>
      <c r="U183" s="19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7" t="str">
        <f t="shared" si="57"/>
        <v>https://d0f6bd738d7f1b3e5a7ca70fe4ff75f0.us-east-1.aws.found.io/app/kibana#/discover/Steve-Slow-Train-Analysis-(2080s-and-2083s)?_g=(refreshInterval:(display:Off,pause:!f,section:0,value:0),time:(from:'2017-09-17T11:58:06-0600',mode:absolute,to:'2017-09-17T14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3" s="205" t="str">
        <f>IF(AA183&lt;VLOOKUP(AG183,Variables!$AC$3:$AD$8,2,FALSE),"Y","N")</f>
        <v>N</v>
      </c>
      <c r="X183" s="205">
        <f t="shared" si="73"/>
        <v>1</v>
      </c>
      <c r="Y183" s="205">
        <f t="shared" si="74"/>
        <v>9.1999999999999998E-2</v>
      </c>
      <c r="Z183" s="205">
        <f t="shared" si="75"/>
        <v>5.8997000000000002</v>
      </c>
      <c r="AA183" s="205">
        <f t="shared" si="60"/>
        <v>5.8077000000000005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80">
        <f t="shared" si="61"/>
        <v>1815</v>
      </c>
      <c r="AE183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83" s="74" t="str">
        <f t="shared" si="63"/>
        <v>"C:\Program Files (x86)\AstroGrep\AstroGrep.exe" /e /r /s /spath="%USERPROFILE%\AppData\Local\Temp\OnboardLogs" /stypes="app*4024*20170917*" /stext=" 19:.+((SYSTEM_STATE.+slice.+state.+changed )|(ment ac)|(multiple cpu faults)|(system.+state.+changed )|(\[timeout)|(PRM\|1\|D)|(kpr)|(kdp)|(train st.+moving)|(\|lc)|(penalty))"</v>
      </c>
      <c r="AG183" s="183" t="str">
        <f t="shared" si="64"/>
        <v>NW</v>
      </c>
      <c r="AH183" s="78" t="str">
        <f t="shared" si="65"/>
        <v>"%USERPROFILE%\Documents\GitHub\eaglep3\Utilities\RefineRTDCRunTimes.py" --tripid 1815-17 --locoid 4024 --swversion DE.1.0.9.0 --startMP 204:920 --initTime 2017-09-17T12:58:06 --startdatetime 2017-09-17T13:09:20 --delay 45 --endMP 300:58997 --enddatetime 2017-09-17T13:23:00 --enforcementcount 0 &gt;&gt;C:\Users\stu\Documents\GitHub\eaglep3-reporting\EC\2017-09-17-refined-times.txt</v>
      </c>
      <c r="AI183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{"issue":{"subject":"","project_id":79,"tracker_id":40,"status_id":1,"priority_id":2,"assigned_to_id":338,"start_date":"2017-09-17","description":"","custom_fields":[{"id":1,"name":"Subdivision","value":"NW"},{"id":4,"name":"Milepost","value":"5.8997"},{"id":17,"name":"Train ID","value":"1815-17"},{"id":16,"name":"Locomotive ID","value":"4024"},{"id":130,"name":"Impact","value":""},{"id":150,"name":"Time of Event (Mountain Time)","value":"13:23:00"},{"id":151,"name":"Denver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7"/>
        <v>start /low /b %USERPROFILE%\Documents\GitHub\eaglep3\Utilities\DownloadLogsFromS3.py --loco 4024 --day 2017-09-17</v>
      </c>
      <c r="AN183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19:23:00"},{"id":29,"name":"Sharepoint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Message%20ID',Summary),filters:!(),index:'emp_*',interval:auto,query:"&amp;"(query_string:(analyze_wildcard:!t,query:'Message%5C+ID:(*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-09-17T11:58:06-0600',mode:absolute,to:'2017-09-17T14:23:00-0600'))&amp;_a=(columns:!('Message%20ID',Summary),filters:!(),index:'emp_*',interval:auto,query:(query_string:(analyze_wildcard:!t,query:'Message%5C+ID:(*)+AND+%22rtdc.l.rtdc.4024%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723</v>
      </c>
      <c r="B184" s="7">
        <v>4023</v>
      </c>
      <c r="C184" s="21" t="s">
        <v>197</v>
      </c>
      <c r="D184" s="21" t="s">
        <v>889</v>
      </c>
      <c r="E184" s="13">
        <v>42995.558831018519</v>
      </c>
      <c r="F184" s="13">
        <v>42995.571712962963</v>
      </c>
      <c r="G184" s="7">
        <v>54</v>
      </c>
      <c r="H184" s="21" t="s">
        <v>890</v>
      </c>
      <c r="I184" s="13">
        <v>42995.581122685187</v>
      </c>
      <c r="J184" s="7">
        <v>0</v>
      </c>
      <c r="K184" s="89" t="str">
        <f t="shared" si="54"/>
        <v>4023/4024</v>
      </c>
      <c r="L184" s="186" t="str">
        <f>VLOOKUP(A184,'Trips&amp;Operators'!$C$1:$G$99911,5,FALSE)</f>
        <v>ROMERO CHAD</v>
      </c>
      <c r="M184" s="6">
        <f t="shared" si="55"/>
        <v>9.4097222245181911E-3</v>
      </c>
      <c r="N184" s="7"/>
      <c r="O184" s="7"/>
      <c r="P184" s="7"/>
      <c r="Q184" s="22"/>
      <c r="R184" s="174"/>
      <c r="S184" s="222"/>
      <c r="T184" s="174" t="str">
        <f t="shared" si="56"/>
        <v>Southbound</v>
      </c>
      <c r="U184" s="19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0</v>
      </c>
      <c r="V184" s="217" t="str">
        <f t="shared" si="57"/>
        <v>https://d0f6bd738d7f1b3e5a7ca70fe4ff75f0.us-east-1.aws.found.io/app/kibana#/discover/Steve-Slow-Train-Analysis-(2080s-and-2083s)?_g=(refreshInterval:(display:Off,pause:!f,section:0,value:0),time:(from:'2017-09-17T12:24:43-0600',mode:absolute,to:'2017-09-17T14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4" s="205" t="str">
        <f>IF(AA184&lt;VLOOKUP(AG184,Variables!$AC$3:$AD$8,2,FALSE),"Y","N")</f>
        <v>Y</v>
      </c>
      <c r="X184" s="205">
        <f t="shared" si="73"/>
        <v>1</v>
      </c>
      <c r="Y184" s="205">
        <f t="shared" si="74"/>
        <v>5.8678999999999997</v>
      </c>
      <c r="Z184" s="205">
        <f t="shared" si="75"/>
        <v>5.7325999999999997</v>
      </c>
      <c r="AA184" s="205">
        <f t="shared" si="60"/>
        <v>0.13529999999999998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80">
        <f t="shared" si="61"/>
        <v>1816</v>
      </c>
      <c r="AE184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84" s="74" t="str">
        <f t="shared" si="63"/>
        <v>"C:\Program Files (x86)\AstroGrep\AstroGrep.exe" /e /r /s /spath="%USERPROFILE%\AppData\Local\Temp\OnboardLogs" /stypes="app*4023*20170917*" /stext=" 19:.+((SYSTEM_STATE.+slice.+state.+changed )|(ment ac)|(multiple cpu faults)|(system.+state.+changed )|(\[timeout)|(PRM\|1\|D)|(kpr)|(kdp)|(train st.+moving)|(\|lc)|(penalty))"</v>
      </c>
      <c r="AG184" s="183" t="str">
        <f t="shared" si="64"/>
        <v>NW</v>
      </c>
      <c r="AH184" s="78" t="str">
        <f t="shared" si="65"/>
        <v>"%USERPROFILE%\Documents\GitHub\eaglep3\Utilities\RefineRTDCRunTimes.py" --tripid 1816-17 --locoid 4023 --swversion DE.1.0.9.0 --startMP 300:58679 --initTime 2017-09-17T13:24:43 --startdatetime 2017-09-17T13:43:16 --delay 54 --endMP 300:57326 --enddatetime 2017-09-17T13:56:49 --enforcementcount 0 &gt;&gt;C:\Users\stu\Documents\GitHub\eaglep3-reporting\EC\2017-09-17-refined-times.txt</v>
      </c>
      <c r="AI184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{"issue":{"subject":"","project_id":79,"tracker_id":40,"status_id":1,"priority_id":2,"assigned_to_id":338,"start_date":"2017-09-17","description":"","custom_fields":[{"id":1,"name":"Subdivision","value":"NW"},{"id":4,"name":"Milepost","value":"5.7326"},{"id":17,"name":"Train ID","value":"1816-17"},{"id":16,"name":"Locomotive ID","value":"4023"},{"id":130,"name":"Impact","value":""},{"id":150,"name":"Time of Event (Mountain Time)","value":"13:56:49"},{"id":151,"name":"Denver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67"/>
        <v>start /low /b %USERPROFILE%\Documents\GitHub\eaglep3\Utilities\DownloadLogsFromS3.py --loco 4023 --day 2017-09-17</v>
      </c>
      <c r="AN184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19:56:49"},{"id":29,"name":"Sharepoint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Message%20ID',Summary),filters:!(),index:'emp_*',interval:auto,query:"&amp;"(query_string:(analyze_wildcard:!t,query:'Message%5C+ID:(*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-09-17T12:24:43-0600',mode:absolute,to:'2017-09-17T14:56:49-0600'))&amp;_a=(columns:!('Message%20ID',Summary),filters:!(),index:'emp_*',interval:auto,query:(query_string:(analyze_wildcard:!t,query:'Message%5C+ID:(*)+AND+%22rtdc.l.rtdc.4023%22')),sort:!(Time.ISO8601,asc))</v>
      </c>
    </row>
    <row r="185" spans="1:91" s="20" customFormat="1" x14ac:dyDescent="0.25">
      <c r="A185" s="32" t="s">
        <v>723</v>
      </c>
      <c r="B185" s="7">
        <v>4023</v>
      </c>
      <c r="C185" s="21" t="s">
        <v>197</v>
      </c>
      <c r="D185" s="21" t="s">
        <v>891</v>
      </c>
      <c r="E185" s="13">
        <v>42995.561423611114</v>
      </c>
      <c r="F185" s="13">
        <v>42995.571712962963</v>
      </c>
      <c r="G185" s="7">
        <v>53</v>
      </c>
      <c r="H185" s="21" t="s">
        <v>444</v>
      </c>
      <c r="I185" s="13">
        <v>42995.581122685187</v>
      </c>
      <c r="J185" s="7">
        <v>0</v>
      </c>
      <c r="K185" s="89" t="str">
        <f t="shared" si="54"/>
        <v>4023/4024</v>
      </c>
      <c r="L185" s="186" t="str">
        <f>VLOOKUP(A185,'Trips&amp;Operators'!$C$1:$G$99911,5,FALSE)</f>
        <v>ROMERO CHAD</v>
      </c>
      <c r="M185" s="6">
        <f t="shared" si="55"/>
        <v>9.4097222245181911E-3</v>
      </c>
      <c r="N185" s="7">
        <f t="shared" ref="N185:N227" si="76">24*60*SUM($M185:$M185)</f>
        <v>13.550000003306195</v>
      </c>
      <c r="O185" s="7"/>
      <c r="P185" s="7"/>
      <c r="Q185" s="22"/>
      <c r="R185" s="174"/>
      <c r="S185" s="222">
        <f t="shared" ref="S185:S227" si="77">1/IF(AG185="EC",12,1)*SUM(U185:U185)</f>
        <v>1</v>
      </c>
      <c r="T185" s="174" t="str">
        <f t="shared" si="56"/>
        <v>Southbound</v>
      </c>
      <c r="U185" s="19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7" t="str">
        <f t="shared" si="57"/>
        <v>https://d0f6bd738d7f1b3e5a7ca70fe4ff75f0.us-east-1.aws.found.io/app/kibana#/discover/Steve-Slow-Train-Analysis-(2080s-and-2083s)?_g=(refreshInterval:(display:Off,pause:!f,section:0,value:0),time:(from:'2017-09-17T12:28:27-0600',mode:absolute,to:'2017-09-17T14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5" s="205" t="str">
        <f>IF(AA185&lt;VLOOKUP(AG185,Variables!$AC$3:$AD$8,2,FALSE),"Y","N")</f>
        <v>N</v>
      </c>
      <c r="X185" s="205">
        <f t="shared" si="73"/>
        <v>0</v>
      </c>
      <c r="Y185" s="205">
        <f t="shared" si="74"/>
        <v>5.7335000000000003</v>
      </c>
      <c r="Z185" s="205">
        <f t="shared" si="75"/>
        <v>6.8000000000000005E-2</v>
      </c>
      <c r="AA185" s="205">
        <f t="shared" si="60"/>
        <v>5.6655000000000006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80">
        <f t="shared" si="61"/>
        <v>1816</v>
      </c>
      <c r="AE185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85" s="74" t="str">
        <f t="shared" si="63"/>
        <v>"C:\Program Files (x86)\AstroGrep\AstroGrep.exe" /e /r /s /spath="%USERPROFILE%\AppData\Local\Temp\OnboardLogs" /stypes="app*4023*20170917*" /stext=" 19:.+((SYSTEM_STATE.+slice.+state.+changed )|(ment ac)|(multiple cpu faults)|(system.+state.+changed )|(\[timeout)|(PRM\|1\|D)|(kpr)|(kdp)|(train st.+moving)|(\|lc)|(penalty))"</v>
      </c>
      <c r="AG185" s="183" t="str">
        <f t="shared" si="64"/>
        <v>NW</v>
      </c>
      <c r="AH185" s="78" t="str">
        <f t="shared" si="65"/>
        <v>"%USERPROFILE%\Documents\GitHub\eaglep3\Utilities\RefineRTDCRunTimes.py" --tripid 1816-17 --locoid 4023 --swversion DE.1.0.9.0 --startMP 300:57335 --initTime 2017-09-17T13:28:27 --startdatetime 2017-09-17T13:43:16 --delay 53 --endMP 204:680 --enddatetime 2017-09-17T13:56:49 --enforcementcount 0 &gt;&gt;C:\Users\stu\Documents\GitHub\eaglep3-reporting\EC\2017-09-17-refined-times.txt</v>
      </c>
      <c r="AI185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{"issue":{"subject":"","project_id":79,"tracker_id":40,"status_id":1,"priority_id":2,"assigned_to_id":338,"start_date":"2017-09-17","description":"","custom_fields":[{"id":1,"name":"Subdivision","value":"NW"},{"id":4,"name":"Milepost","value":"0.068"},{"id":17,"name":"Train ID","value":"1816-17"},{"id":16,"name":"Locomotive ID","value":"4023"},{"id":130,"name":"Impact","value":""},{"id":150,"name":"Time of Event (Mountain Time)","value":"13:56:49"},{"id":151,"name":"Denver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67"/>
        <v>start /low /b %USERPROFILE%\Documents\GitHub\eaglep3\Utilities\DownloadLogsFromS3.py --loco 4023 --day 2017-09-17</v>
      </c>
      <c r="AN185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19:56:49"},{"id":29,"name":"Sharepoint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Message%20ID',Summary),filters:!(),index:'emp_*',interval:auto,query:"&amp;"(query_string:(analyze_wildcard:!t,query:'Message%5C+ID:(*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-09-17T12:28:27-0600',mode:absolute,to:'2017-09-17T14:56:49-0600'))&amp;_a=(columns:!('Message%20ID',Summary),filters:!(),index:'emp_*',interval:auto,query:(query_string:(analyze_wildcard:!t,query:'Message%5C+ID:(*)+AND+%22rtdc.l.rtdc.4023%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595</v>
      </c>
      <c r="B186" s="7">
        <v>4024</v>
      </c>
      <c r="C186" s="21" t="s">
        <v>197</v>
      </c>
      <c r="D186" s="21" t="s">
        <v>892</v>
      </c>
      <c r="E186" s="13">
        <v>42995.58390046296</v>
      </c>
      <c r="F186" s="13">
        <v>42995.589861111112</v>
      </c>
      <c r="G186" s="7">
        <v>72</v>
      </c>
      <c r="H186" s="21" t="s">
        <v>893</v>
      </c>
      <c r="I186" s="13">
        <v>42995.599189814813</v>
      </c>
      <c r="J186" s="7">
        <v>0</v>
      </c>
      <c r="K186" s="89" t="str">
        <f t="shared" si="54"/>
        <v>4023/4024</v>
      </c>
      <c r="L186" s="186" t="str">
        <f>VLOOKUP(A186,'Trips&amp;Operators'!$C$1:$G$99911,5,FALSE)</f>
        <v>HOLCOMB KAMDEN</v>
      </c>
      <c r="M186" s="6">
        <f t="shared" si="55"/>
        <v>9.3287037016125396E-3</v>
      </c>
      <c r="N186" s="7">
        <f t="shared" si="76"/>
        <v>13.433333330322057</v>
      </c>
      <c r="O186" s="7"/>
      <c r="P186" s="7"/>
      <c r="Q186" s="22"/>
      <c r="R186" s="174"/>
      <c r="S186" s="222">
        <f t="shared" si="77"/>
        <v>1</v>
      </c>
      <c r="T186" s="174" t="str">
        <f t="shared" si="56"/>
        <v>NorthBound</v>
      </c>
      <c r="U186" s="19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7" t="str">
        <f t="shared" si="57"/>
        <v>https://d0f6bd738d7f1b3e5a7ca70fe4ff75f0.us-east-1.aws.found.io/app/kibana#/discover/Steve-Slow-Train-Analysis-(2080s-and-2083s)?_g=(refreshInterval:(display:Off,pause:!f,section:0,value:0),time:(from:'2017-09-17T13:00:49-0600',mode:absolute,to:'2017-09-17T15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6" s="205" t="str">
        <f>IF(AA186&lt;VLOOKUP(AG186,Variables!$AC$3:$AD$8,2,FALSE),"Y","N")</f>
        <v>N</v>
      </c>
      <c r="X186" s="205">
        <f t="shared" si="73"/>
        <v>1</v>
      </c>
      <c r="Y186" s="205">
        <f t="shared" si="74"/>
        <v>9.4600000000000004E-2</v>
      </c>
      <c r="Z186" s="205">
        <f t="shared" si="75"/>
        <v>5.8993000000000002</v>
      </c>
      <c r="AA186" s="205">
        <f t="shared" si="60"/>
        <v>5.8047000000000004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80">
        <f t="shared" si="61"/>
        <v>1817</v>
      </c>
      <c r="AE186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86" s="74" t="str">
        <f t="shared" si="63"/>
        <v>"C:\Program Files (x86)\AstroGrep\AstroGrep.exe" /e /r /s /spath="%USERPROFILE%\AppData\Local\Temp\OnboardLogs" /stypes="app*4024*20170917*" /stext=" 20:.+((SYSTEM_STATE.+slice.+state.+changed )|(ment ac)|(multiple cpu faults)|(system.+state.+changed )|(\[timeout)|(PRM\|1\|D)|(kpr)|(kdp)|(train st.+moving)|(\|lc)|(penalty))"</v>
      </c>
      <c r="AG186" s="183" t="str">
        <f t="shared" si="64"/>
        <v>NW</v>
      </c>
      <c r="AH186" s="78" t="str">
        <f t="shared" si="65"/>
        <v>"%USERPROFILE%\Documents\GitHub\eaglep3\Utilities\RefineRTDCRunTimes.py" --tripid 1817-17 --locoid 4024 --swversion DE.1.0.9.0 --startMP 204:946 --initTime 2017-09-17T14:00:49 --startdatetime 2017-09-17T14:09:24 --delay 72 --endMP 300:58993 --enddatetime 2017-09-17T14:22:50 --enforcementcount 0 &gt;&gt;C:\Users\stu\Documents\GitHub\eaglep3-reporting\EC\2017-09-17-refined-times.txt</v>
      </c>
      <c r="AI186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{"issue":{"subject":"","project_id":79,"tracker_id":40,"status_id":1,"priority_id":2,"assigned_to_id":338,"start_date":"2017-09-17","description":"","custom_fields":[{"id":1,"name":"Subdivision","value":"NW"},{"id":4,"name":"Milepost","value":"5.8993"},{"id":17,"name":"Train ID","value":"1817-17"},{"id":16,"name":"Locomotive ID","value":"4024"},{"id":130,"name":"Impact","value":""},{"id":150,"name":"Time of Event (Mountain Time)","value":"14:22:50"},{"id":151,"name":"Denver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67"/>
        <v>start /low /b %USERPROFILE%\Documents\GitHub\eaglep3\Utilities\DownloadLogsFromS3.py --loco 4024 --day 2017-09-17</v>
      </c>
      <c r="AN186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20:22:50"},{"id":29,"name":"Sharepoint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Message%20ID',Summary),filters:!(),index:'emp_*',interval:auto,query:"&amp;"(query_string:(analyze_wildcard:!t,query:'Message%5C+ID:(*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-09-17T13:00:49-0600',mode:absolute,to:'2017-09-17T15:22:50-0600'))&amp;_a=(columns:!('Message%20ID',Summary),filters:!(),index:'emp_*',interval:auto,query:(query_string:(analyze_wildcard:!t,query:'Message%5C+ID:(*)+AND+%22rtdc.l.rtdc.4024%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596</v>
      </c>
      <c r="B187" s="7">
        <v>4023</v>
      </c>
      <c r="C187" s="21" t="s">
        <v>197</v>
      </c>
      <c r="D187" s="21" t="s">
        <v>894</v>
      </c>
      <c r="E187" s="13">
        <v>42995.608888888892</v>
      </c>
      <c r="F187" s="13">
        <v>42995.610381944447</v>
      </c>
      <c r="G187" s="7">
        <v>59</v>
      </c>
      <c r="H187" s="21" t="s">
        <v>895</v>
      </c>
      <c r="I187" s="13">
        <v>42995.621018518519</v>
      </c>
      <c r="J187" s="7">
        <v>0</v>
      </c>
      <c r="K187" s="89" t="str">
        <f t="shared" si="54"/>
        <v>4023/4024</v>
      </c>
      <c r="L187" s="186" t="str">
        <f>VLOOKUP(A187,'Trips&amp;Operators'!$C$1:$G$99911,5,FALSE)</f>
        <v>HOLCOMB KAMDEN</v>
      </c>
      <c r="M187" s="6">
        <f t="shared" si="55"/>
        <v>1.063657407212304E-2</v>
      </c>
      <c r="N187" s="7">
        <f t="shared" si="76"/>
        <v>15.316666663857177</v>
      </c>
      <c r="O187" s="7"/>
      <c r="P187" s="7"/>
      <c r="Q187" s="22"/>
      <c r="R187" s="174"/>
      <c r="S187" s="222">
        <f t="shared" si="77"/>
        <v>1</v>
      </c>
      <c r="T187" s="174" t="str">
        <f t="shared" si="56"/>
        <v>Southbound</v>
      </c>
      <c r="U187" s="19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7" t="str">
        <f t="shared" si="57"/>
        <v>https://d0f6bd738d7f1b3e5a7ca70fe4ff75f0.us-east-1.aws.found.io/app/kibana#/discover/Steve-Slow-Train-Analysis-(2080s-and-2083s)?_g=(refreshInterval:(display:Off,pause:!f,section:0,value:0),time:(from:'2017-09-17T13:36:48-0600',mode:absolute,to:'2017-09-17T15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7" s="205" t="str">
        <f>IF(AA187&lt;VLOOKUP(AG187,Variables!$AC$3:$AD$8,2,FALSE),"Y","N")</f>
        <v>N</v>
      </c>
      <c r="X187" s="205">
        <f t="shared" si="73"/>
        <v>1</v>
      </c>
      <c r="Y187" s="205">
        <f t="shared" si="74"/>
        <v>5.867</v>
      </c>
      <c r="Z187" s="205">
        <f t="shared" si="75"/>
        <v>6.7100000000000007E-2</v>
      </c>
      <c r="AA187" s="205">
        <f t="shared" si="60"/>
        <v>5.7999000000000001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80">
        <f t="shared" si="61"/>
        <v>1818</v>
      </c>
      <c r="AE187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87" s="74" t="str">
        <f t="shared" si="63"/>
        <v>"C:\Program Files (x86)\AstroGrep\AstroGrep.exe" /e /r /s /spath="%USERPROFILE%\AppData\Local\Temp\OnboardLogs" /stypes="app*4023*20170917*" /stext=" 20:.+((SYSTEM_STATE.+slice.+state.+changed )|(ment ac)|(multiple cpu faults)|(system.+state.+changed )|(\[timeout)|(PRM\|1\|D)|(kpr)|(kdp)|(train st.+moving)|(\|lc)|(penalty))"</v>
      </c>
      <c r="AG187" s="183" t="str">
        <f t="shared" si="64"/>
        <v>NW</v>
      </c>
      <c r="AH187" s="78" t="str">
        <f t="shared" si="65"/>
        <v>"%USERPROFILE%\Documents\GitHub\eaglep3\Utilities\RefineRTDCRunTimes.py" --tripid 1818-17 --locoid 4023 --swversion DE.1.0.9.0 --startMP 300:58670 --initTime 2017-09-17T14:36:48 --startdatetime 2017-09-17T14:38:57 --delay 59 --endMP 204:671 --enddatetime 2017-09-17T14:54:16 --enforcementcount 0 &gt;&gt;C:\Users\stu\Documents\GitHub\eaglep3-reporting\EC\2017-09-17-refined-times.txt</v>
      </c>
      <c r="AI187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{"issue":{"subject":"","project_id":79,"tracker_id":40,"status_id":1,"priority_id":2,"assigned_to_id":338,"start_date":"2017-09-17","description":"","custom_fields":[{"id":1,"name":"Subdivision","value":"NW"},{"id":4,"name":"Milepost","value":"0.0671"},{"id":17,"name":"Train ID","value":"1818-17"},{"id":16,"name":"Locomotive ID","value":"4023"},{"id":130,"name":"Impact","value":""},{"id":150,"name":"Time of Event (Mountain Time)","value":"14:54:16"},{"id":151,"name":"Denver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67"/>
        <v>start /low /b %USERPROFILE%\Documents\GitHub\eaglep3\Utilities\DownloadLogsFromS3.py --loco 4023 --day 2017-09-17</v>
      </c>
      <c r="AN187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20:54:16"},{"id":29,"name":"Sharepoint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Message%20ID',Summary),filters:!(),index:'emp_*',interval:auto,query:"&amp;"(query_string:(analyze_wildcard:!t,query:'Message%5C+ID:(*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-09-17T13:36:48-0600',mode:absolute,to:'2017-09-17T15:54:16-0600'))&amp;_a=(columns:!('Message%20ID',Summary),filters:!(),index:'emp_*',interval:auto,query:(query_string:(analyze_wildcard:!t,query:'Message%5C+ID:(*)+AND+%22rtdc.l.rtdc.4023%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735</v>
      </c>
      <c r="B188" s="7">
        <v>4024</v>
      </c>
      <c r="C188" s="21" t="s">
        <v>197</v>
      </c>
      <c r="D188" s="21" t="s">
        <v>564</v>
      </c>
      <c r="E188" s="13">
        <v>42995.62636574074</v>
      </c>
      <c r="F188" s="13">
        <v>42995.631458333337</v>
      </c>
      <c r="G188" s="7">
        <v>102</v>
      </c>
      <c r="H188" s="21" t="s">
        <v>893</v>
      </c>
      <c r="I188" s="13">
        <v>42995.640590277777</v>
      </c>
      <c r="J188" s="7">
        <v>0</v>
      </c>
      <c r="K188" s="89" t="str">
        <f t="shared" si="54"/>
        <v>4023/4024</v>
      </c>
      <c r="L188" s="186" t="str">
        <f>VLOOKUP(A188,'Trips&amp;Operators'!$C$1:$G$99911,5,FALSE)</f>
        <v>HOLCOMB KAMDEN</v>
      </c>
      <c r="M188" s="6">
        <f t="shared" si="55"/>
        <v>9.1319444400141947E-3</v>
      </c>
      <c r="N188" s="7">
        <f t="shared" si="76"/>
        <v>13.14999999362044</v>
      </c>
      <c r="O188" s="7"/>
      <c r="P188" s="7"/>
      <c r="Q188" s="22"/>
      <c r="R188" s="174"/>
      <c r="S188" s="222">
        <f t="shared" si="77"/>
        <v>1</v>
      </c>
      <c r="T188" s="174" t="str">
        <f t="shared" si="56"/>
        <v>NorthBound</v>
      </c>
      <c r="U188" s="19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7" t="str">
        <f t="shared" si="57"/>
        <v>https://d0f6bd738d7f1b3e5a7ca70fe4ff75f0.us-east-1.aws.found.io/app/kibana#/discover/Steve-Slow-Train-Analysis-(2080s-and-2083s)?_g=(refreshInterval:(display:Off,pause:!f,section:0,value:0),time:(from:'2017-09-17T14:01:58-0600',mode:absolute,to:'2017-09-17T16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8" s="205" t="str">
        <f>IF(AA188&lt;VLOOKUP(AG188,Variables!$AC$3:$AD$8,2,FALSE),"Y","N")</f>
        <v>N</v>
      </c>
      <c r="X188" s="205">
        <f t="shared" si="73"/>
        <v>1</v>
      </c>
      <c r="Y188" s="205">
        <f t="shared" si="74"/>
        <v>9.7199999999999995E-2</v>
      </c>
      <c r="Z188" s="205">
        <f t="shared" si="75"/>
        <v>5.8993000000000002</v>
      </c>
      <c r="AA188" s="205">
        <f t="shared" si="60"/>
        <v>5.8021000000000003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80">
        <f t="shared" si="61"/>
        <v>1819</v>
      </c>
      <c r="AE188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88" s="74" t="str">
        <f t="shared" si="63"/>
        <v>"C:\Program Files (x86)\AstroGrep\AstroGrep.exe" /e /r /s /spath="%USERPROFILE%\AppData\Local\Temp\OnboardLogs" /stypes="app*4024*20170917*" /stext=" 21:.+((SYSTEM_STATE.+slice.+state.+changed )|(ment ac)|(multiple cpu faults)|(system.+state.+changed )|(\[timeout)|(PRM\|1\|D)|(kpr)|(kdp)|(train st.+moving)|(\|lc)|(penalty))"</v>
      </c>
      <c r="AG188" s="183" t="str">
        <f t="shared" si="64"/>
        <v>NW</v>
      </c>
      <c r="AH188" s="78" t="str">
        <f t="shared" si="65"/>
        <v>"%USERPROFILE%\Documents\GitHub\eaglep3\Utilities\RefineRTDCRunTimes.py" --tripid 1819-17 --locoid 4024 --swversion DE.1.0.9.0 --startMP 204:972 --initTime 2017-09-17T15:01:58 --startdatetime 2017-09-17T15:09:18 --delay 102 --endMP 300:58993 --enddatetime 2017-09-17T15:22:27 --enforcementcount 0 &gt;&gt;C:\Users\stu\Documents\GitHub\eaglep3-reporting\EC\2017-09-17-refined-times.txt</v>
      </c>
      <c r="AI188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{"issue":{"subject":"","project_id":79,"tracker_id":40,"status_id":1,"priority_id":2,"assigned_to_id":338,"start_date":"2017-09-17","description":"","custom_fields":[{"id":1,"name":"Subdivision","value":"NW"},{"id":4,"name":"Milepost","value":"5.8993"},{"id":17,"name":"Train ID","value":"1819-17"},{"id":16,"name":"Locomotive ID","value":"4024"},{"id":130,"name":"Impact","value":""},{"id":150,"name":"Time of Event (Mountain Time)","value":"15:22:27"},{"id":151,"name":"Denver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7"/>
        <v>start /low /b %USERPROFILE%\Documents\GitHub\eaglep3\Utilities\DownloadLogsFromS3.py --loco 4024 --day 2017-09-17</v>
      </c>
      <c r="AN188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21:22:27"},{"id":29,"name":"Sharepoint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Message%20ID',Summary),filters:!(),index:'emp_*',interval:auto,query:"&amp;"(query_string:(analyze_wildcard:!t,query:'Message%5C+ID:(*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-09-17T14:01:58-0600',mode:absolute,to:'2017-09-17T16:22:27-0600'))&amp;_a=(columns:!('Message%20ID',Summary),filters:!(),index:'emp_*',interval:auto,query:(query_string:(analyze_wildcard:!t,query:'Message%5C+ID:(*)+AND+%22rtdc.l.rtdc.4024%22')),sort:!(Time.ISO8601,asc))</v>
      </c>
    </row>
    <row r="189" spans="1:91" x14ac:dyDescent="0.25">
      <c r="A189" s="32" t="s">
        <v>740</v>
      </c>
      <c r="B189" s="7">
        <v>4023</v>
      </c>
      <c r="C189" s="21" t="s">
        <v>197</v>
      </c>
      <c r="D189" s="21" t="s">
        <v>898</v>
      </c>
      <c r="E189" s="13">
        <v>42995.649780092594</v>
      </c>
      <c r="F189" s="13">
        <v>42995.651319444441</v>
      </c>
      <c r="G189" s="7">
        <v>62</v>
      </c>
      <c r="H189" s="21" t="s">
        <v>899</v>
      </c>
      <c r="I189" s="13">
        <v>42995.663090277776</v>
      </c>
      <c r="J189" s="7">
        <v>0</v>
      </c>
      <c r="K189" s="89" t="str">
        <f t="shared" si="54"/>
        <v>4023/4024</v>
      </c>
      <c r="L189" s="186" t="str">
        <f>VLOOKUP(A189,'Trips&amp;Operators'!$C$1:$G$99911,5,FALSE)</f>
        <v>HOLCOMB KAMDEN</v>
      </c>
      <c r="M189" s="6">
        <f t="shared" si="55"/>
        <v>1.1770833334594499E-2</v>
      </c>
      <c r="N189" s="7">
        <f t="shared" si="76"/>
        <v>16.950000001816079</v>
      </c>
      <c r="O189" s="7"/>
      <c r="P189" s="7"/>
      <c r="Q189" s="22"/>
      <c r="R189" s="174"/>
      <c r="S189" s="222">
        <f t="shared" si="77"/>
        <v>1</v>
      </c>
      <c r="T189" s="174" t="str">
        <f t="shared" si="56"/>
        <v>Southbound</v>
      </c>
      <c r="U189" s="19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7" t="str">
        <f t="shared" si="57"/>
        <v>https://d0f6bd738d7f1b3e5a7ca70fe4ff75f0.us-east-1.aws.found.io/app/kibana#/discover/Steve-Slow-Train-Analysis-(2080s-and-2083s)?_g=(refreshInterval:(display:Off,pause:!f,section:0,value:0),time:(from:'2017-09-17T14:35:41-0600',mode:absolute,to:'2017-09-17T16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9" s="205" t="str">
        <f>IF(AA189&lt;VLOOKUP(AG189,Variables!$AC$3:$AD$8,2,FALSE),"Y","N")</f>
        <v>N</v>
      </c>
      <c r="X189" s="205">
        <f t="shared" si="73"/>
        <v>1</v>
      </c>
      <c r="Y189" s="205">
        <f t="shared" si="74"/>
        <v>5.8677000000000001</v>
      </c>
      <c r="Z189" s="205">
        <f t="shared" si="75"/>
        <v>7.5700000000000003E-2</v>
      </c>
      <c r="AA189" s="205">
        <f t="shared" si="60"/>
        <v>5.7919999999999998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80">
        <f t="shared" si="61"/>
        <v>1820</v>
      </c>
      <c r="AE189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89" s="74" t="str">
        <f t="shared" si="63"/>
        <v>"C:\Program Files (x86)\AstroGrep\AstroGrep.exe" /e /r /s /spath="%USERPROFILE%\AppData\Local\Temp\OnboardLogs" /stypes="app*4023*20170917*" /stext=" 21:.+((SYSTEM_STATE.+slice.+state.+changed )|(ment ac)|(multiple cpu faults)|(system.+state.+changed )|(\[timeout)|(PRM\|1\|D)|(kpr)|(kdp)|(train st.+moving)|(\|lc)|(penalty))"</v>
      </c>
      <c r="AG189" s="183" t="str">
        <f t="shared" si="64"/>
        <v>NW</v>
      </c>
      <c r="AH189" s="78" t="str">
        <f t="shared" si="65"/>
        <v>"%USERPROFILE%\Documents\GitHub\eaglep3\Utilities\RefineRTDCRunTimes.py" --tripid 1820-17 --locoid 4023 --swversion DE.1.0.9.0 --startMP 300:58677 --initTime 2017-09-17T15:35:41 --startdatetime 2017-09-17T15:37:54 --delay 62 --endMP 204:757 --enddatetime 2017-09-17T15:54:51 --enforcementcount 0 &gt;&gt;C:\Users\stu\Documents\GitHub\eaglep3-reporting\EC\2017-09-17-refined-times.txt</v>
      </c>
      <c r="AI189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{"issue":{"subject":"","project_id":79,"tracker_id":40,"status_id":1,"priority_id":2,"assigned_to_id":338,"start_date":"2017-09-17","description":"","custom_fields":[{"id":1,"name":"Subdivision","value":"NW"},{"id":4,"name":"Milepost","value":"0.0757"},{"id":17,"name":"Train ID","value":"1820-17"},{"id":16,"name":"Locomotive ID","value":"4023"},{"id":130,"name":"Impact","value":""},{"id":150,"name":"Time of Event (Mountain Time)","value":"15:54:51"},{"id":151,"name":"Denver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7"/>
        <v>start /low /b %USERPROFILE%\Documents\GitHub\eaglep3\Utilities\DownloadLogsFromS3.py --loco 4023 --day 2017-09-17</v>
      </c>
      <c r="AN189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Message%20ID',Summary),filters:!(),index:'emp_*',interval:auto,query:"&amp;"(query_string:(analyze_wildcard:!t,query:'Message%5C+ID:(*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-09-17T14:35:41-0600',mode:absolute,to:'2017-09-17T16:54:51-0600'))&amp;_a=(columns:!('Message%20ID',Summary),filters:!(),index:'emp_*',interval:auto,query:(query_string:(analyze_wildcard:!t,query:'Message%5C+ID:(*)+AND+%22rtdc.l.rtdc.4023%22')),sort:!(Time.ISO8601,asc))</v>
      </c>
    </row>
    <row r="190" spans="1:91" s="20" customFormat="1" x14ac:dyDescent="0.25">
      <c r="A190" s="32" t="s">
        <v>745</v>
      </c>
      <c r="B190" s="7">
        <v>4024</v>
      </c>
      <c r="C190" s="21" t="s">
        <v>197</v>
      </c>
      <c r="D190" s="21" t="s">
        <v>494</v>
      </c>
      <c r="E190" s="13">
        <v>42995.670578703706</v>
      </c>
      <c r="F190" s="13">
        <v>42995.673356481479</v>
      </c>
      <c r="G190" s="7">
        <v>50</v>
      </c>
      <c r="H190" s="21" t="s">
        <v>900</v>
      </c>
      <c r="I190" s="13">
        <v>42995.682905092595</v>
      </c>
      <c r="J190" s="7">
        <v>0</v>
      </c>
      <c r="K190" s="89" t="str">
        <f t="shared" si="54"/>
        <v>4023/4024</v>
      </c>
      <c r="L190" s="186" t="str">
        <f>VLOOKUP(A190,'Trips&amp;Operators'!$C$1:$G$99911,5,FALSE)</f>
        <v>HOLCOMB KAMDEN</v>
      </c>
      <c r="M190" s="6">
        <f t="shared" si="55"/>
        <v>9.5486111167701893E-3</v>
      </c>
      <c r="N190" s="7">
        <f t="shared" si="76"/>
        <v>13.750000008149073</v>
      </c>
      <c r="O190" s="7"/>
      <c r="P190" s="7"/>
      <c r="Q190" s="22"/>
      <c r="R190" s="174"/>
      <c r="S190" s="222">
        <f t="shared" si="77"/>
        <v>1</v>
      </c>
      <c r="T190" s="174" t="str">
        <f t="shared" si="56"/>
        <v>NorthBound</v>
      </c>
      <c r="U190" s="19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7" t="str">
        <f t="shared" si="57"/>
        <v>https://d0f6bd738d7f1b3e5a7ca70fe4ff75f0.us-east-1.aws.found.io/app/kibana#/discover/Steve-Slow-Train-Analysis-(2080s-and-2083s)?_g=(refreshInterval:(display:Off,pause:!f,section:0,value:0),time:(from:'2017-09-17T15:05:38-0600',mode:absolute,to:'2017-09-17T17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0" s="205" t="str">
        <f>IF(AA190&lt;VLOOKUP(AG190,Variables!$AC$3:$AD$8,2,FALSE),"Y","N")</f>
        <v>N</v>
      </c>
      <c r="X190" s="205">
        <f t="shared" si="73"/>
        <v>1</v>
      </c>
      <c r="Y190" s="205">
        <f t="shared" si="74"/>
        <v>0.1007</v>
      </c>
      <c r="Z190" s="205">
        <f t="shared" si="75"/>
        <v>5.8978000000000002</v>
      </c>
      <c r="AA190" s="205">
        <f t="shared" si="60"/>
        <v>5.7971000000000004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80">
        <f t="shared" si="61"/>
        <v>1821</v>
      </c>
      <c r="AE190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90" s="74" t="str">
        <f t="shared" si="63"/>
        <v>"C:\Program Files (x86)\AstroGrep\AstroGrep.exe" /e /r /s /spath="%USERPROFILE%\AppData\Local\Temp\OnboardLogs" /stypes="app*4024*20170917*" /stext=" 22:.+((SYSTEM_STATE.+slice.+state.+changed )|(ment ac)|(multiple cpu faults)|(system.+state.+changed )|(\[timeout)|(PRM\|1\|D)|(kpr)|(kdp)|(train st.+moving)|(\|lc)|(penalty))"</v>
      </c>
      <c r="AG190" s="183" t="str">
        <f t="shared" si="64"/>
        <v>NW</v>
      </c>
      <c r="AH190" s="78" t="str">
        <f t="shared" si="65"/>
        <v>"%USERPROFILE%\Documents\GitHub\eaglep3\Utilities\RefineRTDCRunTimes.py" --tripid 1821-17 --locoid 4024 --swversion DE.1.0.9.0 --startMP 204:1007 --initTime 2017-09-17T16:05:38 --startdatetime 2017-09-17T16:09:38 --delay 50 --endMP 300:58978 --enddatetime 2017-09-17T16:23:23 --enforcementcount 0 &gt;&gt;C:\Users\stu\Documents\GitHub\eaglep3-reporting\EC\2017-09-17-refined-times.txt</v>
      </c>
      <c r="AI190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{"issue":{"subject":"","project_id":79,"tracker_id":40,"status_id":1,"priority_id":2,"assigned_to_id":338,"start_date":"2017-09-17","description":"","custom_fields":[{"id":1,"name":"Subdivision","value":"NW"},{"id":4,"name":"Milepost","value":"5.8978"},{"id":17,"name":"Train ID","value":"1821-17"},{"id":16,"name":"Locomotive ID","value":"4024"},{"id":130,"name":"Impact","value":""},{"id":150,"name":"Time of Event (Mountain Time)","value":"16:23:23"},{"id":151,"name":"Denver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67"/>
        <v>start /low /b %USERPROFILE%\Documents\GitHub\eaglep3\Utilities\DownloadLogsFromS3.py --loco 4024 --day 2017-09-17</v>
      </c>
      <c r="AN190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22:23:23"},{"id":29,"name":"Sharepoint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Message%20ID',Summary),filters:!(),index:'emp_*',interval:auto,query:"&amp;"(query_string:(analyze_wildcard:!t,query:'Message%5C+ID:(*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-09-17T15:05:38-0600',mode:absolute,to:'2017-09-17T17:23:23-0600'))&amp;_a=(columns:!('Message%20ID',Summary),filters:!(),index:'emp_*',interval:auto,query:(query_string:(analyze_wildcard:!t,query:'Message%5C+ID:(*)+AND+%22rtdc.l.rtdc.4024%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750</v>
      </c>
      <c r="B191" s="7">
        <v>4023</v>
      </c>
      <c r="C191" s="21" t="s">
        <v>197</v>
      </c>
      <c r="D191" s="21" t="s">
        <v>492</v>
      </c>
      <c r="E191" s="13">
        <v>42995.691365740742</v>
      </c>
      <c r="F191" s="13">
        <v>42995.693599537037</v>
      </c>
      <c r="G191" s="7">
        <v>83</v>
      </c>
      <c r="H191" s="21" t="s">
        <v>901</v>
      </c>
      <c r="I191" s="13">
        <v>42995.704965277779</v>
      </c>
      <c r="J191" s="7">
        <v>0</v>
      </c>
      <c r="K191" s="89" t="str">
        <f t="shared" si="54"/>
        <v>4023/4024</v>
      </c>
      <c r="L191" s="186" t="str">
        <f>VLOOKUP(A191,'Trips&amp;Operators'!$C$1:$G$99911,5,FALSE)</f>
        <v>HOLCOMB KAMDEN</v>
      </c>
      <c r="M191" s="6">
        <f t="shared" si="55"/>
        <v>1.1365740741894115E-2</v>
      </c>
      <c r="N191" s="7">
        <f t="shared" si="76"/>
        <v>16.366666668327525</v>
      </c>
      <c r="O191" s="7"/>
      <c r="P191" s="7"/>
      <c r="Q191" s="22"/>
      <c r="R191" s="174"/>
      <c r="S191" s="222">
        <f t="shared" si="77"/>
        <v>1</v>
      </c>
      <c r="T191" s="174" t="str">
        <f t="shared" si="56"/>
        <v>Southbound</v>
      </c>
      <c r="U191" s="19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7" t="str">
        <f t="shared" si="57"/>
        <v>https://d0f6bd738d7f1b3e5a7ca70fe4ff75f0.us-east-1.aws.found.io/app/kibana#/discover/Steve-Slow-Train-Analysis-(2080s-and-2083s)?_g=(refreshInterval:(display:Off,pause:!f,section:0,value:0),time:(from:'2017-09-17T15:35:34-0600',mode:absolute,to:'2017-09-17T17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1" s="205" t="str">
        <f>IF(AA191&lt;VLOOKUP(AG191,Variables!$AC$3:$AD$8,2,FALSE),"Y","N")</f>
        <v>N</v>
      </c>
      <c r="X191" s="205">
        <f t="shared" si="73"/>
        <v>1</v>
      </c>
      <c r="Y191" s="205">
        <f t="shared" si="74"/>
        <v>5.8659999999999997</v>
      </c>
      <c r="Z191" s="205">
        <f t="shared" si="75"/>
        <v>6.7000000000000004E-2</v>
      </c>
      <c r="AA191" s="205">
        <f t="shared" si="60"/>
        <v>5.7989999999999995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80">
        <f t="shared" si="61"/>
        <v>1822</v>
      </c>
      <c r="AE191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91" s="74" t="str">
        <f t="shared" si="63"/>
        <v>"C:\Program Files (x86)\AstroGrep\AstroGrep.exe" /e /r /s /spath="%USERPROFILE%\AppData\Local\Temp\OnboardLogs" /stypes="app*4023*20170917*" /stext=" 22:.+((SYSTEM_STATE.+slice.+state.+changed )|(ment ac)|(multiple cpu faults)|(system.+state.+changed )|(\[timeout)|(PRM\|1\|D)|(kpr)|(kdp)|(train st.+moving)|(\|lc)|(penalty))"</v>
      </c>
      <c r="AG191" s="183" t="str">
        <f t="shared" si="64"/>
        <v>NW</v>
      </c>
      <c r="AH191" s="78" t="str">
        <f t="shared" si="65"/>
        <v>"%USERPROFILE%\Documents\GitHub\eaglep3\Utilities\RefineRTDCRunTimes.py" --tripid 1822-17 --locoid 4023 --swversion DE.1.0.9.0 --startMP 300:58660 --initTime 2017-09-17T16:35:34 --startdatetime 2017-09-17T16:38:47 --delay 83 --endMP 204:670 --enddatetime 2017-09-17T16:55:09 --enforcementcount 0 &gt;&gt;C:\Users\stu\Documents\GitHub\eaglep3-reporting\EC\2017-09-17-refined-times.txt</v>
      </c>
      <c r="AI191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{"issue":{"subject":"","project_id":79,"tracker_id":40,"status_id":1,"priority_id":2,"assigned_to_id":338,"start_date":"2017-09-17","description":"","custom_fields":[{"id":1,"name":"Subdivision","value":"NW"},{"id":4,"name":"Milepost","value":"0.067"},{"id":17,"name":"Train ID","value":"1822-17"},{"id":16,"name":"Locomotive ID","value":"4023"},{"id":130,"name":"Impact","value":""},{"id":150,"name":"Time of Event (Mountain Time)","value":"16:55:09"},{"id":151,"name":"Denver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67"/>
        <v>start /low /b %USERPROFILE%\Documents\GitHub\eaglep3\Utilities\DownloadLogsFromS3.py --loco 4023 --day 2017-09-17</v>
      </c>
      <c r="AN191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22:55:09"},{"id":29,"name":"Sharepoint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Message%20ID',Summary),filters:!(),index:'emp_*',interval:auto,query:"&amp;"(query_string:(analyze_wildcard:!t,query:'Message%5C+ID:(*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-09-17T15:35:34-0600',mode:absolute,to:'2017-09-17T17:55:09-0600'))&amp;_a=(columns:!('Message%20ID',Summary),filters:!(),index:'emp_*',interval:auto,query:(query_string:(analyze_wildcard:!t,query:'Message%5C+ID:(*)+AND+%22rtdc.l.rtdc.4023%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599</v>
      </c>
      <c r="B192" s="7">
        <v>4024</v>
      </c>
      <c r="C192" s="21" t="s">
        <v>197</v>
      </c>
      <c r="D192" s="21" t="s">
        <v>559</v>
      </c>
      <c r="E192" s="13">
        <v>42995.708449074074</v>
      </c>
      <c r="F192" s="13">
        <v>42995.714756944442</v>
      </c>
      <c r="G192" s="7">
        <v>68</v>
      </c>
      <c r="H192" s="21" t="s">
        <v>902</v>
      </c>
      <c r="I192" s="13">
        <v>42995.724490740744</v>
      </c>
      <c r="J192" s="7">
        <v>0</v>
      </c>
      <c r="K192" s="89" t="str">
        <f t="shared" si="54"/>
        <v>4023/4024</v>
      </c>
      <c r="L192" s="186" t="str">
        <f>VLOOKUP(A192,'Trips&amp;Operators'!$C$1:$G$99911,5,FALSE)</f>
        <v>KILLION DAVID</v>
      </c>
      <c r="M192" s="6">
        <f t="shared" si="55"/>
        <v>9.7337963015888818E-3</v>
      </c>
      <c r="N192" s="7">
        <f t="shared" si="76"/>
        <v>14.01666667428799</v>
      </c>
      <c r="O192" s="7"/>
      <c r="P192" s="7"/>
      <c r="Q192" s="22"/>
      <c r="R192" s="174"/>
      <c r="S192" s="222">
        <f t="shared" si="77"/>
        <v>1</v>
      </c>
      <c r="T192" s="174" t="str">
        <f t="shared" si="56"/>
        <v>NorthBound</v>
      </c>
      <c r="U192" s="19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7" t="str">
        <f t="shared" si="57"/>
        <v>https://d0f6bd738d7f1b3e5a7ca70fe4ff75f0.us-east-1.aws.found.io/app/kibana#/discover/Steve-Slow-Train-Analysis-(2080s-and-2083s)?_g=(refreshInterval:(display:Off,pause:!f,section:0,value:0),time:(from:'2017-09-17T16:00:10-0600',mode:absolute,to:'2017-09-17T18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2" s="205" t="str">
        <f>IF(AA192&lt;VLOOKUP(AG192,Variables!$AC$3:$AD$8,2,FALSE),"Y","N")</f>
        <v>N</v>
      </c>
      <c r="X192" s="205">
        <f t="shared" si="73"/>
        <v>1</v>
      </c>
      <c r="Y192" s="205">
        <f t="shared" si="74"/>
        <v>9.5799999999999996E-2</v>
      </c>
      <c r="Z192" s="205">
        <f t="shared" si="75"/>
        <v>5.9031000000000002</v>
      </c>
      <c r="AA192" s="205">
        <f t="shared" si="60"/>
        <v>5.8073000000000006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80">
        <f t="shared" si="61"/>
        <v>1823</v>
      </c>
      <c r="AE192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92" s="74" t="str">
        <f t="shared" si="63"/>
        <v>"C:\Program Files (x86)\AstroGrep\AstroGrep.exe" /e /r /s /spath="%USERPROFILE%\AppData\Local\Temp\OnboardLogs" /stypes="app*4024*20170917*" /stext=" 23:.+((SYSTEM_STATE.+slice.+state.+changed )|(ment ac)|(multiple cpu faults)|(system.+state.+changed )|(\[timeout)|(PRM\|1\|D)|(kpr)|(kdp)|(train st.+moving)|(\|lc)|(penalty))"</v>
      </c>
      <c r="AG192" s="183" t="str">
        <f t="shared" si="64"/>
        <v>NW</v>
      </c>
      <c r="AH192" s="78" t="str">
        <f t="shared" si="65"/>
        <v>"%USERPROFILE%\Documents\GitHub\eaglep3\Utilities\RefineRTDCRunTimes.py" --tripid 1823-17 --locoid 4024 --swversion DE.1.0.9.0 --startMP 204:958 --initTime 2017-09-17T17:00:10 --startdatetime 2017-09-17T17:09:15 --delay 68 --endMP 300:59031 --enddatetime 2017-09-17T17:23:16 --enforcementcount 0 &gt;&gt;C:\Users\stu\Documents\GitHub\eaglep3-reporting\EC\2017-09-17-refined-times.txt</v>
      </c>
      <c r="AI192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{"issue":{"subject":"","project_id":79,"tracker_id":40,"status_id":1,"priority_id":2,"assigned_to_id":338,"start_date":"2017-09-17","description":"","custom_fields":[{"id":1,"name":"Subdivision","value":"NW"},{"id":4,"name":"Milepost","value":"5.9031"},{"id":17,"name":"Train ID","value":"1823-17"},{"id":16,"name":"Locomotive ID","value":"4024"},{"id":130,"name":"Impact","value":""},{"id":150,"name":"Time of Event (Mountain Time)","value":"17:23:16"},{"id":151,"name":"Denver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67"/>
        <v>start /low /b %USERPROFILE%\Documents\GitHub\eaglep3\Utilities\DownloadLogsFromS3.py --loco 4024 --day 2017-09-17</v>
      </c>
      <c r="AN192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23:23:16"},{"id":29,"name":"Sharepoint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Message%20ID',Summary),filters:!(),index:'emp_*',interval:auto,query:"&amp;"(query_string:(analyze_wildcard:!t,query:'Message%5C+ID:(*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-09-17T16:00:10-0600',mode:absolute,to:'2017-09-17T18:23:16-0600'))&amp;_a=(columns:!('Message%20ID',Summary),filters:!(),index:'emp_*',interval:auto,query:(query_string:(analyze_wildcard:!t,query:'Message%5C+ID:(*)+AND+%22rtdc.l.rtdc.4024%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758</v>
      </c>
      <c r="B193" s="7">
        <v>4023</v>
      </c>
      <c r="C193" s="21" t="s">
        <v>197</v>
      </c>
      <c r="D193" s="21" t="s">
        <v>903</v>
      </c>
      <c r="E193" s="13">
        <v>42995.733622685184</v>
      </c>
      <c r="F193" s="13">
        <v>42995.73641203704</v>
      </c>
      <c r="G193" s="7">
        <v>76</v>
      </c>
      <c r="H193" s="21" t="s">
        <v>904</v>
      </c>
      <c r="I193" s="13">
        <v>42995.747824074075</v>
      </c>
      <c r="J193" s="7">
        <v>0</v>
      </c>
      <c r="K193" s="89" t="str">
        <f t="shared" si="54"/>
        <v>4023/4024</v>
      </c>
      <c r="L193" s="186" t="str">
        <f>VLOOKUP(A193,'Trips&amp;Operators'!$C$1:$G$99911,5,FALSE)</f>
        <v>KILLION DAVID</v>
      </c>
      <c r="M193" s="6">
        <f t="shared" si="55"/>
        <v>1.1412037034460809E-2</v>
      </c>
      <c r="N193" s="7">
        <f t="shared" si="76"/>
        <v>16.433333329623565</v>
      </c>
      <c r="O193" s="7"/>
      <c r="P193" s="7"/>
      <c r="Q193" s="22"/>
      <c r="R193" s="174"/>
      <c r="S193" s="222">
        <f t="shared" si="77"/>
        <v>1</v>
      </c>
      <c r="T193" s="174" t="str">
        <f t="shared" si="56"/>
        <v>Southbound</v>
      </c>
      <c r="U193" s="19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7" t="str">
        <f t="shared" si="57"/>
        <v>https://d0f6bd738d7f1b3e5a7ca70fe4ff75f0.us-east-1.aws.found.io/app/kibana#/discover/Steve-Slow-Train-Analysis-(2080s-and-2083s)?_g=(refreshInterval:(display:Off,pause:!f,section:0,value:0),time:(from:'2017-09-17T16:36:25-0600',mode:absolute,to:'2017-09-17T18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3" s="205" t="str">
        <f>IF(AA193&lt;VLOOKUP(AG193,Variables!$AC$3:$AD$8,2,FALSE),"Y","N")</f>
        <v>N</v>
      </c>
      <c r="X193" s="205">
        <f t="shared" si="73"/>
        <v>1</v>
      </c>
      <c r="Y193" s="205">
        <f t="shared" si="74"/>
        <v>5.8727999999999998</v>
      </c>
      <c r="Z193" s="205">
        <f t="shared" si="75"/>
        <v>6.2199999999999998E-2</v>
      </c>
      <c r="AA193" s="205">
        <f t="shared" si="60"/>
        <v>5.8106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80">
        <f t="shared" si="61"/>
        <v>1824</v>
      </c>
      <c r="AE193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93" s="74" t="str">
        <f t="shared" si="63"/>
        <v>"C:\Program Files (x86)\AstroGrep\AstroGrep.exe" /e /r /s /spath="%USERPROFILE%\AppData\Local\Temp\OnboardLogs" /stypes="app*4023*20170917*" /stext=" 23:.+((SYSTEM_STATE.+slice.+state.+changed )|(ment ac)|(multiple cpu faults)|(system.+state.+changed )|(\[timeout)|(PRM\|1\|D)|(kpr)|(kdp)|(train st.+moving)|(\|lc)|(penalty))"</v>
      </c>
      <c r="AG193" s="183" t="str">
        <f t="shared" si="64"/>
        <v>NW</v>
      </c>
      <c r="AH193" s="78" t="str">
        <f t="shared" si="65"/>
        <v>"%USERPROFILE%\Documents\GitHub\eaglep3\Utilities\RefineRTDCRunTimes.py" --tripid 1824-17 --locoid 4023 --swversion DE.1.0.9.0 --startMP 300:58728 --initTime 2017-09-17T17:36:25 --startdatetime 2017-09-17T17:40:26 --delay 76 --endMP 204:622 --enddatetime 2017-09-17T17:56:52 --enforcementcount 0 &gt;&gt;C:\Users\stu\Documents\GitHub\eaglep3-reporting\EC\2017-09-17-refined-times.txt</v>
      </c>
      <c r="AI193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{"issue":{"subject":"","project_id":79,"tracker_id":40,"status_id":1,"priority_id":2,"assigned_to_id":338,"start_date":"2017-09-17","description":"","custom_fields":[{"id":1,"name":"Subdivision","value":"NW"},{"id":4,"name":"Milepost","value":"0.0622"},{"id":17,"name":"Train ID","value":"1824-17"},{"id":16,"name":"Locomotive ID","value":"4023"},{"id":130,"name":"Impact","value":""},{"id":150,"name":"Time of Event (Mountain Time)","value":"17:56:52"},{"id":151,"name":"Denver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67"/>
        <v>start /low /b %USERPROFILE%\Documents\GitHub\eaglep3\Utilities\DownloadLogsFromS3.py --loco 4023 --day 2017-09-17</v>
      </c>
      <c r="AN193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23:56:52"},{"id":29,"name":"Sharepoint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Message%20ID',Summary),filters:!(),index:'emp_*',interval:auto,query:"&amp;"(query_string:(analyze_wildcard:!t,query:'Message%5C+ID:(*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-09-17T16:36:25-0600',mode:absolute,to:'2017-09-17T18:56:52-0600'))&amp;_a=(columns:!('Message%20ID',Summary),filters:!(),index:'emp_*',interval:auto,query:(query_string:(analyze_wildcard:!t,query:'Message%5C+ID:(*)+AND+%22rtdc.l.rtdc.4023%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765</v>
      </c>
      <c r="B194" s="7">
        <v>4024</v>
      </c>
      <c r="C194" s="21" t="s">
        <v>197</v>
      </c>
      <c r="D194" s="21" t="s">
        <v>903</v>
      </c>
      <c r="E194" s="13">
        <v>42995.733622685184</v>
      </c>
      <c r="F194" s="13">
        <v>42995.756574074076</v>
      </c>
      <c r="G194" s="7">
        <v>76</v>
      </c>
      <c r="H194" s="21" t="s">
        <v>904</v>
      </c>
      <c r="I194" s="13">
        <v>42995.766122685185</v>
      </c>
      <c r="J194" s="7">
        <v>0</v>
      </c>
      <c r="K194" s="89" t="str">
        <f t="shared" si="54"/>
        <v>4023/4024</v>
      </c>
      <c r="L194" s="186" t="str">
        <f>VLOOKUP(A194,'Trips&amp;Operators'!$C$1:$G$99911,5,FALSE)</f>
        <v>HOLCOMB KAMDEN</v>
      </c>
      <c r="M194" s="6">
        <f t="shared" si="55"/>
        <v>9.5486111094942316E-3</v>
      </c>
      <c r="N194" s="7">
        <f t="shared" si="76"/>
        <v>13.749999997671694</v>
      </c>
      <c r="O194" s="7"/>
      <c r="P194" s="7"/>
      <c r="Q194" s="22"/>
      <c r="R194" s="174"/>
      <c r="S194" s="222">
        <f t="shared" si="77"/>
        <v>1</v>
      </c>
      <c r="T194" s="174" t="str">
        <f t="shared" si="56"/>
        <v>NorthBound</v>
      </c>
      <c r="U194" s="19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7" t="str">
        <f t="shared" si="57"/>
        <v>https://d0f6bd738d7f1b3e5a7ca70fe4ff75f0.us-east-1.aws.found.io/app/kibana#/discover/Steve-Slow-Train-Analysis-(2080s-and-2083s)?_g=(refreshInterval:(display:Off,pause:!f,section:0,value:0),time:(from:'2017-09-17T16:36:25-0600',mode:absolute,to:'2017-09-17T19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4" s="205" t="str">
        <f>IF(AA194&lt;VLOOKUP(AG194,Variables!$AC$3:$AD$8,2,FALSE),"Y","N")</f>
        <v>N</v>
      </c>
      <c r="X194" s="205">
        <f t="shared" ref="X194:X195" si="78">VALUE(LEFT(AD194,4))-VALUE(LEFT(AD193,4))</f>
        <v>1</v>
      </c>
      <c r="Y194" s="205">
        <v>9.5799999999999996E-2</v>
      </c>
      <c r="Z194" s="205">
        <v>5.9031000000000002</v>
      </c>
      <c r="AA194" s="205">
        <f t="shared" si="60"/>
        <v>5.8073000000000006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80">
        <f t="shared" si="61"/>
        <v>1825</v>
      </c>
      <c r="AE194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94" s="74" t="str">
        <f t="shared" si="63"/>
        <v>"C:\Program Files (x86)\AstroGrep\AstroGrep.exe" /e /r /s /spath="%USERPROFILE%\AppData\Local\Temp\OnboardLogs" /stypes="app*4024*20170918*" /stext=" 00:.+((SYSTEM_STATE.+slice.+state.+changed )|(ment ac)|(multiple cpu faults)|(system.+state.+changed )|(\[timeout)|(PRM\|1\|D)|(kpr)|(kdp)|(train st.+moving)|(\|lc)|(penalty))"</v>
      </c>
      <c r="AG194" s="183" t="str">
        <f t="shared" si="64"/>
        <v>NW</v>
      </c>
      <c r="AH194" s="78" t="str">
        <f t="shared" ref="AH194" si="79"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1825-17 --locoid 4024 --swversion DE.1.0.9.0 --startMP 300:58728 --initTime 2017-09-17T17:36:25 --startdatetime 2017-09-17T18:09:28 --delay 76 --endMP 204:622 --enddatetime 2017-09-17T18:23:13 --enforcementcount 0 &gt;&gt;C:\Users\stu\Documents\GitHub\eaglep3-reporting\EC\2017-09-17-refined-times.txt</v>
      </c>
      <c r="AI194" s="96" t="str">
        <f t="shared" ref="AI194" si="80"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{"issue":{"subject":"","project_id":79,"tracker_id":40,"status_id":1,"priority_id":2,"assigned_to_id":338,"start_date":"2017-09-17","description":"","custom_fields":[{"id":1,"name":"Subdivision","value":"NW"},{"id":4,"name":"Milepost","value":"5.9031"},{"id":17,"name":"Train ID","value":"1825-17"},{"id":16,"name":"Locomotive ID","value":"4024"},{"id":130,"name":"Impact","value":""},{"id":150,"name":"Time of Event (Mountain Time)","value":"18:23:13"},{"id":151,"name":"Denver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ref="AM194" si="81">"start /low /b "&amp;dls3logs&amp;" --loco "&amp;B194&amp;" --day "&amp;TEXT(F194,"YYYY-MM-DD")</f>
        <v>start /low /b %USERPROFILE%\Documents\GitHub\eaglep3\Utilities\DownloadLogsFromS3.py --loco 4024 --day 2017-09-17</v>
      </c>
      <c r="AN194" s="151" t="str">
        <f t="shared" ref="AN194" si="82"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00:23:13"},{"id":29,"name":"Sharepoint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Message%5C+ID:(*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-09-17T16:36:25-0600',mode:absolute,to:'2017-09-17T19:23:13-0600'))&amp;_a=(columns:!('Message%20ID',Summary),filters:!(),index:'emp_*',interval:auto,query:(query_string:(analyze_wildcard:!t,query:'Message%5C+ID:(*)+AND+%22rtdc.l.rtdc.4024%22')),sort:!(Time.ISO8601,asc))</v>
      </c>
    </row>
    <row r="195" spans="1:91" x14ac:dyDescent="0.25">
      <c r="A195" s="32" t="s">
        <v>770</v>
      </c>
      <c r="B195" s="7">
        <v>4023</v>
      </c>
      <c r="C195" s="21" t="s">
        <v>197</v>
      </c>
      <c r="D195" s="21" t="s">
        <v>862</v>
      </c>
      <c r="E195" s="13">
        <v>42995.776400462964</v>
      </c>
      <c r="F195" s="13">
        <v>42995.777673611112</v>
      </c>
      <c r="G195" s="7">
        <v>59</v>
      </c>
      <c r="H195" s="21" t="s">
        <v>565</v>
      </c>
      <c r="I195" s="13">
        <v>42995.788587962961</v>
      </c>
      <c r="J195" s="7">
        <v>0</v>
      </c>
      <c r="K195" s="89" t="str">
        <f t="shared" si="54"/>
        <v>4023/4024</v>
      </c>
      <c r="L195" s="186" t="str">
        <f>VLOOKUP(A195,'Trips&amp;Operators'!$C$1:$G$99911,5,FALSE)</f>
        <v>HOLCOMB KAMDEN</v>
      </c>
      <c r="M195" s="6">
        <f t="shared" si="55"/>
        <v>1.0914351849351078E-2</v>
      </c>
      <c r="N195" s="7">
        <f t="shared" si="76"/>
        <v>15.716666663065553</v>
      </c>
      <c r="O195" s="7"/>
      <c r="P195" s="7"/>
      <c r="Q195" s="22"/>
      <c r="R195" s="174"/>
      <c r="S195" s="222">
        <f t="shared" si="77"/>
        <v>1</v>
      </c>
      <c r="T195" s="174" t="str">
        <f t="shared" si="56"/>
        <v>Southbound</v>
      </c>
      <c r="U195" s="19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7" t="str">
        <f t="shared" si="57"/>
        <v>https://d0f6bd738d7f1b3e5a7ca70fe4ff75f0.us-east-1.aws.found.io/app/kibana#/discover/Steve-Slow-Train-Analysis-(2080s-and-2083s)?_g=(refreshInterval:(display:Off,pause:!f,section:0,value:0),time:(from:'2017-09-17T17:38:01-0600',mode:absolute,to:'2017-09-17T19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5" s="205" t="str">
        <f>IF(AA195&lt;VLOOKUP(AG195,Variables!$AC$3:$AD$8,2,FALSE),"Y","N")</f>
        <v>N</v>
      </c>
      <c r="X195" s="205">
        <f t="shared" si="78"/>
        <v>1</v>
      </c>
      <c r="Y195" s="205">
        <f t="shared" ref="Y195:Y227" si="83">RIGHT(D195,LEN(D195)-4)/10000</f>
        <v>5.8681000000000001</v>
      </c>
      <c r="Z195" s="205">
        <f t="shared" ref="Z195:Z227" si="84">RIGHT(H195,LEN(H195)-4)/10000</f>
        <v>7.0599999999999996E-2</v>
      </c>
      <c r="AA195" s="205">
        <f t="shared" si="60"/>
        <v>5.7975000000000003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80">
        <f t="shared" si="61"/>
        <v>1826</v>
      </c>
      <c r="AE195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95" s="74" t="str">
        <f t="shared" si="63"/>
        <v>"C:\Program Files (x86)\AstroGrep\AstroGrep.exe" /e /r /s /spath="%USERPROFILE%\AppData\Local\Temp\OnboardLogs" /stypes="app*4023*20170918*" /stext=" 00:.+((SYSTEM_STATE.+slice.+state.+changed )|(ment ac)|(multiple cpu faults)|(system.+state.+changed )|(\[timeout)|(PRM\|1\|D)|(kpr)|(kdp)|(train st.+moving)|(\|lc)|(penalty))"</v>
      </c>
      <c r="AG195" s="183" t="str">
        <f t="shared" si="64"/>
        <v>NW</v>
      </c>
      <c r="AH195" s="78" t="str">
        <f t="shared" si="65"/>
        <v>"%USERPROFILE%\Documents\GitHub\eaglep3\Utilities\RefineRTDCRunTimes.py" --tripid 1826-17 --locoid 4023 --swversion DE.1.0.9.0 --startMP 300:58681 --initTime 2017-09-17T18:38:01 --startdatetime 2017-09-17T18:39:51 --delay 59 --endMP 204:706 --enddatetime 2017-09-17T18:55:34 --enforcementcount 0 &gt;&gt;C:\Users\stu\Documents\GitHub\eaglep3-reporting\EC\2017-09-17-refined-times.txt</v>
      </c>
      <c r="AI195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{"issue":{"subject":"","project_id":79,"tracker_id":40,"status_id":1,"priority_id":2,"assigned_to_id":338,"start_date":"2017-09-17","description":"","custom_fields":[{"id":1,"name":"Subdivision","value":"NW"},{"id":4,"name":"Milepost","value":"0.0706"},{"id":17,"name":"Train ID","value":"1826-17"},{"id":16,"name":"Locomotive ID","value":"4023"},{"id":130,"name":"Impact","value":""},{"id":150,"name":"Time of Event (Mountain Time)","value":"18:55:34"},{"id":151,"name":"Denver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7"/>
        <v>start /low /b %USERPROFILE%\Documents\GitHub\eaglep3\Utilities\DownloadLogsFromS3.py --loco 4023 --day 2017-09-17</v>
      </c>
      <c r="AN195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00:55:34"},{"id":29,"name":"Sharepoint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Message%20ID',Summary),filters:!(),index:'emp_*',interval:auto,query:"&amp;"(query_string:(analyze_wildcard:!t,query:'Message%5C+ID:(*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-09-17T17:38:01-0600',mode:absolute,to:'2017-09-17T19:55:34-0600'))&amp;_a=(columns:!('Message%20ID',Summary),filters:!(),index:'emp_*',interval:auto,query:(query_string:(analyze_wildcard:!t,query:'Message%5C+ID:(*)+AND+%22rtdc.l.rtdc.4023%22')),sort:!(Time.ISO8601,asc))</v>
      </c>
    </row>
    <row r="196" spans="1:91" x14ac:dyDescent="0.25">
      <c r="A196" s="32" t="s">
        <v>777</v>
      </c>
      <c r="B196" s="7">
        <v>4024</v>
      </c>
      <c r="C196" s="21" t="s">
        <v>197</v>
      </c>
      <c r="D196" s="21" t="s">
        <v>905</v>
      </c>
      <c r="E196" s="13">
        <v>42995.795162037037</v>
      </c>
      <c r="F196" s="13">
        <v>42995.798043981478</v>
      </c>
      <c r="G196" s="7">
        <v>54</v>
      </c>
      <c r="H196" s="21" t="s">
        <v>861</v>
      </c>
      <c r="I196" s="13">
        <v>42995.807627314818</v>
      </c>
      <c r="J196" s="7">
        <v>0</v>
      </c>
      <c r="K196" s="89" t="str">
        <f t="shared" si="54"/>
        <v>4023/4024</v>
      </c>
      <c r="L196" s="186" t="str">
        <f>VLOOKUP(A196,'Trips&amp;Operators'!$C$1:$G$99911,5,FALSE)</f>
        <v>HOLCOMB KAMDEN</v>
      </c>
      <c r="M196" s="6">
        <f t="shared" si="55"/>
        <v>9.5833333398331888E-3</v>
      </c>
      <c r="N196" s="7">
        <f t="shared" si="76"/>
        <v>13.800000009359792</v>
      </c>
      <c r="O196" s="7"/>
      <c r="P196" s="7"/>
      <c r="Q196" s="22"/>
      <c r="R196" s="174"/>
      <c r="S196" s="222">
        <f t="shared" si="77"/>
        <v>1</v>
      </c>
      <c r="T196" s="174" t="str">
        <f t="shared" si="56"/>
        <v>NorthBound</v>
      </c>
      <c r="U196" s="19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7" t="str">
        <f t="shared" si="57"/>
        <v>https://d0f6bd738d7f1b3e5a7ca70fe4ff75f0.us-east-1.aws.found.io/app/kibana#/discover/Steve-Slow-Train-Analysis-(2080s-and-2083s)?_g=(refreshInterval:(display:Off,pause:!f,section:0,value:0),time:(from:'2017-09-17T18:05:02-0600',mode:absolute,to:'2017-09-17T20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6" s="205" t="str">
        <f>IF(AA196&lt;VLOOKUP(AG196,Variables!$AC$3:$AD$8,2,FALSE),"Y","N")</f>
        <v>N</v>
      </c>
      <c r="X196" s="205">
        <f t="shared" ref="X196:X227" si="85">VALUE(LEFT(AD196,4))-VALUE(LEFT(AD195,4))</f>
        <v>1</v>
      </c>
      <c r="Y196" s="205">
        <f t="shared" si="83"/>
        <v>9.9699999999999997E-2</v>
      </c>
      <c r="Z196" s="205">
        <f t="shared" si="84"/>
        <v>5.9001000000000001</v>
      </c>
      <c r="AA196" s="205">
        <f t="shared" si="60"/>
        <v>5.8003999999999998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80">
        <f t="shared" si="61"/>
        <v>1827</v>
      </c>
      <c r="AE196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96" s="74" t="str">
        <f t="shared" si="63"/>
        <v>"C:\Program Files (x86)\AstroGrep\AstroGrep.exe" /e /r /s /spath="%USERPROFILE%\AppData\Local\Temp\OnboardLogs" /stypes="app*4024*20170918*" /stext=" 01:.+((SYSTEM_STATE.+slice.+state.+changed )|(ment ac)|(multiple cpu faults)|(system.+state.+changed )|(\[timeout)|(PRM\|1\|D)|(kpr)|(kdp)|(train st.+moving)|(\|lc)|(penalty))"</v>
      </c>
      <c r="AG196" s="183" t="str">
        <f t="shared" si="64"/>
        <v>NW</v>
      </c>
      <c r="AH196" s="78" t="str">
        <f t="shared" si="65"/>
        <v>"%USERPROFILE%\Documents\GitHub\eaglep3\Utilities\RefineRTDCRunTimes.py" --tripid 1827-17 --locoid 4024 --swversion DE.1.0.9.0 --startMP 204:997 --initTime 2017-09-17T19:05:02 --startdatetime 2017-09-17T19:09:11 --delay 54 --endMP 300:59001 --enddatetime 2017-09-17T19:22:59 --enforcementcount 0 &gt;&gt;C:\Users\stu\Documents\GitHub\eaglep3-reporting\EC\2017-09-17-refined-times.txt</v>
      </c>
      <c r="AI196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{"issue":{"subject":"","project_id":79,"tracker_id":40,"status_id":1,"priority_id":2,"assigned_to_id":338,"start_date":"2017-09-17","description":"","custom_fields":[{"id":1,"name":"Subdivision","value":"NW"},{"id":4,"name":"Milepost","value":"5.9001"},{"id":17,"name":"Train ID","value":"1827-17"},{"id":16,"name":"Locomotive ID","value":"4024"},{"id":130,"name":"Impact","value":""},{"id":150,"name":"Time of Event (Mountain Time)","value":"19:22:59"},{"id":151,"name":"Denver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7"/>
        <v>start /low /b %USERPROFILE%\Documents\GitHub\eaglep3\Utilities\DownloadLogsFromS3.py --loco 4024 --day 2017-09-17</v>
      </c>
      <c r="AN196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01:22:59"},{"id":29,"name":"Sharepoint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Message%20ID',Summary),filters:!(),index:'emp_*',interval:auto,query:"&amp;"(query_string:(analyze_wildcard:!t,query:'Message%5C+ID:(*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-09-17T18:05:02-0600',mode:absolute,to:'2017-09-17T20:22:59-0600'))&amp;_a=(columns:!('Message%20ID',Summary),filters:!(),index:'emp_*',interval:auto,query:(query_string:(analyze_wildcard:!t,query:'Message%5C+ID:(*)+AND+%22rtdc.l.rtdc.4024%22')),sort:!(Time.ISO8601,asc))</v>
      </c>
    </row>
    <row r="197" spans="1:91" s="20" customFormat="1" x14ac:dyDescent="0.25">
      <c r="A197" s="32" t="s">
        <v>784</v>
      </c>
      <c r="B197" s="7">
        <v>4023</v>
      </c>
      <c r="C197" s="21" t="s">
        <v>197</v>
      </c>
      <c r="D197" s="21" t="s">
        <v>561</v>
      </c>
      <c r="E197" s="13">
        <v>42995.817245370374</v>
      </c>
      <c r="F197" s="13">
        <v>42995.818715277775</v>
      </c>
      <c r="G197" s="7">
        <v>50</v>
      </c>
      <c r="H197" s="21" t="s">
        <v>906</v>
      </c>
      <c r="I197" s="13">
        <v>42995.829953703702</v>
      </c>
      <c r="J197" s="7">
        <v>0</v>
      </c>
      <c r="K197" s="89" t="str">
        <f t="shared" si="54"/>
        <v>4023/4024</v>
      </c>
      <c r="L197" s="186" t="str">
        <f>VLOOKUP(A197,'Trips&amp;Operators'!$C$1:$G$99911,5,FALSE)</f>
        <v>HOLCOMB KAMDEN</v>
      </c>
      <c r="M197" s="6">
        <f t="shared" si="55"/>
        <v>1.1238425926421769E-2</v>
      </c>
      <c r="N197" s="7">
        <f t="shared" si="76"/>
        <v>16.183333334047347</v>
      </c>
      <c r="O197" s="7"/>
      <c r="P197" s="7"/>
      <c r="Q197" s="22"/>
      <c r="R197" s="174"/>
      <c r="S197" s="222">
        <f t="shared" si="77"/>
        <v>1</v>
      </c>
      <c r="T197" s="174" t="str">
        <f t="shared" si="56"/>
        <v>Southbound</v>
      </c>
      <c r="U197" s="19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7" t="str">
        <f t="shared" si="57"/>
        <v>https://d0f6bd738d7f1b3e5a7ca70fe4ff75f0.us-east-1.aws.found.io/app/kibana#/discover/Steve-Slow-Train-Analysis-(2080s-and-2083s)?_g=(refreshInterval:(display:Off,pause:!f,section:0,value:0),time:(from:'2017-09-17T18:36:50-0600',mode:absolute,to:'2017-09-17T20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7" s="205" t="str">
        <f>IF(AA197&lt;VLOOKUP(AG197,Variables!$AC$3:$AD$8,2,FALSE),"Y","N")</f>
        <v>N</v>
      </c>
      <c r="X197" s="205">
        <f t="shared" si="85"/>
        <v>1</v>
      </c>
      <c r="Y197" s="205">
        <f t="shared" si="83"/>
        <v>5.8688000000000002</v>
      </c>
      <c r="Z197" s="205">
        <f t="shared" si="84"/>
        <v>6.9099999999999995E-2</v>
      </c>
      <c r="AA197" s="205">
        <f t="shared" si="60"/>
        <v>5.7997000000000005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80">
        <f t="shared" si="61"/>
        <v>1828</v>
      </c>
      <c r="AE197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97" s="74" t="str">
        <f t="shared" si="63"/>
        <v>"C:\Program Files (x86)\AstroGrep\AstroGrep.exe" /e /r /s /spath="%USERPROFILE%\AppData\Local\Temp\OnboardLogs" /stypes="app*4023*20170918*" /stext=" 01:.+((SYSTEM_STATE.+slice.+state.+changed )|(ment ac)|(multiple cpu faults)|(system.+state.+changed )|(\[timeout)|(PRM\|1\|D)|(kpr)|(kdp)|(train st.+moving)|(\|lc)|(penalty))"</v>
      </c>
      <c r="AG197" s="183" t="str">
        <f t="shared" si="64"/>
        <v>NW</v>
      </c>
      <c r="AH197" s="78" t="str">
        <f t="shared" si="65"/>
        <v>"%USERPROFILE%\Documents\GitHub\eaglep3\Utilities\RefineRTDCRunTimes.py" --tripid 1828-17 --locoid 4023 --swversion DE.1.0.9.0 --startMP 300:58688 --initTime 2017-09-17T19:36:50 --startdatetime 2017-09-17T19:38:57 --delay 50 --endMP 204:691 --enddatetime 2017-09-17T19:55:08 --enforcementcount 0 &gt;&gt;C:\Users\stu\Documents\GitHub\eaglep3-reporting\EC\2017-09-17-refined-times.txt</v>
      </c>
      <c r="AI197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{"issue":{"subject":"","project_id":79,"tracker_id":40,"status_id":1,"priority_id":2,"assigned_to_id":338,"start_date":"2017-09-17","description":"","custom_fields":[{"id":1,"name":"Subdivision","value":"NW"},{"id":4,"name":"Milepost","value":"0.0691"},{"id":17,"name":"Train ID","value":"1828-17"},{"id":16,"name":"Locomotive ID","value":"4023"},{"id":130,"name":"Impact","value":""},{"id":150,"name":"Time of Event (Mountain Time)","value":"19:55:08"},{"id":151,"name":"Denver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67"/>
        <v>start /low /b %USERPROFILE%\Documents\GitHub\eaglep3\Utilities\DownloadLogsFromS3.py --loco 4023 --day 2017-09-17</v>
      </c>
      <c r="AN197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01:55:08"},{"id":29,"name":"Sharepoint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Message%20ID',Summary),filters:!(),index:'emp_*',interval:auto,query:"&amp;"(query_string:(analyze_wildcard:!t,query:'Message%5C+ID:(*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-09-17T18:36:50-0600',mode:absolute,to:'2017-09-17T20:55:08-0600'))&amp;_a=(columns:!('Message%20ID',Summary),filters:!(),index:'emp_*',interval:auto,query:(query_string:(analyze_wildcard:!t,query:'Message%5C+ID:(*)+AND+%22rtdc.l.rtdc.4023%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787</v>
      </c>
      <c r="B198" s="7">
        <v>4024</v>
      </c>
      <c r="C198" s="21" t="s">
        <v>197</v>
      </c>
      <c r="D198" s="21" t="s">
        <v>493</v>
      </c>
      <c r="E198" s="13">
        <v>42995.834594907406</v>
      </c>
      <c r="F198" s="13">
        <v>42995.839999999997</v>
      </c>
      <c r="G198" s="7">
        <v>57</v>
      </c>
      <c r="H198" s="21" t="s">
        <v>893</v>
      </c>
      <c r="I198" s="13">
        <v>42995.849085648151</v>
      </c>
      <c r="J198" s="7">
        <v>0</v>
      </c>
      <c r="K198" s="89" t="str">
        <f t="shared" si="54"/>
        <v>4023/4024</v>
      </c>
      <c r="L198" s="186" t="str">
        <f>VLOOKUP(A198,'Trips&amp;Operators'!$C$1:$G$99911,5,FALSE)</f>
        <v>HOLCOMB KAMDEN</v>
      </c>
      <c r="M198" s="6">
        <f t="shared" si="55"/>
        <v>9.085648154723458E-3</v>
      </c>
      <c r="N198" s="7">
        <f t="shared" si="76"/>
        <v>13.08333334280178</v>
      </c>
      <c r="O198" s="7"/>
      <c r="P198" s="7"/>
      <c r="Q198" s="22"/>
      <c r="R198" s="174"/>
      <c r="S198" s="222">
        <f t="shared" si="77"/>
        <v>1</v>
      </c>
      <c r="T198" s="174" t="str">
        <f t="shared" si="56"/>
        <v>NorthBound</v>
      </c>
      <c r="U198" s="19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7" t="str">
        <f t="shared" si="57"/>
        <v>https://d0f6bd738d7f1b3e5a7ca70fe4ff75f0.us-east-1.aws.found.io/app/kibana#/discover/Steve-Slow-Train-Analysis-(2080s-and-2083s)?_g=(refreshInterval:(display:Off,pause:!f,section:0,value:0),time:(from:'2017-09-17T19:01:49-0600',mode:absolute,to:'2017-09-17T21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8" s="205" t="str">
        <f>IF(AA198&lt;VLOOKUP(AG198,Variables!$AC$3:$AD$8,2,FALSE),"Y","N")</f>
        <v>N</v>
      </c>
      <c r="X198" s="205">
        <f t="shared" si="85"/>
        <v>1</v>
      </c>
      <c r="Y198" s="205">
        <f t="shared" si="83"/>
        <v>9.8599999999999993E-2</v>
      </c>
      <c r="Z198" s="205">
        <f t="shared" si="84"/>
        <v>5.8993000000000002</v>
      </c>
      <c r="AA198" s="205">
        <f t="shared" si="60"/>
        <v>5.8007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80">
        <f t="shared" si="61"/>
        <v>1829</v>
      </c>
      <c r="AE198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198" s="74" t="str">
        <f t="shared" si="63"/>
        <v>"C:\Program Files (x86)\AstroGrep\AstroGrep.exe" /e /r /s /spath="%USERPROFILE%\AppData\Local\Temp\OnboardLogs" /stypes="app*4024*20170918*" /stext=" 02:.+((SYSTEM_STATE.+slice.+state.+changed )|(ment ac)|(multiple cpu faults)|(system.+state.+changed )|(\[timeout)|(PRM\|1\|D)|(kpr)|(kdp)|(train st.+moving)|(\|lc)|(penalty))"</v>
      </c>
      <c r="AG198" s="183" t="str">
        <f t="shared" si="64"/>
        <v>NW</v>
      </c>
      <c r="AH198" s="78" t="str">
        <f t="shared" si="65"/>
        <v>"%USERPROFILE%\Documents\GitHub\eaglep3\Utilities\RefineRTDCRunTimes.py" --tripid 1829-17 --locoid 4024 --swversion DE.1.0.9.0 --startMP 204:986 --initTime 2017-09-17T20:01:49 --startdatetime 2017-09-17T20:09:36 --delay 57 --endMP 300:58993 --enddatetime 2017-09-17T20:22:41 --enforcementcount 0 &gt;&gt;C:\Users\stu\Documents\GitHub\eaglep3-reporting\EC\2017-09-17-refined-times.txt</v>
      </c>
      <c r="AI198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{"issue":{"subject":"","project_id":79,"tracker_id":40,"status_id":1,"priority_id":2,"assigned_to_id":338,"start_date":"2017-09-17","description":"","custom_fields":[{"id":1,"name":"Subdivision","value":"NW"},{"id":4,"name":"Milepost","value":"5.8993"},{"id":17,"name":"Train ID","value":"1829-17"},{"id":16,"name":"Locomotive ID","value":"4024"},{"id":130,"name":"Impact","value":""},{"id":150,"name":"Time of Event (Mountain Time)","value":"20:22:41"},{"id":151,"name":"Denver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7"/>
        <v>start /low /b %USERPROFILE%\Documents\GitHub\eaglep3\Utilities\DownloadLogsFromS3.py --loco 4024 --day 2017-09-17</v>
      </c>
      <c r="AN198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02:22:41"},{"id":29,"name":"Sharepoint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Message%20ID',Summary),filters:!(),index:'emp_*',interval:auto,query:"&amp;"(query_string:(analyze_wildcard:!t,query:'Message%5C+ID:(*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-09-17T19:01:49-0600',mode:absolute,to:'2017-09-17T21:22:41-0600'))&amp;_a=(columns:!('Message%20ID',Summary),filters:!(),index:'emp_*',interval:auto,query:(query_string:(analyze_wildcard:!t,query:'Message%5C+ID:(*)+AND+%22rtdc.l.rtdc.4024%22')),sort:!(Time.ISO8601,asc))</v>
      </c>
    </row>
    <row r="199" spans="1:91" x14ac:dyDescent="0.25">
      <c r="A199" s="32" t="s">
        <v>792</v>
      </c>
      <c r="B199" s="7">
        <v>4023</v>
      </c>
      <c r="C199" s="21" t="s">
        <v>197</v>
      </c>
      <c r="D199" s="21" t="s">
        <v>898</v>
      </c>
      <c r="E199" s="13">
        <v>42995.859085648146</v>
      </c>
      <c r="F199" s="13">
        <v>42995.860486111109</v>
      </c>
      <c r="G199" s="7">
        <v>44</v>
      </c>
      <c r="H199" s="21" t="s">
        <v>458</v>
      </c>
      <c r="I199" s="13">
        <v>42995.872037037036</v>
      </c>
      <c r="J199" s="7">
        <v>0</v>
      </c>
      <c r="K199" s="89" t="str">
        <f t="shared" si="54"/>
        <v>4023/4024</v>
      </c>
      <c r="L199" s="186" t="str">
        <f>VLOOKUP(A199,'Trips&amp;Operators'!$C$1:$G$99911,5,FALSE)</f>
        <v>HOLCOMB KAMDEN</v>
      </c>
      <c r="M199" s="6">
        <f t="shared" si="55"/>
        <v>1.1550925926712807E-2</v>
      </c>
      <c r="N199" s="7">
        <f t="shared" si="76"/>
        <v>16.633333334466442</v>
      </c>
      <c r="O199" s="7"/>
      <c r="P199" s="7"/>
      <c r="Q199" s="22"/>
      <c r="R199" s="174"/>
      <c r="S199" s="222">
        <f t="shared" si="77"/>
        <v>1</v>
      </c>
      <c r="T199" s="174" t="str">
        <f t="shared" si="56"/>
        <v>Southbound</v>
      </c>
      <c r="U199" s="19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7" t="str">
        <f t="shared" si="57"/>
        <v>https://d0f6bd738d7f1b3e5a7ca70fe4ff75f0.us-east-1.aws.found.io/app/kibana#/discover/Steve-Slow-Train-Analysis-(2080s-and-2083s)?_g=(refreshInterval:(display:Off,pause:!f,section:0,value:0),time:(from:'2017-09-17T19:37:05-0600',mode:absolute,to:'2017-09-17T21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9" s="205" t="str">
        <f>IF(AA199&lt;VLOOKUP(AG199,Variables!$AC$3:$AD$8,2,FALSE),"Y","N")</f>
        <v>N</v>
      </c>
      <c r="X199" s="205">
        <f t="shared" si="85"/>
        <v>1</v>
      </c>
      <c r="Y199" s="205">
        <f t="shared" si="83"/>
        <v>5.8677000000000001</v>
      </c>
      <c r="Z199" s="205">
        <f t="shared" si="84"/>
        <v>7.0300000000000001E-2</v>
      </c>
      <c r="AA199" s="205">
        <f t="shared" si="60"/>
        <v>5.7974000000000006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80">
        <f t="shared" si="61"/>
        <v>1830</v>
      </c>
      <c r="AE199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199" s="74" t="str">
        <f t="shared" si="63"/>
        <v>"C:\Program Files (x86)\AstroGrep\AstroGrep.exe" /e /r /s /spath="%USERPROFILE%\AppData\Local\Temp\OnboardLogs" /stypes="app*4023*20170918*" /stext=" 02:.+((SYSTEM_STATE.+slice.+state.+changed )|(ment ac)|(multiple cpu faults)|(system.+state.+changed )|(\[timeout)|(PRM\|1\|D)|(kpr)|(kdp)|(train st.+moving)|(\|lc)|(penalty))"</v>
      </c>
      <c r="AG199" s="183" t="str">
        <f t="shared" si="64"/>
        <v>NW</v>
      </c>
      <c r="AH199" s="78" t="str">
        <f t="shared" si="65"/>
        <v>"%USERPROFILE%\Documents\GitHub\eaglep3\Utilities\RefineRTDCRunTimes.py" --tripid 1830-17 --locoid 4023 --swversion DE.1.0.9.0 --startMP 300:58677 --initTime 2017-09-17T20:37:05 --startdatetime 2017-09-17T20:39:06 --delay 44 --endMP 204:703 --enddatetime 2017-09-17T20:55:44 --enforcementcount 0 &gt;&gt;C:\Users\stu\Documents\GitHub\eaglep3-reporting\EC\2017-09-17-refined-times.txt</v>
      </c>
      <c r="AI199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{"issue":{"subject":"","project_id":79,"tracker_id":40,"status_id":1,"priority_id":2,"assigned_to_id":338,"start_date":"2017-09-17","description":"","custom_fields":[{"id":1,"name":"Subdivision","value":"NW"},{"id":4,"name":"Milepost","value":"0.0703"},{"id":17,"name":"Train ID","value":"1830-17"},{"id":16,"name":"Locomotive ID","value":"4023"},{"id":130,"name":"Impact","value":""},{"id":150,"name":"Time of Event (Mountain Time)","value":"20:55:44"},{"id":151,"name":"Denver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7"/>
        <v>start /low /b %USERPROFILE%\Documents\GitHub\eaglep3\Utilities\DownloadLogsFromS3.py --loco 4023 --day 2017-09-17</v>
      </c>
      <c r="AN199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02:55:44"},{"id":29,"name":"Sharepoint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Message%20ID',Summary),filters:!(),index:'emp_*',interval:auto,query:"&amp;"(query_string:(analyze_wildcard:!t,query:'Message%5C+ID:(*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-09-17T19:37:05-0600',mode:absolute,to:'2017-09-17T21:55:44-0600'))&amp;_a=(columns:!('Message%20ID',Summary),filters:!(),index:'emp_*',interval:auto,query:(query_string:(analyze_wildcard:!t,query:'Message%5C+ID:(*)+AND+%22rtdc.l.rtdc.4023%22')),sort:!(Time.ISO8601,asc))</v>
      </c>
    </row>
    <row r="200" spans="1:91" s="20" customFormat="1" x14ac:dyDescent="0.25">
      <c r="A200" s="32" t="s">
        <v>794</v>
      </c>
      <c r="B200" s="7">
        <v>4024</v>
      </c>
      <c r="C200" s="21" t="s">
        <v>197</v>
      </c>
      <c r="D200" s="21" t="s">
        <v>563</v>
      </c>
      <c r="E200" s="13">
        <v>42995.879236111112</v>
      </c>
      <c r="F200" s="13">
        <v>42995.88181712963</v>
      </c>
      <c r="G200" s="7">
        <v>69</v>
      </c>
      <c r="H200" s="21" t="s">
        <v>861</v>
      </c>
      <c r="I200" s="13">
        <v>42995.8908912037</v>
      </c>
      <c r="J200" s="7">
        <v>0</v>
      </c>
      <c r="K200" s="89" t="str">
        <f t="shared" si="54"/>
        <v>4023/4024</v>
      </c>
      <c r="L200" s="186" t="str">
        <f>VLOOKUP(A200,'Trips&amp;Operators'!$C$1:$G$99911,5,FALSE)</f>
        <v>HOLCOMB KAMDEN</v>
      </c>
      <c r="M200" s="6">
        <f t="shared" si="55"/>
        <v>9.074074070667848E-3</v>
      </c>
      <c r="N200" s="7">
        <f t="shared" si="76"/>
        <v>13.066666661761701</v>
      </c>
      <c r="O200" s="7"/>
      <c r="P200" s="7"/>
      <c r="Q200" s="22"/>
      <c r="R200" s="174"/>
      <c r="S200" s="222">
        <f t="shared" si="77"/>
        <v>1</v>
      </c>
      <c r="T200" s="174" t="str">
        <f t="shared" si="56"/>
        <v>NorthBound</v>
      </c>
      <c r="U200" s="19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7" t="str">
        <f t="shared" si="57"/>
        <v>https://d0f6bd738d7f1b3e5a7ca70fe4ff75f0.us-east-1.aws.found.io/app/kibana#/discover/Steve-Slow-Train-Analysis-(2080s-and-2083s)?_g=(refreshInterval:(display:Off,pause:!f,section:0,value:0),time:(from:'2017-09-17T20:06:06-0600',mode:absolute,to:'2017-09-17T22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0" s="205" t="str">
        <f>IF(AA200&lt;VLOOKUP(AG200,Variables!$AC$3:$AD$8,2,FALSE),"Y","N")</f>
        <v>N</v>
      </c>
      <c r="X200" s="205">
        <f t="shared" si="85"/>
        <v>1</v>
      </c>
      <c r="Y200" s="205">
        <f t="shared" si="83"/>
        <v>9.6500000000000002E-2</v>
      </c>
      <c r="Z200" s="205">
        <f t="shared" si="84"/>
        <v>5.9001000000000001</v>
      </c>
      <c r="AA200" s="205">
        <f t="shared" si="60"/>
        <v>5.8036000000000003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80">
        <f t="shared" si="61"/>
        <v>1831</v>
      </c>
      <c r="AE200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200" s="74" t="str">
        <f t="shared" si="63"/>
        <v>"C:\Program Files (x86)\AstroGrep\AstroGrep.exe" /e /r /s /spath="%USERPROFILE%\AppData\Local\Temp\OnboardLogs" /stypes="app*4024*20170918*" /stext=" 03:.+((SYSTEM_STATE.+slice.+state.+changed )|(ment ac)|(multiple cpu faults)|(system.+state.+changed )|(\[timeout)|(PRM\|1\|D)|(kpr)|(kdp)|(train st.+moving)|(\|lc)|(penalty))"</v>
      </c>
      <c r="AG200" s="183" t="str">
        <f t="shared" si="64"/>
        <v>NW</v>
      </c>
      <c r="AH200" s="78" t="str">
        <f t="shared" si="65"/>
        <v>"%USERPROFILE%\Documents\GitHub\eaglep3\Utilities\RefineRTDCRunTimes.py" --tripid 1831-17 --locoid 4024 --swversion DE.1.0.9.0 --startMP 204:965 --initTime 2017-09-17T21:06:06 --startdatetime 2017-09-17T21:09:49 --delay 69 --endMP 300:59001 --enddatetime 2017-09-17T21:22:53 --enforcementcount 0 &gt;&gt;C:\Users\stu\Documents\GitHub\eaglep3-reporting\EC\2017-09-17-refined-times.txt</v>
      </c>
      <c r="AI200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{"issue":{"subject":"","project_id":79,"tracker_id":40,"status_id":1,"priority_id":2,"assigned_to_id":338,"start_date":"2017-09-17","description":"","custom_fields":[{"id":1,"name":"Subdivision","value":"NW"},{"id":4,"name":"Milepost","value":"5.9001"},{"id":17,"name":"Train ID","value":"1831-17"},{"id":16,"name":"Locomotive ID","value":"4024"},{"id":130,"name":"Impact","value":""},{"id":150,"name":"Time of Event (Mountain Time)","value":"21:22:53"},{"id":151,"name":"Denver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67"/>
        <v>start /low /b %USERPROFILE%\Documents\GitHub\eaglep3\Utilities\DownloadLogsFromS3.py --loco 4024 --day 2017-09-17</v>
      </c>
      <c r="AN200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03:22:53"},{"id":29,"name":"Sharepoint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Message%20ID',Summary),filters:!(),index:'emp_*',interval:auto,query:"&amp;"(query_string:(analyze_wildcard:!t,query:'Message%5C+ID:(*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-09-17T20:06:06-0600',mode:absolute,to:'2017-09-17T22:22:53-0600'))&amp;_a=(columns:!('Message%20ID',Summary),filters:!(),index:'emp_*',interval:auto,query:(query_string:(analyze_wildcard:!t,query:'Message%5C+ID:(*)+AND+%22rtdc.l.rtdc.4024%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604</v>
      </c>
      <c r="B201" s="7">
        <v>4023</v>
      </c>
      <c r="C201" s="21" t="s">
        <v>197</v>
      </c>
      <c r="D201" s="21" t="s">
        <v>889</v>
      </c>
      <c r="E201" s="13">
        <v>42995.900694444441</v>
      </c>
      <c r="F201" s="13">
        <v>42995.902083333334</v>
      </c>
      <c r="G201" s="7">
        <v>49</v>
      </c>
      <c r="H201" s="21" t="s">
        <v>908</v>
      </c>
      <c r="I201" s="13">
        <v>42995.913900462961</v>
      </c>
      <c r="J201" s="7">
        <v>0</v>
      </c>
      <c r="K201" s="89" t="str">
        <f t="shared" si="54"/>
        <v>4023/4024</v>
      </c>
      <c r="L201" s="186" t="str">
        <f>VLOOKUP(A201,'Trips&amp;Operators'!$C$1:$G$99911,5,FALSE)</f>
        <v>HOLCOMB KAMDEN</v>
      </c>
      <c r="M201" s="6">
        <f t="shared" si="55"/>
        <v>1.1817129627161194E-2</v>
      </c>
      <c r="N201" s="7">
        <f t="shared" si="76"/>
        <v>17.016666663112119</v>
      </c>
      <c r="O201" s="7"/>
      <c r="P201" s="7"/>
      <c r="Q201" s="22"/>
      <c r="R201" s="174"/>
      <c r="S201" s="222">
        <f t="shared" si="77"/>
        <v>1</v>
      </c>
      <c r="T201" s="174" t="str">
        <f t="shared" si="56"/>
        <v>Southbound</v>
      </c>
      <c r="U201" s="19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7" t="str">
        <f t="shared" si="57"/>
        <v>https://d0f6bd738d7f1b3e5a7ca70fe4ff75f0.us-east-1.aws.found.io/app/kibana#/discover/Steve-Slow-Train-Analysis-(2080s-and-2083s)?_g=(refreshInterval:(display:Off,pause:!f,section:0,value:0),time:(from:'2017-09-17T20:37:00-0600',mode:absolute,to:'2017-09-17T22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1" s="205" t="str">
        <f>IF(AA201&lt;VLOOKUP(AG201,Variables!$AC$3:$AD$8,2,FALSE),"Y","N")</f>
        <v>N</v>
      </c>
      <c r="X201" s="205">
        <f t="shared" si="85"/>
        <v>1</v>
      </c>
      <c r="Y201" s="205">
        <f t="shared" si="83"/>
        <v>5.8678999999999997</v>
      </c>
      <c r="Z201" s="205">
        <f t="shared" si="84"/>
        <v>6.9800000000000001E-2</v>
      </c>
      <c r="AA201" s="205">
        <f t="shared" si="60"/>
        <v>5.7980999999999998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80">
        <f t="shared" si="61"/>
        <v>1832</v>
      </c>
      <c r="AE201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201" s="74" t="str">
        <f t="shared" si="63"/>
        <v>"C:\Program Files (x86)\AstroGrep\AstroGrep.exe" /e /r /s /spath="%USERPROFILE%\AppData\Local\Temp\OnboardLogs" /stypes="app*4023*20170918*" /stext=" 03:.+((SYSTEM_STATE.+slice.+state.+changed )|(ment ac)|(multiple cpu faults)|(system.+state.+changed )|(\[timeout)|(PRM\|1\|D)|(kpr)|(kdp)|(train st.+moving)|(\|lc)|(penalty))"</v>
      </c>
      <c r="AG201" s="183" t="str">
        <f t="shared" si="64"/>
        <v>NW</v>
      </c>
      <c r="AH201" s="78" t="str">
        <f t="shared" si="65"/>
        <v>"%USERPROFILE%\Documents\GitHub\eaglep3\Utilities\RefineRTDCRunTimes.py" --tripid 1832-17 --locoid 4023 --swversion DE.1.0.9.0 --startMP 300:58679 --initTime 2017-09-17T21:37:00 --startdatetime 2017-09-17T21:39:00 --delay 49 --endMP 204:698 --enddatetime 2017-09-17T21:56:01 --enforcementcount 0 &gt;&gt;C:\Users\stu\Documents\GitHub\eaglep3-reporting\EC\2017-09-17-refined-times.txt</v>
      </c>
      <c r="AI201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{"issue":{"subject":"","project_id":79,"tracker_id":40,"status_id":1,"priority_id":2,"assigned_to_id":338,"start_date":"2017-09-17","description":"","custom_fields":[{"id":1,"name":"Subdivision","value":"NW"},{"id":4,"name":"Milepost","value":"0.0698"},{"id":17,"name":"Train ID","value":"1832-17"},{"id":16,"name":"Locomotive ID","value":"4023"},{"id":130,"name":"Impact","value":""},{"id":150,"name":"Time of Event (Mountain Time)","value":"21:56:01"},{"id":151,"name":"Denver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67"/>
        <v>start /low /b %USERPROFILE%\Documents\GitHub\eaglep3\Utilities\DownloadLogsFromS3.py --loco 4023 --day 2017-09-17</v>
      </c>
      <c r="AN201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03:56:01"},{"id":29,"name":"Sharepoint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Message%20ID',Summary),filters:!(),index:'emp_*',interval:auto,query:"&amp;"(query_string:(analyze_wildcard:!t,query:'Message%5C+ID:(*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-09-17T20:37:00-0600',mode:absolute,to:'2017-09-17T22:56:01-0600'))&amp;_a=(columns:!('Message%20ID',Summary),filters:!(),index:'emp_*',interval:auto,query:(query_string:(analyze_wildcard:!t,query:'Message%5C+ID:(*)+AND+%22rtdc.l.rtdc.4023%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799</v>
      </c>
      <c r="B202" s="7">
        <v>4024</v>
      </c>
      <c r="C202" s="21" t="s">
        <v>197</v>
      </c>
      <c r="D202" s="21" t="s">
        <v>909</v>
      </c>
      <c r="E202" s="13">
        <v>42995.919374999998</v>
      </c>
      <c r="F202" s="13">
        <v>42995.923159722224</v>
      </c>
      <c r="G202" s="7">
        <v>49</v>
      </c>
      <c r="H202" s="21" t="s">
        <v>557</v>
      </c>
      <c r="I202" s="13">
        <v>42995.932118055556</v>
      </c>
      <c r="J202" s="7">
        <v>0</v>
      </c>
      <c r="K202" s="89" t="str">
        <f t="shared" si="54"/>
        <v>4023/4024</v>
      </c>
      <c r="L202" s="186" t="str">
        <f>VLOOKUP(A202,'Trips&amp;Operators'!$C$1:$G$99911,5,FALSE)</f>
        <v>HOLCOMB KAMDEN</v>
      </c>
      <c r="M202" s="6">
        <f t="shared" si="55"/>
        <v>8.9583333319751546E-3</v>
      </c>
      <c r="N202" s="7">
        <f t="shared" si="76"/>
        <v>12.899999998044223</v>
      </c>
      <c r="O202" s="7"/>
      <c r="P202" s="7"/>
      <c r="Q202" s="22"/>
      <c r="R202" s="174"/>
      <c r="S202" s="222">
        <f t="shared" si="77"/>
        <v>1</v>
      </c>
      <c r="T202" s="174" t="str">
        <f t="shared" si="56"/>
        <v>NorthBound</v>
      </c>
      <c r="U202" s="19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7" t="str">
        <f t="shared" si="57"/>
        <v>https://d0f6bd738d7f1b3e5a7ca70fe4ff75f0.us-east-1.aws.found.io/app/kibana#/discover/Steve-Slow-Train-Analysis-(2080s-and-2083s)?_g=(refreshInterval:(display:Off,pause:!f,section:0,value:0),time:(from:'2017-09-17T21:03:54-0600',mode:absolute,to:'2017-09-17T23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2" s="205" t="str">
        <f>IF(AA202&lt;VLOOKUP(AG202,Variables!$AC$3:$AD$8,2,FALSE),"Y","N")</f>
        <v>N</v>
      </c>
      <c r="X202" s="205">
        <f t="shared" si="85"/>
        <v>1</v>
      </c>
      <c r="Y202" s="205">
        <f t="shared" si="83"/>
        <v>9.6699999999999994E-2</v>
      </c>
      <c r="Z202" s="205">
        <f t="shared" si="84"/>
        <v>5.9012000000000002</v>
      </c>
      <c r="AA202" s="205">
        <f t="shared" si="60"/>
        <v>5.8045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80">
        <f t="shared" si="61"/>
        <v>1833</v>
      </c>
      <c r="AE202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202" s="74" t="str">
        <f t="shared" si="63"/>
        <v>"C:\Program Files (x86)\AstroGrep\AstroGrep.exe" /e /r /s /spath="%USERPROFILE%\AppData\Local\Temp\OnboardLogs" /stypes="app*4024*20170918*" /stext=" 04:.+((SYSTEM_STATE.+slice.+state.+changed )|(ment ac)|(multiple cpu faults)|(system.+state.+changed )|(\[timeout)|(PRM\|1\|D)|(kpr)|(kdp)|(train st.+moving)|(\|lc)|(penalty))"</v>
      </c>
      <c r="AG202" s="183" t="str">
        <f t="shared" si="64"/>
        <v>NW</v>
      </c>
      <c r="AH202" s="78" t="str">
        <f t="shared" si="65"/>
        <v>"%USERPROFILE%\Documents\GitHub\eaglep3\Utilities\RefineRTDCRunTimes.py" --tripid 1833-17 --locoid 4024 --swversion DE.1.0.9.0 --startMP 204:967 --initTime 2017-09-17T22:03:54 --startdatetime 2017-09-17T22:09:21 --delay 49 --endMP 300:59012 --enddatetime 2017-09-17T22:22:15 --enforcementcount 0 &gt;&gt;C:\Users\stu\Documents\GitHub\eaglep3-reporting\EC\2017-09-17-refined-times.txt</v>
      </c>
      <c r="AI202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{"issue":{"subject":"","project_id":79,"tracker_id":40,"status_id":1,"priority_id":2,"assigned_to_id":338,"start_date":"2017-09-17","description":"","custom_fields":[{"id":1,"name":"Subdivision","value":"NW"},{"id":4,"name":"Milepost","value":"5.9012"},{"id":17,"name":"Train ID","value":"1833-17"},{"id":16,"name":"Locomotive ID","value":"4024"},{"id":130,"name":"Impact","value":""},{"id":150,"name":"Time of Event (Mountain Time)","value":"22:22:15"},{"id":151,"name":"Denver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7"/>
        <v>start /low /b %USERPROFILE%\Documents\GitHub\eaglep3\Utilities\DownloadLogsFromS3.py --loco 4024 --day 2017-09-17</v>
      </c>
      <c r="AN202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04:22:15"},{"id":29,"name":"Sharepoint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Message%20ID',Summary),filters:!(),index:'emp_*',interval:auto,query:"&amp;"(query_string:(analyze_wildcard:!t,query:'Message%5C+ID:(*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-09-17T21:03:54-0600',mode:absolute,to:'2017-09-17T23:22:15-0600'))&amp;_a=(columns:!('Message%20ID',Summary),filters:!(),index:'emp_*',interval:auto,query:(query_string:(analyze_wildcard:!t,query:'Message%5C+ID:(*)+AND+%22rtdc.l.rtdc.4024%22')),sort:!(Time.ISO8601,asc))</v>
      </c>
    </row>
    <row r="203" spans="1:91" s="20" customFormat="1" x14ac:dyDescent="0.25">
      <c r="A203" s="32" t="s">
        <v>803</v>
      </c>
      <c r="B203" s="7">
        <v>4023</v>
      </c>
      <c r="C203" s="21" t="s">
        <v>197</v>
      </c>
      <c r="D203" s="21" t="s">
        <v>556</v>
      </c>
      <c r="E203" s="13">
        <v>42995.942453703705</v>
      </c>
      <c r="F203" s="13">
        <v>42995.943807870368</v>
      </c>
      <c r="G203" s="7">
        <v>48</v>
      </c>
      <c r="H203" s="21" t="s">
        <v>459</v>
      </c>
      <c r="I203" s="13">
        <v>42995.954513888886</v>
      </c>
      <c r="J203" s="7">
        <v>0</v>
      </c>
      <c r="K203" s="89" t="str">
        <f t="shared" si="54"/>
        <v>4023/4024</v>
      </c>
      <c r="L203" s="186" t="str">
        <f>VLOOKUP(A203,'Trips&amp;Operators'!$C$1:$G$99911,5,FALSE)</f>
        <v>HOLCOMB KAMDEN</v>
      </c>
      <c r="M203" s="6">
        <f t="shared" si="55"/>
        <v>1.0706018518249039E-2</v>
      </c>
      <c r="N203" s="7">
        <f t="shared" si="76"/>
        <v>15.416666666278616</v>
      </c>
      <c r="O203" s="7"/>
      <c r="P203" s="7"/>
      <c r="Q203" s="22"/>
      <c r="R203" s="174"/>
      <c r="S203" s="222">
        <f t="shared" si="77"/>
        <v>1</v>
      </c>
      <c r="T203" s="174" t="str">
        <f t="shared" si="56"/>
        <v>Southbound</v>
      </c>
      <c r="U203" s="19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7" t="str">
        <f t="shared" si="57"/>
        <v>https://d0f6bd738d7f1b3e5a7ca70fe4ff75f0.us-east-1.aws.found.io/app/kibana#/discover/Steve-Slow-Train-Analysis-(2080s-and-2083s)?_g=(refreshInterval:(display:Off,pause:!f,section:0,value:0),time:(from:'2017-09-17T21:37:08-0600',mode:absolute,to:'2017-09-17T23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3" s="205" t="str">
        <f>IF(AA203&lt;VLOOKUP(AG203,Variables!$AC$3:$AD$8,2,FALSE),"Y","N")</f>
        <v>N</v>
      </c>
      <c r="X203" s="205">
        <f t="shared" si="85"/>
        <v>1</v>
      </c>
      <c r="Y203" s="205">
        <f t="shared" si="83"/>
        <v>5.87</v>
      </c>
      <c r="Z203" s="205">
        <f t="shared" si="84"/>
        <v>6.8500000000000005E-2</v>
      </c>
      <c r="AA203" s="205">
        <f t="shared" si="60"/>
        <v>5.8014999999999999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80">
        <f t="shared" si="61"/>
        <v>1834</v>
      </c>
      <c r="AE203" s="77" t="str">
        <f t="shared" si="6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203" s="74" t="str">
        <f t="shared" si="63"/>
        <v>"C:\Program Files (x86)\AstroGrep\AstroGrep.exe" /e /r /s /spath="%USERPROFILE%\AppData\Local\Temp\OnboardLogs" /stypes="app*4023*20170918*" /stext=" 04:.+((SYSTEM_STATE.+slice.+state.+changed )|(ment ac)|(multiple cpu faults)|(system.+state.+changed )|(\[timeout)|(PRM\|1\|D)|(kpr)|(kdp)|(train st.+moving)|(\|lc)|(penalty))"</v>
      </c>
      <c r="AG203" s="183" t="str">
        <f t="shared" si="64"/>
        <v>NW</v>
      </c>
      <c r="AH203" s="78" t="str">
        <f t="shared" si="65"/>
        <v>"%USERPROFILE%\Documents\GitHub\eaglep3\Utilities\RefineRTDCRunTimes.py" --tripid 1834-17 --locoid 4023 --swversion DE.1.0.9.0 --startMP 300:58700 --initTime 2017-09-17T22:37:08 --startdatetime 2017-09-17T22:39:05 --delay 48 --endMP 204:685 --enddatetime 2017-09-17T22:54:30 --enforcementcount 0 &gt;&gt;C:\Users\stu\Documents\GitHub\eaglep3-reporting\EC\2017-09-17-refined-times.txt</v>
      </c>
      <c r="AI203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{"issue":{"subject":"","project_id":79,"tracker_id":40,"status_id":1,"priority_id":2,"assigned_to_id":338,"start_date":"2017-09-17","description":"","custom_fields":[{"id":1,"name":"Subdivision","value":"NW"},{"id":4,"name":"Milepost","value":"0.0685"},{"id":17,"name":"Train ID","value":"1834-17"},{"id":16,"name":"Locomotive ID","value":"4023"},{"id":130,"name":"Impact","value":""},{"id":150,"name":"Time of Event (Mountain Time)","value":"22:54:30"},{"id":151,"name":"Denver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67"/>
        <v>start /low /b %USERPROFILE%\Documents\GitHub\eaglep3\Utilities\DownloadLogsFromS3.py --loco 4023 --day 2017-09-17</v>
      </c>
      <c r="AN203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04:54:30"},{"id":29,"name":"Sharepoint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Message%20ID',Summary),filters:!(),index:'emp_*',interval:auto,query:"&amp;"(query_string:(analyze_wildcard:!t,query:'Message%5C+ID:(*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-09-17T21:37:08-0600',mode:absolute,to:'2017-09-17T23:54:30-0600'))&amp;_a=(columns:!('Message%20ID',Summary),filters:!(),index:'emp_*',interval:auto,query:(query_string:(analyze_wildcard:!t,query:'Message%5C+ID:(*)+AND+%22rtdc.l.rtdc.4023%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605</v>
      </c>
      <c r="B204" s="7">
        <v>4024</v>
      </c>
      <c r="C204" s="21" t="s">
        <v>197</v>
      </c>
      <c r="D204" s="21" t="s">
        <v>910</v>
      </c>
      <c r="E204" s="13">
        <v>42995.957499999997</v>
      </c>
      <c r="F204" s="13">
        <v>42995.964791666665</v>
      </c>
      <c r="G204" s="7">
        <v>56</v>
      </c>
      <c r="H204" s="21" t="s">
        <v>911</v>
      </c>
      <c r="I204" s="13">
        <v>42995.974826388891</v>
      </c>
      <c r="J204" s="7">
        <v>0</v>
      </c>
      <c r="K204" s="89" t="str">
        <f t="shared" si="54"/>
        <v>4023/4024</v>
      </c>
      <c r="L204" s="186" t="str">
        <f>VLOOKUP(A204,'Trips&amp;Operators'!$C$1:$G$99911,5,FALSE)</f>
        <v>HOLCOMB KAMDEN</v>
      </c>
      <c r="M204" s="6">
        <f t="shared" si="55"/>
        <v>1.0034722225100268E-2</v>
      </c>
      <c r="N204" s="7">
        <f t="shared" si="76"/>
        <v>14.450000004144385</v>
      </c>
      <c r="O204" s="7"/>
      <c r="P204" s="7"/>
      <c r="Q204" s="22"/>
      <c r="R204" s="174"/>
      <c r="S204" s="222">
        <f t="shared" si="77"/>
        <v>1</v>
      </c>
      <c r="T204" s="174" t="str">
        <f t="shared" si="56"/>
        <v>NorthBound</v>
      </c>
      <c r="U204" s="19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7" t="str">
        <f t="shared" si="57"/>
        <v>https://d0f6bd738d7f1b3e5a7ca70fe4ff75f0.us-east-1.aws.found.io/app/kibana#/discover/Steve-Slow-Train-Analysis-(2080s-and-2083s)?_g=(refreshInterval:(display:Off,pause:!f,section:0,value:0),time:(from:'2017-09-17T21:58:48-0600',mode:absolute,to:'2017-09-18T00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4" s="205" t="str">
        <f>IF(AA204&lt;VLOOKUP(AG204,Variables!$AC$3:$AD$8,2,FALSE),"Y","N")</f>
        <v>N</v>
      </c>
      <c r="X204" s="205">
        <f t="shared" si="85"/>
        <v>1</v>
      </c>
      <c r="Y204" s="205">
        <f t="shared" si="83"/>
        <v>9.9199999999999997E-2</v>
      </c>
      <c r="Z204" s="205">
        <f t="shared" si="84"/>
        <v>5.8979999999999997</v>
      </c>
      <c r="AA204" s="205">
        <f t="shared" si="60"/>
        <v>5.7988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80">
        <f t="shared" si="61"/>
        <v>1835</v>
      </c>
      <c r="AE204" s="77" t="str">
        <f t="shared" si="6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204" s="74" t="str">
        <f t="shared" si="63"/>
        <v>"C:\Program Files (x86)\AstroGrep\AstroGrep.exe" /e /r /s /spath="%USERPROFILE%\AppData\Local\Temp\OnboardLogs" /stypes="app*4024*20170918*" /stext=" 05:.+((SYSTEM_STATE.+slice.+state.+changed )|(ment ac)|(multiple cpu faults)|(system.+state.+changed )|(\[timeout)|(PRM\|1\|D)|(kpr)|(kdp)|(train st.+moving)|(\|lc)|(penalty))"</v>
      </c>
      <c r="AG204" s="183" t="str">
        <f t="shared" si="64"/>
        <v>NW</v>
      </c>
      <c r="AH204" s="78" t="str">
        <f t="shared" si="65"/>
        <v>"%USERPROFILE%\Documents\GitHub\eaglep3\Utilities\RefineRTDCRunTimes.py" --tripid 1835-17 --locoid 4024 --swversion DE.1.0.9.0 --startMP 204:992 --initTime 2017-09-17T22:58:48 --startdatetime 2017-09-17T23:09:18 --delay 56 --endMP 300:58980 --enddatetime 2017-09-17T23:23:45 --enforcementcount 0 &gt;&gt;C:\Users\stu\Documents\GitHub\eaglep3-reporting\EC\2017-09-17-refined-times.txt</v>
      </c>
      <c r="AI204" s="96" t="str">
        <f t="shared" si="66"/>
        <v>echo {"issue":{"subject":"","project_id":79,"tracker_id":40,"status_id":1,"priority_id":2,"assigned_to_id":338,"start_date":"2017-09-17","description":"","custom_fields":[{"id":1,"name":"Subdivision","value":"NW"},{"id":4,"name":"Milepost","value":"5.898"},{"id":17,"name":"Train ID","value":"1835-17"},{"id":16,"name":"Locomotive ID","value":"4024"},{"id":130,"name":"Impact","value":""},{"id":150,"name":"Time of Event (Mountain Time)","value":"23:23:45"},{"id":151,"name":"Denver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7"/>
        <v>start /low /b %USERPROFILE%\Documents\GitHub\eaglep3\Utilities\DownloadLogsFromS3.py --loco 4024 --day 2017-09-17</v>
      </c>
      <c r="AN204" s="151" t="str">
        <f t="shared" si="6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05:23:45"},{"id":29,"name":"Sharepoint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Message%5C+ID:(*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-09-17T21:58:48-0600',mode:absolute,to:'2017-09-18T00:23:45-0600'))&amp;_a=(columns:!('Message%20ID',Summary),filters:!(),index:'emp_*',interval:auto,query:(query_string:(analyze_wildcard:!t,query:'Message%5C+ID:(*)+AND+%22rtdc.l.rtdc.4024%22')),sort:!(Time.ISO8601,asc))</v>
      </c>
    </row>
    <row r="205" spans="1:91" s="20" customFormat="1" x14ac:dyDescent="0.25">
      <c r="A205" s="32" t="s">
        <v>572</v>
      </c>
      <c r="B205" s="7">
        <v>4015</v>
      </c>
      <c r="C205" s="21" t="s">
        <v>197</v>
      </c>
      <c r="D205" s="21" t="s">
        <v>936</v>
      </c>
      <c r="E205" s="13">
        <v>42995.115324074075</v>
      </c>
      <c r="F205" s="13">
        <v>42995.116296296299</v>
      </c>
      <c r="G205" s="7">
        <v>46</v>
      </c>
      <c r="H205" s="21" t="s">
        <v>436</v>
      </c>
      <c r="I205" s="13">
        <v>42995.122291666667</v>
      </c>
      <c r="J205" s="7">
        <v>0</v>
      </c>
      <c r="K205" s="89" t="str">
        <f t="shared" ref="K205:K227" si="86">IF(ISEVEN(B205),(B205-1)&amp;"/"&amp;B205,B205&amp;"/"&amp;(B205+1))</f>
        <v>4015/4016</v>
      </c>
      <c r="L205" s="186" t="str">
        <f>VLOOKUP(A205,'Trips&amp;Operators'!$C$1:$G$99911,5,FALSE)</f>
        <v>THOMPSON LESTER</v>
      </c>
      <c r="M205" s="6">
        <f t="shared" ref="M205:M227" si="87">I205-F205</f>
        <v>5.9953703676001169E-3</v>
      </c>
      <c r="N205" s="7">
        <f t="shared" si="76"/>
        <v>8.6333333293441683</v>
      </c>
      <c r="O205" s="7"/>
      <c r="P205" s="7"/>
      <c r="Q205" s="22"/>
      <c r="R205" s="174"/>
      <c r="S205" s="222">
        <f t="shared" si="77"/>
        <v>1</v>
      </c>
      <c r="T205" s="174" t="str">
        <f t="shared" ref="T205:T227" si="88">IF(ISEVEN(LEFT(AD205,4)),"Southbound","NorthBound")</f>
        <v>Southbound</v>
      </c>
      <c r="U205" s="19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7" t="str">
        <f t="shared" ref="V205:V227" si="8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-17T01:46:04-0600',mode:absolute,to:'2017-09-17T03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5" s="205" t="str">
        <f>IF(AA205&lt;VLOOKUP(AG205,Variables!$AC$3:$AD$8,2,FALSE),"Y","N")</f>
        <v>Y</v>
      </c>
      <c r="X205" s="205">
        <f t="shared" si="85"/>
        <v>-1535</v>
      </c>
      <c r="Y205" s="205">
        <f t="shared" si="83"/>
        <v>2.3107000000000002</v>
      </c>
      <c r="Z205" s="205">
        <f t="shared" si="84"/>
        <v>1.54E-2</v>
      </c>
      <c r="AA205" s="205">
        <f t="shared" ref="AA205:AA227" si="90">ABS(Z205-Y205)</f>
        <v>2.2953000000000001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80">
        <f t="shared" ref="AD205:AD227" si="91">VALUE(LEFT(A205,LEN(A205)-3))</f>
        <v>300</v>
      </c>
      <c r="AE205" s="77" t="str">
        <f t="shared" ref="AE205:AE227" si="9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 &amp; 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</v>
      </c>
      <c r="AF205" s="74" t="str">
        <f t="shared" ref="AF205:AF227" si="9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/stypes="app*4015*20170917*" /stext=" 08:.+((SYSTEM_STATE.+slice.+state.+changed )|(ment ac)|(multiple cpu faults)|(system.+state.+changed )|(\[timeout)|(PRM\|1\|D)|(kpr)|(kdp)|(train st.+moving)|(\|lc)|(penalty))"</v>
      </c>
      <c r="AG205" s="183" t="str">
        <f t="shared" ref="AG205:AG227" si="94">DetSubdiv(A205)</f>
        <v>Other</v>
      </c>
      <c r="AH205" s="78" t="str">
        <f t="shared" si="65"/>
        <v>"%USERPROFILE%\Documents\GitHub\eaglep3\Utilities\RefineRTDCRunTimes.py" --tripid 300-17 --locoid 4015 --swversion DE.1.0.9.0 --startMP 300:23107 --initTime 2017-09-17T02:46:04 --startdatetime 2017-09-17T02:47:28 --delay 46 --endMP 204:154 --enddatetime 2017-09-17T02:56:06 --enforcementcount 0 &gt;&gt;C:\Users\stu\Documents\GitHub\eaglep3-reporting\EC\2017-09-17-refined-times.txt</v>
      </c>
      <c r="AI205" s="96" t="str">
        <f t="shared" si="66"/>
        <v>echo {"issue":{"subject":"","project_id":79,"tracker_id":40,"status_id":1,"priority_id":2,"assigned_to_id":338,"start_date":"2017-09-17","description":"","custom_fields":[{"id":1,"name":"Subdivision","value":"Other"},{"id":4,"name":"Milepost","value":"0.0154"},{"id":17,"name":"Train ID","value":"300-17"},{"id":16,"name":"Locomotive ID","value":"4015"},{"id":130,"name":"Impact","value":""},{"id":150,"name":"Time of Event (Mountain Time)","value":"02:56:06"},{"id":151,"name":"Denver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67"/>
        <v>start /low /b %USERPROFILE%\Documents\GitHub\eaglep3\Utilities\DownloadLogsFromS3.py --loco 4015 --day 2017-09-17</v>
      </c>
      <c r="AN205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08:56:06"},{"id":29,"name":"Sharepoint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Message%5C+ID:(*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-17T01:46:04-0600',mode:absolute,to:'2017-09-17T03:56:06-0600'))&amp;_a=(columns:!('Message%20ID',Summary),filters:!(),index:'emp_*',interval:auto,query:(query_string:(analyze_wildcard:!t,query:'Message%5C+ID:(*)+AND+%22rtdc.l.rtdc.4015%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624</v>
      </c>
      <c r="B206" s="7">
        <v>4059</v>
      </c>
      <c r="C206" s="21" t="s">
        <v>197</v>
      </c>
      <c r="D206" s="21" t="s">
        <v>937</v>
      </c>
      <c r="E206" s="13">
        <v>42995.139027777775</v>
      </c>
      <c r="F206" s="13">
        <v>42995.143009259256</v>
      </c>
      <c r="G206" s="7">
        <v>62</v>
      </c>
      <c r="H206" s="21" t="s">
        <v>365</v>
      </c>
      <c r="I206" s="13">
        <v>42995.147789351853</v>
      </c>
      <c r="J206" s="7">
        <v>0</v>
      </c>
      <c r="K206" s="89" t="str">
        <f t="shared" si="86"/>
        <v>4059/4060</v>
      </c>
      <c r="L206" s="186" t="str">
        <f>VLOOKUP(A206,'Trips&amp;Operators'!$C$1:$G$99911,5,FALSE)</f>
        <v>MAELZER KURT</v>
      </c>
      <c r="M206" s="6">
        <f t="shared" si="87"/>
        <v>4.7800925967749208E-3</v>
      </c>
      <c r="N206" s="7">
        <f t="shared" si="76"/>
        <v>6.883333339355886</v>
      </c>
      <c r="O206" s="7"/>
      <c r="P206" s="7"/>
      <c r="Q206" s="22"/>
      <c r="R206" s="174"/>
      <c r="S206" s="222">
        <f t="shared" si="77"/>
        <v>1</v>
      </c>
      <c r="T206" s="174" t="str">
        <f t="shared" si="88"/>
        <v>Southbound</v>
      </c>
      <c r="U206" s="19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7" t="str">
        <f t="shared" si="89"/>
        <v>https://d0f6bd738d7f1b3e5a7ca70fe4ff75f0.us-east-1.aws.found.io/app/kibana#/discover/Steve-Slow-Train-Analysis-(2080s-and-2083s)?_g=(refreshInterval:(display:Off,pause:!f,section:0,value:0),time:(from:'2017-09-17T02:20:12-0600',mode:absolute,to:'2017-09-17T04:32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6" s="205" t="str">
        <f>IF(AA206&lt;VLOOKUP(AG206,Variables!$AC$3:$AD$8,2,FALSE),"Y","N")</f>
        <v>Y</v>
      </c>
      <c r="X206" s="205">
        <f t="shared" si="85"/>
        <v>2</v>
      </c>
      <c r="Y206" s="205">
        <f t="shared" si="83"/>
        <v>1.9467000000000001</v>
      </c>
      <c r="Z206" s="205">
        <f t="shared" si="84"/>
        <v>1.38E-2</v>
      </c>
      <c r="AA206" s="205">
        <f t="shared" si="90"/>
        <v>1.9329000000000001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80">
        <f t="shared" si="91"/>
        <v>302</v>
      </c>
      <c r="AE206" s="77" t="str">
        <f t="shared" si="92"/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AF206" s="74" t="str">
        <f t="shared" si="93"/>
        <v>"C:\Program Files (x86)\AstroGrep\AstroGrep.exe" /e /r /s /spath="%USERPROFILE%\AppData\Local\Temp\OnboardLogs" /stypes="app*4059*20170917*" /stext=" 09:.+((SYSTEM_STATE.+slice.+state.+changed )|(ment ac)|(multiple cpu faults)|(system.+state.+changed )|(\[timeout)|(PRM\|1\|D)|(kpr)|(kdp)|(train st.+moving)|(\|lc)|(penalty))"</v>
      </c>
      <c r="AG206" s="183" t="str">
        <f t="shared" si="94"/>
        <v>Other</v>
      </c>
      <c r="AH206" s="78" t="str">
        <f t="shared" si="65"/>
        <v>"%USERPROFILE%\Documents\GitHub\eaglep3\Utilities\RefineRTDCRunTimes.py" --tripid 302-17 --locoid 4059 --swversion DE.1.0.9.0 --startMP 300:19467 --initTime 2017-09-17T03:20:12 --startdatetime 2017-09-17T03:25:56 --delay 62 --endMP 204:138 --enddatetime 2017-09-17T03:32:49 --enforcementcount 0 &gt;&gt;C:\Users\stu\Documents\GitHub\eaglep3-reporting\EC\2017-09-17-refined-times.txt</v>
      </c>
      <c r="AI206" s="96" t="str">
        <f t="shared" si="66"/>
        <v>echo {"issue":{"subject":"","project_id":79,"tracker_id":40,"status_id":1,"priority_id":2,"assigned_to_id":338,"start_date":"2017-09-17","description":"","custom_fields":[{"id":1,"name":"Subdivision","value":"Other"},{"id":4,"name":"Milepost","value":"0.0138"},{"id":17,"name":"Train ID","value":"302-17"},{"id":16,"name":"Locomotive ID","value":"4059"},{"id":130,"name":"Impact","value":""},{"id":150,"name":"Time of Event (Mountain Time)","value":"03:32:49"},{"id":151,"name":"Denver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67"/>
        <v>start /low /b %USERPROFILE%\Documents\GitHub\eaglep3\Utilities\DownloadLogsFromS3.py --loco 4059 --day 2017-09-17</v>
      </c>
      <c r="AN206" s="151" t="str">
        <f t="shared" si="6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09:32:49"},{"id":29,"name":"Sharepoint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Message%5C+ID:(*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-09-17T02:20:12-0600',mode:absolute,to:'2017-09-17T04:32:49-0600'))&amp;_a=(columns:!('Message%20ID',Summary),filters:!(),index:'emp_*',interval:auto,query:(query_string:(analyze_wildcard:!t,query:'Message%5C+ID:(*)+AND+%22rtdc.l.rtdc.4059%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793</v>
      </c>
      <c r="B207" s="7">
        <v>4002</v>
      </c>
      <c r="C207" s="21" t="s">
        <v>197</v>
      </c>
      <c r="D207" s="21" t="s">
        <v>562</v>
      </c>
      <c r="E207" s="13">
        <v>42995.870104166665</v>
      </c>
      <c r="F207" s="13">
        <v>42995.872442129628</v>
      </c>
      <c r="G207" s="7">
        <v>88</v>
      </c>
      <c r="H207" s="21" t="s">
        <v>938</v>
      </c>
      <c r="I207" s="13">
        <v>42995.939872685187</v>
      </c>
      <c r="J207" s="7">
        <v>0</v>
      </c>
      <c r="K207" s="89" t="str">
        <f t="shared" si="86"/>
        <v>4001/4002</v>
      </c>
      <c r="L207" s="186" t="str">
        <f>VLOOKUP(A207,'Trips&amp;Operators'!$C$1:$G$99911,5,FALSE)</f>
        <v>MAGEE KENYA</v>
      </c>
      <c r="M207" s="6">
        <f t="shared" si="87"/>
        <v>6.7430555558530614E-2</v>
      </c>
      <c r="N207" s="7">
        <f t="shared" si="76"/>
        <v>97.100000004284084</v>
      </c>
      <c r="O207" s="7"/>
      <c r="P207" s="7"/>
      <c r="Q207" s="22"/>
      <c r="R207" s="174"/>
      <c r="S207" s="222">
        <f t="shared" si="77"/>
        <v>1</v>
      </c>
      <c r="T207" s="174" t="str">
        <f t="shared" si="88"/>
        <v>NorthBound</v>
      </c>
      <c r="U207" s="19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7" t="str">
        <f t="shared" si="89"/>
        <v>https://d0f6bd738d7f1b3e5a7ca70fe4ff75f0.us-east-1.aws.found.io/app/kibana#/discover/Steve-Slow-Train-Analysis-(2080s-and-2083s)?_g=(refreshInterval:(display:Off,pause:!f,section:0,value:0),time:(from:'2017-09-17T19:52:57-0600',mode:absolute,to:'2017-09-17T23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7" s="205" t="str">
        <f>IF(AA207&lt;VLOOKUP(AG207,Variables!$AC$3:$AD$8,2,FALSE),"Y","N")</f>
        <v>Y</v>
      </c>
      <c r="X207" s="205">
        <f t="shared" si="85"/>
        <v>1</v>
      </c>
      <c r="Y207" s="205">
        <f t="shared" si="83"/>
        <v>4.48E-2</v>
      </c>
      <c r="Z207" s="205">
        <f t="shared" si="84"/>
        <v>2.3346</v>
      </c>
      <c r="AA207" s="205">
        <f t="shared" si="90"/>
        <v>2.2898000000000001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80">
        <f t="shared" si="91"/>
        <v>303</v>
      </c>
      <c r="AE207" s="77" t="str">
        <f t="shared" si="92"/>
        <v>aws s3 cp s3://rtdc.mdm.uploadarchive.raw/RTDC4002/ "%USERPROFILE%\AppData\Local\Temp\OnboardLogs"\RTDC4002\2017-09-17 --exclude "*" --recursive --include "*20170917*" &amp; "%USERPROFILE%\Documents\GitHub\mrs-test-scripts\Headless Mode &amp; Sideloading\WalkAndUnGZ.bat" "%USERPROFILE%\AppData\Local\Temp\OnboardLogs"\RTDC4002\2017-09-17 &amp; aws s3 cp s3://rtdc.mdm.uploadarchive.raw/RTDC4002/ "%USERPROFILE%\AppData\Local\Temp\OnboardLogs"\RTDC4002\2017-09-18 --exclude "*" --recursive --include "*20170918*" &amp; "%USERPROFILE%\Documents\GitHub\mrs-test-scripts\Headless Mode &amp; Sideloading\WalkAndUnGZ.bat" "%USERPROFILE%\AppData\Local\Temp\OnboardLogs"\RTDC4002\2017-09-18</v>
      </c>
      <c r="AF207" s="74" t="str">
        <f t="shared" si="93"/>
        <v>"C:\Program Files (x86)\AstroGrep\AstroGrep.exe" /e /r /s /spath="%USERPROFILE%\AppData\Local\Temp\OnboardLogs" /stypes="app*4002*20170918*" /stext=" 04:.+((SYSTEM_STATE.+slice.+state.+changed )|(ment ac)|(multiple cpu faults)|(system.+state.+changed )|(\[timeout)|(PRM\|1\|D)|(kpr)|(kdp)|(train st.+moving)|(\|lc)|(penalty))"</v>
      </c>
      <c r="AG207" s="183" t="str">
        <f t="shared" si="94"/>
        <v>Other</v>
      </c>
      <c r="AH207" s="78" t="str">
        <f t="shared" ref="AH207:AH227" si="95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303-17 --locoid 4002 --swversion DE.1.0.9.0 --startMP 204:448 --initTime 2017-09-17T20:52:57 --startdatetime 2017-09-17T20:56:19 --delay 88 --endMP 300:23346 --enddatetime 2017-09-17T22:33:25 --enforcementcount 0 &gt;&gt;C:\Users\stu\Documents\GitHub\eaglep3-reporting\EC\2017-09-17-refined-times.txt</v>
      </c>
      <c r="AI207" s="96" t="str">
        <f t="shared" ref="AI207:AI227" si="96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{"issue":{"subject":"","project_id":79,"tracker_id":40,"status_id":1,"priority_id":2,"assigned_to_id":338,"start_date":"2017-09-17","description":"","custom_fields":[{"id":1,"name":"Subdivision","value":"Other"},{"id":4,"name":"Milepost","value":"2.3346"},{"id":17,"name":"Train ID","value":"303-17"},{"id":16,"name":"Locomotive ID","value":"4002"},{"id":130,"name":"Impact","value":""},{"id":150,"name":"Time of Event (Mountain Time)","value":"22:33:25"},{"id":151,"name":"Denver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ref="AM207:AM227" si="97">"start /low /b "&amp;dls3logs&amp;" --loco "&amp;B207&amp;" --day "&amp;TEXT(F207,"YYYY-MM-DD")</f>
        <v>start /low /b %USERPROFILE%\Documents\GitHub\eaglep3\Utilities\DownloadLogsFromS3.py --loco 4002 --day 2017-09-17</v>
      </c>
      <c r="AN207" s="151" t="str">
        <f t="shared" ref="AN207:AN227" si="98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04:33:25"},{"id":29,"name":"Sharepoint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Message%5C+ID:(*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-09-17T19:52:57-0600',mode:absolute,to:'2017-09-17T23:33:25-0600'))&amp;_a=(columns:!('Message%20ID',Summary),filters:!(),index:'emp_*',interval:auto,query:(query_string:(analyze_wildcard:!t,query:'Message%5C+ID:(*)+AND+%22rtdc.l.rtdc.4002%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627</v>
      </c>
      <c r="B208" s="7">
        <v>4027</v>
      </c>
      <c r="C208" s="21" t="s">
        <v>197</v>
      </c>
      <c r="D208" s="21" t="s">
        <v>939</v>
      </c>
      <c r="E208" s="13">
        <v>42995.154548611114</v>
      </c>
      <c r="F208" s="13">
        <v>42995.159791666665</v>
      </c>
      <c r="G208" s="7">
        <v>99</v>
      </c>
      <c r="H208" s="21" t="s">
        <v>382</v>
      </c>
      <c r="I208" s="13">
        <v>42995.165520833332</v>
      </c>
      <c r="J208" s="7">
        <v>0</v>
      </c>
      <c r="K208" s="89" t="str">
        <f t="shared" si="86"/>
        <v>4027/4028</v>
      </c>
      <c r="L208" s="186" t="str">
        <f>VLOOKUP(A208,'Trips&amp;Operators'!$C$1:$G$99911,5,FALSE)</f>
        <v>DAVIS WENDY</v>
      </c>
      <c r="M208" s="6">
        <f t="shared" si="87"/>
        <v>5.7291666671517305E-3</v>
      </c>
      <c r="N208" s="7">
        <f t="shared" si="76"/>
        <v>8.2500000006984919</v>
      </c>
      <c r="O208" s="7"/>
      <c r="P208" s="7"/>
      <c r="Q208" s="22"/>
      <c r="R208" s="174"/>
      <c r="S208" s="222">
        <f t="shared" si="77"/>
        <v>1</v>
      </c>
      <c r="T208" s="174" t="str">
        <f t="shared" si="88"/>
        <v>Southbound</v>
      </c>
      <c r="U208" s="19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7" t="str">
        <f t="shared" si="89"/>
        <v>https://d0f6bd738d7f1b3e5a7ca70fe4ff75f0.us-east-1.aws.found.io/app/kibana#/discover/Steve-Slow-Train-Analysis-(2080s-and-2083s)?_g=(refreshInterval:(display:Off,pause:!f,section:0,value:0),time:(from:'2017-09-17T02:42:33-0600',mode:absolute,to:'2017-09-17T04:58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8" s="205" t="str">
        <f>IF(AA208&lt;VLOOKUP(AG208,Variables!$AC$3:$AD$8,2,FALSE),"Y","N")</f>
        <v>Y</v>
      </c>
      <c r="X208" s="205">
        <f t="shared" si="85"/>
        <v>1</v>
      </c>
      <c r="Y208" s="205">
        <f t="shared" si="83"/>
        <v>2.2404000000000002</v>
      </c>
      <c r="Z208" s="205">
        <f t="shared" si="84"/>
        <v>1.5800000000000002E-2</v>
      </c>
      <c r="AA208" s="205">
        <f t="shared" si="90"/>
        <v>2.2246000000000001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80">
        <f t="shared" si="91"/>
        <v>304</v>
      </c>
      <c r="AE208" s="77" t="str">
        <f t="shared" si="92"/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AF208" s="74" t="str">
        <f t="shared" si="93"/>
        <v>"C:\Program Files (x86)\AstroGrep\AstroGrep.exe" /e /r /s /spath="%USERPROFILE%\AppData\Local\Temp\OnboardLogs" /stypes="app*4027*20170917*" /stext=" 09:.+((SYSTEM_STATE.+slice.+state.+changed )|(ment ac)|(multiple cpu faults)|(system.+state.+changed )|(\[timeout)|(PRM\|1\|D)|(kpr)|(kdp)|(train st.+moving)|(\|lc)|(penalty))"</v>
      </c>
      <c r="AG208" s="183" t="str">
        <f t="shared" si="94"/>
        <v>Other</v>
      </c>
      <c r="AH208" s="78" t="str">
        <f t="shared" si="95"/>
        <v>"%USERPROFILE%\Documents\GitHub\eaglep3\Utilities\RefineRTDCRunTimes.py" --tripid 304-17 --locoid 4027 --swversion DE.1.0.9.0 --startMP 300:22404 --initTime 2017-09-17T03:42:33 --startdatetime 2017-09-17T03:50:06 --delay 99 --endMP 204:158 --enddatetime 2017-09-17T03:58:21 --enforcementcount 0 &gt;&gt;C:\Users\stu\Documents\GitHub\eaglep3-reporting\EC\2017-09-17-refined-times.txt</v>
      </c>
      <c r="AI208" s="96" t="str">
        <f t="shared" si="96"/>
        <v>echo {"issue":{"subject":"","project_id":79,"tracker_id":40,"status_id":1,"priority_id":2,"assigned_to_id":338,"start_date":"2017-09-17","description":"","custom_fields":[{"id":1,"name":"Subdivision","value":"Other"},{"id":4,"name":"Milepost","value":"0.0158"},{"id":17,"name":"Train ID","value":"304-17"},{"id":16,"name":"Locomotive ID","value":"4027"},{"id":130,"name":"Impact","value":""},{"id":150,"name":"Time of Event (Mountain Time)","value":"03:58:21"},{"id":151,"name":"Denver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97"/>
        <v>start /low /b %USERPROFILE%\Documents\GitHub\eaglep3\Utilities\DownloadLogsFromS3.py --loco 4027 --day 2017-09-17</v>
      </c>
      <c r="AN208" s="151" t="str">
        <f t="shared" si="9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09:58:21"},{"id":29,"name":"Sharepoint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Message%5C+ID:(*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-09-17T02:42:33-0600',mode:absolute,to:'2017-09-17T04:58:21-0600'))&amp;_a=(columns:!('Message%20ID',Summary),filters:!(),index:'emp_*',interval:auto,query:(query_string:(analyze_wildcard:!t,query:'Message%5C+ID:(*)+AND+%22rtdc.l.rtdc.4027%22')),sort:!(Time.ISO8601,asc))</v>
      </c>
    </row>
    <row r="209" spans="1:91" s="20" customFormat="1" x14ac:dyDescent="0.25">
      <c r="A209" s="32" t="s">
        <v>785</v>
      </c>
      <c r="B209" s="7">
        <v>4066</v>
      </c>
      <c r="C209" s="21" t="s">
        <v>197</v>
      </c>
      <c r="D209" s="21" t="s">
        <v>337</v>
      </c>
      <c r="E209" s="13">
        <v>42995.818124999998</v>
      </c>
      <c r="F209" s="13">
        <v>42995.81962962963</v>
      </c>
      <c r="G209" s="7">
        <v>60</v>
      </c>
      <c r="H209" s="21" t="s">
        <v>940</v>
      </c>
      <c r="I209" s="13">
        <v>42995.826064814813</v>
      </c>
      <c r="J209" s="7">
        <v>0</v>
      </c>
      <c r="K209" s="89" t="str">
        <f t="shared" si="86"/>
        <v>4065/4066</v>
      </c>
      <c r="L209" s="186" t="str">
        <f>VLOOKUP(A209,'Trips&amp;Operators'!$C$1:$G$99911,5,FALSE)</f>
        <v>SMITH MICHAEL</v>
      </c>
      <c r="M209" s="6">
        <f t="shared" si="87"/>
        <v>6.435185183363501E-3</v>
      </c>
      <c r="N209" s="7">
        <f t="shared" si="76"/>
        <v>9.2666666640434414</v>
      </c>
      <c r="O209" s="7"/>
      <c r="P209" s="7"/>
      <c r="Q209" s="22"/>
      <c r="R209" s="174"/>
      <c r="S209" s="222">
        <f t="shared" si="77"/>
        <v>1</v>
      </c>
      <c r="T209" s="174" t="str">
        <f t="shared" si="88"/>
        <v>NorthBound</v>
      </c>
      <c r="U209" s="199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7" t="str">
        <f t="shared" si="89"/>
        <v>https://d0f6bd738d7f1b3e5a7ca70fe4ff75f0.us-east-1.aws.found.io/app/kibana#/discover/Steve-Slow-Train-Analysis-(2080s-and-2083s)?_g=(refreshInterval:(display:Off,pause:!f,section:0,value:0),time:(from:'2017-09-17T18:38:06-0600',mode:absolute,to:'2017-09-17T20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9" s="205" t="str">
        <f>IF(AA209&lt;VLOOKUP(AG209,Variables!$AC$3:$AD$8,2,FALSE),"Y","N")</f>
        <v>Y</v>
      </c>
      <c r="X209" s="205">
        <f t="shared" si="85"/>
        <v>1</v>
      </c>
      <c r="Y209" s="205">
        <f t="shared" si="83"/>
        <v>4.4600000000000001E-2</v>
      </c>
      <c r="Z209" s="205">
        <f t="shared" si="84"/>
        <v>2.3311999999999999</v>
      </c>
      <c r="AA209" s="205">
        <f t="shared" si="90"/>
        <v>2.2866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80">
        <f t="shared" si="91"/>
        <v>305</v>
      </c>
      <c r="AE209" s="77" t="str">
        <f t="shared" si="92"/>
        <v>aws s3 cp s3://rtdc.mdm.uploadarchive.raw/RTDC4066/ "%USERPROFILE%\AppData\Local\Temp\OnboardLogs"\RTDC4066\2017-09-17 --exclude "*" --recursive --include "*20170917*" &amp; "%USERPROFILE%\Documents\GitHub\mrs-test-scripts\Headless Mode &amp; Sideloading\WalkAndUnGZ.bat" "%USERPROFILE%\AppData\Local\Temp\OnboardLogs"\RTDC4066\2017-09-17 &amp; aws s3 cp s3://rtdc.mdm.uploadarchive.raw/RTDC4066/ "%USERPROFILE%\AppData\Local\Temp\OnboardLogs"\RTDC4066\2017-09-18 --exclude "*" --recursive --include "*20170918*" &amp; "%USERPROFILE%\Documents\GitHub\mrs-test-scripts\Headless Mode &amp; Sideloading\WalkAndUnGZ.bat" "%USERPROFILE%\AppData\Local\Temp\OnboardLogs"\RTDC4066\2017-09-18</v>
      </c>
      <c r="AF209" s="74" t="str">
        <f t="shared" si="93"/>
        <v>"C:\Program Files (x86)\AstroGrep\AstroGrep.exe" /e /r /s /spath="%USERPROFILE%\AppData\Local\Temp\OnboardLogs" /stypes="app*4066*20170918*" /stext=" 01:.+((SYSTEM_STATE.+slice.+state.+changed )|(ment ac)|(multiple cpu faults)|(system.+state.+changed )|(\[timeout)|(PRM\|1\|D)|(kpr)|(kdp)|(train st.+moving)|(\|lc)|(penalty))"</v>
      </c>
      <c r="AG209" s="183" t="str">
        <f t="shared" si="94"/>
        <v>Other</v>
      </c>
      <c r="AH209" s="78" t="str">
        <f t="shared" si="95"/>
        <v>"%USERPROFILE%\Documents\GitHub\eaglep3\Utilities\RefineRTDCRunTimes.py" --tripid 305-17 --locoid 4066 --swversion DE.1.0.9.0 --startMP 204:446 --initTime 2017-09-17T19:38:06 --startdatetime 2017-09-17T19:40:16 --delay 60 --endMP 300:23312 --enddatetime 2017-09-17T19:49:32 --enforcementcount 0 &gt;&gt;C:\Users\stu\Documents\GitHub\eaglep3-reporting\EC\2017-09-17-refined-times.txt</v>
      </c>
      <c r="AI209" s="96" t="str">
        <f t="shared" si="96"/>
        <v>echo {"issue":{"subject":"","project_id":79,"tracker_id":40,"status_id":1,"priority_id":2,"assigned_to_id":338,"start_date":"2017-09-17","description":"","custom_fields":[{"id":1,"name":"Subdivision","value":"Other"},{"id":4,"name":"Milepost","value":"2.3312"},{"id":17,"name":"Train ID","value":"305-17"},{"id":16,"name":"Locomotive ID","value":"4066"},{"id":130,"name":"Impact","value":""},{"id":150,"name":"Time of Event (Mountain Time)","value":"19:49:32"},{"id":151,"name":"Denver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97"/>
        <v>start /low /b %USERPROFILE%\Documents\GitHub\eaglep3\Utilities\DownloadLogsFromS3.py --loco 4066 --day 2017-09-17</v>
      </c>
      <c r="AN209" s="151" t="str">
        <f t="shared" si="9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01:49:32"},{"id":29,"name":"Sharepoint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Message%5C+ID:(*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-09-17T18:38:06-0600',mode:absolute,to:'2017-09-17T20:49:32-0600'))&amp;_a=(columns:!('Message%20ID',Summary),filters:!(),index:'emp_*',interval:auto,query:(query_string:(analyze_wildcard:!t,query:'Message%5C+ID:(*)+AND+%22rtdc.l.rtdc.4066%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629</v>
      </c>
      <c r="B210" s="7">
        <v>4055</v>
      </c>
      <c r="C210" s="21" t="s">
        <v>197</v>
      </c>
      <c r="D210" s="21" t="s">
        <v>941</v>
      </c>
      <c r="E210" s="13">
        <v>42995.167349537034</v>
      </c>
      <c r="F210" s="13">
        <v>42995.172523148147</v>
      </c>
      <c r="G210" s="7">
        <v>122</v>
      </c>
      <c r="H210" s="21" t="s">
        <v>370</v>
      </c>
      <c r="I210" s="13">
        <v>42995.179606481484</v>
      </c>
      <c r="J210" s="7">
        <v>0</v>
      </c>
      <c r="K210" s="89" t="str">
        <f t="shared" si="86"/>
        <v>4055/4056</v>
      </c>
      <c r="L210" s="186" t="str">
        <f>VLOOKUP(A210,'Trips&amp;Operators'!$C$1:$G$99911,5,FALSE)</f>
        <v>LALONDE GREGORY</v>
      </c>
      <c r="M210" s="6">
        <f t="shared" si="87"/>
        <v>7.0833333375048824E-3</v>
      </c>
      <c r="N210" s="7">
        <f t="shared" si="76"/>
        <v>10.200000006007031</v>
      </c>
      <c r="O210" s="7"/>
      <c r="P210" s="7"/>
      <c r="Q210" s="22"/>
      <c r="R210" s="174"/>
      <c r="S210" s="222">
        <f t="shared" si="77"/>
        <v>1</v>
      </c>
      <c r="T210" s="174" t="str">
        <f t="shared" si="88"/>
        <v>Southbound</v>
      </c>
      <c r="U210" s="199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7" t="str">
        <f t="shared" si="89"/>
        <v>https://d0f6bd738d7f1b3e5a7ca70fe4ff75f0.us-east-1.aws.found.io/app/kibana#/discover/Steve-Slow-Train-Analysis-(2080s-and-2083s)?_g=(refreshInterval:(display:Off,pause:!f,section:0,value:0),time:(from:'2017-09-17T03:00:59-0600',mode:absolute,to:'2017-09-17T05:18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0" s="205" t="str">
        <f>IF(AA210&lt;VLOOKUP(AG210,Variables!$AC$3:$AD$8,2,FALSE),"Y","N")</f>
        <v>Y</v>
      </c>
      <c r="X210" s="205">
        <f t="shared" si="85"/>
        <v>1</v>
      </c>
      <c r="Y210" s="205">
        <f t="shared" si="83"/>
        <v>2.3389000000000002</v>
      </c>
      <c r="Z210" s="205">
        <f t="shared" si="84"/>
        <v>1.5599999999999999E-2</v>
      </c>
      <c r="AA210" s="205">
        <f t="shared" si="90"/>
        <v>2.3233000000000001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80">
        <f t="shared" si="91"/>
        <v>306</v>
      </c>
      <c r="AE210" s="77" t="str">
        <f t="shared" si="92"/>
        <v>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 &amp; aws s3 cp s3://rtdc.mdm.uploadarchive.raw/RTDC4055/ "%USERPROFILE%\AppData\Local\Temp\OnboardLogs"\RTDC4055\2017-09-18 --exclude "*" --recursive --include "*20170918*" &amp; "%USERPROFILE%\Documents\GitHub\mrs-test-scripts\Headless Mode &amp; Sideloading\WalkAndUnGZ.bat" "%USERPROFILE%\AppData\Local\Temp\OnboardLogs"\RTDC4055\2017-09-18</v>
      </c>
      <c r="AF210" s="74" t="str">
        <f t="shared" si="93"/>
        <v>"C:\Program Files (x86)\AstroGrep\AstroGrep.exe" /e /r /s /spath="%USERPROFILE%\AppData\Local\Temp\OnboardLogs" /stypes="app*4055*20170917*" /stext=" 10:.+((SYSTEM_STATE.+slice.+state.+changed )|(ment ac)|(multiple cpu faults)|(system.+state.+changed )|(\[timeout)|(PRM\|1\|D)|(kpr)|(kdp)|(train st.+moving)|(\|lc)|(penalty))"</v>
      </c>
      <c r="AG210" s="183" t="str">
        <f t="shared" si="94"/>
        <v>Other</v>
      </c>
      <c r="AH210" s="78" t="str">
        <f t="shared" si="95"/>
        <v>"%USERPROFILE%\Documents\GitHub\eaglep3\Utilities\RefineRTDCRunTimes.py" --tripid 306-17 --locoid 4055 --swversion DE.1.0.9.0 --startMP 300:23389 --initTime 2017-09-17T04:00:59 --startdatetime 2017-09-17T04:08:26 --delay 122 --endMP 204:156 --enddatetime 2017-09-17T04:18:38 --enforcementcount 0 &gt;&gt;C:\Users\stu\Documents\GitHub\eaglep3-reporting\EC\2017-09-17-refined-times.txt</v>
      </c>
      <c r="AI210" s="96" t="str">
        <f t="shared" si="96"/>
        <v>echo {"issue":{"subject":"","project_id":79,"tracker_id":40,"status_id":1,"priority_id":2,"assigned_to_id":338,"start_date":"2017-09-17","description":"","custom_fields":[{"id":1,"name":"Subdivision","value":"Other"},{"id":4,"name":"Milepost","value":"0.0156"},{"id":17,"name":"Train ID","value":"306-17"},{"id":16,"name":"Locomotive ID","value":"4055"},{"id":130,"name":"Impact","value":""},{"id":150,"name":"Time of Event (Mountain Time)","value":"04:18:38"},{"id":151,"name":"Denver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97"/>
        <v>start /low /b %USERPROFILE%\Documents\GitHub\eaglep3\Utilities\DownloadLogsFromS3.py --loco 4055 --day 2017-09-17</v>
      </c>
      <c r="AN210" s="151" t="str">
        <f t="shared" si="9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10:18:38"},{"id":29,"name":"Sharepoint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Message%5C+ID:(*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-09-17T03:00:59-0600',mode:absolute,to:'2017-09-17T05:18:38-0600'))&amp;_a=(columns:!('Message%20ID',Summary),filters:!(),index:'emp_*',interval:auto,query:(query_string:(analyze_wildcard:!t,query:'Message%5C+ID:(*)+AND+%22rtdc.l.rtdc.4055%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813</v>
      </c>
      <c r="B211" s="7">
        <v>4016</v>
      </c>
      <c r="C211" s="21" t="s">
        <v>197</v>
      </c>
      <c r="D211" s="21" t="s">
        <v>417</v>
      </c>
      <c r="E211" s="13">
        <v>42996.04583333333</v>
      </c>
      <c r="F211" s="13">
        <v>42996.04724537037</v>
      </c>
      <c r="G211" s="7">
        <v>59</v>
      </c>
      <c r="H211" s="21" t="s">
        <v>490</v>
      </c>
      <c r="I211" s="13">
        <v>42996.054328703707</v>
      </c>
      <c r="J211" s="7">
        <v>0</v>
      </c>
      <c r="K211" s="89" t="str">
        <f t="shared" si="86"/>
        <v>4015/4016</v>
      </c>
      <c r="L211" s="186" t="str">
        <f>VLOOKUP(A211,'Trips&amp;Operators'!$C$1:$G$99911,5,FALSE)</f>
        <v>LOZA FIDEL</v>
      </c>
      <c r="M211" s="6">
        <f t="shared" si="87"/>
        <v>7.0833333375048824E-3</v>
      </c>
      <c r="N211" s="7">
        <f t="shared" si="76"/>
        <v>10.200000006007031</v>
      </c>
      <c r="O211" s="7"/>
      <c r="P211" s="7"/>
      <c r="Q211" s="22"/>
      <c r="R211" s="174"/>
      <c r="S211" s="222">
        <f t="shared" si="77"/>
        <v>1</v>
      </c>
      <c r="T211" s="174" t="str">
        <f t="shared" si="88"/>
        <v>NorthBound</v>
      </c>
      <c r="U211" s="199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7" t="str">
        <f t="shared" si="89"/>
        <v>https://d0f6bd738d7f1b3e5a7ca70fe4ff75f0.us-east-1.aws.found.io/app/kibana#/discover/Steve-Slow-Train-Analysis-(2080s-and-2083s)?_g=(refreshInterval:(display:Off,pause:!f,section:0,value:0),time:(from:'2017-09-18T00:06:00-0600',mode:absolute,to:'2017-09-18T02:18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1" s="205" t="str">
        <f>IF(AA211&lt;VLOOKUP(AG211,Variables!$AC$3:$AD$8,2,FALSE),"Y","N")</f>
        <v>Y</v>
      </c>
      <c r="X211" s="205">
        <f t="shared" si="85"/>
        <v>1</v>
      </c>
      <c r="Y211" s="205">
        <f t="shared" si="83"/>
        <v>4.6199999999999998E-2</v>
      </c>
      <c r="Z211" s="205">
        <f t="shared" si="84"/>
        <v>2.3306</v>
      </c>
      <c r="AA211" s="205">
        <f t="shared" si="90"/>
        <v>2.2844000000000002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80">
        <f t="shared" si="91"/>
        <v>307</v>
      </c>
      <c r="AE211" s="77" t="str">
        <f t="shared" si="92"/>
        <v>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 &amp; aws s3 cp s3://rtdc.mdm.uploadarchive.raw/RTDC4016/ "%USERPROFILE%\AppData\Local\Temp\OnboardLogs"\RTDC4016\2017-09-19 --exclude "*" --recursive --include "*20170919*" &amp; "%USERPROFILE%\Documents\GitHub\mrs-test-scripts\Headless Mode &amp; Sideloading\WalkAndUnGZ.bat" "%USERPROFILE%\AppData\Local\Temp\OnboardLogs"\RTDC4016\2017-09-19</v>
      </c>
      <c r="AF211" s="74" t="str">
        <f t="shared" si="93"/>
        <v>"C:\Program Files (x86)\AstroGrep\AstroGrep.exe" /e /r /s /spath="%USERPROFILE%\AppData\Local\Temp\OnboardLogs" /stypes="app*4016*20170918*" /stext=" 07:.+((SYSTEM_STATE.+slice.+state.+changed )|(ment ac)|(multiple cpu faults)|(system.+state.+changed )|(\[timeout)|(PRM\|1\|D)|(kpr)|(kdp)|(train st.+moving)|(\|lc)|(penalty))"</v>
      </c>
      <c r="AG211" s="183" t="str">
        <f t="shared" si="94"/>
        <v>Other</v>
      </c>
      <c r="AH211" s="78" t="str">
        <f t="shared" si="95"/>
        <v>"%USERPROFILE%\Documents\GitHub\eaglep3\Utilities\RefineRTDCRunTimes.py" --tripid 307-17 --locoid 4016 --swversion DE.1.0.9.0 --startMP 204:462 --initTime 2017-09-18T01:06:00 --startdatetime 2017-09-18T01:08:02 --delay 59 --endMP 300:23306 --enddatetime 2017-09-18T01:18:14 --enforcementcount 0 &gt;&gt;C:\Users\stu\Documents\GitHub\eaglep3-reporting\EC\2017-09-17-refined-times.txt</v>
      </c>
      <c r="AI211" s="96" t="str">
        <f t="shared" si="96"/>
        <v>echo {"issue":{"subject":"","project_id":79,"tracker_id":40,"status_id":1,"priority_id":2,"assigned_to_id":338,"start_date":"2017-09-18","description":"","custom_fields":[{"id":1,"name":"Subdivision","value":"Other"},{"id":4,"name":"Milepost","value":"2.3306"},{"id":17,"name":"Train ID","value":"307-17"},{"id":16,"name":"Locomotive ID","value":"4016"},{"id":130,"name":"Impact","value":""},{"id":150,"name":"Time of Event (Mountain Time)","value":"01:18:14"},{"id":151,"name":"Denver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97"/>
        <v>start /low /b %USERPROFILE%\Documents\GitHub\eaglep3\Utilities\DownloadLogsFromS3.py --loco 4016 --day 2017-09-18</v>
      </c>
      <c r="AN211" s="151" t="str">
        <f t="shared" si="9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07:18:14"},{"id":29,"name":"Sharepoint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Message%20ID',Summary),filters:!(),index:'emp_*',interval:auto,query:"&amp;"(query_string:(analyze_wildcard:!t,query:'Message%5C+ID:(*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-09-18T00:06:00-0600',mode:absolute,to:'2017-09-18T02:18:14-0600'))&amp;_a=(columns:!('Message%20ID',Summary),filters:!(),index:'emp_*',interval:auto,query:(query_string:(analyze_wildcard:!t,query:'Message%5C+ID:(*)+AND+%22rtdc.l.rtdc.4016%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634</v>
      </c>
      <c r="B212" s="7">
        <v>4043</v>
      </c>
      <c r="C212" s="21" t="s">
        <v>197</v>
      </c>
      <c r="D212" s="21" t="s">
        <v>942</v>
      </c>
      <c r="E212" s="13">
        <v>42995.180949074071</v>
      </c>
      <c r="F212" s="13">
        <v>42995.18513888889</v>
      </c>
      <c r="G212" s="7">
        <v>68</v>
      </c>
      <c r="H212" s="21" t="s">
        <v>943</v>
      </c>
      <c r="I212" s="13">
        <v>42995.190613425926</v>
      </c>
      <c r="J212" s="7">
        <v>0</v>
      </c>
      <c r="K212" s="89" t="str">
        <f t="shared" si="86"/>
        <v>4043/4044</v>
      </c>
      <c r="L212" s="186" t="str">
        <f>VLOOKUP(A212,'Trips&amp;Operators'!$C$1:$G$99911,5,FALSE)</f>
        <v>GEBRETEKLE DAGNEW</v>
      </c>
      <c r="M212" s="6">
        <f t="shared" si="87"/>
        <v>5.4745370362070389E-3</v>
      </c>
      <c r="N212" s="7">
        <f t="shared" si="76"/>
        <v>7.883333332138136</v>
      </c>
      <c r="O212" s="7"/>
      <c r="P212" s="7"/>
      <c r="Q212" s="22"/>
      <c r="R212" s="174"/>
      <c r="S212" s="222">
        <f t="shared" si="77"/>
        <v>1</v>
      </c>
      <c r="T212" s="174" t="str">
        <f t="shared" si="88"/>
        <v>Southbound</v>
      </c>
      <c r="U212" s="199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7" t="str">
        <f t="shared" si="89"/>
        <v>https://d0f6bd738d7f1b3e5a7ca70fe4ff75f0.us-east-1.aws.found.io/app/kibana#/discover/Steve-Slow-Train-Analysis-(2080s-and-2083s)?_g=(refreshInterval:(display:Off,pause:!f,section:0,value:0),time:(from:'2017-09-17T03:20:34-0600',mode:absolute,to:'2017-09-17T05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2" s="205" t="str">
        <f>IF(AA212&lt;VLOOKUP(AG212,Variables!$AC$3:$AD$8,2,FALSE),"Y","N")</f>
        <v>Y</v>
      </c>
      <c r="X212" s="205">
        <f t="shared" si="85"/>
        <v>1</v>
      </c>
      <c r="Y212" s="205">
        <f t="shared" si="83"/>
        <v>2.3365999999999998</v>
      </c>
      <c r="Z212" s="205">
        <f t="shared" si="84"/>
        <v>1.7000000000000001E-2</v>
      </c>
      <c r="AA212" s="205">
        <f t="shared" si="90"/>
        <v>2.3195999999999999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80">
        <f t="shared" si="91"/>
        <v>308</v>
      </c>
      <c r="AE212" s="77" t="str">
        <f t="shared" si="92"/>
        <v>aws s3 cp s3://rtdc.mdm.uploadarchive.raw/RTDC4043/ "%USERPROFILE%\AppData\Local\Temp\OnboardLogs"\RTDC4043\2017-09-17 --exclude "*" --recursive --include "*20170917*" &amp; "%USERPROFILE%\Documents\GitHub\mrs-test-scripts\Headless Mode &amp; Sideloading\WalkAndUnGZ.bat" "%USERPROFILE%\AppData\Local\Temp\OnboardLogs"\RTDC4043\2017-09-17 &amp; aws s3 cp s3://rtdc.mdm.uploadarchive.raw/RTDC4043/ "%USERPROFILE%\AppData\Local\Temp\OnboardLogs"\RTDC4043\2017-09-18 --exclude "*" --recursive --include "*20170918*" &amp; "%USERPROFILE%\Documents\GitHub\mrs-test-scripts\Headless Mode &amp; Sideloading\WalkAndUnGZ.bat" "%USERPROFILE%\AppData\Local\Temp\OnboardLogs"\RTDC4043\2017-09-18</v>
      </c>
      <c r="AF212" s="74" t="str">
        <f t="shared" si="93"/>
        <v>"C:\Program Files (x86)\AstroGrep\AstroGrep.exe" /e /r /s /spath="%USERPROFILE%\AppData\Local\Temp\OnboardLogs" /stypes="app*4043*20170917*" /stext=" 10:.+((SYSTEM_STATE.+slice.+state.+changed )|(ment ac)|(multiple cpu faults)|(system.+state.+changed )|(\[timeout)|(PRM\|1\|D)|(kpr)|(kdp)|(train st.+moving)|(\|lc)|(penalty))"</v>
      </c>
      <c r="AG212" s="183" t="str">
        <f t="shared" si="94"/>
        <v>Other</v>
      </c>
      <c r="AH212" s="78" t="str">
        <f t="shared" si="95"/>
        <v>"%USERPROFILE%\Documents\GitHub\eaglep3\Utilities\RefineRTDCRunTimes.py" --tripid 308-17 --locoid 4043 --swversion DE.1.0.9.0 --startMP 300:23366 --initTime 2017-09-17T04:20:34 --startdatetime 2017-09-17T04:26:36 --delay 68 --endMP 204:170 --enddatetime 2017-09-17T04:34:29 --enforcementcount 0 &gt;&gt;C:\Users\stu\Documents\GitHub\eaglep3-reporting\EC\2017-09-17-refined-times.txt</v>
      </c>
      <c r="AI212" s="96" t="str">
        <f t="shared" si="96"/>
        <v>echo {"issue":{"subject":"","project_id":79,"tracker_id":40,"status_id":1,"priority_id":2,"assigned_to_id":338,"start_date":"2017-09-17","description":"","custom_fields":[{"id":1,"name":"Subdivision","value":"Other"},{"id":4,"name":"Milepost","value":"0.017"},{"id":17,"name":"Train ID","value":"308-17"},{"id":16,"name":"Locomotive ID","value":"4043"},{"id":130,"name":"Impact","value":""},{"id":150,"name":"Time of Event (Mountain Time)","value":"04:34:29"},{"id":151,"name":"Denver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7"/>
        <v>start /low /b %USERPROFILE%\Documents\GitHub\eaglep3\Utilities\DownloadLogsFromS3.py --loco 4043 --day 2017-09-17</v>
      </c>
      <c r="AN212" s="151" t="str">
        <f t="shared" si="9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10:34:29"},{"id":29,"name":"Sharepoint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Message%20ID',Summary),filters:!(),index:'emp_*',interval:auto,query:"&amp;"(query_string:(analyze_wildcard:!t,query:'Message%5C+ID:(*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-09-17T03:20:34-0600',mode:absolute,to:'2017-09-17T05:34:29-0600'))&amp;_a=(columns:!('Message%20ID',Summary),filters:!(),index:'emp_*',interval:auto,query:(query_string:(analyze_wildcard:!t,query:'Message%5C+ID:(*)+AND+%22rtdc.l.rtdc.4043%22')),sort:!(Time.ISO8601,asc))</v>
      </c>
    </row>
    <row r="213" spans="1:91" s="20" customFormat="1" x14ac:dyDescent="0.25">
      <c r="A213" s="32" t="s">
        <v>815</v>
      </c>
      <c r="B213" s="7">
        <v>4028</v>
      </c>
      <c r="C213" s="21" t="s">
        <v>197</v>
      </c>
      <c r="D213" s="21" t="s">
        <v>442</v>
      </c>
      <c r="E213" s="13">
        <v>42996.069178240738</v>
      </c>
      <c r="F213" s="13">
        <v>42996.070949074077</v>
      </c>
      <c r="G213" s="7">
        <v>84</v>
      </c>
      <c r="H213" s="21" t="s">
        <v>490</v>
      </c>
      <c r="I213" s="13">
        <v>42996.080069444448</v>
      </c>
      <c r="J213" s="7">
        <v>0</v>
      </c>
      <c r="K213" s="89" t="str">
        <f t="shared" si="86"/>
        <v>4027/4028</v>
      </c>
      <c r="L213" s="186" t="str">
        <f>VLOOKUP(A213,'Trips&amp;Operators'!$C$1:$G$99911,5,FALSE)</f>
        <v>ELBAUM MIKE</v>
      </c>
      <c r="M213" s="6">
        <f t="shared" si="87"/>
        <v>9.1203703705104999E-3</v>
      </c>
      <c r="N213" s="7">
        <f t="shared" si="76"/>
        <v>13.13333333353512</v>
      </c>
      <c r="O213" s="7"/>
      <c r="P213" s="7"/>
      <c r="Q213" s="22"/>
      <c r="R213" s="174"/>
      <c r="S213" s="222">
        <f t="shared" si="77"/>
        <v>1</v>
      </c>
      <c r="T213" s="174" t="str">
        <f t="shared" si="88"/>
        <v>NorthBound</v>
      </c>
      <c r="U213" s="199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7" t="str">
        <f t="shared" si="89"/>
        <v>https://d0f6bd738d7f1b3e5a7ca70fe4ff75f0.us-east-1.aws.found.io/app/kibana#/discover/Steve-Slow-Train-Analysis-(2080s-and-2083s)?_g=(refreshInterval:(display:Off,pause:!f,section:0,value:0),time:(from:'2017-09-18T00:39:37-0600',mode:absolute,to:'2017-09-18T02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3" s="205" t="str">
        <f>IF(AA213&lt;VLOOKUP(AG213,Variables!$AC$3:$AD$8,2,FALSE),"Y","N")</f>
        <v>Y</v>
      </c>
      <c r="X213" s="205">
        <f t="shared" si="85"/>
        <v>1</v>
      </c>
      <c r="Y213" s="205">
        <f t="shared" si="83"/>
        <v>4.6600000000000003E-2</v>
      </c>
      <c r="Z213" s="205">
        <f t="shared" si="84"/>
        <v>2.3306</v>
      </c>
      <c r="AA213" s="205">
        <f t="shared" si="90"/>
        <v>2.2839999999999998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80">
        <f t="shared" si="91"/>
        <v>309</v>
      </c>
      <c r="AE213" s="77" t="str">
        <f t="shared" si="92"/>
        <v>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 &amp; 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</v>
      </c>
      <c r="AF213" s="74" t="str">
        <f t="shared" si="93"/>
        <v>"C:\Program Files (x86)\AstroGrep\AstroGrep.exe" /e /r /s /spath="%USERPROFILE%\AppData\Local\Temp\OnboardLogs" /stypes="app*4028*20170918*" /stext=" 07:.+((SYSTEM_STATE.+slice.+state.+changed )|(ment ac)|(multiple cpu faults)|(system.+state.+changed )|(\[timeout)|(PRM\|1\|D)|(kpr)|(kdp)|(train st.+moving)|(\|lc)|(penalty))"</v>
      </c>
      <c r="AG213" s="183" t="str">
        <f t="shared" si="94"/>
        <v>Other</v>
      </c>
      <c r="AH213" s="78" t="str">
        <f t="shared" si="95"/>
        <v>"%USERPROFILE%\Documents\GitHub\eaglep3\Utilities\RefineRTDCRunTimes.py" --tripid 309-17 --locoid 4028 --swversion DE.1.0.9.0 --startMP 204:466 --initTime 2017-09-18T01:39:37 --startdatetime 2017-09-18T01:42:10 --delay 84 --endMP 300:23306 --enddatetime 2017-09-18T01:55:18 --enforcementcount 0 &gt;&gt;C:\Users\stu\Documents\GitHub\eaglep3-reporting\EC\2017-09-17-refined-times.txt</v>
      </c>
      <c r="AI213" s="96" t="str">
        <f t="shared" si="96"/>
        <v>echo {"issue":{"subject":"","project_id":79,"tracker_id":40,"status_id":1,"priority_id":2,"assigned_to_id":338,"start_date":"2017-09-18","description":"","custom_fields":[{"id":1,"name":"Subdivision","value":"Other"},{"id":4,"name":"Milepost","value":"2.3306"},{"id":17,"name":"Train ID","value":"309-17"},{"id":16,"name":"Locomotive ID","value":"4028"},{"id":130,"name":"Impact","value":""},{"id":150,"name":"Time of Event (Mountain Time)","value":"01:55:18"},{"id":151,"name":"Denver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97"/>
        <v>start /low /b %USERPROFILE%\Documents\GitHub\eaglep3\Utilities\DownloadLogsFromS3.py --loco 4028 --day 2017-09-18</v>
      </c>
      <c r="AN213" s="151" t="str">
        <f t="shared" si="9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07:55:18"},{"id":29,"name":"Sharepoint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Message%5C+ID:(*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-09-18T00:39:37-0600',mode:absolute,to:'2017-09-18T02:55:18-0600'))&amp;_a=(columns:!('Message%20ID',Summary),filters:!(),index:'emp_*',interval:auto,query:(query_string:(analyze_wildcard:!t,query:'Message%5C+ID:(*)+AND+%22rtdc.l.rtdc.4028%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574</v>
      </c>
      <c r="B214" s="7">
        <v>4001</v>
      </c>
      <c r="C214" s="21" t="s">
        <v>197</v>
      </c>
      <c r="D214" s="21" t="s">
        <v>944</v>
      </c>
      <c r="E214" s="13">
        <v>42995.198530092595</v>
      </c>
      <c r="F214" s="13">
        <v>42995.202534722222</v>
      </c>
      <c r="G214" s="7">
        <v>144</v>
      </c>
      <c r="H214" s="21" t="s">
        <v>945</v>
      </c>
      <c r="I214" s="13">
        <v>42995.210752314815</v>
      </c>
      <c r="J214" s="7">
        <v>0</v>
      </c>
      <c r="K214" s="89" t="str">
        <f t="shared" si="86"/>
        <v>4001/4002</v>
      </c>
      <c r="L214" s="186" t="str">
        <f>VLOOKUP(A214,'Trips&amp;Operators'!$C$1:$G$99911,5,FALSE)</f>
        <v>WILLIAMS DONTE</v>
      </c>
      <c r="M214" s="6">
        <f t="shared" si="87"/>
        <v>8.2175925927003846E-3</v>
      </c>
      <c r="N214" s="7">
        <f t="shared" si="76"/>
        <v>11.833333333488554</v>
      </c>
      <c r="O214" s="7"/>
      <c r="P214" s="7"/>
      <c r="Q214" s="22"/>
      <c r="R214" s="174"/>
      <c r="S214" s="222">
        <f t="shared" si="77"/>
        <v>1</v>
      </c>
      <c r="T214" s="174" t="str">
        <f t="shared" si="88"/>
        <v>Southbound</v>
      </c>
      <c r="U214" s="199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7" t="str">
        <f t="shared" si="89"/>
        <v>https://d0f6bd738d7f1b3e5a7ca70fe4ff75f0.us-east-1.aws.found.io/app/kibana#/discover/Steve-Slow-Train-Analysis-(2080s-and-2083s)?_g=(refreshInterval:(display:Off,pause:!f,section:0,value:0),time:(from:'2017-09-17T03:45:53-0600',mode:absolute,to:'2017-09-17T06:03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4" s="205" t="str">
        <f>IF(AA214&lt;VLOOKUP(AG214,Variables!$AC$3:$AD$8,2,FALSE),"Y","N")</f>
        <v>Y</v>
      </c>
      <c r="X214" s="205">
        <f t="shared" si="85"/>
        <v>1</v>
      </c>
      <c r="Y214" s="205">
        <f t="shared" si="83"/>
        <v>2.3565</v>
      </c>
      <c r="Z214" s="205">
        <f t="shared" si="84"/>
        <v>0.43940000000000001</v>
      </c>
      <c r="AA214" s="205">
        <f t="shared" si="90"/>
        <v>1.9171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80">
        <f t="shared" si="91"/>
        <v>310</v>
      </c>
      <c r="AE214" s="77" t="str">
        <f t="shared" si="92"/>
        <v>aws s3 cp s3://rtdc.mdm.uploadarchive.raw/RTDC4001/ "%USERPROFILE%\AppData\Local\Temp\OnboardLogs"\RTDC4001\2017-09-17 --exclude "*" --recursive --include "*20170917*" &amp; "%USERPROFILE%\Documents\GitHub\mrs-test-scripts\Headless Mode &amp; Sideloading\WalkAndUnGZ.bat" "%USERPROFILE%\AppData\Local\Temp\OnboardLogs"\RTDC4001\2017-09-17 &amp; aws s3 cp s3://rtdc.mdm.uploadarchive.raw/RTDC4001/ "%USERPROFILE%\AppData\Local\Temp\OnboardLogs"\RTDC4001\2017-09-18 --exclude "*" --recursive --include "*20170918*" &amp; "%USERPROFILE%\Documents\GitHub\mrs-test-scripts\Headless Mode &amp; Sideloading\WalkAndUnGZ.bat" "%USERPROFILE%\AppData\Local\Temp\OnboardLogs"\RTDC4001\2017-09-18</v>
      </c>
      <c r="AF214" s="74" t="str">
        <f t="shared" si="93"/>
        <v>"C:\Program Files (x86)\AstroGrep\AstroGrep.exe" /e /r /s /spath="%USERPROFILE%\AppData\Local\Temp\OnboardLogs" /stypes="app*4001*20170917*" /stext=" 11:.+((SYSTEM_STATE.+slice.+state.+changed )|(ment ac)|(multiple cpu faults)|(system.+state.+changed )|(\[timeout)|(PRM\|1\|D)|(kpr)|(kdp)|(train st.+moving)|(\|lc)|(penalty))"</v>
      </c>
      <c r="AG214" s="183" t="str">
        <f t="shared" si="94"/>
        <v>Other</v>
      </c>
      <c r="AH214" s="78" t="str">
        <f t="shared" si="95"/>
        <v>"%USERPROFILE%\Documents\GitHub\eaglep3\Utilities\RefineRTDCRunTimes.py" --tripid 310-17 --locoid 4001 --swversion DE.1.0.9.0 --startMP 300:23565 --initTime 2017-09-17T04:45:53 --startdatetime 2017-09-17T04:51:39 --delay 144 --endMP 204:4394 --enddatetime 2017-09-17T05:03:29 --enforcementcount 0 &gt;&gt;C:\Users\stu\Documents\GitHub\eaglep3-reporting\EC\2017-09-17-refined-times.txt</v>
      </c>
      <c r="AI214" s="96" t="str">
        <f t="shared" si="96"/>
        <v>echo {"issue":{"subject":"","project_id":79,"tracker_id":40,"status_id":1,"priority_id":2,"assigned_to_id":338,"start_date":"2017-09-17","description":"","custom_fields":[{"id":1,"name":"Subdivision","value":"Other"},{"id":4,"name":"Milepost","value":"0.4394"},{"id":17,"name":"Train ID","value":"310-17"},{"id":16,"name":"Locomotive ID","value":"4001"},{"id":130,"name":"Impact","value":""},{"id":150,"name":"Time of Event (Mountain Time)","value":"05:03:29"},{"id":151,"name":"Denver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97"/>
        <v>start /low /b %USERPROFILE%\Documents\GitHub\eaglep3\Utilities\DownloadLogsFromS3.py --loco 4001 --day 2017-09-17</v>
      </c>
      <c r="AN214" s="151" t="str">
        <f t="shared" si="9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11:03:29"},{"id":29,"name":"Sharepoint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Message%20ID',Summary),filters:!(),index:'emp_*',interval:auto,query:"&amp;"(query_string:(analyze_wildcard:!t,query:'Message%5C+ID:(*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-09-17T03:45:53-0600',mode:absolute,to:'2017-09-17T06:03:29-0600'))&amp;_a=(columns:!('Message%20ID',Summary),filters:!(),index:'emp_*',interval:auto,query:(query_string:(analyze_wildcard:!t,query:'Message%5C+ID:(*)+AND+%22rtdc.l.rtdc.4001%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816</v>
      </c>
      <c r="B215" s="7">
        <v>4056</v>
      </c>
      <c r="C215" s="21" t="s">
        <v>197</v>
      </c>
      <c r="D215" s="21" t="s">
        <v>417</v>
      </c>
      <c r="E215" s="13">
        <v>42996.087557870371</v>
      </c>
      <c r="F215" s="13">
        <v>42996.088854166665</v>
      </c>
      <c r="G215" s="7">
        <v>55</v>
      </c>
      <c r="H215" s="21" t="s">
        <v>938</v>
      </c>
      <c r="I215" s="13">
        <v>42996.096145833333</v>
      </c>
      <c r="J215" s="7">
        <v>0</v>
      </c>
      <c r="K215" s="89" t="str">
        <f t="shared" si="86"/>
        <v>4055/4056</v>
      </c>
      <c r="L215" s="186" t="str">
        <f>VLOOKUP(A215,'Trips&amp;Operators'!$C$1:$G$99911,5,FALSE)</f>
        <v>DUNCAN SHEILA</v>
      </c>
      <c r="M215" s="6">
        <f t="shared" si="87"/>
        <v>7.291666668606922E-3</v>
      </c>
      <c r="N215" s="7">
        <f t="shared" si="76"/>
        <v>10.500000002793968</v>
      </c>
      <c r="O215" s="7"/>
      <c r="P215" s="7"/>
      <c r="Q215" s="22"/>
      <c r="R215" s="174"/>
      <c r="S215" s="222">
        <f t="shared" si="77"/>
        <v>1</v>
      </c>
      <c r="T215" s="174" t="str">
        <f t="shared" si="88"/>
        <v>NorthBound</v>
      </c>
      <c r="U215" s="199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7" t="str">
        <f t="shared" si="89"/>
        <v>https://d0f6bd738d7f1b3e5a7ca70fe4ff75f0.us-east-1.aws.found.io/app/kibana#/discover/Steve-Slow-Train-Analysis-(2080s-and-2083s)?_g=(refreshInterval:(display:Off,pause:!f,section:0,value:0),time:(from:'2017-09-18T01:06:05-0600',mode:absolute,to:'2017-09-18T03:18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5" s="205" t="str">
        <f>IF(AA215&lt;VLOOKUP(AG215,Variables!$AC$3:$AD$8,2,FALSE),"Y","N")</f>
        <v>Y</v>
      </c>
      <c r="X215" s="205">
        <f t="shared" si="85"/>
        <v>1</v>
      </c>
      <c r="Y215" s="205">
        <f t="shared" si="83"/>
        <v>4.6199999999999998E-2</v>
      </c>
      <c r="Z215" s="205">
        <f t="shared" si="84"/>
        <v>2.3346</v>
      </c>
      <c r="AA215" s="205">
        <f t="shared" si="90"/>
        <v>2.2884000000000002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80">
        <f t="shared" si="91"/>
        <v>311</v>
      </c>
      <c r="AE215" s="77" t="str">
        <f t="shared" si="92"/>
        <v>aws s3 cp s3://rtdc.mdm.uploadarchive.raw/RTDC4056/ "%USERPROFILE%\AppData\Local\Temp\OnboardLogs"\RTDC4056\2017-09-18 --exclude "*" --recursive --include "*20170918*" &amp; "%USERPROFILE%\Documents\GitHub\mrs-test-scripts\Headless Mode &amp; Sideloading\WalkAndUnGZ.bat" "%USERPROFILE%\AppData\Local\Temp\OnboardLogs"\RTDC4056\2017-09-18 &amp; aws s3 cp s3://rtdc.mdm.uploadarchive.raw/RTDC4056/ "%USERPROFILE%\AppData\Local\Temp\OnboardLogs"\RTDC4056\2017-09-19 --exclude "*" --recursive --include "*20170919*" &amp; "%USERPROFILE%\Documents\GitHub\mrs-test-scripts\Headless Mode &amp; Sideloading\WalkAndUnGZ.bat" "%USERPROFILE%\AppData\Local\Temp\OnboardLogs"\RTDC4056\2017-09-19</v>
      </c>
      <c r="AF215" s="74" t="str">
        <f t="shared" si="93"/>
        <v>"C:\Program Files (x86)\AstroGrep\AstroGrep.exe" /e /r /s /spath="%USERPROFILE%\AppData\Local\Temp\OnboardLogs" /stypes="app*4056*20170918*" /stext=" 08:.+((SYSTEM_STATE.+slice.+state.+changed )|(ment ac)|(multiple cpu faults)|(system.+state.+changed )|(\[timeout)|(PRM\|1\|D)|(kpr)|(kdp)|(train st.+moving)|(\|lc)|(penalty))"</v>
      </c>
      <c r="AG215" s="183" t="str">
        <f t="shared" si="94"/>
        <v>Other</v>
      </c>
      <c r="AH215" s="78" t="str">
        <f t="shared" si="95"/>
        <v>"%USERPROFILE%\Documents\GitHub\eaglep3\Utilities\RefineRTDCRunTimes.py" --tripid 311-17 --locoid 4056 --swversion DE.1.0.9.0 --startMP 204:462 --initTime 2017-09-18T02:06:05 --startdatetime 2017-09-18T02:07:57 --delay 55 --endMP 300:23346 --enddatetime 2017-09-18T02:18:27 --enforcementcount 0 &gt;&gt;C:\Users\stu\Documents\GitHub\eaglep3-reporting\EC\2017-09-17-refined-times.txt</v>
      </c>
      <c r="AI215" s="96" t="str">
        <f t="shared" si="96"/>
        <v>echo {"issue":{"subject":"","project_id":79,"tracker_id":40,"status_id":1,"priority_id":2,"assigned_to_id":338,"start_date":"2017-09-18","description":"","custom_fields":[{"id":1,"name":"Subdivision","value":"Other"},{"id":4,"name":"Milepost","value":"2.3346"},{"id":17,"name":"Train ID","value":"311-17"},{"id":16,"name":"Locomotive ID","value":"4056"},{"id":130,"name":"Impact","value":""},{"id":150,"name":"Time of Event (Mountain Time)","value":"02:18:27"},{"id":151,"name":"Denver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97"/>
        <v>start /low /b %USERPROFILE%\Documents\GitHub\eaglep3\Utilities\DownloadLogsFromS3.py --loco 4056 --day 2017-09-18</v>
      </c>
      <c r="AN215" s="151" t="str">
        <f t="shared" si="9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08:18:27"},{"id":29,"name":"Sharepoint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Message%20ID',Summary),filters:!(),index:'emp_*',interval:auto,query:"&amp;"(query_string:(analyze_wildcard:!t,query:'Message%5C+ID:(*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-09-18T01:06:05-0600',mode:absolute,to:'2017-09-18T03:18:27-0600'))&amp;_a=(columns:!('Message%20ID',Summary),filters:!(),index:'emp_*',interval:auto,query:(query_string:(analyze_wildcard:!t,query:'Message%5C+ID:(*)+AND+%22rtdc.l.rtdc.4056%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649</v>
      </c>
      <c r="B216" s="7">
        <v>4065</v>
      </c>
      <c r="C216" s="21" t="s">
        <v>197</v>
      </c>
      <c r="D216" s="21" t="s">
        <v>946</v>
      </c>
      <c r="E216" s="13">
        <v>42995.226076388892</v>
      </c>
      <c r="F216" s="13">
        <v>42995.230879629627</v>
      </c>
      <c r="G216" s="7">
        <v>106</v>
      </c>
      <c r="H216" s="21" t="s">
        <v>377</v>
      </c>
      <c r="I216" s="13">
        <v>42995.235879629632</v>
      </c>
      <c r="J216" s="7">
        <v>0</v>
      </c>
      <c r="K216" s="89" t="str">
        <f t="shared" si="86"/>
        <v>4065/4066</v>
      </c>
      <c r="L216" s="186" t="str">
        <f>VLOOKUP(A216,'Trips&amp;Operators'!$C$1:$G$99911,5,FALSE)</f>
        <v>LAMAR NEKESHA</v>
      </c>
      <c r="M216" s="6">
        <f t="shared" si="87"/>
        <v>5.0000000046566129E-3</v>
      </c>
      <c r="N216" s="7">
        <f t="shared" si="76"/>
        <v>7.2000000067055225</v>
      </c>
      <c r="O216" s="7"/>
      <c r="P216" s="7"/>
      <c r="Q216" s="22"/>
      <c r="R216" s="174"/>
      <c r="S216" s="222">
        <f t="shared" si="77"/>
        <v>1</v>
      </c>
      <c r="T216" s="174" t="str">
        <f t="shared" si="88"/>
        <v>Southbound</v>
      </c>
      <c r="U216" s="199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7" t="str">
        <f t="shared" si="89"/>
        <v>https://d0f6bd738d7f1b3e5a7ca70fe4ff75f0.us-east-1.aws.found.io/app/kibana#/discover/Steve-Slow-Train-Analysis-(2080s-and-2083s)?_g=(refreshInterval:(display:Off,pause:!f,section:0,value:0),time:(from:'2017-09-17T04:25:33-0600',mode:absolute,to:'2017-09-17T06:39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6" s="205" t="str">
        <f>IF(AA216&lt;VLOOKUP(AG216,Variables!$AC$3:$AD$8,2,FALSE),"Y","N")</f>
        <v>Y</v>
      </c>
      <c r="X216" s="205">
        <f t="shared" si="85"/>
        <v>1</v>
      </c>
      <c r="Y216" s="205">
        <f t="shared" si="83"/>
        <v>2.577</v>
      </c>
      <c r="Z216" s="205">
        <f t="shared" si="84"/>
        <v>1.61E-2</v>
      </c>
      <c r="AA216" s="205">
        <f t="shared" si="90"/>
        <v>2.5609000000000002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80">
        <f t="shared" si="91"/>
        <v>312</v>
      </c>
      <c r="AE216" s="77" t="str">
        <f t="shared" si="92"/>
        <v>aws s3 cp s3://rtdc.mdm.uploadarchive.raw/RTDC4065/ "%USERPROFILE%\AppData\Local\Temp\OnboardLogs"\RTDC4065\2017-09-17 --exclude "*" --recursive --include "*20170917*" &amp; "%USERPROFILE%\Documents\GitHub\mrs-test-scripts\Headless Mode &amp; Sideloading\WalkAndUnGZ.bat" "%USERPROFILE%\AppData\Local\Temp\OnboardLogs"\RTDC4065\2017-09-17 &amp; 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</v>
      </c>
      <c r="AF216" s="74" t="str">
        <f t="shared" si="93"/>
        <v>"C:\Program Files (x86)\AstroGrep\AstroGrep.exe" /e /r /s /spath="%USERPROFILE%\AppData\Local\Temp\OnboardLogs" /stypes="app*4065*20170917*" /stext=" 11:.+((SYSTEM_STATE.+slice.+state.+changed )|(ment ac)|(multiple cpu faults)|(system.+state.+changed )|(\[timeout)|(PRM\|1\|D)|(kpr)|(kdp)|(train st.+moving)|(\|lc)|(penalty))"</v>
      </c>
      <c r="AG216" s="183" t="str">
        <f t="shared" si="94"/>
        <v>Other</v>
      </c>
      <c r="AH216" s="78" t="str">
        <f t="shared" si="95"/>
        <v>"%USERPROFILE%\Documents\GitHub\eaglep3\Utilities\RefineRTDCRunTimes.py" --tripid 312-17 --locoid 4065 --swversion DE.1.0.9.0 --startMP 300:25770 --initTime 2017-09-17T05:25:33 --startdatetime 2017-09-17T05:32:28 --delay 106 --endMP 204:161 --enddatetime 2017-09-17T05:39:40 --enforcementcount 0 &gt;&gt;C:\Users\stu\Documents\GitHub\eaglep3-reporting\EC\2017-09-17-refined-times.txt</v>
      </c>
      <c r="AI216" s="96" t="str">
        <f t="shared" si="96"/>
        <v>echo {"issue":{"subject":"","project_id":79,"tracker_id":40,"status_id":1,"priority_id":2,"assigned_to_id":338,"start_date":"2017-09-17","description":"","custom_fields":[{"id":1,"name":"Subdivision","value":"Other"},{"id":4,"name":"Milepost","value":"0.0161"},{"id":17,"name":"Train ID","value":"312-17"},{"id":16,"name":"Locomotive ID","value":"4065"},{"id":130,"name":"Impact","value":""},{"id":150,"name":"Time of Event (Mountain Time)","value":"05:39:40"},{"id":151,"name":"Denver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97"/>
        <v>start /low /b %USERPROFILE%\Documents\GitHub\eaglep3\Utilities\DownloadLogsFromS3.py --loco 4065 --day 2017-09-17</v>
      </c>
      <c r="AN216" s="151" t="str">
        <f t="shared" si="9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11:39:40"},{"id":29,"name":"Sharepoint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Message%20ID',Summary),filters:!(),index:'emp_*',interval:auto,query:"&amp;"(query_string:(analyze_wildcard:!t,query:'Message%5C+ID:(*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-09-17T04:25:33-0600',mode:absolute,to:'2017-09-17T06:39:40-0600'))&amp;_a=(columns:!('Message%20ID',Summary),filters:!(),index:'emp_*',interval:auto,query:(query_string:(analyze_wildcard:!t,query:'Message%5C+ID:(*)+AND+%22rtdc.l.rtdc.4065%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812</v>
      </c>
      <c r="B217" s="7">
        <v>4060</v>
      </c>
      <c r="C217" s="21" t="s">
        <v>197</v>
      </c>
      <c r="D217" s="21" t="s">
        <v>358</v>
      </c>
      <c r="E217" s="13">
        <v>42996.026597222219</v>
      </c>
      <c r="F217" s="13">
        <v>42996.027708333335</v>
      </c>
      <c r="G217" s="7">
        <v>49</v>
      </c>
      <c r="H217" s="21" t="s">
        <v>554</v>
      </c>
      <c r="I217" s="13">
        <v>42996.034166666665</v>
      </c>
      <c r="J217" s="7">
        <v>0</v>
      </c>
      <c r="K217" s="89" t="str">
        <f t="shared" si="86"/>
        <v>4059/4060</v>
      </c>
      <c r="L217" s="186" t="str">
        <f>VLOOKUP(A217,'Trips&amp;Operators'!$C$1:$G$99911,5,FALSE)</f>
        <v>STAMBAUGH JAMES</v>
      </c>
      <c r="M217" s="6">
        <f t="shared" si="87"/>
        <v>6.4583333296468481E-3</v>
      </c>
      <c r="N217" s="7">
        <f t="shared" si="76"/>
        <v>9.2999999946914613</v>
      </c>
      <c r="O217" s="7"/>
      <c r="P217" s="7"/>
      <c r="Q217" s="22"/>
      <c r="R217" s="174"/>
      <c r="S217" s="222">
        <f t="shared" si="77"/>
        <v>1</v>
      </c>
      <c r="T217" s="174" t="str">
        <f t="shared" si="88"/>
        <v>NorthBound</v>
      </c>
      <c r="U217" s="199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7" t="str">
        <f t="shared" si="89"/>
        <v>https://d0f6bd738d7f1b3e5a7ca70fe4ff75f0.us-east-1.aws.found.io/app/kibana#/discover/Steve-Slow-Train-Analysis-(2080s-and-2083s)?_g=(refreshInterval:(display:Off,pause:!f,section:0,value:0),time:(from:'2017-09-17T23:38:18-0600',mode:absolute,to:'2017-09-18T01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7" s="205" t="str">
        <f>IF(AA217&lt;VLOOKUP(AG217,Variables!$AC$3:$AD$8,2,FALSE),"Y","N")</f>
        <v>Y</v>
      </c>
      <c r="X217" s="205">
        <f t="shared" si="85"/>
        <v>1</v>
      </c>
      <c r="Y217" s="205">
        <f t="shared" si="83"/>
        <v>4.58E-2</v>
      </c>
      <c r="Z217" s="205">
        <f t="shared" si="84"/>
        <v>2.3308</v>
      </c>
      <c r="AA217" s="205">
        <f t="shared" si="90"/>
        <v>2.2850000000000001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80">
        <f t="shared" si="91"/>
        <v>313</v>
      </c>
      <c r="AE217" s="77" t="str">
        <f t="shared" si="92"/>
        <v>aws s3 cp s3://rtdc.mdm.uploadarchive.raw/RTDC4060/ "%USERPROFILE%\AppData\Local\Temp\OnboardLogs"\RTDC4060\2017-09-18 --exclude "*" --recursive --include "*20170918*" &amp; "%USERPROFILE%\Documents\GitHub\mrs-test-scripts\Headless Mode &amp; Sideloading\WalkAndUnGZ.bat" "%USERPROFILE%\AppData\Local\Temp\OnboardLogs"\RTDC4060\2017-09-18 &amp; aws s3 cp s3://rtdc.mdm.uploadarchive.raw/RTDC4060/ "%USERPROFILE%\AppData\Local\Temp\OnboardLogs"\RTDC4060\2017-09-19 --exclude "*" --recursive --include "*20170919*" &amp; "%USERPROFILE%\Documents\GitHub\mrs-test-scripts\Headless Mode &amp; Sideloading\WalkAndUnGZ.bat" "%USERPROFILE%\AppData\Local\Temp\OnboardLogs"\RTDC4060\2017-09-19</v>
      </c>
      <c r="AF217" s="74" t="str">
        <f t="shared" si="93"/>
        <v>"C:\Program Files (x86)\AstroGrep\AstroGrep.exe" /e /r /s /spath="%USERPROFILE%\AppData\Local\Temp\OnboardLogs" /stypes="app*4060*20170918*" /stext=" 06:.+((SYSTEM_STATE.+slice.+state.+changed )|(ment ac)|(multiple cpu faults)|(system.+state.+changed )|(\[timeout)|(PRM\|1\|D)|(kpr)|(kdp)|(train st.+moving)|(\|lc)|(penalty))"</v>
      </c>
      <c r="AG217" s="183" t="str">
        <f t="shared" si="94"/>
        <v>Other</v>
      </c>
      <c r="AH217" s="78" t="str">
        <f t="shared" si="95"/>
        <v>"%USERPROFILE%\Documents\GitHub\eaglep3\Utilities\RefineRTDCRunTimes.py" --tripid 313-17 --locoid 4060 --swversion DE.1.0.9.0 --startMP 204:458 --initTime 2017-09-18T00:38:18 --startdatetime 2017-09-18T00:39:54 --delay 49 --endMP 300:23308 --enddatetime 2017-09-18T00:49:12 --enforcementcount 0 &gt;&gt;C:\Users\stu\Documents\GitHub\eaglep3-reporting\EC\2017-09-17-refined-times.txt</v>
      </c>
      <c r="AI217" s="96" t="str">
        <f t="shared" si="96"/>
        <v>echo {"issue":{"subject":"","project_id":79,"tracker_id":40,"status_id":1,"priority_id":2,"assigned_to_id":338,"start_date":"2017-09-18","description":"","custom_fields":[{"id":1,"name":"Subdivision","value":"Other"},{"id":4,"name":"Milepost","value":"2.3308"},{"id":17,"name":"Train ID","value":"313-17"},{"id":16,"name":"Locomotive ID","value":"4060"},{"id":130,"name":"Impact","value":""},{"id":150,"name":"Time of Event (Mountain Time)","value":"00:49:12"},{"id":151,"name":"Denver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97"/>
        <v>start /low /b %USERPROFILE%\Documents\GitHub\eaglep3\Utilities\DownloadLogsFromS3.py --loco 4060 --day 2017-09-18</v>
      </c>
      <c r="AN217" s="151" t="str">
        <f t="shared" si="9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06:49:12"},{"id":29,"name":"Sharepoint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Message%20ID',Summary),filters:!(),index:'emp_*',interval:auto,query:"&amp;"(query_string:(analyze_wildcard:!t,query:'Message%5C+ID:(*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-09-17T23:38:18-0600',mode:absolute,to:'2017-09-18T01:49:12-0600'))&amp;_a=(columns:!('Message%20ID',Summary),filters:!(),index:'emp_*',interval:auto,query:(query_string:(analyze_wildcard:!t,query:'Message%5C+ID:(*)+AND+%22rtdc.l.rtdc.4060%22')),sort:!(Time.ISO8601,asc))</v>
      </c>
    </row>
    <row r="218" spans="1:91" x14ac:dyDescent="0.25">
      <c r="A218" s="32" t="s">
        <v>645</v>
      </c>
      <c r="B218" s="7">
        <v>4024</v>
      </c>
      <c r="C218" s="21" t="s">
        <v>197</v>
      </c>
      <c r="D218" s="21" t="s">
        <v>914</v>
      </c>
      <c r="E218" s="13">
        <v>42995.223078703704</v>
      </c>
      <c r="F218" s="13">
        <v>42995.228449074071</v>
      </c>
      <c r="G218" s="7">
        <v>85</v>
      </c>
      <c r="H218" s="21" t="s">
        <v>915</v>
      </c>
      <c r="I218" s="13">
        <v>42995.233819444446</v>
      </c>
      <c r="J218" s="7">
        <v>0</v>
      </c>
      <c r="K218" s="89" t="str">
        <f t="shared" si="86"/>
        <v>4023/4024</v>
      </c>
      <c r="L218" s="186" t="str">
        <f>VLOOKUP(A218,'Trips&amp;Operators'!$C$1:$G$99911,5,FALSE)</f>
        <v>ROMERO CHAD</v>
      </c>
      <c r="M218" s="6">
        <f t="shared" si="87"/>
        <v>5.3703703742939979E-3</v>
      </c>
      <c r="N218" s="7">
        <f t="shared" si="76"/>
        <v>7.733333338983357</v>
      </c>
      <c r="O218" s="7"/>
      <c r="P218" s="7"/>
      <c r="Q218" s="22"/>
      <c r="R218" s="174"/>
      <c r="S218" s="222">
        <f t="shared" si="77"/>
        <v>0</v>
      </c>
      <c r="T218" s="174" t="str">
        <f t="shared" si="88"/>
        <v>NorthBound</v>
      </c>
      <c r="U218" s="199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7" t="str">
        <f t="shared" si="89"/>
        <v>https://d0f6bd738d7f1b3e5a7ca70fe4ff75f0.us-east-1.aws.found.io/app/kibana#/discover/Steve-Slow-Train-Analysis-(2080s-and-2083s)?_g=(refreshInterval:(display:Off,pause:!f,section:0,value:0),time:(from:'2017-09-17T04:21:14-0600',mode:absolute,to:'2017-09-17T06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8" s="205" t="str">
        <f>IF(AA218&lt;VLOOKUP(AG218,Variables!$AC$3:$AD$8,2,FALSE),"Y","N")</f>
        <v>Y</v>
      </c>
      <c r="X218" s="205">
        <f t="shared" si="85"/>
        <v>1588</v>
      </c>
      <c r="Y218" s="205">
        <f t="shared" si="83"/>
        <v>3.0406</v>
      </c>
      <c r="Z218" s="205">
        <f t="shared" si="84"/>
        <v>5.9021999999999997</v>
      </c>
      <c r="AA218" s="205">
        <f t="shared" si="90"/>
        <v>2.8615999999999997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80">
        <f t="shared" si="91"/>
        <v>1901</v>
      </c>
      <c r="AE218" s="77" t="str">
        <f t="shared" si="92"/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AF218" s="74" t="str">
        <f t="shared" si="93"/>
        <v>"C:\Program Files (x86)\AstroGrep\AstroGrep.exe" /e /r /s /spath="%USERPROFILE%\AppData\Local\Temp\OnboardLogs" /stypes="app*4024*20170917*" /stext=" 11:.+((SYSTEM_STATE.+slice.+state.+changed )|(ment ac)|(multiple cpu faults)|(system.+state.+changed )|(\[timeout)|(PRM\|1\|D)|(kpr)|(kdp)|(train st.+moving)|(\|lc)|(penalty))"</v>
      </c>
      <c r="AG218" s="183" t="str">
        <f t="shared" si="94"/>
        <v>Other</v>
      </c>
      <c r="AH218" s="78" t="str">
        <f t="shared" si="95"/>
        <v>"%USERPROFILE%\Documents\GitHub\eaglep3\Utilities\RefineRTDCRunTimes.py" --tripid 1901-17 --locoid 4024 --swversion DE.1.0.9.0 --startMP 300:30406 --initTime 2017-09-17T05:21:14 --startdatetime 2017-09-17T05:28:58 --delay 85 --endMP 300:59022 --enddatetime 2017-09-17T05:36:42 --enforcementcount 0 &gt;&gt;C:\Users\stu\Documents\GitHub\eaglep3-reporting\EC\2017-09-17-refined-times.txt</v>
      </c>
      <c r="AI218" s="96" t="str">
        <f t="shared" si="96"/>
        <v>echo {"issue":{"subject":"","project_id":79,"tracker_id":40,"status_id":1,"priority_id":2,"assigned_to_id":338,"start_date":"2017-09-17","description":"","custom_fields":[{"id":1,"name":"Subdivision","value":"Other"},{"id":4,"name":"Milepost","value":"5.9022"},{"id":17,"name":"Train ID","value":"1901-17"},{"id":16,"name":"Locomotive ID","value":"4024"},{"id":130,"name":"Impact","value":""},{"id":150,"name":"Time of Event (Mountain Time)","value":"05:36:42"},{"id":151,"name":"Denver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97"/>
        <v>start /low /b %USERPROFILE%\Documents\GitHub\eaglep3\Utilities\DownloadLogsFromS3.py --loco 4024 --day 2017-09-17</v>
      </c>
      <c r="AN218" s="151" t="str">
        <f t="shared" si="9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11:36:42"},{"id":29,"name":"Sharepoint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Message%20ID',Summary),filters:!(),index:'emp_*',interval:auto,query:"&amp;"(query_string:(analyze_wildcard:!t,query:'Message%5C+ID:(*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-09-17T04:21:14-0600',mode:absolute,to:'2017-09-17T06:36:42-0600'))&amp;_a=(columns:!('Message%20ID',Summary),filters:!(),index:'emp_*',interval:auto,query:(query_string:(analyze_wildcard:!t,query:'Message%5C+ID:(*)+AND+%22rtdc.l.rtdc.4024%22')),sort:!(Time.ISO8601,asc))</v>
      </c>
    </row>
    <row r="219" spans="1:91" s="20" customFormat="1" x14ac:dyDescent="0.25">
      <c r="A219" s="32" t="s">
        <v>807</v>
      </c>
      <c r="B219" s="7">
        <v>4023</v>
      </c>
      <c r="C219" s="21" t="s">
        <v>197</v>
      </c>
      <c r="D219" s="21" t="s">
        <v>558</v>
      </c>
      <c r="E219" s="13">
        <v>42995.976400462961</v>
      </c>
      <c r="F219" s="13">
        <v>42995.977743055555</v>
      </c>
      <c r="G219" s="7">
        <v>51</v>
      </c>
      <c r="H219" s="21" t="s">
        <v>916</v>
      </c>
      <c r="I219" s="13">
        <v>42995.986342592594</v>
      </c>
      <c r="J219" s="7">
        <v>0</v>
      </c>
      <c r="K219" s="89" t="str">
        <f t="shared" si="86"/>
        <v>4023/4024</v>
      </c>
      <c r="L219" s="186" t="str">
        <f>VLOOKUP(A219,'Trips&amp;Operators'!$C$1:$G$99911,5,FALSE)</f>
        <v>HOLCOMB KAMDEN</v>
      </c>
      <c r="M219" s="6">
        <f t="shared" si="87"/>
        <v>8.599537039117422E-3</v>
      </c>
      <c r="N219" s="7">
        <f t="shared" si="76"/>
        <v>12.383333336329088</v>
      </c>
      <c r="O219" s="7"/>
      <c r="P219" s="7"/>
      <c r="Q219" s="22"/>
      <c r="R219" s="174"/>
      <c r="S219" s="222">
        <f t="shared" si="77"/>
        <v>0</v>
      </c>
      <c r="T219" s="174" t="str">
        <f t="shared" si="88"/>
        <v>Southbound</v>
      </c>
      <c r="U219" s="199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7" t="str">
        <f t="shared" si="89"/>
        <v>https://d0f6bd738d7f1b3e5a7ca70fe4ff75f0.us-east-1.aws.found.io/app/kibana#/discover/Steve-Slow-Train-Analysis-(2080s-and-2083s)?_g=(refreshInterval:(display:Off,pause:!f,section:0,value:0),time:(from:'2017-09-17T22:26:01-0600',mode:absolute,to:'2017-09-18T00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9" s="205" t="str">
        <f>IF(AA219&lt;VLOOKUP(AG219,Variables!$AC$3:$AD$8,2,FALSE),"Y","N")</f>
        <v>Y</v>
      </c>
      <c r="X219" s="205">
        <f t="shared" si="85"/>
        <v>1</v>
      </c>
      <c r="Y219" s="205">
        <f t="shared" si="83"/>
        <v>5.8704999999999998</v>
      </c>
      <c r="Z219" s="205">
        <f t="shared" si="84"/>
        <v>2.8780000000000001</v>
      </c>
      <c r="AA219" s="205">
        <f t="shared" si="90"/>
        <v>2.9924999999999997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80">
        <f t="shared" si="91"/>
        <v>1902</v>
      </c>
      <c r="AE219" s="77" t="str">
        <f t="shared" si="92"/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AF219" s="74" t="str">
        <f t="shared" si="93"/>
        <v>"C:\Program Files (x86)\AstroGrep\AstroGrep.exe" /e /r /s /spath="%USERPROFILE%\AppData\Local\Temp\OnboardLogs" /stypes="app*4023*20170918*" /stext=" 05:.+((SYSTEM_STATE.+slice.+state.+changed )|(ment ac)|(multiple cpu faults)|(system.+state.+changed )|(\[timeout)|(PRM\|1\|D)|(kpr)|(kdp)|(train st.+moving)|(\|lc)|(penalty))"</v>
      </c>
      <c r="AG219" s="183" t="str">
        <f t="shared" si="94"/>
        <v>Other</v>
      </c>
      <c r="AH219" s="78" t="str">
        <f t="shared" si="95"/>
        <v>"%USERPROFILE%\Documents\GitHub\eaglep3\Utilities\RefineRTDCRunTimes.py" --tripid 1902-17 --locoid 4023 --swversion DE.1.0.9.0 --startMP 300:58705 --initTime 2017-09-17T23:26:01 --startdatetime 2017-09-17T23:27:57 --delay 51 --endMP 300:28780 --enddatetime 2017-09-17T23:40:20 --enforcementcount 0 &gt;&gt;C:\Users\stu\Documents\GitHub\eaglep3-reporting\EC\2017-09-17-refined-times.txt</v>
      </c>
      <c r="AI219" s="96" t="str">
        <f t="shared" si="96"/>
        <v>echo {"issue":{"subject":"","project_id":79,"tracker_id":40,"status_id":1,"priority_id":2,"assigned_to_id":338,"start_date":"2017-09-17","description":"","custom_fields":[{"id":1,"name":"Subdivision","value":"Other"},{"id":4,"name":"Milepost","value":"2.878"},{"id":17,"name":"Train ID","value":"1902-17"},{"id":16,"name":"Locomotive ID","value":"4023"},{"id":130,"name":"Impact","value":""},{"id":150,"name":"Time of Event (Mountain Time)","value":"23:40:20"},{"id":151,"name":"Denver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97"/>
        <v>start /low /b %USERPROFILE%\Documents\GitHub\eaglep3\Utilities\DownloadLogsFromS3.py --loco 4023 --day 2017-09-17</v>
      </c>
      <c r="AN219" s="151" t="str">
        <f t="shared" si="9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05:40:20"},{"id":29,"name":"Sharepoint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Message%20ID',Summary),filters:!(),index:'emp_*',interval:auto,query:"&amp;"(query_string:(analyze_wildcard:!t,query:'Message%5C+ID:(*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-09-17T22:26:01-0600',mode:absolute,to:'2017-09-18T00:40:20-0600'))&amp;_a=(columns:!('Message%20ID',Summary),filters:!(),index:'emp_*',interval:auto,query:(query_string:(analyze_wildcard:!t,query:'Message%5C+ID:(*)+AND+%22rtdc.l.rtdc.4023%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621</v>
      </c>
      <c r="B220" s="7">
        <v>4016</v>
      </c>
      <c r="C220" s="21" t="s">
        <v>197</v>
      </c>
      <c r="D220" s="21" t="s">
        <v>420</v>
      </c>
      <c r="E220" s="13">
        <v>42995.129606481481</v>
      </c>
      <c r="F220" s="13">
        <v>42995.138425925928</v>
      </c>
      <c r="G220" s="7">
        <v>99</v>
      </c>
      <c r="H220" s="21" t="s">
        <v>947</v>
      </c>
      <c r="I220" s="13">
        <v>42995.139432870368</v>
      </c>
      <c r="J220" s="7">
        <v>0</v>
      </c>
      <c r="K220" s="89" t="str">
        <f t="shared" si="86"/>
        <v>4015/4016</v>
      </c>
      <c r="L220" s="186" t="str">
        <f>VLOOKUP(A220,'Trips&amp;Operators'!$C$1:$G$99911,5,FALSE)</f>
        <v>DELGADO DIANAH</v>
      </c>
      <c r="M220" s="6">
        <f t="shared" si="87"/>
        <v>1.0069444397231564E-3</v>
      </c>
      <c r="N220" s="7">
        <f t="shared" si="76"/>
        <v>1.4499999932013452</v>
      </c>
      <c r="O220" s="7"/>
      <c r="P220" s="7"/>
      <c r="Q220" s="22"/>
      <c r="R220" s="174"/>
      <c r="S220" s="222">
        <f t="shared" si="77"/>
        <v>0</v>
      </c>
      <c r="T220" s="174" t="str">
        <f t="shared" si="88"/>
        <v>NorthBound</v>
      </c>
      <c r="U220" s="199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7" t="str">
        <f t="shared" si="89"/>
        <v>https://d0f6bd738d7f1b3e5a7ca70fe4ff75f0.us-east-1.aws.found.io/app/kibana#/discover/Steve-Slow-Train-Analysis-(2080s-and-2083s)?_g=(refreshInterval:(display:Off,pause:!f,section:0,value:0),time:(from:'2017-09-17T02:06:38-0600',mode:absolute,to:'2017-09-17T04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0" s="205" t="str">
        <f>IF(AA220&lt;VLOOKUP(AG220,Variables!$AC$3:$AD$8,2,FALSE),"Y","N")</f>
        <v>Y</v>
      </c>
      <c r="X220" s="205">
        <f t="shared" si="85"/>
        <v>-1851</v>
      </c>
      <c r="Y220" s="205">
        <f t="shared" si="83"/>
        <v>4.4400000000000002E-2</v>
      </c>
      <c r="Z220" s="205">
        <f t="shared" si="84"/>
        <v>0.32779999999999998</v>
      </c>
      <c r="AA220" s="205">
        <f t="shared" si="90"/>
        <v>0.28339999999999999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80">
        <f t="shared" si="91"/>
        <v>51</v>
      </c>
      <c r="AE220" s="77" t="str">
        <f t="shared" si="92"/>
        <v>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 &amp; 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</v>
      </c>
      <c r="AF220" s="74" t="str">
        <f t="shared" si="93"/>
        <v>"C:\Program Files (x86)\AstroGrep\AstroGrep.exe" /e /r /s /spath="%USERPROFILE%\AppData\Local\Temp\OnboardLogs" /stypes="app*4016*20170917*" /stext=" 09:.+((SYSTEM_STATE.+slice.+state.+changed )|(ment ac)|(multiple cpu faults)|(system.+state.+changed )|(\[timeout)|(PRM\|1\|D)|(kpr)|(kdp)|(train st.+moving)|(\|lc)|(penalty))"</v>
      </c>
      <c r="AG220" s="183" t="str">
        <f t="shared" si="94"/>
        <v>Shuttle/Test</v>
      </c>
      <c r="AH220" s="78" t="str">
        <f t="shared" si="95"/>
        <v>"%USERPROFILE%\Documents\GitHub\eaglep3\Utilities\RefineRTDCRunTimes.py" --tripid 51-17 --locoid 4016 --swversion DE.1.0.9.0 --startMP 204:444 --initTime 2017-09-17T03:06:38 --startdatetime 2017-09-17T03:19:20 --delay 99 --endMP 204:3278 --enddatetime 2017-09-17T03:20:47 --enforcementcount 0 &gt;&gt;C:\Users\stu\Documents\GitHub\eaglep3-reporting\EC\2017-09-17-refined-times.txt</v>
      </c>
      <c r="AI220" s="96" t="str">
        <f t="shared" si="96"/>
        <v>echo {"issue":{"subject":"","project_id":79,"tracker_id":40,"status_id":1,"priority_id":2,"assigned_to_id":338,"start_date":"2017-09-17","description":"","custom_fields":[{"id":1,"name":"Subdivision","value":"Shuttle/Test"},{"id":4,"name":"Milepost","value":"0.3278"},{"id":17,"name":"Train ID","value":"51-17"},{"id":16,"name":"Locomotive ID","value":"4016"},{"id":130,"name":"Impact","value":""},{"id":150,"name":"Time of Event (Mountain Time)","value":"03:20:47"},{"id":151,"name":"Denver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97"/>
        <v>start /low /b %USERPROFILE%\Documents\GitHub\eaglep3\Utilities\DownloadLogsFromS3.py --loco 4016 --day 2017-09-17</v>
      </c>
      <c r="AN220" s="151" t="str">
        <f t="shared" si="9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09:20:47"},{"id":29,"name":"Sharepoint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Message%20ID',Summary),filters:!(),index:'emp_*',interval:auto,query:"&amp;"(query_string:(analyze_wildcard:!t,query:'Message%5C+ID:(*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-09-17T02:06:38-0600',mode:absolute,to:'2017-09-17T04:20:47-0600'))&amp;_a=(columns:!('Message%20ID',Summary),filters:!(),index:'emp_*',interval:auto,query:(query_string:(analyze_wildcard:!t,query:'Message%5C+ID:(*)+AND+%22rtdc.l.rtdc.4016%22')),sort:!(Time.ISO8601,asc))</v>
      </c>
    </row>
    <row r="221" spans="1:91" s="20" customFormat="1" x14ac:dyDescent="0.25">
      <c r="A221" s="32" t="s">
        <v>621</v>
      </c>
      <c r="B221" s="7">
        <v>4059</v>
      </c>
      <c r="C221" s="21" t="s">
        <v>197</v>
      </c>
      <c r="D221" s="21" t="s">
        <v>948</v>
      </c>
      <c r="E221" s="13">
        <v>42995.26363425926</v>
      </c>
      <c r="F221" s="13">
        <v>42995.265150462961</v>
      </c>
      <c r="G221" s="7">
        <v>59</v>
      </c>
      <c r="H221" s="21" t="s">
        <v>416</v>
      </c>
      <c r="I221" s="13">
        <v>42995.266932870371</v>
      </c>
      <c r="J221" s="7">
        <v>0</v>
      </c>
      <c r="K221" s="89" t="str">
        <f t="shared" si="86"/>
        <v>4059/4060</v>
      </c>
      <c r="L221" s="186" t="str">
        <f>VLOOKUP(A221,'Trips&amp;Operators'!$C$1:$G$99911,5,FALSE)</f>
        <v>DELGADO DIANAH</v>
      </c>
      <c r="M221" s="6">
        <f t="shared" si="87"/>
        <v>1.7824074093368836E-3</v>
      </c>
      <c r="N221" s="7">
        <f t="shared" si="76"/>
        <v>2.5666666694451123</v>
      </c>
      <c r="O221" s="7"/>
      <c r="P221" s="7"/>
      <c r="Q221" s="22"/>
      <c r="R221" s="174"/>
      <c r="S221" s="222">
        <f t="shared" si="77"/>
        <v>0</v>
      </c>
      <c r="T221" s="174" t="str">
        <f t="shared" si="88"/>
        <v>NorthBound</v>
      </c>
      <c r="U221" s="199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7" t="str">
        <f t="shared" si="89"/>
        <v>https://d0f6bd738d7f1b3e5a7ca70fe4ff75f0.us-east-1.aws.found.io/app/kibana#/discover/Steve-Slow-Train-Analysis-(2080s-and-2083s)?_g=(refreshInterval:(display:Off,pause:!f,section:0,value:0),time:(from:'2017-09-17T05:19:38-0600',mode:absolute,to:'2017-09-17T07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1" s="205" t="str">
        <f>IF(AA221&lt;VLOOKUP(AG221,Variables!$AC$3:$AD$8,2,FALSE),"Y","N")</f>
        <v>Y</v>
      </c>
      <c r="X221" s="205">
        <f t="shared" si="85"/>
        <v>0</v>
      </c>
      <c r="Y221" s="205">
        <f t="shared" si="83"/>
        <v>0.48659999999999998</v>
      </c>
      <c r="Z221" s="205">
        <f t="shared" si="84"/>
        <v>1.6299999999999999E-2</v>
      </c>
      <c r="AA221" s="205">
        <f t="shared" si="90"/>
        <v>0.4703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80">
        <f t="shared" si="91"/>
        <v>51</v>
      </c>
      <c r="AE221" s="77" t="str">
        <f t="shared" si="92"/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AF221" s="74" t="str">
        <f t="shared" si="93"/>
        <v>"C:\Program Files (x86)\AstroGrep\AstroGrep.exe" /e /r /s /spath="%USERPROFILE%\AppData\Local\Temp\OnboardLogs" /stypes="app*4059*20170917*" /stext=" 12:.+((SYSTEM_STATE.+slice.+state.+changed )|(ment ac)|(multiple cpu faults)|(system.+state.+changed )|(\[timeout)|(PRM\|1\|D)|(kpr)|(kdp)|(train st.+moving)|(\|lc)|(penalty))"</v>
      </c>
      <c r="AG221" s="183" t="str">
        <f t="shared" si="94"/>
        <v>Shuttle/Test</v>
      </c>
      <c r="AH221" s="78" t="str">
        <f t="shared" si="95"/>
        <v>"%USERPROFILE%\Documents\GitHub\eaglep3\Utilities\RefineRTDCRunTimes.py" --tripid 51-17 --locoid 4059 --swversion DE.1.0.9.0 --startMP 300:4866 --initTime 2017-09-17T06:19:38 --startdatetime 2017-09-17T06:21:49 --delay 59 --endMP 204:163 --enddatetime 2017-09-17T06:24:23 --enforcementcount 0 &gt;&gt;C:\Users\stu\Documents\GitHub\eaglep3-reporting\EC\2017-09-17-refined-times.txt</v>
      </c>
      <c r="AI221" s="96" t="str">
        <f t="shared" si="96"/>
        <v>echo {"issue":{"subject":"","project_id":79,"tracker_id":40,"status_id":1,"priority_id":2,"assigned_to_id":338,"start_date":"2017-09-17","description":"","custom_fields":[{"id":1,"name":"Subdivision","value":"Shuttle/Test"},{"id":4,"name":"Milepost","value":"0.0163"},{"id":17,"name":"Train ID","value":"51-17"},{"id":16,"name":"Locomotive ID","value":"4059"},{"id":130,"name":"Impact","value":""},{"id":150,"name":"Time of Event (Mountain Time)","value":"06:24:23"},{"id":151,"name":"Denver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97"/>
        <v>start /low /b %USERPROFILE%\Documents\GitHub\eaglep3\Utilities\DownloadLogsFromS3.py --loco 4059 --day 2017-09-17</v>
      </c>
      <c r="AN221" s="151" t="str">
        <f t="shared" si="9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12:24:23"},{"id":29,"name":"Sharepoint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Message%20ID',Summary),filters:!(),index:'emp_*',interval:auto,query:"&amp;"(query_string:(analyze_wildcard:!t,query:'Message%5C+ID:(*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-09-17T05:19:38-0600',mode:absolute,to:'2017-09-17T07:24:23-0600'))&amp;_a=(columns:!('Message%20ID',Summary),filters:!(),index:'emp_*',interval:auto,query:(query_string:(analyze_wildcard:!t,query:'Message%5C+ID:(*)+AND+%22rtdc.l.rtdc.4059%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621</v>
      </c>
      <c r="B222" s="7">
        <v>4060</v>
      </c>
      <c r="C222" s="21" t="s">
        <v>197</v>
      </c>
      <c r="D222" s="21" t="s">
        <v>949</v>
      </c>
      <c r="E222" s="13">
        <v>42995.259791666664</v>
      </c>
      <c r="F222" s="13">
        <v>42995.265150462961</v>
      </c>
      <c r="G222" s="7">
        <v>74</v>
      </c>
      <c r="H222" s="21" t="s">
        <v>950</v>
      </c>
      <c r="I222" s="13">
        <v>42995.266932870371</v>
      </c>
      <c r="J222" s="7">
        <v>0</v>
      </c>
      <c r="K222" s="89" t="str">
        <f t="shared" si="86"/>
        <v>4059/4060</v>
      </c>
      <c r="L222" s="186" t="str">
        <f>VLOOKUP(A222,'Trips&amp;Operators'!$C$1:$G$99911,5,FALSE)</f>
        <v>DELGADO DIANAH</v>
      </c>
      <c r="M222" s="6">
        <f t="shared" si="87"/>
        <v>1.7824074093368836E-3</v>
      </c>
      <c r="N222" s="7">
        <f t="shared" si="76"/>
        <v>2.5666666694451123</v>
      </c>
      <c r="O222" s="7"/>
      <c r="P222" s="7"/>
      <c r="Q222" s="22"/>
      <c r="R222" s="174"/>
      <c r="S222" s="222">
        <f t="shared" si="77"/>
        <v>0</v>
      </c>
      <c r="T222" s="174" t="str">
        <f t="shared" si="88"/>
        <v>NorthBound</v>
      </c>
      <c r="U222" s="199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7" t="str">
        <f t="shared" si="89"/>
        <v>https://d0f6bd738d7f1b3e5a7ca70fe4ff75f0.us-east-1.aws.found.io/app/kibana#/discover/Steve-Slow-Train-Analysis-(2080s-and-2083s)?_g=(refreshInterval:(display:Off,pause:!f,section:0,value:0),time:(from:'2017-09-17T05:14:06-0600',mode:absolute,to:'2017-09-17T07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2" s="205" t="str">
        <f>IF(AA222&lt;VLOOKUP(AG222,Variables!$AC$3:$AD$8,2,FALSE),"Y","N")</f>
        <v>Y</v>
      </c>
      <c r="X222" s="205">
        <f t="shared" si="85"/>
        <v>0</v>
      </c>
      <c r="Y222" s="205">
        <f t="shared" si="83"/>
        <v>0.12379999999999999</v>
      </c>
      <c r="Z222" s="205">
        <f t="shared" si="84"/>
        <v>0.51370000000000005</v>
      </c>
      <c r="AA222" s="205">
        <f t="shared" si="90"/>
        <v>0.38990000000000002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80">
        <f t="shared" si="91"/>
        <v>51</v>
      </c>
      <c r="AE222" s="77" t="str">
        <f t="shared" si="92"/>
        <v>aws s3 cp s3://rtdc.mdm.uploadarchive.raw/RTDC4060/ "%USERPROFILE%\AppData\Local\Temp\OnboardLogs"\RTDC4060\2017-09-17 --exclude "*" --recursive --include "*20170917*" &amp; "%USERPROFILE%\Documents\GitHub\mrs-test-scripts\Headless Mode &amp; Sideloading\WalkAndUnGZ.bat" "%USERPROFILE%\AppData\Local\Temp\OnboardLogs"\RTDC4060\2017-09-17 &amp; aws s3 cp s3://rtdc.mdm.uploadarchive.raw/RTDC4060/ "%USERPROFILE%\AppData\Local\Temp\OnboardLogs"\RTDC4060\2017-09-18 --exclude "*" --recursive --include "*20170918*" &amp; "%USERPROFILE%\Documents\GitHub\mrs-test-scripts\Headless Mode &amp; Sideloading\WalkAndUnGZ.bat" "%USERPROFILE%\AppData\Local\Temp\OnboardLogs"\RTDC4060\2017-09-18</v>
      </c>
      <c r="AF222" s="74" t="str">
        <f t="shared" si="93"/>
        <v>"C:\Program Files (x86)\AstroGrep\AstroGrep.exe" /e /r /s /spath="%USERPROFILE%\AppData\Local\Temp\OnboardLogs" /stypes="app*4060*20170917*" /stext=" 12:.+((SYSTEM_STATE.+slice.+state.+changed )|(ment ac)|(multiple cpu faults)|(system.+state.+changed )|(\[timeout)|(PRM\|1\|D)|(kpr)|(kdp)|(train st.+moving)|(\|lc)|(penalty))"</v>
      </c>
      <c r="AG222" s="183" t="str">
        <f t="shared" si="94"/>
        <v>Shuttle/Test</v>
      </c>
      <c r="AH222" s="78" t="str">
        <f t="shared" si="95"/>
        <v>"%USERPROFILE%\Documents\GitHub\eaglep3\Utilities\RefineRTDCRunTimes.py" --tripid 51-17 --locoid 4060 --swversion DE.1.0.9.0 --startMP 204:1238 --initTime 2017-09-17T06:14:06 --startdatetime 2017-09-17T06:21:49 --delay 74 --endMP 300:5137 --enddatetime 2017-09-17T06:24:23 --enforcementcount 0 &gt;&gt;C:\Users\stu\Documents\GitHub\eaglep3-reporting\EC\2017-09-17-refined-times.txt</v>
      </c>
      <c r="AI222" s="96" t="str">
        <f t="shared" si="96"/>
        <v>echo {"issue":{"subject":"","project_id":79,"tracker_id":40,"status_id":1,"priority_id":2,"assigned_to_id":338,"start_date":"2017-09-17","description":"","custom_fields":[{"id":1,"name":"Subdivision","value":"Shuttle/Test"},{"id":4,"name":"Milepost","value":"0.5137"},{"id":17,"name":"Train ID","value":"51-17"},{"id":16,"name":"Locomotive ID","value":"4060"},{"id":130,"name":"Impact","value":""},{"id":150,"name":"Time of Event (Mountain Time)","value":"06:24:23"},{"id":151,"name":"Denver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97"/>
        <v>start /low /b %USERPROFILE%\Documents\GitHub\eaglep3\Utilities\DownloadLogsFromS3.py --loco 4060 --day 2017-09-17</v>
      </c>
      <c r="AN222" s="151" t="str">
        <f t="shared" si="9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12:24:23"},{"id":29,"name":"Sharepoint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Message%20ID',Summary),filters:!(),index:'emp_*',interval:auto,query:"&amp;"(query_string:(analyze_wildcard:!t,query:'Message%5C+ID:(*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-09-17T05:14:06-0600',mode:absolute,to:'2017-09-17T07:24:23-0600'))&amp;_a=(columns:!('Message%20ID',Summary),filters:!(),index:'emp_*',interval:auto,query:(query_string:(analyze_wildcard:!t,query:'Message%5C+ID:(*)+AND+%22rtdc.l.rtdc.4060%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625</v>
      </c>
      <c r="B223" s="7">
        <v>4015</v>
      </c>
      <c r="C223" s="21" t="s">
        <v>197</v>
      </c>
      <c r="D223" s="21" t="s">
        <v>951</v>
      </c>
      <c r="E223" s="13">
        <v>42995.140625</v>
      </c>
      <c r="F223" s="13">
        <v>42995.142326388886</v>
      </c>
      <c r="G223" s="7">
        <v>61</v>
      </c>
      <c r="H223" s="21" t="s">
        <v>952</v>
      </c>
      <c r="I223" s="13">
        <v>42995.14329861111</v>
      </c>
      <c r="J223" s="7">
        <v>0</v>
      </c>
      <c r="K223" s="89" t="str">
        <f t="shared" si="86"/>
        <v>4015/4016</v>
      </c>
      <c r="L223" s="186" t="str">
        <f>VLOOKUP(A223,'Trips&amp;Operators'!$C$1:$G$99911,5,FALSE)</f>
        <v>DELGADO DIANAH</v>
      </c>
      <c r="M223" s="6">
        <f t="shared" si="87"/>
        <v>9.7222222393611446E-4</v>
      </c>
      <c r="N223" s="7">
        <f t="shared" si="76"/>
        <v>1.4000000024680048</v>
      </c>
      <c r="O223" s="7"/>
      <c r="P223" s="7"/>
      <c r="Q223" s="22"/>
      <c r="R223" s="174"/>
      <c r="S223" s="222">
        <f t="shared" si="77"/>
        <v>0</v>
      </c>
      <c r="T223" s="174" t="str">
        <f t="shared" si="88"/>
        <v>Southbound</v>
      </c>
      <c r="U223" s="199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7" t="str">
        <f t="shared" si="89"/>
        <v>https://d0f6bd738d7f1b3e5a7ca70fe4ff75f0.us-east-1.aws.found.io/app/kibana#/discover/Steve-Slow-Train-Analysis-(2080s-and-2083s)?_g=(refreshInterval:(display:Off,pause:!f,section:0,value:0),time:(from:'2017-09-17T02:22:30-0600',mode:absolute,to:'2017-09-17T04:26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3" s="205" t="str">
        <f>IF(AA223&lt;VLOOKUP(AG223,Variables!$AC$3:$AD$8,2,FALSE),"Y","N")</f>
        <v>Y</v>
      </c>
      <c r="X223" s="205">
        <f t="shared" si="85"/>
        <v>1</v>
      </c>
      <c r="Y223" s="205">
        <f t="shared" si="83"/>
        <v>0.29430000000000001</v>
      </c>
      <c r="Z223" s="205">
        <f t="shared" si="84"/>
        <v>0.115</v>
      </c>
      <c r="AA223" s="205">
        <f t="shared" si="90"/>
        <v>0.17930000000000001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80">
        <f t="shared" si="91"/>
        <v>52</v>
      </c>
      <c r="AE223" s="77" t="str">
        <f t="shared" si="92"/>
        <v>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 &amp; 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</v>
      </c>
      <c r="AF223" s="74" t="str">
        <f t="shared" si="93"/>
        <v>"C:\Program Files (x86)\AstroGrep\AstroGrep.exe" /e /r /s /spath="%USERPROFILE%\AppData\Local\Temp\OnboardLogs" /stypes="app*4015*20170917*" /stext=" 09:.+((SYSTEM_STATE.+slice.+state.+changed )|(ment ac)|(multiple cpu faults)|(system.+state.+changed )|(\[timeout)|(PRM\|1\|D)|(kpr)|(kdp)|(train st.+moving)|(\|lc)|(penalty))"</v>
      </c>
      <c r="AG223" s="183" t="str">
        <f t="shared" si="94"/>
        <v>Shuttle/Test</v>
      </c>
      <c r="AH223" s="78" t="str">
        <f t="shared" si="95"/>
        <v>"%USERPROFILE%\Documents\GitHub\eaglep3\Utilities\RefineRTDCRunTimes.py" --tripid 52-17 --locoid 4015 --swversion DE.1.0.9.0 --startMP 204:2943 --initTime 2017-09-17T03:22:30 --startdatetime 2017-09-17T03:24:57 --delay 61 --endMP 204:1150 --enddatetime 2017-09-17T03:26:21 --enforcementcount 0 &gt;&gt;C:\Users\stu\Documents\GitHub\eaglep3-reporting\EC\2017-09-17-refined-times.txt</v>
      </c>
      <c r="AI223" s="96" t="str">
        <f t="shared" si="96"/>
        <v>echo {"issue":{"subject":"","project_id":79,"tracker_id":40,"status_id":1,"priority_id":2,"assigned_to_id":338,"start_date":"2017-09-17","description":"","custom_fields":[{"id":1,"name":"Subdivision","value":"Shuttle/Test"},{"id":4,"name":"Milepost","value":"0.115"},{"id":17,"name":"Train ID","value":"52-17"},{"id":16,"name":"Locomotive ID","value":"4015"},{"id":130,"name":"Impact","value":""},{"id":150,"name":"Time of Event (Mountain Time)","value":"03:26:21"},{"id":151,"name":"Denver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97"/>
        <v>start /low /b %USERPROFILE%\Documents\GitHub\eaglep3\Utilities\DownloadLogsFromS3.py --loco 4015 --day 2017-09-17</v>
      </c>
      <c r="AN223" s="151" t="str">
        <f t="shared" si="9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09:26:21"},{"id":29,"name":"Sharepoint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Message%20ID',Summary),filters:!(),index:'emp_*',interval:auto,query:"&amp;"(query_string:(analyze_wildcard:!t,query:'Message%5C+ID:(*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-09-17T02:22:30-0600',mode:absolute,to:'2017-09-17T04:26:21-0600'))&amp;_a=(columns:!('Message%20ID',Summary),filters:!(),index:'emp_*',interval:auto,query:(query_string:(analyze_wildcard:!t,query:'Message%5C+ID:(*)+AND+%22rtdc.l.rtdc.4015%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 s="32" t="s">
        <v>637</v>
      </c>
      <c r="B224" s="7">
        <v>4016</v>
      </c>
      <c r="C224" s="21" t="s">
        <v>197</v>
      </c>
      <c r="D224" s="21" t="s">
        <v>953</v>
      </c>
      <c r="E224" s="13">
        <v>42995.197013888886</v>
      </c>
      <c r="F224" s="13">
        <v>42995.202696759261</v>
      </c>
      <c r="G224" s="7">
        <v>69</v>
      </c>
      <c r="H224" s="21" t="s">
        <v>954</v>
      </c>
      <c r="I224" s="13">
        <v>42995.203506944446</v>
      </c>
      <c r="J224" s="7">
        <v>0</v>
      </c>
      <c r="K224" s="89" t="str">
        <f t="shared" si="86"/>
        <v>4015/4016</v>
      </c>
      <c r="L224" s="186" t="str">
        <f>VLOOKUP(A224,'Trips&amp;Operators'!$C$1:$G$99911,5,FALSE)</f>
        <v>HUFFSMITH MONTY</v>
      </c>
      <c r="M224" s="6">
        <f t="shared" si="87"/>
        <v>8.1018518540076911E-4</v>
      </c>
      <c r="N224" s="7">
        <f t="shared" si="76"/>
        <v>1.1666666669771075</v>
      </c>
      <c r="O224" s="7"/>
      <c r="P224" s="7"/>
      <c r="Q224" s="22"/>
      <c r="R224" s="174"/>
      <c r="S224" s="222">
        <f t="shared" si="77"/>
        <v>0</v>
      </c>
      <c r="T224" s="174" t="str">
        <f t="shared" si="88"/>
        <v>NorthBound</v>
      </c>
      <c r="U224" s="199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7" t="str">
        <f t="shared" si="89"/>
        <v>https://d0f6bd738d7f1b3e5a7ca70fe4ff75f0.us-east-1.aws.found.io/app/kibana#/discover/Steve-Slow-Train-Analysis-(2080s-and-2083s)?_g=(refreshInterval:(display:Off,pause:!f,section:0,value:0),time:(from:'2017-09-17T03:43:42-0600',mode:absolute,to:'2017-09-17T05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4" s="205" t="str">
        <f>IF(AA224&lt;VLOOKUP(AG224,Variables!$AC$3:$AD$8,2,FALSE),"Y","N")</f>
        <v>Y</v>
      </c>
      <c r="X224" s="205">
        <f t="shared" si="85"/>
        <v>1</v>
      </c>
      <c r="Y224" s="205">
        <f t="shared" si="83"/>
        <v>0.14729999999999999</v>
      </c>
      <c r="Z224" s="205">
        <f t="shared" si="84"/>
        <v>0.3352</v>
      </c>
      <c r="AA224" s="205">
        <f t="shared" si="90"/>
        <v>0.18790000000000001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80">
        <f t="shared" si="91"/>
        <v>53</v>
      </c>
      <c r="AE224" s="77" t="str">
        <f t="shared" si="92"/>
        <v>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 &amp; 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</v>
      </c>
      <c r="AF224" s="74" t="str">
        <f t="shared" si="93"/>
        <v>"C:\Program Files (x86)\AstroGrep\AstroGrep.exe" /e /r /s /spath="%USERPROFILE%\AppData\Local\Temp\OnboardLogs" /stypes="app*4016*20170917*" /stext=" 10:.+((SYSTEM_STATE.+slice.+state.+changed )|(ment ac)|(multiple cpu faults)|(system.+state.+changed )|(\[timeout)|(PRM\|1\|D)|(kpr)|(kdp)|(train st.+moving)|(\|lc)|(penalty))"</v>
      </c>
      <c r="AG224" s="183" t="str">
        <f t="shared" si="94"/>
        <v>Shuttle/Test</v>
      </c>
      <c r="AH224" s="78" t="str">
        <f t="shared" si="95"/>
        <v>"%USERPROFILE%\Documents\GitHub\eaglep3\Utilities\RefineRTDCRunTimes.py" --tripid 53-17 --locoid 4016 --swversion DE.1.0.9.0 --startMP 204:1473 --initTime 2017-09-17T04:43:42 --startdatetime 2017-09-17T04:51:53 --delay 69 --endMP 204:3352 --enddatetime 2017-09-17T04:53:03 --enforcementcount 0 &gt;&gt;C:\Users\stu\Documents\GitHub\eaglep3-reporting\EC\2017-09-17-refined-times.txt</v>
      </c>
      <c r="AI224" s="96" t="str">
        <f t="shared" si="96"/>
        <v>echo {"issue":{"subject":"","project_id":79,"tracker_id":40,"status_id":1,"priority_id":2,"assigned_to_id":338,"start_date":"2017-09-17","description":"","custom_fields":[{"id":1,"name":"Subdivision","value":"Shuttle/Test"},{"id":4,"name":"Milepost","value":"0.3352"},{"id":17,"name":"Train ID","value":"53-17"},{"id":16,"name":"Locomotive ID","value":"4016"},{"id":130,"name":"Impact","value":""},{"id":150,"name":"Time of Event (Mountain Time)","value":"04:53:03"},{"id":151,"name":"Denver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97"/>
        <v>start /low /b %USERPROFILE%\Documents\GitHub\eaglep3\Utilities\DownloadLogsFromS3.py --loco 4016 --day 2017-09-17</v>
      </c>
      <c r="AN224" s="151" t="str">
        <f t="shared" si="9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10:53:03"},{"id":29,"name":"Sharepoint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Message%20ID',Summary),filters:!(),index:'emp_*',interval:auto,query:"&amp;"(query_string:(analyze_wildcard:!t,query:'Message%5C+ID:(*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-09-17T03:43:42-0600',mode:absolute,to:'2017-09-17T05:53:03-0600'))&amp;_a=(columns:!('Message%20ID',Summary),filters:!(),index:'emp_*',interval:auto,query:(query_string:(analyze_wildcard:!t,query:'Message%5C+ID:(*)+AND+%22rtdc.l.rtdc.4016%22')),sort:!(Time.ISO8601,asc))</v>
      </c>
    </row>
    <row r="225" spans="1:91" x14ac:dyDescent="0.25">
      <c r="A225" s="32" t="s">
        <v>640</v>
      </c>
      <c r="B225" s="7">
        <v>4015</v>
      </c>
      <c r="C225" s="21" t="s">
        <v>197</v>
      </c>
      <c r="D225" s="21" t="s">
        <v>955</v>
      </c>
      <c r="E225" s="13">
        <v>42995.204467592594</v>
      </c>
      <c r="F225" s="13">
        <v>42995.206365740742</v>
      </c>
      <c r="G225" s="7">
        <v>85</v>
      </c>
      <c r="H225" s="21" t="s">
        <v>343</v>
      </c>
      <c r="I225" s="13">
        <v>42995.207685185182</v>
      </c>
      <c r="J225" s="7">
        <v>0</v>
      </c>
      <c r="K225" s="89" t="str">
        <f t="shared" si="86"/>
        <v>4015/4016</v>
      </c>
      <c r="L225" s="186" t="str">
        <f>VLOOKUP(A225,'Trips&amp;Operators'!$C$1:$G$99911,5,FALSE)</f>
        <v>HUFFSMITH MONTY</v>
      </c>
      <c r="M225" s="6">
        <f t="shared" si="87"/>
        <v>1.3194444400141947E-3</v>
      </c>
      <c r="N225" s="7">
        <f t="shared" si="76"/>
        <v>1.8999999936204404</v>
      </c>
      <c r="O225" s="7"/>
      <c r="P225" s="7"/>
      <c r="Q225" s="22"/>
      <c r="R225" s="174"/>
      <c r="S225" s="222">
        <f t="shared" si="77"/>
        <v>0</v>
      </c>
      <c r="T225" s="174" t="str">
        <f t="shared" si="88"/>
        <v>Southbound</v>
      </c>
      <c r="U225" s="199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7" t="str">
        <f t="shared" si="89"/>
        <v>https://d0f6bd738d7f1b3e5a7ca70fe4ff75f0.us-east-1.aws.found.io/app/kibana#/discover/Steve-Slow-Train-Analysis-(2080s-and-2083s)?_g=(refreshInterval:(display:Off,pause:!f,section:0,value:0),time:(from:'2017-09-17T03:54:26-0600',mode:absolute,to:'2017-09-17T05:59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5" s="205" t="str">
        <f>IF(AA225&lt;VLOOKUP(AG225,Variables!$AC$3:$AD$8,2,FALSE),"Y","N")</f>
        <v>Y</v>
      </c>
      <c r="X225" s="205">
        <f t="shared" si="85"/>
        <v>1</v>
      </c>
      <c r="Y225" s="205">
        <f t="shared" si="83"/>
        <v>0.30049999999999999</v>
      </c>
      <c r="Z225" s="205">
        <f t="shared" si="84"/>
        <v>1.47E-2</v>
      </c>
      <c r="AA225" s="205">
        <f t="shared" si="90"/>
        <v>0.2858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80">
        <f t="shared" si="91"/>
        <v>54</v>
      </c>
      <c r="AE225" s="77" t="str">
        <f t="shared" si="92"/>
        <v>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 &amp; 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</v>
      </c>
      <c r="AF225" s="74" t="str">
        <f t="shared" si="93"/>
        <v>"C:\Program Files (x86)\AstroGrep\AstroGrep.exe" /e /r /s /spath="%USERPROFILE%\AppData\Local\Temp\OnboardLogs" /stypes="app*4015*20170917*" /stext=" 10:.+((SYSTEM_STATE.+slice.+state.+changed )|(ment ac)|(multiple cpu faults)|(system.+state.+changed )|(\[timeout)|(PRM\|1\|D)|(kpr)|(kdp)|(train st.+moving)|(\|lc)|(penalty))"</v>
      </c>
      <c r="AG225" s="183" t="str">
        <f t="shared" si="94"/>
        <v>Shuttle/Test</v>
      </c>
      <c r="AH225" s="78" t="str">
        <f t="shared" si="95"/>
        <v>"%USERPROFILE%\Documents\GitHub\eaglep3\Utilities\RefineRTDCRunTimes.py" --tripid 54-17 --locoid 4015 --swversion DE.1.0.9.0 --startMP 204:3005 --initTime 2017-09-17T04:54:26 --startdatetime 2017-09-17T04:57:10 --delay 85 --endMP 204:147 --enddatetime 2017-09-17T04:59:04 --enforcementcount 0 &gt;&gt;C:\Users\stu\Documents\GitHub\eaglep3-reporting\EC\2017-09-17-refined-times.txt</v>
      </c>
      <c r="AI225" s="96" t="str">
        <f t="shared" si="96"/>
        <v>echo {"issue":{"subject":"","project_id":79,"tracker_id":40,"status_id":1,"priority_id":2,"assigned_to_id":338,"start_date":"2017-09-17","description":"","custom_fields":[{"id":1,"name":"Subdivision","value":"Shuttle/Test"},{"id":4,"name":"Milepost","value":"0.0147"},{"id":17,"name":"Train ID","value":"54-17"},{"id":16,"name":"Locomotive ID","value":"4015"},{"id":130,"name":"Impact","value":""},{"id":150,"name":"Time of Event (Mountain Time)","value":"04:59:04"},{"id":151,"name":"Denver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97"/>
        <v>start /low /b %USERPROFILE%\Documents\GitHub\eaglep3\Utilities\DownloadLogsFromS3.py --loco 4015 --day 2017-09-17</v>
      </c>
      <c r="AN225" s="151" t="str">
        <f t="shared" si="98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10:59:04"},{"id":29,"name":"Sharepoint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Message%20ID',Summary),filters:!(),index:'emp_*',interval:auto,query:"&amp;"(query_string:(analyze_wildcard:!t,query:'Message%5C+ID:(*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-09-17T03:54:26-0600',mode:absolute,to:'2017-09-17T05:59:04-0600'))&amp;_a=(columns:!('Message%20ID',Summary),filters:!(),index:'emp_*',interval:auto,query:(query_string:(analyze_wildcard:!t,query:'Message%5C+ID:(*)+AND+%22rtdc.l.rtdc.4015%22')),sort:!(Time.ISO8601,asc))</v>
      </c>
    </row>
    <row r="226" spans="1:91" x14ac:dyDescent="0.25">
      <c r="A226" s="32" t="s">
        <v>760</v>
      </c>
      <c r="B226" s="7">
        <v>4054</v>
      </c>
      <c r="C226" s="21" t="s">
        <v>197</v>
      </c>
      <c r="D226" s="21" t="s">
        <v>956</v>
      </c>
      <c r="E226" s="13">
        <v>42995.737245370372</v>
      </c>
      <c r="F226" s="13">
        <v>42995.742280092592</v>
      </c>
      <c r="G226" s="7">
        <v>66</v>
      </c>
      <c r="H226" s="21" t="s">
        <v>938</v>
      </c>
      <c r="I226" s="13">
        <v>42995.751157407409</v>
      </c>
      <c r="J226" s="7">
        <v>0</v>
      </c>
      <c r="K226" s="89" t="str">
        <f t="shared" si="86"/>
        <v>4053/4054</v>
      </c>
      <c r="L226" s="186" t="str">
        <f>VLOOKUP(A226,'Trips&amp;Operators'!$C$1:$G$99911,5,FALSE)</f>
        <v>LOPES KIMBERLY</v>
      </c>
      <c r="M226" s="6">
        <f t="shared" si="87"/>
        <v>8.8773148163454607E-3</v>
      </c>
      <c r="N226" s="7">
        <f t="shared" si="76"/>
        <v>12.783333335537463</v>
      </c>
      <c r="O226" s="7"/>
      <c r="P226" s="7"/>
      <c r="Q226" s="22"/>
      <c r="R226" s="174"/>
      <c r="S226" s="222">
        <f t="shared" si="77"/>
        <v>1</v>
      </c>
      <c r="T226" s="174" t="str">
        <f t="shared" si="88"/>
        <v>NorthBound</v>
      </c>
      <c r="U226" s="199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7" t="str">
        <f t="shared" si="89"/>
        <v>https://d0f6bd738d7f1b3e5a7ca70fe4ff75f0.us-east-1.aws.found.io/app/kibana#/discover/Steve-Slow-Train-Analysis-(2080s-and-2083s)?_g=(refreshInterval:(display:Off,pause:!f,section:0,value:0),time:(from:'2017-09-17T16:41:38-0600',mode:absolute,to:'2017-09-17T19:01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6" s="205" t="str">
        <f>IF(AA226&lt;VLOOKUP(AG226,Variables!$AC$3:$AD$8,2,FALSE),"Y","N")</f>
        <v>Y</v>
      </c>
      <c r="X226" s="205">
        <f t="shared" si="85"/>
        <v>21</v>
      </c>
      <c r="Y226" s="205">
        <f t="shared" si="83"/>
        <v>0.1469</v>
      </c>
      <c r="Z226" s="205">
        <f t="shared" si="84"/>
        <v>2.3346</v>
      </c>
      <c r="AA226" s="205">
        <f t="shared" si="90"/>
        <v>2.1877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80">
        <f t="shared" si="91"/>
        <v>75</v>
      </c>
      <c r="AE226" s="77" t="str">
        <f t="shared" si="92"/>
        <v>aws s3 cp s3://rtdc.mdm.uploadarchive.raw/RTDC4054/ "%USERPROFILE%\AppData\Local\Temp\OnboardLogs"\RTDC4054\2017-09-17 --exclude "*" --recursive --include "*20170917*" &amp; "%USERPROFILE%\Documents\GitHub\mrs-test-scripts\Headless Mode &amp; Sideloading\WalkAndUnGZ.bat" "%USERPROFILE%\AppData\Local\Temp\OnboardLogs"\RTDC4054\2017-09-17 &amp; aws s3 cp s3://rtdc.mdm.uploadarchive.raw/RTDC4054/ "%USERPROFILE%\AppData\Local\Temp\OnboardLogs"\RTDC4054\2017-09-18 --exclude "*" --recursive --include "*20170918*" &amp; "%USERPROFILE%\Documents\GitHub\mrs-test-scripts\Headless Mode &amp; Sideloading\WalkAndUnGZ.bat" "%USERPROFILE%\AppData\Local\Temp\OnboardLogs"\RTDC4054\2017-09-18</v>
      </c>
      <c r="AF226" s="74" t="str">
        <f t="shared" si="93"/>
        <v>"C:\Program Files (x86)\AstroGrep\AstroGrep.exe" /e /r /s /spath="%USERPROFILE%\AppData\Local\Temp\OnboardLogs" /stypes="app*4054*20170918*" /stext=" 00:.+((SYSTEM_STATE.+slice.+state.+changed )|(ment ac)|(multiple cpu faults)|(system.+state.+changed )|(\[timeout)|(PRM\|1\|D)|(kpr)|(kdp)|(train st.+moving)|(\|lc)|(penalty))"</v>
      </c>
      <c r="AG226" s="183" t="str">
        <f t="shared" si="94"/>
        <v>Shuttle/Test</v>
      </c>
      <c r="AH226" s="78" t="str">
        <f t="shared" si="95"/>
        <v>"%USERPROFILE%\Documents\GitHub\eaglep3\Utilities\RefineRTDCRunTimes.py" --tripid 75-17 --locoid 4054 --swversion DE.1.0.9.0 --startMP 204:1469 --initTime 2017-09-17T17:41:38 --startdatetime 2017-09-17T17:48:53 --delay 66 --endMP 300:23346 --enddatetime 2017-09-17T18:01:40 --enforcementcount 0 &gt;&gt;C:\Users\stu\Documents\GitHub\eaglep3-reporting\EC\2017-09-17-refined-times.txt</v>
      </c>
      <c r="AI226" s="96" t="str">
        <f t="shared" si="96"/>
        <v>echo {"issue":{"subject":"","project_id":79,"tracker_id":40,"status_id":1,"priority_id":2,"assigned_to_id":338,"start_date":"2017-09-17","description":"","custom_fields":[{"id":1,"name":"Subdivision","value":"Shuttle/Test"},{"id":4,"name":"Milepost","value":"2.3346"},{"id":17,"name":"Train ID","value":"75-17"},{"id":16,"name":"Locomotive ID","value":"4054"},{"id":130,"name":"Impact","value":""},{"id":150,"name":"Time of Event (Mountain Time)","value":"18:01:40"},{"id":151,"name":"Denver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97"/>
        <v>start /low /b %USERPROFILE%\Documents\GitHub\eaglep3\Utilities\DownloadLogsFromS3.py --loco 4054 --day 2017-09-17</v>
      </c>
      <c r="AN226" s="151" t="str">
        <f t="shared" si="9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00:01:40"},{"id":29,"name":"Sharepoint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Message%20ID',Summary),filters:!(),index:'emp_*',interval:auto,query:"&amp;"(query_string:(analyze_wildcard:!t,query:'Message%5C+ID:(*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-09-17T16:41:38-0600',mode:absolute,to:'2017-09-17T19:01:40-0600'))&amp;_a=(columns:!('Message%20ID',Summary),filters:!(),index:'emp_*',interval:auto,query:(query_string:(analyze_wildcard:!t,query:'Message%5C+ID:(*)+AND+%22rtdc.l.rtdc.4054%22')),sort:!(Time.ISO8601,asc))</v>
      </c>
    </row>
    <row r="227" spans="1:91" s="20" customFormat="1" x14ac:dyDescent="0.25">
      <c r="A227" s="32" t="s">
        <v>762</v>
      </c>
      <c r="B227" s="7">
        <v>4009</v>
      </c>
      <c r="C227" s="21" t="s">
        <v>197</v>
      </c>
      <c r="D227" s="21" t="s">
        <v>957</v>
      </c>
      <c r="E227" s="13">
        <v>42995.744467592594</v>
      </c>
      <c r="F227" s="13">
        <v>42995.75167824074</v>
      </c>
      <c r="G227" s="7">
        <v>77</v>
      </c>
      <c r="H227" s="21" t="s">
        <v>958</v>
      </c>
      <c r="I227" s="13">
        <v>42995.758032407408</v>
      </c>
      <c r="J227" s="7">
        <v>0</v>
      </c>
      <c r="K227" s="89" t="str">
        <f t="shared" si="86"/>
        <v>4009/4010</v>
      </c>
      <c r="L227" s="186" t="str">
        <f>VLOOKUP(A227,'Trips&amp;Operators'!$C$1:$G$99911,5,FALSE)</f>
        <v>ANDERS STEVEN</v>
      </c>
      <c r="M227" s="6">
        <f t="shared" si="87"/>
        <v>6.3541666677338071E-3</v>
      </c>
      <c r="N227" s="7">
        <f t="shared" si="76"/>
        <v>9.1500000015366822</v>
      </c>
      <c r="O227" s="7"/>
      <c r="P227" s="7"/>
      <c r="Q227" s="22"/>
      <c r="R227" s="174"/>
      <c r="S227" s="222">
        <f t="shared" si="77"/>
        <v>1</v>
      </c>
      <c r="T227" s="174" t="str">
        <f t="shared" si="88"/>
        <v>Southbound</v>
      </c>
      <c r="U227" s="199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7" t="str">
        <f t="shared" si="89"/>
        <v>https://d0f6bd738d7f1b3e5a7ca70fe4ff75f0.us-east-1.aws.found.io/app/kibana#/discover/Steve-Slow-Train-Analysis-(2080s-and-2083s)?_g=(refreshInterval:(display:Off,pause:!f,section:0,value:0),time:(from:'2017-09-17T16:52:02-0600',mode:absolute,to:'2017-09-17T19:11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7" s="205" t="str">
        <f>IF(AA227&lt;VLOOKUP(AG227,Variables!$AC$3:$AD$8,2,FALSE),"Y","N")</f>
        <v>Y</v>
      </c>
      <c r="X227" s="205">
        <f t="shared" si="85"/>
        <v>1</v>
      </c>
      <c r="Y227" s="205">
        <f t="shared" si="83"/>
        <v>2.2757999999999998</v>
      </c>
      <c r="Z227" s="205">
        <f t="shared" si="84"/>
        <v>0.1507</v>
      </c>
      <c r="AA227" s="205">
        <f t="shared" si="90"/>
        <v>2.1250999999999998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80">
        <f t="shared" si="91"/>
        <v>76</v>
      </c>
      <c r="AE227" s="77" t="str">
        <f t="shared" si="92"/>
        <v>aws s3 cp s3://rtdc.mdm.uploadarchive.raw/RTDC4009/ "%USERPROFILE%\AppData\Local\Temp\OnboardLogs"\RTDC4009\2017-09-17 --exclude "*" --recursive --include "*20170917*" &amp; "%USERPROFILE%\Documents\GitHub\mrs-test-scripts\Headless Mode &amp; Sideloading\WalkAndUnGZ.bat" "%USERPROFILE%\AppData\Local\Temp\OnboardLogs"\RTDC4009\2017-09-17 &amp; aws s3 cp s3://rtdc.mdm.uploadarchive.raw/RTDC4009/ "%USERPROFILE%\AppData\Local\Temp\OnboardLogs"\RTDC4009\2017-09-18 --exclude "*" --recursive --include "*20170918*" &amp; "%USERPROFILE%\Documents\GitHub\mrs-test-scripts\Headless Mode &amp; Sideloading\WalkAndUnGZ.bat" "%USERPROFILE%\AppData\Local\Temp\OnboardLogs"\RTDC4009\2017-09-18</v>
      </c>
      <c r="AF227" s="74" t="str">
        <f t="shared" si="93"/>
        <v>"C:\Program Files (x86)\AstroGrep\AstroGrep.exe" /e /r /s /spath="%USERPROFILE%\AppData\Local\Temp\OnboardLogs" /stypes="app*4009*20170918*" /stext=" 00:.+((SYSTEM_STATE.+slice.+state.+changed )|(ment ac)|(multiple cpu faults)|(system.+state.+changed )|(\[timeout)|(PRM\|1\|D)|(kpr)|(kdp)|(train st.+moving)|(\|lc)|(penalty))"</v>
      </c>
      <c r="AG227" s="183" t="str">
        <f t="shared" si="94"/>
        <v>Shuttle/Test</v>
      </c>
      <c r="AH227" s="78" t="str">
        <f t="shared" si="95"/>
        <v>"%USERPROFILE%\Documents\GitHub\eaglep3\Utilities\RefineRTDCRunTimes.py" --tripid 76-17 --locoid 4009 --swversion DE.1.0.9.0 --startMP 300:22758 --initTime 2017-09-17T17:52:02 --startdatetime 2017-09-17T18:02:25 --delay 77 --endMP 204:1507 --enddatetime 2017-09-17T18:11:34 --enforcementcount 0 &gt;&gt;C:\Users\stu\Documents\GitHub\eaglep3-reporting\EC\2017-09-17-refined-times.txt</v>
      </c>
      <c r="AI227" s="96" t="str">
        <f t="shared" si="96"/>
        <v>echo {"issue":{"subject":"","project_id":79,"tracker_id":40,"status_id":1,"priority_id":2,"assigned_to_id":338,"start_date":"2017-09-17","description":"","custom_fields":[{"id":1,"name":"Subdivision","value":"Shuttle/Test"},{"id":4,"name":"Milepost","value":"0.1507"},{"id":17,"name":"Train ID","value":"76-17"},{"id":16,"name":"Locomotive ID","value":"4009"},{"id":130,"name":"Impact","value":""},{"id":150,"name":"Time of Event (Mountain Time)","value":"18:11:34"},{"id":151,"name":"Denver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97"/>
        <v>start /low /b %USERPROFILE%\Documents\GitHub\eaglep3\Utilities\DownloadLogsFromS3.py --loco 4009 --day 2017-09-17</v>
      </c>
      <c r="AN227" s="151" t="str">
        <f t="shared" si="98"/>
        <v>echo {"issue":{"subject":"","project_id":30,"tracker_id":4,"status_id":1,"priority_id":1,"assigned_to_id":10,"start_date":"2017-09-18","description":"","custom_fields":[{"id":30,"name":"Category","value":"Issue"},{"id":3,"name":"Functional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UTC","value":"2017-09-18 00:11:34"},{"id":29,"name":"Sharepoint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Message%20ID',Summary),filters:!(),index:'emp_*',interval:auto,query:"&amp;"(query_string:(analyze_wildcard:!t,query:'Message%5C+ID:(*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-09-17T16:52:02-0600',mode:absolute,to:'2017-09-17T19:11:34-0600'))&amp;_a=(columns:!('Message%20ID',Summary),filters:!(),index:'emp_*',interval:auto,query:(query_string:(analyze_wildcard:!t,query:'Message%5C+ID:(*)+AND+%22rtdc.l.rtdc.4009%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 s="223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 s="223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 s="223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 s="223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 s="223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 s="22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 s="168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 s="223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 s="168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 s="223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 s="223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 s="223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 s="168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 s="223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 s="223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 s="223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 s="223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 s="223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 s="22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 s="223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 s="223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 s="223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 s="223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 s="223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 s="16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 s="223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 s="223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 s="223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 s="223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 s="22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 s="223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 s="168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 s="223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 s="223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 s="223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 s="223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 s="223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 s="223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 s="223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 s="223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 s="22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 s="223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 s="223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 s="223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 s="223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 s="223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 s="223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 s="223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 s="223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 s="168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 s="223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 s="22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 s="223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 s="223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 s="168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 s="223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 s="223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 s="223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 s="223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 s="223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 s="223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 s="223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 s="22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 s="223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 s="223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 s="223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 s="223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 s="223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</row>
    <row r="289" spans="1:4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 s="223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</row>
    <row r="290" spans="1:4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 s="223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</row>
    <row r="291" spans="1:4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 s="223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</row>
    <row r="292" spans="1:4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 s="223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4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 s="22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4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 s="223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4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 s="223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4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 s="223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</sheetData>
  <autoFilter ref="A12:AG291">
    <sortState ref="A13:AG291">
      <sortCondition ref="AG13:AG227"/>
      <sortCondition ref="AD13:AD227"/>
    </sortState>
  </autoFilter>
  <sortState ref="A13:AN246">
    <sortCondition ref="AG13:AG246"/>
    <sortCondition ref="AD13:AD246"/>
  </sortState>
  <mergeCells count="1">
    <mergeCell ref="A11:P11"/>
  </mergeCells>
  <conditionalFormatting sqref="W11:W12 W297:X1048576 W13:X227">
    <cfRule type="cellIs" dxfId="10" priority="422" operator="equal">
      <formula>"Y"</formula>
    </cfRule>
  </conditionalFormatting>
  <conditionalFormatting sqref="X297:X1048576 X13:X227">
    <cfRule type="cellIs" dxfId="9" priority="405" operator="greaterThan">
      <formula>1</formula>
    </cfRule>
  </conditionalFormatting>
  <conditionalFormatting sqref="X297:X1048576 X12:X227">
    <cfRule type="cellIs" dxfId="8" priority="402" operator="equal">
      <formula>0</formula>
    </cfRule>
  </conditionalFormatting>
  <conditionalFormatting sqref="A13:S227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AK13:AK227</xm:sqref>
        </x14:dataValidation>
        <x14:dataValidation type="list" allowBlank="1" showInputMessage="1" showErrorMessage="1">
          <x14:formula1>
            <xm:f>'Redmine List Values'!$C$2:$C$15</xm:f>
          </x14:formula1>
          <xm:sqref>AL13:AL227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workbookViewId="0">
      <selection activeCell="P12" sqref="P1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5">
        <f>COUNTIF($O$7:$O$249,"=Y")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6">
        <f>COUNTA($O$7:$O$249)-O2</f>
        <v>31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7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7" t="str">
        <f>"Eagle P3 Braking Events - "&amp;TEXT(Variables!$A$2,"YYYY-mm-dd")</f>
        <v>Eagle P3 Braking Events - 2017-09-17</v>
      </c>
      <c r="B5" s="227"/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27"/>
      <c r="P5" s="128"/>
      <c r="R5" s="80"/>
      <c r="S5" s="83"/>
      <c r="T5" s="85"/>
      <c r="V5" s="44"/>
      <c r="X5" s="181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76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357</v>
      </c>
      <c r="X6" s="182" t="s">
        <v>350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42995.312013888892</v>
      </c>
      <c r="B7" s="30" t="s">
        <v>446</v>
      </c>
      <c r="C7" s="30" t="s">
        <v>583</v>
      </c>
      <c r="D7" s="30" t="s">
        <v>49</v>
      </c>
      <c r="E7" s="30" t="s">
        <v>187</v>
      </c>
      <c r="F7" s="42">
        <v>170</v>
      </c>
      <c r="G7" s="42">
        <v>220</v>
      </c>
      <c r="H7" s="42">
        <v>31416</v>
      </c>
      <c r="I7" s="42">
        <v>30948</v>
      </c>
      <c r="J7" s="30" t="s">
        <v>188</v>
      </c>
      <c r="K7" s="42">
        <v>30970</v>
      </c>
      <c r="L7" s="131" t="s">
        <v>51</v>
      </c>
      <c r="M7" s="132">
        <f t="shared" ref="M7:M42" si="0">CONVERT((I7-K7)/10000,"mi","ft")*IF(L7="Increasing Mileposts (1)",-1,1)</f>
        <v>-11.616</v>
      </c>
      <c r="N7" s="133" t="str">
        <f>VLOOKUP(C7,'Trips&amp;Operators'!$C$1:$G$99911,5,FALSE)</f>
        <v>DAVIS WENDY</v>
      </c>
      <c r="O7" s="177" t="s">
        <v>180</v>
      </c>
      <c r="P7" s="134" t="s">
        <v>369</v>
      </c>
      <c r="Q7" s="30"/>
      <c r="R7" s="81" t="str">
        <f>VLOOKUP(C7,'Train Runs'!$A$13:$AE$9950,31,0)</f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S7" s="84" t="str">
        <f>VLOOKUP(C7,'Train Runs'!$A$13:$AE$9950,22,0)</f>
        <v>https://d0f6bd738d7f1b3e5a7ca70fe4ff75f0.us-east-1.aws.found.io/app/kibana#/discover/Steve-Slow-Train-Analysis-(2080s-and-2083s)?_g=(refreshInterval:(display:Off,pause:!f,section:0,value:0),time:(from:'2017-09-17T05:45:21-0600',mode:absolute,to:'2017-09-17T08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7" s="86" t="str">
        <f t="shared" ref="T7:T4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/stypes="*4027*201709171*" /stext=" 13:.+((SYSTEM_STATE.+slice.+state.+changed )|(ment ac)|(multiple cpu faults)|(system.+state.+changed )|(\[timeout)|(PRM\|1\|D)|(kpr)|(kdp)|(train st.+moving)|(\|lc)|(penalty))"</v>
      </c>
      <c r="U7" s="9" t="str">
        <f t="shared" ref="U7:U42" si="2">MID(B7,13,4)</f>
        <v>4027</v>
      </c>
      <c r="V7" s="31">
        <f t="shared" ref="V7:V42" si="3">A7-utc_offset/24</f>
        <v>42995.562013888892</v>
      </c>
      <c r="W7" s="45" t="str">
        <f t="shared" ref="W7:W42" si="4">DetSubdiv(C7)</f>
        <v>EC</v>
      </c>
      <c r="X7" s="22">
        <f t="shared" ref="X7:X42" si="5">VALUE(LEFT(C7,LEN(C7)-3))</f>
        <v>120</v>
      </c>
      <c r="Y7" s="96" t="str">
        <f t="shared" ref="Y7:Y4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Arrival","project_id":79,"tracker_id":40,"status_id":1,"priority_id":2,"assigned_to_id":338,"start_date":"2017-09-17","description":"","custom_fields":[{"id":1,"name":"Subdivision","value":"EC"},{"id":4,"name":"Milepost","value":"3.097"},{"id":17,"name":"Train ID","value":"120-17"},{"id":16,"name":"Locomotive ID","value":"4027"},{"id":130,"name":"Impact","value":""},{"id":150,"name":"Time of Event (Mountain Time)","value":"07:29:18"},{"id":151,"name":"Denver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/c/Users/stu/AppData/Local/Temp/OnboardLogs/RTDC4027 --include="*4027*201709171*"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"%USERPROFILE%\AppData\Local\Temp\OnboardLogs"\RTDC4027\*4027*201709171* &gt;&gt; 2017-09-17-SliceDisagreementCheck.txt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4027 --day 2017-09-17</v>
      </c>
    </row>
    <row r="8" spans="1:32" s="1" customFormat="1" x14ac:dyDescent="0.25">
      <c r="A8" s="224">
        <v>42995.884363425925</v>
      </c>
      <c r="B8" s="30" t="s">
        <v>446</v>
      </c>
      <c r="C8" s="30" t="s">
        <v>602</v>
      </c>
      <c r="D8" s="30" t="s">
        <v>49</v>
      </c>
      <c r="E8" s="30" t="s">
        <v>187</v>
      </c>
      <c r="F8" s="42">
        <v>0</v>
      </c>
      <c r="G8" s="42">
        <v>379</v>
      </c>
      <c r="H8" s="42">
        <v>109427</v>
      </c>
      <c r="I8" s="42">
        <v>108925</v>
      </c>
      <c r="J8" s="30" t="s">
        <v>188</v>
      </c>
      <c r="K8" s="42">
        <v>109135</v>
      </c>
      <c r="L8" s="131" t="s">
        <v>51</v>
      </c>
      <c r="M8" s="132">
        <f t="shared" si="0"/>
        <v>-110.88</v>
      </c>
      <c r="N8" s="133" t="str">
        <f>VLOOKUP(C8,'Trips&amp;Operators'!$C$1:$G$99911,5,FALSE)</f>
        <v>ELBAUM MIKE</v>
      </c>
      <c r="O8" s="177" t="s">
        <v>180</v>
      </c>
      <c r="P8" s="134" t="s">
        <v>369</v>
      </c>
      <c r="Q8" s="30"/>
      <c r="R8" s="81" t="str">
        <f>VLOOKUP(C8,'Train Runs'!$A$13:$AE$9950,31,0)</f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S8" s="84" t="str">
        <f>VLOOKUP(C8,'Train Runs'!$A$13:$AE$9950,22,0)</f>
        <v>https://d0f6bd738d7f1b3e5a7ca70fe4ff75f0.us-east-1.aws.found.io/app/kibana#/discover/Steve-Slow-Train-Analysis-(2080s-and-2083s)?_g=(refreshInterval:(display:Off,pause:!f,section:0,value:0),time:(from:'2017-09-17T19:37:26-0600',mode:absolute,to:'2017-09-17T22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8" s="86" t="str">
        <f t="shared" si="1"/>
        <v>"C:\Program Files (x86)\AstroGrep\AstroGrep.exe" /e /r /s /spath="%USERPROFILE%\AppData\Local\Temp\OnboardLogs" /stypes="*4027*201709180*" /stext=" 03:.+((SYSTEM_STATE.+slice.+state.+changed )|(ment ac)|(multiple cpu faults)|(system.+state.+changed )|(\[timeout)|(PRM\|1\|D)|(kpr)|(kdp)|(train st.+moving)|(\|lc)|(penalty))"</v>
      </c>
      <c r="U8" s="9" t="str">
        <f t="shared" si="2"/>
        <v>4027</v>
      </c>
      <c r="V8" s="31">
        <f t="shared" si="3"/>
        <v>42996.134363425925</v>
      </c>
      <c r="W8" s="45" t="str">
        <f t="shared" si="4"/>
        <v>EC</v>
      </c>
      <c r="X8" s="22">
        <f t="shared" si="5"/>
        <v>226</v>
      </c>
      <c r="Y8" s="96" t="str">
        <f t="shared" si="6"/>
        <v>echo {"issue":{"subject":"Early Arrival","project_id":79,"tracker_id":40,"status_id":1,"priority_id":2,"assigned_to_id":338,"start_date":"2017-09-17","description":"","custom_fields":[{"id":1,"name":"Subdivision","value":"EC"},{"id":4,"name":"Milepost","value":"10.9135"},{"id":17,"name":"Train ID","value":"226-17"},{"id":16,"name":"Locomotive ID","value":"4027"},{"id":130,"name":"Impact","value":""},{"id":150,"name":"Time of Event (Mountain Time)","value":"21:13:29"},{"id":151,"name":"Denver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/c/Users/stu/AppData/Local/Temp/OnboardLogs/RTDC4027 --include="*4027*201709180*"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"%USERPROFILE%\AppData\Local\Temp\OnboardLogs"\RTDC4027\*4027*201709180* &gt;&gt; 2017-09-17-SliceDisagreementCheck.txt</v>
      </c>
      <c r="AE8" s="145" t="str">
        <f t="shared" ref="AE8:AE42" si="9">"start /low /b "&amp;dls3logs&amp;" --loco "&amp;U8&amp;" --day "&amp;TEXT(V8,"YYYY-MM-DD")</f>
        <v>start /low /b %USERPROFILE%\Documents\GitHub\eaglep3\Utilities\DownloadLogsFromS3.py --loco 4027 --day 2017-09-18</v>
      </c>
    </row>
    <row r="9" spans="1:32" s="1" customFormat="1" x14ac:dyDescent="0.25">
      <c r="A9" s="31">
        <v>42995.38925925926</v>
      </c>
      <c r="B9" s="30" t="s">
        <v>446</v>
      </c>
      <c r="C9" s="30" t="s">
        <v>585</v>
      </c>
      <c r="D9" s="30" t="s">
        <v>96</v>
      </c>
      <c r="E9" s="30" t="s">
        <v>195</v>
      </c>
      <c r="F9" s="42">
        <v>150</v>
      </c>
      <c r="G9" s="42">
        <v>207</v>
      </c>
      <c r="H9" s="42">
        <v>3705</v>
      </c>
      <c r="I9" s="42">
        <v>3402</v>
      </c>
      <c r="J9" s="30" t="s">
        <v>196</v>
      </c>
      <c r="K9" s="42">
        <v>4677</v>
      </c>
      <c r="L9" s="131" t="s">
        <v>51</v>
      </c>
      <c r="M9" s="132">
        <f t="shared" si="0"/>
        <v>-673.2</v>
      </c>
      <c r="N9" s="133" t="str">
        <f>VLOOKUP(C9,'Trips&amp;Operators'!$C$1:$G$99911,5,FALSE)</f>
        <v>DAVIS WENDY</v>
      </c>
      <c r="O9" s="177" t="s">
        <v>180</v>
      </c>
      <c r="P9" s="134"/>
      <c r="Q9" s="30"/>
      <c r="R9" s="81" t="str">
        <f>VLOOKUP(C9,'Train Runs'!$A$13:$AE$9950,31,0)</f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S9" s="84" t="str">
        <f>VLOOKUP(C9,'Train Runs'!$A$13:$AE$9950,22,0)</f>
        <v>https://d0f6bd738d7f1b3e5a7ca70fe4ff75f0.us-east-1.aws.found.io/app/kibana#/discover/Steve-Slow-Train-Analysis-(2080s-and-2083s)?_g=(refreshInterval:(display:Off,pause:!f,section:0,value:0),time:(from:'2017-09-17T07:25:15-0600',mode:absolute,to:'2017-09-17T10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9" s="86" t="str">
        <f t="shared" si="1"/>
        <v>"C:\Program Files (x86)\AstroGrep\AstroGrep.exe" /e /r /s /spath="%USERPROFILE%\AppData\Local\Temp\OnboardLogs" /stypes="*4027*201709171*" /stext=" 15:.+((SYSTEM_STATE.+slice.+state.+changed )|(ment ac)|(multiple cpu faults)|(system.+state.+changed )|(\[timeout)|(PRM\|1\|D)|(kpr)|(kdp)|(train st.+moving)|(\|lc)|(penalty))"</v>
      </c>
      <c r="U9" s="9" t="str">
        <f t="shared" si="2"/>
        <v>4027</v>
      </c>
      <c r="V9" s="31">
        <f t="shared" si="3"/>
        <v>42995.63925925926</v>
      </c>
      <c r="W9" s="45" t="str">
        <f t="shared" si="4"/>
        <v>EC</v>
      </c>
      <c r="X9" s="22">
        <f t="shared" si="5"/>
        <v>134</v>
      </c>
      <c r="Y9" s="96" t="str">
        <f t="shared" si="6"/>
        <v>echo {"issue":{"subject":"","project_id":79,"tracker_id":40,"status_id":1,"priority_id":2,"assigned_to_id":338,"start_date":"2017-09-17","description":"","custom_fields":[{"id":1,"name":"Subdivision","value":"EC"},{"id":4,"name":"Milepost","value":"0.4677"},{"id":17,"name":"Train ID","value":"134-17"},{"id":16,"name":"Locomotive ID","value":"4027"},{"id":130,"name":"Impact","value":""},{"id":150,"name":"Time of Event (Mountain Time)","value":"09:20:32"},{"id":151,"name":"Denver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/c/Users/stu/AppData/Local/Temp/OnboardLogs/RTDC4027 --include="*4027*201709171*"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"%USERPROFILE%\AppData\Local\Temp\OnboardLogs"\RTDC4027\*4027*201709171* &gt;&gt; 2017-09-17-SliceDisagreementCheck.txt</v>
      </c>
      <c r="AE9" s="145" t="str">
        <f t="shared" si="9"/>
        <v>start /low /b %USERPROFILE%\Documents\GitHub\eaglep3\Utilities\DownloadLogsFromS3.py --loco 4027 --day 2017-09-17</v>
      </c>
    </row>
    <row r="10" spans="1:32" s="1" customFormat="1" x14ac:dyDescent="0.25">
      <c r="A10" s="31">
        <v>42995.407314814816</v>
      </c>
      <c r="B10" s="30" t="s">
        <v>460</v>
      </c>
      <c r="C10" s="30" t="s">
        <v>586</v>
      </c>
      <c r="D10" s="30" t="s">
        <v>49</v>
      </c>
      <c r="E10" s="30" t="s">
        <v>195</v>
      </c>
      <c r="F10" s="42">
        <v>300</v>
      </c>
      <c r="G10" s="42">
        <v>501</v>
      </c>
      <c r="H10" s="42">
        <v>24789</v>
      </c>
      <c r="I10" s="42">
        <v>23169</v>
      </c>
      <c r="J10" s="30" t="s">
        <v>196</v>
      </c>
      <c r="K10" s="42">
        <v>21848</v>
      </c>
      <c r="L10" s="131" t="s">
        <v>51</v>
      </c>
      <c r="M10" s="132">
        <f t="shared" si="0"/>
        <v>697.48800000000006</v>
      </c>
      <c r="N10" s="133" t="str">
        <f>VLOOKUP(C10,'Trips&amp;Operators'!$C$1:$G$99911,5,FALSE)</f>
        <v>GEBRETEKLE DAGNEW</v>
      </c>
      <c r="O10" s="177" t="s">
        <v>180</v>
      </c>
      <c r="P10" s="134"/>
      <c r="Q10" s="30"/>
      <c r="R10" s="81" t="str">
        <f>VLOOKUP(C10,'Train Runs'!$A$13:$AE$9950,31,0)</f>
        <v>aws s3 cp s3://rtdc.mdm.uploadarchive.raw/RTDC4043/ "%USERPROFILE%\AppData\Local\Temp\OnboardLogs"\RTDC4043\2017-09-17 --exclude "*" --recursive --include "*20170917*" &amp; "%USERPROFILE%\Documents\GitHub\mrs-test-scripts\Headless Mode &amp; Sideloading\WalkAndUnGZ.bat" "%USERPROFILE%\AppData\Local\Temp\OnboardLogs"\RTDC4043\2017-09-17 &amp; aws s3 cp s3://rtdc.mdm.uploadarchive.raw/RTDC4043/ "%USERPROFILE%\AppData\Local\Temp\OnboardLogs"\RTDC4043\2017-09-18 --exclude "*" --recursive --include "*20170918*" &amp; "%USERPROFILE%\Documents\GitHub\mrs-test-scripts\Headless Mode &amp; Sideloading\WalkAndUnGZ.bat" "%USERPROFILE%\AppData\Local\Temp\OnboardLogs"\RTDC4043\2017-09-18</v>
      </c>
      <c r="S10" s="84" t="str">
        <f>VLOOKUP(C10,'Train Runs'!$A$13:$AE$9950,22,0)</f>
        <v>https://d0f6bd738d7f1b3e5a7ca70fe4ff75f0.us-east-1.aws.found.io/app/kibana#/discover/Steve-Slow-Train-Analysis-(2080s-and-2083s)?_g=(refreshInterval:(display:Off,pause:!f,section:0,value:0),time:(from:'2017-09-17T07:52:58-0600',mode:absolute,to:'2017-09-17T10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0" s="86" t="str">
        <f t="shared" si="1"/>
        <v>"C:\Program Files (x86)\AstroGrep\AstroGrep.exe" /e /r /s /spath="%USERPROFILE%\AppData\Local\Temp\OnboardLogs" /stypes="*4043*201709171*"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4043</v>
      </c>
      <c r="V10" s="31">
        <f t="shared" si="3"/>
        <v>42995.657314814816</v>
      </c>
      <c r="W10" s="45" t="str">
        <f t="shared" si="4"/>
        <v>EC</v>
      </c>
      <c r="X10" s="22">
        <f t="shared" si="5"/>
        <v>138</v>
      </c>
      <c r="Y10" s="96" t="str">
        <f t="shared" si="6"/>
        <v>echo {"issue":{"subject":"","project_id":79,"tracker_id":40,"status_id":1,"priority_id":2,"assigned_to_id":338,"start_date":"2017-09-17","description":"","custom_fields":[{"id":1,"name":"Subdivision","value":"EC"},{"id":4,"name":"Milepost","value":"2.1848"},{"id":17,"name":"Train ID","value":"138-17"},{"id":16,"name":"Locomotive ID","value":"4043"},{"id":130,"name":"Impact","value":""},{"id":150,"name":"Time of Event (Mountain Time)","value":"09:46:32"},{"id":151,"name":"Denver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/c/Users/stu/AppData/Local/Temp/OnboardLogs/RTDC4043 --include="*4043*201709171*"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"%USERPROFILE%\AppData\Local\Temp\OnboardLogs"\RTDC4043\*4043*201709171* &gt;&gt; 2017-09-17-SliceDisagreementCheck.txt</v>
      </c>
      <c r="AE10" s="145" t="str">
        <f t="shared" si="9"/>
        <v>start /low /b %USERPROFILE%\Documents\GitHub\eaglep3\Utilities\DownloadLogsFromS3.py --loco 4043 --day 2017-09-17</v>
      </c>
    </row>
    <row r="11" spans="1:32" s="1" customFormat="1" x14ac:dyDescent="0.25">
      <c r="A11" s="31">
        <v>42995.837916666664</v>
      </c>
      <c r="B11" s="30" t="s">
        <v>445</v>
      </c>
      <c r="C11" s="30" t="s">
        <v>601</v>
      </c>
      <c r="D11" s="30" t="s">
        <v>96</v>
      </c>
      <c r="E11" s="30" t="s">
        <v>195</v>
      </c>
      <c r="F11" s="42">
        <v>200</v>
      </c>
      <c r="G11" s="42">
        <v>254</v>
      </c>
      <c r="H11" s="42">
        <v>27512</v>
      </c>
      <c r="I11" s="42">
        <v>27935</v>
      </c>
      <c r="J11" s="30" t="s">
        <v>196</v>
      </c>
      <c r="K11" s="42">
        <v>27333</v>
      </c>
      <c r="L11" s="131" t="s">
        <v>50</v>
      </c>
      <c r="M11" s="132">
        <f t="shared" si="0"/>
        <v>-317.85599999999999</v>
      </c>
      <c r="N11" s="133" t="str">
        <f>VLOOKUP(C11,'Trips&amp;Operators'!$C$1:$G$99911,5,FALSE)</f>
        <v>ELBAUM MIKE</v>
      </c>
      <c r="O11" s="177" t="s">
        <v>180</v>
      </c>
      <c r="P11" s="134"/>
      <c r="Q11" s="30"/>
      <c r="R11" s="81" t="str">
        <f>VLOOKUP(C11,'Train Runs'!$A$13:$AE$9950,31,0)</f>
        <v>aws s3 cp s3://rtdc.mdm.uploadarchive.raw/RTDC4028/ "%USERPROFILE%\AppData\Local\Temp\OnboardLogs"\RTDC4028\2017-09-17 --exclude "*" --recursive --include "*20170917*" &amp; "%USERPROFILE%\Documents\GitHub\mrs-test-scripts\Headless Mode &amp; Sideloading\WalkAndUnGZ.bat" "%USERPROFILE%\AppData\Local\Temp\OnboardLogs"\RTDC4028\2017-09-17 &amp; 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</v>
      </c>
      <c r="S11" s="84" t="str">
        <f>VLOOKUP(C11,'Train Runs'!$A$13:$AE$9950,22,0)</f>
        <v>https://d0f6bd738d7f1b3e5a7ca70fe4ff75f0.us-east-1.aws.found.io/app/kibana#/discover/Steve-Slow-Train-Analysis-(2080s-and-2083s)?_g=(refreshInterval:(display:Off,pause:!f,section:0,value:0),time:(from:'2017-09-17T18:50:55-0600',mode:absolute,to:'2017-09-17T21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1" s="86" t="str">
        <f t="shared" si="1"/>
        <v>"C:\Program Files (x86)\AstroGrep\AstroGrep.exe" /e /r /s /spath="%USERPROFILE%\AppData\Local\Temp\OnboardLogs" /stypes="*4028*201709180*" /stext=" 02:.+((SYSTEM_STATE.+slice.+state.+changed )|(ment ac)|(multiple cpu faults)|(system.+state.+changed )|(\[timeout)|(PRM\|1\|D)|(kpr)|(kdp)|(train st.+moving)|(\|lc)|(penalty))"</v>
      </c>
      <c r="U11" s="9" t="str">
        <f t="shared" si="2"/>
        <v>4028</v>
      </c>
      <c r="V11" s="31">
        <f t="shared" si="3"/>
        <v>42996.087916666664</v>
      </c>
      <c r="W11" s="45" t="str">
        <f t="shared" si="4"/>
        <v>EC</v>
      </c>
      <c r="X11" s="22">
        <f t="shared" si="5"/>
        <v>225</v>
      </c>
      <c r="Y11" s="96" t="str">
        <f t="shared" si="6"/>
        <v>echo {"issue":{"subject":"","project_id":79,"tracker_id":40,"status_id":1,"priority_id":2,"assigned_to_id":338,"start_date":"2017-09-17","description":"","custom_fields":[{"id":1,"name":"Subdivision","value":"EC"},{"id":4,"name":"Milepost","value":"2.7333"},{"id":17,"name":"Train ID","value":"225-17"},{"id":16,"name":"Locomotive ID","value":"4028"},{"id":130,"name":"Impact","value":""},{"id":150,"name":"Time of Event (Mountain Time)","value":"20:06:36"},{"id":151,"name":"Denver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/c/Users/stu/AppData/Local/Temp/OnboardLogs/RTDC4028 --include="*4028*201709180*"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"%USERPROFILE%\AppData\Local\Temp\OnboardLogs"\RTDC4028\*4028*201709180* &gt;&gt; 2017-09-17-SliceDisagreementCheck.txt</v>
      </c>
      <c r="AE11" s="145" t="str">
        <f t="shared" si="9"/>
        <v>start /low /b %USERPROFILE%\Documents\GitHub\eaglep3\Utilities\DownloadLogsFromS3.py --loco 4028 --day 2017-09-18</v>
      </c>
    </row>
    <row r="12" spans="1:32" x14ac:dyDescent="0.25">
      <c r="A12" s="31">
        <v>42995.199502314812</v>
      </c>
      <c r="B12" s="30" t="s">
        <v>445</v>
      </c>
      <c r="C12" s="30" t="s">
        <v>573</v>
      </c>
      <c r="D12" s="30" t="s">
        <v>96</v>
      </c>
      <c r="E12" s="30" t="s">
        <v>195</v>
      </c>
      <c r="F12" s="42">
        <v>600</v>
      </c>
      <c r="G12" s="42">
        <v>650</v>
      </c>
      <c r="H12" s="42">
        <v>186895</v>
      </c>
      <c r="I12" s="42">
        <v>189462</v>
      </c>
      <c r="J12" s="30" t="s">
        <v>196</v>
      </c>
      <c r="K12" s="42">
        <v>183829</v>
      </c>
      <c r="L12" s="131" t="s">
        <v>50</v>
      </c>
      <c r="M12" s="132">
        <f t="shared" si="0"/>
        <v>-2974.2240000000002</v>
      </c>
      <c r="N12" s="133" t="str">
        <f>VLOOKUP(C12,'Trips&amp;Operators'!$C$1:$G$99911,5,FALSE)</f>
        <v>DAVIS WENDY</v>
      </c>
      <c r="O12" s="177" t="s">
        <v>180</v>
      </c>
      <c r="P12" s="134"/>
      <c r="Q12" s="30"/>
      <c r="R12" s="81" t="str">
        <f>VLOOKUP(C12,'Train Runs'!$A$13:$AE$9950,31,0)</f>
        <v>aws s3 cp s3://rtdc.mdm.uploadarchive.raw/RTDC4028/ "%USERPROFILE%\AppData\Local\Temp\OnboardLogs"\RTDC4028\2017-09-17 --exclude "*" --recursive --include "*20170917*" &amp; "%USERPROFILE%\Documents\GitHub\mrs-test-scripts\Headless Mode &amp; Sideloading\WalkAndUnGZ.bat" "%USERPROFILE%\AppData\Local\Temp\OnboardLogs"\RTDC4028\2017-09-17 &amp; 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</v>
      </c>
      <c r="S12" s="84" t="str">
        <f>VLOOKUP(C12,'Train Runs'!$A$13:$AE$9950,22,0)</f>
        <v>https://d0f6bd738d7f1b3e5a7ca70fe4ff75f0.us-east-1.aws.found.io/app/kibana#/discover/Steve-Slow-Train-Analysis-(2080s-and-2083s)?_g=(refreshInterval:(display:Off,pause:!f,section:0,value:0),time:(from:'2017-09-17T03:02:15-0600',mode:absolute,to:'2017-09-17T05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2" s="86" t="str">
        <f t="shared" si="1"/>
        <v>"C:\Program Files (x86)\AstroGrep\AstroGrep.exe" /e /r /s /spath="%USERPROFILE%\AppData\Local\Temp\OnboardLogs" /stypes="*4028*201709171*" /stext=" 10:.+((SYSTEM_STATE.+slice.+state.+changed )|(ment ac)|(multiple cpu faults)|(system.+state.+changed )|(\[timeout)|(PRM\|1\|D)|(kpr)|(kdp)|(train st.+moving)|(\|lc)|(penalty))"</v>
      </c>
      <c r="U12" s="9" t="str">
        <f t="shared" si="2"/>
        <v>4028</v>
      </c>
      <c r="V12" s="31">
        <f t="shared" si="3"/>
        <v>42995.449502314812</v>
      </c>
      <c r="W12" s="45" t="str">
        <f t="shared" si="4"/>
        <v>EC</v>
      </c>
      <c r="X12" s="22">
        <f t="shared" si="5"/>
        <v>105</v>
      </c>
      <c r="Y12" s="96" t="str">
        <f t="shared" si="6"/>
        <v>echo {"issue":{"subject":"","project_id":79,"tracker_id":40,"status_id":1,"priority_id":2,"assigned_to_id":338,"start_date":"2017-09-17","description":"","custom_fields":[{"id":1,"name":"Subdivision","value":"EC"},{"id":4,"name":"Milepost","value":"18.3829"},{"id":17,"name":"Train ID","value":"105-17"},{"id":16,"name":"Locomotive ID","value":"4028"},{"id":130,"name":"Impact","value":""},{"id":150,"name":"Time of Event (Mountain Time)","value":"04:47:17"},{"id":151,"name":"Denver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/c/Users/stu/AppData/Local/Temp/OnboardLogs/RTDC4028 --include="*4028*201709171*"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"%USERPROFILE%\AppData\Local\Temp\OnboardLogs"\RTDC4028\*4028*201709171* &gt;&gt; 2017-09-17-SliceDisagreementCheck.txt</v>
      </c>
      <c r="AE12" s="145" t="str">
        <f t="shared" si="9"/>
        <v>start /low /b %USERPROFILE%\Documents\GitHub\eaglep3\Utilities\DownloadLogsFromS3.py --loco 4028 --day 2017-09-17</v>
      </c>
      <c r="AF12" s="1"/>
    </row>
    <row r="13" spans="1:32" x14ac:dyDescent="0.25">
      <c r="A13" s="31">
        <v>42995.222071759257</v>
      </c>
      <c r="B13" s="30" t="s">
        <v>446</v>
      </c>
      <c r="C13" s="30" t="s">
        <v>577</v>
      </c>
      <c r="D13" s="30" t="s">
        <v>96</v>
      </c>
      <c r="E13" s="30" t="s">
        <v>195</v>
      </c>
      <c r="F13" s="42">
        <v>600</v>
      </c>
      <c r="G13" s="42">
        <v>654</v>
      </c>
      <c r="H13" s="42">
        <v>184179</v>
      </c>
      <c r="I13" s="42">
        <v>180985</v>
      </c>
      <c r="J13" s="30" t="s">
        <v>196</v>
      </c>
      <c r="K13" s="42">
        <v>190834</v>
      </c>
      <c r="L13" s="131" t="s">
        <v>51</v>
      </c>
      <c r="M13" s="132">
        <f t="shared" si="0"/>
        <v>-5200.2719999999999</v>
      </c>
      <c r="N13" s="133" t="str">
        <f>VLOOKUP(C13,'Trips&amp;Operators'!$C$1:$G$99911,5,FALSE)</f>
        <v>DAVIS WENDY</v>
      </c>
      <c r="O13" s="177" t="s">
        <v>180</v>
      </c>
      <c r="P13" s="134"/>
      <c r="Q13" s="30"/>
      <c r="R13" s="81" t="str">
        <f>VLOOKUP(C13,'Train Runs'!$A$13:$AE$9950,31,0)</f>
        <v>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 &amp; aws s3 cp s3://rtdc.mdm.uploadarchive.raw/RTDC4027/ "%USERPROFILE%\AppData\Local\Temp\OnboardLogs"\RTDC4027\2017-09-18 --exclude "*" --recursive --include "*20170918*" &amp; "%USERPROFILE%\Documents\GitHub\mrs-test-scripts\Headless Mode &amp; Sideloading\WalkAndUnGZ.bat" "%USERPROFILE%\AppData\Local\Temp\OnboardLogs"\RTDC4027\2017-09-18</v>
      </c>
      <c r="S13" s="84" t="str">
        <f>VLOOKUP(C13,'Train Runs'!$A$13:$AE$9950,22,0)</f>
        <v>https://d0f6bd738d7f1b3e5a7ca70fe4ff75f0.us-east-1.aws.found.io/app/kibana#/discover/Steve-Slow-Train-Analysis-(2080s-and-2083s)?_g=(refreshInterval:(display:Off,pause:!f,section:0,value:0),time:(from:'2017-09-17T03:57:56-0600',mode:absolute,to:'2017-09-17T06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3" s="86" t="str">
        <f t="shared" si="1"/>
        <v>"C:\Program Files (x86)\AstroGrep\AstroGrep.exe" /e /r /s /spath="%USERPROFILE%\AppData\Local\Temp\OnboardLogs" /stypes="*4027*201709171*" /stext=" 11:.+((SYSTEM_STATE.+slice.+state.+changed )|(ment ac)|(multiple cpu faults)|(system.+state.+changed )|(\[timeout)|(PRM\|1\|D)|(kpr)|(kdp)|(train st.+moving)|(\|lc)|(penalty))"</v>
      </c>
      <c r="U13" s="9" t="str">
        <f t="shared" si="2"/>
        <v>4027</v>
      </c>
      <c r="V13" s="31">
        <f t="shared" si="3"/>
        <v>42995.472071759257</v>
      </c>
      <c r="W13" s="45" t="str">
        <f t="shared" si="4"/>
        <v>EC</v>
      </c>
      <c r="X13" s="22">
        <f t="shared" si="5"/>
        <v>106</v>
      </c>
      <c r="Y13" s="96" t="str">
        <f t="shared" si="6"/>
        <v>echo {"issue":{"subject":"","project_id":79,"tracker_id":40,"status_id":1,"priority_id":2,"assigned_to_id":338,"start_date":"2017-09-17","description":"","custom_fields":[{"id":1,"name":"Subdivision","value":"EC"},{"id":4,"name":"Milepost","value":"19.0834"},{"id":17,"name":"Train ID","value":"106-17"},{"id":16,"name":"Locomotive ID","value":"4027"},{"id":130,"name":"Impact","value":""},{"id":150,"name":"Time of Event (Mountain Time)","value":"05:19:47"},{"id":151,"name":"Denver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/c/Users/stu/AppData/Local/Temp/OnboardLogs/RTDC4027 --include="*4027*201709171*"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"%USERPROFILE%\AppData\Local\Temp\OnboardLogs"\RTDC4027\*4027*201709171* &gt;&gt; 2017-09-17-SliceDisagreementCheck.txt</v>
      </c>
      <c r="AE13" s="145" t="str">
        <f t="shared" si="9"/>
        <v>start /low /b %USERPROFILE%\Documents\GitHub\eaglep3\Utilities\DownloadLogsFromS3.py --loco 4027 --day 2017-09-17</v>
      </c>
      <c r="AF13" s="1"/>
    </row>
    <row r="14" spans="1:32" x14ac:dyDescent="0.25">
      <c r="A14" s="31">
        <v>42995.32471064815</v>
      </c>
      <c r="B14" s="30" t="s">
        <v>399</v>
      </c>
      <c r="C14" s="30" t="s">
        <v>584</v>
      </c>
      <c r="D14" s="30" t="s">
        <v>49</v>
      </c>
      <c r="E14" s="30" t="s">
        <v>195</v>
      </c>
      <c r="F14" s="42">
        <v>750</v>
      </c>
      <c r="G14" s="42">
        <v>809</v>
      </c>
      <c r="H14" s="42">
        <v>203303</v>
      </c>
      <c r="I14" s="42">
        <v>199163</v>
      </c>
      <c r="J14" s="30" t="s">
        <v>196</v>
      </c>
      <c r="K14" s="42">
        <v>200464</v>
      </c>
      <c r="L14" s="131" t="s">
        <v>51</v>
      </c>
      <c r="M14" s="132">
        <f t="shared" si="0"/>
        <v>-686.928</v>
      </c>
      <c r="N14" s="133" t="str">
        <f>VLOOKUP(C14,'Trips&amp;Operators'!$C$1:$G$99911,5,FALSE)</f>
        <v>DELGADO DIANAH</v>
      </c>
      <c r="O14" s="177" t="s">
        <v>180</v>
      </c>
      <c r="P14" s="134"/>
      <c r="Q14" s="30"/>
      <c r="R14" s="81" t="str">
        <f>VLOOKUP(C14,'Train Runs'!$A$13:$AE$9950,31,0)</f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S14" s="84" t="str">
        <f>VLOOKUP(C14,'Train Runs'!$A$13:$AE$9950,22,0)</f>
        <v>https://d0f6bd738d7f1b3e5a7ca70fe4ff75f0.us-east-1.aws.found.io/app/kibana#/discover/Steve-Slow-Train-Analysis-(2080s-and-2083s)?_g=(refreshInterval:(display:Off,pause:!f,section:0,value:0),time:(from:'2017-09-17T06:36:44-0600',mode:absolute,to:'2017-09-17T09:19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4" s="86" t="str">
        <f t="shared" si="1"/>
        <v>"C:\Program Files (x86)\AstroGrep\AstroGrep.exe" /e /r /s /spath="%USERPROFILE%\AppData\Local\Temp\OnboardLogs" /stypes="*4059*201709171*" /stext=" 13:.+((SYSTEM_STATE.+slice.+state.+changed )|(ment ac)|(multiple cpu faults)|(system.+state.+changed )|(\[timeout)|(PRM\|1\|D)|(kpr)|(kdp)|(train st.+moving)|(\|lc)|(penalty))"</v>
      </c>
      <c r="U14" s="9" t="str">
        <f t="shared" si="2"/>
        <v>4059</v>
      </c>
      <c r="V14" s="31">
        <f t="shared" si="3"/>
        <v>42995.57471064815</v>
      </c>
      <c r="W14" s="45" t="str">
        <f t="shared" si="4"/>
        <v>EC</v>
      </c>
      <c r="X14" s="22">
        <f t="shared" si="5"/>
        <v>126</v>
      </c>
      <c r="Y14" s="96" t="str">
        <f t="shared" si="6"/>
        <v>echo {"issue":{"subject":"","project_id":79,"tracker_id":40,"status_id":1,"priority_id":2,"assigned_to_id":338,"start_date":"2017-09-17","description":"","custom_fields":[{"id":1,"name":"Subdivision","value":"EC"},{"id":4,"name":"Milepost","value":"20.0464"},{"id":17,"name":"Train ID","value":"126-17"},{"id":16,"name":"Locomotive ID","value":"4059"},{"id":130,"name":"Impact","value":""},{"id":150,"name":"Time of Event (Mountain Time)","value":"07:47:35"},{"id":151,"name":"Denver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/c/Users/stu/AppData/Local/Temp/OnboardLogs/RTDC4059 --include="*4059*201709171*"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"%USERPROFILE%\AppData\Local\Temp\OnboardLogs"\RTDC4059\*4059*201709171* &gt;&gt; 2017-09-17-SliceDisagreementCheck.txt</v>
      </c>
      <c r="AE14" s="145" t="str">
        <f t="shared" si="9"/>
        <v>start /low /b %USERPROFILE%\Documents\GitHub\eaglep3\Utilities\DownloadLogsFromS3.py --loco 4059 --day 2017-09-17</v>
      </c>
      <c r="AF14" s="1"/>
    </row>
    <row r="15" spans="1:32" x14ac:dyDescent="0.25">
      <c r="A15" s="31">
        <v>42996.021944444445</v>
      </c>
      <c r="B15" s="30" t="s">
        <v>445</v>
      </c>
      <c r="C15" s="30" t="s">
        <v>606</v>
      </c>
      <c r="D15" s="30" t="s">
        <v>49</v>
      </c>
      <c r="E15" s="30" t="s">
        <v>195</v>
      </c>
      <c r="F15" s="42">
        <v>550</v>
      </c>
      <c r="G15" s="42">
        <v>771</v>
      </c>
      <c r="H15" s="42">
        <v>218045</v>
      </c>
      <c r="I15" s="42">
        <v>221720</v>
      </c>
      <c r="J15" s="30" t="s">
        <v>196</v>
      </c>
      <c r="K15" s="42">
        <v>222090</v>
      </c>
      <c r="L15" s="131" t="s">
        <v>50</v>
      </c>
      <c r="M15" s="132">
        <f t="shared" si="0"/>
        <v>195.36</v>
      </c>
      <c r="N15" s="133" t="str">
        <f>VLOOKUP(C15,'Trips&amp;Operators'!$C$1:$G$99911,5,FALSE)</f>
        <v>ELBAUM MIKE</v>
      </c>
      <c r="O15" s="177" t="s">
        <v>180</v>
      </c>
      <c r="P15" s="134"/>
      <c r="Q15" s="30"/>
      <c r="R15" s="81" t="str">
        <f>VLOOKUP(C15,'Train Runs'!$A$13:$AE$9950,31,0)</f>
        <v>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 &amp; 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</v>
      </c>
      <c r="S15" s="84" t="str">
        <f>VLOOKUP(C15,'Train Runs'!$A$13:$AE$9950,22,0)</f>
        <v>https://d0f6bd738d7f1b3e5a7ca70fe4ff75f0.us-east-1.aws.found.io/app/kibana#/discover/Steve-Slow-Train-Analysis-(2080s-and-2083s)?_g=(refreshInterval:(display:Off,pause:!f,section:0,value:0),time:(from:'2017-09-17T22:57:05-0600',mode:absolute,to:'2017-09-18T01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5" s="86" t="str">
        <f t="shared" si="1"/>
        <v>"C:\Program Files (x86)\AstroGrep\AstroGrep.exe" /e /r /s /spath="%USERPROFILE%\AppData\Local\Temp\OnboardLogs" /stypes="*4028*201709180*" /stext=" 06:.+((SYSTEM_STATE.+slice.+state.+changed )|(ment ac)|(multiple cpu faults)|(system.+state.+changed )|(\[timeout)|(PRM\|1\|D)|(kpr)|(kdp)|(train st.+moving)|(\|lc)|(penalty))"</v>
      </c>
      <c r="U15" s="9" t="str">
        <f t="shared" si="2"/>
        <v>4028</v>
      </c>
      <c r="V15" s="31">
        <f t="shared" si="3"/>
        <v>42996.271944444445</v>
      </c>
      <c r="W15" s="45" t="str">
        <f t="shared" si="4"/>
        <v>EC</v>
      </c>
      <c r="X15" s="22">
        <f t="shared" si="5"/>
        <v>241</v>
      </c>
      <c r="Y15" s="96" t="str">
        <f t="shared" si="6"/>
        <v>echo {"issue":{"subject":"","project_id":79,"tracker_id":40,"status_id":1,"priority_id":2,"assigned_to_id":338,"start_date":"2017-09-18","description":"","custom_fields":[{"id":1,"name":"Subdivision","value":"EC"},{"id":4,"name":"Milepost","value":"22.209"},{"id":17,"name":"Train ID","value":"241-17"},{"id":16,"name":"Locomotive ID","value":"4028"},{"id":130,"name":"Impact","value":""},{"id":150,"name":"Time of Event (Mountain Time)","value":"00:31:36"},{"id":151,"name":"Denver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/c/Users/stu/AppData/Local/Temp/OnboardLogs/RTDC4028 --include="*4028*201709180*"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"%USERPROFILE%\AppData\Local\Temp\OnboardLogs"\RTDC4028\*4028*201709180* &gt;&gt; 2017-09-17-SliceDisagreementCheck.txt</v>
      </c>
      <c r="AE15" s="145" t="str">
        <f t="shared" si="9"/>
        <v>start /low /b %USERPROFILE%\Documents\GitHub\eaglep3\Utilities\DownloadLogsFromS3.py --loco 4028 --day 2017-09-18</v>
      </c>
      <c r="AF15" s="1"/>
    </row>
    <row r="16" spans="1:32" x14ac:dyDescent="0.25">
      <c r="A16" s="31">
        <v>42995.220462962963</v>
      </c>
      <c r="B16" s="30" t="s">
        <v>575</v>
      </c>
      <c r="C16" s="30" t="s">
        <v>576</v>
      </c>
      <c r="D16" s="30" t="s">
        <v>49</v>
      </c>
      <c r="E16" s="30" t="s">
        <v>195</v>
      </c>
      <c r="F16" s="42">
        <v>350</v>
      </c>
      <c r="G16" s="42">
        <v>585</v>
      </c>
      <c r="H16" s="42">
        <v>221516</v>
      </c>
      <c r="I16" s="42">
        <v>223502</v>
      </c>
      <c r="J16" s="30" t="s">
        <v>196</v>
      </c>
      <c r="K16" s="42">
        <v>224578</v>
      </c>
      <c r="L16" s="131" t="s">
        <v>50</v>
      </c>
      <c r="M16" s="132">
        <f t="shared" si="0"/>
        <v>568.12800000000004</v>
      </c>
      <c r="N16" s="133" t="str">
        <f>VLOOKUP(C16,'Trips&amp;Operators'!$C$1:$G$99911,5,FALSE)</f>
        <v>GEBRETEKLE DAGNEW</v>
      </c>
      <c r="O16" s="177" t="s">
        <v>180</v>
      </c>
      <c r="P16" s="134"/>
      <c r="Q16" s="30"/>
      <c r="R16" s="81" t="str">
        <f>VLOOKUP(C16,'Train Runs'!$A$13:$AE$9950,31,0)</f>
        <v>aws s3 cp s3://rtdc.mdm.uploadarchive.raw/RTDC4044/ "%USERPROFILE%\AppData\Local\Temp\OnboardLogs"\RTDC4044\2017-09-17 --exclude "*" --recursive --include "*20170917*" &amp; "%USERPROFILE%\Documents\GitHub\mrs-test-scripts\Headless Mode &amp; Sideloading\WalkAndUnGZ.bat" "%USERPROFILE%\AppData\Local\Temp\OnboardLogs"\RTDC4044\2017-09-17 &amp; aws s3 cp s3://rtdc.mdm.uploadarchive.raw/RTDC4044/ "%USERPROFILE%\AppData\Local\Temp\OnboardLogs"\RTDC4044\2017-09-18 --exclude "*" --recursive --include "*20170918*" &amp; "%USERPROFILE%\Documents\GitHub\mrs-test-scripts\Headless Mode &amp; Sideloading\WalkAndUnGZ.bat" "%USERPROFILE%\AppData\Local\Temp\OnboardLogs"\RTDC4044\2017-09-18</v>
      </c>
      <c r="S16" s="84" t="str">
        <f>VLOOKUP(C16,'Train Runs'!$A$13:$AE$9950,22,0)</f>
        <v>https://d0f6bd738d7f1b3e5a7ca70fe4ff75f0.us-east-1.aws.found.io/app/kibana#/discover/Steve-Slow-Train-Analysis-(2080s-and-2083s)?_g=(refreshInterval:(display:Off,pause:!f,section:0,value:0),time:(from:'2017-09-17T03:37:49-0600',mode:absolute,to:'2017-09-17T06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6" s="86" t="str">
        <f t="shared" si="1"/>
        <v>"C:\Program Files (x86)\AstroGrep\AstroGrep.exe" /e /r /s /spath="%USERPROFILE%\AppData\Local\Temp\OnboardLogs" /stypes="*4044*201709171*" /stext=" 11:.+((SYSTEM_STATE.+slice.+state.+changed )|(ment ac)|(multiple cpu faults)|(system.+state.+changed )|(\[timeout)|(PRM\|1\|D)|(kpr)|(kdp)|(train st.+moving)|(\|lc)|(penalty))"</v>
      </c>
      <c r="U16" s="9" t="str">
        <f t="shared" si="2"/>
        <v>4044</v>
      </c>
      <c r="V16" s="31">
        <f t="shared" si="3"/>
        <v>42995.470462962963</v>
      </c>
      <c r="W16" s="45" t="str">
        <f t="shared" si="4"/>
        <v>EC</v>
      </c>
      <c r="X16" s="22">
        <f t="shared" si="5"/>
        <v>109</v>
      </c>
      <c r="Y16" s="96" t="str">
        <f t="shared" si="6"/>
        <v>echo {"issue":{"subject":"","project_id":79,"tracker_id":40,"status_id":1,"priority_id":2,"assigned_to_id":338,"start_date":"2017-09-17","description":"","custom_fields":[{"id":1,"name":"Subdivision","value":"EC"},{"id":4,"name":"Milepost","value":"22.4578"},{"id":17,"name":"Train ID","value":"109-17"},{"id":16,"name":"Locomotive ID","value":"4044"},{"id":130,"name":"Impact","value":""},{"id":150,"name":"Time of Event (Mountain Time)","value":"05:17:28"},{"id":151,"name":"Denver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/c/Users/stu/AppData/Local/Temp/OnboardLogs/RTDC4044 --include="*4044*201709171*"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"%USERPROFILE%\AppData\Local\Temp\OnboardLogs"\RTDC4044\*4044*201709171* &gt;&gt; 2017-09-17-SliceDisagreementCheck.txt</v>
      </c>
      <c r="AE16" s="145" t="str">
        <f t="shared" si="9"/>
        <v>start /low /b %USERPROFILE%\Documents\GitHub\eaglep3\Utilities\DownloadLogsFromS3.py --loco 4044 --day 2017-09-17</v>
      </c>
      <c r="AF16" s="1"/>
    </row>
    <row r="17" spans="1:32" x14ac:dyDescent="0.25">
      <c r="A17" s="31">
        <v>42995.541400462964</v>
      </c>
      <c r="B17" s="30" t="s">
        <v>399</v>
      </c>
      <c r="C17" s="30" t="s">
        <v>594</v>
      </c>
      <c r="D17" s="30" t="s">
        <v>96</v>
      </c>
      <c r="E17" s="30" t="s">
        <v>195</v>
      </c>
      <c r="F17" s="42">
        <v>350</v>
      </c>
      <c r="G17" s="42">
        <v>400</v>
      </c>
      <c r="H17" s="42">
        <v>224792</v>
      </c>
      <c r="I17" s="42">
        <v>223490</v>
      </c>
      <c r="J17" s="30" t="s">
        <v>196</v>
      </c>
      <c r="K17" s="42">
        <v>232107</v>
      </c>
      <c r="L17" s="131" t="s">
        <v>51</v>
      </c>
      <c r="M17" s="132">
        <f t="shared" si="0"/>
        <v>-4549.7759999999998</v>
      </c>
      <c r="N17" s="133" t="str">
        <f>VLOOKUP(C17,'Trips&amp;Operators'!$C$1:$G$99911,5,FALSE)</f>
        <v>BADERTSCHER DIANE</v>
      </c>
      <c r="O17" s="177" t="s">
        <v>180</v>
      </c>
      <c r="P17" s="134"/>
      <c r="Q17" s="30"/>
      <c r="R17" s="81" t="str">
        <f>VLOOKUP(C17,'Train Runs'!$A$13:$AE$9950,31,0)</f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S17" s="84" t="str">
        <f>VLOOKUP(C17,'Train Runs'!$A$13:$AE$9950,22,0)</f>
        <v>https://d0f6bd738d7f1b3e5a7ca70fe4ff75f0.us-east-1.aws.found.io/app/kibana#/discover/Steve-Slow-Train-Analysis-(2080s-and-2083s)?_g=(refreshInterval:(display:Off,pause:!f,section:0,value:0),time:(from:'2017-09-17T11:42:18-0600',mode:absolute,to:'2017-09-17T14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7" s="86" t="str">
        <f t="shared" si="1"/>
        <v>"C:\Program Files (x86)\AstroGrep\AstroGrep.exe" /e /r /s /spath="%USERPROFILE%\AppData\Local\Temp\OnboardLogs" /stypes="*4059*201709171*" /stext=" 18:.+((SYSTEM_STATE.+slice.+state.+changed )|(ment ac)|(multiple cpu faults)|(system.+state.+changed )|(\[timeout)|(PRM\|1\|D)|(kpr)|(kdp)|(train st.+moving)|(\|lc)|(penalty))"</v>
      </c>
      <c r="U17" s="9" t="str">
        <f t="shared" si="2"/>
        <v>4059</v>
      </c>
      <c r="V17" s="31">
        <f t="shared" si="3"/>
        <v>42995.791400462964</v>
      </c>
      <c r="W17" s="45" t="str">
        <f t="shared" si="4"/>
        <v>EC</v>
      </c>
      <c r="X17" s="22">
        <f t="shared" si="5"/>
        <v>168</v>
      </c>
      <c r="Y17" s="96" t="str">
        <f t="shared" si="6"/>
        <v>echo {"issue":{"subject":"","project_id":79,"tracker_id":40,"status_id":1,"priority_id":2,"assigned_to_id":338,"start_date":"2017-09-17","description":"","custom_fields":[{"id":1,"name":"Subdivision","value":"EC"},{"id":4,"name":"Milepost","value":"23.2107"},{"id":17,"name":"Train ID","value":"168-17"},{"id":16,"name":"Locomotive ID","value":"4059"},{"id":130,"name":"Impact","value":""},{"id":150,"name":"Time of Event (Mountain Time)","value":"12:59:37"},{"id":151,"name":"Denver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/c/Users/stu/AppData/Local/Temp/OnboardLogs/RTDC4059 --include="*4059*201709171*"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"%USERPROFILE%\AppData\Local\Temp\OnboardLogs"\RTDC4059\*4059*201709171* &gt;&gt; 2017-09-17-SliceDisagreementCheck.txt</v>
      </c>
      <c r="AE17" s="145" t="str">
        <f t="shared" si="9"/>
        <v>start /low /b %USERPROFILE%\Documents\GitHub\eaglep3\Utilities\DownloadLogsFromS3.py --loco 4059 --day 2017-09-17</v>
      </c>
      <c r="AF17" s="1"/>
    </row>
    <row r="18" spans="1:32" x14ac:dyDescent="0.25">
      <c r="A18" s="31">
        <v>42995.186909722222</v>
      </c>
      <c r="B18" s="30" t="s">
        <v>445</v>
      </c>
      <c r="C18" s="30" t="s">
        <v>573</v>
      </c>
      <c r="D18" s="30" t="s">
        <v>49</v>
      </c>
      <c r="E18" s="30" t="s">
        <v>361</v>
      </c>
      <c r="F18" s="42">
        <v>0</v>
      </c>
      <c r="G18" s="42">
        <v>352</v>
      </c>
      <c r="H18" s="42">
        <v>62113</v>
      </c>
      <c r="I18" s="42">
        <v>62905</v>
      </c>
      <c r="J18" s="30" t="s">
        <v>362</v>
      </c>
      <c r="K18" s="42">
        <v>63995</v>
      </c>
      <c r="L18" s="131" t="s">
        <v>50</v>
      </c>
      <c r="M18" s="132">
        <f t="shared" si="0"/>
        <v>575.52</v>
      </c>
      <c r="N18" s="133" t="str">
        <f>VLOOKUP(C18,'Trips&amp;Operators'!$C$1:$G$99911,5,FALSE)</f>
        <v>DAVIS WENDY</v>
      </c>
      <c r="O18" s="177" t="s">
        <v>506</v>
      </c>
      <c r="P18" s="134" t="s">
        <v>571</v>
      </c>
      <c r="Q18" s="30"/>
      <c r="R18" s="81" t="str">
        <f>VLOOKUP(C18,'Train Runs'!$A$13:$AE$9950,31,0)</f>
        <v>aws s3 cp s3://rtdc.mdm.uploadarchive.raw/RTDC4028/ "%USERPROFILE%\AppData\Local\Temp\OnboardLogs"\RTDC4028\2017-09-17 --exclude "*" --recursive --include "*20170917*" &amp; "%USERPROFILE%\Documents\GitHub\mrs-test-scripts\Headless Mode &amp; Sideloading\WalkAndUnGZ.bat" "%USERPROFILE%\AppData\Local\Temp\OnboardLogs"\RTDC4028\2017-09-17 &amp; 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</v>
      </c>
      <c r="S18" s="84" t="str">
        <f>VLOOKUP(C18,'Train Runs'!$A$13:$AE$9950,22,0)</f>
        <v>https://d0f6bd738d7f1b3e5a7ca70fe4ff75f0.us-east-1.aws.found.io/app/kibana#/discover/Steve-Slow-Train-Analysis-(2080s-and-2083s)?_g=(refreshInterval:(display:Off,pause:!f,section:0,value:0),time:(from:'2017-09-17T03:02:15-0600',mode:absolute,to:'2017-09-17T05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86" t="str">
        <f t="shared" si="1"/>
        <v>"C:\Program Files (x86)\AstroGrep\AstroGrep.exe" /e /r /s /spath="%USERPROFILE%\AppData\Local\Temp\OnboardLogs" /stypes="*4028*201709171*" /stext=" 10:.+((SYSTEM_STATE.+slice.+state.+changed )|(ment ac)|(multiple cpu faults)|(system.+state.+changed )|(\[timeout)|(PRM\|1\|D)|(kpr)|(kdp)|(train st.+moving)|(\|lc)|(penalty))"</v>
      </c>
      <c r="U18" s="9" t="str">
        <f t="shared" si="2"/>
        <v>4028</v>
      </c>
      <c r="V18" s="31">
        <f t="shared" si="3"/>
        <v>42995.436909722222</v>
      </c>
      <c r="W18" s="45" t="str">
        <f t="shared" si="4"/>
        <v>EC</v>
      </c>
      <c r="X18" s="22">
        <f t="shared" si="5"/>
        <v>105</v>
      </c>
      <c r="Y18" s="96" t="str">
        <f t="shared" si="6"/>
        <v>echo {"issue":{"subject":"Wi-MAX data drop","project_id":79,"tracker_id":40,"status_id":1,"priority_id":2,"assigned_to_id":338,"start_date":"2017-09-17","description":"","custom_fields":[{"id":1,"name":"Subdivision","value":"EC"},{"id":4,"name":"Milepost","value":"6.3995"},{"id":17,"name":"Train ID","value":"105-17"},{"id":16,"name":"Locomotive ID","value":"4028"},{"id":130,"name":"Impact","value":""},{"id":150,"name":"Time of Event (Mountain Time)","value":"04:29:09"},{"id":151,"name":"Denver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/c/Users/stu/AppData/Local/Temp/OnboardLogs/RTDC4028 --include="*4028*201709171*"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"%USERPROFILE%\AppData\Local\Temp\OnboardLogs"\RTDC4028\*4028*201709171* &gt;&gt; 2017-09-17-SliceDisagreementCheck.txt</v>
      </c>
      <c r="AE18" s="145" t="str">
        <f t="shared" si="9"/>
        <v>start /low /b %USERPROFILE%\Documents\GitHub\eaglep3\Utilities\DownloadLogsFromS3.py --loco 4028 --day 2017-09-17</v>
      </c>
      <c r="AF18" s="1"/>
    </row>
    <row r="19" spans="1:32" x14ac:dyDescent="0.25">
      <c r="A19" s="31">
        <v>42995.283136574071</v>
      </c>
      <c r="B19" s="30" t="s">
        <v>575</v>
      </c>
      <c r="C19" s="30" t="s">
        <v>580</v>
      </c>
      <c r="D19" s="30" t="s">
        <v>49</v>
      </c>
      <c r="E19" s="30" t="s">
        <v>361</v>
      </c>
      <c r="F19" s="42">
        <v>0</v>
      </c>
      <c r="G19" s="42">
        <v>270</v>
      </c>
      <c r="H19" s="42">
        <v>87188</v>
      </c>
      <c r="I19" s="42">
        <v>88427</v>
      </c>
      <c r="J19" s="30" t="s">
        <v>362</v>
      </c>
      <c r="K19" s="42">
        <v>87889</v>
      </c>
      <c r="L19" s="131" t="s">
        <v>50</v>
      </c>
      <c r="M19" s="132">
        <f t="shared" si="0"/>
        <v>-284.06400000000002</v>
      </c>
      <c r="N19" s="133" t="str">
        <f>VLOOKUP(C19,'Trips&amp;Operators'!$C$1:$G$99911,5,FALSE)</f>
        <v>GEBRETEKLE DAGNEW</v>
      </c>
      <c r="O19" s="177" t="s">
        <v>506</v>
      </c>
      <c r="P19" s="134" t="s">
        <v>571</v>
      </c>
      <c r="Q19" s="30"/>
      <c r="R19" s="81" t="str">
        <f>VLOOKUP(C19,'Train Runs'!$A$13:$AE$9950,31,0)</f>
        <v>aws s3 cp s3://rtdc.mdm.uploadarchive.raw/RTDC4044/ "%USERPROFILE%\AppData\Local\Temp\OnboardLogs"\RTDC4044\2017-09-17 --exclude "*" --recursive --include "*20170917*" &amp; "%USERPROFILE%\Documents\GitHub\mrs-test-scripts\Headless Mode &amp; Sideloading\WalkAndUnGZ.bat" "%USERPROFILE%\AppData\Local\Temp\OnboardLogs"\RTDC4044\2017-09-17 &amp; aws s3 cp s3://rtdc.mdm.uploadarchive.raw/RTDC4044/ "%USERPROFILE%\AppData\Local\Temp\OnboardLogs"\RTDC4044\2017-09-18 --exclude "*" --recursive --include "*20170918*" &amp; "%USERPROFILE%\Documents\GitHub\mrs-test-scripts\Headless Mode &amp; Sideloading\WalkAndUnGZ.bat" "%USERPROFILE%\AppData\Local\Temp\OnboardLogs"\RTDC4044\2017-09-18</v>
      </c>
      <c r="S19" s="84" t="str">
        <f>VLOOKUP(C19,'Train Runs'!$A$13:$AE$9950,22,0)</f>
        <v>https://d0f6bd738d7f1b3e5a7ca70fe4ff75f0.us-east-1.aws.found.io/app/kibana#/discover/Steve-Slow-Train-Analysis-(2080s-and-2083s)?_g=(refreshInterval:(display:Off,pause:!f,section:0,value:0),time:(from:'2017-09-17T05:23:51-0600',mode:absolute,to:'2017-09-17T08:09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9" s="86" t="str">
        <f t="shared" si="1"/>
        <v>"C:\Program Files (x86)\AstroGrep\AstroGrep.exe" /e /r /s /spath="%USERPROFILE%\AppData\Local\Temp\OnboardLogs" /stypes="*4044*201709171*" /stext=" 12:.+((SYSTEM_STATE.+slice.+state.+changed )|(ment ac)|(multiple cpu faults)|(system.+state.+changed )|(\[timeout)|(PRM\|1\|D)|(kpr)|(kdp)|(train st.+moving)|(\|lc)|(penalty))"</v>
      </c>
      <c r="U19" s="9" t="str">
        <f t="shared" si="2"/>
        <v>4044</v>
      </c>
      <c r="V19" s="31">
        <f t="shared" si="3"/>
        <v>42995.533136574071</v>
      </c>
      <c r="W19" s="45" t="str">
        <f t="shared" si="4"/>
        <v>EC</v>
      </c>
      <c r="X19" s="22">
        <f t="shared" si="5"/>
        <v>123</v>
      </c>
      <c r="Y19" s="96" t="str">
        <f t="shared" si="6"/>
        <v>echo {"issue":{"subject":"Wi-MAX data drop","project_id":79,"tracker_id":40,"status_id":1,"priority_id":2,"assigned_to_id":338,"start_date":"2017-09-17","description":"","custom_fields":[{"id":1,"name":"Subdivision","value":"EC"},{"id":4,"name":"Milepost","value":"8.7889"},{"id":17,"name":"Train ID","value":"123-17"},{"id":16,"name":"Locomotive ID","value":"4044"},{"id":130,"name":"Impact","value":""},{"id":150,"name":"Time of Event (Mountain Time)","value":"06:47:43"},{"id":151,"name":"Denver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/c/Users/stu/AppData/Local/Temp/OnboardLogs/RTDC4044 --include="*4044*201709171*"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"%USERPROFILE%\AppData\Local\Temp\OnboardLogs"\RTDC4044\*4044*201709171* &gt;&gt; 2017-09-17-SliceDisagreementCheck.txt</v>
      </c>
      <c r="AE19" s="145" t="str">
        <f t="shared" si="9"/>
        <v>start /low /b %USERPROFILE%\Documents\GitHub\eaglep3\Utilities\DownloadLogsFromS3.py --loco 4044 --day 2017-09-17</v>
      </c>
      <c r="AF19" s="1"/>
    </row>
    <row r="20" spans="1:32" x14ac:dyDescent="0.25">
      <c r="A20" s="31">
        <v>42995.62636574074</v>
      </c>
      <c r="B20" s="30" t="s">
        <v>399</v>
      </c>
      <c r="C20" s="30" t="s">
        <v>597</v>
      </c>
      <c r="D20" s="30" t="s">
        <v>49</v>
      </c>
      <c r="E20" s="30" t="s">
        <v>361</v>
      </c>
      <c r="F20" s="42">
        <v>0</v>
      </c>
      <c r="G20" s="42">
        <v>482</v>
      </c>
      <c r="H20" s="42">
        <v>89579</v>
      </c>
      <c r="I20" s="42">
        <v>88117</v>
      </c>
      <c r="J20" s="30" t="s">
        <v>362</v>
      </c>
      <c r="K20" s="42">
        <v>87902</v>
      </c>
      <c r="L20" s="131" t="s">
        <v>51</v>
      </c>
      <c r="M20" s="132">
        <f t="shared" si="0"/>
        <v>113.52</v>
      </c>
      <c r="N20" s="133" t="str">
        <f>VLOOKUP(C20,'Trips&amp;Operators'!$C$1:$G$99911,5,FALSE)</f>
        <v>BADERTSCHER DIANE</v>
      </c>
      <c r="O20" s="177" t="s">
        <v>506</v>
      </c>
      <c r="P20" s="134" t="s">
        <v>571</v>
      </c>
      <c r="Q20" s="30"/>
      <c r="R20" s="81" t="str">
        <f>VLOOKUP(C20,'Train Runs'!$A$13:$AE$9950,31,0)</f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S20" s="84" t="str">
        <f>VLOOKUP(C20,'Train Runs'!$A$13:$AE$9950,22,0)</f>
        <v>https://d0f6bd738d7f1b3e5a7ca70fe4ff75f0.us-east-1.aws.found.io/app/kibana#/discover/Steve-Slow-Train-Analysis-(2080s-and-2083s)?_g=(refreshInterval:(display:Off,pause:!f,section:0,value:0),time:(from:'2017-09-17T13:36:02-0600',mode:absolute,to:'2017-09-17T16:27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0" s="86" t="str">
        <f t="shared" si="1"/>
        <v>"C:\Program Files (x86)\AstroGrep\AstroGrep.exe" /e /r /s /spath="%USERPROFILE%\AppData\Local\Temp\OnboardLogs" /stypes="*4059*201709172*" /stext=" 21:.+((SYSTEM_STATE.+slice.+state.+changed )|(ment ac)|(multiple cpu faults)|(system.+state.+changed )|(\[timeout)|(PRM\|1\|D)|(kpr)|(kdp)|(train st.+moving)|(\|lc)|(penalty))"</v>
      </c>
      <c r="U20" s="9" t="str">
        <f t="shared" si="2"/>
        <v>4059</v>
      </c>
      <c r="V20" s="31">
        <f t="shared" si="3"/>
        <v>42995.87636574074</v>
      </c>
      <c r="W20" s="45" t="str">
        <f t="shared" si="4"/>
        <v>EC</v>
      </c>
      <c r="X20" s="22">
        <f t="shared" si="5"/>
        <v>182</v>
      </c>
      <c r="Y20" s="96" t="str">
        <f t="shared" si="6"/>
        <v>echo {"issue":{"subject":"Wi-MAX data drop","project_id":79,"tracker_id":40,"status_id":1,"priority_id":2,"assigned_to_id":338,"start_date":"2017-09-17","description":"","custom_fields":[{"id":1,"name":"Subdivision","value":"EC"},{"id":4,"name":"Milepost","value":"8.7902"},{"id":17,"name":"Train ID","value":"182-17"},{"id":16,"name":"Locomotive ID","value":"4059"},{"id":130,"name":"Impact","value":""},{"id":150,"name":"Time of Event (Mountain Time)","value":"15:01:58"},{"id":151,"name":"Denver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/c/Users/stu/AppData/Local/Temp/OnboardLogs/RTDC4059 --include="*4059*201709172*"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"%USERPROFILE%\AppData\Local\Temp\OnboardLogs"\RTDC4059\*4059*201709172* &gt;&gt; 2017-09-17-SliceDisagreementCheck.txt</v>
      </c>
      <c r="AE20" s="145" t="str">
        <f t="shared" si="9"/>
        <v>start /low /b %USERPROFILE%\Documents\GitHub\eaglep3\Utilities\DownloadLogsFromS3.py --loco 4059 --day 2017-09-17</v>
      </c>
      <c r="AF20" s="1"/>
    </row>
    <row r="21" spans="1:32" x14ac:dyDescent="0.25">
      <c r="A21" s="31">
        <v>42995.496423611112</v>
      </c>
      <c r="B21" s="30" t="s">
        <v>591</v>
      </c>
      <c r="C21" s="30" t="s">
        <v>592</v>
      </c>
      <c r="D21" s="30" t="s">
        <v>49</v>
      </c>
      <c r="E21" s="30" t="s">
        <v>361</v>
      </c>
      <c r="F21" s="42">
        <v>0</v>
      </c>
      <c r="G21" s="42">
        <v>795</v>
      </c>
      <c r="H21" s="42">
        <v>142699</v>
      </c>
      <c r="I21" s="42">
        <v>147036</v>
      </c>
      <c r="J21" s="30" t="s">
        <v>362</v>
      </c>
      <c r="K21" s="42">
        <v>144300</v>
      </c>
      <c r="L21" s="131" t="s">
        <v>50</v>
      </c>
      <c r="M21" s="132">
        <f t="shared" si="0"/>
        <v>-1444.6079999999999</v>
      </c>
      <c r="N21" s="133" t="str">
        <f>VLOOKUP(C21,'Trips&amp;Operators'!$C$1:$G$99911,5,FALSE)</f>
        <v>SAFIEF AEIMEN</v>
      </c>
      <c r="O21" s="177" t="s">
        <v>506</v>
      </c>
      <c r="P21" s="134" t="s">
        <v>571</v>
      </c>
      <c r="Q21" s="30"/>
      <c r="R21" s="81" t="str">
        <f>VLOOKUP(C21,'Train Runs'!$A$13:$AE$9950,31,0)</f>
        <v>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 &amp; aws s3 cp s3://rtdc.mdm.uploadarchive.raw/RTDC4056/ "%USERPROFILE%\AppData\Local\Temp\OnboardLogs"\RTDC4056\2017-09-18 --exclude "*" --recursive --include "*20170918*" &amp; "%USERPROFILE%\Documents\GitHub\mrs-test-scripts\Headless Mode &amp; Sideloading\WalkAndUnGZ.bat" "%USERPROFILE%\AppData\Local\Temp\OnboardLogs"\RTDC4056\2017-09-18</v>
      </c>
      <c r="S21" s="84" t="str">
        <f>VLOOKUP(C21,'Train Runs'!$A$13:$AE$9950,22,0)</f>
        <v>https://d0f6bd738d7f1b3e5a7ca70fe4ff75f0.us-east-1.aws.found.io/app/kibana#/discover/Steve-Slow-Train-Analysis-(2080s-and-2083s)?_g=(refreshInterval:(display:Off,pause:!f,section:0,value:0),time:(from:'2017-09-17T10:22:57-0600',mode:absolute,to:'2017-09-17T13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1" s="86" t="str">
        <f t="shared" si="1"/>
        <v>"C:\Program Files (x86)\AstroGrep\AstroGrep.exe" /e /r /s /spath="%USERPROFILE%\AppData\Local\Temp\OnboardLogs" /stypes="*4056*201709171*" /stext=" 17:.+((SYSTEM_STATE.+slice.+state.+changed )|(ment ac)|(multiple cpu faults)|(system.+state.+changed )|(\[timeout)|(PRM\|1\|D)|(kpr)|(kdp)|(train st.+moving)|(\|lc)|(penalty))"</v>
      </c>
      <c r="U21" s="9" t="str">
        <f t="shared" si="2"/>
        <v>4056</v>
      </c>
      <c r="V21" s="31">
        <f t="shared" si="3"/>
        <v>42995.746423611112</v>
      </c>
      <c r="W21" s="45" t="str">
        <f t="shared" si="4"/>
        <v>EC</v>
      </c>
      <c r="X21" s="22">
        <f t="shared" si="5"/>
        <v>163</v>
      </c>
      <c r="Y21" s="96" t="str">
        <f t="shared" si="6"/>
        <v>echo {"issue":{"subject":"Wi-MAX data drop","project_id":79,"tracker_id":40,"status_id":1,"priority_id":2,"assigned_to_id":338,"start_date":"2017-09-17","description":"","custom_fields":[{"id":1,"name":"Subdivision","value":"EC"},{"id":4,"name":"Milepost","value":"14.43"},{"id":17,"name":"Train ID","value":"163-17"},{"id":16,"name":"Locomotive ID","value":"4056"},{"id":130,"name":"Impact","value":""},{"id":150,"name":"Time of Event (Mountain Time)","value":"11:54:51"},{"id":151,"name":"Denver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/c/Users/stu/AppData/Local/Temp/OnboardLogs/RTDC4056 --include="*4056*201709171*"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"%USERPROFILE%\AppData\Local\Temp\OnboardLogs"\RTDC4056\*4056*201709171* &gt;&gt; 2017-09-17-SliceDisagreementCheck.txt</v>
      </c>
      <c r="AE21" s="145" t="str">
        <f t="shared" si="9"/>
        <v>start /low /b %USERPROFILE%\Documents\GitHub\eaglep3\Utilities\DownloadLogsFromS3.py --loco 4056 --day 2017-09-17</v>
      </c>
      <c r="AF21" s="1"/>
    </row>
    <row r="22" spans="1:32" x14ac:dyDescent="0.25">
      <c r="A22" s="31">
        <v>42995.305520833332</v>
      </c>
      <c r="B22" s="30" t="s">
        <v>403</v>
      </c>
      <c r="C22" s="30" t="s">
        <v>582</v>
      </c>
      <c r="D22" s="30" t="s">
        <v>49</v>
      </c>
      <c r="E22" s="30" t="s">
        <v>361</v>
      </c>
      <c r="F22" s="42">
        <v>0</v>
      </c>
      <c r="G22" s="42">
        <v>47</v>
      </c>
      <c r="H22" s="42">
        <v>228383</v>
      </c>
      <c r="I22" s="42">
        <v>228421</v>
      </c>
      <c r="J22" s="30" t="s">
        <v>362</v>
      </c>
      <c r="K22" s="42">
        <v>228572</v>
      </c>
      <c r="L22" s="131" t="s">
        <v>50</v>
      </c>
      <c r="M22" s="132">
        <f t="shared" si="0"/>
        <v>79.727999999999994</v>
      </c>
      <c r="N22" s="133" t="str">
        <f>VLOOKUP(C22,'Trips&amp;Operators'!$C$1:$G$99911,5,FALSE)</f>
        <v>DELGADO DIANAH</v>
      </c>
      <c r="O22" s="177" t="s">
        <v>180</v>
      </c>
      <c r="P22" s="134" t="s">
        <v>982</v>
      </c>
      <c r="Q22" s="30"/>
      <c r="R22" s="81" t="str">
        <f>VLOOKUP(C22,'Train Runs'!$A$13:$AE$9950,31,0)</f>
        <v>aws s3 cp s3://rtdc.mdm.uploadarchive.raw/RTDC4060/ "%USERPROFILE%\AppData\Local\Temp\OnboardLogs"\RTDC4060\2017-09-17 --exclude "*" --recursive --include "*20170917*" &amp; "%USERPROFILE%\Documents\GitHub\mrs-test-scripts\Headless Mode &amp; Sideloading\WalkAndUnGZ.bat" "%USERPROFILE%\AppData\Local\Temp\OnboardLogs"\RTDC4060\2017-09-17 &amp; aws s3 cp s3://rtdc.mdm.uploadarchive.raw/RTDC4060/ "%USERPROFILE%\AppData\Local\Temp\OnboardLogs"\RTDC4060\2017-09-18 --exclude "*" --recursive --include "*20170918*" &amp; "%USERPROFILE%\Documents\GitHub\mrs-test-scripts\Headless Mode &amp; Sideloading\WalkAndUnGZ.bat" "%USERPROFILE%\AppData\Local\Temp\OnboardLogs"\RTDC4060\2017-09-18</v>
      </c>
      <c r="S22" s="84" t="str">
        <f>VLOOKUP(C22,'Train Runs'!$A$13:$AE$9950,22,0)</f>
        <v>https://d0f6bd738d7f1b3e5a7ca70fe4ff75f0.us-east-1.aws.found.io/app/kibana#/discover/Steve-Slow-Train-Analysis-(2080s-and-2083s)?_g=(refreshInterval:(display:Off,pause:!f,section:0,value:0),time:(from:'2017-09-17T05:27:06-0600',mode:absolute,to:'2017-09-17T08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2" s="86" t="str">
        <f t="shared" si="1"/>
        <v>"C:\Program Files (x86)\AstroGrep\AstroGrep.exe" /e /r /s /spath="%USERPROFILE%\AppData\Local\Temp\OnboardLogs" /stypes="*4060*201709171*" /stext=" 13:.+((SYSTEM_STATE.+slice.+state.+changed )|(ment ac)|(multiple cpu faults)|(system.+state.+changed )|(\[timeout)|(PRM\|1\|D)|(kpr)|(kdp)|(train st.+moving)|(\|lc)|(penalty))"</v>
      </c>
      <c r="U22" s="9" t="str">
        <f t="shared" si="2"/>
        <v>4060</v>
      </c>
      <c r="V22" s="31">
        <f t="shared" si="3"/>
        <v>42995.555520833332</v>
      </c>
      <c r="W22" s="45" t="str">
        <f t="shared" si="4"/>
        <v>EC</v>
      </c>
      <c r="X22" s="22">
        <f t="shared" si="5"/>
        <v>125</v>
      </c>
      <c r="Y22" s="96" t="str">
        <f t="shared" si="6"/>
        <v>echo {"issue":{"subject":"Could not clear DIA 2N - PSS issued","project_id":79,"tracker_id":40,"status_id":1,"priority_id":2,"assigned_to_id":338,"start_date":"2017-09-17","description":"From 07:17:50 - 07:44:45, seems like dispatcher was unable to clear DIA 2N. Was there another train occupying the track that 2N was protecting?","custom_fields":[{"id":1,"name":"Subdivision","value":"EC"},{"id":4,"name":"Milepost","value":"22.8572"},{"id":17,"name":"Train ID","value":"125-17"},{"id":16,"name":"Locomotive ID","value":"4060"},{"id":130,"name":"Impact","value":"Enforcement"},{"id":150,"name":"Time of Event (Mountain Time)","value":"07:19:57"},{"id":151,"name":"Denver Issue ID","value":""},{"id":178,"name":"Operational Impact","value":"Yes"},{"id":179,"name":"Denver Segment Assigned","value":"Signal"}]}} | curl --insecure -X POST -H "Content-Type: application/json" -H "X-Redmine-API-Key: d6333d4a04012a730768444271f8ca06482dae87" https://secure.xorail.net/redmine/issues.json --data @-</v>
      </c>
      <c r="Z22" s="159" t="s">
        <v>981</v>
      </c>
      <c r="AA22" s="47" t="s">
        <v>120</v>
      </c>
      <c r="AB22" s="47" t="s">
        <v>125</v>
      </c>
      <c r="AC22" s="115" t="str">
        <f t="shared" si="7"/>
        <v>grep -hrE -A400 "Enforcement Action" /c/Users/stu/AppData/Local/Temp/OnboardLogs/RTDC4060 --include="*4060*201709171*"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"%USERPROFILE%\AppData\Local\Temp\OnboardLogs"\RTDC4060\*4060*201709171* &gt;&gt; 2017-09-17-SliceDisagreementCheck.txt</v>
      </c>
      <c r="AE22" s="145" t="str">
        <f t="shared" si="9"/>
        <v>start /low /b %USERPROFILE%\Documents\GitHub\eaglep3\Utilities\DownloadLogsFromS3.py --loco 4060 --day 2017-09-17</v>
      </c>
      <c r="AF22" s="1"/>
    </row>
    <row r="23" spans="1:32" x14ac:dyDescent="0.25">
      <c r="A23" s="31">
        <v>42995.295219907406</v>
      </c>
      <c r="B23" s="30" t="s">
        <v>400</v>
      </c>
      <c r="C23" s="30" t="s">
        <v>581</v>
      </c>
      <c r="D23" s="30" t="s">
        <v>49</v>
      </c>
      <c r="E23" s="30" t="s">
        <v>181</v>
      </c>
      <c r="F23" s="42">
        <v>0</v>
      </c>
      <c r="G23" s="42">
        <v>64</v>
      </c>
      <c r="H23" s="42">
        <v>211</v>
      </c>
      <c r="I23" s="42">
        <v>150</v>
      </c>
      <c r="J23" s="30" t="s">
        <v>182</v>
      </c>
      <c r="K23" s="42">
        <v>1</v>
      </c>
      <c r="L23" s="131" t="s">
        <v>51</v>
      </c>
      <c r="M23" s="132">
        <f t="shared" si="0"/>
        <v>78.671999999999997</v>
      </c>
      <c r="N23" s="133" t="str">
        <f>VLOOKUP(C23,'Trips&amp;Operators'!$C$1:$G$99911,5,FALSE)</f>
        <v>HUFFSMITH MONTY</v>
      </c>
      <c r="O23" s="177" t="s">
        <v>180</v>
      </c>
      <c r="P23" s="134"/>
      <c r="Q23" s="30"/>
      <c r="R23" s="81" t="str">
        <f>VLOOKUP(C23,'Train Runs'!$A$13:$AE$9950,31,0)</f>
        <v>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 &amp; 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</v>
      </c>
      <c r="S23" s="84" t="str">
        <f>VLOOKUP(C23,'Train Runs'!$A$13:$AE$9950,22,0)</f>
        <v>https://d0f6bd738d7f1b3e5a7ca70fe4ff75f0.us-east-1.aws.found.io/app/kibana#/discover/Steve-Slow-Train-Analysis-(2080s-and-2083s)?_g=(refreshInterval:(display:Off,pause:!f,section:0,value:0),time:(from:'2017-09-17T05:15:08-0600',mode:absolute,to:'2017-09-17T08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3" s="86" t="str">
        <f t="shared" si="1"/>
        <v>"C:\Program Files (x86)\AstroGrep\AstroGrep.exe" /e /r /s /spath="%USERPROFILE%\AppData\Local\Temp\OnboardLogs" /stypes="*4015*201709171*" /stext=" 13:.+((SYSTEM_STATE.+slice.+state.+changed )|(ment ac)|(multiple cpu faults)|(system.+state.+changed )|(\[timeout)|(PRM\|1\|D)|(kpr)|(kdp)|(train st.+moving)|(\|lc)|(penalty))"</v>
      </c>
      <c r="U23" s="9" t="str">
        <f t="shared" si="2"/>
        <v>4015</v>
      </c>
      <c r="V23" s="31">
        <f t="shared" si="3"/>
        <v>42995.545219907406</v>
      </c>
      <c r="W23" s="45" t="str">
        <f t="shared" si="4"/>
        <v>EC</v>
      </c>
      <c r="X23" s="22">
        <f t="shared" si="5"/>
        <v>116</v>
      </c>
      <c r="Y23" s="96" t="str">
        <f t="shared" si="6"/>
        <v>echo {"issue":{"subject":"","project_id":79,"tracker_id":40,"status_id":1,"priority_id":2,"assigned_to_id":338,"start_date":"2017-09-17","description":"","custom_fields":[{"id":1,"name":"Subdivision","value":"EC"},{"id":4,"name":"Milepost","value":"0.0001"},{"id":17,"name":"Train ID","value":"116-17"},{"id":16,"name":"Locomotive ID","value":"4015"},{"id":130,"name":"Impact","value":""},{"id":150,"name":"Time of Event (Mountain Time)","value":"07:05:07"},{"id":151,"name":"Denver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/c/Users/stu/AppData/Local/Temp/OnboardLogs/RTDC4015 --include="*4015*201709171*"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"%USERPROFILE%\AppData\Local\Temp\OnboardLogs"\RTDC4015\*4015*201709171* &gt;&gt; 2017-09-17-SliceDisagreementCheck.txt</v>
      </c>
      <c r="AE23" s="145" t="str">
        <f t="shared" si="9"/>
        <v>start /low /b %USERPROFILE%\Documents\GitHub\eaglep3\Utilities\DownloadLogsFromS3.py --loco 4015 --day 2017-09-17</v>
      </c>
      <c r="AF23" s="1"/>
    </row>
    <row r="24" spans="1:32" x14ac:dyDescent="0.25">
      <c r="A24" s="31">
        <v>42995.420358796298</v>
      </c>
      <c r="B24" s="30" t="s">
        <v>399</v>
      </c>
      <c r="C24" s="30" t="s">
        <v>588</v>
      </c>
      <c r="D24" s="30" t="s">
        <v>49</v>
      </c>
      <c r="E24" s="30" t="s">
        <v>181</v>
      </c>
      <c r="F24" s="42">
        <v>0</v>
      </c>
      <c r="G24" s="42">
        <v>68</v>
      </c>
      <c r="H24" s="42">
        <v>251</v>
      </c>
      <c r="I24" s="42">
        <v>167</v>
      </c>
      <c r="J24" s="30" t="s">
        <v>182</v>
      </c>
      <c r="K24" s="42">
        <v>1</v>
      </c>
      <c r="L24" s="131" t="s">
        <v>51</v>
      </c>
      <c r="M24" s="132">
        <f t="shared" si="0"/>
        <v>87.647999999999996</v>
      </c>
      <c r="N24" s="133" t="str">
        <f>VLOOKUP(C24,'Trips&amp;Operators'!$C$1:$G$99911,5,FALSE)</f>
        <v>THOMPSON LESTER</v>
      </c>
      <c r="O24" s="177" t="s">
        <v>180</v>
      </c>
      <c r="P24" s="134"/>
      <c r="Q24" s="30"/>
      <c r="R24" s="81" t="str">
        <f>VLOOKUP(C24,'Train Runs'!$A$13:$AE$9950,31,0)</f>
        <v>aws s3 cp s3://rtdc.mdm.uploadarchive.raw/RTDC4059/ "%USERPROFILE%\AppData\Local\Temp\OnboardLogs"\RTDC4059\2017-09-17 --exclude "*" --recursive --include "*20170917*" &amp; "%USERPROFILE%\Documents\GitHub\mrs-test-scripts\Headless Mode &amp; Sideloading\WalkAndUnGZ.bat" "%USERPROFILE%\AppData\Local\Temp\OnboardLogs"\RTDC4059\2017-09-17 &amp; aws s3 cp s3://rtdc.mdm.uploadarchive.raw/RTDC4059/ "%USERPROFILE%\AppData\Local\Temp\OnboardLogs"\RTDC4059\2017-09-18 --exclude "*" --recursive --include "*20170918*" &amp; "%USERPROFILE%\Documents\GitHub\mrs-test-scripts\Headless Mode &amp; Sideloading\WalkAndUnGZ.bat" "%USERPROFILE%\AppData\Local\Temp\OnboardLogs"\RTDC4059\2017-09-18</v>
      </c>
      <c r="S24" s="84" t="str">
        <f>VLOOKUP(C24,'Train Runs'!$A$13:$AE$9950,22,0)</f>
        <v>https://d0f6bd738d7f1b3e5a7ca70fe4ff75f0.us-east-1.aws.found.io/app/kibana#/discover/Steve-Slow-Train-Analysis-(2080s-and-2083s)?_g=(refreshInterval:(display:Off,pause:!f,section:0,value:0),time:(from:'2017-09-17T08:24:19-0600',mode:absolute,to:'2017-09-17T11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4" s="86" t="str">
        <f t="shared" si="1"/>
        <v>"C:\Program Files (x86)\AstroGrep\AstroGrep.exe" /e /r /s /spath="%USERPROFILE%\AppData\Local\Temp\OnboardLogs" /stypes="*4059*201709171*" /stext=" 16:.+((SYSTEM_STATE.+slice.+state.+changed )|(ment ac)|(multiple cpu faults)|(system.+state.+changed )|(\[timeout)|(PRM\|1\|D)|(kpr)|(kdp)|(train st.+moving)|(\|lc)|(penalty))"</v>
      </c>
      <c r="U24" s="9" t="str">
        <f t="shared" si="2"/>
        <v>4059</v>
      </c>
      <c r="V24" s="31">
        <f t="shared" si="3"/>
        <v>42995.670358796298</v>
      </c>
      <c r="W24" s="45" t="str">
        <f t="shared" si="4"/>
        <v>EC</v>
      </c>
      <c r="X24" s="22">
        <f t="shared" si="5"/>
        <v>140</v>
      </c>
      <c r="Y24" s="96" t="str">
        <f t="shared" si="6"/>
        <v>echo {"issue":{"subject":"","project_id":79,"tracker_id":40,"status_id":1,"priority_id":2,"assigned_to_id":338,"start_date":"2017-09-17","description":"","custom_fields":[{"id":1,"name":"Subdivision","value":"EC"},{"id":4,"name":"Milepost","value":"0.0001"},{"id":17,"name":"Train ID","value":"140-17"},{"id":16,"name":"Locomotive ID","value":"4059"},{"id":130,"name":"Impact","value":""},{"id":150,"name":"Time of Event (Mountain Time)","value":"10:05:19"},{"id":151,"name":"Denver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/c/Users/stu/AppData/Local/Temp/OnboardLogs/RTDC4059 --include="*4059*201709171*"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"%USERPROFILE%\AppData\Local\Temp\OnboardLogs"\RTDC4059\*4059*201709171* &gt;&gt; 2017-09-17-SliceDisagreementCheck.txt</v>
      </c>
      <c r="AE24" s="145" t="str">
        <f t="shared" si="9"/>
        <v>start /low /b %USERPROFILE%\Documents\GitHub\eaglep3\Utilities\DownloadLogsFromS3.py --loco 4059 --day 2017-09-17</v>
      </c>
      <c r="AF24" s="1"/>
    </row>
    <row r="25" spans="1:32" x14ac:dyDescent="0.25">
      <c r="A25" s="31">
        <v>42995.742349537039</v>
      </c>
      <c r="B25" s="30" t="s">
        <v>434</v>
      </c>
      <c r="C25" s="30" t="s">
        <v>600</v>
      </c>
      <c r="D25" s="30" t="s">
        <v>49</v>
      </c>
      <c r="E25" s="30" t="s">
        <v>181</v>
      </c>
      <c r="F25" s="42">
        <v>0</v>
      </c>
      <c r="G25" s="42">
        <v>106</v>
      </c>
      <c r="H25" s="42">
        <v>411</v>
      </c>
      <c r="I25" s="42">
        <v>283</v>
      </c>
      <c r="J25" s="30" t="s">
        <v>182</v>
      </c>
      <c r="K25" s="42">
        <v>1</v>
      </c>
      <c r="L25" s="131" t="s">
        <v>51</v>
      </c>
      <c r="M25" s="132">
        <f t="shared" si="0"/>
        <v>148.89599999999999</v>
      </c>
      <c r="N25" s="133" t="str">
        <f>VLOOKUP(C25,'Trips&amp;Operators'!$C$1:$G$99911,5,FALSE)</f>
        <v>SMITH MICHAEL</v>
      </c>
      <c r="O25" s="177" t="s">
        <v>180</v>
      </c>
      <c r="P25" s="134"/>
      <c r="Q25" s="30"/>
      <c r="R25" s="81" t="str">
        <f>VLOOKUP(C25,'Train Runs'!$A$13:$AE$9950,31,0)</f>
        <v>aws s3 cp s3://rtdc.mdm.uploadarchive.raw/RTDC4065/ "%USERPROFILE%\AppData\Local\Temp\OnboardLogs"\RTDC4065\2017-09-17 --exclude "*" --recursive --include "*20170917*" &amp; "%USERPROFILE%\Documents\GitHub\mrs-test-scripts\Headless Mode &amp; Sideloading\WalkAndUnGZ.bat" "%USERPROFILE%\AppData\Local\Temp\OnboardLogs"\RTDC4065\2017-09-17 &amp; aws s3 cp s3://rtdc.mdm.uploadarchive.raw/RTDC4065/ "%USERPROFILE%\AppData\Local\Temp\OnboardLogs"\RTDC4065\2017-09-18 --exclude "*" --recursive --include "*20170918*" &amp; "%USERPROFILE%\Documents\GitHub\mrs-test-scripts\Headless Mode &amp; Sideloading\WalkAndUnGZ.bat" "%USERPROFILE%\AppData\Local\Temp\OnboardLogs"\RTDC4065\2017-09-18</v>
      </c>
      <c r="S25" s="84" t="str">
        <f>VLOOKUP(C25,'Train Runs'!$A$13:$AE$9950,22,0)</f>
        <v>https://d0f6bd738d7f1b3e5a7ca70fe4ff75f0.us-east-1.aws.found.io/app/kibana#/discover/Steve-Slow-Train-Analysis-(2080s-and-2083s)?_g=(refreshInterval:(display:Off,pause:!f,section:0,value:0),time:(from:'2017-09-17T16:05:37-0600',mode:absolute,to:'2017-09-17T18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5" s="86" t="str">
        <f t="shared" si="1"/>
        <v>"C:\Program Files (x86)\AstroGrep\AstroGrep.exe" /e /r /s /spath="%USERPROFILE%\AppData\Local\Temp\OnboardLogs" /stypes="*4065*201709172*" /stext=" 23:.+((SYSTEM_STATE.+slice.+state.+changed )|(ment ac)|(multiple cpu faults)|(system.+state.+changed )|(\[timeout)|(PRM\|1\|D)|(kpr)|(kdp)|(train st.+moving)|(\|lc)|(penalty))"</v>
      </c>
      <c r="U25" s="9" t="str">
        <f t="shared" si="2"/>
        <v>4065</v>
      </c>
      <c r="V25" s="31">
        <f t="shared" si="3"/>
        <v>42995.992349537039</v>
      </c>
      <c r="W25" s="45" t="str">
        <f t="shared" si="4"/>
        <v>EC</v>
      </c>
      <c r="X25" s="22">
        <f t="shared" si="5"/>
        <v>202</v>
      </c>
      <c r="Y25" s="96" t="str">
        <f t="shared" si="6"/>
        <v>echo {"issue":{"subject":"","project_id":79,"tracker_id":40,"status_id":1,"priority_id":2,"assigned_to_id":338,"start_date":"2017-09-17","description":"","custom_fields":[{"id":1,"name":"Subdivision","value":"EC"},{"id":4,"name":"Milepost","value":"0.0001"},{"id":17,"name":"Train ID","value":"202-17"},{"id":16,"name":"Locomotive ID","value":"4065"},{"id":130,"name":"Impact","value":""},{"id":150,"name":"Time of Event (Mountain Time)","value":"17:48:59"},{"id":151,"name":"Denver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/c/Users/stu/AppData/Local/Temp/OnboardLogs/RTDC4065 --include="*4065*201709172*"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"%USERPROFILE%\AppData\Local\Temp\OnboardLogs"\RTDC4065\*4065*201709172* &gt;&gt; 2017-09-17-SliceDisagreementCheck.txt</v>
      </c>
      <c r="AE25" s="145" t="str">
        <f t="shared" si="9"/>
        <v>start /low /b %USERPROFILE%\Documents\GitHub\eaglep3\Utilities\DownloadLogsFromS3.py --loco 4065 --day 2017-09-17</v>
      </c>
      <c r="AF25" s="1"/>
    </row>
    <row r="26" spans="1:32" x14ac:dyDescent="0.25">
      <c r="A26" s="31">
        <v>42995.691469907404</v>
      </c>
      <c r="B26" s="30" t="s">
        <v>401</v>
      </c>
      <c r="C26" s="30" t="s">
        <v>598</v>
      </c>
      <c r="D26" s="30" t="s">
        <v>49</v>
      </c>
      <c r="E26" s="30" t="s">
        <v>181</v>
      </c>
      <c r="F26" s="42">
        <v>0</v>
      </c>
      <c r="G26" s="42">
        <v>46</v>
      </c>
      <c r="H26" s="42">
        <v>233331</v>
      </c>
      <c r="I26" s="42">
        <v>233361</v>
      </c>
      <c r="J26" s="30" t="s">
        <v>182</v>
      </c>
      <c r="K26" s="42">
        <v>233491</v>
      </c>
      <c r="L26" s="131" t="s">
        <v>50</v>
      </c>
      <c r="M26" s="132">
        <f t="shared" si="0"/>
        <v>68.64</v>
      </c>
      <c r="N26" s="133" t="str">
        <f>VLOOKUP(C26,'Trips&amp;Operators'!$C$1:$G$99911,5,FALSE)</f>
        <v>LOPES KIMBERLY</v>
      </c>
      <c r="O26" s="177" t="s">
        <v>180</v>
      </c>
      <c r="P26" s="134"/>
      <c r="Q26" s="30"/>
      <c r="R26" s="81" t="str">
        <f>VLOOKUP(C26,'Train Runs'!$A$13:$AE$9950,31,0)</f>
        <v>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 &amp; aws s3 cp s3://rtdc.mdm.uploadarchive.raw/RTDC4016/ "%USERPROFILE%\AppData\Local\Temp\OnboardLogs"\RTDC4016\2017-09-18 --exclude "*" --recursive --include "*20170918*" &amp; "%USERPROFILE%\Documents\GitHub\mrs-test-scripts\Headless Mode &amp; Sideloading\WalkAndUnGZ.bat" "%USERPROFILE%\AppData\Local\Temp\OnboardLogs"\RTDC4016\2017-09-18</v>
      </c>
      <c r="S26" s="84" t="str">
        <f>VLOOKUP(C26,'Train Runs'!$A$13:$AE$9950,22,0)</f>
        <v>https://d0f6bd738d7f1b3e5a7ca70fe4ff75f0.us-east-1.aws.found.io/app/kibana#/discover/Steve-Slow-Train-Analysis-(2080s-and-2083s)?_g=(refreshInterval:(display:Off,pause:!f,section:0,value:0),time:(from:'2017-09-17T14:55:15-0600',mode:absolute,to:'2017-09-17T17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6" s="86" t="str">
        <f t="shared" si="1"/>
        <v>"C:\Program Files (x86)\AstroGrep\AstroGrep.exe" /e /r /s /spath="%USERPROFILE%\AppData\Local\Temp\OnboardLogs" /stypes="*4016*201709172*" /stext=" 22:.+((SYSTEM_STATE.+slice.+state.+changed )|(ment ac)|(multiple cpu faults)|(system.+state.+changed )|(\[timeout)|(PRM\|1\|D)|(kpr)|(kdp)|(train st.+moving)|(\|lc)|(penalty))"</v>
      </c>
      <c r="U26" s="9" t="str">
        <f t="shared" si="2"/>
        <v>4016</v>
      </c>
      <c r="V26" s="31">
        <f t="shared" si="3"/>
        <v>42995.941469907404</v>
      </c>
      <c r="W26" s="45" t="str">
        <f t="shared" si="4"/>
        <v>EC</v>
      </c>
      <c r="X26" s="22">
        <f t="shared" si="5"/>
        <v>199</v>
      </c>
      <c r="Y26" s="96" t="str">
        <f t="shared" si="6"/>
        <v>echo {"issue":{"subject":"","project_id":79,"tracker_id":40,"status_id":1,"priority_id":2,"assigned_to_id":338,"start_date":"2017-09-17","description":"","custom_fields":[{"id":1,"name":"Subdivision","value":"EC"},{"id":4,"name":"Milepost","value":"23.3491"},{"id":17,"name":"Train ID","value":"199-17"},{"id":16,"name":"Locomotive ID","value":"4016"},{"id":130,"name":"Impact","value":""},{"id":150,"name":"Time of Event (Mountain Time)","value":"16:35:43"},{"id":151,"name":"Denver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/c/Users/stu/AppData/Local/Temp/OnboardLogs/RTDC4016 --include="*4016*201709172*"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"%USERPROFILE%\AppData\Local\Temp\OnboardLogs"\RTDC4016\*4016*201709172* &gt;&gt; 2017-09-17-SliceDisagreementCheck.txt</v>
      </c>
      <c r="AE26" s="145" t="str">
        <f t="shared" si="9"/>
        <v>start /low /b %USERPROFILE%\Documents\GitHub\eaglep3\Utilities\DownloadLogsFromS3.py --loco 4016 --day 2017-09-17</v>
      </c>
      <c r="AF26" s="1"/>
    </row>
    <row r="27" spans="1:32" x14ac:dyDescent="0.25">
      <c r="A27" s="31">
        <v>42995.899953703702</v>
      </c>
      <c r="B27" s="30" t="s">
        <v>403</v>
      </c>
      <c r="C27" s="30" t="s">
        <v>603</v>
      </c>
      <c r="D27" s="30" t="s">
        <v>96</v>
      </c>
      <c r="E27" s="30" t="s">
        <v>181</v>
      </c>
      <c r="F27" s="42">
        <v>0</v>
      </c>
      <c r="G27" s="42">
        <v>9</v>
      </c>
      <c r="H27" s="42">
        <v>233491</v>
      </c>
      <c r="I27" s="42">
        <v>233491</v>
      </c>
      <c r="J27" s="30" t="s">
        <v>182</v>
      </c>
      <c r="K27" s="42">
        <v>233491</v>
      </c>
      <c r="L27" s="131" t="s">
        <v>50</v>
      </c>
      <c r="M27" s="132">
        <f t="shared" si="0"/>
        <v>0</v>
      </c>
      <c r="N27" s="133" t="str">
        <f>VLOOKUP(C27,'Trips&amp;Operators'!$C$1:$G$99911,5,FALSE)</f>
        <v>STAMBAUGH JAMES</v>
      </c>
      <c r="O27" s="177" t="s">
        <v>180</v>
      </c>
      <c r="P27" s="134"/>
      <c r="Q27" s="30"/>
      <c r="R27" s="81" t="str">
        <f>VLOOKUP(C27,'Train Runs'!$A$13:$AE$9950,31,0)</f>
        <v>aws s3 cp s3://rtdc.mdm.uploadarchive.raw/RTDC4060/ "%USERPROFILE%\AppData\Local\Temp\OnboardLogs"\RTDC4060\2017-09-17 --exclude "*" --recursive --include "*20170917*" &amp; "%USERPROFILE%\Documents\GitHub\mrs-test-scripts\Headless Mode &amp; Sideloading\WalkAndUnGZ.bat" "%USERPROFILE%\AppData\Local\Temp\OnboardLogs"\RTDC4060\2017-09-17 &amp; aws s3 cp s3://rtdc.mdm.uploadarchive.raw/RTDC4060/ "%USERPROFILE%\AppData\Local\Temp\OnboardLogs"\RTDC4060\2017-09-18 --exclude "*" --recursive --include "*20170918*" &amp; "%USERPROFILE%\Documents\GitHub\mrs-test-scripts\Headless Mode &amp; Sideloading\WalkAndUnGZ.bat" "%USERPROFILE%\AppData\Local\Temp\OnboardLogs"\RTDC4060\2017-09-18</v>
      </c>
      <c r="S27" s="84" t="str">
        <f>VLOOKUP(C27,'Train Runs'!$A$13:$AE$9950,22,0)</f>
        <v>https://d0f6bd738d7f1b3e5a7ca70fe4ff75f0.us-east-1.aws.found.io/app/kibana#/discover/Steve-Slow-Train-Analysis-(2080s-and-2083s)?_g=(refreshInterval:(display:Off,pause:!f,section:0,value:0),time:(from:'2017-09-17T19:38:34-0600',mode:absolute,to:'2017-09-17T22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7" s="86" t="str">
        <f t="shared" si="1"/>
        <v>"C:\Program Files (x86)\AstroGrep\AstroGrep.exe" /e /r /s /spath="%USERPROFILE%\AppData\Local\Temp\OnboardLogs" /stypes="*4060*201709180*" /stext=" 03:.+((SYSTEM_STATE.+slice.+state.+changed )|(ment ac)|(multiple cpu faults)|(system.+state.+changed )|(\[timeout)|(PRM\|1\|D)|(kpr)|(kdp)|(train st.+moving)|(\|lc)|(penalty))"</v>
      </c>
      <c r="U27" s="9" t="str">
        <f t="shared" si="2"/>
        <v>4060</v>
      </c>
      <c r="V27" s="31">
        <f t="shared" si="3"/>
        <v>42996.149953703702</v>
      </c>
      <c r="W27" s="45" t="str">
        <f t="shared" si="4"/>
        <v>EC</v>
      </c>
      <c r="X27" s="22">
        <f t="shared" si="5"/>
        <v>229</v>
      </c>
      <c r="Y27" s="96" t="str">
        <f t="shared" si="6"/>
        <v>echo {"issue":{"subject":"","project_id":79,"tracker_id":40,"status_id":1,"priority_id":2,"assigned_to_id":338,"start_date":"2017-09-17","description":"","custom_fields":[{"id":1,"name":"Subdivision","value":"EC"},{"id":4,"name":"Milepost","value":"23.3491"},{"id":17,"name":"Train ID","value":"229-17"},{"id":16,"name":"Locomotive ID","value":"4060"},{"id":130,"name":"Impact","value":""},{"id":150,"name":"Time of Event (Mountain Time)","value":"21:35:56"},{"id":151,"name":"Denver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/c/Users/stu/AppData/Local/Temp/OnboardLogs/RTDC4060 --include="*4060*201709180*"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"%USERPROFILE%\AppData\Local\Temp\OnboardLogs"\RTDC4060\*4060*201709180* &gt;&gt; 2017-09-17-SliceDisagreementCheck.txt</v>
      </c>
      <c r="AE27" s="145" t="str">
        <f t="shared" si="9"/>
        <v>start /low /b %USERPROFILE%\Documents\GitHub\eaglep3\Utilities\DownloadLogsFromS3.py --loco 4060 --day 2017-09-18</v>
      </c>
      <c r="AF27" s="1"/>
    </row>
    <row r="28" spans="1:32" x14ac:dyDescent="0.25">
      <c r="A28" s="31">
        <v>42996.024537037039</v>
      </c>
      <c r="B28" s="30" t="s">
        <v>445</v>
      </c>
      <c r="C28" s="30" t="s">
        <v>606</v>
      </c>
      <c r="D28" s="30" t="s">
        <v>49</v>
      </c>
      <c r="E28" s="30" t="s">
        <v>181</v>
      </c>
      <c r="F28" s="42">
        <v>0</v>
      </c>
      <c r="G28" s="42">
        <v>148</v>
      </c>
      <c r="H28" s="42">
        <v>232873</v>
      </c>
      <c r="I28" s="42">
        <v>233063</v>
      </c>
      <c r="J28" s="30" t="s">
        <v>182</v>
      </c>
      <c r="K28" s="42">
        <v>233491</v>
      </c>
      <c r="L28" s="131" t="s">
        <v>50</v>
      </c>
      <c r="M28" s="132">
        <f t="shared" si="0"/>
        <v>225.98400000000001</v>
      </c>
      <c r="N28" s="133" t="str">
        <f>VLOOKUP(C28,'Trips&amp;Operators'!$C$1:$G$99911,5,FALSE)</f>
        <v>ELBAUM MIKE</v>
      </c>
      <c r="O28" s="177" t="s">
        <v>180</v>
      </c>
      <c r="P28" s="134"/>
      <c r="Q28" s="30"/>
      <c r="R28" s="81" t="str">
        <f>VLOOKUP(C28,'Train Runs'!$A$13:$AE$9950,31,0)</f>
        <v>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 &amp; 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</v>
      </c>
      <c r="S28" s="84" t="str">
        <f>VLOOKUP(C28,'Train Runs'!$A$13:$AE$9950,22,0)</f>
        <v>https://d0f6bd738d7f1b3e5a7ca70fe4ff75f0.us-east-1.aws.found.io/app/kibana#/discover/Steve-Slow-Train-Analysis-(2080s-and-2083s)?_g=(refreshInterval:(display:Off,pause:!f,section:0,value:0),time:(from:'2017-09-17T22:57:05-0600',mode:absolute,to:'2017-09-18T01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8" s="86" t="str">
        <f t="shared" si="1"/>
        <v>"C:\Program Files (x86)\AstroGrep\AstroGrep.exe" /e /r /s /spath="%USERPROFILE%\AppData\Local\Temp\OnboardLogs" /stypes="*4028*201709180*" /stext=" 06:.+((SYSTEM_STATE.+slice.+state.+changed )|(ment ac)|(multiple cpu faults)|(system.+state.+changed )|(\[timeout)|(PRM\|1\|D)|(kpr)|(kdp)|(train st.+moving)|(\|lc)|(penalty))"</v>
      </c>
      <c r="U28" s="9" t="str">
        <f t="shared" si="2"/>
        <v>4028</v>
      </c>
      <c r="V28" s="31">
        <f t="shared" si="3"/>
        <v>42996.274537037039</v>
      </c>
      <c r="W28" s="45" t="str">
        <f t="shared" si="4"/>
        <v>EC</v>
      </c>
      <c r="X28" s="22">
        <f t="shared" si="5"/>
        <v>241</v>
      </c>
      <c r="Y28" s="96" t="str">
        <f t="shared" si="6"/>
        <v>echo {"issue":{"subject":"","project_id":79,"tracker_id":40,"status_id":1,"priority_id":2,"assigned_to_id":338,"start_date":"2017-09-18","description":"","custom_fields":[{"id":1,"name":"Subdivision","value":"EC"},{"id":4,"name":"Milepost","value":"23.3491"},{"id":17,"name":"Train ID","value":"241-17"},{"id":16,"name":"Locomotive ID","value":"4028"},{"id":130,"name":"Impact","value":""},{"id":150,"name":"Time of Event (Mountain Time)","value":"00:35:20"},{"id":151,"name":"Denver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/c/Users/stu/AppData/Local/Temp/OnboardLogs/RTDC4028 --include="*4028*201709180*"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"%USERPROFILE%\AppData\Local\Temp\OnboardLogs"\RTDC4028\*4028*201709180* &gt;&gt; 2017-09-17-SliceDisagreementCheck.txt</v>
      </c>
      <c r="AE28" s="145" t="str">
        <f t="shared" si="9"/>
        <v>start /low /b %USERPROFILE%\Documents\GitHub\eaglep3\Utilities\DownloadLogsFromS3.py --loco 4028 --day 2017-09-18</v>
      </c>
      <c r="AF28" s="1"/>
    </row>
    <row r="29" spans="1:32" x14ac:dyDescent="0.25">
      <c r="A29" s="31">
        <v>42996.025046296294</v>
      </c>
      <c r="B29" s="30" t="s">
        <v>445</v>
      </c>
      <c r="C29" s="30" t="s">
        <v>606</v>
      </c>
      <c r="D29" s="30" t="s">
        <v>49</v>
      </c>
      <c r="E29" s="30" t="s">
        <v>181</v>
      </c>
      <c r="F29" s="42">
        <v>0</v>
      </c>
      <c r="G29" s="42">
        <v>65</v>
      </c>
      <c r="H29" s="42">
        <v>233297</v>
      </c>
      <c r="I29" s="42">
        <v>233336</v>
      </c>
      <c r="J29" s="30" t="s">
        <v>182</v>
      </c>
      <c r="K29" s="42">
        <v>233491</v>
      </c>
      <c r="L29" s="131" t="s">
        <v>50</v>
      </c>
      <c r="M29" s="132">
        <f t="shared" si="0"/>
        <v>81.84</v>
      </c>
      <c r="N29" s="133" t="str">
        <f>VLOOKUP(C29,'Trips&amp;Operators'!$C$1:$G$99911,5,FALSE)</f>
        <v>ELBAUM MIKE</v>
      </c>
      <c r="O29" s="177" t="s">
        <v>180</v>
      </c>
      <c r="P29" s="134"/>
      <c r="Q29" s="30"/>
      <c r="R29" s="81" t="str">
        <f>VLOOKUP(C29,'Train Runs'!$A$13:$AE$9950,31,0)</f>
        <v>aws s3 cp s3://rtdc.mdm.uploadarchive.raw/RTDC4028/ "%USERPROFILE%\AppData\Local\Temp\OnboardLogs"\RTDC4028\2017-09-18 --exclude "*" --recursive --include "*20170918*" &amp; "%USERPROFILE%\Documents\GitHub\mrs-test-scripts\Headless Mode &amp; Sideloading\WalkAndUnGZ.bat" "%USERPROFILE%\AppData\Local\Temp\OnboardLogs"\RTDC4028\2017-09-18 &amp; 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</v>
      </c>
      <c r="S29" s="84" t="str">
        <f>VLOOKUP(C29,'Train Runs'!$A$13:$AE$9950,22,0)</f>
        <v>https://d0f6bd738d7f1b3e5a7ca70fe4ff75f0.us-east-1.aws.found.io/app/kibana#/discover/Steve-Slow-Train-Analysis-(2080s-and-2083s)?_g=(refreshInterval:(display:Off,pause:!f,section:0,value:0),time:(from:'2017-09-17T22:57:05-0600',mode:absolute,to:'2017-09-18T01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9" s="86" t="str">
        <f t="shared" si="1"/>
        <v>"C:\Program Files (x86)\AstroGrep\AstroGrep.exe" /e /r /s /spath="%USERPROFILE%\AppData\Local\Temp\OnboardLogs" /stypes="*4028*201709180*" /stext=" 06:.+((SYSTEM_STATE.+slice.+state.+changed )|(ment ac)|(multiple cpu faults)|(system.+state.+changed )|(\[timeout)|(PRM\|1\|D)|(kpr)|(kdp)|(train st.+moving)|(\|lc)|(penalty))"</v>
      </c>
      <c r="U29" s="9" t="str">
        <f t="shared" si="2"/>
        <v>4028</v>
      </c>
      <c r="V29" s="31">
        <f t="shared" si="3"/>
        <v>42996.275046296294</v>
      </c>
      <c r="W29" s="45" t="str">
        <f t="shared" si="4"/>
        <v>EC</v>
      </c>
      <c r="X29" s="22">
        <f t="shared" si="5"/>
        <v>241</v>
      </c>
      <c r="Y29" s="96" t="str">
        <f t="shared" si="6"/>
        <v>echo {"issue":{"subject":"","project_id":79,"tracker_id":40,"status_id":1,"priority_id":2,"assigned_to_id":338,"start_date":"2017-09-18","description":"","custom_fields":[{"id":1,"name":"Subdivision","value":"EC"},{"id":4,"name":"Milepost","value":"23.3491"},{"id":17,"name":"Train ID","value":"241-17"},{"id":16,"name":"Locomotive ID","value":"4028"},{"id":130,"name":"Impact","value":""},{"id":150,"name":"Time of Event (Mountain Time)","value":"00:36:04"},{"id":151,"name":"Denver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/c/Users/stu/AppData/Local/Temp/OnboardLogs/RTDC4028 --include="*4028*201709180*"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"%USERPROFILE%\AppData\Local\Temp\OnboardLogs"\RTDC4028\*4028*201709180* &gt;&gt; 2017-09-17-SliceDisagreementCheck.txt</v>
      </c>
      <c r="AE29" s="145" t="str">
        <f t="shared" si="9"/>
        <v>start /low /b %USERPROFILE%\Documents\GitHub\eaglep3\Utilities\DownloadLogsFromS3.py --loco 4028 --day 2017-09-18</v>
      </c>
      <c r="AF29" s="1"/>
    </row>
    <row r="30" spans="1:32" x14ac:dyDescent="0.25">
      <c r="A30" s="31">
        <v>42995.244618055556</v>
      </c>
      <c r="B30" s="30" t="s">
        <v>578</v>
      </c>
      <c r="C30" s="30" t="s">
        <v>579</v>
      </c>
      <c r="D30" s="30" t="s">
        <v>49</v>
      </c>
      <c r="E30" s="30" t="s">
        <v>187</v>
      </c>
      <c r="F30" s="42">
        <v>230</v>
      </c>
      <c r="G30" s="42">
        <v>289</v>
      </c>
      <c r="H30" s="42">
        <v>12255</v>
      </c>
      <c r="I30" s="42">
        <v>11565</v>
      </c>
      <c r="J30" s="30" t="s">
        <v>188</v>
      </c>
      <c r="K30" s="42">
        <v>10988</v>
      </c>
      <c r="L30" s="131" t="s">
        <v>51</v>
      </c>
      <c r="M30" s="132">
        <f t="shared" si="0"/>
        <v>304.65600000000001</v>
      </c>
      <c r="N30" s="133" t="str">
        <f>VLOOKUP(C30,'Trips&amp;Operators'!$C$1:$G$99911,5,FALSE)</f>
        <v>ROMERO CHAD</v>
      </c>
      <c r="O30" s="177" t="s">
        <v>180</v>
      </c>
      <c r="P30" s="134" t="s">
        <v>369</v>
      </c>
      <c r="Q30" s="30"/>
      <c r="R30" s="81" t="str">
        <f>VLOOKUP(C30,'Train Runs'!$A$13:$AE$9950,31,0)</f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S30" s="84" t="str">
        <f>VLOOKUP(C30,'Train Runs'!$A$13:$AE$9950,22,0)</f>
        <v>https://d0f6bd738d7f1b3e5a7ca70fe4ff75f0.us-east-1.aws.found.io/app/kibana#/discover/Steve-Slow-Train-Analysis-(2080s-and-2083s)?_g=(refreshInterval:(display:Off,pause:!f,section:0,value:0),time:(from:'2017-09-17T04:39:59-0600',mode:absolute,to:'2017-09-17T06:57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0" s="86" t="str">
        <f t="shared" si="1"/>
        <v>"C:\Program Files (x86)\AstroGrep\AstroGrep.exe" /e /r /s /spath="%USERPROFILE%\AppData\Local\Temp\OnboardLogs" /stypes="*4023*201709171*" /stext=" 11:.+((SYSTEM_STATE.+slice.+state.+changed )|(ment ac)|(multiple cpu faults)|(system.+state.+changed )|(\[timeout)|(PRM\|1\|D)|(kpr)|(kdp)|(train st.+moving)|(\|lc)|(penalty))"</v>
      </c>
      <c r="U30" s="9" t="str">
        <f t="shared" si="2"/>
        <v>4023</v>
      </c>
      <c r="V30" s="31">
        <f t="shared" si="3"/>
        <v>42995.494618055556</v>
      </c>
      <c r="W30" s="45" t="str">
        <f t="shared" si="4"/>
        <v>NW</v>
      </c>
      <c r="X30" s="22">
        <f t="shared" si="5"/>
        <v>1800</v>
      </c>
      <c r="Y30" s="96" t="str">
        <f t="shared" si="6"/>
        <v>echo {"issue":{"subject":"Early Arrival","project_id":79,"tracker_id":40,"status_id":1,"priority_id":2,"assigned_to_id":338,"start_date":"2017-09-17","description":"","custom_fields":[{"id":1,"name":"Subdivision","value":"NW"},{"id":4,"name":"Milepost","value":"1.0988"},{"id":17,"name":"Train ID","value":"1800-17"},{"id":16,"name":"Locomotive ID","value":"4023"},{"id":130,"name":"Impact","value":""},{"id":150,"name":"Time of Event (Mountain Time)","value":"05:52:15"},{"id":151,"name":"Denver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/c/Users/stu/AppData/Local/Temp/OnboardLogs/RTDC4023 --include="*4023*201709171*"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"%USERPROFILE%\AppData\Local\Temp\OnboardLogs"\RTDC4023\*4023*201709171* &gt;&gt; 2017-09-17-SliceDisagreementCheck.txt</v>
      </c>
      <c r="AE30" s="145" t="str">
        <f t="shared" si="9"/>
        <v>start /low /b %USERPROFILE%\Documents\GitHub\eaglep3\Utilities\DownloadLogsFromS3.py --loco 4023 --day 2017-09-17</v>
      </c>
      <c r="AF30" s="1"/>
    </row>
    <row r="31" spans="1:32" x14ac:dyDescent="0.25">
      <c r="A31" s="31">
        <v>42995.591215277775</v>
      </c>
      <c r="B31" s="30" t="s">
        <v>589</v>
      </c>
      <c r="C31" s="30" t="s">
        <v>595</v>
      </c>
      <c r="D31" s="30" t="s">
        <v>96</v>
      </c>
      <c r="E31" s="30" t="s">
        <v>195</v>
      </c>
      <c r="F31" s="42">
        <v>150</v>
      </c>
      <c r="G31" s="42">
        <v>203</v>
      </c>
      <c r="H31" s="42">
        <v>5570</v>
      </c>
      <c r="I31" s="42">
        <v>5895</v>
      </c>
      <c r="J31" s="30" t="s">
        <v>196</v>
      </c>
      <c r="K31" s="42">
        <v>574</v>
      </c>
      <c r="L31" s="131" t="s">
        <v>50</v>
      </c>
      <c r="M31" s="132">
        <f t="shared" si="0"/>
        <v>-2809.4879999999998</v>
      </c>
      <c r="N31" s="133" t="str">
        <f>VLOOKUP(C31,'Trips&amp;Operators'!$C$1:$G$99911,5,FALSE)</f>
        <v>HOLCOMB KAMDEN</v>
      </c>
      <c r="O31" s="177" t="s">
        <v>180</v>
      </c>
      <c r="P31" s="134"/>
      <c r="Q31" s="30"/>
      <c r="R31" s="81" t="str">
        <f>VLOOKUP(C31,'Train Runs'!$A$13:$AE$9950,31,0)</f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S31" s="84" t="str">
        <f>VLOOKUP(C31,'Train Runs'!$A$13:$AE$9950,22,0)</f>
        <v>https://d0f6bd738d7f1b3e5a7ca70fe4ff75f0.us-east-1.aws.found.io/app/kibana#/discover/Steve-Slow-Train-Analysis-(2080s-and-2083s)?_g=(refreshInterval:(display:Off,pause:!f,section:0,value:0),time:(from:'2017-09-17T13:00:49-0600',mode:absolute,to:'2017-09-17T15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1" s="86" t="str">
        <f t="shared" si="1"/>
        <v>"C:\Program Files (x86)\AstroGrep\AstroGrep.exe" /e /r /s /spath="%USERPROFILE%\AppData\Local\Temp\OnboardLogs" /stypes="*4024*201709172*" /stext=" 20:.+((SYSTEM_STATE.+slice.+state.+changed )|(ment ac)|(multiple cpu faults)|(system.+state.+changed )|(\[timeout)|(PRM\|1\|D)|(kpr)|(kdp)|(train st.+moving)|(\|lc)|(penalty))"</v>
      </c>
      <c r="U31" s="9" t="str">
        <f t="shared" si="2"/>
        <v>4024</v>
      </c>
      <c r="V31" s="31">
        <f t="shared" si="3"/>
        <v>42995.841215277775</v>
      </c>
      <c r="W31" s="45" t="str">
        <f t="shared" si="4"/>
        <v>NW</v>
      </c>
      <c r="X31" s="22">
        <f t="shared" si="5"/>
        <v>1817</v>
      </c>
      <c r="Y31" s="96" t="str">
        <f t="shared" si="6"/>
        <v>echo {"issue":{"subject":"","project_id":79,"tracker_id":40,"status_id":1,"priority_id":2,"assigned_to_id":338,"start_date":"2017-09-17","description":"","custom_fields":[{"id":1,"name":"Subdivision","value":"NW"},{"id":4,"name":"Milepost","value":"0.0574"},{"id":17,"name":"Train ID","value":"1817-17"},{"id":16,"name":"Locomotive ID","value":"4024"},{"id":130,"name":"Impact","value":""},{"id":150,"name":"Time of Event (Mountain Time)","value":"14:11:21"},{"id":151,"name":"Denver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/c/Users/stu/AppData/Local/Temp/OnboardLogs/RTDC4024 --include="*4024*201709172*"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"%USERPROFILE%\AppData\Local\Temp\OnboardLogs"\RTDC4024\*4024*201709172* &gt;&gt; 2017-09-17-SliceDisagreementCheck.txt</v>
      </c>
      <c r="AE31" s="145" t="str">
        <f t="shared" si="9"/>
        <v>start /low /b %USERPROFILE%\Documents\GitHub\eaglep3\Utilities\DownloadLogsFromS3.py --loco 4024 --day 2017-09-17</v>
      </c>
      <c r="AF31" s="1"/>
    </row>
    <row r="32" spans="1:32" x14ac:dyDescent="0.25">
      <c r="A32" s="31">
        <v>42995.909201388888</v>
      </c>
      <c r="B32" s="30" t="s">
        <v>578</v>
      </c>
      <c r="C32" s="30" t="s">
        <v>604</v>
      </c>
      <c r="D32" s="30" t="s">
        <v>96</v>
      </c>
      <c r="E32" s="30" t="s">
        <v>195</v>
      </c>
      <c r="F32" s="42">
        <v>300</v>
      </c>
      <c r="G32" s="42">
        <v>355</v>
      </c>
      <c r="H32" s="42">
        <v>20945</v>
      </c>
      <c r="I32" s="42">
        <v>20161</v>
      </c>
      <c r="J32" s="30" t="s">
        <v>196</v>
      </c>
      <c r="K32" s="42">
        <v>23561</v>
      </c>
      <c r="L32" s="131" t="s">
        <v>51</v>
      </c>
      <c r="M32" s="132">
        <f t="shared" si="0"/>
        <v>-1795.2</v>
      </c>
      <c r="N32" s="133" t="str">
        <f>VLOOKUP(C32,'Trips&amp;Operators'!$C$1:$G$99911,5,FALSE)</f>
        <v>HOLCOMB KAMDEN</v>
      </c>
      <c r="O32" s="177" t="s">
        <v>180</v>
      </c>
      <c r="P32" s="134"/>
      <c r="Q32" s="30"/>
      <c r="R32" s="81" t="str">
        <f>VLOOKUP(C32,'Train Runs'!$A$13:$AE$9950,31,0)</f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S32" s="84" t="str">
        <f>VLOOKUP(C32,'Train Runs'!$A$13:$AE$9950,22,0)</f>
        <v>https://d0f6bd738d7f1b3e5a7ca70fe4ff75f0.us-east-1.aws.found.io/app/kibana#/discover/Steve-Slow-Train-Analysis-(2080s-and-2083s)?_g=(refreshInterval:(display:Off,pause:!f,section:0,value:0),time:(from:'2017-09-17T20:37:00-0600',mode:absolute,to:'2017-09-17T22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2" s="86" t="str">
        <f t="shared" si="1"/>
        <v>"C:\Program Files (x86)\AstroGrep\AstroGrep.exe" /e /r /s /spath="%USERPROFILE%\AppData\Local\Temp\OnboardLogs" /stypes="*4023*201709180*" /stext=" 03:.+((SYSTEM_STATE.+slice.+state.+changed )|(ment ac)|(multiple cpu faults)|(system.+state.+changed )|(\[timeout)|(PRM\|1\|D)|(kpr)|(kdp)|(train st.+moving)|(\|lc)|(penalty))"</v>
      </c>
      <c r="U32" s="9" t="str">
        <f t="shared" si="2"/>
        <v>4023</v>
      </c>
      <c r="V32" s="31">
        <f t="shared" si="3"/>
        <v>42996.159201388888</v>
      </c>
      <c r="W32" s="45" t="str">
        <f t="shared" si="4"/>
        <v>NW</v>
      </c>
      <c r="X32" s="22">
        <f t="shared" si="5"/>
        <v>1832</v>
      </c>
      <c r="Y32" s="96" t="str">
        <f t="shared" si="6"/>
        <v>echo {"issue":{"subject":"","project_id":79,"tracker_id":40,"status_id":1,"priority_id":2,"assigned_to_id":338,"start_date":"2017-09-17","description":"","custom_fields":[{"id":1,"name":"Subdivision","value":"NW"},{"id":4,"name":"Milepost","value":"2.3561"},{"id":17,"name":"Train ID","value":"1832-17"},{"id":16,"name":"Locomotive ID","value":"4023"},{"id":130,"name":"Impact","value":""},{"id":150,"name":"Time of Event (Mountain Time)","value":"21:49:15"},{"id":151,"name":"Denver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/c/Users/stu/AppData/Local/Temp/OnboardLogs/RTDC4023 --include="*4023*201709180*"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"%USERPROFILE%\AppData\Local\Temp\OnboardLogs"\RTDC4023\*4023*201709180* &gt;&gt; 2017-09-17-SliceDisagreementCheck.txt</v>
      </c>
      <c r="AE32" s="145" t="str">
        <f t="shared" si="9"/>
        <v>start /low /b %USERPROFILE%\Documents\GitHub\eaglep3\Utilities\DownloadLogsFromS3.py --loco 4023 --day 2017-09-18</v>
      </c>
      <c r="AF32" s="1"/>
    </row>
    <row r="33" spans="1:32" x14ac:dyDescent="0.25">
      <c r="A33" s="31">
        <v>42995.507013888891</v>
      </c>
      <c r="B33" s="30" t="s">
        <v>589</v>
      </c>
      <c r="C33" s="30" t="s">
        <v>593</v>
      </c>
      <c r="D33" s="30" t="s">
        <v>96</v>
      </c>
      <c r="E33" s="30" t="s">
        <v>361</v>
      </c>
      <c r="F33" s="42">
        <v>0</v>
      </c>
      <c r="G33" s="42">
        <v>122</v>
      </c>
      <c r="H33" s="42">
        <v>1894</v>
      </c>
      <c r="I33" s="42">
        <v>2087</v>
      </c>
      <c r="J33" s="30" t="s">
        <v>362</v>
      </c>
      <c r="K33" s="42">
        <v>1725</v>
      </c>
      <c r="L33" s="131" t="s">
        <v>50</v>
      </c>
      <c r="M33" s="132">
        <f t="shared" si="0"/>
        <v>-191.136</v>
      </c>
      <c r="N33" s="133" t="str">
        <f>VLOOKUP(C33,'Trips&amp;Operators'!$C$1:$G$99911,5,FALSE)</f>
        <v>ROMERO CHAD</v>
      </c>
      <c r="O33" s="177" t="s">
        <v>506</v>
      </c>
      <c r="P33" s="134" t="s">
        <v>571</v>
      </c>
      <c r="Q33" s="30"/>
      <c r="R33" s="81" t="str">
        <f>VLOOKUP(C33,'Train Runs'!$A$13:$AE$9950,31,0)</f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S33" s="84" t="str">
        <f>VLOOKUP(C33,'Train Runs'!$A$13:$AE$9950,22,0)</f>
        <v>https://d0f6bd738d7f1b3e5a7ca70fe4ff75f0.us-east-1.aws.found.io/app/kibana#/discover/Steve-Slow-Train-Analysis-(2080s-and-2083s)?_g=(refreshInterval:(display:Off,pause:!f,section:0,value:0),time:(from:'2017-09-17T11:10:56-0600',mode:absolute,to:'2017-09-17T13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3" s="86" t="str">
        <f t="shared" si="1"/>
        <v>"C:\Program Files (x86)\AstroGrep\AstroGrep.exe" /e /r /s /spath="%USERPROFILE%\AppData\Local\Temp\OnboardLogs" /stypes="*4024*201709171*" /stext=" 18:.+((SYSTEM_STATE.+slice.+state.+changed )|(ment ac)|(multiple cpu faults)|(system.+state.+changed )|(\[timeout)|(PRM\|1\|D)|(kpr)|(kdp)|(train st.+moving)|(\|lc)|(penalty))"</v>
      </c>
      <c r="U33" s="9" t="str">
        <f t="shared" si="2"/>
        <v>4024</v>
      </c>
      <c r="V33" s="31">
        <f t="shared" si="3"/>
        <v>42995.757013888891</v>
      </c>
      <c r="W33" s="45" t="str">
        <f t="shared" si="4"/>
        <v>NW</v>
      </c>
      <c r="X33" s="22">
        <f t="shared" si="5"/>
        <v>1813</v>
      </c>
      <c r="Y33" s="96" t="str">
        <f t="shared" si="6"/>
        <v>echo {"issue":{"subject":"Wi-MAX data drop","project_id":79,"tracker_id":40,"status_id":1,"priority_id":2,"assigned_to_id":338,"start_date":"2017-09-17","description":"","custom_fields":[{"id":1,"name":"Subdivision","value":"NW"},{"id":4,"name":"Milepost","value":"0.1725"},{"id":17,"name":"Train ID","value":"1813-17"},{"id":16,"name":"Locomotive ID","value":"4024"},{"id":130,"name":"Impact","value":""},{"id":150,"name":"Time of Event (Mountain Time)","value":"12:10:06"},{"id":151,"name":"Denver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/c/Users/stu/AppData/Local/Temp/OnboardLogs/RTDC4024 --include="*4024*201709171*"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"%USERPROFILE%\AppData\Local\Temp\OnboardLogs"\RTDC4024\*4024*201709171* &gt;&gt; 2017-09-17-SliceDisagreementCheck.txt</v>
      </c>
      <c r="AE33" s="145" t="str">
        <f t="shared" si="9"/>
        <v>start /low /b %USERPROFILE%\Documents\GitHub\eaglep3\Utilities\DownloadLogsFromS3.py --loco 4024 --day 2017-09-17</v>
      </c>
      <c r="AF33" s="1"/>
    </row>
    <row r="34" spans="1:32" x14ac:dyDescent="0.25">
      <c r="A34" s="31">
        <v>42995.413217592592</v>
      </c>
      <c r="B34" s="30" t="s">
        <v>578</v>
      </c>
      <c r="C34" s="30" t="s">
        <v>587</v>
      </c>
      <c r="D34" s="30" t="s">
        <v>49</v>
      </c>
      <c r="E34" s="30" t="s">
        <v>181</v>
      </c>
      <c r="F34" s="42">
        <v>0</v>
      </c>
      <c r="G34" s="42">
        <v>12</v>
      </c>
      <c r="H34" s="42">
        <v>584</v>
      </c>
      <c r="I34" s="42">
        <v>575</v>
      </c>
      <c r="J34" s="30" t="s">
        <v>182</v>
      </c>
      <c r="K34" s="42">
        <v>575</v>
      </c>
      <c r="L34" s="131" t="s">
        <v>51</v>
      </c>
      <c r="M34" s="132">
        <f t="shared" si="0"/>
        <v>0</v>
      </c>
      <c r="N34" s="133" t="str">
        <f>VLOOKUP(C34,'Trips&amp;Operators'!$C$1:$G$99911,5,FALSE)</f>
        <v>DELGADO DIANAH</v>
      </c>
      <c r="O34" s="177" t="s">
        <v>180</v>
      </c>
      <c r="P34" s="134"/>
      <c r="Q34" s="30"/>
      <c r="R34" s="81" t="str">
        <f>VLOOKUP(C34,'Train Runs'!$A$13:$AE$9950,31,0)</f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S34" s="84" t="str">
        <f>VLOOKUP(C34,'Train Runs'!$A$13:$AE$9950,22,0)</f>
        <v>https://d0f6bd738d7f1b3e5a7ca70fe4ff75f0.us-east-1.aws.found.io/app/kibana#/discover/Steve-Slow-Train-Analysis-(2080s-and-2083s)?_g=(refreshInterval:(display:Off,pause:!f,section:0,value:0),time:(from:'2017-09-17T08:23:58-0600',mode:absolute,to:'2017-09-17T10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4" s="86" t="str">
        <f t="shared" si="1"/>
        <v>"C:\Program Files (x86)\AstroGrep\AstroGrep.exe" /e /r /s /spath="%USERPROFILE%\AppData\Local\Temp\OnboardLogs" /stypes="*4023*201709171*" /stext=" 15:.+((SYSTEM_STATE.+slice.+state.+changed )|(ment ac)|(multiple cpu faults)|(system.+state.+changed )|(\[timeout)|(PRM\|1\|D)|(kpr)|(kdp)|(train st.+moving)|(\|lc)|(penalty))"</v>
      </c>
      <c r="U34" s="9" t="str">
        <f t="shared" si="2"/>
        <v>4023</v>
      </c>
      <c r="V34" s="31">
        <f t="shared" si="3"/>
        <v>42995.663217592592</v>
      </c>
      <c r="W34" s="45" t="str">
        <f t="shared" si="4"/>
        <v>NW</v>
      </c>
      <c r="X34" s="22">
        <f t="shared" si="5"/>
        <v>1808</v>
      </c>
      <c r="Y34" s="96" t="str">
        <f t="shared" si="6"/>
        <v>echo {"issue":{"subject":"","project_id":79,"tracker_id":40,"status_id":1,"priority_id":2,"assigned_to_id":338,"start_date":"2017-09-17","description":"","custom_fields":[{"id":1,"name":"Subdivision","value":"NW"},{"id":4,"name":"Milepost","value":"0.0575"},{"id":17,"name":"Train ID","value":"1808-17"},{"id":16,"name":"Locomotive ID","value":"4023"},{"id":130,"name":"Impact","value":""},{"id":150,"name":"Time of Event (Mountain Time)","value":"09:55:02"},{"id":151,"name":"Denver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/c/Users/stu/AppData/Local/Temp/OnboardLogs/RTDC4023 --include="*4023*201709171*"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"%USERPROFILE%\AppData\Local\Temp\OnboardLogs"\RTDC4023\*4023*201709171* &gt;&gt; 2017-09-17-SliceDisagreementCheck.txt</v>
      </c>
      <c r="AE34" s="145" t="str">
        <f t="shared" si="9"/>
        <v>start /low /b %USERPROFILE%\Documents\GitHub\eaglep3\Utilities\DownloadLogsFromS3.py --loco 4023 --day 2017-09-17</v>
      </c>
      <c r="AF34" s="1"/>
    </row>
    <row r="35" spans="1:32" x14ac:dyDescent="0.25">
      <c r="A35" s="31">
        <v>42995.621018518519</v>
      </c>
      <c r="B35" s="30" t="s">
        <v>578</v>
      </c>
      <c r="C35" s="30" t="s">
        <v>596</v>
      </c>
      <c r="D35" s="30" t="s">
        <v>49</v>
      </c>
      <c r="E35" s="30" t="s">
        <v>181</v>
      </c>
      <c r="F35" s="42">
        <v>0</v>
      </c>
      <c r="G35" s="42">
        <v>137</v>
      </c>
      <c r="H35" s="42">
        <v>1242</v>
      </c>
      <c r="I35" s="42">
        <v>1070</v>
      </c>
      <c r="J35" s="30" t="s">
        <v>182</v>
      </c>
      <c r="K35" s="42">
        <v>575</v>
      </c>
      <c r="L35" s="131" t="s">
        <v>51</v>
      </c>
      <c r="M35" s="132">
        <f t="shared" si="0"/>
        <v>261.36</v>
      </c>
      <c r="N35" s="133" t="str">
        <f>VLOOKUP(C35,'Trips&amp;Operators'!$C$1:$G$99911,5,FALSE)</f>
        <v>HOLCOMB KAMDEN</v>
      </c>
      <c r="O35" s="177" t="s">
        <v>180</v>
      </c>
      <c r="P35" s="134"/>
      <c r="Q35" s="30"/>
      <c r="R35" s="81" t="str">
        <f>VLOOKUP(C35,'Train Runs'!$A$13:$AE$9950,31,0)</f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S35" s="84" t="str">
        <f>VLOOKUP(C35,'Train Runs'!$A$13:$AE$9950,22,0)</f>
        <v>https://d0f6bd738d7f1b3e5a7ca70fe4ff75f0.us-east-1.aws.found.io/app/kibana#/discover/Steve-Slow-Train-Analysis-(2080s-and-2083s)?_g=(refreshInterval:(display:Off,pause:!f,section:0,value:0),time:(from:'2017-09-17T13:36:48-0600',mode:absolute,to:'2017-09-17T15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5" s="86" t="str">
        <f t="shared" si="1"/>
        <v>"C:\Program Files (x86)\AstroGrep\AstroGrep.exe" /e /r /s /spath="%USERPROFILE%\AppData\Local\Temp\OnboardLogs" /stypes="*4023*201709172*" /stext=" 20:.+((SYSTEM_STATE.+slice.+state.+changed )|(ment ac)|(multiple cpu faults)|(system.+state.+changed )|(\[timeout)|(PRM\|1\|D)|(kpr)|(kdp)|(train st.+moving)|(\|lc)|(penalty))"</v>
      </c>
      <c r="U35" s="9" t="str">
        <f t="shared" si="2"/>
        <v>4023</v>
      </c>
      <c r="V35" s="31">
        <f t="shared" si="3"/>
        <v>42995.871018518519</v>
      </c>
      <c r="W35" s="45" t="str">
        <f t="shared" si="4"/>
        <v>NW</v>
      </c>
      <c r="X35" s="22">
        <f t="shared" si="5"/>
        <v>1818</v>
      </c>
      <c r="Y35" s="96" t="str">
        <f t="shared" si="6"/>
        <v>echo {"issue":{"subject":"","project_id":79,"tracker_id":40,"status_id":1,"priority_id":2,"assigned_to_id":338,"start_date":"2017-09-17","description":"","custom_fields":[{"id":1,"name":"Subdivision","value":"NW"},{"id":4,"name":"Milepost","value":"0.0575"},{"id":17,"name":"Train ID","value":"1818-17"},{"id":16,"name":"Locomotive ID","value":"4023"},{"id":130,"name":"Impact","value":""},{"id":150,"name":"Time of Event (Mountain Time)","value":"14:54:16"},{"id":151,"name":"Denver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/c/Users/stu/AppData/Local/Temp/OnboardLogs/RTDC4023 --include="*4023*201709172*"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"%USERPROFILE%\AppData\Local\Temp\OnboardLogs"\RTDC4023\*4023*201709172* &gt;&gt; 2017-09-17-SliceDisagreementCheck.txt</v>
      </c>
      <c r="AE35" s="145" t="str">
        <f t="shared" si="9"/>
        <v>start /low /b %USERPROFILE%\Documents\GitHub\eaglep3\Utilities\DownloadLogsFromS3.py --loco 4023 --day 2017-09-17</v>
      </c>
      <c r="AF35" s="1"/>
    </row>
    <row r="36" spans="1:32" x14ac:dyDescent="0.25">
      <c r="A36" s="31">
        <v>42995.913900462961</v>
      </c>
      <c r="B36" s="30" t="s">
        <v>578</v>
      </c>
      <c r="C36" s="30" t="s">
        <v>604</v>
      </c>
      <c r="D36" s="30" t="s">
        <v>49</v>
      </c>
      <c r="E36" s="30" t="s">
        <v>181</v>
      </c>
      <c r="F36" s="42">
        <v>0</v>
      </c>
      <c r="G36" s="42">
        <v>36</v>
      </c>
      <c r="H36" s="42">
        <v>689</v>
      </c>
      <c r="I36" s="42">
        <v>666</v>
      </c>
      <c r="J36" s="30" t="s">
        <v>182</v>
      </c>
      <c r="K36" s="42">
        <v>575</v>
      </c>
      <c r="L36" s="131" t="s">
        <v>51</v>
      </c>
      <c r="M36" s="132">
        <f t="shared" si="0"/>
        <v>48.048000000000002</v>
      </c>
      <c r="N36" s="133" t="str">
        <f>VLOOKUP(C36,'Trips&amp;Operators'!$C$1:$G$99911,5,FALSE)</f>
        <v>HOLCOMB KAMDEN</v>
      </c>
      <c r="O36" s="177" t="s">
        <v>180</v>
      </c>
      <c r="P36" s="134"/>
      <c r="Q36" s="30"/>
      <c r="R36" s="81" t="str">
        <f>VLOOKUP(C36,'Train Runs'!$A$13:$AE$9950,31,0)</f>
        <v>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 &amp; aws s3 cp s3://rtdc.mdm.uploadarchive.raw/RTDC4023/ "%USERPROFILE%\AppData\Local\Temp\OnboardLogs"\RTDC4023\2017-09-18 --exclude "*" --recursive --include "*20170918*" &amp; "%USERPROFILE%\Documents\GitHub\mrs-test-scripts\Headless Mode &amp; Sideloading\WalkAndUnGZ.bat" "%USERPROFILE%\AppData\Local\Temp\OnboardLogs"\RTDC4023\2017-09-18</v>
      </c>
      <c r="S36" s="84" t="str">
        <f>VLOOKUP(C36,'Train Runs'!$A$13:$AE$9950,22,0)</f>
        <v>https://d0f6bd738d7f1b3e5a7ca70fe4ff75f0.us-east-1.aws.found.io/app/kibana#/discover/Steve-Slow-Train-Analysis-(2080s-and-2083s)?_g=(refreshInterval:(display:Off,pause:!f,section:0,value:0),time:(from:'2017-09-17T20:37:00-0600',mode:absolute,to:'2017-09-17T22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6" s="86" t="str">
        <f t="shared" si="1"/>
        <v>"C:\Program Files (x86)\AstroGrep\AstroGrep.exe" /e /r /s /spath="%USERPROFILE%\AppData\Local\Temp\OnboardLogs" /stypes="*4023*201709180*" /stext=" 03:.+((SYSTEM_STATE.+slice.+state.+changed )|(ment ac)|(multiple cpu faults)|(system.+state.+changed )|(\[timeout)|(PRM\|1\|D)|(kpr)|(kdp)|(train st.+moving)|(\|lc)|(penalty))"</v>
      </c>
      <c r="U36" s="9" t="str">
        <f t="shared" si="2"/>
        <v>4023</v>
      </c>
      <c r="V36" s="31">
        <f t="shared" si="3"/>
        <v>42996.163900462961</v>
      </c>
      <c r="W36" s="45" t="str">
        <f t="shared" si="4"/>
        <v>NW</v>
      </c>
      <c r="X36" s="22">
        <f t="shared" si="5"/>
        <v>1832</v>
      </c>
      <c r="Y36" s="96" t="str">
        <f t="shared" si="6"/>
        <v>echo {"issue":{"subject":"","project_id":79,"tracker_id":40,"status_id":1,"priority_id":2,"assigned_to_id":338,"start_date":"2017-09-17","description":"","custom_fields":[{"id":1,"name":"Subdivision","value":"NW"},{"id":4,"name":"Milepost","value":"0.0575"},{"id":17,"name":"Train ID","value":"1832-17"},{"id":16,"name":"Locomotive ID","value":"4023"},{"id":130,"name":"Impact","value":""},{"id":150,"name":"Time of Event (Mountain Time)","value":"21:56:01"},{"id":151,"name":"Denver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/c/Users/stu/AppData/Local/Temp/OnboardLogs/RTDC4023 --include="*4023*201709180*"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"%USERPROFILE%\AppData\Local\Temp\OnboardLogs"\RTDC4023\*4023*201709180* &gt;&gt; 2017-09-17-SliceDisagreementCheck.txt</v>
      </c>
      <c r="AE36" s="145" t="str">
        <f t="shared" si="9"/>
        <v>start /low /b %USERPROFILE%\Documents\GitHub\eaglep3\Utilities\DownloadLogsFromS3.py --loco 4023 --day 2017-09-18</v>
      </c>
      <c r="AF36" s="1"/>
    </row>
    <row r="37" spans="1:32" x14ac:dyDescent="0.25">
      <c r="A37" s="31">
        <v>42995.474826388891</v>
      </c>
      <c r="B37" s="30" t="s">
        <v>589</v>
      </c>
      <c r="C37" s="30" t="s">
        <v>590</v>
      </c>
      <c r="D37" s="30" t="s">
        <v>96</v>
      </c>
      <c r="E37" s="30" t="s">
        <v>181</v>
      </c>
      <c r="F37" s="42">
        <v>0</v>
      </c>
      <c r="G37" s="42">
        <v>5</v>
      </c>
      <c r="H37" s="42">
        <v>59048</v>
      </c>
      <c r="I37" s="42">
        <v>0</v>
      </c>
      <c r="J37" s="30" t="s">
        <v>182</v>
      </c>
      <c r="K37" s="42">
        <v>59048</v>
      </c>
      <c r="L37" s="131" t="s">
        <v>50</v>
      </c>
      <c r="M37" s="132">
        <f t="shared" si="0"/>
        <v>31177.344000000001</v>
      </c>
      <c r="N37" s="133" t="str">
        <f>VLOOKUP(C37,'Trips&amp;Operators'!$C$1:$G$99911,5,FALSE)</f>
        <v>ROMERO CHAD</v>
      </c>
      <c r="O37" s="177" t="s">
        <v>180</v>
      </c>
      <c r="P37" s="134"/>
      <c r="Q37" s="30"/>
      <c r="R37" s="81" t="str">
        <f>VLOOKUP(C37,'Train Runs'!$A$13:$AE$9950,31,0)</f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S37" s="84" t="str">
        <f>VLOOKUP(C37,'Train Runs'!$A$13:$AE$9950,22,0)</f>
        <v>https://d0f6bd738d7f1b3e5a7ca70fe4ff75f0.us-east-1.aws.found.io/app/kibana#/discover/Steve-Slow-Train-Analysis-(2080s-and-2083s)?_g=(refreshInterval:(display:Off,pause:!f,section:0,value:0),time:(from:'2017-09-17T09:57:46-0600',mode:absolute,to:'2017-09-17T12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7" s="86" t="str">
        <f t="shared" si="1"/>
        <v>"C:\Program Files (x86)\AstroGrep\AstroGrep.exe" /e /r /s /spath="%USERPROFILE%\AppData\Local\Temp\OnboardLogs" /stypes="*4024*201709171*" /stext=" 17:.+((SYSTEM_STATE.+slice.+state.+changed )|(ment ac)|(multiple cpu faults)|(system.+state.+changed )|(\[timeout)|(PRM\|1\|D)|(kpr)|(kdp)|(train st.+moving)|(\|lc)|(penalty))"</v>
      </c>
      <c r="U37" s="9" t="str">
        <f t="shared" si="2"/>
        <v>4024</v>
      </c>
      <c r="V37" s="31">
        <f t="shared" si="3"/>
        <v>42995.724826388891</v>
      </c>
      <c r="W37" s="45" t="str">
        <f t="shared" si="4"/>
        <v>NW</v>
      </c>
      <c r="X37" s="22">
        <f t="shared" si="5"/>
        <v>1811</v>
      </c>
      <c r="Y37" s="96" t="str">
        <f t="shared" si="6"/>
        <v>echo {"issue":{"subject":"","project_id":79,"tracker_id":40,"status_id":1,"priority_id":2,"assigned_to_id":338,"start_date":"2017-09-17","description":"","custom_fields":[{"id":1,"name":"Subdivision","value":"NW"},{"id":4,"name":"Milepost","value":"5.9048"},{"id":17,"name":"Train ID","value":"1811-17"},{"id":16,"name":"Locomotive ID","value":"4024"},{"id":130,"name":"Impact","value":""},{"id":150,"name":"Time of Event (Mountain Time)","value":"11:23:45"},{"id":151,"name":"Denver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/c/Users/stu/AppData/Local/Temp/OnboardLogs/RTDC4024 --include="*4024*201709171*"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"%USERPROFILE%\AppData\Local\Temp\OnboardLogs"\RTDC4024\*4024*201709171* &gt;&gt; 2017-09-17-SliceDisagreementCheck.txt</v>
      </c>
      <c r="AE37" s="145" t="str">
        <f t="shared" si="9"/>
        <v>start /low /b %USERPROFILE%\Documents\GitHub\eaglep3\Utilities\DownloadLogsFromS3.py --loco 4024 --day 2017-09-17</v>
      </c>
      <c r="AF37" s="1"/>
    </row>
    <row r="38" spans="1:32" x14ac:dyDescent="0.25">
      <c r="A38" s="31">
        <v>42995.724490740744</v>
      </c>
      <c r="B38" s="30" t="s">
        <v>589</v>
      </c>
      <c r="C38" s="30" t="s">
        <v>599</v>
      </c>
      <c r="D38" s="30" t="s">
        <v>49</v>
      </c>
      <c r="E38" s="30" t="s">
        <v>181</v>
      </c>
      <c r="F38" s="42">
        <v>0</v>
      </c>
      <c r="G38" s="42">
        <v>15</v>
      </c>
      <c r="H38" s="42">
        <v>59044</v>
      </c>
      <c r="I38" s="42">
        <v>0</v>
      </c>
      <c r="J38" s="30" t="s">
        <v>182</v>
      </c>
      <c r="K38" s="42">
        <v>59048</v>
      </c>
      <c r="L38" s="131" t="s">
        <v>50</v>
      </c>
      <c r="M38" s="132">
        <f t="shared" si="0"/>
        <v>31177.344000000001</v>
      </c>
      <c r="N38" s="133" t="str">
        <f>VLOOKUP(C38,'Trips&amp;Operators'!$C$1:$G$99911,5,FALSE)</f>
        <v>KILLION DAVID</v>
      </c>
      <c r="O38" s="177" t="s">
        <v>180</v>
      </c>
      <c r="P38" s="134"/>
      <c r="Q38" s="30"/>
      <c r="R38" s="81" t="str">
        <f>VLOOKUP(C38,'Train Runs'!$A$13:$AE$9950,31,0)</f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S38" s="84" t="str">
        <f>VLOOKUP(C38,'Train Runs'!$A$13:$AE$9950,22,0)</f>
        <v>https://d0f6bd738d7f1b3e5a7ca70fe4ff75f0.us-east-1.aws.found.io/app/kibana#/discover/Steve-Slow-Train-Analysis-(2080s-and-2083s)?_g=(refreshInterval:(display:Off,pause:!f,section:0,value:0),time:(from:'2017-09-17T16:00:10-0600',mode:absolute,to:'2017-09-17T18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8" s="86" t="str">
        <f t="shared" si="1"/>
        <v>"C:\Program Files (x86)\AstroGrep\AstroGrep.exe" /e /r /s /spath="%USERPROFILE%\AppData\Local\Temp\OnboardLogs" /stypes="*4024*201709172*" /stext=" 23:.+((SYSTEM_STATE.+slice.+state.+changed )|(ment ac)|(multiple cpu faults)|(system.+state.+changed )|(\[timeout)|(PRM\|1\|D)|(kpr)|(kdp)|(train st.+moving)|(\|lc)|(penalty))"</v>
      </c>
      <c r="U38" s="9" t="str">
        <f t="shared" si="2"/>
        <v>4024</v>
      </c>
      <c r="V38" s="31">
        <f t="shared" si="3"/>
        <v>42995.974490740744</v>
      </c>
      <c r="W38" s="45" t="str">
        <f t="shared" si="4"/>
        <v>NW</v>
      </c>
      <c r="X38" s="22">
        <f t="shared" si="5"/>
        <v>1823</v>
      </c>
      <c r="Y38" s="96" t="str">
        <f t="shared" si="6"/>
        <v>echo {"issue":{"subject":"","project_id":79,"tracker_id":40,"status_id":1,"priority_id":2,"assigned_to_id":338,"start_date":"2017-09-17","description":"","custom_fields":[{"id":1,"name":"Subdivision","value":"NW"},{"id":4,"name":"Milepost","value":"5.9048"},{"id":17,"name":"Train ID","value":"1823-17"},{"id":16,"name":"Locomotive ID","value":"4024"},{"id":130,"name":"Impact","value":""},{"id":150,"name":"Time of Event (Mountain Time)","value":"17:23:16"},{"id":151,"name":"Denver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/c/Users/stu/AppData/Local/Temp/OnboardLogs/RTDC4024 --include="*4024*201709172*"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"%USERPROFILE%\AppData\Local\Temp\OnboardLogs"\RTDC4024\*4024*201709172* &gt;&gt; 2017-09-17-SliceDisagreementCheck.txt</v>
      </c>
      <c r="AE38" s="145" t="str">
        <f t="shared" si="9"/>
        <v>start /low /b %USERPROFILE%\Documents\GitHub\eaglep3\Utilities\DownloadLogsFromS3.py --loco 4024 --day 2017-09-17</v>
      </c>
      <c r="AF38" s="1"/>
    </row>
    <row r="39" spans="1:32" x14ac:dyDescent="0.25">
      <c r="A39" s="31">
        <v>42995.97483796296</v>
      </c>
      <c r="B39" s="30" t="s">
        <v>589</v>
      </c>
      <c r="C39" s="30" t="s">
        <v>605</v>
      </c>
      <c r="D39" s="30" t="s">
        <v>49</v>
      </c>
      <c r="E39" s="30" t="s">
        <v>181</v>
      </c>
      <c r="F39" s="42">
        <v>0</v>
      </c>
      <c r="G39" s="42">
        <v>41</v>
      </c>
      <c r="H39" s="42">
        <v>58956</v>
      </c>
      <c r="I39" s="42">
        <v>59007</v>
      </c>
      <c r="J39" s="30" t="s">
        <v>182</v>
      </c>
      <c r="K39" s="42">
        <v>59048</v>
      </c>
      <c r="L39" s="131" t="s">
        <v>50</v>
      </c>
      <c r="M39" s="132">
        <f t="shared" si="0"/>
        <v>21.648000000000003</v>
      </c>
      <c r="N39" s="133" t="str">
        <f>VLOOKUP(C39,'Trips&amp;Operators'!$C$1:$G$99911,5,FALSE)</f>
        <v>HOLCOMB KAMDEN</v>
      </c>
      <c r="O39" s="177" t="s">
        <v>180</v>
      </c>
      <c r="P39" s="134"/>
      <c r="Q39" s="30"/>
      <c r="R39" s="81" t="str">
        <f>VLOOKUP(C39,'Train Runs'!$A$13:$AE$9950,31,0)</f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S39" s="84" t="str">
        <f>VLOOKUP(C39,'Train Runs'!$A$13:$AE$9950,22,0)</f>
        <v>https://d0f6bd738d7f1b3e5a7ca70fe4ff75f0.us-east-1.aws.found.io/app/kibana#/discover/Steve-Slow-Train-Analysis-(2080s-and-2083s)?_g=(refreshInterval:(display:Off,pause:!f,section:0,value:0),time:(from:'2017-09-17T21:58:48-0600',mode:absolute,to:'2017-09-18T00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9" s="86" t="str">
        <f t="shared" si="1"/>
        <v>"C:\Program Files (x86)\AstroGrep\AstroGrep.exe" /e /r /s /spath="%USERPROFILE%\AppData\Local\Temp\OnboardLogs" /stypes="*4024*201709180*" /stext=" 05:.+((SYSTEM_STATE.+slice.+state.+changed )|(ment ac)|(multiple cpu faults)|(system.+state.+changed )|(\[timeout)|(PRM\|1\|D)|(kpr)|(kdp)|(train st.+moving)|(\|lc)|(penalty))"</v>
      </c>
      <c r="U39" s="9" t="str">
        <f t="shared" si="2"/>
        <v>4024</v>
      </c>
      <c r="V39" s="31">
        <f t="shared" si="3"/>
        <v>42996.22483796296</v>
      </c>
      <c r="W39" s="45" t="str">
        <f t="shared" si="4"/>
        <v>NW</v>
      </c>
      <c r="X39" s="22">
        <f t="shared" si="5"/>
        <v>1835</v>
      </c>
      <c r="Y39" s="96" t="str">
        <f t="shared" si="6"/>
        <v>echo {"issue":{"subject":"","project_id":79,"tracker_id":40,"status_id":1,"priority_id":2,"assigned_to_id":338,"start_date":"2017-09-17","description":"","custom_fields":[{"id":1,"name":"Subdivision","value":"NW"},{"id":4,"name":"Milepost","value":"5.9048"},{"id":17,"name":"Train ID","value":"1835-17"},{"id":16,"name":"Locomotive ID","value":"4024"},{"id":130,"name":"Impact","value":""},{"id":150,"name":"Time of Event (Mountain Time)","value":"23:23:46"},{"id":151,"name":"Denver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/c/Users/stu/AppData/Local/Temp/OnboardLogs/RTDC4024 --include="*4024*201709180*"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"%USERPROFILE%\AppData\Local\Temp\OnboardLogs"\RTDC4024\*4024*201709180* &gt;&gt; 2017-09-17-SliceDisagreementCheck.txt</v>
      </c>
      <c r="AE39" s="145" t="str">
        <f t="shared" si="9"/>
        <v>start /low /b %USERPROFILE%\Documents\GitHub\eaglep3\Utilities\DownloadLogsFromS3.py --loco 4024 --day 2017-09-18</v>
      </c>
      <c r="AF39" s="1"/>
    </row>
    <row r="40" spans="1:32" x14ac:dyDescent="0.25">
      <c r="A40" s="31">
        <v>42995.975231481483</v>
      </c>
      <c r="B40" s="30" t="s">
        <v>589</v>
      </c>
      <c r="C40" s="30" t="s">
        <v>605</v>
      </c>
      <c r="D40" s="30" t="s">
        <v>96</v>
      </c>
      <c r="E40" s="30" t="s">
        <v>181</v>
      </c>
      <c r="F40" s="42">
        <v>0</v>
      </c>
      <c r="G40" s="42">
        <v>15</v>
      </c>
      <c r="H40" s="42">
        <v>59049</v>
      </c>
      <c r="I40" s="42">
        <v>0</v>
      </c>
      <c r="J40" s="30" t="s">
        <v>182</v>
      </c>
      <c r="K40" s="42">
        <v>59048</v>
      </c>
      <c r="L40" s="131" t="s">
        <v>50</v>
      </c>
      <c r="M40" s="132">
        <f t="shared" si="0"/>
        <v>31177.344000000001</v>
      </c>
      <c r="N40" s="133" t="str">
        <f>VLOOKUP(C40,'Trips&amp;Operators'!$C$1:$G$99911,5,FALSE)</f>
        <v>HOLCOMB KAMDEN</v>
      </c>
      <c r="O40" s="177" t="s">
        <v>180</v>
      </c>
      <c r="P40" s="134"/>
      <c r="Q40" s="30"/>
      <c r="R40" s="81" t="str">
        <f>VLOOKUP(C40,'Train Runs'!$A$13:$AE$9950,31,0)</f>
        <v>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 &amp; aws s3 cp s3://rtdc.mdm.uploadarchive.raw/RTDC4024/ "%USERPROFILE%\AppData\Local\Temp\OnboardLogs"\RTDC4024\2017-09-18 --exclude "*" --recursive --include "*20170918*" &amp; "%USERPROFILE%\Documents\GitHub\mrs-test-scripts\Headless Mode &amp; Sideloading\WalkAndUnGZ.bat" "%USERPROFILE%\AppData\Local\Temp\OnboardLogs"\RTDC4024\2017-09-18</v>
      </c>
      <c r="S40" s="84" t="str">
        <f>VLOOKUP(C40,'Train Runs'!$A$13:$AE$9950,22,0)</f>
        <v>https://d0f6bd738d7f1b3e5a7ca70fe4ff75f0.us-east-1.aws.found.io/app/kibana#/discover/Steve-Slow-Train-Analysis-(2080s-and-2083s)?_g=(refreshInterval:(display:Off,pause:!f,section:0,value:0),time:(from:'2017-09-17T21:58:48-0600',mode:absolute,to:'2017-09-18T00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40" s="86" t="str">
        <f t="shared" si="1"/>
        <v>"C:\Program Files (x86)\AstroGrep\AstroGrep.exe" /e /r /s /spath="%USERPROFILE%\AppData\Local\Temp\OnboardLogs" /stypes="*4024*201709180*" /stext=" 05:.+((SYSTEM_STATE.+slice.+state.+changed )|(ment ac)|(multiple cpu faults)|(system.+state.+changed )|(\[timeout)|(PRM\|1\|D)|(kpr)|(kdp)|(train st.+moving)|(\|lc)|(penalty))"</v>
      </c>
      <c r="U40" s="9" t="str">
        <f t="shared" si="2"/>
        <v>4024</v>
      </c>
      <c r="V40" s="31">
        <f t="shared" si="3"/>
        <v>42996.225231481483</v>
      </c>
      <c r="W40" s="45" t="str">
        <f t="shared" si="4"/>
        <v>NW</v>
      </c>
      <c r="X40" s="22">
        <f t="shared" si="5"/>
        <v>1835</v>
      </c>
      <c r="Y40" s="96" t="str">
        <f t="shared" si="6"/>
        <v>echo {"issue":{"subject":"","project_id":79,"tracker_id":40,"status_id":1,"priority_id":2,"assigned_to_id":338,"start_date":"2017-09-17","description":"","custom_fields":[{"id":1,"name":"Subdivision","value":"NW"},{"id":4,"name":"Milepost","value":"5.9048"},{"id":17,"name":"Train ID","value":"1835-17"},{"id":16,"name":"Locomotive ID","value":"4024"},{"id":130,"name":"Impact","value":""},{"id":150,"name":"Time of Event (Mountain Time)","value":"23:24:20"},{"id":151,"name":"Denver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/c/Users/stu/AppData/Local/Temp/OnboardLogs/RTDC4024 --include="*4024*201709180*"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"%USERPROFILE%\AppData\Local\Temp\OnboardLogs"\RTDC4024\*4024*201709180* &gt;&gt; 2017-09-17-SliceDisagreementCheck.txt</v>
      </c>
      <c r="AE40" s="145" t="str">
        <f t="shared" si="9"/>
        <v>start /low /b %USERPROFILE%\Documents\GitHub\eaglep3\Utilities\DownloadLogsFromS3.py --loco 4024 --day 2017-09-18</v>
      </c>
      <c r="AF40" s="1"/>
    </row>
    <row r="41" spans="1:32" x14ac:dyDescent="0.25">
      <c r="A41" s="31">
        <v>42995.210752314815</v>
      </c>
      <c r="B41" s="30" t="s">
        <v>499</v>
      </c>
      <c r="C41" s="30" t="s">
        <v>574</v>
      </c>
      <c r="D41" s="30" t="s">
        <v>96</v>
      </c>
      <c r="E41" s="30" t="s">
        <v>361</v>
      </c>
      <c r="F41" s="42">
        <v>0</v>
      </c>
      <c r="G41" s="42">
        <v>138</v>
      </c>
      <c r="H41" s="42">
        <v>4783</v>
      </c>
      <c r="I41" s="42">
        <v>4569</v>
      </c>
      <c r="J41" s="30" t="s">
        <v>362</v>
      </c>
      <c r="K41" s="42">
        <v>4798</v>
      </c>
      <c r="L41" s="131" t="s">
        <v>51</v>
      </c>
      <c r="M41" s="132">
        <f t="shared" si="0"/>
        <v>-120.91200000000001</v>
      </c>
      <c r="N41" s="133" t="str">
        <f>VLOOKUP(C41,'Trips&amp;Operators'!$C$1:$G$99911,5,FALSE)</f>
        <v>WILLIAMS DONTE</v>
      </c>
      <c r="O41" s="177" t="s">
        <v>180</v>
      </c>
      <c r="P41" s="134"/>
      <c r="Q41" s="30"/>
      <c r="R41" s="81" t="str">
        <f>VLOOKUP(C41,'Train Runs'!$A$13:$AE$9950,31,0)</f>
        <v>aws s3 cp s3://rtdc.mdm.uploadarchive.raw/RTDC4001/ "%USERPROFILE%\AppData\Local\Temp\OnboardLogs"\RTDC4001\2017-09-17 --exclude "*" --recursive --include "*20170917*" &amp; "%USERPROFILE%\Documents\GitHub\mrs-test-scripts\Headless Mode &amp; Sideloading\WalkAndUnGZ.bat" "%USERPROFILE%\AppData\Local\Temp\OnboardLogs"\RTDC4001\2017-09-17 &amp; aws s3 cp s3://rtdc.mdm.uploadarchive.raw/RTDC4001/ "%USERPROFILE%\AppData\Local\Temp\OnboardLogs"\RTDC4001\2017-09-18 --exclude "*" --recursive --include "*20170918*" &amp; "%USERPROFILE%\Documents\GitHub\mrs-test-scripts\Headless Mode &amp; Sideloading\WalkAndUnGZ.bat" "%USERPROFILE%\AppData\Local\Temp\OnboardLogs"\RTDC4001\2017-09-18</v>
      </c>
      <c r="S41" s="84" t="str">
        <f>VLOOKUP(C41,'Train Runs'!$A$13:$AE$9950,22,0)</f>
        <v>https://d0f6bd738d7f1b3e5a7ca70fe4ff75f0.us-east-1.aws.found.io/app/kibana#/discover/Steve-Slow-Train-Analysis-(2080s-and-2083s)?_g=(refreshInterval:(display:Off,pause:!f,section:0,value:0),time:(from:'2017-09-17T03:45:53-0600',mode:absolute,to:'2017-09-17T06:03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1" s="86" t="str">
        <f t="shared" si="1"/>
        <v>"C:\Program Files (x86)\AstroGrep\AstroGrep.exe" /e /r /s /spath="%USERPROFILE%\AppData\Local\Temp\OnboardLogs" /stypes="*4001*201709171*" /stext=" 11:.+((SYSTEM_STATE.+slice.+state.+changed )|(ment ac)|(multiple cpu faults)|(system.+state.+changed )|(\[timeout)|(PRM\|1\|D)|(kpr)|(kdp)|(train st.+moving)|(\|lc)|(penalty))"</v>
      </c>
      <c r="U41" s="9" t="str">
        <f t="shared" si="2"/>
        <v>4001</v>
      </c>
      <c r="V41" s="31">
        <f t="shared" si="3"/>
        <v>42995.460752314815</v>
      </c>
      <c r="W41" s="45" t="str">
        <f t="shared" si="4"/>
        <v>Other</v>
      </c>
      <c r="X41" s="22">
        <f t="shared" si="5"/>
        <v>310</v>
      </c>
      <c r="Y41" s="96" t="str">
        <f t="shared" si="6"/>
        <v>echo {"issue":{"subject":"","project_id":79,"tracker_id":40,"status_id":1,"priority_id":2,"assigned_to_id":338,"start_date":"2017-09-17","description":"","custom_fields":[{"id":1,"name":"Subdivision","value":"Other"},{"id":4,"name":"Milepost","value":"0.4798"},{"id":17,"name":"Train ID","value":"310-17"},{"id":16,"name":"Locomotive ID","value":"4001"},{"id":130,"name":"Impact","value":""},{"id":150,"name":"Time of Event (Mountain Time)","value":"05:03:29"},{"id":151,"name":"Denver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/c/Users/stu/AppData/Local/Temp/OnboardLogs/RTDC4001 --include="*4001*201709171*"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"%USERPROFILE%\AppData\Local\Temp\OnboardLogs"\RTDC4001\*4001*201709171* &gt;&gt; 2017-09-17-SliceDisagreementCheck.txt</v>
      </c>
      <c r="AE41" s="145" t="str">
        <f t="shared" si="9"/>
        <v>start /low /b %USERPROFILE%\Documents\GitHub\eaglep3\Utilities\DownloadLogsFromS3.py --loco 4001 --day 2017-09-17</v>
      </c>
      <c r="AF41" s="1"/>
    </row>
    <row r="42" spans="1:32" x14ac:dyDescent="0.25">
      <c r="A42" s="31">
        <v>42995.114965277775</v>
      </c>
      <c r="B42" s="30" t="s">
        <v>400</v>
      </c>
      <c r="C42" s="30" t="s">
        <v>572</v>
      </c>
      <c r="D42" s="30" t="s">
        <v>96</v>
      </c>
      <c r="E42" s="30" t="s">
        <v>496</v>
      </c>
      <c r="F42" s="42">
        <v>0</v>
      </c>
      <c r="G42" s="42">
        <v>80</v>
      </c>
      <c r="H42" s="42">
        <v>23114</v>
      </c>
      <c r="I42" s="42">
        <v>23072</v>
      </c>
      <c r="J42" s="30" t="s">
        <v>497</v>
      </c>
      <c r="K42" s="42">
        <v>24235</v>
      </c>
      <c r="L42" s="131" t="s">
        <v>51</v>
      </c>
      <c r="M42" s="132">
        <f t="shared" si="0"/>
        <v>-614.06399999999996</v>
      </c>
      <c r="N42" s="133" t="str">
        <f>VLOOKUP(C42,'Trips&amp;Operators'!$C$1:$G$99911,5,FALSE)</f>
        <v>THOMPSON LESTER</v>
      </c>
      <c r="O42" s="177" t="s">
        <v>180</v>
      </c>
      <c r="P42" s="134"/>
      <c r="Q42" s="30"/>
      <c r="R42" s="81" t="str">
        <f>VLOOKUP(C42,'Train Runs'!$A$13:$AE$9950,31,0)</f>
        <v>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 &amp; aws s3 cp s3://rtdc.mdm.uploadarchive.raw/RTDC4015/ "%USERPROFILE%\AppData\Local\Temp\OnboardLogs"\RTDC4015\2017-09-18 --exclude "*" --recursive --include "*20170918*" &amp; "%USERPROFILE%\Documents\GitHub\mrs-test-scripts\Headless Mode &amp; Sideloading\WalkAndUnGZ.bat" "%USERPROFILE%\AppData\Local\Temp\OnboardLogs"\RTDC4015\2017-09-18</v>
      </c>
      <c r="S42" s="84" t="str">
        <f>VLOOKUP(C42,'Train Runs'!$A$13:$AE$9950,22,0)</f>
        <v>https://d0f6bd738d7f1b3e5a7ca70fe4ff75f0.us-east-1.aws.found.io/app/kibana#/discover/Steve-Slow-Train-Analysis-(2080s-and-2083s)?_g=(refreshInterval:(display:Off,pause:!f,section:0,value:0),time:(from:'2017-09-17T01:46:04-0600',mode:absolute,to:'2017-09-17T03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2" s="86" t="str">
        <f t="shared" si="1"/>
        <v>"C:\Program Files (x86)\AstroGrep\AstroGrep.exe" /e /r /s /spath="%USERPROFILE%\AppData\Local\Temp\OnboardLogs" /stypes="*4015*201709170*" /stext=" 08:.+((SYSTEM_STATE.+slice.+state.+changed )|(ment ac)|(multiple cpu faults)|(system.+state.+changed )|(\[timeout)|(PRM\|1\|D)|(kpr)|(kdp)|(train st.+moving)|(\|lc)|(penalty))"</v>
      </c>
      <c r="U42" s="9" t="str">
        <f t="shared" si="2"/>
        <v>4015</v>
      </c>
      <c r="V42" s="31">
        <f t="shared" si="3"/>
        <v>42995.364965277775</v>
      </c>
      <c r="W42" s="45" t="str">
        <f t="shared" si="4"/>
        <v>Other</v>
      </c>
      <c r="X42" s="22">
        <f t="shared" si="5"/>
        <v>300</v>
      </c>
      <c r="Y42" s="96" t="str">
        <f t="shared" si="6"/>
        <v>echo {"issue":{"subject":"","project_id":79,"tracker_id":40,"status_id":1,"priority_id":2,"assigned_to_id":338,"start_date":"2017-09-17","description":"","custom_fields":[{"id":1,"name":"Subdivision","value":"Other"},{"id":4,"name":"Milepost","value":"2.4235"},{"id":17,"name":"Train ID","value":"300-17"},{"id":16,"name":"Locomotive ID","value":"4015"},{"id":130,"name":"Impact","value":""},{"id":150,"name":"Time of Event (Mountain Time)","value":"02:45:33"},{"id":151,"name":"Denver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/c/Users/stu/AppData/Local/Temp/OnboardLogs/RTDC4015 --include="*4015*201709170*"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"%USERPROFILE%\AppData\Local\Temp\OnboardLogs"\RTDC4015\*4015*201709170* &gt;&gt; 2017-09-17-SliceDisagreementCheck.txt</v>
      </c>
      <c r="AE42" s="145" t="str">
        <f t="shared" si="9"/>
        <v>start /low /b %USERPROFILE%\Documents\GitHub\eaglep3\Utilities\DownloadLogsFromS3.py --loco 4015 --day 2017-09-17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47">
    <sortState ref="A7:AC47">
      <sortCondition ref="W7:W42"/>
      <sortCondition ref="E7:E42"/>
      <sortCondition ref="K7:K42"/>
      <sortCondition ref="F7:F42"/>
    </sortState>
  </autoFilter>
  <sortState ref="A7:AE29">
    <sortCondition ref="W7:W29"/>
    <sortCondition ref="E7:E29"/>
    <sortCondition ref="K7:K29"/>
    <sortCondition ref="C7:C29"/>
    <sortCondition ref="F7:F29"/>
  </sortState>
  <mergeCells count="1">
    <mergeCell ref="A5:O5"/>
  </mergeCells>
  <conditionalFormatting sqref="O6:P6 R6 O57:O1048576 O7:O4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2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90" customWidth="1"/>
    <col min="10" max="10" width="9.140625" customWidth="1"/>
  </cols>
  <sheetData>
    <row r="1" spans="1:10" s="20" customFormat="1" x14ac:dyDescent="0.25">
      <c r="A1" s="168"/>
      <c r="B1" s="228" t="str">
        <f>"Trips that did not appear in PTC Data "&amp;TEXT(Variables!$A$2,"YYYY-mm-dd")</f>
        <v>Trips that did not appear in PTC Data 2017-09-17</v>
      </c>
      <c r="C1" s="228"/>
      <c r="D1" s="228"/>
      <c r="E1" s="228"/>
      <c r="F1" s="228"/>
      <c r="I1" s="190"/>
    </row>
    <row r="2" spans="1:10" s="23" customFormat="1" ht="45" x14ac:dyDescent="0.25">
      <c r="A2" s="175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1" t="s">
        <v>102</v>
      </c>
      <c r="J2" s="28" t="s">
        <v>60</v>
      </c>
    </row>
    <row r="3" spans="1:10" x14ac:dyDescent="0.25">
      <c r="A3" s="174">
        <v>1825</v>
      </c>
      <c r="B3" s="42" t="str">
        <f>A3&amp;"-"&amp;IF(DAY(Variables!$A$2)&lt;10,0,"")&amp;DAY(Variables!$A$2)</f>
        <v>1825-17</v>
      </c>
      <c r="C3" s="135"/>
      <c r="D3" s="153" t="str">
        <f>VLOOKUP(B3,'Trips&amp;Operators'!$C$1:$H$1072,6,FALSE)</f>
        <v>4024</v>
      </c>
      <c r="E3" s="30"/>
      <c r="F3" s="21" t="str">
        <f>VLOOKUP(B3,'Trips&amp;Operators'!$C$2:$E$9912,3,FALSE)</f>
        <v>HOLCOMB</v>
      </c>
      <c r="G3" s="21" t="str">
        <f>VLOOKUP(B3,'Trips&amp;Operators'!$C$1:$F$9912,4,FALSE)</f>
        <v>KAMDEN</v>
      </c>
      <c r="H3" s="29" t="str">
        <f>VLOOKUP(B3,'Trips&amp;Operators'!$C$1:$H$9912,5,FALSE)</f>
        <v>HOLCOMB KAMDEN</v>
      </c>
      <c r="I3" s="192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221825-17%22)),sort:!(Time.ISO8601,asc))</v>
      </c>
      <c r="J3" s="30" t="str">
        <f>VLOOKUP(B3,'Train Runs'!$A$13:$A$99947,1,FALSE)</f>
        <v>1825-17</v>
      </c>
    </row>
    <row r="4" spans="1:10" x14ac:dyDescent="0.25">
      <c r="A4" s="174"/>
      <c r="B4" s="42" t="str">
        <f>A4&amp;"-"&amp;IF(DAY(Variables!$A$2)&lt;10,0,"")&amp;DAY(Variables!$A$2)</f>
        <v>-17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2" t="str">
        <f t="shared" ref="I4:I1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0" t="e">
        <f>VLOOKUP(B4,'Train Runs'!$A$13:$A$99947,1,FALSE)</f>
        <v>#N/A</v>
      </c>
    </row>
    <row r="5" spans="1:10" x14ac:dyDescent="0.25">
      <c r="A5" s="174"/>
      <c r="B5" s="42" t="str">
        <f>A5&amp;"-"&amp;IF(DAY(Variables!$A$2)&lt;10,0,"")&amp;DAY(Variables!$A$2)</f>
        <v>-17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0" t="e">
        <f>VLOOKUP(B5,'Train Runs'!$A$13:$A$99947,1,FALSE)</f>
        <v>#N/A</v>
      </c>
    </row>
    <row r="6" spans="1:10" x14ac:dyDescent="0.25">
      <c r="A6" s="174"/>
      <c r="B6" s="42" t="str">
        <f>A6&amp;"-"&amp;IF(DAY(Variables!$A$2)&lt;10,0,"")&amp;DAY(Variables!$A$2)</f>
        <v>-17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0" t="e">
        <f>VLOOKUP(B6,'Train Runs'!$A$13:$A$99947,1,FALSE)</f>
        <v>#N/A</v>
      </c>
    </row>
    <row r="7" spans="1:10" x14ac:dyDescent="0.25">
      <c r="A7" s="174"/>
      <c r="B7" s="42" t="str">
        <f>A7&amp;"-"&amp;IF(DAY(Variables!$A$2)&lt;10,0,"")&amp;DAY(Variables!$A$2)</f>
        <v>-17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0" t="e">
        <f>VLOOKUP(B7,'Train Runs'!$A$13:$A$99947,1,FALSE)</f>
        <v>#N/A</v>
      </c>
    </row>
    <row r="8" spans="1:10" x14ac:dyDescent="0.25">
      <c r="A8" s="174"/>
      <c r="B8" s="42" t="str">
        <f>A8&amp;"-"&amp;IF(DAY(Variables!$A$2)&lt;10,0,"")&amp;DAY(Variables!$A$2)</f>
        <v>-17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0" t="e">
        <f>VLOOKUP(B8,'Train Runs'!$A$13:$A$99947,1,FALSE)</f>
        <v>#N/A</v>
      </c>
    </row>
    <row r="9" spans="1:10" x14ac:dyDescent="0.25">
      <c r="A9" s="174"/>
      <c r="B9" s="42" t="str">
        <f>A9&amp;"-"&amp;IF(DAY(Variables!$A$2)&lt;10,0,"")&amp;DAY(Variables!$A$2)</f>
        <v>-17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0" t="e">
        <f>VLOOKUP(B9,'Train Runs'!$A$13:$A$99947,1,FALSE)</f>
        <v>#N/A</v>
      </c>
    </row>
    <row r="10" spans="1:10" x14ac:dyDescent="0.25">
      <c r="A10" s="174"/>
      <c r="B10" s="42" t="str">
        <f>A10&amp;"-"&amp;IF(DAY(Variables!$A$2)&lt;10,0,"")&amp;DAY(Variables!$A$2)</f>
        <v>-17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0" t="e">
        <f>VLOOKUP(B10,'Train Runs'!$A$13:$A$99947,1,FALSE)</f>
        <v>#N/A</v>
      </c>
    </row>
    <row r="11" spans="1:10" x14ac:dyDescent="0.25">
      <c r="A11" s="174"/>
      <c r="B11" s="42" t="str">
        <f>A11&amp;"-"&amp;IF(DAY(Variables!$A$2)&lt;10,0,"")&amp;DAY(Variables!$A$2)</f>
        <v>-17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0" t="e">
        <f>VLOOKUP(B11,'Train Runs'!$A$13:$A$99947,1,FALSE)</f>
        <v>#N/A</v>
      </c>
    </row>
    <row r="12" spans="1:10" x14ac:dyDescent="0.25">
      <c r="A12" s="174"/>
      <c r="B12" s="42" t="str">
        <f>A12&amp;"-"&amp;IF(DAY(Variables!$A$2)&lt;10,0,"")&amp;DAY(Variables!$A$2)</f>
        <v>-17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0" t="e">
        <f>VLOOKUP(B12,'Train Runs'!$A$13:$A$99947,1,FALSE)</f>
        <v>#N/A</v>
      </c>
    </row>
    <row r="13" spans="1:10" x14ac:dyDescent="0.25">
      <c r="A13" s="174"/>
      <c r="B13" s="42" t="str">
        <f>A13&amp;"-"&amp;IF(DAY(Variables!$A$2)&lt;10,0,"")&amp;DAY(Variables!$A$2)</f>
        <v>-17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0" t="e">
        <f>VLOOKUP(B13,'Train Runs'!$A$13:$A$99947,1,FALSE)</f>
        <v>#N/A</v>
      </c>
    </row>
    <row r="14" spans="1:10" x14ac:dyDescent="0.25">
      <c r="A14" s="174"/>
      <c r="B14" s="42" t="str">
        <f>A14&amp;"-"&amp;IF(DAY(Variables!$A$2)&lt;10,0,"")&amp;DAY(Variables!$A$2)</f>
        <v>-17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0" t="e">
        <f>VLOOKUP(B14,'Train Runs'!$A$13:$A$99947,1,FALSE)</f>
        <v>#N/A</v>
      </c>
    </row>
    <row r="15" spans="1:10" x14ac:dyDescent="0.25">
      <c r="A15" s="174"/>
      <c r="B15" s="42" t="str">
        <f>A15&amp;"-"&amp;IF(DAY(Variables!$A$2)&lt;10,0,"")&amp;DAY(Variables!$A$2)</f>
        <v>-17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0" t="e">
        <f>VLOOKUP(B15,'Train Runs'!$A$13:$A$99947,1,FALSE)</f>
        <v>#N/A</v>
      </c>
    </row>
    <row r="16" spans="1:10" x14ac:dyDescent="0.25">
      <c r="A16" s="174"/>
      <c r="B16" s="42" t="str">
        <f>A16&amp;"-"&amp;IF(DAY(Variables!$A$2)&lt;10,0,"")&amp;DAY(Variables!$A$2)</f>
        <v>-17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0" t="e">
        <f>VLOOKUP(B16,'Train Runs'!$A$13:$A$99947,1,FALSE)</f>
        <v>#N/A</v>
      </c>
    </row>
    <row r="17" spans="1:10" x14ac:dyDescent="0.25">
      <c r="A17" s="174"/>
      <c r="B17" s="42" t="str">
        <f>A17&amp;"-"&amp;IF(DAY(Variables!$A$2)&lt;10,0,"")&amp;DAY(Variables!$A$2)</f>
        <v>-17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0" t="e">
        <f>VLOOKUP(B17,'Train Runs'!$A$13:$A$99947,1,FALSE)</f>
        <v>#N/A</v>
      </c>
    </row>
    <row r="18" spans="1:10" x14ac:dyDescent="0.25">
      <c r="A18" s="174"/>
      <c r="B18" s="42" t="str">
        <f>A18&amp;"-"&amp;IF(DAY(Variables!$A$2)&lt;10,0,"")&amp;DAY(Variables!$A$2)</f>
        <v>-17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0" t="e">
        <f>VLOOKUP(B18,'Train Runs'!$A$13:$A$99947,1,FALSE)</f>
        <v>#N/A</v>
      </c>
    </row>
    <row r="19" spans="1:10" x14ac:dyDescent="0.25">
      <c r="A19" s="174"/>
      <c r="B19" s="42"/>
      <c r="C19" s="135"/>
      <c r="D19" s="153"/>
      <c r="E19" s="30"/>
      <c r="F19" s="21"/>
      <c r="G19" s="21"/>
      <c r="H19" s="29"/>
      <c r="I19" s="192"/>
      <c r="J19" s="30"/>
    </row>
    <row r="20" spans="1:10" x14ac:dyDescent="0.25">
      <c r="A20" s="174"/>
      <c r="B20" s="42"/>
      <c r="C20" s="135"/>
      <c r="D20" s="153"/>
      <c r="E20" s="30"/>
      <c r="F20" s="21"/>
      <c r="G20" s="21"/>
      <c r="H20" s="29"/>
      <c r="I20" s="192"/>
      <c r="J20" s="30"/>
    </row>
    <row r="21" spans="1:10" x14ac:dyDescent="0.25">
      <c r="A21" s="174"/>
      <c r="B21" s="42"/>
      <c r="C21" s="135"/>
      <c r="D21" s="153"/>
      <c r="E21" s="30"/>
      <c r="F21" s="21"/>
      <c r="G21" s="21"/>
      <c r="H21" s="29"/>
      <c r="I21" s="192"/>
      <c r="J21" s="30"/>
    </row>
    <row r="22" spans="1:10" x14ac:dyDescent="0.25">
      <c r="A22" s="174"/>
      <c r="B22" s="42"/>
      <c r="C22" s="135"/>
      <c r="D22" s="153"/>
      <c r="E22" s="30"/>
      <c r="F22" s="21"/>
      <c r="G22" s="21"/>
      <c r="H22" s="29"/>
      <c r="I22" s="192"/>
      <c r="J22" s="30"/>
    </row>
    <row r="23" spans="1:10" x14ac:dyDescent="0.25">
      <c r="A23" s="174"/>
      <c r="B23" s="42"/>
      <c r="C23" s="135"/>
      <c r="D23" s="153"/>
      <c r="E23" s="30"/>
      <c r="F23" s="21"/>
      <c r="G23" s="21"/>
      <c r="H23" s="29"/>
      <c r="I23" s="192"/>
      <c r="J23" s="30"/>
    </row>
    <row r="24" spans="1:10" x14ac:dyDescent="0.25">
      <c r="A24" s="174"/>
      <c r="B24" s="42"/>
      <c r="C24" s="135"/>
      <c r="D24" s="153"/>
      <c r="E24" s="30"/>
      <c r="F24" s="21"/>
      <c r="G24" s="21"/>
      <c r="H24" s="29"/>
      <c r="I24" s="192"/>
      <c r="J24" s="30"/>
    </row>
    <row r="25" spans="1:10" x14ac:dyDescent="0.25">
      <c r="A25" s="174"/>
      <c r="B25" s="42"/>
      <c r="C25" s="135"/>
      <c r="D25" s="153"/>
      <c r="E25" s="30"/>
      <c r="F25" s="21"/>
      <c r="G25" s="21"/>
      <c r="H25" s="29"/>
      <c r="I25" s="192"/>
      <c r="J25" s="30"/>
    </row>
    <row r="26" spans="1:10" x14ac:dyDescent="0.25">
      <c r="A26" s="174"/>
      <c r="B26" s="42"/>
      <c r="C26" s="135"/>
      <c r="D26" s="153"/>
      <c r="E26" s="30"/>
      <c r="F26" s="21"/>
      <c r="G26" s="21"/>
      <c r="H26" s="29"/>
      <c r="I26" s="192"/>
      <c r="J26" s="30"/>
    </row>
    <row r="27" spans="1:10" x14ac:dyDescent="0.25">
      <c r="A27" s="174"/>
      <c r="B27" s="42"/>
      <c r="C27" s="135"/>
      <c r="D27" s="153"/>
      <c r="E27" s="30"/>
      <c r="F27" s="21"/>
      <c r="G27" s="21"/>
      <c r="H27" s="29"/>
      <c r="I27" s="192"/>
      <c r="J27" s="30"/>
    </row>
    <row r="28" spans="1:10" x14ac:dyDescent="0.25">
      <c r="A28" s="174"/>
      <c r="B28" s="42"/>
      <c r="C28" s="135"/>
      <c r="D28" s="153"/>
      <c r="E28" s="30"/>
      <c r="F28" s="21"/>
      <c r="G28" s="21"/>
      <c r="H28" s="29"/>
      <c r="I28" s="192"/>
      <c r="J28" s="30"/>
    </row>
    <row r="29" spans="1:10" x14ac:dyDescent="0.25">
      <c r="A29" s="174"/>
      <c r="B29" s="42"/>
      <c r="C29" s="135"/>
      <c r="D29" s="153"/>
      <c r="E29" s="30"/>
      <c r="F29" s="21"/>
      <c r="G29" s="21"/>
      <c r="H29" s="29"/>
      <c r="I29" s="192"/>
      <c r="J29" s="30"/>
    </row>
    <row r="30" spans="1:10" x14ac:dyDescent="0.25">
      <c r="A30" s="174"/>
      <c r="B30" s="42"/>
      <c r="C30" s="135"/>
      <c r="D30" s="153"/>
      <c r="E30" s="30"/>
      <c r="F30" s="21"/>
      <c r="G30" s="21"/>
      <c r="H30" s="29"/>
      <c r="I30" s="192"/>
      <c r="J30" s="30"/>
    </row>
    <row r="31" spans="1:10" x14ac:dyDescent="0.25">
      <c r="A31" s="174"/>
      <c r="B31" s="42"/>
      <c r="C31" s="135"/>
      <c r="D31" s="153"/>
      <c r="E31" s="30"/>
      <c r="F31" s="21"/>
      <c r="G31" s="21"/>
      <c r="H31" s="29"/>
      <c r="I31" s="192"/>
      <c r="J31" s="30"/>
    </row>
    <row r="32" spans="1:10" x14ac:dyDescent="0.25">
      <c r="A32" s="174"/>
      <c r="B32" s="42"/>
      <c r="C32" s="135"/>
      <c r="D32" s="153"/>
      <c r="E32" s="30"/>
      <c r="F32" s="21"/>
      <c r="G32" s="21"/>
      <c r="H32" s="29"/>
      <c r="I32" s="192"/>
      <c r="J32" s="30"/>
    </row>
    <row r="33" spans="1:10" x14ac:dyDescent="0.25">
      <c r="A33" s="174"/>
      <c r="B33" s="42"/>
      <c r="C33" s="135"/>
      <c r="D33" s="153"/>
      <c r="E33" s="30"/>
      <c r="F33" s="21"/>
      <c r="G33" s="21"/>
      <c r="H33" s="29"/>
      <c r="I33" s="192"/>
      <c r="J33" s="30"/>
    </row>
    <row r="34" spans="1:10" x14ac:dyDescent="0.25">
      <c r="A34" s="174"/>
      <c r="B34" s="42"/>
      <c r="C34" s="135"/>
      <c r="D34" s="153"/>
      <c r="E34" s="30"/>
      <c r="F34" s="21"/>
      <c r="G34" s="21"/>
      <c r="H34" s="29"/>
      <c r="I34" s="192"/>
      <c r="J34" s="30"/>
    </row>
    <row r="35" spans="1:10" x14ac:dyDescent="0.25">
      <c r="A35" s="174"/>
      <c r="B35" s="42"/>
      <c r="C35" s="135"/>
      <c r="D35" s="153"/>
      <c r="E35" s="30"/>
      <c r="F35" s="21"/>
      <c r="G35" s="21"/>
      <c r="H35" s="29"/>
      <c r="I35" s="192"/>
      <c r="J35" s="30"/>
    </row>
    <row r="36" spans="1:10" x14ac:dyDescent="0.25">
      <c r="A36" s="174"/>
      <c r="B36" s="42"/>
      <c r="C36" s="135"/>
      <c r="D36" s="153"/>
      <c r="E36" s="30"/>
      <c r="F36" s="21"/>
      <c r="G36" s="21"/>
      <c r="H36" s="29"/>
      <c r="I36" s="192"/>
      <c r="J36" s="30"/>
    </row>
    <row r="37" spans="1:10" x14ac:dyDescent="0.25">
      <c r="A37" s="174"/>
      <c r="B37" s="42"/>
      <c r="C37" s="135"/>
      <c r="D37" s="153"/>
      <c r="E37" s="30"/>
      <c r="F37" s="21"/>
      <c r="G37" s="21"/>
      <c r="H37" s="29"/>
      <c r="I37" s="192"/>
      <c r="J37" s="30"/>
    </row>
    <row r="38" spans="1:10" x14ac:dyDescent="0.25">
      <c r="A38" s="174"/>
      <c r="B38" s="42"/>
      <c r="C38" s="135"/>
      <c r="D38" s="153"/>
      <c r="E38" s="30"/>
      <c r="F38" s="21"/>
      <c r="G38" s="21"/>
      <c r="H38" s="29"/>
      <c r="I38" s="192"/>
      <c r="J38" s="30"/>
    </row>
    <row r="39" spans="1:10" x14ac:dyDescent="0.25">
      <c r="A39" s="174"/>
      <c r="B39" s="42"/>
      <c r="C39" s="135"/>
      <c r="D39" s="153"/>
      <c r="E39" s="30"/>
      <c r="F39" s="21"/>
      <c r="G39" s="21"/>
      <c r="H39" s="29"/>
      <c r="I39" s="192"/>
      <c r="J39" s="30"/>
    </row>
    <row r="40" spans="1:10" x14ac:dyDescent="0.25">
      <c r="A40" s="174"/>
      <c r="B40" s="42"/>
      <c r="C40" s="135"/>
      <c r="D40" s="153"/>
      <c r="E40" s="30"/>
      <c r="F40" s="21"/>
      <c r="G40" s="21"/>
      <c r="H40" s="29"/>
      <c r="I40" s="192"/>
      <c r="J40" s="30"/>
    </row>
    <row r="41" spans="1:10" x14ac:dyDescent="0.25">
      <c r="A41" s="174"/>
      <c r="B41" s="42"/>
      <c r="C41" s="135"/>
      <c r="D41" s="153"/>
      <c r="E41" s="30"/>
      <c r="F41" s="21"/>
      <c r="G41" s="21"/>
      <c r="H41" s="29"/>
      <c r="I41" s="192"/>
      <c r="J41" s="30"/>
    </row>
    <row r="42" spans="1:10" x14ac:dyDescent="0.25">
      <c r="A42" s="174"/>
      <c r="B42" s="42"/>
      <c r="C42" s="135"/>
      <c r="D42" s="153"/>
      <c r="E42" s="30"/>
      <c r="F42" s="21"/>
      <c r="G42" s="21"/>
      <c r="H42" s="29"/>
      <c r="I42" s="192"/>
      <c r="J42" s="30"/>
    </row>
    <row r="43" spans="1:10" x14ac:dyDescent="0.25">
      <c r="A43" s="174"/>
      <c r="B43" s="42"/>
      <c r="C43" s="135"/>
      <c r="D43" s="153"/>
      <c r="E43" s="30"/>
      <c r="F43" s="21"/>
      <c r="G43" s="21"/>
      <c r="H43" s="29"/>
      <c r="I43" s="192"/>
      <c r="J43" s="30"/>
    </row>
    <row r="44" spans="1:10" x14ac:dyDescent="0.25">
      <c r="A44" s="174"/>
      <c r="B44" s="42"/>
      <c r="C44" s="135"/>
      <c r="D44" s="153"/>
      <c r="E44" s="30"/>
      <c r="F44" s="21"/>
      <c r="G44" s="21"/>
      <c r="H44" s="29"/>
      <c r="I44" s="192"/>
      <c r="J44" s="30"/>
    </row>
    <row r="45" spans="1:10" x14ac:dyDescent="0.25">
      <c r="A45" s="174"/>
      <c r="B45" s="42"/>
      <c r="C45" s="135"/>
      <c r="D45" s="153"/>
      <c r="E45" s="30"/>
      <c r="F45" s="21"/>
      <c r="G45" s="21"/>
      <c r="H45" s="29"/>
      <c r="I45" s="192"/>
      <c r="J45" s="30"/>
    </row>
    <row r="46" spans="1:10" x14ac:dyDescent="0.25">
      <c r="A46" s="174"/>
      <c r="B46" s="42"/>
      <c r="C46" s="135"/>
      <c r="D46" s="153"/>
      <c r="E46" s="30"/>
      <c r="F46" s="21"/>
      <c r="G46" s="21"/>
      <c r="H46" s="29"/>
      <c r="I46" s="192"/>
      <c r="J46" s="30"/>
    </row>
    <row r="47" spans="1:10" x14ac:dyDescent="0.25">
      <c r="A47" s="174"/>
      <c r="B47" s="42"/>
      <c r="C47" s="135"/>
      <c r="D47" s="153"/>
      <c r="E47" s="30"/>
      <c r="F47" s="21"/>
      <c r="G47" s="21"/>
      <c r="H47" s="29"/>
      <c r="I47" s="192"/>
      <c r="J47" s="30"/>
    </row>
    <row r="48" spans="1:10" x14ac:dyDescent="0.25">
      <c r="A48" s="174"/>
      <c r="B48" s="42"/>
      <c r="C48" s="135"/>
      <c r="D48" s="153"/>
      <c r="E48" s="30"/>
      <c r="F48" s="21"/>
      <c r="G48" s="21"/>
      <c r="H48" s="29"/>
      <c r="I48" s="192"/>
      <c r="J48" s="30"/>
    </row>
    <row r="49" spans="1:10" x14ac:dyDescent="0.25">
      <c r="A49" s="174"/>
      <c r="B49" s="42"/>
      <c r="C49" s="135"/>
      <c r="D49" s="153"/>
      <c r="E49" s="30"/>
      <c r="F49" s="21"/>
      <c r="G49" s="21"/>
      <c r="H49" s="29"/>
      <c r="I49" s="192"/>
      <c r="J49" s="30"/>
    </row>
    <row r="50" spans="1:10" x14ac:dyDescent="0.25">
      <c r="A50" s="174"/>
      <c r="B50" s="42"/>
      <c r="C50" s="135"/>
      <c r="D50" s="153"/>
      <c r="E50" s="30"/>
      <c r="F50" s="21"/>
      <c r="G50" s="21"/>
      <c r="H50" s="29"/>
      <c r="I50" s="192"/>
      <c r="J50" s="30"/>
    </row>
    <row r="51" spans="1:10" x14ac:dyDescent="0.25">
      <c r="A51" s="174"/>
      <c r="B51" s="42"/>
      <c r="C51" s="135"/>
      <c r="D51" s="153"/>
      <c r="E51" s="30"/>
      <c r="F51" s="21"/>
      <c r="G51" s="21"/>
      <c r="H51" s="29"/>
      <c r="I51" s="192"/>
      <c r="J51" s="30"/>
    </row>
    <row r="52" spans="1:10" x14ac:dyDescent="0.25">
      <c r="A52" s="174"/>
      <c r="B52" s="42"/>
      <c r="C52" s="135"/>
      <c r="D52" s="153"/>
      <c r="E52" s="30"/>
      <c r="F52" s="21"/>
      <c r="G52" s="21"/>
      <c r="H52" s="29"/>
      <c r="I52" s="192"/>
      <c r="J52" s="30"/>
    </row>
    <row r="53" spans="1:10" x14ac:dyDescent="0.25">
      <c r="A53" s="174"/>
      <c r="B53" s="42"/>
      <c r="C53" s="135"/>
      <c r="D53" s="153"/>
      <c r="E53" s="30"/>
      <c r="F53" s="21"/>
      <c r="G53" s="21"/>
      <c r="H53" s="29"/>
      <c r="I53" s="192"/>
      <c r="J53" s="30"/>
    </row>
    <row r="54" spans="1:10" x14ac:dyDescent="0.25">
      <c r="A54" s="174"/>
      <c r="B54" s="42"/>
      <c r="C54" s="135"/>
      <c r="D54" s="153"/>
      <c r="E54" s="30"/>
      <c r="F54" s="21"/>
      <c r="G54" s="21"/>
      <c r="H54" s="29"/>
      <c r="I54" s="192"/>
      <c r="J54" s="30"/>
    </row>
    <row r="55" spans="1:10" x14ac:dyDescent="0.25">
      <c r="A55" s="174"/>
      <c r="B55" s="42"/>
      <c r="C55" s="135"/>
      <c r="D55" s="153"/>
      <c r="E55" s="30"/>
      <c r="F55" s="21"/>
      <c r="G55" s="21"/>
      <c r="H55" s="29"/>
      <c r="I55" s="192"/>
      <c r="J55" s="30"/>
    </row>
    <row r="56" spans="1:10" x14ac:dyDescent="0.25">
      <c r="A56" s="174"/>
      <c r="B56" s="42"/>
      <c r="C56" s="135"/>
      <c r="D56" s="153"/>
      <c r="E56" s="30"/>
      <c r="F56" s="21"/>
      <c r="G56" s="21"/>
      <c r="H56" s="29"/>
      <c r="I56" s="192"/>
      <c r="J56" s="30"/>
    </row>
    <row r="57" spans="1:10" x14ac:dyDescent="0.25">
      <c r="A57" s="174"/>
      <c r="B57" s="42"/>
      <c r="C57" s="135"/>
      <c r="D57" s="153"/>
      <c r="E57" s="30"/>
      <c r="F57" s="21"/>
      <c r="G57" s="21"/>
      <c r="H57" s="29"/>
      <c r="I57" s="192"/>
      <c r="J57" s="30"/>
    </row>
    <row r="58" spans="1:10" x14ac:dyDescent="0.25">
      <c r="A58" s="174"/>
      <c r="B58" s="42"/>
      <c r="C58" s="135"/>
      <c r="D58" s="153"/>
      <c r="E58" s="30"/>
      <c r="F58" s="21"/>
      <c r="G58" s="21"/>
      <c r="H58" s="29"/>
      <c r="I58" s="192"/>
      <c r="J58" s="30"/>
    </row>
    <row r="59" spans="1:10" x14ac:dyDescent="0.25">
      <c r="A59" s="174"/>
      <c r="B59" s="42"/>
      <c r="C59" s="135"/>
      <c r="D59" s="153"/>
      <c r="E59" s="30"/>
      <c r="F59" s="21"/>
      <c r="G59" s="21"/>
      <c r="H59" s="29"/>
      <c r="I59" s="192"/>
      <c r="J59" s="30"/>
    </row>
    <row r="60" spans="1:10" x14ac:dyDescent="0.25">
      <c r="A60" s="174"/>
      <c r="B60" s="42"/>
      <c r="C60" s="135"/>
      <c r="D60" s="153"/>
      <c r="E60" s="30"/>
      <c r="F60" s="21"/>
      <c r="G60" s="21"/>
      <c r="H60" s="29"/>
      <c r="I60" s="192"/>
      <c r="J60" s="30"/>
    </row>
    <row r="61" spans="1:10" x14ac:dyDescent="0.25">
      <c r="A61" s="174"/>
      <c r="B61" s="42"/>
      <c r="C61" s="135"/>
      <c r="D61" s="153"/>
      <c r="E61" s="30"/>
      <c r="F61" s="21"/>
      <c r="G61" s="21"/>
      <c r="H61" s="29"/>
      <c r="I61" s="192"/>
      <c r="J61" s="30"/>
    </row>
    <row r="62" spans="1:10" x14ac:dyDescent="0.25">
      <c r="A62" s="174"/>
      <c r="B62" s="42"/>
      <c r="C62" s="135"/>
      <c r="D62" s="153"/>
      <c r="E62" s="30"/>
      <c r="F62" s="21"/>
      <c r="G62" s="21"/>
      <c r="H62" s="29"/>
      <c r="I62" s="192"/>
      <c r="J62" s="30"/>
    </row>
    <row r="63" spans="1:10" x14ac:dyDescent="0.25">
      <c r="A63" s="174"/>
      <c r="B63" s="42"/>
      <c r="C63" s="135"/>
      <c r="D63" s="153"/>
      <c r="E63" s="30"/>
      <c r="F63" s="21"/>
      <c r="G63" s="21"/>
      <c r="H63" s="29"/>
      <c r="I63" s="192"/>
      <c r="J63" s="30"/>
    </row>
    <row r="64" spans="1:10" x14ac:dyDescent="0.25">
      <c r="A64" s="174"/>
      <c r="B64" s="42"/>
      <c r="C64" s="135"/>
      <c r="D64" s="153"/>
      <c r="E64" s="30"/>
      <c r="F64" s="21"/>
      <c r="G64" s="21"/>
      <c r="H64" s="29"/>
      <c r="I64" s="192"/>
      <c r="J64" s="30"/>
    </row>
    <row r="65" spans="1:10" x14ac:dyDescent="0.25">
      <c r="A65" s="174"/>
      <c r="B65" s="42"/>
      <c r="C65" s="135"/>
      <c r="D65" s="153"/>
      <c r="E65" s="30"/>
      <c r="F65" s="21"/>
      <c r="G65" s="21"/>
      <c r="H65" s="29"/>
      <c r="I65" s="192"/>
      <c r="J65" s="30"/>
    </row>
    <row r="66" spans="1:10" x14ac:dyDescent="0.25">
      <c r="A66" s="174"/>
      <c r="B66" s="42"/>
      <c r="C66" s="135"/>
      <c r="D66" s="153"/>
      <c r="E66" s="30"/>
      <c r="F66" s="21"/>
      <c r="G66" s="21"/>
      <c r="H66" s="29"/>
      <c r="I66" s="192"/>
      <c r="J66" s="30"/>
    </row>
    <row r="67" spans="1:10" x14ac:dyDescent="0.25">
      <c r="A67" s="174"/>
      <c r="B67" s="42"/>
      <c r="C67" s="135"/>
      <c r="D67" s="153"/>
      <c r="E67" s="30"/>
      <c r="F67" s="21"/>
      <c r="G67" s="21"/>
      <c r="H67" s="29"/>
      <c r="I67" s="192"/>
      <c r="J67" s="30"/>
    </row>
    <row r="68" spans="1:10" x14ac:dyDescent="0.25">
      <c r="A68" s="174"/>
      <c r="B68" s="42"/>
      <c r="C68" s="135"/>
      <c r="D68" s="153"/>
      <c r="E68" s="30"/>
      <c r="F68" s="21"/>
      <c r="G68" s="21"/>
      <c r="H68" s="29"/>
      <c r="I68" s="192"/>
      <c r="J68" s="30"/>
    </row>
    <row r="69" spans="1:10" x14ac:dyDescent="0.25">
      <c r="A69" s="174"/>
      <c r="B69" s="42"/>
      <c r="C69" s="135"/>
      <c r="D69" s="153"/>
      <c r="E69" s="30"/>
      <c r="F69" s="21"/>
      <c r="G69" s="21"/>
      <c r="H69" s="29"/>
      <c r="I69" s="192"/>
      <c r="J69" s="30"/>
    </row>
    <row r="70" spans="1:10" x14ac:dyDescent="0.25">
      <c r="A70" s="174"/>
      <c r="B70" s="42"/>
      <c r="C70" s="135"/>
      <c r="D70" s="153"/>
      <c r="E70" s="30"/>
      <c r="F70" s="21"/>
      <c r="G70" s="21"/>
      <c r="H70" s="29"/>
      <c r="I70" s="192"/>
      <c r="J70" s="30"/>
    </row>
    <row r="71" spans="1:10" x14ac:dyDescent="0.25">
      <c r="A71" s="174"/>
      <c r="B71" s="42"/>
      <c r="C71" s="135"/>
      <c r="D71" s="153"/>
      <c r="E71" s="30"/>
      <c r="F71" s="21"/>
      <c r="G71" s="21"/>
      <c r="H71" s="29"/>
      <c r="I71" s="192"/>
      <c r="J71" s="30"/>
    </row>
    <row r="72" spans="1:10" x14ac:dyDescent="0.25">
      <c r="A72" s="174"/>
      <c r="B72" s="42"/>
      <c r="C72" s="135"/>
      <c r="D72" s="153"/>
      <c r="E72" s="30"/>
      <c r="F72" s="21"/>
      <c r="G72" s="21"/>
      <c r="H72" s="29"/>
      <c r="I72" s="192"/>
      <c r="J72" s="30"/>
    </row>
    <row r="73" spans="1:10" x14ac:dyDescent="0.25">
      <c r="A73" s="174"/>
      <c r="B73" s="42"/>
      <c r="C73" s="135"/>
      <c r="D73" s="153"/>
      <c r="E73" s="30"/>
      <c r="F73" s="21"/>
      <c r="G73" s="21"/>
      <c r="H73" s="29"/>
      <c r="I73" s="192"/>
      <c r="J73" s="30"/>
    </row>
    <row r="74" spans="1:10" x14ac:dyDescent="0.25">
      <c r="A74" s="174"/>
      <c r="B74" s="42"/>
      <c r="C74" s="135"/>
      <c r="D74" s="153"/>
      <c r="E74" s="30"/>
      <c r="F74" s="21"/>
      <c r="G74" s="21"/>
      <c r="H74" s="29"/>
      <c r="I74" s="192"/>
      <c r="J74" s="30"/>
    </row>
  </sheetData>
  <autoFilter ref="A2:J26"/>
  <sortState ref="A3:J105">
    <sortCondition ref="A3:A10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  <c r="H1" s="20" t="s">
        <v>60</v>
      </c>
    </row>
    <row r="2" spans="1:8" x14ac:dyDescent="0.25">
      <c r="A2" s="8">
        <v>42995.037222222221</v>
      </c>
      <c r="B2" s="20" t="s">
        <v>389</v>
      </c>
      <c r="C2" s="20" t="s">
        <v>607</v>
      </c>
      <c r="D2" s="138">
        <v>3310000</v>
      </c>
      <c r="E2" s="20" t="s">
        <v>608</v>
      </c>
      <c r="F2" s="20" t="s">
        <v>609</v>
      </c>
      <c r="G2" s="8" t="str">
        <f>E2&amp;" "&amp;F2</f>
        <v>ANDERS STEVEN</v>
      </c>
      <c r="H2" t="str">
        <f>MID(B2,13,4)</f>
        <v>4020</v>
      </c>
    </row>
    <row r="3" spans="1:8" x14ac:dyDescent="0.25">
      <c r="A3" s="8">
        <v>42995.038182870368</v>
      </c>
      <c r="B3" s="20" t="s">
        <v>435</v>
      </c>
      <c r="C3" s="20" t="s">
        <v>610</v>
      </c>
      <c r="D3" s="138">
        <v>3190000</v>
      </c>
      <c r="E3" s="20" t="s">
        <v>393</v>
      </c>
      <c r="F3" s="20" t="s">
        <v>394</v>
      </c>
      <c r="G3" s="8" t="str">
        <f t="shared" ref="G3:G66" si="0">E3&amp;" "&amp;F3</f>
        <v>HART KEVIN</v>
      </c>
      <c r="H3" s="20" t="str">
        <f t="shared" ref="H3:H66" si="1">MID(B3,13,4)</f>
        <v>4058</v>
      </c>
    </row>
    <row r="4" spans="1:8" x14ac:dyDescent="0.25">
      <c r="A4" s="8">
        <v>42995.04724537037</v>
      </c>
      <c r="B4" s="20" t="s">
        <v>375</v>
      </c>
      <c r="C4" s="20" t="s">
        <v>611</v>
      </c>
      <c r="D4" s="138">
        <v>3000000</v>
      </c>
      <c r="E4" s="20" t="s">
        <v>447</v>
      </c>
      <c r="F4" s="20" t="s">
        <v>448</v>
      </c>
      <c r="G4" s="8" t="str">
        <f t="shared" si="0"/>
        <v>FORTUNATO FRANK</v>
      </c>
      <c r="H4" s="20" t="str">
        <f t="shared" si="1"/>
        <v>4030</v>
      </c>
    </row>
    <row r="5" spans="1:8" x14ac:dyDescent="0.25">
      <c r="A5" s="8">
        <v>42995.048657407409</v>
      </c>
      <c r="B5" s="20" t="s">
        <v>390</v>
      </c>
      <c r="C5" s="20" t="s">
        <v>612</v>
      </c>
      <c r="D5" s="138">
        <v>3310000</v>
      </c>
      <c r="E5" s="20" t="s">
        <v>608</v>
      </c>
      <c r="F5" s="20" t="s">
        <v>609</v>
      </c>
      <c r="G5" s="8" t="str">
        <f t="shared" si="0"/>
        <v>ANDERS STEVEN</v>
      </c>
      <c r="H5" s="20" t="str">
        <f t="shared" si="1"/>
        <v>4019</v>
      </c>
    </row>
    <row r="6" spans="1:8" x14ac:dyDescent="0.25">
      <c r="A6" s="8">
        <v>42995.052557870367</v>
      </c>
      <c r="B6" s="20" t="s">
        <v>613</v>
      </c>
      <c r="C6" s="20" t="s">
        <v>614</v>
      </c>
      <c r="D6" s="138">
        <v>2620000</v>
      </c>
      <c r="E6" s="20" t="s">
        <v>391</v>
      </c>
      <c r="F6" s="20" t="s">
        <v>392</v>
      </c>
      <c r="G6" s="8" t="str">
        <f t="shared" si="0"/>
        <v>PERKINS DARREN</v>
      </c>
      <c r="H6" s="20" t="str">
        <f t="shared" si="1"/>
        <v>4005</v>
      </c>
    </row>
    <row r="7" spans="1:8" x14ac:dyDescent="0.25">
      <c r="A7" s="8">
        <v>42995.053449074076</v>
      </c>
      <c r="B7" s="20" t="s">
        <v>613</v>
      </c>
      <c r="C7" s="20" t="s">
        <v>614</v>
      </c>
      <c r="D7" s="138">
        <v>2620000</v>
      </c>
      <c r="E7" s="20" t="s">
        <v>391</v>
      </c>
      <c r="F7" s="20" t="s">
        <v>392</v>
      </c>
      <c r="G7" s="8" t="str">
        <f t="shared" si="0"/>
        <v>PERKINS DARREN</v>
      </c>
      <c r="H7" s="20" t="str">
        <f t="shared" si="1"/>
        <v>4005</v>
      </c>
    </row>
    <row r="8" spans="1:8" x14ac:dyDescent="0.25">
      <c r="A8" s="8">
        <v>42995.066527777781</v>
      </c>
      <c r="B8" s="20" t="s">
        <v>383</v>
      </c>
      <c r="C8" s="20" t="s">
        <v>615</v>
      </c>
      <c r="D8" s="138">
        <v>3340000</v>
      </c>
      <c r="E8" s="20" t="s">
        <v>513</v>
      </c>
      <c r="F8" s="20" t="s">
        <v>514</v>
      </c>
      <c r="G8" s="8" t="str">
        <f t="shared" si="0"/>
        <v>ELBAUM MIKE</v>
      </c>
      <c r="H8" s="20" t="str">
        <f t="shared" si="1"/>
        <v>4032</v>
      </c>
    </row>
    <row r="9" spans="1:8" ht="15.75" thickBot="1" x14ac:dyDescent="0.3">
      <c r="A9" s="24">
        <v>42995.079641203702</v>
      </c>
      <c r="B9" s="20" t="s">
        <v>501</v>
      </c>
      <c r="C9" s="20" t="s">
        <v>616</v>
      </c>
      <c r="D9" s="138">
        <v>3190000</v>
      </c>
      <c r="E9" s="20" t="s">
        <v>393</v>
      </c>
      <c r="F9" s="20" t="s">
        <v>394</v>
      </c>
      <c r="G9" s="8" t="str">
        <f t="shared" si="0"/>
        <v>HART KEVIN</v>
      </c>
      <c r="H9" s="20" t="str">
        <f t="shared" si="1"/>
        <v>4057</v>
      </c>
    </row>
    <row r="10" spans="1:8" x14ac:dyDescent="0.25">
      <c r="A10" s="8">
        <v>42995.093182870369</v>
      </c>
      <c r="B10" s="20" t="s">
        <v>389</v>
      </c>
      <c r="C10" s="20" t="s">
        <v>617</v>
      </c>
      <c r="D10" s="138">
        <v>2620000</v>
      </c>
      <c r="E10" s="20" t="s">
        <v>391</v>
      </c>
      <c r="F10" s="20" t="s">
        <v>392</v>
      </c>
      <c r="G10" s="8" t="str">
        <f t="shared" si="0"/>
        <v>PERKINS DARREN</v>
      </c>
      <c r="H10" s="20" t="str">
        <f t="shared" si="1"/>
        <v>4020</v>
      </c>
    </row>
    <row r="11" spans="1:8" x14ac:dyDescent="0.25">
      <c r="A11" s="8">
        <v>42995.108437499999</v>
      </c>
      <c r="B11" s="20" t="s">
        <v>435</v>
      </c>
      <c r="C11" s="20" t="s">
        <v>618</v>
      </c>
      <c r="D11" s="138">
        <v>3190000</v>
      </c>
      <c r="E11" s="20" t="s">
        <v>393</v>
      </c>
      <c r="F11" s="20" t="s">
        <v>394</v>
      </c>
      <c r="G11" s="8" t="str">
        <f t="shared" si="0"/>
        <v>HART KEVIN</v>
      </c>
      <c r="H11" s="20" t="str">
        <f t="shared" si="1"/>
        <v>4058</v>
      </c>
    </row>
    <row r="12" spans="1:8" x14ac:dyDescent="0.25">
      <c r="A12" s="8">
        <v>42995.112835648149</v>
      </c>
      <c r="B12" s="20" t="s">
        <v>400</v>
      </c>
      <c r="C12" s="20" t="s">
        <v>572</v>
      </c>
      <c r="D12" s="138">
        <v>3120000</v>
      </c>
      <c r="E12" s="20" t="s">
        <v>619</v>
      </c>
      <c r="F12" s="20" t="s">
        <v>620</v>
      </c>
      <c r="G12" s="8" t="str">
        <f t="shared" si="0"/>
        <v>THOMPSON LESTER</v>
      </c>
      <c r="H12" s="20" t="str">
        <f t="shared" si="1"/>
        <v>4015</v>
      </c>
    </row>
    <row r="13" spans="1:8" x14ac:dyDescent="0.25">
      <c r="A13" s="8">
        <v>42995.115613425929</v>
      </c>
      <c r="B13" s="20" t="s">
        <v>400</v>
      </c>
      <c r="C13" s="20" t="s">
        <v>572</v>
      </c>
      <c r="D13" s="138">
        <v>3120000</v>
      </c>
      <c r="E13" s="20" t="s">
        <v>619</v>
      </c>
      <c r="F13" s="20" t="s">
        <v>620</v>
      </c>
      <c r="G13" s="8" t="str">
        <f t="shared" si="0"/>
        <v>THOMPSON LESTER</v>
      </c>
      <c r="H13" s="20" t="str">
        <f t="shared" si="1"/>
        <v>4015</v>
      </c>
    </row>
    <row r="14" spans="1:8" x14ac:dyDescent="0.25">
      <c r="A14" s="8">
        <v>42995.126898148148</v>
      </c>
      <c r="B14" s="20" t="s">
        <v>401</v>
      </c>
      <c r="C14" s="20" t="s">
        <v>621</v>
      </c>
      <c r="D14" s="138">
        <v>2370000</v>
      </c>
      <c r="E14" s="20" t="s">
        <v>466</v>
      </c>
      <c r="F14" s="20" t="s">
        <v>467</v>
      </c>
      <c r="G14" s="8" t="str">
        <f t="shared" si="0"/>
        <v>DELGADO DIANAH</v>
      </c>
      <c r="H14" s="20" t="str">
        <f t="shared" si="1"/>
        <v>4016</v>
      </c>
    </row>
    <row r="15" spans="1:8" x14ac:dyDescent="0.25">
      <c r="A15" s="8">
        <v>42995.127465277779</v>
      </c>
      <c r="B15" s="20" t="s">
        <v>401</v>
      </c>
      <c r="C15" s="20" t="s">
        <v>621</v>
      </c>
      <c r="D15" s="138">
        <v>2370000</v>
      </c>
      <c r="E15" s="20" t="s">
        <v>466</v>
      </c>
      <c r="F15" s="20" t="s">
        <v>467</v>
      </c>
      <c r="G15" s="8" t="str">
        <f t="shared" si="0"/>
        <v>DELGADO DIANAH</v>
      </c>
      <c r="H15" s="20" t="str">
        <f t="shared" si="1"/>
        <v>4016</v>
      </c>
    </row>
    <row r="16" spans="1:8" x14ac:dyDescent="0.25">
      <c r="A16" s="8">
        <v>42995.128217592595</v>
      </c>
      <c r="B16" s="20" t="s">
        <v>401</v>
      </c>
      <c r="C16" s="20" t="s">
        <v>621</v>
      </c>
      <c r="D16" s="138">
        <v>2370000</v>
      </c>
      <c r="E16" s="20" t="s">
        <v>466</v>
      </c>
      <c r="F16" s="20" t="s">
        <v>467</v>
      </c>
      <c r="G16" s="8" t="str">
        <f t="shared" si="0"/>
        <v>DELGADO DIANAH</v>
      </c>
      <c r="H16" s="20" t="str">
        <f t="shared" si="1"/>
        <v>4016</v>
      </c>
    </row>
    <row r="17" spans="1:8" x14ac:dyDescent="0.25">
      <c r="A17" s="8">
        <v>42995.128981481481</v>
      </c>
      <c r="B17" s="20" t="s">
        <v>401</v>
      </c>
      <c r="C17" s="20" t="s">
        <v>621</v>
      </c>
      <c r="D17" s="138">
        <v>2370000</v>
      </c>
      <c r="E17" s="20" t="s">
        <v>466</v>
      </c>
      <c r="F17" s="20" t="s">
        <v>467</v>
      </c>
      <c r="G17" s="8" t="str">
        <f t="shared" si="0"/>
        <v>DELGADO DIANAH</v>
      </c>
      <c r="H17" s="20" t="str">
        <f t="shared" si="1"/>
        <v>4016</v>
      </c>
    </row>
    <row r="18" spans="1:8" x14ac:dyDescent="0.25">
      <c r="A18" s="8">
        <v>42995.129953703705</v>
      </c>
      <c r="B18" s="20" t="s">
        <v>622</v>
      </c>
      <c r="C18" s="20" t="s">
        <v>623</v>
      </c>
      <c r="D18" s="138">
        <v>3120000</v>
      </c>
      <c r="E18" s="20" t="s">
        <v>619</v>
      </c>
      <c r="F18" s="20" t="s">
        <v>620</v>
      </c>
      <c r="G18" s="8" t="str">
        <f t="shared" si="0"/>
        <v>THOMPSON LESTER</v>
      </c>
      <c r="H18" s="20" t="str">
        <f t="shared" si="1"/>
        <v>4054</v>
      </c>
    </row>
    <row r="19" spans="1:8" x14ac:dyDescent="0.25">
      <c r="A19" s="8">
        <v>42995.130509259259</v>
      </c>
      <c r="B19" s="20" t="s">
        <v>401</v>
      </c>
      <c r="C19" s="20" t="s">
        <v>621</v>
      </c>
      <c r="D19" s="138">
        <v>2370000</v>
      </c>
      <c r="E19" s="20" t="s">
        <v>466</v>
      </c>
      <c r="F19" s="20" t="s">
        <v>467</v>
      </c>
      <c r="G19" s="8" t="str">
        <f t="shared" si="0"/>
        <v>DELGADO DIANAH</v>
      </c>
      <c r="H19" s="20" t="str">
        <f t="shared" si="1"/>
        <v>4016</v>
      </c>
    </row>
    <row r="20" spans="1:8" x14ac:dyDescent="0.25">
      <c r="A20" s="8">
        <v>42995.139479166668</v>
      </c>
      <c r="B20" s="20" t="s">
        <v>399</v>
      </c>
      <c r="C20" s="20" t="s">
        <v>624</v>
      </c>
      <c r="D20" s="138">
        <v>2010000</v>
      </c>
      <c r="E20" s="20" t="s">
        <v>507</v>
      </c>
      <c r="F20" s="20" t="s">
        <v>508</v>
      </c>
      <c r="G20" s="8" t="str">
        <f t="shared" si="0"/>
        <v>MAELZER KURT</v>
      </c>
      <c r="H20" s="20" t="str">
        <f t="shared" si="1"/>
        <v>4059</v>
      </c>
    </row>
    <row r="21" spans="1:8" x14ac:dyDescent="0.25">
      <c r="A21" s="8">
        <v>42995.141099537039</v>
      </c>
      <c r="B21" s="20" t="s">
        <v>400</v>
      </c>
      <c r="C21" s="20" t="s">
        <v>625</v>
      </c>
      <c r="D21" s="138">
        <v>2370000</v>
      </c>
      <c r="E21" s="20" t="s">
        <v>466</v>
      </c>
      <c r="F21" s="20" t="s">
        <v>467</v>
      </c>
      <c r="G21" s="8" t="str">
        <f t="shared" si="0"/>
        <v>DELGADO DIANAH</v>
      </c>
      <c r="H21" s="20" t="str">
        <f t="shared" si="1"/>
        <v>4015</v>
      </c>
    </row>
    <row r="22" spans="1:8" x14ac:dyDescent="0.25">
      <c r="A22" s="26">
        <v>42995.150868055556</v>
      </c>
      <c r="B22" s="20" t="s">
        <v>403</v>
      </c>
      <c r="C22" s="20" t="s">
        <v>626</v>
      </c>
      <c r="D22" s="138">
        <v>2010000</v>
      </c>
      <c r="E22" s="20" t="s">
        <v>507</v>
      </c>
      <c r="F22" s="20" t="s">
        <v>508</v>
      </c>
      <c r="G22" s="8" t="str">
        <f t="shared" si="0"/>
        <v>MAELZER KURT</v>
      </c>
      <c r="H22" s="20" t="str">
        <f t="shared" si="1"/>
        <v>4060</v>
      </c>
    </row>
    <row r="23" spans="1:8" x14ac:dyDescent="0.25">
      <c r="A23" s="8">
        <v>42995.155300925922</v>
      </c>
      <c r="B23" s="20" t="s">
        <v>446</v>
      </c>
      <c r="C23" s="20" t="s">
        <v>627</v>
      </c>
      <c r="D23" s="138">
        <v>1990000</v>
      </c>
      <c r="E23" s="20" t="s">
        <v>345</v>
      </c>
      <c r="F23" s="20" t="s">
        <v>463</v>
      </c>
      <c r="G23" s="8" t="str">
        <f t="shared" si="0"/>
        <v>DAVIS WENDY</v>
      </c>
      <c r="H23" s="20" t="str">
        <f t="shared" si="1"/>
        <v>4027</v>
      </c>
    </row>
    <row r="24" spans="1:8" x14ac:dyDescent="0.25">
      <c r="A24" s="8">
        <v>42995.167881944442</v>
      </c>
      <c r="B24" s="20" t="s">
        <v>628</v>
      </c>
      <c r="C24" s="20" t="s">
        <v>629</v>
      </c>
      <c r="D24" s="138">
        <v>2530000</v>
      </c>
      <c r="E24" s="20" t="s">
        <v>630</v>
      </c>
      <c r="F24" s="20" t="s">
        <v>631</v>
      </c>
      <c r="G24" s="8" t="str">
        <f t="shared" si="0"/>
        <v>LALONDE GREGORY</v>
      </c>
      <c r="H24" s="20" t="str">
        <f t="shared" si="1"/>
        <v>4055</v>
      </c>
    </row>
    <row r="25" spans="1:8" x14ac:dyDescent="0.25">
      <c r="A25" s="8">
        <v>42995.168854166666</v>
      </c>
      <c r="B25" s="20" t="s">
        <v>445</v>
      </c>
      <c r="C25" s="20" t="s">
        <v>573</v>
      </c>
      <c r="D25" s="138">
        <v>1990000</v>
      </c>
      <c r="E25" s="20" t="s">
        <v>345</v>
      </c>
      <c r="F25" s="20" t="s">
        <v>463</v>
      </c>
      <c r="G25" s="8" t="str">
        <f t="shared" si="0"/>
        <v>DAVIS WENDY</v>
      </c>
      <c r="H25" s="20" t="str">
        <f t="shared" si="1"/>
        <v>4028</v>
      </c>
    </row>
    <row r="26" spans="1:8" x14ac:dyDescent="0.25">
      <c r="A26" s="8">
        <v>42995.173888888887</v>
      </c>
      <c r="B26" s="20" t="s">
        <v>632</v>
      </c>
      <c r="C26" s="20" t="s">
        <v>633</v>
      </c>
      <c r="D26" s="138">
        <v>3120000</v>
      </c>
      <c r="E26" s="20" t="s">
        <v>619</v>
      </c>
      <c r="F26" s="20" t="s">
        <v>620</v>
      </c>
      <c r="G26" s="8" t="str">
        <f t="shared" si="0"/>
        <v>THOMPSON LESTER</v>
      </c>
      <c r="H26" s="20" t="str">
        <f t="shared" si="1"/>
        <v>4053</v>
      </c>
    </row>
    <row r="27" spans="1:8" x14ac:dyDescent="0.25">
      <c r="A27" s="8">
        <v>42995.181516203702</v>
      </c>
      <c r="B27" s="20" t="s">
        <v>460</v>
      </c>
      <c r="C27" s="20" t="s">
        <v>634</v>
      </c>
      <c r="D27" s="138">
        <v>1100000</v>
      </c>
      <c r="E27" s="20" t="s">
        <v>464</v>
      </c>
      <c r="F27" s="20" t="s">
        <v>465</v>
      </c>
      <c r="G27" s="8" t="str">
        <f t="shared" si="0"/>
        <v>GEBRETEKLE DAGNEW</v>
      </c>
      <c r="H27" s="20" t="str">
        <f t="shared" si="1"/>
        <v>4043</v>
      </c>
    </row>
    <row r="28" spans="1:8" x14ac:dyDescent="0.25">
      <c r="A28" s="8">
        <v>42995.183842592596</v>
      </c>
      <c r="B28" s="20" t="s">
        <v>591</v>
      </c>
      <c r="C28" s="20" t="s">
        <v>635</v>
      </c>
      <c r="D28" s="138">
        <v>2530000</v>
      </c>
      <c r="E28" s="20" t="s">
        <v>630</v>
      </c>
      <c r="F28" s="20" t="s">
        <v>631</v>
      </c>
      <c r="G28" s="8" t="str">
        <f t="shared" si="0"/>
        <v>LALONDE GREGORY</v>
      </c>
      <c r="H28" s="20" t="str">
        <f t="shared" si="1"/>
        <v>4056</v>
      </c>
    </row>
    <row r="29" spans="1:8" x14ac:dyDescent="0.25">
      <c r="A29" s="8">
        <v>42995.186493055553</v>
      </c>
      <c r="B29" s="20" t="s">
        <v>399</v>
      </c>
      <c r="C29" s="20" t="s">
        <v>636</v>
      </c>
      <c r="D29" s="138">
        <v>2010000</v>
      </c>
      <c r="E29" s="20" t="s">
        <v>507</v>
      </c>
      <c r="F29" s="20" t="s">
        <v>508</v>
      </c>
      <c r="G29" s="8" t="str">
        <f t="shared" si="0"/>
        <v>MAELZER KURT</v>
      </c>
      <c r="H29" s="20" t="str">
        <f t="shared" si="1"/>
        <v>4059</v>
      </c>
    </row>
    <row r="30" spans="1:8" x14ac:dyDescent="0.25">
      <c r="A30" s="8">
        <v>42995.193530092591</v>
      </c>
      <c r="B30" s="20" t="s">
        <v>575</v>
      </c>
      <c r="C30" s="20" t="s">
        <v>576</v>
      </c>
      <c r="D30" s="138">
        <v>1100000</v>
      </c>
      <c r="E30" s="20" t="s">
        <v>464</v>
      </c>
      <c r="F30" s="20" t="s">
        <v>465</v>
      </c>
      <c r="G30" s="8" t="str">
        <f t="shared" si="0"/>
        <v>GEBRETEKLE DAGNEW</v>
      </c>
      <c r="H30" s="20" t="str">
        <f t="shared" si="1"/>
        <v>4044</v>
      </c>
    </row>
    <row r="31" spans="1:8" x14ac:dyDescent="0.25">
      <c r="A31" s="8">
        <v>42995.197488425925</v>
      </c>
      <c r="B31" s="20" t="s">
        <v>401</v>
      </c>
      <c r="C31" s="20" t="s">
        <v>637</v>
      </c>
      <c r="D31" s="138">
        <v>3180000</v>
      </c>
      <c r="E31" s="20" t="s">
        <v>638</v>
      </c>
      <c r="F31" s="20" t="s">
        <v>639</v>
      </c>
      <c r="G31" s="8" t="str">
        <f t="shared" si="0"/>
        <v>HUFFSMITH MONTY</v>
      </c>
      <c r="H31" s="20" t="str">
        <f t="shared" si="1"/>
        <v>4016</v>
      </c>
    </row>
    <row r="32" spans="1:8" x14ac:dyDescent="0.25">
      <c r="A32" s="8">
        <v>42995.199918981481</v>
      </c>
      <c r="B32" s="20" t="s">
        <v>499</v>
      </c>
      <c r="C32" s="20" t="s">
        <v>574</v>
      </c>
      <c r="D32" s="138">
        <v>3040000</v>
      </c>
      <c r="E32" s="20" t="s">
        <v>509</v>
      </c>
      <c r="F32" s="20" t="s">
        <v>510</v>
      </c>
      <c r="G32" s="8" t="str">
        <f t="shared" si="0"/>
        <v>WILLIAMS DONTE</v>
      </c>
      <c r="H32" s="20" t="str">
        <f t="shared" si="1"/>
        <v>4001</v>
      </c>
    </row>
    <row r="33" spans="1:8" x14ac:dyDescent="0.25">
      <c r="A33" s="8">
        <v>42995.205023148148</v>
      </c>
      <c r="B33" s="20" t="s">
        <v>400</v>
      </c>
      <c r="C33" s="20" t="s">
        <v>640</v>
      </c>
      <c r="D33" s="138">
        <v>3180000</v>
      </c>
      <c r="E33" s="20" t="s">
        <v>638</v>
      </c>
      <c r="F33" s="20" t="s">
        <v>639</v>
      </c>
      <c r="G33" s="8" t="str">
        <f t="shared" si="0"/>
        <v>HUFFSMITH MONTY</v>
      </c>
      <c r="H33" s="20" t="str">
        <f t="shared" si="1"/>
        <v>4015</v>
      </c>
    </row>
    <row r="34" spans="1:8" x14ac:dyDescent="0.25">
      <c r="A34" s="8">
        <v>42995.205266203702</v>
      </c>
      <c r="B34" s="20" t="s">
        <v>622</v>
      </c>
      <c r="C34" s="20" t="s">
        <v>641</v>
      </c>
      <c r="D34" s="138">
        <v>3120000</v>
      </c>
      <c r="E34" s="20" t="s">
        <v>619</v>
      </c>
      <c r="F34" s="20" t="s">
        <v>620</v>
      </c>
      <c r="G34" s="8" t="str">
        <f t="shared" si="0"/>
        <v>THOMPSON LESTER</v>
      </c>
      <c r="H34" s="20" t="str">
        <f t="shared" si="1"/>
        <v>4054</v>
      </c>
    </row>
    <row r="35" spans="1:8" x14ac:dyDescent="0.25">
      <c r="A35" s="8">
        <v>42995.207384259258</v>
      </c>
      <c r="B35" s="20" t="s">
        <v>446</v>
      </c>
      <c r="C35" s="20" t="s">
        <v>577</v>
      </c>
      <c r="D35" s="138">
        <v>1990000</v>
      </c>
      <c r="E35" s="20" t="s">
        <v>345</v>
      </c>
      <c r="F35" s="20" t="s">
        <v>463</v>
      </c>
      <c r="G35" s="8" t="str">
        <f t="shared" si="0"/>
        <v>DAVIS WENDY</v>
      </c>
      <c r="H35" s="20" t="str">
        <f t="shared" si="1"/>
        <v>4027</v>
      </c>
    </row>
    <row r="36" spans="1:8" x14ac:dyDescent="0.25">
      <c r="A36" s="8">
        <v>42995.213287037041</v>
      </c>
      <c r="B36" s="20" t="s">
        <v>628</v>
      </c>
      <c r="C36" s="20" t="s">
        <v>642</v>
      </c>
      <c r="D36" s="138">
        <v>2530000</v>
      </c>
      <c r="E36" s="20" t="s">
        <v>630</v>
      </c>
      <c r="F36" s="20" t="s">
        <v>631</v>
      </c>
      <c r="G36" s="8" t="str">
        <f t="shared" si="0"/>
        <v>LALONDE GREGORY</v>
      </c>
      <c r="H36" s="20" t="str">
        <f t="shared" si="1"/>
        <v>4055</v>
      </c>
    </row>
    <row r="37" spans="1:8" x14ac:dyDescent="0.25">
      <c r="A37" s="8">
        <v>42995.216168981482</v>
      </c>
      <c r="B37" s="20" t="s">
        <v>421</v>
      </c>
      <c r="C37" s="20" t="s">
        <v>643</v>
      </c>
      <c r="D37" s="138">
        <v>3040000</v>
      </c>
      <c r="E37" s="20" t="s">
        <v>509</v>
      </c>
      <c r="F37" s="20" t="s">
        <v>510</v>
      </c>
      <c r="G37" s="8" t="str">
        <f t="shared" si="0"/>
        <v>WILLIAMS DONTE</v>
      </c>
      <c r="H37" s="20" t="str">
        <f t="shared" si="1"/>
        <v>4002</v>
      </c>
    </row>
    <row r="38" spans="1:8" x14ac:dyDescent="0.25">
      <c r="A38" s="8">
        <v>42995.222048611111</v>
      </c>
      <c r="B38" s="20" t="s">
        <v>401</v>
      </c>
      <c r="C38" s="20" t="s">
        <v>644</v>
      </c>
      <c r="D38" s="138">
        <v>3180000</v>
      </c>
      <c r="E38" s="20" t="s">
        <v>638</v>
      </c>
      <c r="F38" s="20" t="s">
        <v>639</v>
      </c>
      <c r="G38" s="8" t="str">
        <f t="shared" si="0"/>
        <v>HUFFSMITH MONTY</v>
      </c>
      <c r="H38" s="20" t="str">
        <f t="shared" si="1"/>
        <v>4016</v>
      </c>
    </row>
    <row r="39" spans="1:8" x14ac:dyDescent="0.25">
      <c r="A39" s="8">
        <v>42995.223773148151</v>
      </c>
      <c r="B39" s="20" t="s">
        <v>589</v>
      </c>
      <c r="C39" s="20" t="s">
        <v>645</v>
      </c>
      <c r="D39" s="138">
        <v>2470000</v>
      </c>
      <c r="E39" s="20" t="s">
        <v>646</v>
      </c>
      <c r="F39" s="20" t="s">
        <v>647</v>
      </c>
      <c r="G39" s="8" t="str">
        <f t="shared" si="0"/>
        <v>ROMERO CHAD</v>
      </c>
      <c r="H39" s="20" t="str">
        <f t="shared" si="1"/>
        <v>4024</v>
      </c>
    </row>
    <row r="40" spans="1:8" x14ac:dyDescent="0.25">
      <c r="A40" s="8">
        <v>42995.22452546296</v>
      </c>
      <c r="B40" s="25" t="s">
        <v>460</v>
      </c>
      <c r="C40" s="20" t="s">
        <v>648</v>
      </c>
      <c r="D40" s="138">
        <v>1100000</v>
      </c>
      <c r="E40" s="20" t="s">
        <v>464</v>
      </c>
      <c r="F40" s="20" t="s">
        <v>465</v>
      </c>
      <c r="G40" s="8" t="str">
        <f t="shared" si="0"/>
        <v>GEBRETEKLE DAGNEW</v>
      </c>
      <c r="H40" s="20" t="str">
        <f t="shared" si="1"/>
        <v>4043</v>
      </c>
    </row>
    <row r="41" spans="1:8" x14ac:dyDescent="0.25">
      <c r="A41" s="8">
        <v>42995.227083333331</v>
      </c>
      <c r="B41" s="20" t="s">
        <v>434</v>
      </c>
      <c r="C41" s="20" t="s">
        <v>649</v>
      </c>
      <c r="D41" s="138">
        <v>3090000</v>
      </c>
      <c r="E41" s="20" t="s">
        <v>650</v>
      </c>
      <c r="F41" s="20" t="s">
        <v>651</v>
      </c>
      <c r="G41" s="8" t="str">
        <f t="shared" si="0"/>
        <v>LAMAR NEKESHA</v>
      </c>
      <c r="H41" s="20" t="str">
        <f t="shared" si="1"/>
        <v>4065</v>
      </c>
    </row>
    <row r="42" spans="1:8" x14ac:dyDescent="0.25">
      <c r="A42" s="8">
        <v>42995.237696759257</v>
      </c>
      <c r="B42" s="20" t="s">
        <v>578</v>
      </c>
      <c r="C42" s="20" t="s">
        <v>579</v>
      </c>
      <c r="D42" s="138">
        <v>2470000</v>
      </c>
      <c r="E42" s="20" t="s">
        <v>646</v>
      </c>
      <c r="F42" s="20" t="s">
        <v>647</v>
      </c>
      <c r="G42" s="8" t="str">
        <f t="shared" si="0"/>
        <v>ROMERO CHAD</v>
      </c>
      <c r="H42" s="20" t="str">
        <f t="shared" si="1"/>
        <v>4023</v>
      </c>
    </row>
    <row r="43" spans="1:8" x14ac:dyDescent="0.25">
      <c r="A43" s="8">
        <v>42995.23841435185</v>
      </c>
      <c r="B43" s="20" t="s">
        <v>433</v>
      </c>
      <c r="C43" s="20" t="s">
        <v>652</v>
      </c>
      <c r="D43" s="138">
        <v>3090000</v>
      </c>
      <c r="E43" s="20" t="s">
        <v>650</v>
      </c>
      <c r="F43" s="20" t="s">
        <v>651</v>
      </c>
      <c r="G43" s="8" t="str">
        <f t="shared" si="0"/>
        <v>LAMAR NEKESHA</v>
      </c>
      <c r="H43" s="20" t="str">
        <f t="shared" si="1"/>
        <v>4066</v>
      </c>
    </row>
    <row r="44" spans="1:8" x14ac:dyDescent="0.25">
      <c r="A44" s="8">
        <v>42995.246412037035</v>
      </c>
      <c r="B44" s="20" t="s">
        <v>632</v>
      </c>
      <c r="C44" s="20" t="s">
        <v>653</v>
      </c>
      <c r="D44" s="138">
        <v>3120000</v>
      </c>
      <c r="E44" s="20" t="s">
        <v>619</v>
      </c>
      <c r="F44" s="20" t="s">
        <v>620</v>
      </c>
      <c r="G44" s="8" t="str">
        <f t="shared" si="0"/>
        <v>THOMPSON LESTER</v>
      </c>
      <c r="H44" s="20" t="str">
        <f t="shared" si="1"/>
        <v>4053</v>
      </c>
    </row>
    <row r="45" spans="1:8" x14ac:dyDescent="0.25">
      <c r="A45" s="8">
        <v>42995.248738425929</v>
      </c>
      <c r="B45" s="20" t="s">
        <v>445</v>
      </c>
      <c r="C45" s="20" t="s">
        <v>654</v>
      </c>
      <c r="D45" s="138">
        <v>1990000</v>
      </c>
      <c r="E45" s="20" t="s">
        <v>345</v>
      </c>
      <c r="F45" s="20" t="s">
        <v>463</v>
      </c>
      <c r="G45" s="8" t="str">
        <f t="shared" si="0"/>
        <v>DAVIS WENDY</v>
      </c>
      <c r="H45" s="20" t="str">
        <f t="shared" si="1"/>
        <v>4028</v>
      </c>
    </row>
    <row r="46" spans="1:8" x14ac:dyDescent="0.25">
      <c r="A46" s="8">
        <v>42995.250254629631</v>
      </c>
      <c r="B46" s="20" t="s">
        <v>589</v>
      </c>
      <c r="C46" s="20" t="s">
        <v>655</v>
      </c>
      <c r="D46" s="138">
        <v>2470000</v>
      </c>
      <c r="E46" s="20" t="s">
        <v>646</v>
      </c>
      <c r="F46" s="20" t="s">
        <v>647</v>
      </c>
      <c r="G46" s="8" t="str">
        <f t="shared" si="0"/>
        <v>ROMERO CHAD</v>
      </c>
      <c r="H46" s="20" t="str">
        <f t="shared" si="1"/>
        <v>4024</v>
      </c>
    </row>
    <row r="47" spans="1:8" x14ac:dyDescent="0.25">
      <c r="A47" s="8">
        <v>42995.252835648149</v>
      </c>
      <c r="B47" s="20" t="s">
        <v>632</v>
      </c>
      <c r="C47" s="20" t="s">
        <v>653</v>
      </c>
      <c r="D47" s="138">
        <v>3120000</v>
      </c>
      <c r="E47" s="20" t="s">
        <v>619</v>
      </c>
      <c r="F47" s="20" t="s">
        <v>620</v>
      </c>
      <c r="G47" s="8" t="str">
        <f t="shared" si="0"/>
        <v>THOMPSON LESTER</v>
      </c>
      <c r="H47" s="20" t="str">
        <f t="shared" si="1"/>
        <v>4053</v>
      </c>
    </row>
    <row r="48" spans="1:8" x14ac:dyDescent="0.25">
      <c r="A48" s="8">
        <v>42995.254606481481</v>
      </c>
      <c r="B48" s="20" t="s">
        <v>499</v>
      </c>
      <c r="C48" s="20" t="s">
        <v>656</v>
      </c>
      <c r="D48" s="138">
        <v>3040000</v>
      </c>
      <c r="E48" s="20" t="s">
        <v>509</v>
      </c>
      <c r="F48" s="20" t="s">
        <v>510</v>
      </c>
      <c r="G48" s="8" t="str">
        <f t="shared" si="0"/>
        <v>WILLIAMS DONTE</v>
      </c>
      <c r="H48" s="20" t="str">
        <f t="shared" si="1"/>
        <v>4001</v>
      </c>
    </row>
    <row r="49" spans="1:8" x14ac:dyDescent="0.25">
      <c r="A49" s="8">
        <v>42995.258703703701</v>
      </c>
      <c r="B49" s="20" t="s">
        <v>591</v>
      </c>
      <c r="C49" s="20" t="s">
        <v>657</v>
      </c>
      <c r="D49" s="138">
        <v>2530000</v>
      </c>
      <c r="E49" s="20" t="s">
        <v>630</v>
      </c>
      <c r="F49" s="20" t="s">
        <v>631</v>
      </c>
      <c r="G49" s="8" t="str">
        <f t="shared" si="0"/>
        <v>LALONDE GREGORY</v>
      </c>
      <c r="H49" s="20" t="str">
        <f t="shared" si="1"/>
        <v>4056</v>
      </c>
    </row>
    <row r="50" spans="1:8" x14ac:dyDescent="0.25">
      <c r="A50" s="8">
        <v>42995.260451388887</v>
      </c>
      <c r="B50" s="20" t="s">
        <v>403</v>
      </c>
      <c r="C50" s="20" t="s">
        <v>621</v>
      </c>
      <c r="D50" s="138">
        <v>2370000</v>
      </c>
      <c r="E50" s="20" t="s">
        <v>466</v>
      </c>
      <c r="F50" s="20" t="s">
        <v>467</v>
      </c>
      <c r="G50" s="8" t="str">
        <f t="shared" si="0"/>
        <v>DELGADO DIANAH</v>
      </c>
      <c r="H50" s="20" t="str">
        <f t="shared" si="1"/>
        <v>4060</v>
      </c>
    </row>
    <row r="51" spans="1:8" x14ac:dyDescent="0.25">
      <c r="A51" s="8">
        <v>42995.260844907411</v>
      </c>
      <c r="B51" s="20" t="s">
        <v>400</v>
      </c>
      <c r="C51" s="20" t="s">
        <v>581</v>
      </c>
      <c r="D51" s="138">
        <v>3180000</v>
      </c>
      <c r="E51" s="20" t="s">
        <v>638</v>
      </c>
      <c r="F51" s="20" t="s">
        <v>639</v>
      </c>
      <c r="G51" s="8" t="str">
        <f t="shared" si="0"/>
        <v>HUFFSMITH MONTY</v>
      </c>
      <c r="H51" s="20" t="str">
        <f t="shared" si="1"/>
        <v>4015</v>
      </c>
    </row>
    <row r="52" spans="1:8" x14ac:dyDescent="0.25">
      <c r="A52" s="8">
        <v>42995.264097222222</v>
      </c>
      <c r="B52" s="20" t="s">
        <v>399</v>
      </c>
      <c r="C52" s="20" t="s">
        <v>621</v>
      </c>
      <c r="D52" s="138">
        <v>2370000</v>
      </c>
      <c r="E52" s="20" t="s">
        <v>466</v>
      </c>
      <c r="F52" s="20" t="s">
        <v>467</v>
      </c>
      <c r="G52" s="8" t="str">
        <f t="shared" si="0"/>
        <v>DELGADO DIANAH</v>
      </c>
      <c r="H52" s="20" t="str">
        <f t="shared" si="1"/>
        <v>4059</v>
      </c>
    </row>
    <row r="53" spans="1:8" x14ac:dyDescent="0.25">
      <c r="A53" s="8">
        <v>42995.266967592594</v>
      </c>
      <c r="B53" s="20" t="s">
        <v>575</v>
      </c>
      <c r="C53" s="20" t="s">
        <v>580</v>
      </c>
      <c r="D53" s="138">
        <v>1100000</v>
      </c>
      <c r="E53" s="20" t="s">
        <v>464</v>
      </c>
      <c r="F53" s="20" t="s">
        <v>465</v>
      </c>
      <c r="G53" s="8" t="str">
        <f t="shared" si="0"/>
        <v>GEBRETEKLE DAGNEW</v>
      </c>
      <c r="H53" s="20" t="str">
        <f t="shared" si="1"/>
        <v>4044</v>
      </c>
    </row>
    <row r="54" spans="1:8" x14ac:dyDescent="0.25">
      <c r="A54" s="8">
        <v>42995.267835648148</v>
      </c>
      <c r="B54" s="20" t="s">
        <v>578</v>
      </c>
      <c r="C54" s="20" t="s">
        <v>658</v>
      </c>
      <c r="D54" s="138">
        <v>2470000</v>
      </c>
      <c r="E54" s="20" t="s">
        <v>646</v>
      </c>
      <c r="F54" s="20" t="s">
        <v>647</v>
      </c>
      <c r="G54" s="8" t="str">
        <f t="shared" si="0"/>
        <v>ROMERO CHAD</v>
      </c>
      <c r="H54" s="20" t="str">
        <f t="shared" si="1"/>
        <v>4023</v>
      </c>
    </row>
    <row r="55" spans="1:8" x14ac:dyDescent="0.25">
      <c r="A55" s="8">
        <v>42995.26798611111</v>
      </c>
      <c r="B55" s="20" t="s">
        <v>632</v>
      </c>
      <c r="C55" s="20" t="s">
        <v>653</v>
      </c>
      <c r="D55" s="138">
        <v>3120000</v>
      </c>
      <c r="E55" s="20" t="s">
        <v>619</v>
      </c>
      <c r="F55" s="20" t="s">
        <v>620</v>
      </c>
      <c r="G55" s="8" t="str">
        <f t="shared" si="0"/>
        <v>THOMPSON LESTER</v>
      </c>
      <c r="H55" s="20" t="str">
        <f t="shared" si="1"/>
        <v>4053</v>
      </c>
    </row>
    <row r="56" spans="1:8" x14ac:dyDescent="0.25">
      <c r="A56" s="8">
        <v>42995.268807870372</v>
      </c>
      <c r="B56" s="20" t="s">
        <v>632</v>
      </c>
      <c r="C56" s="20" t="s">
        <v>653</v>
      </c>
      <c r="D56" s="138">
        <v>3120000</v>
      </c>
      <c r="E56" s="20" t="s">
        <v>619</v>
      </c>
      <c r="F56" s="20" t="s">
        <v>620</v>
      </c>
      <c r="G56" s="8" t="str">
        <f t="shared" si="0"/>
        <v>THOMPSON LESTER</v>
      </c>
      <c r="H56" s="20" t="str">
        <f t="shared" si="1"/>
        <v>4053</v>
      </c>
    </row>
    <row r="57" spans="1:8" x14ac:dyDescent="0.25">
      <c r="A57" s="8">
        <v>42995.269479166665</v>
      </c>
      <c r="B57" s="20" t="s">
        <v>403</v>
      </c>
      <c r="C57" s="20" t="s">
        <v>582</v>
      </c>
      <c r="D57" s="138">
        <v>2370000</v>
      </c>
      <c r="E57" s="20" t="s">
        <v>466</v>
      </c>
      <c r="F57" s="20" t="s">
        <v>467</v>
      </c>
      <c r="G57" s="8" t="str">
        <f t="shared" si="0"/>
        <v>DELGADO DIANAH</v>
      </c>
      <c r="H57" s="20" t="str">
        <f t="shared" si="1"/>
        <v>4060</v>
      </c>
    </row>
    <row r="58" spans="1:8" x14ac:dyDescent="0.25">
      <c r="A58" s="8">
        <v>42995.277094907404</v>
      </c>
      <c r="B58" s="20" t="s">
        <v>434</v>
      </c>
      <c r="C58" s="20" t="s">
        <v>659</v>
      </c>
      <c r="D58" s="138">
        <v>3090000</v>
      </c>
      <c r="E58" s="20" t="s">
        <v>650</v>
      </c>
      <c r="F58" s="20" t="s">
        <v>651</v>
      </c>
      <c r="G58" s="8" t="str">
        <f t="shared" si="0"/>
        <v>LAMAR NEKESHA</v>
      </c>
      <c r="H58" s="20" t="str">
        <f t="shared" si="1"/>
        <v>4065</v>
      </c>
    </row>
    <row r="59" spans="1:8" x14ac:dyDescent="0.25">
      <c r="A59" s="8">
        <v>42995.281863425924</v>
      </c>
      <c r="B59" s="20" t="s">
        <v>446</v>
      </c>
      <c r="C59" s="20" t="s">
        <v>583</v>
      </c>
      <c r="D59" s="138">
        <v>1990000</v>
      </c>
      <c r="E59" s="20" t="s">
        <v>345</v>
      </c>
      <c r="F59" s="20" t="s">
        <v>463</v>
      </c>
      <c r="G59" s="8" t="str">
        <f t="shared" si="0"/>
        <v>DAVIS WENDY</v>
      </c>
      <c r="H59" s="20" t="str">
        <f t="shared" si="1"/>
        <v>4027</v>
      </c>
    </row>
    <row r="60" spans="1:8" x14ac:dyDescent="0.25">
      <c r="A60" s="8">
        <v>42995.283935185187</v>
      </c>
      <c r="B60" s="20" t="s">
        <v>575</v>
      </c>
      <c r="C60" s="20" t="s">
        <v>580</v>
      </c>
      <c r="D60" s="138">
        <v>1100000</v>
      </c>
      <c r="E60" s="20" t="s">
        <v>464</v>
      </c>
      <c r="F60" s="20" t="s">
        <v>465</v>
      </c>
      <c r="G60" s="8" t="str">
        <f t="shared" si="0"/>
        <v>GEBRETEKLE DAGNEW</v>
      </c>
      <c r="H60" s="20" t="str">
        <f t="shared" si="1"/>
        <v>4044</v>
      </c>
    </row>
    <row r="61" spans="1:8" x14ac:dyDescent="0.25">
      <c r="A61" s="8">
        <v>42995.287604166668</v>
      </c>
      <c r="B61" s="20" t="s">
        <v>628</v>
      </c>
      <c r="C61" s="20" t="s">
        <v>660</v>
      </c>
      <c r="D61" s="138">
        <v>2530000</v>
      </c>
      <c r="E61" s="20" t="s">
        <v>630</v>
      </c>
      <c r="F61" s="20" t="s">
        <v>631</v>
      </c>
      <c r="G61" s="8" t="str">
        <f t="shared" si="0"/>
        <v>LALONDE GREGORY</v>
      </c>
      <c r="H61" s="20" t="str">
        <f t="shared" si="1"/>
        <v>4055</v>
      </c>
    </row>
    <row r="62" spans="1:8" x14ac:dyDescent="0.25">
      <c r="A62" s="8">
        <v>42995.289525462962</v>
      </c>
      <c r="B62" s="20" t="s">
        <v>589</v>
      </c>
      <c r="C62" s="20" t="s">
        <v>661</v>
      </c>
      <c r="D62" s="138">
        <v>2470000</v>
      </c>
      <c r="E62" s="20" t="s">
        <v>646</v>
      </c>
      <c r="F62" s="20" t="s">
        <v>647</v>
      </c>
      <c r="G62" s="8" t="str">
        <f t="shared" si="0"/>
        <v>ROMERO CHAD</v>
      </c>
      <c r="H62" s="20" t="str">
        <f t="shared" si="1"/>
        <v>4024</v>
      </c>
    </row>
    <row r="63" spans="1:8" x14ac:dyDescent="0.25">
      <c r="A63" s="8">
        <v>42995.290613425925</v>
      </c>
      <c r="B63" s="20" t="s">
        <v>421</v>
      </c>
      <c r="C63" s="20" t="s">
        <v>662</v>
      </c>
      <c r="D63" s="138">
        <v>3040000</v>
      </c>
      <c r="E63" s="20" t="s">
        <v>509</v>
      </c>
      <c r="F63" s="20" t="s">
        <v>510</v>
      </c>
      <c r="G63" s="8" t="str">
        <f t="shared" si="0"/>
        <v>WILLIAMS DONTE</v>
      </c>
      <c r="H63" s="20" t="str">
        <f t="shared" si="1"/>
        <v>4002</v>
      </c>
    </row>
    <row r="64" spans="1:8" x14ac:dyDescent="0.25">
      <c r="A64" s="26">
        <v>42995.298020833332</v>
      </c>
      <c r="B64" s="20" t="s">
        <v>401</v>
      </c>
      <c r="C64" s="20" t="s">
        <v>663</v>
      </c>
      <c r="D64" s="138">
        <v>2010000</v>
      </c>
      <c r="E64" s="20" t="s">
        <v>507</v>
      </c>
      <c r="F64" s="20" t="s">
        <v>508</v>
      </c>
      <c r="G64" s="8" t="str">
        <f t="shared" si="0"/>
        <v>MAELZER KURT</v>
      </c>
      <c r="H64" s="20" t="str">
        <f t="shared" si="1"/>
        <v>4016</v>
      </c>
    </row>
    <row r="65" spans="1:8" x14ac:dyDescent="0.25">
      <c r="A65" s="8">
        <v>42995.300937499997</v>
      </c>
      <c r="B65" s="20" t="s">
        <v>460</v>
      </c>
      <c r="C65" s="20" t="s">
        <v>664</v>
      </c>
      <c r="D65" s="138">
        <v>1100000</v>
      </c>
      <c r="E65" s="20" t="s">
        <v>464</v>
      </c>
      <c r="F65" s="20" t="s">
        <v>465</v>
      </c>
      <c r="G65" s="8" t="str">
        <f t="shared" si="0"/>
        <v>GEBRETEKLE DAGNEW</v>
      </c>
      <c r="H65" s="20" t="str">
        <f t="shared" si="1"/>
        <v>4043</v>
      </c>
    </row>
    <row r="66" spans="1:8" x14ac:dyDescent="0.25">
      <c r="A66" s="8">
        <v>42995.30914351852</v>
      </c>
      <c r="B66" s="20" t="s">
        <v>578</v>
      </c>
      <c r="C66" s="20" t="s">
        <v>665</v>
      </c>
      <c r="D66" s="138">
        <v>2470000</v>
      </c>
      <c r="E66" s="20" t="s">
        <v>646</v>
      </c>
      <c r="F66" s="20" t="s">
        <v>647</v>
      </c>
      <c r="G66" s="8" t="str">
        <f t="shared" si="0"/>
        <v>ROMERO CHAD</v>
      </c>
      <c r="H66" s="20" t="str">
        <f t="shared" si="1"/>
        <v>4023</v>
      </c>
    </row>
    <row r="67" spans="1:8" x14ac:dyDescent="0.25">
      <c r="A67" s="8">
        <v>42995.311145833337</v>
      </c>
      <c r="B67" s="20" t="s">
        <v>433</v>
      </c>
      <c r="C67" s="20" t="s">
        <v>666</v>
      </c>
      <c r="D67" s="138">
        <v>3090000</v>
      </c>
      <c r="E67" s="20" t="s">
        <v>650</v>
      </c>
      <c r="F67" s="20" t="s">
        <v>651</v>
      </c>
      <c r="G67" s="8" t="str">
        <f t="shared" ref="G67:G130" si="2">E67&amp;" "&amp;F67</f>
        <v>LAMAR NEKESHA</v>
      </c>
      <c r="H67" s="20" t="str">
        <f t="shared" ref="H67:H130" si="3">MID(B67,13,4)</f>
        <v>4066</v>
      </c>
    </row>
    <row r="68" spans="1:8" x14ac:dyDescent="0.25">
      <c r="A68" s="8">
        <v>42995.317777777775</v>
      </c>
      <c r="B68" s="20" t="s">
        <v>399</v>
      </c>
      <c r="C68" s="20" t="s">
        <v>584</v>
      </c>
      <c r="D68" s="138">
        <v>2370000</v>
      </c>
      <c r="E68" s="20" t="s">
        <v>466</v>
      </c>
      <c r="F68" s="20" t="s">
        <v>467</v>
      </c>
      <c r="G68" s="8" t="str">
        <f t="shared" si="2"/>
        <v>DELGADO DIANAH</v>
      </c>
      <c r="H68" s="20" t="str">
        <f t="shared" si="3"/>
        <v>4059</v>
      </c>
    </row>
    <row r="69" spans="1:8" x14ac:dyDescent="0.25">
      <c r="A69" s="8">
        <v>42995.320868055554</v>
      </c>
      <c r="B69" s="20" t="s">
        <v>445</v>
      </c>
      <c r="C69" s="20" t="s">
        <v>667</v>
      </c>
      <c r="D69" s="138">
        <v>1990000</v>
      </c>
      <c r="E69" s="20" t="s">
        <v>345</v>
      </c>
      <c r="F69" s="20" t="s">
        <v>463</v>
      </c>
      <c r="G69" s="8" t="str">
        <f t="shared" si="2"/>
        <v>DAVIS WENDY</v>
      </c>
      <c r="H69" s="20" t="str">
        <f t="shared" si="3"/>
        <v>4028</v>
      </c>
    </row>
    <row r="70" spans="1:8" x14ac:dyDescent="0.25">
      <c r="A70" s="8">
        <v>42995.327696759261</v>
      </c>
      <c r="B70" s="20" t="s">
        <v>499</v>
      </c>
      <c r="C70" s="20" t="s">
        <v>668</v>
      </c>
      <c r="D70" s="138">
        <v>3040000</v>
      </c>
      <c r="E70" s="20" t="s">
        <v>509</v>
      </c>
      <c r="F70" s="20" t="s">
        <v>510</v>
      </c>
      <c r="G70" s="8" t="str">
        <f t="shared" si="2"/>
        <v>WILLIAMS DONTE</v>
      </c>
      <c r="H70" s="20" t="str">
        <f t="shared" si="3"/>
        <v>4001</v>
      </c>
    </row>
    <row r="71" spans="1:8" x14ac:dyDescent="0.25">
      <c r="A71" s="8">
        <v>42995.328043981484</v>
      </c>
      <c r="B71" s="20" t="s">
        <v>591</v>
      </c>
      <c r="C71" s="20" t="s">
        <v>669</v>
      </c>
      <c r="D71" s="138">
        <v>2530000</v>
      </c>
      <c r="E71" s="20" t="s">
        <v>630</v>
      </c>
      <c r="F71" s="20" t="s">
        <v>631</v>
      </c>
      <c r="G71" s="8" t="str">
        <f t="shared" si="2"/>
        <v>LALONDE GREGORY</v>
      </c>
      <c r="H71" s="20" t="str">
        <f t="shared" si="3"/>
        <v>4056</v>
      </c>
    </row>
    <row r="72" spans="1:8" x14ac:dyDescent="0.25">
      <c r="A72" s="8">
        <v>42995.331261574072</v>
      </c>
      <c r="B72" s="20" t="s">
        <v>589</v>
      </c>
      <c r="C72" s="20" t="s">
        <v>670</v>
      </c>
      <c r="D72" s="138">
        <v>2470000</v>
      </c>
      <c r="E72" s="20" t="s">
        <v>646</v>
      </c>
      <c r="F72" s="20" t="s">
        <v>647</v>
      </c>
      <c r="G72" s="8" t="str">
        <f t="shared" si="2"/>
        <v>ROMERO CHAD</v>
      </c>
      <c r="H72" s="20" t="str">
        <f t="shared" si="3"/>
        <v>4024</v>
      </c>
    </row>
    <row r="73" spans="1:8" x14ac:dyDescent="0.25">
      <c r="A73" s="8">
        <v>42995.332962962966</v>
      </c>
      <c r="B73" s="20" t="s">
        <v>400</v>
      </c>
      <c r="C73" s="20" t="s">
        <v>671</v>
      </c>
      <c r="D73" s="138">
        <v>2010000</v>
      </c>
      <c r="E73" s="20" t="s">
        <v>507</v>
      </c>
      <c r="F73" s="20" t="s">
        <v>508</v>
      </c>
      <c r="G73" s="8" t="str">
        <f t="shared" si="2"/>
        <v>MAELZER KURT</v>
      </c>
      <c r="H73" s="20" t="str">
        <f t="shared" si="3"/>
        <v>4015</v>
      </c>
    </row>
    <row r="74" spans="1:8" x14ac:dyDescent="0.25">
      <c r="A74" s="8">
        <v>42995.338541666664</v>
      </c>
      <c r="B74" s="20" t="s">
        <v>575</v>
      </c>
      <c r="C74" s="20" t="s">
        <v>672</v>
      </c>
      <c r="D74" s="138">
        <v>1100000</v>
      </c>
      <c r="E74" s="20" t="s">
        <v>464</v>
      </c>
      <c r="F74" s="20" t="s">
        <v>465</v>
      </c>
      <c r="G74" s="8" t="str">
        <f t="shared" si="2"/>
        <v>GEBRETEKLE DAGNEW</v>
      </c>
      <c r="H74" s="20" t="str">
        <f t="shared" si="3"/>
        <v>4044</v>
      </c>
    </row>
    <row r="75" spans="1:8" x14ac:dyDescent="0.25">
      <c r="A75" s="8">
        <v>42995.349398148152</v>
      </c>
      <c r="B75" s="20" t="s">
        <v>403</v>
      </c>
      <c r="C75" s="20" t="s">
        <v>673</v>
      </c>
      <c r="D75" s="138">
        <v>3120000</v>
      </c>
      <c r="E75" s="20" t="s">
        <v>619</v>
      </c>
      <c r="F75" s="20" t="s">
        <v>620</v>
      </c>
      <c r="G75" s="8" t="str">
        <f t="shared" si="2"/>
        <v>THOMPSON LESTER</v>
      </c>
      <c r="H75" s="20" t="str">
        <f t="shared" si="3"/>
        <v>4060</v>
      </c>
    </row>
    <row r="76" spans="1:8" x14ac:dyDescent="0.25">
      <c r="A76" s="8">
        <v>42995.350254629629</v>
      </c>
      <c r="B76" s="20" t="s">
        <v>434</v>
      </c>
      <c r="C76" s="20" t="s">
        <v>674</v>
      </c>
      <c r="D76" s="138">
        <v>3090000</v>
      </c>
      <c r="E76" s="20" t="s">
        <v>650</v>
      </c>
      <c r="F76" s="20" t="s">
        <v>651</v>
      </c>
      <c r="G76" s="8" t="str">
        <f t="shared" si="2"/>
        <v>LAMAR NEKESHA</v>
      </c>
      <c r="H76" s="20" t="str">
        <f t="shared" si="3"/>
        <v>4065</v>
      </c>
    </row>
    <row r="77" spans="1:8" x14ac:dyDescent="0.25">
      <c r="A77" s="8">
        <v>42995.35087962963</v>
      </c>
      <c r="B77" s="20" t="s">
        <v>578</v>
      </c>
      <c r="C77" s="20" t="s">
        <v>675</v>
      </c>
      <c r="D77" s="138">
        <v>2470000</v>
      </c>
      <c r="E77" s="20" t="s">
        <v>646</v>
      </c>
      <c r="F77" s="20" t="s">
        <v>647</v>
      </c>
      <c r="G77" s="8" t="str">
        <f t="shared" si="2"/>
        <v>ROMERO CHAD</v>
      </c>
      <c r="H77" s="20" t="str">
        <f t="shared" si="3"/>
        <v>4023</v>
      </c>
    </row>
    <row r="78" spans="1:8" x14ac:dyDescent="0.25">
      <c r="A78" s="8">
        <v>42995.351261574076</v>
      </c>
      <c r="B78" s="20" t="s">
        <v>446</v>
      </c>
      <c r="C78" s="20" t="s">
        <v>585</v>
      </c>
      <c r="D78" s="138">
        <v>1990000</v>
      </c>
      <c r="E78" s="20" t="s">
        <v>345</v>
      </c>
      <c r="F78" s="20" t="s">
        <v>463</v>
      </c>
      <c r="G78" s="8" t="str">
        <f t="shared" si="2"/>
        <v>DAVIS WENDY</v>
      </c>
      <c r="H78" s="20" t="str">
        <f t="shared" si="3"/>
        <v>4027</v>
      </c>
    </row>
    <row r="79" spans="1:8" x14ac:dyDescent="0.25">
      <c r="A79" s="8">
        <v>42995.359479166669</v>
      </c>
      <c r="B79" s="20" t="s">
        <v>628</v>
      </c>
      <c r="C79" s="20" t="s">
        <v>676</v>
      </c>
      <c r="D79" s="138">
        <v>2530000</v>
      </c>
      <c r="E79" s="20" t="s">
        <v>630</v>
      </c>
      <c r="F79" s="20" t="s">
        <v>631</v>
      </c>
      <c r="G79" s="8" t="str">
        <f t="shared" si="2"/>
        <v>LALONDE GREGORY</v>
      </c>
      <c r="H79" s="20" t="str">
        <f t="shared" si="3"/>
        <v>4055</v>
      </c>
    </row>
    <row r="80" spans="1:8" x14ac:dyDescent="0.25">
      <c r="A80" s="8">
        <v>42995.361759259256</v>
      </c>
      <c r="B80" s="20" t="s">
        <v>421</v>
      </c>
      <c r="C80" s="20" t="s">
        <v>677</v>
      </c>
      <c r="D80" s="138">
        <v>3040000</v>
      </c>
      <c r="E80" s="20" t="s">
        <v>509</v>
      </c>
      <c r="F80" s="20" t="s">
        <v>510</v>
      </c>
      <c r="G80" s="8" t="str">
        <f t="shared" si="2"/>
        <v>WILLIAMS DONTE</v>
      </c>
      <c r="H80" s="20" t="str">
        <f t="shared" si="3"/>
        <v>4002</v>
      </c>
    </row>
    <row r="81" spans="1:8" x14ac:dyDescent="0.25">
      <c r="A81" s="8">
        <v>42995.370509259257</v>
      </c>
      <c r="B81" s="20" t="s">
        <v>401</v>
      </c>
      <c r="C81" s="20" t="s">
        <v>678</v>
      </c>
      <c r="D81" s="138">
        <v>2010000</v>
      </c>
      <c r="E81" s="20" t="s">
        <v>507</v>
      </c>
      <c r="F81" s="20" t="s">
        <v>508</v>
      </c>
      <c r="G81" s="8" t="str">
        <f t="shared" si="2"/>
        <v>MAELZER KURT</v>
      </c>
      <c r="H81" s="20" t="str">
        <f t="shared" si="3"/>
        <v>4016</v>
      </c>
    </row>
    <row r="82" spans="1:8" x14ac:dyDescent="0.25">
      <c r="A82" s="8">
        <v>42995.370567129627</v>
      </c>
      <c r="B82" s="20" t="s">
        <v>460</v>
      </c>
      <c r="C82" s="20" t="s">
        <v>586</v>
      </c>
      <c r="D82" s="138">
        <v>1100000</v>
      </c>
      <c r="E82" s="20" t="s">
        <v>464</v>
      </c>
      <c r="F82" s="20" t="s">
        <v>465</v>
      </c>
      <c r="G82" s="8" t="str">
        <f t="shared" si="2"/>
        <v>GEBRETEKLE DAGNEW</v>
      </c>
      <c r="H82" s="20" t="str">
        <f t="shared" si="3"/>
        <v>4043</v>
      </c>
    </row>
    <row r="83" spans="1:8" x14ac:dyDescent="0.25">
      <c r="A83" s="8">
        <v>42995.370949074073</v>
      </c>
      <c r="B83" s="20" t="s">
        <v>421</v>
      </c>
      <c r="C83" s="20" t="s">
        <v>677</v>
      </c>
      <c r="D83" s="138">
        <v>3040000</v>
      </c>
      <c r="E83" s="20" t="s">
        <v>509</v>
      </c>
      <c r="F83" s="20" t="s">
        <v>510</v>
      </c>
      <c r="G83" s="8" t="str">
        <f t="shared" si="2"/>
        <v>WILLIAMS DONTE</v>
      </c>
      <c r="H83" s="20" t="str">
        <f t="shared" si="3"/>
        <v>4002</v>
      </c>
    </row>
    <row r="84" spans="1:8" x14ac:dyDescent="0.25">
      <c r="A84" s="8">
        <v>42995.372997685183</v>
      </c>
      <c r="B84" s="20" t="s">
        <v>589</v>
      </c>
      <c r="C84" s="20" t="s">
        <v>679</v>
      </c>
      <c r="D84" s="138">
        <v>2370000</v>
      </c>
      <c r="E84" s="20" t="s">
        <v>466</v>
      </c>
      <c r="F84" s="20" t="s">
        <v>467</v>
      </c>
      <c r="G84" s="8" t="str">
        <f t="shared" si="2"/>
        <v>DELGADO DIANAH</v>
      </c>
      <c r="H84" s="20" t="str">
        <f t="shared" si="3"/>
        <v>4024</v>
      </c>
    </row>
    <row r="85" spans="1:8" x14ac:dyDescent="0.25">
      <c r="A85" s="8">
        <v>42995.384039351855</v>
      </c>
      <c r="B85" s="20" t="s">
        <v>433</v>
      </c>
      <c r="C85" s="20" t="s">
        <v>680</v>
      </c>
      <c r="D85" s="138">
        <v>3090000</v>
      </c>
      <c r="E85" s="20" t="s">
        <v>650</v>
      </c>
      <c r="F85" s="20" t="s">
        <v>651</v>
      </c>
      <c r="G85" s="8" t="str">
        <f t="shared" si="2"/>
        <v>LAMAR NEKESHA</v>
      </c>
      <c r="H85" s="20" t="str">
        <f t="shared" si="3"/>
        <v>4066</v>
      </c>
    </row>
    <row r="86" spans="1:8" x14ac:dyDescent="0.25">
      <c r="A86" s="8">
        <v>42995.392395833333</v>
      </c>
      <c r="B86" s="20" t="s">
        <v>399</v>
      </c>
      <c r="C86" s="20" t="s">
        <v>588</v>
      </c>
      <c r="D86" s="138">
        <v>3120000</v>
      </c>
      <c r="E86" s="20" t="s">
        <v>619</v>
      </c>
      <c r="F86" s="20" t="s">
        <v>620</v>
      </c>
      <c r="G86" s="8" t="str">
        <f t="shared" si="2"/>
        <v>THOMPSON LESTER</v>
      </c>
      <c r="H86" s="20" t="str">
        <f t="shared" si="3"/>
        <v>4059</v>
      </c>
    </row>
    <row r="87" spans="1:8" x14ac:dyDescent="0.25">
      <c r="A87" s="8">
        <v>42995.392465277779</v>
      </c>
      <c r="B87" s="20" t="s">
        <v>578</v>
      </c>
      <c r="C87" s="20" t="s">
        <v>587</v>
      </c>
      <c r="D87" s="138">
        <v>2370000</v>
      </c>
      <c r="E87" s="20" t="s">
        <v>466</v>
      </c>
      <c r="F87" s="20" t="s">
        <v>467</v>
      </c>
      <c r="G87" s="8" t="str">
        <f t="shared" si="2"/>
        <v>DELGADO DIANAH</v>
      </c>
      <c r="H87" s="20" t="str">
        <f t="shared" si="3"/>
        <v>4023</v>
      </c>
    </row>
    <row r="88" spans="1:8" x14ac:dyDescent="0.25">
      <c r="A88" s="8">
        <v>42995.393217592595</v>
      </c>
      <c r="B88" s="20" t="s">
        <v>445</v>
      </c>
      <c r="C88" s="20" t="s">
        <v>681</v>
      </c>
      <c r="D88" s="138">
        <v>1990000</v>
      </c>
      <c r="E88" s="20" t="s">
        <v>345</v>
      </c>
      <c r="F88" s="20" t="s">
        <v>463</v>
      </c>
      <c r="G88" s="8" t="str">
        <f t="shared" si="2"/>
        <v>DAVIS WENDY</v>
      </c>
      <c r="H88" s="20" t="str">
        <f t="shared" si="3"/>
        <v>4028</v>
      </c>
    </row>
    <row r="89" spans="1:8" x14ac:dyDescent="0.25">
      <c r="A89" s="8">
        <v>42995.400185185186</v>
      </c>
      <c r="B89" s="20" t="s">
        <v>499</v>
      </c>
      <c r="C89" s="20" t="s">
        <v>682</v>
      </c>
      <c r="D89" s="138">
        <v>3040000</v>
      </c>
      <c r="E89" s="20" t="s">
        <v>509</v>
      </c>
      <c r="F89" s="20" t="s">
        <v>510</v>
      </c>
      <c r="G89" s="8" t="str">
        <f t="shared" si="2"/>
        <v>WILLIAMS DONTE</v>
      </c>
      <c r="H89" s="20" t="str">
        <f t="shared" si="3"/>
        <v>4001</v>
      </c>
    </row>
    <row r="90" spans="1:8" x14ac:dyDescent="0.25">
      <c r="A90" s="8">
        <v>42995.404062499998</v>
      </c>
      <c r="B90" s="20" t="s">
        <v>591</v>
      </c>
      <c r="C90" s="20" t="s">
        <v>683</v>
      </c>
      <c r="D90" s="138">
        <v>2530000</v>
      </c>
      <c r="E90" s="20" t="s">
        <v>630</v>
      </c>
      <c r="F90" s="20" t="s">
        <v>631</v>
      </c>
      <c r="G90" s="8" t="str">
        <f t="shared" si="2"/>
        <v>LALONDE GREGORY</v>
      </c>
      <c r="H90" s="20" t="str">
        <f t="shared" si="3"/>
        <v>4056</v>
      </c>
    </row>
    <row r="91" spans="1:8" x14ac:dyDescent="0.25">
      <c r="A91" s="8">
        <v>42995.406643518516</v>
      </c>
      <c r="B91" s="20" t="s">
        <v>400</v>
      </c>
      <c r="C91" s="20" t="s">
        <v>684</v>
      </c>
      <c r="D91" s="138">
        <v>2010000</v>
      </c>
      <c r="E91" s="20" t="s">
        <v>507</v>
      </c>
      <c r="F91" s="20" t="s">
        <v>508</v>
      </c>
      <c r="G91" s="8" t="str">
        <f t="shared" si="2"/>
        <v>MAELZER KURT</v>
      </c>
      <c r="H91" s="20" t="str">
        <f t="shared" si="3"/>
        <v>4015</v>
      </c>
    </row>
    <row r="92" spans="1:8" x14ac:dyDescent="0.25">
      <c r="A92" s="8">
        <v>42995.414351851854</v>
      </c>
      <c r="B92" s="20" t="s">
        <v>575</v>
      </c>
      <c r="C92" s="20" t="s">
        <v>685</v>
      </c>
      <c r="D92" s="138">
        <v>1100000</v>
      </c>
      <c r="E92" s="20" t="s">
        <v>464</v>
      </c>
      <c r="F92" s="20" t="s">
        <v>465</v>
      </c>
      <c r="G92" s="8" t="str">
        <f t="shared" si="2"/>
        <v>GEBRETEKLE DAGNEW</v>
      </c>
      <c r="H92" s="20" t="str">
        <f t="shared" si="3"/>
        <v>4044</v>
      </c>
    </row>
    <row r="93" spans="1:8" x14ac:dyDescent="0.25">
      <c r="A93" s="8">
        <v>42995.415682870371</v>
      </c>
      <c r="B93" s="20" t="s">
        <v>589</v>
      </c>
      <c r="C93" s="20" t="s">
        <v>686</v>
      </c>
      <c r="D93" s="138">
        <v>2370000</v>
      </c>
      <c r="E93" s="20" t="s">
        <v>466</v>
      </c>
      <c r="F93" s="20" t="s">
        <v>467</v>
      </c>
      <c r="G93" s="8" t="str">
        <f t="shared" si="2"/>
        <v>DELGADO DIANAH</v>
      </c>
      <c r="H93" s="20" t="str">
        <f t="shared" si="3"/>
        <v>4024</v>
      </c>
    </row>
    <row r="94" spans="1:8" x14ac:dyDescent="0.25">
      <c r="A94" s="8">
        <v>42995.421932870369</v>
      </c>
      <c r="B94" s="20" t="s">
        <v>434</v>
      </c>
      <c r="C94" s="20" t="s">
        <v>687</v>
      </c>
      <c r="D94" s="138">
        <v>3090000</v>
      </c>
      <c r="E94" s="20" t="s">
        <v>650</v>
      </c>
      <c r="F94" s="20" t="s">
        <v>651</v>
      </c>
      <c r="G94" s="8" t="str">
        <f t="shared" si="2"/>
        <v>LAMAR NEKESHA</v>
      </c>
      <c r="H94" s="20" t="str">
        <f t="shared" si="3"/>
        <v>4065</v>
      </c>
    </row>
    <row r="95" spans="1:8" x14ac:dyDescent="0.25">
      <c r="A95" s="8">
        <v>42995.422766203701</v>
      </c>
      <c r="B95" s="20" t="s">
        <v>403</v>
      </c>
      <c r="C95" s="20" t="s">
        <v>688</v>
      </c>
      <c r="D95" s="138">
        <v>2550000</v>
      </c>
      <c r="E95" s="20" t="s">
        <v>511</v>
      </c>
      <c r="F95" s="20" t="s">
        <v>512</v>
      </c>
      <c r="G95" s="8" t="str">
        <f t="shared" si="2"/>
        <v>BADERTSCHER DIANE</v>
      </c>
      <c r="H95" s="20" t="str">
        <f t="shared" si="3"/>
        <v>4060</v>
      </c>
    </row>
    <row r="96" spans="1:8" x14ac:dyDescent="0.25">
      <c r="A96" s="8">
        <v>42995.429293981484</v>
      </c>
      <c r="B96" s="20" t="s">
        <v>446</v>
      </c>
      <c r="C96" s="20" t="s">
        <v>689</v>
      </c>
      <c r="D96" s="138">
        <v>1990000</v>
      </c>
      <c r="E96" s="20" t="s">
        <v>345</v>
      </c>
      <c r="F96" s="20" t="s">
        <v>463</v>
      </c>
      <c r="G96" s="8" t="str">
        <f t="shared" si="2"/>
        <v>DAVIS WENDY</v>
      </c>
      <c r="H96" s="20" t="str">
        <f t="shared" si="3"/>
        <v>4027</v>
      </c>
    </row>
    <row r="97" spans="1:8" x14ac:dyDescent="0.25">
      <c r="A97" s="8">
        <v>42995.433287037034</v>
      </c>
      <c r="B97" s="20" t="s">
        <v>421</v>
      </c>
      <c r="C97" s="20" t="s">
        <v>690</v>
      </c>
      <c r="D97" s="138">
        <v>3040000</v>
      </c>
      <c r="E97" s="20" t="s">
        <v>509</v>
      </c>
      <c r="F97" s="20" t="s">
        <v>510</v>
      </c>
      <c r="G97" s="8" t="str">
        <f t="shared" si="2"/>
        <v>WILLIAMS DONTE</v>
      </c>
      <c r="H97" s="20" t="str">
        <f t="shared" si="3"/>
        <v>4002</v>
      </c>
    </row>
    <row r="98" spans="1:8" x14ac:dyDescent="0.25">
      <c r="A98" s="8">
        <v>42995.43550925926</v>
      </c>
      <c r="B98" s="20" t="s">
        <v>578</v>
      </c>
      <c r="C98" s="20" t="s">
        <v>691</v>
      </c>
      <c r="D98" s="138">
        <v>2470000</v>
      </c>
      <c r="E98" s="20" t="s">
        <v>646</v>
      </c>
      <c r="F98" s="20" t="s">
        <v>647</v>
      </c>
      <c r="G98" s="8" t="str">
        <f t="shared" si="2"/>
        <v>ROMERO CHAD</v>
      </c>
      <c r="H98" s="20" t="str">
        <f t="shared" si="3"/>
        <v>4023</v>
      </c>
    </row>
    <row r="99" spans="1:8" x14ac:dyDescent="0.25">
      <c r="A99" s="8">
        <v>42995.441203703704</v>
      </c>
      <c r="B99" s="20" t="s">
        <v>628</v>
      </c>
      <c r="C99" s="20" t="s">
        <v>692</v>
      </c>
      <c r="D99" s="138">
        <v>2530000</v>
      </c>
      <c r="E99" s="20" t="s">
        <v>630</v>
      </c>
      <c r="F99" s="20" t="s">
        <v>631</v>
      </c>
      <c r="G99" s="8" t="str">
        <f t="shared" si="2"/>
        <v>LALONDE GREGORY</v>
      </c>
      <c r="H99" s="20" t="str">
        <f t="shared" si="3"/>
        <v>4055</v>
      </c>
    </row>
    <row r="100" spans="1:8" x14ac:dyDescent="0.25">
      <c r="A100" s="8">
        <v>42995.442881944444</v>
      </c>
      <c r="B100" s="20" t="s">
        <v>460</v>
      </c>
      <c r="C100" s="20" t="s">
        <v>693</v>
      </c>
      <c r="D100" s="138">
        <v>1100000</v>
      </c>
      <c r="E100" s="20" t="s">
        <v>464</v>
      </c>
      <c r="F100" s="20" t="s">
        <v>465</v>
      </c>
      <c r="G100" s="8" t="str">
        <f t="shared" si="2"/>
        <v>GEBRETEKLE DAGNEW</v>
      </c>
      <c r="H100" s="20" t="str">
        <f t="shared" si="3"/>
        <v>4043</v>
      </c>
    </row>
    <row r="101" spans="1:8" x14ac:dyDescent="0.25">
      <c r="A101" s="8">
        <v>42995.444004629629</v>
      </c>
      <c r="B101" s="20" t="s">
        <v>401</v>
      </c>
      <c r="C101" s="20" t="s">
        <v>694</v>
      </c>
      <c r="D101" s="138">
        <v>2440000</v>
      </c>
      <c r="E101" s="20" t="s">
        <v>472</v>
      </c>
      <c r="F101" s="20" t="s">
        <v>473</v>
      </c>
      <c r="G101" s="8" t="str">
        <f t="shared" si="2"/>
        <v>LOPES KIMBERLY</v>
      </c>
      <c r="H101" s="20" t="str">
        <f t="shared" si="3"/>
        <v>4016</v>
      </c>
    </row>
    <row r="102" spans="1:8" x14ac:dyDescent="0.25">
      <c r="A102" s="8">
        <v>42995.456631944442</v>
      </c>
      <c r="B102" s="20" t="s">
        <v>433</v>
      </c>
      <c r="C102" s="20" t="s">
        <v>695</v>
      </c>
      <c r="D102" s="138">
        <v>3090000</v>
      </c>
      <c r="E102" s="20" t="s">
        <v>650</v>
      </c>
      <c r="F102" s="20" t="s">
        <v>651</v>
      </c>
      <c r="G102" s="8" t="str">
        <f t="shared" si="2"/>
        <v>LAMAR NEKESHA</v>
      </c>
      <c r="H102" s="20" t="str">
        <f t="shared" si="3"/>
        <v>4066</v>
      </c>
    </row>
    <row r="103" spans="1:8" x14ac:dyDescent="0.25">
      <c r="A103" s="8">
        <v>42995.457662037035</v>
      </c>
      <c r="B103" s="20" t="s">
        <v>589</v>
      </c>
      <c r="C103" s="20" t="s">
        <v>590</v>
      </c>
      <c r="D103" s="138">
        <v>2470000</v>
      </c>
      <c r="E103" s="20" t="s">
        <v>646</v>
      </c>
      <c r="F103" s="20" t="s">
        <v>647</v>
      </c>
      <c r="G103" s="8" t="str">
        <f t="shared" si="2"/>
        <v>ROMERO CHAD</v>
      </c>
      <c r="H103" s="20" t="str">
        <f t="shared" si="3"/>
        <v>4024</v>
      </c>
    </row>
    <row r="104" spans="1:8" x14ac:dyDescent="0.25">
      <c r="A104" s="8">
        <v>42995.464166666665</v>
      </c>
      <c r="B104" s="20" t="s">
        <v>399</v>
      </c>
      <c r="C104" s="20" t="s">
        <v>696</v>
      </c>
      <c r="D104" s="138">
        <v>2550000</v>
      </c>
      <c r="E104" s="20" t="s">
        <v>511</v>
      </c>
      <c r="F104" s="20" t="s">
        <v>512</v>
      </c>
      <c r="G104" s="8" t="str">
        <f t="shared" si="2"/>
        <v>BADERTSCHER DIANE</v>
      </c>
      <c r="H104" s="20" t="str">
        <f t="shared" si="3"/>
        <v>4059</v>
      </c>
    </row>
    <row r="105" spans="1:8" x14ac:dyDescent="0.25">
      <c r="A105" s="8">
        <v>42995.464270833334</v>
      </c>
      <c r="B105" s="20" t="s">
        <v>589</v>
      </c>
      <c r="C105" s="20" t="s">
        <v>590</v>
      </c>
      <c r="D105" s="138">
        <v>2470000</v>
      </c>
      <c r="E105" s="20" t="s">
        <v>646</v>
      </c>
      <c r="F105" s="20" t="s">
        <v>647</v>
      </c>
      <c r="G105" s="8" t="str">
        <f t="shared" si="2"/>
        <v>ROMERO CHAD</v>
      </c>
      <c r="H105" s="20" t="str">
        <f t="shared" si="3"/>
        <v>4024</v>
      </c>
    </row>
    <row r="106" spans="1:8" x14ac:dyDescent="0.25">
      <c r="A106" s="8">
        <v>42995.46671296296</v>
      </c>
      <c r="B106" s="20" t="s">
        <v>445</v>
      </c>
      <c r="C106" s="20" t="s">
        <v>697</v>
      </c>
      <c r="D106" s="138">
        <v>920000</v>
      </c>
      <c r="E106" s="20" t="s">
        <v>345</v>
      </c>
      <c r="F106" s="20" t="s">
        <v>191</v>
      </c>
      <c r="G106" s="8" t="str">
        <f t="shared" si="2"/>
        <v>DAVIS MICHAEL</v>
      </c>
      <c r="H106" s="20" t="str">
        <f t="shared" si="3"/>
        <v>4028</v>
      </c>
    </row>
    <row r="107" spans="1:8" x14ac:dyDescent="0.25">
      <c r="A107" s="8">
        <v>42995.472812499997</v>
      </c>
      <c r="B107" s="20" t="s">
        <v>499</v>
      </c>
      <c r="C107" s="20" t="s">
        <v>698</v>
      </c>
      <c r="D107" s="138">
        <v>3040000</v>
      </c>
      <c r="E107" s="20" t="s">
        <v>509</v>
      </c>
      <c r="F107" s="20" t="s">
        <v>510</v>
      </c>
      <c r="G107" s="8" t="str">
        <f t="shared" si="2"/>
        <v>WILLIAMS DONTE</v>
      </c>
      <c r="H107" s="20" t="str">
        <f t="shared" si="3"/>
        <v>4001</v>
      </c>
    </row>
    <row r="108" spans="1:8" x14ac:dyDescent="0.25">
      <c r="A108" s="8">
        <v>42995.475648148145</v>
      </c>
      <c r="B108" s="20" t="s">
        <v>591</v>
      </c>
      <c r="C108" s="20" t="s">
        <v>592</v>
      </c>
      <c r="D108" s="138">
        <v>2630000</v>
      </c>
      <c r="E108" s="20" t="s">
        <v>699</v>
      </c>
      <c r="F108" s="20" t="s">
        <v>700</v>
      </c>
      <c r="G108" s="8" t="str">
        <f t="shared" si="2"/>
        <v>SAFIEF AEIMEN</v>
      </c>
      <c r="H108" s="20" t="str">
        <f t="shared" si="3"/>
        <v>4056</v>
      </c>
    </row>
    <row r="109" spans="1:8" x14ac:dyDescent="0.25">
      <c r="A109" s="8">
        <v>42995.476203703707</v>
      </c>
      <c r="B109" s="20" t="s">
        <v>578</v>
      </c>
      <c r="C109" s="20" t="s">
        <v>701</v>
      </c>
      <c r="D109" s="138">
        <v>2470000</v>
      </c>
      <c r="E109" s="20" t="s">
        <v>646</v>
      </c>
      <c r="F109" s="20" t="s">
        <v>647</v>
      </c>
      <c r="G109" s="8" t="str">
        <f t="shared" si="2"/>
        <v>ROMERO CHAD</v>
      </c>
      <c r="H109" s="20" t="str">
        <f t="shared" si="3"/>
        <v>4023</v>
      </c>
    </row>
    <row r="110" spans="1:8" x14ac:dyDescent="0.25">
      <c r="A110" s="8">
        <v>42995.484178240738</v>
      </c>
      <c r="B110" s="20" t="s">
        <v>575</v>
      </c>
      <c r="C110" s="20" t="s">
        <v>702</v>
      </c>
      <c r="D110" s="138">
        <v>2540000</v>
      </c>
      <c r="E110" s="20" t="s">
        <v>703</v>
      </c>
      <c r="F110" s="20" t="s">
        <v>704</v>
      </c>
      <c r="G110" s="8" t="str">
        <f t="shared" si="2"/>
        <v>MCREYNOLDS KYLE</v>
      </c>
      <c r="H110" s="20" t="str">
        <f t="shared" si="3"/>
        <v>4044</v>
      </c>
    </row>
    <row r="111" spans="1:8" x14ac:dyDescent="0.25">
      <c r="A111" s="8">
        <v>42995.48510416667</v>
      </c>
      <c r="B111" s="20" t="s">
        <v>400</v>
      </c>
      <c r="C111" s="20" t="s">
        <v>705</v>
      </c>
      <c r="D111" s="138">
        <v>2440000</v>
      </c>
      <c r="E111" s="20" t="s">
        <v>472</v>
      </c>
      <c r="F111" s="20" t="s">
        <v>473</v>
      </c>
      <c r="G111" s="8" t="str">
        <f t="shared" si="2"/>
        <v>LOPES KIMBERLY</v>
      </c>
      <c r="H111" s="20" t="str">
        <f t="shared" si="3"/>
        <v>4015</v>
      </c>
    </row>
    <row r="112" spans="1:8" x14ac:dyDescent="0.25">
      <c r="A112" s="8">
        <v>42995.495740740742</v>
      </c>
      <c r="B112" s="20" t="s">
        <v>434</v>
      </c>
      <c r="C112" s="20" t="s">
        <v>706</v>
      </c>
      <c r="D112" s="138">
        <v>3090000</v>
      </c>
      <c r="E112" s="20" t="s">
        <v>650</v>
      </c>
      <c r="F112" s="20" t="s">
        <v>651</v>
      </c>
      <c r="G112" s="8" t="str">
        <f t="shared" si="2"/>
        <v>LAMAR NEKESHA</v>
      </c>
      <c r="H112" s="20" t="str">
        <f t="shared" si="3"/>
        <v>4065</v>
      </c>
    </row>
    <row r="113" spans="1:8" x14ac:dyDescent="0.25">
      <c r="A113" s="8">
        <v>42995.497071759259</v>
      </c>
      <c r="B113" s="20" t="s">
        <v>403</v>
      </c>
      <c r="C113" s="20" t="s">
        <v>707</v>
      </c>
      <c r="D113" s="138">
        <v>2550000</v>
      </c>
      <c r="E113" s="20" t="s">
        <v>511</v>
      </c>
      <c r="F113" s="20" t="s">
        <v>512</v>
      </c>
      <c r="G113" s="8" t="str">
        <f t="shared" si="2"/>
        <v>BADERTSCHER DIANE</v>
      </c>
      <c r="H113" s="20" t="str">
        <f t="shared" si="3"/>
        <v>4060</v>
      </c>
    </row>
    <row r="114" spans="1:8" x14ac:dyDescent="0.25">
      <c r="A114" s="8">
        <v>42995.498472222222</v>
      </c>
      <c r="B114" s="20" t="s">
        <v>589</v>
      </c>
      <c r="C114" s="20" t="s">
        <v>593</v>
      </c>
      <c r="D114" s="138">
        <v>2470000</v>
      </c>
      <c r="E114" s="20" t="s">
        <v>646</v>
      </c>
      <c r="F114" s="20" t="s">
        <v>647</v>
      </c>
      <c r="G114" s="8" t="str">
        <f t="shared" si="2"/>
        <v>ROMERO CHAD</v>
      </c>
      <c r="H114" s="20" t="str">
        <f t="shared" si="3"/>
        <v>4024</v>
      </c>
    </row>
    <row r="115" spans="1:8" x14ac:dyDescent="0.25">
      <c r="A115" s="8">
        <v>42995.505462962959</v>
      </c>
      <c r="B115" s="20" t="s">
        <v>421</v>
      </c>
      <c r="C115" s="20" t="s">
        <v>708</v>
      </c>
      <c r="D115" s="138">
        <v>2600000</v>
      </c>
      <c r="E115" s="20" t="s">
        <v>709</v>
      </c>
      <c r="F115" s="20" t="s">
        <v>471</v>
      </c>
      <c r="G115" s="8" t="str">
        <f t="shared" si="2"/>
        <v>DAVIDSON DAVID</v>
      </c>
      <c r="H115" s="20" t="str">
        <f t="shared" si="3"/>
        <v>4002</v>
      </c>
    </row>
    <row r="116" spans="1:8" x14ac:dyDescent="0.25">
      <c r="A116" s="8">
        <v>42995.507337962961</v>
      </c>
      <c r="B116" s="20" t="s">
        <v>446</v>
      </c>
      <c r="C116" s="20" t="s">
        <v>710</v>
      </c>
      <c r="D116" s="138">
        <v>920000</v>
      </c>
      <c r="E116" s="20" t="s">
        <v>345</v>
      </c>
      <c r="F116" s="20" t="s">
        <v>191</v>
      </c>
      <c r="G116" s="8" t="str">
        <f t="shared" si="2"/>
        <v>DAVIS MICHAEL</v>
      </c>
      <c r="H116" s="20" t="str">
        <f t="shared" si="3"/>
        <v>4027</v>
      </c>
    </row>
    <row r="117" spans="1:8" x14ac:dyDescent="0.25">
      <c r="A117" s="8">
        <v>42995.507928240739</v>
      </c>
      <c r="B117" s="20" t="s">
        <v>589</v>
      </c>
      <c r="C117" s="20" t="s">
        <v>593</v>
      </c>
      <c r="D117" s="138">
        <v>2470000</v>
      </c>
      <c r="E117" s="20" t="s">
        <v>646</v>
      </c>
      <c r="F117" s="20" t="s">
        <v>647</v>
      </c>
      <c r="G117" s="8" t="str">
        <f t="shared" si="2"/>
        <v>ROMERO CHAD</v>
      </c>
      <c r="H117" s="20" t="str">
        <f t="shared" si="3"/>
        <v>4024</v>
      </c>
    </row>
    <row r="118" spans="1:8" x14ac:dyDescent="0.25">
      <c r="A118" s="8">
        <v>42995.511979166666</v>
      </c>
      <c r="B118" s="20" t="s">
        <v>628</v>
      </c>
      <c r="C118" s="20" t="s">
        <v>711</v>
      </c>
      <c r="D118" s="138">
        <v>2630000</v>
      </c>
      <c r="E118" s="20" t="s">
        <v>699</v>
      </c>
      <c r="F118" s="20" t="s">
        <v>700</v>
      </c>
      <c r="G118" s="8" t="str">
        <f t="shared" si="2"/>
        <v>SAFIEF AEIMEN</v>
      </c>
      <c r="H118" s="20" t="str">
        <f t="shared" si="3"/>
        <v>4055</v>
      </c>
    </row>
    <row r="119" spans="1:8" x14ac:dyDescent="0.25">
      <c r="A119" s="8">
        <v>42995.515810185185</v>
      </c>
      <c r="B119" s="20" t="s">
        <v>460</v>
      </c>
      <c r="C119" s="20" t="s">
        <v>712</v>
      </c>
      <c r="D119" s="138">
        <v>2540000</v>
      </c>
      <c r="E119" s="20" t="s">
        <v>703</v>
      </c>
      <c r="F119" s="20" t="s">
        <v>704</v>
      </c>
      <c r="G119" s="8" t="str">
        <f t="shared" si="2"/>
        <v>MCREYNOLDS KYLE</v>
      </c>
      <c r="H119" s="20" t="str">
        <f t="shared" si="3"/>
        <v>4043</v>
      </c>
    </row>
    <row r="120" spans="1:8" x14ac:dyDescent="0.25">
      <c r="A120" s="8">
        <v>42995.516539351855</v>
      </c>
      <c r="B120" s="20" t="s">
        <v>401</v>
      </c>
      <c r="C120" s="20" t="s">
        <v>713</v>
      </c>
      <c r="D120" s="138">
        <v>2440000</v>
      </c>
      <c r="E120" s="20" t="s">
        <v>472</v>
      </c>
      <c r="F120" s="20" t="s">
        <v>473</v>
      </c>
      <c r="G120" s="8" t="str">
        <f t="shared" si="2"/>
        <v>LOPES KIMBERLY</v>
      </c>
      <c r="H120" s="20" t="str">
        <f t="shared" si="3"/>
        <v>4016</v>
      </c>
    </row>
    <row r="121" spans="1:8" x14ac:dyDescent="0.25">
      <c r="A121" s="8">
        <v>42995.519074074073</v>
      </c>
      <c r="B121" s="20" t="s">
        <v>578</v>
      </c>
      <c r="C121" s="20" t="s">
        <v>714</v>
      </c>
      <c r="D121" s="138">
        <v>2470000</v>
      </c>
      <c r="E121" s="20" t="s">
        <v>646</v>
      </c>
      <c r="F121" s="20" t="s">
        <v>647</v>
      </c>
      <c r="G121" s="8" t="str">
        <f t="shared" si="2"/>
        <v>ROMERO CHAD</v>
      </c>
      <c r="H121" s="20" t="str">
        <f t="shared" si="3"/>
        <v>4023</v>
      </c>
    </row>
    <row r="122" spans="1:8" x14ac:dyDescent="0.25">
      <c r="A122" s="8">
        <v>42995.527870370373</v>
      </c>
      <c r="B122" s="25" t="s">
        <v>433</v>
      </c>
      <c r="C122" s="20" t="s">
        <v>715</v>
      </c>
      <c r="D122" s="138">
        <v>2230000</v>
      </c>
      <c r="E122" s="20" t="s">
        <v>716</v>
      </c>
      <c r="F122" s="20" t="s">
        <v>191</v>
      </c>
      <c r="G122" s="8" t="str">
        <f t="shared" si="2"/>
        <v>SMITH MICHAEL</v>
      </c>
      <c r="H122" s="20" t="str">
        <f t="shared" si="3"/>
        <v>4066</v>
      </c>
    </row>
    <row r="123" spans="1:8" x14ac:dyDescent="0.25">
      <c r="A123" s="8">
        <v>42995.529745370368</v>
      </c>
      <c r="B123" s="20" t="s">
        <v>399</v>
      </c>
      <c r="C123" s="20" t="s">
        <v>594</v>
      </c>
      <c r="D123" s="138">
        <v>2550000</v>
      </c>
      <c r="E123" s="20" t="s">
        <v>511</v>
      </c>
      <c r="F123" s="20" t="s">
        <v>512</v>
      </c>
      <c r="G123" s="8" t="str">
        <f t="shared" si="2"/>
        <v>BADERTSCHER DIANE</v>
      </c>
      <c r="H123" s="20" t="str">
        <f t="shared" si="3"/>
        <v>4059</v>
      </c>
    </row>
    <row r="124" spans="1:8" x14ac:dyDescent="0.25">
      <c r="A124" s="8">
        <v>42995.538449074076</v>
      </c>
      <c r="B124" s="20" t="s">
        <v>499</v>
      </c>
      <c r="C124" s="20" t="s">
        <v>717</v>
      </c>
      <c r="D124" s="138">
        <v>2600000</v>
      </c>
      <c r="E124" s="20" t="s">
        <v>709</v>
      </c>
      <c r="F124" s="20" t="s">
        <v>471</v>
      </c>
      <c r="G124" s="8" t="str">
        <f t="shared" si="2"/>
        <v>DAVIDSON DAVID</v>
      </c>
      <c r="H124" s="20" t="str">
        <f t="shared" si="3"/>
        <v>4001</v>
      </c>
    </row>
    <row r="125" spans="1:8" x14ac:dyDescent="0.25">
      <c r="A125" s="8">
        <v>42995.540659722225</v>
      </c>
      <c r="B125" s="20" t="s">
        <v>589</v>
      </c>
      <c r="C125" s="20" t="s">
        <v>718</v>
      </c>
      <c r="D125" s="138">
        <v>2470000</v>
      </c>
      <c r="E125" s="20" t="s">
        <v>646</v>
      </c>
      <c r="F125" s="20" t="s">
        <v>647</v>
      </c>
      <c r="G125" s="8" t="str">
        <f t="shared" si="2"/>
        <v>ROMERO CHAD</v>
      </c>
      <c r="H125" s="20" t="str">
        <f t="shared" si="3"/>
        <v>4024</v>
      </c>
    </row>
    <row r="126" spans="1:8" x14ac:dyDescent="0.25">
      <c r="A126" s="8">
        <v>42995.541192129633</v>
      </c>
      <c r="B126" s="20" t="s">
        <v>445</v>
      </c>
      <c r="C126" s="20" t="s">
        <v>719</v>
      </c>
      <c r="D126" s="138">
        <v>920000</v>
      </c>
      <c r="E126" s="20" t="s">
        <v>345</v>
      </c>
      <c r="F126" s="20" t="s">
        <v>191</v>
      </c>
      <c r="G126" s="8" t="str">
        <f t="shared" si="2"/>
        <v>DAVIS MICHAEL</v>
      </c>
      <c r="H126" s="20" t="str">
        <f t="shared" si="3"/>
        <v>4028</v>
      </c>
    </row>
    <row r="127" spans="1:8" x14ac:dyDescent="0.25">
      <c r="A127" s="8">
        <v>42995.549259259256</v>
      </c>
      <c r="B127" s="20" t="s">
        <v>591</v>
      </c>
      <c r="C127" s="20" t="s">
        <v>720</v>
      </c>
      <c r="D127" s="138">
        <v>2630000</v>
      </c>
      <c r="E127" s="20" t="s">
        <v>699</v>
      </c>
      <c r="F127" s="20" t="s">
        <v>700</v>
      </c>
      <c r="G127" s="8" t="str">
        <f t="shared" si="2"/>
        <v>SAFIEF AEIMEN</v>
      </c>
      <c r="H127" s="20" t="str">
        <f t="shared" si="3"/>
        <v>4056</v>
      </c>
    </row>
    <row r="128" spans="1:8" x14ac:dyDescent="0.25">
      <c r="A128" s="8">
        <v>42995.553564814814</v>
      </c>
      <c r="B128" s="20" t="s">
        <v>400</v>
      </c>
      <c r="C128" s="20" t="s">
        <v>721</v>
      </c>
      <c r="D128" s="138">
        <v>2440000</v>
      </c>
      <c r="E128" s="20" t="s">
        <v>472</v>
      </c>
      <c r="F128" s="20" t="s">
        <v>473</v>
      </c>
      <c r="G128" s="8" t="str">
        <f t="shared" si="2"/>
        <v>LOPES KIMBERLY</v>
      </c>
      <c r="H128" s="20" t="str">
        <f t="shared" si="3"/>
        <v>4015</v>
      </c>
    </row>
    <row r="129" spans="1:8" x14ac:dyDescent="0.25">
      <c r="A129" s="8">
        <v>42995.557974537034</v>
      </c>
      <c r="B129" s="20" t="s">
        <v>575</v>
      </c>
      <c r="C129" s="20" t="s">
        <v>722</v>
      </c>
      <c r="D129" s="138">
        <v>2540000</v>
      </c>
      <c r="E129" s="20" t="s">
        <v>703</v>
      </c>
      <c r="F129" s="20" t="s">
        <v>704</v>
      </c>
      <c r="G129" s="8" t="str">
        <f t="shared" si="2"/>
        <v>MCREYNOLDS KYLE</v>
      </c>
      <c r="H129" s="20" t="str">
        <f t="shared" si="3"/>
        <v>4044</v>
      </c>
    </row>
    <row r="130" spans="1:8" x14ac:dyDescent="0.25">
      <c r="A130" s="8">
        <v>42995.559236111112</v>
      </c>
      <c r="B130" s="20" t="s">
        <v>578</v>
      </c>
      <c r="C130" s="20" t="s">
        <v>723</v>
      </c>
      <c r="D130" s="138">
        <v>2470000</v>
      </c>
      <c r="E130" s="20" t="s">
        <v>646</v>
      </c>
      <c r="F130" s="20" t="s">
        <v>647</v>
      </c>
      <c r="G130" s="8" t="str">
        <f t="shared" si="2"/>
        <v>ROMERO CHAD</v>
      </c>
      <c r="H130" s="20" t="str">
        <f t="shared" si="3"/>
        <v>4023</v>
      </c>
    </row>
    <row r="131" spans="1:8" x14ac:dyDescent="0.25">
      <c r="A131" s="8">
        <v>42995.561828703707</v>
      </c>
      <c r="B131" s="20" t="s">
        <v>578</v>
      </c>
      <c r="C131" s="20" t="s">
        <v>723</v>
      </c>
      <c r="D131" s="138">
        <v>2470000</v>
      </c>
      <c r="E131" s="20" t="s">
        <v>646</v>
      </c>
      <c r="F131" s="20" t="s">
        <v>647</v>
      </c>
      <c r="G131" s="8" t="str">
        <f t="shared" ref="G131:G194" si="4">E131&amp;" "&amp;F131</f>
        <v>ROMERO CHAD</v>
      </c>
      <c r="H131" s="20" t="str">
        <f t="shared" ref="H131:H194" si="5">MID(B131,13,4)</f>
        <v>4023</v>
      </c>
    </row>
    <row r="132" spans="1:8" x14ac:dyDescent="0.25">
      <c r="A132" s="8">
        <v>42995.564328703702</v>
      </c>
      <c r="B132" s="20" t="s">
        <v>434</v>
      </c>
      <c r="C132" s="20" t="s">
        <v>724</v>
      </c>
      <c r="D132" s="138">
        <v>2230000</v>
      </c>
      <c r="E132" s="20" t="s">
        <v>716</v>
      </c>
      <c r="F132" s="20" t="s">
        <v>191</v>
      </c>
      <c r="G132" s="8" t="str">
        <f t="shared" si="4"/>
        <v>SMITH MICHAEL</v>
      </c>
      <c r="H132" s="20" t="str">
        <f t="shared" si="5"/>
        <v>4065</v>
      </c>
    </row>
    <row r="133" spans="1:8" x14ac:dyDescent="0.25">
      <c r="A133" s="8">
        <v>42995.569988425923</v>
      </c>
      <c r="B133" s="20" t="s">
        <v>403</v>
      </c>
      <c r="C133" s="20" t="s">
        <v>725</v>
      </c>
      <c r="D133" s="138">
        <v>2550000</v>
      </c>
      <c r="E133" s="20" t="s">
        <v>511</v>
      </c>
      <c r="F133" s="20" t="s">
        <v>512</v>
      </c>
      <c r="G133" s="8" t="str">
        <f t="shared" si="4"/>
        <v>BADERTSCHER DIANE</v>
      </c>
      <c r="H133" s="20" t="str">
        <f t="shared" si="5"/>
        <v>4060</v>
      </c>
    </row>
    <row r="134" spans="1:8" x14ac:dyDescent="0.25">
      <c r="A134" s="8">
        <v>42995.578981481478</v>
      </c>
      <c r="B134" s="20" t="s">
        <v>421</v>
      </c>
      <c r="C134" s="20" t="s">
        <v>726</v>
      </c>
      <c r="D134" s="138">
        <v>2600000</v>
      </c>
      <c r="E134" s="20" t="s">
        <v>709</v>
      </c>
      <c r="F134" s="20" t="s">
        <v>471</v>
      </c>
      <c r="G134" s="8" t="str">
        <f t="shared" si="4"/>
        <v>DAVIDSON DAVID</v>
      </c>
      <c r="H134" s="20" t="str">
        <f t="shared" si="5"/>
        <v>4002</v>
      </c>
    </row>
    <row r="135" spans="1:8" x14ac:dyDescent="0.25">
      <c r="A135" s="8">
        <v>42995.580243055556</v>
      </c>
      <c r="B135" s="20" t="s">
        <v>446</v>
      </c>
      <c r="C135" s="20" t="s">
        <v>727</v>
      </c>
      <c r="D135" s="138">
        <v>920000</v>
      </c>
      <c r="E135" s="20" t="s">
        <v>345</v>
      </c>
      <c r="F135" s="20" t="s">
        <v>191</v>
      </c>
      <c r="G135" s="8" t="str">
        <f t="shared" si="4"/>
        <v>DAVIS MICHAEL</v>
      </c>
      <c r="H135" s="20" t="str">
        <f t="shared" si="5"/>
        <v>4027</v>
      </c>
    </row>
    <row r="136" spans="1:8" x14ac:dyDescent="0.25">
      <c r="A136" s="8">
        <v>42995.581087962964</v>
      </c>
      <c r="B136" s="20" t="s">
        <v>628</v>
      </c>
      <c r="C136" s="20" t="s">
        <v>728</v>
      </c>
      <c r="D136" s="138">
        <v>2630000</v>
      </c>
      <c r="E136" s="20" t="s">
        <v>699</v>
      </c>
      <c r="F136" s="20" t="s">
        <v>700</v>
      </c>
      <c r="G136" s="8" t="str">
        <f t="shared" si="4"/>
        <v>SAFIEF AEIMEN</v>
      </c>
      <c r="H136" s="20" t="str">
        <f t="shared" si="5"/>
        <v>4055</v>
      </c>
    </row>
    <row r="137" spans="1:8" x14ac:dyDescent="0.25">
      <c r="A137" s="8">
        <v>42995.584432870368</v>
      </c>
      <c r="B137" s="20" t="s">
        <v>589</v>
      </c>
      <c r="C137" s="20" t="s">
        <v>595</v>
      </c>
      <c r="D137" s="138">
        <v>2420000</v>
      </c>
      <c r="E137" s="20" t="s">
        <v>468</v>
      </c>
      <c r="F137" s="20" t="s">
        <v>469</v>
      </c>
      <c r="G137" s="8" t="str">
        <f t="shared" si="4"/>
        <v>HOLCOMB KAMDEN</v>
      </c>
      <c r="H137" s="20" t="str">
        <f t="shared" si="5"/>
        <v>4024</v>
      </c>
    </row>
    <row r="138" spans="1:8" x14ac:dyDescent="0.25">
      <c r="A138" s="8">
        <v>42995.588796296295</v>
      </c>
      <c r="B138" s="20" t="s">
        <v>401</v>
      </c>
      <c r="C138" s="20" t="s">
        <v>729</v>
      </c>
      <c r="D138" s="138">
        <v>2440000</v>
      </c>
      <c r="E138" s="20" t="s">
        <v>472</v>
      </c>
      <c r="F138" s="20" t="s">
        <v>473</v>
      </c>
      <c r="G138" s="8" t="str">
        <f t="shared" si="4"/>
        <v>LOPES KIMBERLY</v>
      </c>
      <c r="H138" s="20" t="str">
        <f t="shared" si="5"/>
        <v>4016</v>
      </c>
    </row>
    <row r="139" spans="1:8" x14ac:dyDescent="0.25">
      <c r="A139" s="8">
        <v>42995.595856481479</v>
      </c>
      <c r="B139" s="20" t="s">
        <v>460</v>
      </c>
      <c r="C139" s="20" t="s">
        <v>730</v>
      </c>
      <c r="D139" s="138">
        <v>2540000</v>
      </c>
      <c r="E139" s="20" t="s">
        <v>703</v>
      </c>
      <c r="F139" s="20" t="s">
        <v>704</v>
      </c>
      <c r="G139" s="8" t="str">
        <f t="shared" si="4"/>
        <v>MCREYNOLDS KYLE</v>
      </c>
      <c r="H139" s="20" t="str">
        <f t="shared" si="5"/>
        <v>4043</v>
      </c>
    </row>
    <row r="140" spans="1:8" x14ac:dyDescent="0.25">
      <c r="A140" s="8">
        <v>42995.600069444445</v>
      </c>
      <c r="B140" s="20" t="s">
        <v>433</v>
      </c>
      <c r="C140" s="20" t="s">
        <v>731</v>
      </c>
      <c r="D140" s="138">
        <v>2230000</v>
      </c>
      <c r="E140" s="20" t="s">
        <v>716</v>
      </c>
      <c r="F140" s="20" t="s">
        <v>191</v>
      </c>
      <c r="G140" s="8" t="str">
        <f t="shared" si="4"/>
        <v>SMITH MICHAEL</v>
      </c>
      <c r="H140" s="20" t="str">
        <f t="shared" si="5"/>
        <v>4066</v>
      </c>
    </row>
    <row r="141" spans="1:8" x14ac:dyDescent="0.25">
      <c r="A141" s="8">
        <v>42995.608935185184</v>
      </c>
      <c r="B141" s="20" t="s">
        <v>399</v>
      </c>
      <c r="C141" s="20" t="s">
        <v>597</v>
      </c>
      <c r="D141" s="138">
        <v>2550000</v>
      </c>
      <c r="E141" s="20" t="s">
        <v>511</v>
      </c>
      <c r="F141" s="20" t="s">
        <v>512</v>
      </c>
      <c r="G141" s="8" t="str">
        <f t="shared" si="4"/>
        <v>BADERTSCHER DIANE</v>
      </c>
      <c r="H141" s="20" t="str">
        <f t="shared" si="5"/>
        <v>4059</v>
      </c>
    </row>
    <row r="142" spans="1:8" x14ac:dyDescent="0.25">
      <c r="A142" s="8">
        <v>42995.609340277777</v>
      </c>
      <c r="B142" s="20" t="s">
        <v>578</v>
      </c>
      <c r="C142" s="20" t="s">
        <v>596</v>
      </c>
      <c r="D142" s="138">
        <v>2420000</v>
      </c>
      <c r="E142" s="20" t="s">
        <v>468</v>
      </c>
      <c r="F142" s="20" t="s">
        <v>469</v>
      </c>
      <c r="G142" s="8" t="str">
        <f t="shared" si="4"/>
        <v>HOLCOMB KAMDEN</v>
      </c>
      <c r="H142" s="20" t="str">
        <f t="shared" si="5"/>
        <v>4023</v>
      </c>
    </row>
    <row r="143" spans="1:8" x14ac:dyDescent="0.25">
      <c r="A143" s="8">
        <v>42995.610115740739</v>
      </c>
      <c r="B143" s="20" t="s">
        <v>499</v>
      </c>
      <c r="C143" s="20" t="s">
        <v>732</v>
      </c>
      <c r="D143" s="138">
        <v>2600000</v>
      </c>
      <c r="E143" s="20" t="s">
        <v>709</v>
      </c>
      <c r="F143" s="20" t="s">
        <v>471</v>
      </c>
      <c r="G143" s="8" t="str">
        <f t="shared" si="4"/>
        <v>DAVIDSON DAVID</v>
      </c>
      <c r="H143" s="20" t="str">
        <f t="shared" si="5"/>
        <v>4001</v>
      </c>
    </row>
    <row r="144" spans="1:8" x14ac:dyDescent="0.25">
      <c r="A144" s="8">
        <v>42995.613761574074</v>
      </c>
      <c r="B144" s="20" t="s">
        <v>445</v>
      </c>
      <c r="C144" s="20" t="s">
        <v>733</v>
      </c>
      <c r="D144" s="138">
        <v>920000</v>
      </c>
      <c r="E144" s="20" t="s">
        <v>345</v>
      </c>
      <c r="F144" s="20" t="s">
        <v>191</v>
      </c>
      <c r="G144" s="8" t="str">
        <f t="shared" si="4"/>
        <v>DAVIS MICHAEL</v>
      </c>
      <c r="H144" s="20" t="str">
        <f t="shared" si="5"/>
        <v>4028</v>
      </c>
    </row>
    <row r="145" spans="1:8" x14ac:dyDescent="0.25">
      <c r="A145" s="8">
        <v>42995.62295138889</v>
      </c>
      <c r="B145" s="20" t="s">
        <v>591</v>
      </c>
      <c r="C145" s="20" t="s">
        <v>734</v>
      </c>
      <c r="D145" s="138">
        <v>2630000</v>
      </c>
      <c r="E145" s="20" t="s">
        <v>699</v>
      </c>
      <c r="F145" s="20" t="s">
        <v>700</v>
      </c>
      <c r="G145" s="8" t="str">
        <f t="shared" si="4"/>
        <v>SAFIEF AEIMEN</v>
      </c>
      <c r="H145" s="20" t="str">
        <f t="shared" si="5"/>
        <v>4056</v>
      </c>
    </row>
    <row r="146" spans="1:8" x14ac:dyDescent="0.25">
      <c r="A146" s="8">
        <v>42995.626712962963</v>
      </c>
      <c r="B146" s="20" t="s">
        <v>589</v>
      </c>
      <c r="C146" s="20" t="s">
        <v>735</v>
      </c>
      <c r="D146" s="138">
        <v>2420000</v>
      </c>
      <c r="E146" s="20" t="s">
        <v>468</v>
      </c>
      <c r="F146" s="20" t="s">
        <v>469</v>
      </c>
      <c r="G146" s="8" t="str">
        <f t="shared" si="4"/>
        <v>HOLCOMB KAMDEN</v>
      </c>
      <c r="H146" s="20" t="str">
        <f t="shared" si="5"/>
        <v>4024</v>
      </c>
    </row>
    <row r="147" spans="1:8" x14ac:dyDescent="0.25">
      <c r="A147" s="8">
        <v>42995.628923611112</v>
      </c>
      <c r="B147" s="20" t="s">
        <v>400</v>
      </c>
      <c r="C147" s="20" t="s">
        <v>736</v>
      </c>
      <c r="D147" s="138">
        <v>2440000</v>
      </c>
      <c r="E147" s="20" t="s">
        <v>472</v>
      </c>
      <c r="F147" s="20" t="s">
        <v>473</v>
      </c>
      <c r="G147" s="8" t="str">
        <f t="shared" si="4"/>
        <v>LOPES KIMBERLY</v>
      </c>
      <c r="H147" s="20" t="str">
        <f t="shared" si="5"/>
        <v>4015</v>
      </c>
    </row>
    <row r="148" spans="1:8" x14ac:dyDescent="0.25">
      <c r="A148" s="8">
        <v>42995.631076388891</v>
      </c>
      <c r="B148" s="20" t="s">
        <v>399</v>
      </c>
      <c r="C148" s="20" t="s">
        <v>597</v>
      </c>
      <c r="D148" s="138">
        <v>2550000</v>
      </c>
      <c r="E148" s="20" t="s">
        <v>511</v>
      </c>
      <c r="F148" s="20" t="s">
        <v>512</v>
      </c>
      <c r="G148" s="8" t="str">
        <f t="shared" si="4"/>
        <v>BADERTSCHER DIANE</v>
      </c>
      <c r="H148" s="20" t="str">
        <f t="shared" si="5"/>
        <v>4059</v>
      </c>
    </row>
    <row r="149" spans="1:8" x14ac:dyDescent="0.25">
      <c r="A149" s="8">
        <v>42995.631215277775</v>
      </c>
      <c r="B149" s="20" t="s">
        <v>575</v>
      </c>
      <c r="C149" s="20" t="s">
        <v>737</v>
      </c>
      <c r="D149" s="138">
        <v>2540000</v>
      </c>
      <c r="E149" s="20" t="s">
        <v>703</v>
      </c>
      <c r="F149" s="20" t="s">
        <v>704</v>
      </c>
      <c r="G149" s="8" t="str">
        <f t="shared" si="4"/>
        <v>MCREYNOLDS KYLE</v>
      </c>
      <c r="H149" s="20" t="str">
        <f t="shared" si="5"/>
        <v>4044</v>
      </c>
    </row>
    <row r="150" spans="1:8" x14ac:dyDescent="0.25">
      <c r="A150" s="8">
        <v>42995.636250000003</v>
      </c>
      <c r="B150" s="20" t="s">
        <v>434</v>
      </c>
      <c r="C150" s="20" t="s">
        <v>738</v>
      </c>
      <c r="D150" s="138">
        <v>2230000</v>
      </c>
      <c r="E150" s="20" t="s">
        <v>716</v>
      </c>
      <c r="F150" s="20" t="s">
        <v>191</v>
      </c>
      <c r="G150" s="8" t="str">
        <f t="shared" si="4"/>
        <v>SMITH MICHAEL</v>
      </c>
      <c r="H150" s="20" t="str">
        <f t="shared" si="5"/>
        <v>4065</v>
      </c>
    </row>
    <row r="151" spans="1:8" x14ac:dyDescent="0.25">
      <c r="A151" s="8">
        <v>42995.645972222221</v>
      </c>
      <c r="B151" s="20" t="s">
        <v>403</v>
      </c>
      <c r="C151" s="20" t="s">
        <v>739</v>
      </c>
      <c r="D151" s="138">
        <v>2550000</v>
      </c>
      <c r="E151" s="20" t="s">
        <v>511</v>
      </c>
      <c r="F151" s="20" t="s">
        <v>512</v>
      </c>
      <c r="G151" s="8" t="str">
        <f t="shared" si="4"/>
        <v>BADERTSCHER DIANE</v>
      </c>
      <c r="H151" s="20" t="str">
        <f t="shared" si="5"/>
        <v>4060</v>
      </c>
    </row>
    <row r="152" spans="1:8" x14ac:dyDescent="0.25">
      <c r="A152" s="8">
        <v>42995.650277777779</v>
      </c>
      <c r="B152" s="20" t="s">
        <v>578</v>
      </c>
      <c r="C152" s="20" t="s">
        <v>740</v>
      </c>
      <c r="D152" s="138">
        <v>2420000</v>
      </c>
      <c r="E152" s="20" t="s">
        <v>468</v>
      </c>
      <c r="F152" s="20" t="s">
        <v>469</v>
      </c>
      <c r="G152" s="8" t="str">
        <f t="shared" si="4"/>
        <v>HOLCOMB KAMDEN</v>
      </c>
      <c r="H152" s="20" t="str">
        <f t="shared" si="5"/>
        <v>4023</v>
      </c>
    </row>
    <row r="153" spans="1:8" x14ac:dyDescent="0.25">
      <c r="A153" s="8">
        <v>42995.652291666665</v>
      </c>
      <c r="B153" s="20" t="s">
        <v>446</v>
      </c>
      <c r="C153" s="20" t="s">
        <v>741</v>
      </c>
      <c r="D153" s="138">
        <v>920000</v>
      </c>
      <c r="E153" s="20" t="s">
        <v>345</v>
      </c>
      <c r="F153" s="20" t="s">
        <v>191</v>
      </c>
      <c r="G153" s="8" t="str">
        <f t="shared" si="4"/>
        <v>DAVIS MICHAEL</v>
      </c>
      <c r="H153" s="20" t="str">
        <f t="shared" si="5"/>
        <v>4027</v>
      </c>
    </row>
    <row r="154" spans="1:8" x14ac:dyDescent="0.25">
      <c r="A154" s="8">
        <v>42995.652777777781</v>
      </c>
      <c r="B154" s="20" t="s">
        <v>421</v>
      </c>
      <c r="C154" s="20" t="s">
        <v>742</v>
      </c>
      <c r="D154" s="138">
        <v>2600000</v>
      </c>
      <c r="E154" s="20" t="s">
        <v>709</v>
      </c>
      <c r="F154" s="20" t="s">
        <v>471</v>
      </c>
      <c r="G154" s="8" t="str">
        <f t="shared" si="4"/>
        <v>DAVIDSON DAVID</v>
      </c>
      <c r="H154" s="20" t="str">
        <f t="shared" si="5"/>
        <v>4002</v>
      </c>
    </row>
    <row r="155" spans="1:8" x14ac:dyDescent="0.25">
      <c r="A155" s="8">
        <v>42995.659467592595</v>
      </c>
      <c r="B155" s="20" t="s">
        <v>628</v>
      </c>
      <c r="C155" s="20" t="s">
        <v>743</v>
      </c>
      <c r="D155" s="138">
        <v>2630000</v>
      </c>
      <c r="E155" s="20" t="s">
        <v>699</v>
      </c>
      <c r="F155" s="20" t="s">
        <v>700</v>
      </c>
      <c r="G155" s="8" t="str">
        <f t="shared" si="4"/>
        <v>SAFIEF AEIMEN</v>
      </c>
      <c r="H155" s="20" t="str">
        <f t="shared" si="5"/>
        <v>4055</v>
      </c>
    </row>
    <row r="156" spans="1:8" x14ac:dyDescent="0.25">
      <c r="A156" s="8">
        <v>42995.6637962963</v>
      </c>
      <c r="B156" s="20" t="s">
        <v>401</v>
      </c>
      <c r="C156" s="20" t="s">
        <v>598</v>
      </c>
      <c r="D156" s="138">
        <v>2440000</v>
      </c>
      <c r="E156" s="20" t="s">
        <v>472</v>
      </c>
      <c r="F156" s="20" t="s">
        <v>473</v>
      </c>
      <c r="G156" s="8" t="str">
        <f t="shared" si="4"/>
        <v>LOPES KIMBERLY</v>
      </c>
      <c r="H156" s="20" t="str">
        <f t="shared" si="5"/>
        <v>4016</v>
      </c>
    </row>
    <row r="157" spans="1:8" x14ac:dyDescent="0.25">
      <c r="A157" s="8">
        <v>42995.667592592596</v>
      </c>
      <c r="B157" s="20" t="s">
        <v>460</v>
      </c>
      <c r="C157" s="20" t="s">
        <v>744</v>
      </c>
      <c r="D157" s="138">
        <v>2540000</v>
      </c>
      <c r="E157" s="20" t="s">
        <v>703</v>
      </c>
      <c r="F157" s="20" t="s">
        <v>704</v>
      </c>
      <c r="G157" s="8" t="str">
        <f t="shared" si="4"/>
        <v>MCREYNOLDS KYLE</v>
      </c>
      <c r="H157" s="20" t="str">
        <f t="shared" si="5"/>
        <v>4043</v>
      </c>
    </row>
    <row r="158" spans="1:8" x14ac:dyDescent="0.25">
      <c r="A158" s="8">
        <v>42995.670949074076</v>
      </c>
      <c r="B158" s="20" t="s">
        <v>589</v>
      </c>
      <c r="C158" s="20" t="s">
        <v>745</v>
      </c>
      <c r="D158" s="138">
        <v>2420000</v>
      </c>
      <c r="E158" s="20" t="s">
        <v>468</v>
      </c>
      <c r="F158" s="20" t="s">
        <v>469</v>
      </c>
      <c r="G158" s="8" t="str">
        <f t="shared" si="4"/>
        <v>HOLCOMB KAMDEN</v>
      </c>
      <c r="H158" s="20" t="str">
        <f t="shared" si="5"/>
        <v>4024</v>
      </c>
    </row>
    <row r="159" spans="1:8" x14ac:dyDescent="0.25">
      <c r="A159" s="8">
        <v>42995.672488425924</v>
      </c>
      <c r="B159" s="20" t="s">
        <v>433</v>
      </c>
      <c r="C159" s="20" t="s">
        <v>746</v>
      </c>
      <c r="D159" s="138">
        <v>2230000</v>
      </c>
      <c r="E159" s="20" t="s">
        <v>716</v>
      </c>
      <c r="F159" s="20" t="s">
        <v>191</v>
      </c>
      <c r="G159" s="8" t="str">
        <f t="shared" si="4"/>
        <v>SMITH MICHAEL</v>
      </c>
      <c r="H159" s="20" t="str">
        <f t="shared" si="5"/>
        <v>4066</v>
      </c>
    </row>
    <row r="160" spans="1:8" x14ac:dyDescent="0.25">
      <c r="A160" s="8">
        <v>42995.677997685183</v>
      </c>
      <c r="B160" s="20" t="s">
        <v>399</v>
      </c>
      <c r="C160" s="20" t="s">
        <v>747</v>
      </c>
      <c r="D160" s="138">
        <v>2550000</v>
      </c>
      <c r="E160" s="20" t="s">
        <v>511</v>
      </c>
      <c r="F160" s="20" t="s">
        <v>512</v>
      </c>
      <c r="G160" s="8" t="str">
        <f t="shared" si="4"/>
        <v>BADERTSCHER DIANE</v>
      </c>
      <c r="H160" s="20" t="str">
        <f t="shared" si="5"/>
        <v>4059</v>
      </c>
    </row>
    <row r="161" spans="1:8" x14ac:dyDescent="0.25">
      <c r="A161" s="8">
        <v>42995.685868055552</v>
      </c>
      <c r="B161" s="20" t="s">
        <v>445</v>
      </c>
      <c r="C161" s="20" t="s">
        <v>748</v>
      </c>
      <c r="D161" s="138">
        <v>920000</v>
      </c>
      <c r="E161" s="20" t="s">
        <v>345</v>
      </c>
      <c r="F161" s="20" t="s">
        <v>191</v>
      </c>
      <c r="G161" s="8" t="str">
        <f t="shared" si="4"/>
        <v>DAVIS MICHAEL</v>
      </c>
      <c r="H161" s="20" t="str">
        <f t="shared" si="5"/>
        <v>4028</v>
      </c>
    </row>
    <row r="162" spans="1:8" x14ac:dyDescent="0.25">
      <c r="A162" s="8">
        <v>42995.6871875</v>
      </c>
      <c r="B162" s="20" t="s">
        <v>499</v>
      </c>
      <c r="C162" s="20" t="s">
        <v>749</v>
      </c>
      <c r="D162" s="138">
        <v>2600000</v>
      </c>
      <c r="E162" s="20" t="s">
        <v>709</v>
      </c>
      <c r="F162" s="20" t="s">
        <v>471</v>
      </c>
      <c r="G162" s="8" t="str">
        <f t="shared" si="4"/>
        <v>DAVIDSON DAVID</v>
      </c>
      <c r="H162" s="20" t="str">
        <f t="shared" si="5"/>
        <v>4001</v>
      </c>
    </row>
    <row r="163" spans="1:8" x14ac:dyDescent="0.25">
      <c r="A163" s="8">
        <v>42995.692094907405</v>
      </c>
      <c r="B163" s="20" t="s">
        <v>578</v>
      </c>
      <c r="C163" s="20" t="s">
        <v>750</v>
      </c>
      <c r="D163" s="138">
        <v>2420000</v>
      </c>
      <c r="E163" s="20" t="s">
        <v>468</v>
      </c>
      <c r="F163" s="20" t="s">
        <v>469</v>
      </c>
      <c r="G163" s="8" t="str">
        <f t="shared" si="4"/>
        <v>HOLCOMB KAMDEN</v>
      </c>
      <c r="H163" s="20" t="str">
        <f t="shared" si="5"/>
        <v>4023</v>
      </c>
    </row>
    <row r="164" spans="1:8" x14ac:dyDescent="0.25">
      <c r="A164" s="8">
        <v>42995.695763888885</v>
      </c>
      <c r="B164" s="20" t="s">
        <v>591</v>
      </c>
      <c r="C164" s="20" t="s">
        <v>751</v>
      </c>
      <c r="D164" s="138">
        <v>2630000</v>
      </c>
      <c r="E164" s="20" t="s">
        <v>699</v>
      </c>
      <c r="F164" s="20" t="s">
        <v>700</v>
      </c>
      <c r="G164" s="8" t="str">
        <f t="shared" si="4"/>
        <v>SAFIEF AEIMEN</v>
      </c>
      <c r="H164" s="20" t="str">
        <f t="shared" si="5"/>
        <v>4056</v>
      </c>
    </row>
    <row r="165" spans="1:8" x14ac:dyDescent="0.25">
      <c r="A165" s="8">
        <v>42995.702951388892</v>
      </c>
      <c r="B165" s="20" t="s">
        <v>575</v>
      </c>
      <c r="C165" s="20" t="s">
        <v>752</v>
      </c>
      <c r="D165" s="138">
        <v>2540000</v>
      </c>
      <c r="E165" s="20" t="s">
        <v>703</v>
      </c>
      <c r="F165" s="20" t="s">
        <v>704</v>
      </c>
      <c r="G165" s="8" t="str">
        <f t="shared" si="4"/>
        <v>MCREYNOLDS KYLE</v>
      </c>
      <c r="H165" s="20" t="str">
        <f t="shared" si="5"/>
        <v>4044</v>
      </c>
    </row>
    <row r="166" spans="1:8" x14ac:dyDescent="0.25">
      <c r="A166" s="8">
        <v>42995.703148148146</v>
      </c>
      <c r="B166" s="20" t="s">
        <v>400</v>
      </c>
      <c r="C166" s="20" t="s">
        <v>753</v>
      </c>
      <c r="D166" s="138">
        <v>2440000</v>
      </c>
      <c r="E166" s="20" t="s">
        <v>472</v>
      </c>
      <c r="F166" s="20" t="s">
        <v>473</v>
      </c>
      <c r="G166" s="8" t="str">
        <f t="shared" si="4"/>
        <v>LOPES KIMBERLY</v>
      </c>
      <c r="H166" s="20" t="str">
        <f t="shared" si="5"/>
        <v>4015</v>
      </c>
    </row>
    <row r="167" spans="1:8" x14ac:dyDescent="0.25">
      <c r="A167" s="8">
        <v>42995.709004629629</v>
      </c>
      <c r="B167" s="20" t="s">
        <v>589</v>
      </c>
      <c r="C167" s="20" t="s">
        <v>599</v>
      </c>
      <c r="D167" s="138">
        <v>2030000</v>
      </c>
      <c r="E167" s="20" t="s">
        <v>470</v>
      </c>
      <c r="F167" s="20" t="s">
        <v>471</v>
      </c>
      <c r="G167" s="8" t="str">
        <f t="shared" si="4"/>
        <v>KILLION DAVID</v>
      </c>
      <c r="H167" s="20" t="str">
        <f t="shared" si="5"/>
        <v>4024</v>
      </c>
    </row>
    <row r="168" spans="1:8" x14ac:dyDescent="0.25">
      <c r="A168" s="8">
        <v>42995.712789351855</v>
      </c>
      <c r="B168" s="20" t="s">
        <v>434</v>
      </c>
      <c r="C168" s="20" t="s">
        <v>600</v>
      </c>
      <c r="D168" s="138">
        <v>2230000</v>
      </c>
      <c r="E168" s="20" t="s">
        <v>716</v>
      </c>
      <c r="F168" s="20" t="s">
        <v>191</v>
      </c>
      <c r="G168" s="8" t="str">
        <f t="shared" si="4"/>
        <v>SMITH MICHAEL</v>
      </c>
      <c r="H168" s="20" t="str">
        <f t="shared" si="5"/>
        <v>4065</v>
      </c>
    </row>
    <row r="169" spans="1:8" x14ac:dyDescent="0.25">
      <c r="A169" s="8">
        <v>42995.715381944443</v>
      </c>
      <c r="B169" s="20" t="s">
        <v>403</v>
      </c>
      <c r="C169" s="20" t="s">
        <v>754</v>
      </c>
      <c r="D169" s="138">
        <v>2000000</v>
      </c>
      <c r="E169" s="20" t="s">
        <v>429</v>
      </c>
      <c r="F169" s="20" t="s">
        <v>379</v>
      </c>
      <c r="G169" s="8" t="str">
        <f t="shared" si="4"/>
        <v>STAMBAUGH JAMES</v>
      </c>
      <c r="H169" s="20" t="str">
        <f t="shared" si="5"/>
        <v>4060</v>
      </c>
    </row>
    <row r="170" spans="1:8" x14ac:dyDescent="0.25">
      <c r="A170" s="8">
        <v>42995.724363425928</v>
      </c>
      <c r="B170" s="20" t="s">
        <v>421</v>
      </c>
      <c r="C170" s="20" t="s">
        <v>755</v>
      </c>
      <c r="D170" s="138">
        <v>2600000</v>
      </c>
      <c r="E170" s="20" t="s">
        <v>709</v>
      </c>
      <c r="F170" s="20" t="s">
        <v>471</v>
      </c>
      <c r="G170" s="8" t="str">
        <f t="shared" si="4"/>
        <v>DAVIDSON DAVID</v>
      </c>
      <c r="H170" s="20" t="str">
        <f t="shared" si="5"/>
        <v>4002</v>
      </c>
    </row>
    <row r="171" spans="1:8" x14ac:dyDescent="0.25">
      <c r="A171" s="8">
        <v>42995.725092592591</v>
      </c>
      <c r="B171" s="20" t="s">
        <v>446</v>
      </c>
      <c r="C171" s="20" t="s">
        <v>756</v>
      </c>
      <c r="D171" s="138">
        <v>920000</v>
      </c>
      <c r="E171" s="20" t="s">
        <v>345</v>
      </c>
      <c r="F171" s="20" t="s">
        <v>191</v>
      </c>
      <c r="G171" s="8" t="str">
        <f t="shared" si="4"/>
        <v>DAVIS MICHAEL</v>
      </c>
      <c r="H171" s="20" t="str">
        <f t="shared" si="5"/>
        <v>4027</v>
      </c>
    </row>
    <row r="172" spans="1:8" x14ac:dyDescent="0.25">
      <c r="A172" s="8">
        <v>42995.72828703704</v>
      </c>
      <c r="B172" s="20" t="s">
        <v>628</v>
      </c>
      <c r="C172" s="20" t="s">
        <v>757</v>
      </c>
      <c r="D172" s="138">
        <v>2630000</v>
      </c>
      <c r="E172" s="20" t="s">
        <v>699</v>
      </c>
      <c r="F172" s="20" t="s">
        <v>700</v>
      </c>
      <c r="G172" s="8" t="str">
        <f t="shared" si="4"/>
        <v>SAFIEF AEIMEN</v>
      </c>
      <c r="H172" s="20" t="str">
        <f t="shared" si="5"/>
        <v>4055</v>
      </c>
    </row>
    <row r="173" spans="1:8" x14ac:dyDescent="0.25">
      <c r="A173" s="8">
        <v>42995.734247685185</v>
      </c>
      <c r="B173" s="20" t="s">
        <v>578</v>
      </c>
      <c r="C173" s="20" t="s">
        <v>758</v>
      </c>
      <c r="D173" s="138">
        <v>2030000</v>
      </c>
      <c r="E173" s="20" t="s">
        <v>470</v>
      </c>
      <c r="F173" s="20" t="s">
        <v>471</v>
      </c>
      <c r="G173" s="8" t="str">
        <f t="shared" si="4"/>
        <v>KILLION DAVID</v>
      </c>
      <c r="H173" s="20" t="str">
        <f t="shared" si="5"/>
        <v>4023</v>
      </c>
    </row>
    <row r="174" spans="1:8" x14ac:dyDescent="0.25">
      <c r="A174" s="8">
        <v>42995.736435185187</v>
      </c>
      <c r="B174" s="20" t="s">
        <v>401</v>
      </c>
      <c r="C174" s="20" t="s">
        <v>759</v>
      </c>
      <c r="D174" s="138">
        <v>890000</v>
      </c>
      <c r="E174" s="20" t="s">
        <v>372</v>
      </c>
      <c r="F174" s="20" t="s">
        <v>373</v>
      </c>
      <c r="G174" s="8" t="str">
        <f t="shared" si="4"/>
        <v>LOZA FIDEL</v>
      </c>
      <c r="H174" s="20" t="str">
        <f t="shared" si="5"/>
        <v>4016</v>
      </c>
    </row>
    <row r="175" spans="1:8" x14ac:dyDescent="0.25">
      <c r="A175" s="8">
        <v>42995.73777777778</v>
      </c>
      <c r="B175" s="20" t="s">
        <v>622</v>
      </c>
      <c r="C175" s="20" t="s">
        <v>760</v>
      </c>
      <c r="D175" s="138">
        <v>2440000</v>
      </c>
      <c r="E175" s="20" t="s">
        <v>472</v>
      </c>
      <c r="F175" s="20" t="s">
        <v>473</v>
      </c>
      <c r="G175" s="8" t="str">
        <f t="shared" si="4"/>
        <v>LOPES KIMBERLY</v>
      </c>
      <c r="H175" s="20" t="str">
        <f t="shared" si="5"/>
        <v>4054</v>
      </c>
    </row>
    <row r="176" spans="1:8" x14ac:dyDescent="0.25">
      <c r="A176" s="8">
        <v>42995.741747685184</v>
      </c>
      <c r="B176" s="20" t="s">
        <v>460</v>
      </c>
      <c r="C176" s="20" t="s">
        <v>761</v>
      </c>
      <c r="D176" s="138">
        <v>2540000</v>
      </c>
      <c r="E176" s="20" t="s">
        <v>703</v>
      </c>
      <c r="F176" s="20" t="s">
        <v>704</v>
      </c>
      <c r="G176" s="8" t="str">
        <f t="shared" si="4"/>
        <v>MCREYNOLDS KYLE</v>
      </c>
      <c r="H176" s="20" t="str">
        <f t="shared" si="5"/>
        <v>4043</v>
      </c>
    </row>
    <row r="177" spans="1:8" x14ac:dyDescent="0.25">
      <c r="A177" s="8">
        <v>42995.745034722226</v>
      </c>
      <c r="B177" s="20" t="s">
        <v>385</v>
      </c>
      <c r="C177" s="20" t="s">
        <v>762</v>
      </c>
      <c r="D177" s="138">
        <v>3310000</v>
      </c>
      <c r="E177" s="20" t="s">
        <v>608</v>
      </c>
      <c r="F177" s="20" t="s">
        <v>609</v>
      </c>
      <c r="G177" s="8" t="str">
        <f t="shared" si="4"/>
        <v>ANDERS STEVEN</v>
      </c>
      <c r="H177" s="20" t="str">
        <f t="shared" si="5"/>
        <v>4009</v>
      </c>
    </row>
    <row r="178" spans="1:8" x14ac:dyDescent="0.25">
      <c r="A178" s="8">
        <v>42995.746134259258</v>
      </c>
      <c r="B178" s="20" t="s">
        <v>433</v>
      </c>
      <c r="C178" s="20" t="s">
        <v>763</v>
      </c>
      <c r="D178" s="138">
        <v>2230000</v>
      </c>
      <c r="E178" s="20" t="s">
        <v>716</v>
      </c>
      <c r="F178" s="20" t="s">
        <v>191</v>
      </c>
      <c r="G178" s="8" t="str">
        <f t="shared" si="4"/>
        <v>SMITH MICHAEL</v>
      </c>
      <c r="H178" s="20" t="str">
        <f t="shared" si="5"/>
        <v>4066</v>
      </c>
    </row>
    <row r="179" spans="1:8" x14ac:dyDescent="0.25">
      <c r="A179" s="8">
        <v>42995.752222222225</v>
      </c>
      <c r="B179" s="20" t="s">
        <v>399</v>
      </c>
      <c r="C179" s="20" t="s">
        <v>764</v>
      </c>
      <c r="D179" s="138">
        <v>2000000</v>
      </c>
      <c r="E179" s="20" t="s">
        <v>429</v>
      </c>
      <c r="F179" s="20" t="s">
        <v>379</v>
      </c>
      <c r="G179" s="8" t="str">
        <f t="shared" si="4"/>
        <v>STAMBAUGH JAMES</v>
      </c>
      <c r="H179" s="20" t="str">
        <f t="shared" si="5"/>
        <v>4059</v>
      </c>
    </row>
    <row r="180" spans="1:8" x14ac:dyDescent="0.25">
      <c r="A180" s="8">
        <v>42995.754467592589</v>
      </c>
      <c r="B180" s="20" t="s">
        <v>589</v>
      </c>
      <c r="C180" s="20" t="s">
        <v>765</v>
      </c>
      <c r="D180" s="138">
        <v>2420000</v>
      </c>
      <c r="E180" s="20" t="s">
        <v>468</v>
      </c>
      <c r="F180" s="20" t="s">
        <v>469</v>
      </c>
      <c r="G180" s="8" t="str">
        <f t="shared" si="4"/>
        <v>HOLCOMB KAMDEN</v>
      </c>
      <c r="H180" s="20" t="str">
        <f t="shared" si="5"/>
        <v>4024</v>
      </c>
    </row>
    <row r="181" spans="1:8" x14ac:dyDescent="0.25">
      <c r="A181" s="8">
        <v>42995.756724537037</v>
      </c>
      <c r="B181" s="20" t="s">
        <v>445</v>
      </c>
      <c r="C181" s="20" t="s">
        <v>766</v>
      </c>
      <c r="D181" s="138">
        <v>3340000</v>
      </c>
      <c r="E181" s="20" t="s">
        <v>513</v>
      </c>
      <c r="F181" s="20" t="s">
        <v>514</v>
      </c>
      <c r="G181" s="8" t="str">
        <f t="shared" si="4"/>
        <v>ELBAUM MIKE</v>
      </c>
      <c r="H181" s="20" t="str">
        <f t="shared" si="5"/>
        <v>4028</v>
      </c>
    </row>
    <row r="182" spans="1:8" x14ac:dyDescent="0.25">
      <c r="A182" s="8">
        <v>42995.756793981483</v>
      </c>
      <c r="B182" s="20" t="s">
        <v>499</v>
      </c>
      <c r="C182" s="20" t="s">
        <v>767</v>
      </c>
      <c r="D182" s="138">
        <v>2600000</v>
      </c>
      <c r="E182" s="20" t="s">
        <v>709</v>
      </c>
      <c r="F182" s="20" t="s">
        <v>471</v>
      </c>
      <c r="G182" s="8" t="str">
        <f t="shared" si="4"/>
        <v>DAVIDSON DAVID</v>
      </c>
      <c r="H182" s="20" t="str">
        <f t="shared" si="5"/>
        <v>4001</v>
      </c>
    </row>
    <row r="183" spans="1:8" x14ac:dyDescent="0.25">
      <c r="A183" s="8">
        <v>42995.765763888892</v>
      </c>
      <c r="B183" s="20" t="s">
        <v>591</v>
      </c>
      <c r="C183" s="20" t="s">
        <v>768</v>
      </c>
      <c r="D183" s="138">
        <v>2680000</v>
      </c>
      <c r="E183" s="20" t="s">
        <v>386</v>
      </c>
      <c r="F183" s="20" t="s">
        <v>387</v>
      </c>
      <c r="G183" s="8" t="str">
        <f t="shared" si="4"/>
        <v>DUNCAN SHEILA</v>
      </c>
      <c r="H183" s="20" t="str">
        <f t="shared" si="5"/>
        <v>4056</v>
      </c>
    </row>
    <row r="184" spans="1:8" x14ac:dyDescent="0.25">
      <c r="A184" s="8">
        <v>42995.770057870373</v>
      </c>
      <c r="B184" s="20" t="s">
        <v>400</v>
      </c>
      <c r="C184" s="20" t="s">
        <v>769</v>
      </c>
      <c r="D184" s="138">
        <v>890000</v>
      </c>
      <c r="E184" s="20" t="s">
        <v>372</v>
      </c>
      <c r="F184" s="20" t="s">
        <v>373</v>
      </c>
      <c r="G184" s="8" t="str">
        <f t="shared" si="4"/>
        <v>LOZA FIDEL</v>
      </c>
      <c r="H184" s="20" t="str">
        <f t="shared" si="5"/>
        <v>4015</v>
      </c>
    </row>
    <row r="185" spans="1:8" x14ac:dyDescent="0.25">
      <c r="A185" s="8">
        <v>42995.776875000003</v>
      </c>
      <c r="B185" s="20" t="s">
        <v>578</v>
      </c>
      <c r="C185" s="20" t="s">
        <v>770</v>
      </c>
      <c r="D185" s="138">
        <v>2420000</v>
      </c>
      <c r="E185" s="20" t="s">
        <v>468</v>
      </c>
      <c r="F185" s="20" t="s">
        <v>469</v>
      </c>
      <c r="G185" s="8" t="str">
        <f t="shared" si="4"/>
        <v>HOLCOMB KAMDEN</v>
      </c>
      <c r="H185" s="20" t="str">
        <f t="shared" si="5"/>
        <v>4023</v>
      </c>
    </row>
    <row r="186" spans="1:8" x14ac:dyDescent="0.25">
      <c r="A186" s="8">
        <v>42995.777222222219</v>
      </c>
      <c r="B186" s="20" t="s">
        <v>575</v>
      </c>
      <c r="C186" s="20" t="s">
        <v>771</v>
      </c>
      <c r="D186" s="138">
        <v>3220000</v>
      </c>
      <c r="E186" s="20" t="s">
        <v>772</v>
      </c>
      <c r="F186" s="20" t="s">
        <v>773</v>
      </c>
      <c r="G186" s="8" t="str">
        <f t="shared" si="4"/>
        <v>RESPASS AARON</v>
      </c>
      <c r="H186" s="20" t="str">
        <f t="shared" si="5"/>
        <v>4044</v>
      </c>
    </row>
    <row r="187" spans="1:8" x14ac:dyDescent="0.25">
      <c r="A187" s="8">
        <v>42995.778090277781</v>
      </c>
      <c r="B187" s="20" t="s">
        <v>575</v>
      </c>
      <c r="C187" s="20" t="s">
        <v>771</v>
      </c>
      <c r="D187" s="138">
        <v>3220000</v>
      </c>
      <c r="E187" s="20" t="s">
        <v>772</v>
      </c>
      <c r="F187" s="20" t="s">
        <v>773</v>
      </c>
      <c r="G187" s="8" t="str">
        <f t="shared" si="4"/>
        <v>RESPASS AARON</v>
      </c>
      <c r="H187" s="20" t="str">
        <f t="shared" si="5"/>
        <v>4044</v>
      </c>
    </row>
    <row r="188" spans="1:8" x14ac:dyDescent="0.25">
      <c r="A188" s="8">
        <v>42995.77921296296</v>
      </c>
      <c r="B188" s="20" t="s">
        <v>575</v>
      </c>
      <c r="C188" s="20" t="s">
        <v>771</v>
      </c>
      <c r="D188" s="138">
        <v>3220000</v>
      </c>
      <c r="E188" s="20" t="s">
        <v>772</v>
      </c>
      <c r="F188" s="20" t="s">
        <v>773</v>
      </c>
      <c r="G188" s="8" t="str">
        <f t="shared" si="4"/>
        <v>RESPASS AARON</v>
      </c>
      <c r="H188" s="20" t="str">
        <f t="shared" si="5"/>
        <v>4044</v>
      </c>
    </row>
    <row r="189" spans="1:8" x14ac:dyDescent="0.25">
      <c r="A189" s="8">
        <v>42995.78361111111</v>
      </c>
      <c r="B189" s="20" t="s">
        <v>434</v>
      </c>
      <c r="C189" s="20" t="s">
        <v>774</v>
      </c>
      <c r="D189" s="138">
        <v>2230000</v>
      </c>
      <c r="E189" s="20" t="s">
        <v>716</v>
      </c>
      <c r="F189" s="20" t="s">
        <v>191</v>
      </c>
      <c r="G189" s="8" t="str">
        <f t="shared" si="4"/>
        <v>SMITH MICHAEL</v>
      </c>
      <c r="H189" s="20" t="str">
        <f t="shared" si="5"/>
        <v>4065</v>
      </c>
    </row>
    <row r="190" spans="1:8" x14ac:dyDescent="0.25">
      <c r="A190" s="8">
        <v>42995.786678240744</v>
      </c>
      <c r="B190" s="20" t="s">
        <v>403</v>
      </c>
      <c r="C190" s="20" t="s">
        <v>775</v>
      </c>
      <c r="D190" s="138">
        <v>2030000</v>
      </c>
      <c r="E190" s="20" t="s">
        <v>470</v>
      </c>
      <c r="F190" s="20" t="s">
        <v>471</v>
      </c>
      <c r="G190" s="8" t="str">
        <f t="shared" si="4"/>
        <v>KILLION DAVID</v>
      </c>
      <c r="H190" s="20" t="str">
        <f t="shared" si="5"/>
        <v>4060</v>
      </c>
    </row>
    <row r="191" spans="1:8" x14ac:dyDescent="0.25">
      <c r="A191" s="8">
        <v>42995.787083333336</v>
      </c>
      <c r="B191" s="20" t="s">
        <v>446</v>
      </c>
      <c r="C191" s="20" t="s">
        <v>776</v>
      </c>
      <c r="D191" s="138">
        <v>3340000</v>
      </c>
      <c r="E191" s="20" t="s">
        <v>513</v>
      </c>
      <c r="F191" s="20" t="s">
        <v>514</v>
      </c>
      <c r="G191" s="8" t="str">
        <f t="shared" si="4"/>
        <v>ELBAUM MIKE</v>
      </c>
      <c r="H191" s="20" t="str">
        <f t="shared" si="5"/>
        <v>4027</v>
      </c>
    </row>
    <row r="192" spans="1:8" x14ac:dyDescent="0.25">
      <c r="A192" s="8">
        <v>42995.795567129629</v>
      </c>
      <c r="B192" s="20" t="s">
        <v>589</v>
      </c>
      <c r="C192" s="20" t="s">
        <v>777</v>
      </c>
      <c r="D192" s="138">
        <v>2420000</v>
      </c>
      <c r="E192" s="20" t="s">
        <v>468</v>
      </c>
      <c r="F192" s="20" t="s">
        <v>469</v>
      </c>
      <c r="G192" s="8" t="str">
        <f t="shared" si="4"/>
        <v>HOLCOMB KAMDEN</v>
      </c>
      <c r="H192" s="20" t="str">
        <f t="shared" si="5"/>
        <v>4024</v>
      </c>
    </row>
    <row r="193" spans="1:8" x14ac:dyDescent="0.25">
      <c r="A193" s="8">
        <v>42995.798819444448</v>
      </c>
      <c r="B193" s="20" t="s">
        <v>421</v>
      </c>
      <c r="C193" s="20" t="s">
        <v>778</v>
      </c>
      <c r="D193" s="138">
        <v>2610000</v>
      </c>
      <c r="E193" s="20" t="s">
        <v>779</v>
      </c>
      <c r="F193" s="20" t="s">
        <v>780</v>
      </c>
      <c r="G193" s="8" t="str">
        <f t="shared" si="4"/>
        <v>MAGEE KENYA</v>
      </c>
      <c r="H193" s="20" t="str">
        <f t="shared" si="5"/>
        <v>4002</v>
      </c>
    </row>
    <row r="194" spans="1:8" x14ac:dyDescent="0.25">
      <c r="A194" s="8">
        <v>42995.803622685184</v>
      </c>
      <c r="B194" s="20" t="s">
        <v>628</v>
      </c>
      <c r="C194" s="20" t="s">
        <v>781</v>
      </c>
      <c r="D194" s="138">
        <v>2680000</v>
      </c>
      <c r="E194" s="20" t="s">
        <v>386</v>
      </c>
      <c r="F194" s="20" t="s">
        <v>387</v>
      </c>
      <c r="G194" s="8" t="str">
        <f t="shared" si="4"/>
        <v>DUNCAN SHEILA</v>
      </c>
      <c r="H194" s="20" t="str">
        <f t="shared" si="5"/>
        <v>4055</v>
      </c>
    </row>
    <row r="195" spans="1:8" x14ac:dyDescent="0.25">
      <c r="A195" s="8">
        <v>42995.809004629627</v>
      </c>
      <c r="B195" s="20" t="s">
        <v>401</v>
      </c>
      <c r="C195" s="20" t="s">
        <v>782</v>
      </c>
      <c r="D195" s="138">
        <v>890000</v>
      </c>
      <c r="E195" s="20" t="s">
        <v>372</v>
      </c>
      <c r="F195" s="20" t="s">
        <v>373</v>
      </c>
      <c r="G195" s="8" t="str">
        <f t="shared" ref="G195:G258" si="6">E195&amp;" "&amp;F195</f>
        <v>LOZA FIDEL</v>
      </c>
      <c r="H195" s="20" t="str">
        <f t="shared" ref="H195:H258" si="7">MID(B195,13,4)</f>
        <v>4016</v>
      </c>
    </row>
    <row r="196" spans="1:8" x14ac:dyDescent="0.25">
      <c r="A196" s="8">
        <v>42995.812106481484</v>
      </c>
      <c r="B196" s="20" t="s">
        <v>460</v>
      </c>
      <c r="C196" s="20" t="s">
        <v>783</v>
      </c>
      <c r="D196" s="138">
        <v>3220000</v>
      </c>
      <c r="E196" s="20" t="s">
        <v>772</v>
      </c>
      <c r="F196" s="20" t="s">
        <v>773</v>
      </c>
      <c r="G196" s="8" t="str">
        <f t="shared" si="6"/>
        <v>RESPASS AARON</v>
      </c>
      <c r="H196" s="20" t="str">
        <f t="shared" si="7"/>
        <v>4043</v>
      </c>
    </row>
    <row r="197" spans="1:8" x14ac:dyDescent="0.25">
      <c r="A197" s="8">
        <v>42995.81758101852</v>
      </c>
      <c r="B197" s="20" t="s">
        <v>578</v>
      </c>
      <c r="C197" s="20" t="s">
        <v>784</v>
      </c>
      <c r="D197" s="138">
        <v>2420000</v>
      </c>
      <c r="E197" s="20" t="s">
        <v>468</v>
      </c>
      <c r="F197" s="20" t="s">
        <v>469</v>
      </c>
      <c r="G197" s="8" t="str">
        <f t="shared" si="6"/>
        <v>HOLCOMB KAMDEN</v>
      </c>
      <c r="H197" s="20" t="str">
        <f t="shared" si="7"/>
        <v>4023</v>
      </c>
    </row>
    <row r="198" spans="1:8" x14ac:dyDescent="0.25">
      <c r="A198" s="8">
        <v>42995.818599537037</v>
      </c>
      <c r="B198" s="20" t="s">
        <v>433</v>
      </c>
      <c r="C198" s="20" t="s">
        <v>785</v>
      </c>
      <c r="D198" s="138">
        <v>2230000</v>
      </c>
      <c r="E198" s="20" t="s">
        <v>716</v>
      </c>
      <c r="F198" s="20" t="s">
        <v>191</v>
      </c>
      <c r="G198" s="8" t="str">
        <f t="shared" si="6"/>
        <v>SMITH MICHAEL</v>
      </c>
      <c r="H198" s="20" t="str">
        <f t="shared" si="7"/>
        <v>4066</v>
      </c>
    </row>
    <row r="199" spans="1:8" x14ac:dyDescent="0.25">
      <c r="A199" s="8">
        <v>42995.824004629627</v>
      </c>
      <c r="B199" s="20" t="s">
        <v>399</v>
      </c>
      <c r="C199" s="20" t="s">
        <v>786</v>
      </c>
      <c r="D199" s="138">
        <v>2030000</v>
      </c>
      <c r="E199" s="20" t="s">
        <v>470</v>
      </c>
      <c r="F199" s="20" t="s">
        <v>471</v>
      </c>
      <c r="G199" s="8" t="str">
        <f t="shared" si="6"/>
        <v>KILLION DAVID</v>
      </c>
      <c r="H199" s="20" t="str">
        <f t="shared" si="7"/>
        <v>4059</v>
      </c>
    </row>
    <row r="200" spans="1:8" x14ac:dyDescent="0.25">
      <c r="A200" s="8">
        <v>42995.82739583333</v>
      </c>
      <c r="B200" s="20" t="s">
        <v>445</v>
      </c>
      <c r="C200" s="20" t="s">
        <v>601</v>
      </c>
      <c r="D200" s="138">
        <v>3340000</v>
      </c>
      <c r="E200" s="20" t="s">
        <v>513</v>
      </c>
      <c r="F200" s="20" t="s">
        <v>514</v>
      </c>
      <c r="G200" s="8" t="str">
        <f t="shared" si="6"/>
        <v>ELBAUM MIKE</v>
      </c>
      <c r="H200" s="20" t="str">
        <f t="shared" si="7"/>
        <v>4028</v>
      </c>
    </row>
    <row r="201" spans="1:8" x14ac:dyDescent="0.25">
      <c r="A201" s="8">
        <v>42995.834976851853</v>
      </c>
      <c r="B201" s="20" t="s">
        <v>589</v>
      </c>
      <c r="C201" s="20" t="s">
        <v>787</v>
      </c>
      <c r="D201" s="138">
        <v>2420000</v>
      </c>
      <c r="E201" s="20" t="s">
        <v>468</v>
      </c>
      <c r="F201" s="20" t="s">
        <v>469</v>
      </c>
      <c r="G201" s="8" t="str">
        <f t="shared" si="6"/>
        <v>HOLCOMB KAMDEN</v>
      </c>
      <c r="H201" s="20" t="str">
        <f t="shared" si="7"/>
        <v>4024</v>
      </c>
    </row>
    <row r="202" spans="1:8" x14ac:dyDescent="0.25">
      <c r="A202" s="26">
        <v>42995.839155092595</v>
      </c>
      <c r="B202" s="20" t="s">
        <v>591</v>
      </c>
      <c r="C202" s="20" t="s">
        <v>788</v>
      </c>
      <c r="D202" s="138">
        <v>2680000</v>
      </c>
      <c r="E202" s="20" t="s">
        <v>386</v>
      </c>
      <c r="F202" s="20" t="s">
        <v>387</v>
      </c>
      <c r="G202" s="8" t="str">
        <f t="shared" si="6"/>
        <v>DUNCAN SHEILA</v>
      </c>
      <c r="H202" s="20" t="str">
        <f t="shared" si="7"/>
        <v>4056</v>
      </c>
    </row>
    <row r="203" spans="1:8" x14ac:dyDescent="0.25">
      <c r="A203" s="8">
        <v>42995.840243055558</v>
      </c>
      <c r="B203" s="20" t="s">
        <v>499</v>
      </c>
      <c r="C203" s="20" t="s">
        <v>789</v>
      </c>
      <c r="D203" s="138">
        <v>2610000</v>
      </c>
      <c r="E203" s="20" t="s">
        <v>779</v>
      </c>
      <c r="F203" s="20" t="s">
        <v>780</v>
      </c>
      <c r="G203" s="8" t="str">
        <f t="shared" si="6"/>
        <v>MAGEE KENYA</v>
      </c>
      <c r="H203" s="20" t="str">
        <f t="shared" si="7"/>
        <v>4001</v>
      </c>
    </row>
    <row r="204" spans="1:8" x14ac:dyDescent="0.25">
      <c r="A204" s="8">
        <v>42995.849722222221</v>
      </c>
      <c r="B204" s="20" t="s">
        <v>575</v>
      </c>
      <c r="C204" s="20" t="s">
        <v>790</v>
      </c>
      <c r="D204" s="138">
        <v>3220000</v>
      </c>
      <c r="E204" s="20" t="s">
        <v>772</v>
      </c>
      <c r="F204" s="20" t="s">
        <v>773</v>
      </c>
      <c r="G204" s="8" t="str">
        <f t="shared" si="6"/>
        <v>RESPASS AARON</v>
      </c>
      <c r="H204" s="20" t="str">
        <f t="shared" si="7"/>
        <v>4044</v>
      </c>
    </row>
    <row r="205" spans="1:8" x14ac:dyDescent="0.25">
      <c r="A205" s="8">
        <v>42995.850092592591</v>
      </c>
      <c r="B205" s="20" t="s">
        <v>400</v>
      </c>
      <c r="C205" s="20" t="s">
        <v>791</v>
      </c>
      <c r="D205" s="138">
        <v>890000</v>
      </c>
      <c r="E205" s="20" t="s">
        <v>372</v>
      </c>
      <c r="F205" s="20" t="s">
        <v>373</v>
      </c>
      <c r="G205" s="8" t="str">
        <f t="shared" si="6"/>
        <v>LOZA FIDEL</v>
      </c>
      <c r="H205" s="20" t="str">
        <f t="shared" si="7"/>
        <v>4015</v>
      </c>
    </row>
    <row r="206" spans="1:8" x14ac:dyDescent="0.25">
      <c r="A206" s="8">
        <v>42995.859386574077</v>
      </c>
      <c r="B206" s="20" t="s">
        <v>578</v>
      </c>
      <c r="C206" s="20" t="s">
        <v>792</v>
      </c>
      <c r="D206" s="138">
        <v>2420000</v>
      </c>
      <c r="E206" s="20" t="s">
        <v>468</v>
      </c>
      <c r="F206" s="20" t="s">
        <v>469</v>
      </c>
      <c r="G206" s="8" t="str">
        <f t="shared" si="6"/>
        <v>HOLCOMB KAMDEN</v>
      </c>
      <c r="H206" s="20" t="str">
        <f t="shared" si="7"/>
        <v>4023</v>
      </c>
    </row>
    <row r="207" spans="1:8" x14ac:dyDescent="0.25">
      <c r="A207" s="8">
        <v>42995.859733796293</v>
      </c>
      <c r="B207" s="20" t="s">
        <v>446</v>
      </c>
      <c r="C207" s="20" t="s">
        <v>602</v>
      </c>
      <c r="D207" s="138">
        <v>3340000</v>
      </c>
      <c r="E207" s="20" t="s">
        <v>513</v>
      </c>
      <c r="F207" s="20" t="s">
        <v>514</v>
      </c>
      <c r="G207" s="8" t="str">
        <f t="shared" si="6"/>
        <v>ELBAUM MIKE</v>
      </c>
      <c r="H207" s="20" t="str">
        <f t="shared" si="7"/>
        <v>4027</v>
      </c>
    </row>
    <row r="208" spans="1:8" x14ac:dyDescent="0.25">
      <c r="A208" s="8">
        <v>42995.860578703701</v>
      </c>
      <c r="B208" s="20" t="s">
        <v>403</v>
      </c>
      <c r="C208" s="20" t="s">
        <v>603</v>
      </c>
      <c r="D208" s="138">
        <v>2000000</v>
      </c>
      <c r="E208" s="20" t="s">
        <v>429</v>
      </c>
      <c r="F208" s="20" t="s">
        <v>379</v>
      </c>
      <c r="G208" s="8" t="str">
        <f t="shared" si="6"/>
        <v>STAMBAUGH JAMES</v>
      </c>
      <c r="H208" s="20" t="str">
        <f t="shared" si="7"/>
        <v>4060</v>
      </c>
    </row>
    <row r="209" spans="1:8" x14ac:dyDescent="0.25">
      <c r="A209" s="8">
        <v>42995.870844907404</v>
      </c>
      <c r="B209" s="20" t="s">
        <v>421</v>
      </c>
      <c r="C209" s="20" t="s">
        <v>793</v>
      </c>
      <c r="D209" s="138">
        <v>2610000</v>
      </c>
      <c r="E209" s="20" t="s">
        <v>779</v>
      </c>
      <c r="F209" s="20" t="s">
        <v>780</v>
      </c>
      <c r="G209" s="8" t="str">
        <f t="shared" si="6"/>
        <v>MAGEE KENYA</v>
      </c>
      <c r="H209" s="20" t="str">
        <f t="shared" si="7"/>
        <v>4002</v>
      </c>
    </row>
    <row r="210" spans="1:8" x14ac:dyDescent="0.25">
      <c r="A210" s="8">
        <v>42995.879571759258</v>
      </c>
      <c r="B210" s="20" t="s">
        <v>589</v>
      </c>
      <c r="C210" s="20" t="s">
        <v>794</v>
      </c>
      <c r="D210" s="138">
        <v>2420000</v>
      </c>
      <c r="E210" s="20" t="s">
        <v>468</v>
      </c>
      <c r="F210" s="20" t="s">
        <v>469</v>
      </c>
      <c r="G210" s="8" t="str">
        <f t="shared" si="6"/>
        <v>HOLCOMB KAMDEN</v>
      </c>
      <c r="H210" s="20" t="str">
        <f t="shared" si="7"/>
        <v>4024</v>
      </c>
    </row>
    <row r="211" spans="1:8" x14ac:dyDescent="0.25">
      <c r="A211" s="8">
        <v>42995.879687499997</v>
      </c>
      <c r="B211" s="20" t="s">
        <v>401</v>
      </c>
      <c r="C211" s="20" t="s">
        <v>795</v>
      </c>
      <c r="D211" s="138">
        <v>890000</v>
      </c>
      <c r="E211" s="20" t="s">
        <v>372</v>
      </c>
      <c r="F211" s="20" t="s">
        <v>373</v>
      </c>
      <c r="G211" s="8" t="str">
        <f t="shared" si="6"/>
        <v>LOZA FIDEL</v>
      </c>
      <c r="H211" s="20" t="str">
        <f t="shared" si="7"/>
        <v>4016</v>
      </c>
    </row>
    <row r="212" spans="1:8" x14ac:dyDescent="0.25">
      <c r="A212" s="8">
        <v>42995.881018518521</v>
      </c>
      <c r="B212" s="20" t="s">
        <v>628</v>
      </c>
      <c r="C212" s="20" t="s">
        <v>796</v>
      </c>
      <c r="D212" s="138">
        <v>2680000</v>
      </c>
      <c r="E212" s="20" t="s">
        <v>386</v>
      </c>
      <c r="F212" s="20" t="s">
        <v>387</v>
      </c>
      <c r="G212" s="8" t="str">
        <f t="shared" si="6"/>
        <v>DUNCAN SHEILA</v>
      </c>
      <c r="H212" s="20" t="str">
        <f t="shared" si="7"/>
        <v>4055</v>
      </c>
    </row>
    <row r="213" spans="1:8" x14ac:dyDescent="0.25">
      <c r="A213" s="8">
        <v>42995.8908912037</v>
      </c>
      <c r="B213" s="20" t="s">
        <v>401</v>
      </c>
      <c r="C213" s="20" t="s">
        <v>795</v>
      </c>
      <c r="D213" s="138">
        <v>3320000</v>
      </c>
      <c r="E213" s="20" t="s">
        <v>405</v>
      </c>
      <c r="F213" s="20" t="s">
        <v>406</v>
      </c>
      <c r="G213" s="8" t="str">
        <f t="shared" si="6"/>
        <v>NICHOLSON WESLEY</v>
      </c>
      <c r="H213" s="20" t="str">
        <f t="shared" si="7"/>
        <v>4016</v>
      </c>
    </row>
    <row r="214" spans="1:8" x14ac:dyDescent="0.25">
      <c r="A214" s="8">
        <v>42995.90079861111</v>
      </c>
      <c r="B214" s="20" t="s">
        <v>445</v>
      </c>
      <c r="C214" s="20" t="s">
        <v>797</v>
      </c>
      <c r="D214" s="138">
        <v>3340000</v>
      </c>
      <c r="E214" s="20" t="s">
        <v>513</v>
      </c>
      <c r="F214" s="20" t="s">
        <v>514</v>
      </c>
      <c r="G214" s="8" t="str">
        <f t="shared" si="6"/>
        <v>ELBAUM MIKE</v>
      </c>
      <c r="H214" s="20" t="str">
        <f t="shared" si="7"/>
        <v>4028</v>
      </c>
    </row>
    <row r="215" spans="1:8" x14ac:dyDescent="0.25">
      <c r="A215" s="8">
        <v>42995.901053240741</v>
      </c>
      <c r="B215" s="20" t="s">
        <v>578</v>
      </c>
      <c r="C215" s="20" t="s">
        <v>604</v>
      </c>
      <c r="D215" s="138">
        <v>2420000</v>
      </c>
      <c r="E215" s="20" t="s">
        <v>468</v>
      </c>
      <c r="F215" s="20" t="s">
        <v>469</v>
      </c>
      <c r="G215" s="8" t="str">
        <f t="shared" si="6"/>
        <v>HOLCOMB KAMDEN</v>
      </c>
      <c r="H215" s="20" t="str">
        <f t="shared" si="7"/>
        <v>4023</v>
      </c>
    </row>
    <row r="216" spans="1:8" x14ac:dyDescent="0.25">
      <c r="A216" s="8">
        <v>42995.912268518521</v>
      </c>
      <c r="B216" s="20" t="s">
        <v>399</v>
      </c>
      <c r="C216" s="20" t="s">
        <v>798</v>
      </c>
      <c r="D216" s="138">
        <v>2000000</v>
      </c>
      <c r="E216" s="20" t="s">
        <v>429</v>
      </c>
      <c r="F216" s="20" t="s">
        <v>379</v>
      </c>
      <c r="G216" s="8" t="str">
        <f t="shared" si="6"/>
        <v>STAMBAUGH JAMES</v>
      </c>
      <c r="H216" s="20" t="str">
        <f t="shared" si="7"/>
        <v>4059</v>
      </c>
    </row>
    <row r="217" spans="1:8" x14ac:dyDescent="0.25">
      <c r="A217" s="8">
        <v>42995.919722222221</v>
      </c>
      <c r="B217" s="20" t="s">
        <v>589</v>
      </c>
      <c r="C217" s="20" t="s">
        <v>799</v>
      </c>
      <c r="D217" s="138">
        <v>2420000</v>
      </c>
      <c r="E217" s="20" t="s">
        <v>468</v>
      </c>
      <c r="F217" s="20" t="s">
        <v>469</v>
      </c>
      <c r="G217" s="8" t="str">
        <f t="shared" si="6"/>
        <v>HOLCOMB KAMDEN</v>
      </c>
      <c r="H217" s="20" t="str">
        <f t="shared" si="7"/>
        <v>4024</v>
      </c>
    </row>
    <row r="218" spans="1:8" x14ac:dyDescent="0.25">
      <c r="A218" s="8">
        <v>42995.923460648148</v>
      </c>
      <c r="B218" s="20" t="s">
        <v>591</v>
      </c>
      <c r="C218" s="20" t="s">
        <v>800</v>
      </c>
      <c r="D218" s="138">
        <v>2680000</v>
      </c>
      <c r="E218" s="20" t="s">
        <v>386</v>
      </c>
      <c r="F218" s="20" t="s">
        <v>387</v>
      </c>
      <c r="G218" s="8" t="str">
        <f t="shared" si="6"/>
        <v>DUNCAN SHEILA</v>
      </c>
      <c r="H218" s="20" t="str">
        <f t="shared" si="7"/>
        <v>4056</v>
      </c>
    </row>
    <row r="219" spans="1:8" x14ac:dyDescent="0.25">
      <c r="A219" s="8">
        <v>42995.926655092589</v>
      </c>
      <c r="B219" s="20" t="s">
        <v>400</v>
      </c>
      <c r="C219" s="20" t="s">
        <v>801</v>
      </c>
      <c r="D219" s="138">
        <v>3320000</v>
      </c>
      <c r="E219" s="20" t="s">
        <v>405</v>
      </c>
      <c r="F219" s="20" t="s">
        <v>406</v>
      </c>
      <c r="G219" s="8" t="str">
        <f t="shared" si="6"/>
        <v>NICHOLSON WESLEY</v>
      </c>
      <c r="H219" s="20" t="str">
        <f t="shared" si="7"/>
        <v>4015</v>
      </c>
    </row>
    <row r="220" spans="1:8" x14ac:dyDescent="0.25">
      <c r="A220" s="8">
        <v>42995.935810185183</v>
      </c>
      <c r="B220" s="20" t="s">
        <v>591</v>
      </c>
      <c r="C220" s="20" t="s">
        <v>800</v>
      </c>
      <c r="D220" s="138">
        <v>3310000</v>
      </c>
      <c r="E220" s="20" t="s">
        <v>608</v>
      </c>
      <c r="F220" s="20" t="s">
        <v>609</v>
      </c>
      <c r="G220" s="8" t="str">
        <f t="shared" si="6"/>
        <v>ANDERS STEVEN</v>
      </c>
      <c r="H220" s="20" t="str">
        <f t="shared" si="7"/>
        <v>4056</v>
      </c>
    </row>
    <row r="221" spans="1:8" x14ac:dyDescent="0.25">
      <c r="A221" s="8">
        <v>42995.942708333336</v>
      </c>
      <c r="B221" s="20" t="s">
        <v>446</v>
      </c>
      <c r="C221" s="20" t="s">
        <v>802</v>
      </c>
      <c r="D221" s="138">
        <v>3340000</v>
      </c>
      <c r="E221" s="20" t="s">
        <v>513</v>
      </c>
      <c r="F221" s="20" t="s">
        <v>514</v>
      </c>
      <c r="G221" s="8" t="str">
        <f t="shared" si="6"/>
        <v>ELBAUM MIKE</v>
      </c>
      <c r="H221" s="20" t="str">
        <f t="shared" si="7"/>
        <v>4027</v>
      </c>
    </row>
    <row r="222" spans="1:8" x14ac:dyDescent="0.25">
      <c r="A222" s="8">
        <v>42995.942800925928</v>
      </c>
      <c r="B222" s="20" t="s">
        <v>578</v>
      </c>
      <c r="C222" s="20" t="s">
        <v>803</v>
      </c>
      <c r="D222" s="138">
        <v>2420000</v>
      </c>
      <c r="E222" s="20" t="s">
        <v>468</v>
      </c>
      <c r="F222" s="20" t="s">
        <v>469</v>
      </c>
      <c r="G222" s="8" t="str">
        <f t="shared" si="6"/>
        <v>HOLCOMB KAMDEN</v>
      </c>
      <c r="H222" s="20" t="str">
        <f t="shared" si="7"/>
        <v>4023</v>
      </c>
    </row>
    <row r="223" spans="1:8" x14ac:dyDescent="0.25">
      <c r="A223" s="8">
        <v>42995.94425925926</v>
      </c>
      <c r="B223" s="20" t="s">
        <v>403</v>
      </c>
      <c r="C223" s="20" t="s">
        <v>804</v>
      </c>
      <c r="D223" s="138">
        <v>2000000</v>
      </c>
      <c r="E223" s="20" t="s">
        <v>429</v>
      </c>
      <c r="F223" s="20" t="s">
        <v>379</v>
      </c>
      <c r="G223" s="8" t="str">
        <f t="shared" si="6"/>
        <v>STAMBAUGH JAMES</v>
      </c>
      <c r="H223" s="20" t="str">
        <f t="shared" si="7"/>
        <v>4060</v>
      </c>
    </row>
    <row r="224" spans="1:8" x14ac:dyDescent="0.25">
      <c r="A224" s="8">
        <v>42995.957905092589</v>
      </c>
      <c r="B224" t="s">
        <v>589</v>
      </c>
      <c r="C224" t="s">
        <v>605</v>
      </c>
      <c r="D224" s="138">
        <v>2420000</v>
      </c>
      <c r="E224" t="s">
        <v>468</v>
      </c>
      <c r="F224" s="20" t="s">
        <v>469</v>
      </c>
      <c r="G224" s="8" t="str">
        <f t="shared" si="6"/>
        <v>HOLCOMB KAMDEN</v>
      </c>
      <c r="H224" s="20" t="str">
        <f t="shared" si="7"/>
        <v>4024</v>
      </c>
    </row>
    <row r="225" spans="1:8" x14ac:dyDescent="0.25">
      <c r="A225" s="8">
        <v>42995.965949074074</v>
      </c>
      <c r="B225" t="s">
        <v>628</v>
      </c>
      <c r="C225" t="s">
        <v>805</v>
      </c>
      <c r="D225" s="138">
        <v>3310000</v>
      </c>
      <c r="E225" t="s">
        <v>608</v>
      </c>
      <c r="F225" s="20" t="s">
        <v>609</v>
      </c>
      <c r="G225" s="8" t="str">
        <f t="shared" si="6"/>
        <v>ANDERS STEVEN</v>
      </c>
      <c r="H225" s="20" t="str">
        <f t="shared" si="7"/>
        <v>4055</v>
      </c>
    </row>
    <row r="226" spans="1:8" x14ac:dyDescent="0.25">
      <c r="A226" s="8">
        <v>42995.96806712963</v>
      </c>
      <c r="B226" t="s">
        <v>401</v>
      </c>
      <c r="C226" t="s">
        <v>806</v>
      </c>
      <c r="D226" s="138">
        <v>890000</v>
      </c>
      <c r="E226" t="s">
        <v>372</v>
      </c>
      <c r="F226" s="20" t="s">
        <v>373</v>
      </c>
      <c r="G226" s="8" t="str">
        <f t="shared" si="6"/>
        <v>LOZA FIDEL</v>
      </c>
      <c r="H226" s="20" t="str">
        <f t="shared" si="7"/>
        <v>4016</v>
      </c>
    </row>
    <row r="227" spans="1:8" x14ac:dyDescent="0.25">
      <c r="A227" s="8">
        <v>42995.976747685185</v>
      </c>
      <c r="B227" t="s">
        <v>578</v>
      </c>
      <c r="C227" t="s">
        <v>807</v>
      </c>
      <c r="D227" s="138">
        <v>2420000</v>
      </c>
      <c r="E227" t="s">
        <v>468</v>
      </c>
      <c r="F227" s="20" t="s">
        <v>469</v>
      </c>
      <c r="G227" s="8" t="str">
        <f t="shared" si="6"/>
        <v>HOLCOMB KAMDEN</v>
      </c>
      <c r="H227" s="20" t="str">
        <f t="shared" si="7"/>
        <v>4023</v>
      </c>
    </row>
    <row r="228" spans="1:8" x14ac:dyDescent="0.25">
      <c r="A228" s="8">
        <v>42995.994259259256</v>
      </c>
      <c r="B228" t="s">
        <v>399</v>
      </c>
      <c r="C228" t="s">
        <v>808</v>
      </c>
      <c r="D228" s="138">
        <v>2000000</v>
      </c>
      <c r="E228" t="s">
        <v>429</v>
      </c>
      <c r="F228" s="20" t="s">
        <v>379</v>
      </c>
      <c r="G228" s="8" t="str">
        <f t="shared" si="6"/>
        <v>STAMBAUGH JAMES</v>
      </c>
      <c r="H228" s="20" t="str">
        <f t="shared" si="7"/>
        <v>4059</v>
      </c>
    </row>
    <row r="229" spans="1:8" x14ac:dyDescent="0.25">
      <c r="A229" s="8">
        <v>42995.998391203706</v>
      </c>
      <c r="B229" t="s">
        <v>445</v>
      </c>
      <c r="C229" t="s">
        <v>606</v>
      </c>
      <c r="D229" s="138">
        <v>3340000</v>
      </c>
      <c r="E229" t="s">
        <v>513</v>
      </c>
      <c r="F229" s="20" t="s">
        <v>514</v>
      </c>
      <c r="G229" s="8" t="str">
        <f t="shared" si="6"/>
        <v>ELBAUM MIKE</v>
      </c>
      <c r="H229" s="20" t="str">
        <f t="shared" si="7"/>
        <v>4028</v>
      </c>
    </row>
    <row r="230" spans="1:8" x14ac:dyDescent="0.25">
      <c r="A230" s="8">
        <v>42996.006608796299</v>
      </c>
      <c r="B230" t="s">
        <v>591</v>
      </c>
      <c r="C230" t="s">
        <v>809</v>
      </c>
      <c r="D230" s="138">
        <v>2680000</v>
      </c>
      <c r="E230" t="s">
        <v>386</v>
      </c>
      <c r="F230" s="20" t="s">
        <v>387</v>
      </c>
      <c r="G230" s="8" t="str">
        <f t="shared" si="6"/>
        <v>DUNCAN SHEILA</v>
      </c>
      <c r="H230" s="20" t="str">
        <f t="shared" si="7"/>
        <v>4056</v>
      </c>
    </row>
    <row r="231" spans="1:8" x14ac:dyDescent="0.25">
      <c r="A231" s="8">
        <v>42996.01730324074</v>
      </c>
      <c r="B231" t="s">
        <v>400</v>
      </c>
      <c r="C231" t="s">
        <v>810</v>
      </c>
      <c r="D231" s="138">
        <v>890000</v>
      </c>
      <c r="E231" t="s">
        <v>372</v>
      </c>
      <c r="F231" s="20" t="s">
        <v>373</v>
      </c>
      <c r="G231" s="8" t="str">
        <f t="shared" si="6"/>
        <v>LOZA FIDEL</v>
      </c>
      <c r="H231" s="20" t="str">
        <f t="shared" si="7"/>
        <v>4015</v>
      </c>
    </row>
    <row r="232" spans="1:8" x14ac:dyDescent="0.25">
      <c r="A232" s="8">
        <v>42996.026759259257</v>
      </c>
      <c r="B232" t="s">
        <v>446</v>
      </c>
      <c r="C232" t="s">
        <v>811</v>
      </c>
      <c r="D232" s="138">
        <v>3340000</v>
      </c>
      <c r="E232" t="s">
        <v>513</v>
      </c>
      <c r="F232" s="20" t="s">
        <v>514</v>
      </c>
      <c r="G232" s="8" t="str">
        <f t="shared" si="6"/>
        <v>ELBAUM MIKE</v>
      </c>
      <c r="H232" s="20" t="str">
        <f t="shared" si="7"/>
        <v>4027</v>
      </c>
    </row>
    <row r="233" spans="1:8" x14ac:dyDescent="0.25">
      <c r="A233" s="8">
        <v>42996.026956018519</v>
      </c>
      <c r="B233" t="s">
        <v>403</v>
      </c>
      <c r="C233" t="s">
        <v>812</v>
      </c>
      <c r="D233" s="138">
        <v>2000000</v>
      </c>
      <c r="E233" t="s">
        <v>429</v>
      </c>
      <c r="F233" s="20" t="s">
        <v>379</v>
      </c>
      <c r="G233" s="8" t="str">
        <f t="shared" si="6"/>
        <v>STAMBAUGH JAMES</v>
      </c>
      <c r="H233" s="20" t="str">
        <f t="shared" si="7"/>
        <v>4060</v>
      </c>
    </row>
    <row r="234" spans="1:8" x14ac:dyDescent="0.25">
      <c r="A234" s="8">
        <v>42996.046296296299</v>
      </c>
      <c r="B234" t="s">
        <v>401</v>
      </c>
      <c r="C234" t="s">
        <v>813</v>
      </c>
      <c r="D234" s="138">
        <v>890000</v>
      </c>
      <c r="E234" t="s">
        <v>372</v>
      </c>
      <c r="F234" s="20" t="s">
        <v>373</v>
      </c>
      <c r="G234" s="8" t="str">
        <f t="shared" si="6"/>
        <v>LOZA FIDEL</v>
      </c>
      <c r="H234" s="20" t="str">
        <f t="shared" si="7"/>
        <v>4016</v>
      </c>
    </row>
    <row r="235" spans="1:8" x14ac:dyDescent="0.25">
      <c r="A235" s="8">
        <v>42996.056377314817</v>
      </c>
      <c r="B235" t="s">
        <v>628</v>
      </c>
      <c r="C235" t="s">
        <v>814</v>
      </c>
      <c r="D235" s="138">
        <v>2680000</v>
      </c>
      <c r="E235" t="s">
        <v>386</v>
      </c>
      <c r="F235" s="20" t="s">
        <v>387</v>
      </c>
      <c r="G235" s="8" t="str">
        <f t="shared" si="6"/>
        <v>DUNCAN SHEILA</v>
      </c>
      <c r="H235" s="20" t="str">
        <f t="shared" si="7"/>
        <v>4055</v>
      </c>
    </row>
    <row r="236" spans="1:8" x14ac:dyDescent="0.25">
      <c r="A236" s="8">
        <v>42996.069930555554</v>
      </c>
      <c r="B236" t="s">
        <v>445</v>
      </c>
      <c r="C236" t="s">
        <v>815</v>
      </c>
      <c r="D236" s="138">
        <v>3340000</v>
      </c>
      <c r="E236" t="s">
        <v>513</v>
      </c>
      <c r="F236" s="20" t="s">
        <v>514</v>
      </c>
      <c r="G236" s="8" t="str">
        <f t="shared" si="6"/>
        <v>ELBAUM MIKE</v>
      </c>
      <c r="H236" s="20" t="str">
        <f t="shared" si="7"/>
        <v>4028</v>
      </c>
    </row>
    <row r="237" spans="1:8" x14ac:dyDescent="0.25">
      <c r="A237" s="8">
        <v>42996.087951388887</v>
      </c>
      <c r="B237" t="s">
        <v>591</v>
      </c>
      <c r="C237" t="s">
        <v>816</v>
      </c>
      <c r="D237" s="138">
        <v>2680000</v>
      </c>
      <c r="E237" t="s">
        <v>386</v>
      </c>
      <c r="F237" s="20" t="s">
        <v>387</v>
      </c>
      <c r="G237" s="8" t="str">
        <f t="shared" si="6"/>
        <v>DUNCAN SHEILA</v>
      </c>
      <c r="H237" s="20" t="str">
        <f t="shared" si="7"/>
        <v>4056</v>
      </c>
    </row>
    <row r="238" spans="1:8" x14ac:dyDescent="0.25">
      <c r="A238" s="8">
        <v>42996.111886574072</v>
      </c>
      <c r="B238" t="s">
        <v>388</v>
      </c>
      <c r="C238" t="s">
        <v>817</v>
      </c>
      <c r="D238" s="138">
        <v>3120000</v>
      </c>
      <c r="E238" t="s">
        <v>619</v>
      </c>
      <c r="F238" s="20" t="s">
        <v>620</v>
      </c>
      <c r="G238" s="8" t="str">
        <f t="shared" si="6"/>
        <v>THOMPSON LESTER</v>
      </c>
      <c r="H238" s="20" t="str">
        <f t="shared" si="7"/>
        <v>4061</v>
      </c>
    </row>
    <row r="239" spans="1:8" x14ac:dyDescent="0.25">
      <c r="A239" s="8">
        <v>42992.95008101852</v>
      </c>
      <c r="B239" t="s">
        <v>517</v>
      </c>
      <c r="C239" t="s">
        <v>518</v>
      </c>
      <c r="D239" s="138">
        <v>2440000</v>
      </c>
      <c r="E239" t="s">
        <v>472</v>
      </c>
      <c r="F239" s="20" t="s">
        <v>473</v>
      </c>
      <c r="G239" s="8" t="str">
        <f t="shared" si="6"/>
        <v>LOPES KIMBERLY</v>
      </c>
      <c r="H239" s="20" t="str">
        <f t="shared" si="7"/>
        <v>4036</v>
      </c>
    </row>
    <row r="240" spans="1:8" x14ac:dyDescent="0.25">
      <c r="A240" s="8">
        <v>42992.955497685187</v>
      </c>
      <c r="B240" t="s">
        <v>500</v>
      </c>
      <c r="C240" t="s">
        <v>519</v>
      </c>
      <c r="D240" s="138">
        <v>3190000</v>
      </c>
      <c r="E240" t="s">
        <v>393</v>
      </c>
      <c r="F240" s="20" t="s">
        <v>394</v>
      </c>
      <c r="G240" s="8" t="str">
        <f t="shared" si="6"/>
        <v>HART KEVIN</v>
      </c>
      <c r="H240" s="20" t="str">
        <f t="shared" si="7"/>
        <v>4004</v>
      </c>
    </row>
    <row r="241" spans="1:8" x14ac:dyDescent="0.25">
      <c r="A241" s="8">
        <v>42992.956250000003</v>
      </c>
      <c r="B241" t="s">
        <v>498</v>
      </c>
      <c r="C241" t="s">
        <v>503</v>
      </c>
      <c r="D241" s="138">
        <v>2680000</v>
      </c>
      <c r="E241" t="s">
        <v>386</v>
      </c>
      <c r="F241" s="20" t="s">
        <v>387</v>
      </c>
      <c r="G241" s="8" t="str">
        <f t="shared" si="6"/>
        <v>DUNCAN SHEILA</v>
      </c>
      <c r="H241" s="20" t="str">
        <f t="shared" si="7"/>
        <v>4034</v>
      </c>
    </row>
    <row r="242" spans="1:8" x14ac:dyDescent="0.25">
      <c r="A242" s="8">
        <v>42992.964282407411</v>
      </c>
      <c r="B242" t="s">
        <v>435</v>
      </c>
      <c r="C242" t="s">
        <v>520</v>
      </c>
      <c r="D242" s="138">
        <v>890000</v>
      </c>
      <c r="E242" t="s">
        <v>372</v>
      </c>
      <c r="F242" s="20" t="s">
        <v>373</v>
      </c>
      <c r="G242" s="8" t="str">
        <f t="shared" si="6"/>
        <v>LOZA FIDEL</v>
      </c>
      <c r="H242" s="20" t="str">
        <f t="shared" si="7"/>
        <v>4058</v>
      </c>
    </row>
    <row r="243" spans="1:8" x14ac:dyDescent="0.25">
      <c r="A243" s="8">
        <v>42992.96429398148</v>
      </c>
      <c r="B243" t="s">
        <v>398</v>
      </c>
      <c r="C243" t="s">
        <v>521</v>
      </c>
      <c r="D243" s="138">
        <v>2620000</v>
      </c>
      <c r="E243" t="s">
        <v>391</v>
      </c>
      <c r="F243" s="20" t="s">
        <v>392</v>
      </c>
      <c r="G243" s="8" t="str">
        <f t="shared" si="6"/>
        <v>PERKINS DARREN</v>
      </c>
      <c r="H243" s="20" t="str">
        <f t="shared" si="7"/>
        <v>4031</v>
      </c>
    </row>
    <row r="244" spans="1:8" x14ac:dyDescent="0.25">
      <c r="A244" s="8">
        <v>42992.974999999999</v>
      </c>
      <c r="B244" t="s">
        <v>515</v>
      </c>
      <c r="C244" t="s">
        <v>516</v>
      </c>
      <c r="D244" s="138">
        <v>2440000</v>
      </c>
      <c r="E244" t="s">
        <v>472</v>
      </c>
      <c r="F244" s="20" t="s">
        <v>473</v>
      </c>
      <c r="G244" s="8" t="str">
        <f t="shared" si="6"/>
        <v>LOPES KIMBERLY</v>
      </c>
      <c r="H244" s="20" t="str">
        <f t="shared" si="7"/>
        <v>4035</v>
      </c>
    </row>
    <row r="245" spans="1:8" x14ac:dyDescent="0.25">
      <c r="A245" s="8">
        <v>42992.976111111115</v>
      </c>
      <c r="B245" t="s">
        <v>502</v>
      </c>
      <c r="C245" t="s">
        <v>522</v>
      </c>
      <c r="D245" s="138">
        <v>2680000</v>
      </c>
      <c r="E245" t="s">
        <v>386</v>
      </c>
      <c r="F245" s="20" t="s">
        <v>387</v>
      </c>
      <c r="G245" s="8" t="str">
        <f t="shared" si="6"/>
        <v>DUNCAN SHEILA</v>
      </c>
      <c r="H245" s="20" t="str">
        <f t="shared" si="7"/>
        <v>4033</v>
      </c>
    </row>
    <row r="246" spans="1:8" x14ac:dyDescent="0.25">
      <c r="A246" s="8">
        <v>42992.996307870373</v>
      </c>
      <c r="B246" t="s">
        <v>474</v>
      </c>
      <c r="C246" t="s">
        <v>523</v>
      </c>
      <c r="D246" s="138">
        <v>3190000</v>
      </c>
      <c r="E246" t="s">
        <v>393</v>
      </c>
      <c r="F246" s="20" t="s">
        <v>394</v>
      </c>
      <c r="G246" s="8" t="str">
        <f t="shared" si="6"/>
        <v>HART KEVIN</v>
      </c>
      <c r="H246" s="20" t="str">
        <f t="shared" si="7"/>
        <v>4003</v>
      </c>
    </row>
    <row r="247" spans="1:8" x14ac:dyDescent="0.25">
      <c r="A247" s="8">
        <v>42992.997337962966</v>
      </c>
      <c r="B247" t="s">
        <v>375</v>
      </c>
      <c r="C247" t="s">
        <v>524</v>
      </c>
      <c r="D247" s="138">
        <v>3340000</v>
      </c>
      <c r="E247" t="s">
        <v>513</v>
      </c>
      <c r="F247" s="20" t="s">
        <v>514</v>
      </c>
      <c r="G247" s="8" t="str">
        <f t="shared" si="6"/>
        <v>ELBAUM MIKE</v>
      </c>
      <c r="H247" s="20" t="str">
        <f t="shared" si="7"/>
        <v>4030</v>
      </c>
    </row>
    <row r="248" spans="1:8" x14ac:dyDescent="0.25">
      <c r="A248" s="8">
        <v>42993.005486111113</v>
      </c>
      <c r="B248" t="s">
        <v>383</v>
      </c>
      <c r="C248" t="s">
        <v>504</v>
      </c>
      <c r="D248" s="138">
        <v>2620000</v>
      </c>
      <c r="E248" t="s">
        <v>391</v>
      </c>
      <c r="F248" s="20" t="s">
        <v>392</v>
      </c>
      <c r="G248" s="8" t="str">
        <f t="shared" si="6"/>
        <v>PERKINS DARREN</v>
      </c>
      <c r="H248" s="20" t="str">
        <f t="shared" si="7"/>
        <v>4032</v>
      </c>
    </row>
    <row r="249" spans="1:8" x14ac:dyDescent="0.25">
      <c r="A249" s="8">
        <v>42993.017222222225</v>
      </c>
      <c r="B249" t="s">
        <v>501</v>
      </c>
      <c r="C249" t="s">
        <v>525</v>
      </c>
      <c r="D249" s="138">
        <v>890000</v>
      </c>
      <c r="E249" t="s">
        <v>372</v>
      </c>
      <c r="F249" s="20" t="s">
        <v>373</v>
      </c>
      <c r="G249" s="8" t="str">
        <f t="shared" si="6"/>
        <v>LOZA FIDEL</v>
      </c>
      <c r="H249" s="20" t="str">
        <f t="shared" si="7"/>
        <v>4057</v>
      </c>
    </row>
    <row r="250" spans="1:8" x14ac:dyDescent="0.25">
      <c r="A250" s="8">
        <v>42993.021782407406</v>
      </c>
      <c r="B250" t="s">
        <v>517</v>
      </c>
      <c r="C250" t="s">
        <v>518</v>
      </c>
      <c r="D250" s="138">
        <v>2440000</v>
      </c>
      <c r="E250" t="s">
        <v>472</v>
      </c>
      <c r="F250" s="20" t="s">
        <v>473</v>
      </c>
      <c r="G250" s="8" t="str">
        <f t="shared" si="6"/>
        <v>LOPES KIMBERLY</v>
      </c>
      <c r="H250" s="20" t="str">
        <f t="shared" si="7"/>
        <v>4036</v>
      </c>
    </row>
    <row r="251" spans="1:8" x14ac:dyDescent="0.25">
      <c r="A251" s="8">
        <v>42993.025300925925</v>
      </c>
      <c r="B251" t="s">
        <v>500</v>
      </c>
      <c r="C251" t="s">
        <v>526</v>
      </c>
      <c r="D251" s="138">
        <v>3190000</v>
      </c>
      <c r="E251" t="s">
        <v>393</v>
      </c>
      <c r="F251" s="20" t="s">
        <v>394</v>
      </c>
      <c r="G251" s="8" t="str">
        <f t="shared" si="6"/>
        <v>HART KEVIN</v>
      </c>
      <c r="H251" s="20" t="str">
        <f t="shared" si="7"/>
        <v>4004</v>
      </c>
    </row>
    <row r="252" spans="1:8" x14ac:dyDescent="0.25">
      <c r="A252" s="8">
        <v>42993.026296296295</v>
      </c>
      <c r="B252" t="s">
        <v>422</v>
      </c>
      <c r="C252" t="s">
        <v>527</v>
      </c>
      <c r="D252" s="138">
        <v>3340000</v>
      </c>
      <c r="E252" t="s">
        <v>513</v>
      </c>
      <c r="F252" s="20" t="s">
        <v>514</v>
      </c>
      <c r="G252" s="8" t="str">
        <f t="shared" si="6"/>
        <v>ELBAUM MIKE</v>
      </c>
      <c r="H252" s="20" t="str">
        <f t="shared" si="7"/>
        <v>4029</v>
      </c>
    </row>
    <row r="253" spans="1:8" x14ac:dyDescent="0.25">
      <c r="A253" s="8">
        <v>42993.046979166669</v>
      </c>
      <c r="B253" t="s">
        <v>435</v>
      </c>
      <c r="C253" t="s">
        <v>528</v>
      </c>
      <c r="D253" s="138">
        <v>890000</v>
      </c>
      <c r="E253" t="s">
        <v>372</v>
      </c>
      <c r="F253" s="20" t="s">
        <v>373</v>
      </c>
      <c r="G253" s="8" t="str">
        <f t="shared" si="6"/>
        <v>LOZA FIDEL</v>
      </c>
      <c r="H253" s="20" t="str">
        <f t="shared" si="7"/>
        <v>4058</v>
      </c>
    </row>
    <row r="254" spans="1:8" x14ac:dyDescent="0.25">
      <c r="A254" s="8">
        <v>42993.047731481478</v>
      </c>
      <c r="B254" t="s">
        <v>435</v>
      </c>
      <c r="C254" t="s">
        <v>528</v>
      </c>
      <c r="D254" s="138">
        <v>890000</v>
      </c>
      <c r="E254" t="s">
        <v>372</v>
      </c>
      <c r="F254" s="20" t="s">
        <v>373</v>
      </c>
      <c r="G254" s="8" t="str">
        <f t="shared" si="6"/>
        <v>LOZA FIDEL</v>
      </c>
      <c r="H254" s="20" t="str">
        <f t="shared" si="7"/>
        <v>4058</v>
      </c>
    </row>
    <row r="255" spans="1:8" x14ac:dyDescent="0.25">
      <c r="A255" s="8">
        <v>42993.049201388887</v>
      </c>
      <c r="B255" t="s">
        <v>435</v>
      </c>
      <c r="C255" t="s">
        <v>528</v>
      </c>
      <c r="D255" s="138">
        <v>890000</v>
      </c>
      <c r="E255" t="s">
        <v>372</v>
      </c>
      <c r="F255" s="20" t="s">
        <v>373</v>
      </c>
      <c r="G255" s="8" t="str">
        <f t="shared" si="6"/>
        <v>LOZA FIDEL</v>
      </c>
      <c r="H255" s="20" t="str">
        <f t="shared" si="7"/>
        <v>4058</v>
      </c>
    </row>
    <row r="256" spans="1:8" x14ac:dyDescent="0.25">
      <c r="A256" s="8">
        <v>42993.051527777781</v>
      </c>
      <c r="B256" t="s">
        <v>398</v>
      </c>
      <c r="C256" t="s">
        <v>505</v>
      </c>
      <c r="D256" s="138">
        <v>2620000</v>
      </c>
      <c r="E256" t="s">
        <v>391</v>
      </c>
      <c r="F256" s="20" t="s">
        <v>392</v>
      </c>
      <c r="G256" s="8" t="str">
        <f t="shared" si="6"/>
        <v>PERKINS DARREN</v>
      </c>
      <c r="H256" s="20" t="str">
        <f t="shared" si="7"/>
        <v>4031</v>
      </c>
    </row>
    <row r="257" spans="1:8" x14ac:dyDescent="0.25">
      <c r="A257" s="8">
        <v>42993.051759259259</v>
      </c>
      <c r="B257" t="s">
        <v>515</v>
      </c>
      <c r="C257" t="s">
        <v>516</v>
      </c>
      <c r="D257" s="138">
        <v>2440000</v>
      </c>
      <c r="E257" t="s">
        <v>472</v>
      </c>
      <c r="F257" s="20" t="s">
        <v>473</v>
      </c>
      <c r="G257" s="8" t="str">
        <f t="shared" si="6"/>
        <v>LOPES KIMBERLY</v>
      </c>
      <c r="H257" s="20" t="str">
        <f t="shared" si="7"/>
        <v>4035</v>
      </c>
    </row>
    <row r="258" spans="1:8" x14ac:dyDescent="0.25">
      <c r="A258" s="8">
        <v>42993.067615740743</v>
      </c>
      <c r="B258" t="s">
        <v>375</v>
      </c>
      <c r="C258" t="s">
        <v>529</v>
      </c>
      <c r="D258" s="138">
        <v>3340000</v>
      </c>
      <c r="E258" t="s">
        <v>513</v>
      </c>
      <c r="F258" s="20" t="s">
        <v>514</v>
      </c>
      <c r="G258" s="8" t="str">
        <f t="shared" si="6"/>
        <v>ELBAUM MIKE</v>
      </c>
      <c r="H258" s="20" t="str">
        <f t="shared" si="7"/>
        <v>4030</v>
      </c>
    </row>
    <row r="259" spans="1:8" x14ac:dyDescent="0.25">
      <c r="A259" s="8">
        <v>42993.068460648145</v>
      </c>
      <c r="B259" t="s">
        <v>375</v>
      </c>
      <c r="C259" t="s">
        <v>529</v>
      </c>
      <c r="D259" s="138">
        <v>3340000</v>
      </c>
      <c r="E259" t="s">
        <v>513</v>
      </c>
      <c r="F259" s="20" t="s">
        <v>514</v>
      </c>
      <c r="G259" s="8" t="str">
        <f t="shared" ref="G259:G273" si="8">E259&amp;" "&amp;F259</f>
        <v>ELBAUM MIKE</v>
      </c>
      <c r="H259" s="20" t="str">
        <f t="shared" ref="H259:H273" si="9">MID(B259,13,4)</f>
        <v>4030</v>
      </c>
    </row>
    <row r="260" spans="1:8" x14ac:dyDescent="0.25">
      <c r="A260" s="8">
        <v>42993.080104166664</v>
      </c>
      <c r="B260" t="s">
        <v>517</v>
      </c>
      <c r="C260" t="s">
        <v>516</v>
      </c>
      <c r="D260" s="138">
        <v>2440000</v>
      </c>
      <c r="E260" t="s">
        <v>472</v>
      </c>
      <c r="F260" s="20" t="s">
        <v>473</v>
      </c>
      <c r="G260" s="8" t="str">
        <f t="shared" si="8"/>
        <v>LOPES KIMBERLY</v>
      </c>
      <c r="H260" s="20" t="str">
        <f t="shared" si="9"/>
        <v>4036</v>
      </c>
    </row>
    <row r="261" spans="1:8" x14ac:dyDescent="0.25">
      <c r="A261" s="8">
        <v>42993.081076388888</v>
      </c>
      <c r="B261" t="s">
        <v>517</v>
      </c>
      <c r="C261" t="s">
        <v>516</v>
      </c>
      <c r="D261" s="138">
        <v>2440000</v>
      </c>
      <c r="E261" t="s">
        <v>472</v>
      </c>
      <c r="F261" s="20" t="s">
        <v>473</v>
      </c>
      <c r="G261" s="8" t="str">
        <f t="shared" si="8"/>
        <v>LOPES KIMBERLY</v>
      </c>
      <c r="H261" s="20" t="str">
        <f t="shared" si="9"/>
        <v>4036</v>
      </c>
    </row>
    <row r="262" spans="1:8" x14ac:dyDescent="0.25">
      <c r="A262" s="8">
        <v>42993.081678240742</v>
      </c>
      <c r="B262" t="s">
        <v>517</v>
      </c>
      <c r="C262" t="s">
        <v>530</v>
      </c>
      <c r="D262" s="138">
        <v>2440000</v>
      </c>
      <c r="E262" t="s">
        <v>472</v>
      </c>
      <c r="F262" s="20" t="s">
        <v>473</v>
      </c>
      <c r="G262" s="8" t="str">
        <f t="shared" si="8"/>
        <v>LOPES KIMBERLY</v>
      </c>
      <c r="H262" s="20" t="str">
        <f t="shared" si="9"/>
        <v>4036</v>
      </c>
    </row>
    <row r="263" spans="1:8" x14ac:dyDescent="0.25">
      <c r="A263" s="8">
        <v>42993.089236111111</v>
      </c>
      <c r="B263" t="s">
        <v>383</v>
      </c>
      <c r="C263" t="s">
        <v>531</v>
      </c>
      <c r="D263" s="138">
        <v>2620000</v>
      </c>
      <c r="E263" t="s">
        <v>391</v>
      </c>
      <c r="F263" s="20" t="s">
        <v>392</v>
      </c>
      <c r="G263" s="8" t="str">
        <f t="shared" si="8"/>
        <v>PERKINS DARREN</v>
      </c>
      <c r="H263" s="20" t="str">
        <f t="shared" si="9"/>
        <v>4032</v>
      </c>
    </row>
    <row r="264" spans="1:8" x14ac:dyDescent="0.25">
      <c r="A264" s="8">
        <v>42993.113506944443</v>
      </c>
      <c r="B264" t="s">
        <v>460</v>
      </c>
      <c r="C264" t="s">
        <v>532</v>
      </c>
      <c r="D264" s="138">
        <v>1830000</v>
      </c>
      <c r="E264" t="s">
        <v>461</v>
      </c>
      <c r="F264" s="20" t="s">
        <v>462</v>
      </c>
      <c r="G264" s="8" t="str">
        <f t="shared" si="8"/>
        <v>YORK EDGAR</v>
      </c>
      <c r="H264" s="20" t="str">
        <f t="shared" si="9"/>
        <v>4043</v>
      </c>
    </row>
    <row r="265" spans="1:8" x14ac:dyDescent="0.25">
      <c r="A265" s="8">
        <v>42985.008680555555</v>
      </c>
      <c r="B265" t="s">
        <v>398</v>
      </c>
      <c r="C265" t="s">
        <v>407</v>
      </c>
      <c r="D265" s="138">
        <v>2620000</v>
      </c>
      <c r="E265" t="s">
        <v>391</v>
      </c>
      <c r="F265" s="20" t="s">
        <v>392</v>
      </c>
      <c r="G265" s="8" t="str">
        <f t="shared" si="8"/>
        <v>PERKINS DARREN</v>
      </c>
      <c r="H265" s="20" t="str">
        <f t="shared" si="9"/>
        <v>4031</v>
      </c>
    </row>
    <row r="266" spans="1:8" x14ac:dyDescent="0.25">
      <c r="A266" s="8">
        <v>42985.011296296296</v>
      </c>
      <c r="B266" t="s">
        <v>400</v>
      </c>
      <c r="C266" t="s">
        <v>408</v>
      </c>
      <c r="D266" s="138">
        <v>3320000</v>
      </c>
      <c r="E266" t="s">
        <v>405</v>
      </c>
      <c r="F266" s="20" t="s">
        <v>406</v>
      </c>
      <c r="G266" s="8" t="str">
        <f t="shared" si="8"/>
        <v>NICHOLSON WESLEY</v>
      </c>
      <c r="H266" s="20" t="str">
        <f t="shared" si="9"/>
        <v>4015</v>
      </c>
    </row>
    <row r="267" spans="1:8" x14ac:dyDescent="0.25">
      <c r="A267" s="8">
        <v>42985.017731481479</v>
      </c>
      <c r="B267" t="s">
        <v>389</v>
      </c>
      <c r="C267" t="s">
        <v>409</v>
      </c>
      <c r="D267" s="138">
        <v>3190000</v>
      </c>
      <c r="E267" t="s">
        <v>393</v>
      </c>
      <c r="F267" s="20" t="s">
        <v>394</v>
      </c>
      <c r="G267" s="8" t="str">
        <f t="shared" si="8"/>
        <v>HART KEVIN</v>
      </c>
      <c r="H267" s="20" t="str">
        <f t="shared" si="9"/>
        <v>4020</v>
      </c>
    </row>
    <row r="268" spans="1:8" x14ac:dyDescent="0.25">
      <c r="A268" s="8">
        <v>42985.028749999998</v>
      </c>
      <c r="B268" t="s">
        <v>383</v>
      </c>
      <c r="C268" t="s">
        <v>410</v>
      </c>
      <c r="D268" s="138">
        <v>2620000</v>
      </c>
      <c r="E268" t="s">
        <v>391</v>
      </c>
      <c r="F268" s="20" t="s">
        <v>392</v>
      </c>
      <c r="G268" s="8" t="str">
        <f t="shared" si="8"/>
        <v>PERKINS DARREN</v>
      </c>
      <c r="H268" s="20" t="str">
        <f t="shared" si="9"/>
        <v>4032</v>
      </c>
    </row>
    <row r="269" spans="1:8" x14ac:dyDescent="0.25">
      <c r="A269" s="8">
        <v>42985.037442129629</v>
      </c>
      <c r="B269" t="s">
        <v>388</v>
      </c>
      <c r="C269" t="s">
        <v>411</v>
      </c>
      <c r="D269" s="138">
        <v>890000</v>
      </c>
      <c r="E269" t="s">
        <v>372</v>
      </c>
      <c r="F269" s="20" t="s">
        <v>373</v>
      </c>
      <c r="G269" s="8" t="str">
        <f t="shared" si="8"/>
        <v>LOZA FIDEL</v>
      </c>
      <c r="H269" s="20" t="str">
        <f t="shared" si="9"/>
        <v>4061</v>
      </c>
    </row>
    <row r="270" spans="1:8" x14ac:dyDescent="0.25">
      <c r="A270" s="8">
        <v>42985.050081018519</v>
      </c>
      <c r="B270" t="s">
        <v>401</v>
      </c>
      <c r="C270" t="s">
        <v>412</v>
      </c>
      <c r="D270" s="138">
        <v>2680000</v>
      </c>
      <c r="E270" t="s">
        <v>386</v>
      </c>
      <c r="F270" s="20" t="s">
        <v>387</v>
      </c>
      <c r="G270" s="8" t="str">
        <f t="shared" si="8"/>
        <v>DUNCAN SHEILA</v>
      </c>
      <c r="H270" s="20" t="str">
        <f t="shared" si="9"/>
        <v>4016</v>
      </c>
    </row>
    <row r="271" spans="1:8" x14ac:dyDescent="0.25">
      <c r="A271" s="8">
        <v>42985.058425925927</v>
      </c>
      <c r="B271" t="s">
        <v>390</v>
      </c>
      <c r="C271" t="s">
        <v>413</v>
      </c>
      <c r="D271" s="138">
        <v>3190000</v>
      </c>
      <c r="E271" t="s">
        <v>393</v>
      </c>
      <c r="F271" s="20" t="s">
        <v>394</v>
      </c>
      <c r="G271" s="8" t="str">
        <f t="shared" si="8"/>
        <v>HART KEVIN</v>
      </c>
      <c r="H271" s="20" t="str">
        <f t="shared" si="9"/>
        <v>4019</v>
      </c>
    </row>
    <row r="272" spans="1:8" x14ac:dyDescent="0.25">
      <c r="A272" s="8">
        <v>42985.067395833335</v>
      </c>
      <c r="B272" t="s">
        <v>404</v>
      </c>
      <c r="C272" t="s">
        <v>414</v>
      </c>
      <c r="D272" s="138">
        <v>890000</v>
      </c>
      <c r="E272" t="s">
        <v>372</v>
      </c>
      <c r="F272" s="20" t="s">
        <v>373</v>
      </c>
      <c r="G272" s="8" t="str">
        <f t="shared" si="8"/>
        <v>LOZA FIDEL</v>
      </c>
      <c r="H272" s="20" t="str">
        <f t="shared" si="9"/>
        <v>4062</v>
      </c>
    </row>
    <row r="273" spans="1:8" x14ac:dyDescent="0.25">
      <c r="A273" s="8">
        <v>42985.088564814818</v>
      </c>
      <c r="B273" t="s">
        <v>389</v>
      </c>
      <c r="C273" t="s">
        <v>402</v>
      </c>
      <c r="D273" s="138">
        <v>3190000</v>
      </c>
      <c r="E273" t="s">
        <v>393</v>
      </c>
      <c r="F273" s="20" t="s">
        <v>394</v>
      </c>
      <c r="G273" s="8" t="str">
        <f t="shared" si="8"/>
        <v>HART KEVIN</v>
      </c>
      <c r="H273" s="20" t="str">
        <f t="shared" si="9"/>
        <v>4020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activeCell="R31" sqref="R31:S31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9" t="s">
        <v>158</v>
      </c>
      <c r="B1" s="219" t="s">
        <v>161</v>
      </c>
      <c r="C1" s="219" t="s">
        <v>154</v>
      </c>
      <c r="D1" s="136" t="s">
        <v>166</v>
      </c>
      <c r="E1" s="219" t="s">
        <v>155</v>
      </c>
      <c r="F1" s="219" t="s">
        <v>153</v>
      </c>
      <c r="G1" s="219" t="s">
        <v>151</v>
      </c>
      <c r="H1" s="219" t="s">
        <v>164</v>
      </c>
      <c r="I1" s="219" t="s">
        <v>165</v>
      </c>
      <c r="J1" s="219" t="s">
        <v>475</v>
      </c>
      <c r="K1" s="219" t="s">
        <v>159</v>
      </c>
      <c r="L1" s="219" t="s">
        <v>157</v>
      </c>
      <c r="M1" s="219" t="s">
        <v>152</v>
      </c>
      <c r="N1" s="219" t="s">
        <v>162</v>
      </c>
      <c r="O1" s="219" t="s">
        <v>347</v>
      </c>
      <c r="P1" s="219" t="s">
        <v>156</v>
      </c>
      <c r="Q1" s="219" t="s">
        <v>163</v>
      </c>
      <c r="R1" s="219" t="s">
        <v>348</v>
      </c>
      <c r="S1" s="219" t="s">
        <v>160</v>
      </c>
    </row>
    <row r="2" spans="1:19" x14ac:dyDescent="0.25">
      <c r="A2" s="197">
        <v>54.31</v>
      </c>
      <c r="B2" s="197">
        <v>0.14000000000000001</v>
      </c>
      <c r="C2" s="197">
        <v>46.41</v>
      </c>
      <c r="D2" s="8">
        <v>42995</v>
      </c>
      <c r="E2" s="197">
        <v>0.75</v>
      </c>
      <c r="F2" s="197" t="s">
        <v>368</v>
      </c>
      <c r="G2" s="197">
        <v>290.83999999999997</v>
      </c>
      <c r="H2" s="197">
        <v>0</v>
      </c>
      <c r="I2" s="197">
        <v>0</v>
      </c>
      <c r="J2" s="197"/>
      <c r="K2" s="197">
        <v>1017.94</v>
      </c>
      <c r="L2" s="197" t="s">
        <v>367</v>
      </c>
      <c r="M2" s="197">
        <v>54.31</v>
      </c>
      <c r="N2" s="197">
        <v>1505628000</v>
      </c>
      <c r="O2" s="197">
        <v>0</v>
      </c>
      <c r="P2" s="197">
        <v>3.69</v>
      </c>
      <c r="Q2" s="197">
        <v>311</v>
      </c>
      <c r="R2" s="197">
        <v>2.96</v>
      </c>
      <c r="S2" s="197">
        <v>0.63</v>
      </c>
    </row>
    <row r="3" spans="1:19" x14ac:dyDescent="0.25">
      <c r="A3" s="197">
        <v>53.32</v>
      </c>
      <c r="B3" s="197">
        <v>0.23</v>
      </c>
      <c r="C3" s="197">
        <v>46.16</v>
      </c>
      <c r="D3" s="8">
        <v>42995.041666666664</v>
      </c>
      <c r="E3" s="197">
        <v>0.77</v>
      </c>
      <c r="F3" s="197" t="s">
        <v>368</v>
      </c>
      <c r="G3" s="197">
        <v>291.29000000000002</v>
      </c>
      <c r="H3" s="197">
        <v>0</v>
      </c>
      <c r="I3" s="197">
        <v>0</v>
      </c>
      <c r="J3" s="197"/>
      <c r="K3" s="197">
        <v>1018.21</v>
      </c>
      <c r="L3" s="197" t="s">
        <v>367</v>
      </c>
      <c r="M3" s="197">
        <v>53.32</v>
      </c>
      <c r="N3" s="197">
        <v>1505631600</v>
      </c>
      <c r="O3" s="197">
        <v>0</v>
      </c>
      <c r="P3" s="197">
        <v>3.23</v>
      </c>
      <c r="Q3" s="197">
        <v>326</v>
      </c>
      <c r="R3" s="197">
        <v>2.5099999999999998</v>
      </c>
      <c r="S3" s="197">
        <v>0.62</v>
      </c>
    </row>
    <row r="4" spans="1:19" x14ac:dyDescent="0.25">
      <c r="A4" s="197">
        <v>52.22</v>
      </c>
      <c r="B4" s="197">
        <v>0.32</v>
      </c>
      <c r="C4" s="197">
        <v>46.04</v>
      </c>
      <c r="D4" s="8">
        <v>42995.083333333336</v>
      </c>
      <c r="E4" s="197">
        <v>0.79</v>
      </c>
      <c r="F4" s="197" t="s">
        <v>534</v>
      </c>
      <c r="G4" s="197">
        <v>292.08</v>
      </c>
      <c r="H4" s="197">
        <v>0</v>
      </c>
      <c r="I4" s="197">
        <v>0</v>
      </c>
      <c r="J4" s="197"/>
      <c r="K4" s="197">
        <v>1017.94</v>
      </c>
      <c r="L4" s="197" t="s">
        <v>477</v>
      </c>
      <c r="M4" s="197">
        <v>52.22</v>
      </c>
      <c r="N4" s="197">
        <v>1505635200</v>
      </c>
      <c r="O4" s="197">
        <v>0</v>
      </c>
      <c r="P4" s="197">
        <v>3.51</v>
      </c>
      <c r="Q4" s="197">
        <v>325</v>
      </c>
      <c r="R4" s="197">
        <v>2.35</v>
      </c>
      <c r="S4" s="197">
        <v>0.56999999999999995</v>
      </c>
    </row>
    <row r="5" spans="1:19" x14ac:dyDescent="0.25">
      <c r="A5" s="197">
        <v>51.1</v>
      </c>
      <c r="B5" s="197">
        <v>0.32</v>
      </c>
      <c r="C5" s="197">
        <v>45.57</v>
      </c>
      <c r="D5" s="8">
        <v>42995.125</v>
      </c>
      <c r="E5" s="197">
        <v>0.81</v>
      </c>
      <c r="F5" s="197" t="s">
        <v>534</v>
      </c>
      <c r="G5" s="197">
        <v>292.87</v>
      </c>
      <c r="H5" s="197">
        <v>2.9999999999999997E-4</v>
      </c>
      <c r="I5" s="197">
        <v>0.01</v>
      </c>
      <c r="J5" s="197" t="s">
        <v>478</v>
      </c>
      <c r="K5" s="197">
        <v>1017.41</v>
      </c>
      <c r="L5" s="197" t="s">
        <v>477</v>
      </c>
      <c r="M5" s="197">
        <v>51.1</v>
      </c>
      <c r="N5" s="197">
        <v>1505638800</v>
      </c>
      <c r="O5" s="197">
        <v>0</v>
      </c>
      <c r="P5" s="197">
        <v>3.69</v>
      </c>
      <c r="Q5" s="197">
        <v>309</v>
      </c>
      <c r="R5" s="197">
        <v>2.4500000000000002</v>
      </c>
      <c r="S5" s="197">
        <v>0.48</v>
      </c>
    </row>
    <row r="6" spans="1:19" x14ac:dyDescent="0.25">
      <c r="A6" s="197">
        <v>49.96</v>
      </c>
      <c r="B6" s="197">
        <v>7.0000000000000007E-2</v>
      </c>
      <c r="C6" s="197">
        <v>45.12</v>
      </c>
      <c r="D6" s="8">
        <v>42995.166666666664</v>
      </c>
      <c r="E6" s="197">
        <v>0.83</v>
      </c>
      <c r="F6" s="197" t="s">
        <v>368</v>
      </c>
      <c r="G6" s="197">
        <v>293.55</v>
      </c>
      <c r="H6" s="197">
        <v>2.9999999999999997E-4</v>
      </c>
      <c r="I6" s="197">
        <v>0.01</v>
      </c>
      <c r="J6" s="197" t="s">
        <v>478</v>
      </c>
      <c r="K6" s="197">
        <v>1017.55</v>
      </c>
      <c r="L6" s="197" t="s">
        <v>367</v>
      </c>
      <c r="M6" s="197">
        <v>49.96</v>
      </c>
      <c r="N6" s="197">
        <v>1505642400</v>
      </c>
      <c r="O6" s="197">
        <v>0</v>
      </c>
      <c r="P6" s="197">
        <v>3.69</v>
      </c>
      <c r="Q6" s="197">
        <v>65</v>
      </c>
      <c r="R6" s="197">
        <v>2.04</v>
      </c>
      <c r="S6" s="197">
        <v>0.15</v>
      </c>
    </row>
    <row r="7" spans="1:19" x14ac:dyDescent="0.25">
      <c r="A7" s="197">
        <v>48.7</v>
      </c>
      <c r="B7" s="197">
        <v>0.02</v>
      </c>
      <c r="C7" s="197">
        <v>44.41</v>
      </c>
      <c r="D7" s="8">
        <v>42995.208333333336</v>
      </c>
      <c r="E7" s="197">
        <v>0.85</v>
      </c>
      <c r="F7" s="197" t="s">
        <v>368</v>
      </c>
      <c r="G7" s="197">
        <v>294.33</v>
      </c>
      <c r="H7" s="197">
        <v>0</v>
      </c>
      <c r="I7" s="197">
        <v>0</v>
      </c>
      <c r="J7" s="197"/>
      <c r="K7" s="197">
        <v>1017.8</v>
      </c>
      <c r="L7" s="197" t="s">
        <v>367</v>
      </c>
      <c r="M7" s="197">
        <v>48.7</v>
      </c>
      <c r="N7" s="197">
        <v>1505646000</v>
      </c>
      <c r="O7" s="197">
        <v>0</v>
      </c>
      <c r="P7" s="197">
        <v>3.6</v>
      </c>
      <c r="Q7" s="197">
        <v>144</v>
      </c>
      <c r="R7" s="197">
        <v>1.8</v>
      </c>
      <c r="S7" s="197">
        <v>0.55000000000000004</v>
      </c>
    </row>
    <row r="8" spans="1:19" x14ac:dyDescent="0.25">
      <c r="A8" s="197">
        <v>47.61</v>
      </c>
      <c r="B8" s="197">
        <v>0.03</v>
      </c>
      <c r="C8" s="197">
        <v>43.86</v>
      </c>
      <c r="D8" s="8">
        <v>42995.25</v>
      </c>
      <c r="E8" s="197">
        <v>0.87</v>
      </c>
      <c r="F8" s="197" t="s">
        <v>368</v>
      </c>
      <c r="G8" s="197">
        <v>293.99</v>
      </c>
      <c r="H8" s="197">
        <v>0</v>
      </c>
      <c r="I8" s="197">
        <v>0</v>
      </c>
      <c r="J8" s="197"/>
      <c r="K8" s="197">
        <v>1017.72</v>
      </c>
      <c r="L8" s="197" t="s">
        <v>367</v>
      </c>
      <c r="M8" s="197">
        <v>47.61</v>
      </c>
      <c r="N8" s="197">
        <v>1505649600</v>
      </c>
      <c r="O8" s="197">
        <v>0</v>
      </c>
      <c r="P8" s="197">
        <v>5.99</v>
      </c>
      <c r="Q8" s="197">
        <v>282</v>
      </c>
      <c r="R8" s="197">
        <v>2.27</v>
      </c>
      <c r="S8" s="197">
        <v>0.4</v>
      </c>
    </row>
    <row r="9" spans="1:19" x14ac:dyDescent="0.25">
      <c r="A9" s="197">
        <v>47.34</v>
      </c>
      <c r="B9" s="197">
        <v>0.11</v>
      </c>
      <c r="C9" s="197">
        <v>43.69</v>
      </c>
      <c r="D9" s="8">
        <v>42995.291666666664</v>
      </c>
      <c r="E9" s="197">
        <v>0.87</v>
      </c>
      <c r="F9" s="197" t="s">
        <v>366</v>
      </c>
      <c r="G9" s="197">
        <v>294.33</v>
      </c>
      <c r="H9" s="197">
        <v>0</v>
      </c>
      <c r="I9" s="197">
        <v>0</v>
      </c>
      <c r="J9" s="197"/>
      <c r="K9" s="197">
        <v>1018.14</v>
      </c>
      <c r="L9" s="197" t="s">
        <v>367</v>
      </c>
      <c r="M9" s="197">
        <v>47.34</v>
      </c>
      <c r="N9" s="197">
        <v>1505653200</v>
      </c>
      <c r="O9" s="197">
        <v>0</v>
      </c>
      <c r="P9" s="197">
        <v>3.91</v>
      </c>
      <c r="Q9" s="197">
        <v>255</v>
      </c>
      <c r="R9" s="197">
        <v>2.5</v>
      </c>
      <c r="S9" s="197">
        <v>0.49</v>
      </c>
    </row>
    <row r="10" spans="1:19" x14ac:dyDescent="0.25">
      <c r="A10" s="197">
        <v>50.01</v>
      </c>
      <c r="B10" s="197">
        <v>0.11</v>
      </c>
      <c r="C10" s="197">
        <v>45.47</v>
      </c>
      <c r="D10" s="8">
        <v>42995.333333333336</v>
      </c>
      <c r="E10" s="197">
        <v>0.84</v>
      </c>
      <c r="F10" s="197" t="s">
        <v>366</v>
      </c>
      <c r="G10" s="197">
        <v>294.55</v>
      </c>
      <c r="H10" s="197">
        <v>0</v>
      </c>
      <c r="I10" s="197">
        <v>0</v>
      </c>
      <c r="J10" s="197"/>
      <c r="K10" s="197">
        <v>1018.02</v>
      </c>
      <c r="L10" s="197" t="s">
        <v>367</v>
      </c>
      <c r="M10" s="197">
        <v>50.01</v>
      </c>
      <c r="N10" s="197">
        <v>1505656800</v>
      </c>
      <c r="O10" s="197">
        <v>1</v>
      </c>
      <c r="P10" s="197">
        <v>4.05</v>
      </c>
      <c r="Q10" s="197">
        <v>322</v>
      </c>
      <c r="R10" s="197">
        <v>3.38</v>
      </c>
      <c r="S10" s="197">
        <v>0.5</v>
      </c>
    </row>
    <row r="11" spans="1:19" x14ac:dyDescent="0.25">
      <c r="A11" s="197">
        <v>54.03</v>
      </c>
      <c r="B11" s="197">
        <v>7.0000000000000007E-2</v>
      </c>
      <c r="C11" s="197">
        <v>46.8</v>
      </c>
      <c r="D11" s="8">
        <v>42995.375</v>
      </c>
      <c r="E11" s="197">
        <v>0.76</v>
      </c>
      <c r="F11" s="197" t="s">
        <v>366</v>
      </c>
      <c r="G11" s="197">
        <v>294.55</v>
      </c>
      <c r="H11" s="197">
        <v>0</v>
      </c>
      <c r="I11" s="197">
        <v>0</v>
      </c>
      <c r="J11" s="197"/>
      <c r="K11" s="197">
        <v>1017.6</v>
      </c>
      <c r="L11" s="197" t="s">
        <v>367</v>
      </c>
      <c r="M11" s="197">
        <v>54.03</v>
      </c>
      <c r="N11" s="197">
        <v>1505660400</v>
      </c>
      <c r="O11" s="197">
        <v>1</v>
      </c>
      <c r="P11" s="197">
        <v>3.2</v>
      </c>
      <c r="Q11" s="197">
        <v>12</v>
      </c>
      <c r="R11" s="197">
        <v>4.8899999999999997</v>
      </c>
      <c r="S11" s="197">
        <v>0.78</v>
      </c>
    </row>
    <row r="12" spans="1:19" x14ac:dyDescent="0.25">
      <c r="A12" s="197">
        <v>58.11</v>
      </c>
      <c r="B12" s="197">
        <v>0.06</v>
      </c>
      <c r="C12" s="197">
        <v>47.59</v>
      </c>
      <c r="D12" s="8">
        <v>42995.416666666664</v>
      </c>
      <c r="E12" s="197">
        <v>0.68</v>
      </c>
      <c r="F12" s="197" t="s">
        <v>366</v>
      </c>
      <c r="G12" s="197">
        <v>294.33</v>
      </c>
      <c r="H12" s="197">
        <v>0</v>
      </c>
      <c r="I12" s="197">
        <v>0</v>
      </c>
      <c r="J12" s="197"/>
      <c r="K12" s="197">
        <v>1016.8</v>
      </c>
      <c r="L12" s="197" t="s">
        <v>367</v>
      </c>
      <c r="M12" s="197">
        <v>58.11</v>
      </c>
      <c r="N12" s="197">
        <v>1505664000</v>
      </c>
      <c r="O12" s="197">
        <v>3</v>
      </c>
      <c r="P12" s="197">
        <v>3.55</v>
      </c>
      <c r="Q12" s="197">
        <v>20</v>
      </c>
      <c r="R12" s="197">
        <v>6.04</v>
      </c>
      <c r="S12" s="197">
        <v>1.07</v>
      </c>
    </row>
    <row r="13" spans="1:19" x14ac:dyDescent="0.25">
      <c r="A13" s="197">
        <v>61.65</v>
      </c>
      <c r="B13" s="197">
        <v>0.1</v>
      </c>
      <c r="C13" s="197">
        <v>47.97</v>
      </c>
      <c r="D13" s="8">
        <v>42995.458333333336</v>
      </c>
      <c r="E13" s="197">
        <v>0.61</v>
      </c>
      <c r="F13" s="197" t="s">
        <v>366</v>
      </c>
      <c r="G13" s="197">
        <v>293.88</v>
      </c>
      <c r="H13" s="197">
        <v>0</v>
      </c>
      <c r="I13" s="197">
        <v>0</v>
      </c>
      <c r="J13" s="197"/>
      <c r="K13" s="197">
        <v>1015.81</v>
      </c>
      <c r="L13" s="197" t="s">
        <v>367</v>
      </c>
      <c r="M13" s="197">
        <v>61.65</v>
      </c>
      <c r="N13" s="197">
        <v>1505667600</v>
      </c>
      <c r="O13" s="197">
        <v>5</v>
      </c>
      <c r="P13" s="197">
        <v>3.73</v>
      </c>
      <c r="Q13" s="197">
        <v>51</v>
      </c>
      <c r="R13" s="197">
        <v>5.93</v>
      </c>
      <c r="S13" s="197">
        <v>1.1200000000000001</v>
      </c>
    </row>
    <row r="14" spans="1:19" x14ac:dyDescent="0.25">
      <c r="A14" s="197">
        <v>65.709999999999994</v>
      </c>
      <c r="B14" s="197">
        <v>0.25</v>
      </c>
      <c r="C14" s="197">
        <v>48.22</v>
      </c>
      <c r="D14" s="8">
        <v>42995.5</v>
      </c>
      <c r="E14" s="197">
        <v>0.53</v>
      </c>
      <c r="F14" s="197" t="s">
        <v>476</v>
      </c>
      <c r="G14" s="197">
        <v>293.22000000000003</v>
      </c>
      <c r="H14" s="197">
        <v>0</v>
      </c>
      <c r="I14" s="197">
        <v>0</v>
      </c>
      <c r="J14" s="197"/>
      <c r="K14" s="197">
        <v>1014.19</v>
      </c>
      <c r="L14" s="197" t="s">
        <v>477</v>
      </c>
      <c r="M14" s="197">
        <v>65.709999999999994</v>
      </c>
      <c r="N14" s="197">
        <v>1505671200</v>
      </c>
      <c r="O14" s="197">
        <v>6</v>
      </c>
      <c r="P14" s="197">
        <v>3.81</v>
      </c>
      <c r="Q14" s="197">
        <v>65</v>
      </c>
      <c r="R14" s="197">
        <v>6.52</v>
      </c>
      <c r="S14" s="197">
        <v>0.82</v>
      </c>
    </row>
    <row r="15" spans="1:19" x14ac:dyDescent="0.25">
      <c r="A15" s="197">
        <v>69.28</v>
      </c>
      <c r="B15" s="197">
        <v>0.21</v>
      </c>
      <c r="C15" s="197">
        <v>48.57</v>
      </c>
      <c r="D15" s="8">
        <v>42995.541666666664</v>
      </c>
      <c r="E15" s="197">
        <v>0.48</v>
      </c>
      <c r="F15" s="197" t="s">
        <v>366</v>
      </c>
      <c r="G15" s="197">
        <v>292.64999999999998</v>
      </c>
      <c r="H15" s="197">
        <v>5.9999999999999995E-4</v>
      </c>
      <c r="I15" s="197">
        <v>0.01</v>
      </c>
      <c r="J15" s="197" t="s">
        <v>478</v>
      </c>
      <c r="K15" s="197">
        <v>1013.1</v>
      </c>
      <c r="L15" s="197" t="s">
        <v>367</v>
      </c>
      <c r="M15" s="197">
        <v>69.28</v>
      </c>
      <c r="N15" s="197">
        <v>1505674800</v>
      </c>
      <c r="O15" s="197">
        <v>6</v>
      </c>
      <c r="P15" s="197">
        <v>3.62</v>
      </c>
      <c r="Q15" s="197">
        <v>34</v>
      </c>
      <c r="R15" s="197">
        <v>8.24</v>
      </c>
      <c r="S15" s="197">
        <v>1.37</v>
      </c>
    </row>
    <row r="16" spans="1:19" x14ac:dyDescent="0.25">
      <c r="A16" s="197">
        <v>69.569999999999993</v>
      </c>
      <c r="B16" s="197">
        <v>0.44</v>
      </c>
      <c r="C16" s="197">
        <v>48.38</v>
      </c>
      <c r="D16" s="8">
        <v>42995.583333333336</v>
      </c>
      <c r="E16" s="197">
        <v>0.47</v>
      </c>
      <c r="F16" s="197" t="s">
        <v>476</v>
      </c>
      <c r="G16" s="197">
        <v>291.98</v>
      </c>
      <c r="H16" s="197">
        <v>3.2000000000000002E-3</v>
      </c>
      <c r="I16" s="197">
        <v>0.01</v>
      </c>
      <c r="J16" s="197" t="s">
        <v>478</v>
      </c>
      <c r="K16" s="197">
        <v>1012.24</v>
      </c>
      <c r="L16" s="197" t="s">
        <v>477</v>
      </c>
      <c r="M16" s="197">
        <v>69.569999999999993</v>
      </c>
      <c r="N16" s="197">
        <v>1505678400</v>
      </c>
      <c r="O16" s="197">
        <v>5</v>
      </c>
      <c r="P16" s="197">
        <v>3.62</v>
      </c>
      <c r="Q16" s="197">
        <v>329</v>
      </c>
      <c r="R16" s="197">
        <v>9.0500000000000007</v>
      </c>
      <c r="S16" s="197">
        <v>1.07</v>
      </c>
    </row>
    <row r="17" spans="1:19" x14ac:dyDescent="0.25">
      <c r="A17" s="197">
        <v>67.38</v>
      </c>
      <c r="B17" s="197">
        <v>0.39</v>
      </c>
      <c r="C17" s="197">
        <v>49.23</v>
      </c>
      <c r="D17" s="8">
        <v>42995.625</v>
      </c>
      <c r="E17" s="197">
        <v>0.52</v>
      </c>
      <c r="F17" s="197" t="s">
        <v>478</v>
      </c>
      <c r="G17" s="197">
        <v>291.52</v>
      </c>
      <c r="H17" s="197">
        <v>5.3E-3</v>
      </c>
      <c r="I17" s="197">
        <v>0.02</v>
      </c>
      <c r="J17" s="197" t="s">
        <v>478</v>
      </c>
      <c r="K17" s="197">
        <v>1011.7</v>
      </c>
      <c r="L17" s="197" t="s">
        <v>533</v>
      </c>
      <c r="M17" s="197">
        <v>67.38</v>
      </c>
      <c r="N17" s="197">
        <v>1505682000</v>
      </c>
      <c r="O17" s="197">
        <v>4</v>
      </c>
      <c r="P17" s="197">
        <v>3.96</v>
      </c>
      <c r="Q17" s="197">
        <v>280</v>
      </c>
      <c r="R17" s="197">
        <v>9.19</v>
      </c>
      <c r="S17" s="197">
        <v>2.09</v>
      </c>
    </row>
    <row r="18" spans="1:19" x14ac:dyDescent="0.25">
      <c r="A18" s="197">
        <v>65.27</v>
      </c>
      <c r="B18" s="197">
        <v>0.23</v>
      </c>
      <c r="C18" s="197">
        <v>50.56</v>
      </c>
      <c r="D18" s="8">
        <v>42995.666666666664</v>
      </c>
      <c r="E18" s="197">
        <v>0.59</v>
      </c>
      <c r="F18" s="197" t="s">
        <v>478</v>
      </c>
      <c r="G18" s="197">
        <v>291.08</v>
      </c>
      <c r="H18" s="197">
        <v>5.1000000000000004E-3</v>
      </c>
      <c r="I18" s="197">
        <v>0.05</v>
      </c>
      <c r="J18" s="197" t="s">
        <v>478</v>
      </c>
      <c r="K18" s="197">
        <v>1012.98</v>
      </c>
      <c r="L18" s="197" t="s">
        <v>533</v>
      </c>
      <c r="M18" s="197">
        <v>65.27</v>
      </c>
      <c r="N18" s="197">
        <v>1505685600</v>
      </c>
      <c r="O18" s="197">
        <v>2</v>
      </c>
      <c r="P18" s="197">
        <v>3.4</v>
      </c>
      <c r="Q18" s="197">
        <v>63</v>
      </c>
      <c r="R18" s="197">
        <v>7.32</v>
      </c>
      <c r="S18" s="197">
        <v>0.75</v>
      </c>
    </row>
    <row r="19" spans="1:19" x14ac:dyDescent="0.25">
      <c r="A19" s="197">
        <v>68.17</v>
      </c>
      <c r="B19" s="197">
        <v>0.15</v>
      </c>
      <c r="C19" s="197">
        <v>47.42</v>
      </c>
      <c r="D19" s="8">
        <v>42995.708333333336</v>
      </c>
      <c r="E19" s="197">
        <v>0.47</v>
      </c>
      <c r="F19" s="197" t="s">
        <v>366</v>
      </c>
      <c r="G19" s="197">
        <v>290.85000000000002</v>
      </c>
      <c r="H19" s="197">
        <v>3.3E-3</v>
      </c>
      <c r="I19" s="197">
        <v>0.02</v>
      </c>
      <c r="J19" s="197" t="s">
        <v>478</v>
      </c>
      <c r="K19" s="197">
        <v>1011.39</v>
      </c>
      <c r="L19" s="197" t="s">
        <v>367</v>
      </c>
      <c r="M19" s="197">
        <v>68.17</v>
      </c>
      <c r="N19" s="197">
        <v>1505689200</v>
      </c>
      <c r="O19" s="197">
        <v>1</v>
      </c>
      <c r="P19" s="197">
        <v>3.81</v>
      </c>
      <c r="Q19" s="197">
        <v>126</v>
      </c>
      <c r="R19" s="197">
        <v>6.92</v>
      </c>
      <c r="S19" s="197">
        <v>1.58</v>
      </c>
    </row>
    <row r="20" spans="1:19" x14ac:dyDescent="0.25">
      <c r="A20" s="197">
        <v>67.400000000000006</v>
      </c>
      <c r="B20" s="197">
        <v>0.13</v>
      </c>
      <c r="C20" s="197">
        <v>48.21</v>
      </c>
      <c r="D20" s="8">
        <v>42995.75</v>
      </c>
      <c r="E20" s="197">
        <v>0.5</v>
      </c>
      <c r="F20" s="197" t="s">
        <v>366</v>
      </c>
      <c r="G20" s="197">
        <v>291.52</v>
      </c>
      <c r="H20" s="197">
        <v>1.6999999999999999E-3</v>
      </c>
      <c r="I20" s="197">
        <v>0.01</v>
      </c>
      <c r="J20" s="197" t="s">
        <v>478</v>
      </c>
      <c r="K20" s="197">
        <v>1011.3</v>
      </c>
      <c r="L20" s="197" t="s">
        <v>367</v>
      </c>
      <c r="M20" s="197">
        <v>67.400000000000006</v>
      </c>
      <c r="N20" s="197">
        <v>1505692800</v>
      </c>
      <c r="O20" s="197">
        <v>1</v>
      </c>
      <c r="P20" s="197">
        <v>3.69</v>
      </c>
      <c r="Q20" s="197">
        <v>166</v>
      </c>
      <c r="R20" s="197">
        <v>6.06</v>
      </c>
      <c r="S20" s="197">
        <v>2.0299999999999998</v>
      </c>
    </row>
    <row r="21" spans="1:19" x14ac:dyDescent="0.25">
      <c r="A21" s="197">
        <v>65.75</v>
      </c>
      <c r="B21" s="197">
        <v>0.16</v>
      </c>
      <c r="C21" s="197">
        <v>48.71</v>
      </c>
      <c r="D21" s="8">
        <v>42995.791666666664</v>
      </c>
      <c r="E21" s="197">
        <v>0.54</v>
      </c>
      <c r="F21" s="197" t="s">
        <v>366</v>
      </c>
      <c r="G21" s="197">
        <v>290.95999999999998</v>
      </c>
      <c r="H21" s="197">
        <v>8.0000000000000004E-4</v>
      </c>
      <c r="I21" s="197">
        <v>0.01</v>
      </c>
      <c r="J21" s="197" t="s">
        <v>478</v>
      </c>
      <c r="K21" s="197">
        <v>1011.9</v>
      </c>
      <c r="L21" s="197" t="s">
        <v>367</v>
      </c>
      <c r="M21" s="197">
        <v>65.75</v>
      </c>
      <c r="N21" s="197">
        <v>1505696400</v>
      </c>
      <c r="O21" s="197">
        <v>0</v>
      </c>
      <c r="P21" s="197">
        <v>4.2300000000000004</v>
      </c>
      <c r="Q21" s="197">
        <v>158</v>
      </c>
      <c r="R21" s="197">
        <v>3.14</v>
      </c>
      <c r="S21" s="197">
        <v>0.59</v>
      </c>
    </row>
    <row r="22" spans="1:19" x14ac:dyDescent="0.25">
      <c r="A22" s="197">
        <v>61.52</v>
      </c>
      <c r="B22" s="197">
        <v>0.09</v>
      </c>
      <c r="C22" s="197">
        <v>48.09</v>
      </c>
      <c r="D22" s="8">
        <v>42995.833333333336</v>
      </c>
      <c r="E22" s="197">
        <v>0.61</v>
      </c>
      <c r="F22" s="197" t="s">
        <v>368</v>
      </c>
      <c r="G22" s="197">
        <v>290.17</v>
      </c>
      <c r="H22" s="197">
        <v>0</v>
      </c>
      <c r="I22" s="197">
        <v>0</v>
      </c>
      <c r="J22" s="197"/>
      <c r="K22" s="197">
        <v>1012.13</v>
      </c>
      <c r="L22" s="197" t="s">
        <v>367</v>
      </c>
      <c r="M22" s="197">
        <v>61.52</v>
      </c>
      <c r="N22" s="197">
        <v>1505700000</v>
      </c>
      <c r="O22" s="197">
        <v>0</v>
      </c>
      <c r="P22" s="197">
        <v>3.23</v>
      </c>
      <c r="Q22" s="197">
        <v>124</v>
      </c>
      <c r="R22" s="197">
        <v>2.77</v>
      </c>
      <c r="S22" s="197">
        <v>0.73</v>
      </c>
    </row>
    <row r="23" spans="1:19" x14ac:dyDescent="0.25">
      <c r="A23" s="197">
        <v>59.13</v>
      </c>
      <c r="B23" s="197">
        <v>0.08</v>
      </c>
      <c r="C23" s="197">
        <v>48.19</v>
      </c>
      <c r="D23" s="8">
        <v>42995.875</v>
      </c>
      <c r="E23" s="197">
        <v>0.67</v>
      </c>
      <c r="F23" s="197" t="s">
        <v>368</v>
      </c>
      <c r="G23" s="197">
        <v>289.82</v>
      </c>
      <c r="H23" s="197">
        <v>0</v>
      </c>
      <c r="I23" s="197">
        <v>0</v>
      </c>
      <c r="J23" s="197"/>
      <c r="K23" s="197">
        <v>1012.65</v>
      </c>
      <c r="L23" s="197" t="s">
        <v>367</v>
      </c>
      <c r="M23" s="197">
        <v>59.13</v>
      </c>
      <c r="N23" s="197">
        <v>1505703600</v>
      </c>
      <c r="O23" s="197">
        <v>0</v>
      </c>
      <c r="P23" s="197">
        <v>3.52</v>
      </c>
      <c r="Q23" s="197">
        <v>244</v>
      </c>
      <c r="R23" s="197">
        <v>2.93</v>
      </c>
      <c r="S23" s="197">
        <v>0.84</v>
      </c>
    </row>
    <row r="24" spans="1:19" x14ac:dyDescent="0.25">
      <c r="A24" s="197">
        <v>58.13</v>
      </c>
      <c r="B24" s="197">
        <v>0.17</v>
      </c>
      <c r="C24" s="197">
        <v>47.73</v>
      </c>
      <c r="D24" s="8">
        <v>42995.916666666664</v>
      </c>
      <c r="E24" s="197">
        <v>0.68</v>
      </c>
      <c r="F24" s="197" t="s">
        <v>368</v>
      </c>
      <c r="G24" s="197">
        <v>289.94</v>
      </c>
      <c r="H24" s="197">
        <v>0</v>
      </c>
      <c r="I24" s="197">
        <v>0</v>
      </c>
      <c r="J24" s="197"/>
      <c r="K24" s="197">
        <v>1012.41</v>
      </c>
      <c r="L24" s="197" t="s">
        <v>367</v>
      </c>
      <c r="M24" s="197">
        <v>58.13</v>
      </c>
      <c r="N24" s="197">
        <v>1505707200</v>
      </c>
      <c r="O24" s="197">
        <v>0</v>
      </c>
      <c r="P24" s="197">
        <v>3.52</v>
      </c>
      <c r="Q24" s="197">
        <v>277</v>
      </c>
      <c r="R24" s="197">
        <v>3.28</v>
      </c>
      <c r="S24" s="197">
        <v>1.4</v>
      </c>
    </row>
    <row r="25" spans="1:19" x14ac:dyDescent="0.25">
      <c r="A25" s="197">
        <v>56.35</v>
      </c>
      <c r="B25" s="197">
        <v>0.17</v>
      </c>
      <c r="C25" s="197">
        <v>47.47</v>
      </c>
      <c r="D25" s="8">
        <v>42995.958333333336</v>
      </c>
      <c r="E25" s="197">
        <v>0.72</v>
      </c>
      <c r="F25" s="197" t="s">
        <v>368</v>
      </c>
      <c r="G25" s="197">
        <v>290.17</v>
      </c>
      <c r="H25" s="197">
        <v>0</v>
      </c>
      <c r="I25" s="197">
        <v>0</v>
      </c>
      <c r="J25" s="197"/>
      <c r="K25" s="197">
        <v>1012.76</v>
      </c>
      <c r="L25" s="197" t="s">
        <v>367</v>
      </c>
      <c r="M25" s="197">
        <v>56.35</v>
      </c>
      <c r="N25" s="197">
        <v>1505710800</v>
      </c>
      <c r="O25" s="197">
        <v>0</v>
      </c>
      <c r="P25" s="197">
        <v>3.75</v>
      </c>
      <c r="Q25" s="197">
        <v>264</v>
      </c>
      <c r="R25" s="197">
        <v>2.2999999999999998</v>
      </c>
      <c r="S25" s="197">
        <v>0.9</v>
      </c>
    </row>
    <row r="26" spans="1:19" x14ac:dyDescent="0.25">
      <c r="A26" s="197">
        <v>55.16</v>
      </c>
      <c r="B26" s="197">
        <v>7.0000000000000007E-2</v>
      </c>
      <c r="C26" s="197">
        <v>47.08</v>
      </c>
      <c r="D26" s="8">
        <v>42996</v>
      </c>
      <c r="E26" s="197">
        <v>0.74</v>
      </c>
      <c r="F26" s="197" t="s">
        <v>368</v>
      </c>
      <c r="G26" s="197">
        <v>290.85000000000002</v>
      </c>
      <c r="H26" s="197">
        <v>0</v>
      </c>
      <c r="I26" s="197">
        <v>0</v>
      </c>
      <c r="J26" s="197"/>
      <c r="K26" s="197">
        <v>1012.65</v>
      </c>
      <c r="L26" s="197" t="s">
        <v>367</v>
      </c>
      <c r="M26" s="197">
        <v>55.16</v>
      </c>
      <c r="N26" s="197">
        <v>1505714400</v>
      </c>
      <c r="O26" s="197">
        <v>0</v>
      </c>
      <c r="P26" s="197">
        <v>3.54</v>
      </c>
      <c r="Q26" s="197">
        <v>263</v>
      </c>
      <c r="R26" s="197">
        <v>2.23</v>
      </c>
      <c r="S26" s="197">
        <v>0.77</v>
      </c>
    </row>
    <row r="27" spans="1:19" x14ac:dyDescent="0.25">
      <c r="A27" s="197">
        <v>55.54</v>
      </c>
      <c r="B27" s="197">
        <v>0.49</v>
      </c>
      <c r="C27" s="197">
        <v>47.39</v>
      </c>
      <c r="D27" s="8">
        <v>42996.041666666664</v>
      </c>
      <c r="E27" s="197">
        <v>0.74</v>
      </c>
      <c r="F27" s="197" t="s">
        <v>534</v>
      </c>
      <c r="G27" s="197">
        <v>291.76</v>
      </c>
      <c r="H27" s="197">
        <v>0</v>
      </c>
      <c r="I27" s="197">
        <v>0</v>
      </c>
      <c r="J27" s="197"/>
      <c r="K27" s="197">
        <v>1012.79</v>
      </c>
      <c r="L27" s="197" t="s">
        <v>477</v>
      </c>
      <c r="M27" s="197">
        <v>55.54</v>
      </c>
      <c r="N27" s="197">
        <v>1505718000</v>
      </c>
      <c r="O27" s="197">
        <v>0</v>
      </c>
      <c r="P27" s="197">
        <v>3.69</v>
      </c>
      <c r="Q27" s="197">
        <v>306</v>
      </c>
      <c r="R27" s="197">
        <v>2.41</v>
      </c>
      <c r="S27" s="197">
        <v>0.28999999999999998</v>
      </c>
    </row>
    <row r="28" spans="1:19" x14ac:dyDescent="0.25">
      <c r="A28" s="197">
        <v>54.46</v>
      </c>
      <c r="B28" s="197">
        <v>0.21</v>
      </c>
      <c r="C28" s="197">
        <v>47.07</v>
      </c>
      <c r="D28" s="8">
        <v>42996.083333333336</v>
      </c>
      <c r="E28" s="197">
        <v>0.76</v>
      </c>
      <c r="F28" s="197" t="s">
        <v>368</v>
      </c>
      <c r="G28" s="197">
        <v>292.77999999999997</v>
      </c>
      <c r="H28" s="197">
        <v>0</v>
      </c>
      <c r="I28" s="197">
        <v>0</v>
      </c>
      <c r="J28" s="197"/>
      <c r="K28" s="197">
        <v>1013.05</v>
      </c>
      <c r="L28" s="197" t="s">
        <v>367</v>
      </c>
      <c r="M28" s="197">
        <v>54.46</v>
      </c>
      <c r="N28" s="197">
        <v>1505721600</v>
      </c>
      <c r="O28" s="197">
        <v>0</v>
      </c>
      <c r="P28" s="197">
        <v>3.69</v>
      </c>
      <c r="Q28" s="197">
        <v>295</v>
      </c>
      <c r="R28" s="197">
        <v>2.23</v>
      </c>
      <c r="S28" s="197">
        <v>0.52</v>
      </c>
    </row>
    <row r="29" spans="1:19" x14ac:dyDescent="0.25">
      <c r="A29" s="197">
        <v>53.58</v>
      </c>
      <c r="B29" s="197">
        <v>0.12</v>
      </c>
      <c r="C29" s="197">
        <v>46.34</v>
      </c>
      <c r="D29" s="8">
        <v>42996.125</v>
      </c>
      <c r="E29" s="197">
        <v>0.76</v>
      </c>
      <c r="F29" s="197" t="s">
        <v>368</v>
      </c>
      <c r="G29" s="197">
        <v>293.57</v>
      </c>
      <c r="H29" s="197">
        <v>0</v>
      </c>
      <c r="I29" s="197">
        <v>0</v>
      </c>
      <c r="J29" s="197"/>
      <c r="K29" s="197">
        <v>1013.39</v>
      </c>
      <c r="L29" s="197" t="s">
        <v>367</v>
      </c>
      <c r="M29" s="197">
        <v>53.58</v>
      </c>
      <c r="N29" s="197">
        <v>1505725200</v>
      </c>
      <c r="O29" s="197">
        <v>0</v>
      </c>
      <c r="P29" s="197">
        <v>3.69</v>
      </c>
      <c r="Q29" s="197">
        <v>272</v>
      </c>
      <c r="R29" s="197">
        <v>2.4</v>
      </c>
      <c r="S29" s="197">
        <v>0.64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>
      <selection activeCell="F9" sqref="F9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42995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351</v>
      </c>
      <c r="AE2" s="56" t="s">
        <v>354</v>
      </c>
      <c r="AF2" s="56" t="s">
        <v>355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352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184">
        <v>5.65</v>
      </c>
      <c r="AE6" s="42">
        <v>1800</v>
      </c>
      <c r="AF6" s="42">
        <v>1899</v>
      </c>
    </row>
    <row r="7" spans="1:32" x14ac:dyDescent="0.25">
      <c r="C7" s="56"/>
      <c r="F7" t="s">
        <v>346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353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980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356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959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960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961</v>
      </c>
      <c r="J20" s="140" t="s">
        <v>87</v>
      </c>
      <c r="M20" s="154" t="s">
        <v>344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962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963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964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965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966</v>
      </c>
      <c r="J25" s="140" t="s">
        <v>146</v>
      </c>
      <c r="M25" s="154" t="b">
        <v>1</v>
      </c>
    </row>
    <row r="26" spans="3:24" x14ac:dyDescent="0.25">
      <c r="C26" t="s">
        <v>967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C:\Users\stu\Documents\GitHub\eaglep3-reporting\EC\2017-09-17-refined-times.txt</v>
      </c>
    </row>
    <row r="27" spans="3:24" x14ac:dyDescent="0.25">
      <c r="C27" t="s">
        <v>968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C:\Users\stu\Documents\GitHub\eaglep3-reporting\EC\2017-09-17-Enforcements.txt</v>
      </c>
    </row>
    <row r="28" spans="3:24" x14ac:dyDescent="0.25">
      <c r="C28" t="s">
        <v>969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C:\Users\stu\Documents\GitHub\eaglep3-reporting\EC\2017-09-17-Runs-refined.txt</v>
      </c>
    </row>
    <row r="29" spans="3:24" x14ac:dyDescent="0.25">
      <c r="C29" t="s">
        <v>970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C:\Users\stu\Documents\GitHub\eaglep3-reporting\EC\2017-09-17-Trips.txt</v>
      </c>
    </row>
    <row r="30" spans="3:24" x14ac:dyDescent="0.25">
      <c r="C30" t="s">
        <v>971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C:\Users\stu\Documents\GitHub\eaglep3-reporting\EC\2017-09-17-Weather.txt</v>
      </c>
    </row>
    <row r="31" spans="3:24" x14ac:dyDescent="0.25">
      <c r="C31" t="s">
        <v>972</v>
      </c>
      <c r="J31" s="140" t="s">
        <v>193</v>
      </c>
      <c r="M31" s="154" t="s">
        <v>194</v>
      </c>
    </row>
    <row r="32" spans="3:24" x14ac:dyDescent="0.25">
      <c r="C32" t="s">
        <v>973</v>
      </c>
    </row>
    <row r="33" spans="3:3" x14ac:dyDescent="0.25">
      <c r="C33" t="s">
        <v>974</v>
      </c>
    </row>
    <row r="34" spans="3:3" x14ac:dyDescent="0.25">
      <c r="C34" t="s">
        <v>975</v>
      </c>
    </row>
    <row r="35" spans="3:3" x14ac:dyDescent="0.25">
      <c r="C35" t="s">
        <v>976</v>
      </c>
    </row>
    <row r="36" spans="3:3" x14ac:dyDescent="0.25">
      <c r="C36" t="s">
        <v>977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189" bestFit="1" customWidth="1"/>
    <col min="9" max="10" width="9.140625" style="189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8" t="s">
        <v>113</v>
      </c>
      <c r="I1" s="187" t="s">
        <v>115</v>
      </c>
      <c r="J1" s="168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8" t="s">
        <v>114</v>
      </c>
      <c r="I2" s="168" t="s">
        <v>116</v>
      </c>
      <c r="J2" s="168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8" t="s">
        <v>139</v>
      </c>
      <c r="I3" s="168">
        <v>1</v>
      </c>
      <c r="J3" s="168">
        <v>1</v>
      </c>
      <c r="K3" s="55"/>
    </row>
    <row r="4" spans="1:11" x14ac:dyDescent="0.25">
      <c r="A4" s="93" t="s">
        <v>126</v>
      </c>
      <c r="C4" s="93" t="s">
        <v>127</v>
      </c>
      <c r="H4" s="168" t="s">
        <v>140</v>
      </c>
      <c r="I4" s="168">
        <v>2</v>
      </c>
      <c r="J4" s="168">
        <v>1</v>
      </c>
      <c r="K4" s="55"/>
    </row>
    <row r="5" spans="1:11" x14ac:dyDescent="0.25">
      <c r="A5" s="93" t="s">
        <v>128</v>
      </c>
      <c r="C5" s="93" t="s">
        <v>129</v>
      </c>
      <c r="H5" s="168" t="s">
        <v>141</v>
      </c>
      <c r="I5" s="168">
        <v>338</v>
      </c>
      <c r="J5" s="168">
        <v>10</v>
      </c>
      <c r="K5" s="55"/>
    </row>
    <row r="6" spans="1:11" x14ac:dyDescent="0.25">
      <c r="A6" s="93" t="s">
        <v>130</v>
      </c>
      <c r="C6" s="93" t="s">
        <v>131</v>
      </c>
      <c r="H6" s="188" t="s">
        <v>142</v>
      </c>
      <c r="I6" s="188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2017-09-18T16:21:42Z</dcterms:modified>
</cp:coreProperties>
</file>