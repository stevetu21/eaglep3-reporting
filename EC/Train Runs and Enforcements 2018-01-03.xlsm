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9" i="1" l="1"/>
  <c r="N24" i="3"/>
  <c r="M24" i="3"/>
  <c r="AF171" i="1"/>
  <c r="X162" i="1"/>
  <c r="P159" i="1"/>
  <c r="K160" i="1"/>
  <c r="L160" i="1"/>
  <c r="M160" i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X134" i="1"/>
  <c r="K133" i="1"/>
  <c r="L133" i="1"/>
  <c r="M133" i="1"/>
  <c r="N133" i="1" s="1"/>
  <c r="V133" i="1"/>
  <c r="AA133" i="1"/>
  <c r="AB133" i="1"/>
  <c r="AC133" i="1"/>
  <c r="AD133" i="1"/>
  <c r="T133" i="1" s="1"/>
  <c r="AE133" i="1"/>
  <c r="AF133" i="1"/>
  <c r="AH133" i="1"/>
  <c r="AM133" i="1"/>
  <c r="AN133" i="1"/>
  <c r="AO133" i="1"/>
  <c r="P124" i="1"/>
  <c r="K106" i="1"/>
  <c r="M106" i="1"/>
  <c r="P106" i="1" s="1"/>
  <c r="V106" i="1"/>
  <c r="AA106" i="1"/>
  <c r="AB106" i="1"/>
  <c r="AC106" i="1"/>
  <c r="AD106" i="1"/>
  <c r="T106" i="1" s="1"/>
  <c r="AE106" i="1"/>
  <c r="AF106" i="1"/>
  <c r="AH106" i="1"/>
  <c r="AM106" i="1"/>
  <c r="AN106" i="1"/>
  <c r="AO106" i="1"/>
  <c r="X2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A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T57" i="1"/>
  <c r="V57" i="1"/>
  <c r="Y57" i="1"/>
  <c r="Z57" i="1"/>
  <c r="AA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X59" i="1" s="1"/>
  <c r="AE59" i="1"/>
  <c r="AF59" i="1"/>
  <c r="AH59" i="1"/>
  <c r="AM59" i="1"/>
  <c r="AN59" i="1"/>
  <c r="AO59" i="1"/>
  <c r="K60" i="1"/>
  <c r="L60" i="1"/>
  <c r="M60" i="1"/>
  <c r="P60" i="1" s="1"/>
  <c r="V60" i="1"/>
  <c r="S18" i="3" s="1"/>
  <c r="Y60" i="1"/>
  <c r="Z60" i="1"/>
  <c r="AA60" i="1" s="1"/>
  <c r="AB60" i="1"/>
  <c r="AC60" i="1"/>
  <c r="AD60" i="1"/>
  <c r="X60" i="1" s="1"/>
  <c r="AE60" i="1"/>
  <c r="R17" i="3" s="1"/>
  <c r="AF60" i="1"/>
  <c r="AH60" i="1"/>
  <c r="AM60" i="1"/>
  <c r="AN60" i="1"/>
  <c r="AO60" i="1"/>
  <c r="K61" i="1"/>
  <c r="L61" i="1"/>
  <c r="M61" i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S9" i="3" s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S12" i="3" s="1"/>
  <c r="Y77" i="1"/>
  <c r="Z77" i="1"/>
  <c r="AB77" i="1"/>
  <c r="AC77" i="1"/>
  <c r="AD77" i="1"/>
  <c r="T77" i="1" s="1"/>
  <c r="AE77" i="1"/>
  <c r="R12" i="3" s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P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S22" i="3" s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S19" i="3" s="1"/>
  <c r="Y100" i="1"/>
  <c r="Z100" i="1"/>
  <c r="AB100" i="1"/>
  <c r="AC100" i="1"/>
  <c r="AD100" i="1"/>
  <c r="AE100" i="1"/>
  <c r="R19" i="3" s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AA114" i="1" s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AA119" i="1" s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S14" i="3" s="1"/>
  <c r="Y129" i="1"/>
  <c r="Z129" i="1"/>
  <c r="AB129" i="1"/>
  <c r="AC129" i="1"/>
  <c r="AD129" i="1"/>
  <c r="AE129" i="1"/>
  <c r="R14" i="3" s="1"/>
  <c r="AF129" i="1"/>
  <c r="AH129" i="1"/>
  <c r="AM129" i="1"/>
  <c r="AN129" i="1"/>
  <c r="AO129" i="1"/>
  <c r="K130" i="1"/>
  <c r="L130" i="1"/>
  <c r="M130" i="1"/>
  <c r="P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S15" i="3" s="1"/>
  <c r="Y144" i="1"/>
  <c r="Z144" i="1"/>
  <c r="AB144" i="1"/>
  <c r="AC144" i="1"/>
  <c r="AD144" i="1"/>
  <c r="AE144" i="1"/>
  <c r="R15" i="3" s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50" i="1"/>
  <c r="L150" i="1"/>
  <c r="M150" i="1"/>
  <c r="N150" i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N151" i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/>
  <c r="V155" i="1"/>
  <c r="S10" i="3" s="1"/>
  <c r="Y155" i="1"/>
  <c r="Z155" i="1"/>
  <c r="AB155" i="1"/>
  <c r="AC155" i="1"/>
  <c r="AD155" i="1"/>
  <c r="AE155" i="1"/>
  <c r="R10" i="3" s="1"/>
  <c r="AF155" i="1"/>
  <c r="AH155" i="1"/>
  <c r="AM155" i="1"/>
  <c r="AN155" i="1"/>
  <c r="AO155" i="1"/>
  <c r="K156" i="1"/>
  <c r="L156" i="1"/>
  <c r="M156" i="1"/>
  <c r="N156" i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V159" i="1"/>
  <c r="S20" i="3" s="1"/>
  <c r="Y159" i="1"/>
  <c r="AB159" i="1"/>
  <c r="AC159" i="1"/>
  <c r="AD159" i="1"/>
  <c r="AE159" i="1"/>
  <c r="R20" i="3" s="1"/>
  <c r="AF159" i="1"/>
  <c r="AH159" i="1"/>
  <c r="AM159" i="1"/>
  <c r="AN159" i="1"/>
  <c r="AO159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8" i="1"/>
  <c r="L228" i="1"/>
  <c r="M228" i="1"/>
  <c r="N228" i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S30" i="3" s="1"/>
  <c r="Y233" i="1"/>
  <c r="Z233" i="1"/>
  <c r="AB233" i="1"/>
  <c r="AC233" i="1"/>
  <c r="AD233" i="1"/>
  <c r="AE233" i="1"/>
  <c r="R30" i="3" s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A235" i="1" s="1"/>
  <c r="AB235" i="1"/>
  <c r="AC235" i="1"/>
  <c r="AD235" i="1"/>
  <c r="T235" i="1" s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X236" i="1" s="1"/>
  <c r="AE236" i="1"/>
  <c r="AF236" i="1"/>
  <c r="AH181" i="1"/>
  <c r="AM181" i="1"/>
  <c r="AN181" i="1"/>
  <c r="AO181" i="1"/>
  <c r="K237" i="1"/>
  <c r="L237" i="1"/>
  <c r="M237" i="1"/>
  <c r="N237" i="1" s="1"/>
  <c r="V237" i="1"/>
  <c r="S28" i="3" s="1"/>
  <c r="Y237" i="1"/>
  <c r="Z237" i="1"/>
  <c r="AA237" i="1" s="1"/>
  <c r="AB237" i="1"/>
  <c r="AC237" i="1"/>
  <c r="AD237" i="1"/>
  <c r="T237" i="1" s="1"/>
  <c r="AE237" i="1"/>
  <c r="R28" i="3" s="1"/>
  <c r="AF237" i="1"/>
  <c r="AH182" i="1"/>
  <c r="AM182" i="1"/>
  <c r="AN182" i="1"/>
  <c r="AO182" i="1"/>
  <c r="K238" i="1"/>
  <c r="L238" i="1"/>
  <c r="M238" i="1"/>
  <c r="N238" i="1" s="1"/>
  <c r="V238" i="1"/>
  <c r="Y238" i="1"/>
  <c r="Z238" i="1"/>
  <c r="AB238" i="1"/>
  <c r="AC238" i="1"/>
  <c r="AD238" i="1"/>
  <c r="X238" i="1" s="1"/>
  <c r="AE238" i="1"/>
  <c r="AF238" i="1"/>
  <c r="AH183" i="1"/>
  <c r="AM183" i="1"/>
  <c r="AN183" i="1"/>
  <c r="AO183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X240" i="1" s="1"/>
  <c r="AE240" i="1"/>
  <c r="AF240" i="1"/>
  <c r="AH185" i="1"/>
  <c r="AM185" i="1"/>
  <c r="AN185" i="1"/>
  <c r="AO185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AF241" i="1"/>
  <c r="AH186" i="1"/>
  <c r="AM186" i="1"/>
  <c r="AN186" i="1"/>
  <c r="AO186" i="1"/>
  <c r="K242" i="1"/>
  <c r="L242" i="1"/>
  <c r="M242" i="1"/>
  <c r="N242" i="1" s="1"/>
  <c r="V242" i="1"/>
  <c r="S29" i="3" s="1"/>
  <c r="Y242" i="1"/>
  <c r="Z242" i="1"/>
  <c r="AB242" i="1"/>
  <c r="AC242" i="1"/>
  <c r="AD242" i="1"/>
  <c r="X242" i="1" s="1"/>
  <c r="AE242" i="1"/>
  <c r="R29" i="3" s="1"/>
  <c r="AF242" i="1"/>
  <c r="AH187" i="1"/>
  <c r="AM187" i="1"/>
  <c r="AN187" i="1"/>
  <c r="AO187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188" i="1"/>
  <c r="AM188" i="1"/>
  <c r="AN188" i="1"/>
  <c r="AO188" i="1"/>
  <c r="K244" i="1"/>
  <c r="L244" i="1"/>
  <c r="M244" i="1"/>
  <c r="N244" i="1" s="1"/>
  <c r="V244" i="1"/>
  <c r="Y244" i="1"/>
  <c r="Z244" i="1"/>
  <c r="AB244" i="1"/>
  <c r="AC244" i="1"/>
  <c r="AD244" i="1"/>
  <c r="X244" i="1" s="1"/>
  <c r="AE244" i="1"/>
  <c r="AF244" i="1"/>
  <c r="AH189" i="1"/>
  <c r="AM189" i="1"/>
  <c r="AN189" i="1"/>
  <c r="AO189" i="1"/>
  <c r="K245" i="1"/>
  <c r="L245" i="1"/>
  <c r="M245" i="1"/>
  <c r="N245" i="1" s="1"/>
  <c r="V245" i="1"/>
  <c r="Y245" i="1"/>
  <c r="Z245" i="1"/>
  <c r="AA245" i="1" s="1"/>
  <c r="AB245" i="1"/>
  <c r="AC245" i="1"/>
  <c r="AD245" i="1"/>
  <c r="T245" i="1" s="1"/>
  <c r="AE245" i="1"/>
  <c r="AF245" i="1"/>
  <c r="AH190" i="1"/>
  <c r="AM190" i="1"/>
  <c r="AN190" i="1"/>
  <c r="AO190" i="1"/>
  <c r="K246" i="1"/>
  <c r="L246" i="1"/>
  <c r="M246" i="1"/>
  <c r="N246" i="1" s="1"/>
  <c r="V246" i="1"/>
  <c r="S27" i="3" s="1"/>
  <c r="Y246" i="1"/>
  <c r="Z246" i="1"/>
  <c r="AA246" i="1" s="1"/>
  <c r="AB246" i="1"/>
  <c r="AC246" i="1"/>
  <c r="AD246" i="1"/>
  <c r="AE246" i="1"/>
  <c r="R26" i="3" s="1"/>
  <c r="AF246" i="1"/>
  <c r="AH191" i="1"/>
  <c r="AM191" i="1"/>
  <c r="AN191" i="1"/>
  <c r="AO191" i="1"/>
  <c r="K247" i="1"/>
  <c r="L247" i="1"/>
  <c r="M247" i="1"/>
  <c r="N247" i="1" s="1"/>
  <c r="V247" i="1"/>
  <c r="Y247" i="1"/>
  <c r="Z247" i="1"/>
  <c r="AA247" i="1" s="1"/>
  <c r="AB247" i="1"/>
  <c r="AC247" i="1"/>
  <c r="AD247" i="1"/>
  <c r="X247" i="1" s="1"/>
  <c r="AE247" i="1"/>
  <c r="AF247" i="1"/>
  <c r="AH192" i="1"/>
  <c r="AM192" i="1"/>
  <c r="AN192" i="1"/>
  <c r="AO192" i="1"/>
  <c r="K248" i="1"/>
  <c r="L248" i="1"/>
  <c r="M248" i="1"/>
  <c r="N248" i="1" s="1"/>
  <c r="V248" i="1"/>
  <c r="Y248" i="1"/>
  <c r="Z248" i="1"/>
  <c r="AA248" i="1" s="1"/>
  <c r="AB248" i="1"/>
  <c r="AC248" i="1"/>
  <c r="AD248" i="1"/>
  <c r="T248" i="1" s="1"/>
  <c r="AE248" i="1"/>
  <c r="AF248" i="1"/>
  <c r="AH193" i="1"/>
  <c r="AM193" i="1"/>
  <c r="AN193" i="1"/>
  <c r="AO193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4" i="1"/>
  <c r="AM194" i="1"/>
  <c r="AN194" i="1"/>
  <c r="AO194" i="1"/>
  <c r="K250" i="1"/>
  <c r="L250" i="1"/>
  <c r="M250" i="1"/>
  <c r="N250" i="1" s="1"/>
  <c r="V250" i="1"/>
  <c r="Y250" i="1"/>
  <c r="Z250" i="1"/>
  <c r="AA250" i="1" s="1"/>
  <c r="AB250" i="1"/>
  <c r="AC250" i="1"/>
  <c r="AD250" i="1"/>
  <c r="T250" i="1" s="1"/>
  <c r="AE250" i="1"/>
  <c r="AF250" i="1"/>
  <c r="AH195" i="1"/>
  <c r="AM195" i="1"/>
  <c r="AN195" i="1"/>
  <c r="AO195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6" i="1"/>
  <c r="AM196" i="1"/>
  <c r="AN196" i="1"/>
  <c r="AO196" i="1"/>
  <c r="K161" i="1"/>
  <c r="L161" i="1"/>
  <c r="M161" i="1"/>
  <c r="N161" i="1" s="1"/>
  <c r="V161" i="1"/>
  <c r="S23" i="3" s="1"/>
  <c r="Y161" i="1"/>
  <c r="Z161" i="1"/>
  <c r="AA161" i="1" s="1"/>
  <c r="AB161" i="1"/>
  <c r="AC161" i="1"/>
  <c r="AD161" i="1"/>
  <c r="X161" i="1" s="1"/>
  <c r="AE161" i="1"/>
  <c r="R23" i="3" s="1"/>
  <c r="AF161" i="1"/>
  <c r="AH197" i="1"/>
  <c r="AM197" i="1"/>
  <c r="AN197" i="1"/>
  <c r="AO197" i="1"/>
  <c r="K162" i="1"/>
  <c r="L162" i="1"/>
  <c r="M162" i="1"/>
  <c r="N162" i="1" s="1"/>
  <c r="V162" i="1"/>
  <c r="Y162" i="1"/>
  <c r="AA162" i="1" s="1"/>
  <c r="Z162" i="1"/>
  <c r="AB162" i="1"/>
  <c r="AC162" i="1"/>
  <c r="AD162" i="1"/>
  <c r="AE162" i="1"/>
  <c r="AF162" i="1"/>
  <c r="AH198" i="1"/>
  <c r="AM198" i="1"/>
  <c r="AN198" i="1"/>
  <c r="AO1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9" i="1"/>
  <c r="AM199" i="1"/>
  <c r="AN199" i="1"/>
  <c r="AO199" i="1"/>
  <c r="K164" i="1"/>
  <c r="L164" i="1"/>
  <c r="M164" i="1"/>
  <c r="N164" i="1"/>
  <c r="V164" i="1"/>
  <c r="Y164" i="1"/>
  <c r="Z164" i="1"/>
  <c r="AB164" i="1"/>
  <c r="AC164" i="1"/>
  <c r="AD164" i="1"/>
  <c r="X164" i="1" s="1"/>
  <c r="AE164" i="1"/>
  <c r="AF164" i="1"/>
  <c r="AH200" i="1"/>
  <c r="AM200" i="1"/>
  <c r="AN200" i="1"/>
  <c r="AO200" i="1"/>
  <c r="K165" i="1"/>
  <c r="L165" i="1"/>
  <c r="M165" i="1"/>
  <c r="N165" i="1" s="1"/>
  <c r="T165" i="1"/>
  <c r="V165" i="1"/>
  <c r="Y165" i="1"/>
  <c r="AA165" i="1" s="1"/>
  <c r="Z165" i="1"/>
  <c r="AB165" i="1"/>
  <c r="AC165" i="1"/>
  <c r="AD165" i="1"/>
  <c r="AE165" i="1"/>
  <c r="AF165" i="1"/>
  <c r="AH201" i="1"/>
  <c r="AM201" i="1"/>
  <c r="AN201" i="1"/>
  <c r="AO2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2" i="1"/>
  <c r="AM202" i="1"/>
  <c r="AN202" i="1"/>
  <c r="AO202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203" i="1"/>
  <c r="AM203" i="1"/>
  <c r="AN203" i="1"/>
  <c r="AO203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4" i="1"/>
  <c r="AM204" i="1"/>
  <c r="AN204" i="1"/>
  <c r="AO20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5" i="1"/>
  <c r="AM205" i="1"/>
  <c r="AN205" i="1"/>
  <c r="AO205" i="1"/>
  <c r="K170" i="1"/>
  <c r="L170" i="1"/>
  <c r="M170" i="1"/>
  <c r="N170" i="1" s="1"/>
  <c r="V170" i="1"/>
  <c r="Y170" i="1"/>
  <c r="Z170" i="1"/>
  <c r="AA170" i="1" s="1"/>
  <c r="AB170" i="1"/>
  <c r="AC170" i="1"/>
  <c r="AD170" i="1"/>
  <c r="X170" i="1" s="1"/>
  <c r="AE170" i="1"/>
  <c r="AF170" i="1"/>
  <c r="AH206" i="1"/>
  <c r="AM206" i="1"/>
  <c r="AN206" i="1"/>
  <c r="AO206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H207" i="1"/>
  <c r="AM207" i="1"/>
  <c r="AN207" i="1"/>
  <c r="AO207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208" i="1"/>
  <c r="AM208" i="1"/>
  <c r="AN208" i="1"/>
  <c r="AO208" i="1"/>
  <c r="K173" i="1"/>
  <c r="L173" i="1"/>
  <c r="M173" i="1"/>
  <c r="N173" i="1" s="1"/>
  <c r="T173" i="1"/>
  <c r="V173" i="1"/>
  <c r="Y173" i="1"/>
  <c r="AA173" i="1" s="1"/>
  <c r="Z173" i="1"/>
  <c r="AB173" i="1"/>
  <c r="AC173" i="1"/>
  <c r="AD173" i="1"/>
  <c r="AE173" i="1"/>
  <c r="AF173" i="1"/>
  <c r="AH209" i="1"/>
  <c r="AM209" i="1"/>
  <c r="AN209" i="1"/>
  <c r="AO2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0" i="1"/>
  <c r="AM210" i="1"/>
  <c r="AN210" i="1"/>
  <c r="AO210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211" i="1"/>
  <c r="AM211" i="1"/>
  <c r="AN211" i="1"/>
  <c r="AO211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12" i="1"/>
  <c r="AM212" i="1"/>
  <c r="AN212" i="1"/>
  <c r="AO2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3" i="1"/>
  <c r="AM213" i="1"/>
  <c r="AN213" i="1"/>
  <c r="AO213" i="1"/>
  <c r="K178" i="1"/>
  <c r="L178" i="1"/>
  <c r="M178" i="1"/>
  <c r="N178" i="1" s="1"/>
  <c r="V178" i="1"/>
  <c r="Y178" i="1"/>
  <c r="Z178" i="1"/>
  <c r="AA178" i="1" s="1"/>
  <c r="AB178" i="1"/>
  <c r="AC178" i="1"/>
  <c r="AD178" i="1"/>
  <c r="X178" i="1" s="1"/>
  <c r="AE178" i="1"/>
  <c r="AF178" i="1"/>
  <c r="AH214" i="1"/>
  <c r="AM214" i="1"/>
  <c r="AN214" i="1"/>
  <c r="AO214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15" i="1"/>
  <c r="AM215" i="1"/>
  <c r="AN215" i="1"/>
  <c r="AO215" i="1"/>
  <c r="K180" i="1"/>
  <c r="L180" i="1"/>
  <c r="M180" i="1"/>
  <c r="N180" i="1" s="1"/>
  <c r="V180" i="1"/>
  <c r="Y180" i="1"/>
  <c r="Z180" i="1"/>
  <c r="AA180" i="1" s="1"/>
  <c r="AB180" i="1"/>
  <c r="AC180" i="1"/>
  <c r="AD180" i="1"/>
  <c r="X180" i="1" s="1"/>
  <c r="AE180" i="1"/>
  <c r="AF180" i="1"/>
  <c r="AH216" i="1"/>
  <c r="AM216" i="1"/>
  <c r="AN216" i="1"/>
  <c r="AO216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217" i="1"/>
  <c r="AM217" i="1"/>
  <c r="AN217" i="1"/>
  <c r="AO2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8" i="1"/>
  <c r="AM218" i="1"/>
  <c r="AN218" i="1"/>
  <c r="AO218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19" i="1"/>
  <c r="AM219" i="1"/>
  <c r="AN219" i="1"/>
  <c r="AO2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0" i="1"/>
  <c r="AM220" i="1"/>
  <c r="AN220" i="1"/>
  <c r="AO220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21" i="1"/>
  <c r="AM221" i="1"/>
  <c r="AN221" i="1"/>
  <c r="AO221" i="1"/>
  <c r="K186" i="1"/>
  <c r="L186" i="1"/>
  <c r="M186" i="1"/>
  <c r="N186" i="1" s="1"/>
  <c r="V186" i="1"/>
  <c r="Y186" i="1"/>
  <c r="Z186" i="1"/>
  <c r="AA186" i="1"/>
  <c r="AB186" i="1"/>
  <c r="AC186" i="1"/>
  <c r="AD186" i="1"/>
  <c r="X186" i="1" s="1"/>
  <c r="AE186" i="1"/>
  <c r="AF186" i="1"/>
  <c r="AH222" i="1"/>
  <c r="AM222" i="1"/>
  <c r="AN222" i="1"/>
  <c r="AO2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3" i="1"/>
  <c r="AM223" i="1"/>
  <c r="AN223" i="1"/>
  <c r="AO223" i="1"/>
  <c r="K188" i="1"/>
  <c r="L188" i="1"/>
  <c r="M188" i="1"/>
  <c r="N188" i="1"/>
  <c r="V188" i="1"/>
  <c r="Y188" i="1"/>
  <c r="Z188" i="1"/>
  <c r="AB188" i="1"/>
  <c r="AC188" i="1"/>
  <c r="AD188" i="1"/>
  <c r="X188" i="1" s="1"/>
  <c r="AE188" i="1"/>
  <c r="AF188" i="1"/>
  <c r="AH224" i="1"/>
  <c r="AM224" i="1"/>
  <c r="AN224" i="1"/>
  <c r="AO224" i="1"/>
  <c r="K189" i="1"/>
  <c r="L189" i="1"/>
  <c r="M189" i="1"/>
  <c r="N189" i="1" s="1"/>
  <c r="T189" i="1"/>
  <c r="V189" i="1"/>
  <c r="Y189" i="1"/>
  <c r="Z189" i="1"/>
  <c r="AA189" i="1"/>
  <c r="AB189" i="1"/>
  <c r="AC189" i="1"/>
  <c r="AD189" i="1"/>
  <c r="AE189" i="1"/>
  <c r="AF189" i="1"/>
  <c r="AH225" i="1"/>
  <c r="AM225" i="1"/>
  <c r="AN225" i="1"/>
  <c r="AO225" i="1"/>
  <c r="K190" i="1"/>
  <c r="L190" i="1"/>
  <c r="M190" i="1"/>
  <c r="P190" i="1" s="1"/>
  <c r="V190" i="1"/>
  <c r="Y190" i="1"/>
  <c r="Z190" i="1"/>
  <c r="AB190" i="1"/>
  <c r="AC190" i="1"/>
  <c r="AD190" i="1"/>
  <c r="T190" i="1" s="1"/>
  <c r="AE190" i="1"/>
  <c r="AF190" i="1"/>
  <c r="AH226" i="1"/>
  <c r="AM226" i="1"/>
  <c r="AN226" i="1"/>
  <c r="AO226" i="1"/>
  <c r="K191" i="1"/>
  <c r="L191" i="1"/>
  <c r="M191" i="1"/>
  <c r="N191" i="1"/>
  <c r="V191" i="1"/>
  <c r="S25" i="3" s="1"/>
  <c r="Y191" i="1"/>
  <c r="Z191" i="1"/>
  <c r="AB191" i="1"/>
  <c r="AC191" i="1"/>
  <c r="AD191" i="1"/>
  <c r="T191" i="1" s="1"/>
  <c r="AE191" i="1"/>
  <c r="R25" i="3" s="1"/>
  <c r="AF191" i="1"/>
  <c r="AH227" i="1"/>
  <c r="AM227" i="1"/>
  <c r="AN227" i="1"/>
  <c r="AO227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28" i="1"/>
  <c r="AM228" i="1"/>
  <c r="AN228" i="1"/>
  <c r="AO2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9" i="1"/>
  <c r="AM229" i="1"/>
  <c r="AN229" i="1"/>
  <c r="AO229" i="1"/>
  <c r="K194" i="1"/>
  <c r="L194" i="1"/>
  <c r="M194" i="1"/>
  <c r="N194" i="1" s="1"/>
  <c r="V194" i="1"/>
  <c r="Y194" i="1"/>
  <c r="Z194" i="1"/>
  <c r="AA194" i="1" s="1"/>
  <c r="AB194" i="1"/>
  <c r="AC194" i="1"/>
  <c r="AD194" i="1"/>
  <c r="X194" i="1" s="1"/>
  <c r="AE194" i="1"/>
  <c r="AF194" i="1"/>
  <c r="AH230" i="1"/>
  <c r="AM230" i="1"/>
  <c r="AN230" i="1"/>
  <c r="AO230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31" i="1"/>
  <c r="AM231" i="1"/>
  <c r="AN231" i="1"/>
  <c r="AO231" i="1"/>
  <c r="K196" i="1"/>
  <c r="L196" i="1"/>
  <c r="M196" i="1"/>
  <c r="N196" i="1" s="1"/>
  <c r="V196" i="1"/>
  <c r="Y196" i="1"/>
  <c r="Z196" i="1"/>
  <c r="AA196" i="1" s="1"/>
  <c r="AB196" i="1"/>
  <c r="AC196" i="1"/>
  <c r="AD196" i="1"/>
  <c r="X196" i="1" s="1"/>
  <c r="AE196" i="1"/>
  <c r="AF196" i="1"/>
  <c r="AH232" i="1"/>
  <c r="AM232" i="1"/>
  <c r="AN232" i="1"/>
  <c r="AO232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33" i="1"/>
  <c r="AM233" i="1"/>
  <c r="AN233" i="1"/>
  <c r="AO23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4" i="1"/>
  <c r="AM234" i="1"/>
  <c r="AN234" i="1"/>
  <c r="AO234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35" i="1"/>
  <c r="AM235" i="1"/>
  <c r="AN235" i="1"/>
  <c r="AO23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6" i="1"/>
  <c r="AM236" i="1"/>
  <c r="AN236" i="1"/>
  <c r="AO23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7" i="1"/>
  <c r="AM237" i="1"/>
  <c r="AN237" i="1"/>
  <c r="AO23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8" i="1"/>
  <c r="AM238" i="1"/>
  <c r="AN238" i="1"/>
  <c r="AO238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39" i="1"/>
  <c r="AM239" i="1"/>
  <c r="AN239" i="1"/>
  <c r="AO239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0" i="1"/>
  <c r="AM240" i="1"/>
  <c r="AN240" i="1"/>
  <c r="AO24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1" i="1"/>
  <c r="AM241" i="1"/>
  <c r="AN241" i="1"/>
  <c r="AO241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2" i="1"/>
  <c r="AM242" i="1"/>
  <c r="AN242" i="1"/>
  <c r="AO24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3" i="1"/>
  <c r="AM243" i="1"/>
  <c r="AN243" i="1"/>
  <c r="AO243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44" i="1"/>
  <c r="AM244" i="1"/>
  <c r="AN244" i="1"/>
  <c r="AO244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45" i="1"/>
  <c r="AM245" i="1"/>
  <c r="AN245" i="1"/>
  <c r="AO24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6" i="1"/>
  <c r="AM246" i="1"/>
  <c r="AN246" i="1"/>
  <c r="AO246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47" i="1"/>
  <c r="AM247" i="1"/>
  <c r="AN247" i="1"/>
  <c r="AO247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8" i="1"/>
  <c r="AM248" i="1"/>
  <c r="AN248" i="1"/>
  <c r="AO248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49" i="1"/>
  <c r="AM249" i="1"/>
  <c r="AN249" i="1"/>
  <c r="AO24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50" i="1"/>
  <c r="AM250" i="1"/>
  <c r="AN250" i="1"/>
  <c r="AO250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251" i="1"/>
  <c r="AM251" i="1"/>
  <c r="AN251" i="1"/>
  <c r="AO251" i="1"/>
  <c r="M8" i="3"/>
  <c r="R8" i="3"/>
  <c r="S8" i="3"/>
  <c r="U8" i="3"/>
  <c r="T8" i="3" s="1"/>
  <c r="V8" i="3"/>
  <c r="X8" i="3"/>
  <c r="M23" i="3"/>
  <c r="U23" i="3"/>
  <c r="AD23" i="3" s="1"/>
  <c r="V23" i="3"/>
  <c r="X23" i="3"/>
  <c r="M16" i="3"/>
  <c r="R16" i="3"/>
  <c r="S16" i="3"/>
  <c r="U16" i="3"/>
  <c r="T16" i="3" s="1"/>
  <c r="V16" i="3"/>
  <c r="X16" i="3"/>
  <c r="M28" i="3"/>
  <c r="U28" i="3"/>
  <c r="AC28" i="3" s="1"/>
  <c r="V28" i="3"/>
  <c r="X28" i="3"/>
  <c r="M26" i="3"/>
  <c r="U26" i="3"/>
  <c r="AC26" i="3" s="1"/>
  <c r="V26" i="3"/>
  <c r="X26" i="3"/>
  <c r="M11" i="3"/>
  <c r="R11" i="3"/>
  <c r="S11" i="3"/>
  <c r="U11" i="3"/>
  <c r="AC11" i="3" s="1"/>
  <c r="V11" i="3"/>
  <c r="X11" i="3"/>
  <c r="M18" i="3"/>
  <c r="U18" i="3"/>
  <c r="T18" i="3" s="1"/>
  <c r="V18" i="3"/>
  <c r="X18" i="3"/>
  <c r="M17" i="3"/>
  <c r="U17" i="3"/>
  <c r="V17" i="3"/>
  <c r="X17" i="3"/>
  <c r="M9" i="3"/>
  <c r="R9" i="3"/>
  <c r="U9" i="3"/>
  <c r="AC9" i="3" s="1"/>
  <c r="V9" i="3"/>
  <c r="X9" i="3"/>
  <c r="M29" i="3"/>
  <c r="U29" i="3"/>
  <c r="T29" i="3" s="1"/>
  <c r="V29" i="3"/>
  <c r="X29" i="3"/>
  <c r="M13" i="3"/>
  <c r="U13" i="3"/>
  <c r="V13" i="3"/>
  <c r="X13" i="3"/>
  <c r="M12" i="3"/>
  <c r="U12" i="3"/>
  <c r="AC12" i="3" s="1"/>
  <c r="V12" i="3"/>
  <c r="X12" i="3"/>
  <c r="M7" i="3"/>
  <c r="R7" i="3"/>
  <c r="S7" i="3"/>
  <c r="U7" i="3"/>
  <c r="T7" i="3" s="1"/>
  <c r="V7" i="3"/>
  <c r="X7" i="3"/>
  <c r="M22" i="3"/>
  <c r="R22" i="3"/>
  <c r="U22" i="3"/>
  <c r="V22" i="3"/>
  <c r="X22" i="3"/>
  <c r="M19" i="3"/>
  <c r="U19" i="3"/>
  <c r="AC19" i="3" s="1"/>
  <c r="V19" i="3"/>
  <c r="X19" i="3"/>
  <c r="M27" i="3"/>
  <c r="U27" i="3"/>
  <c r="T27" i="3" s="1"/>
  <c r="V27" i="3"/>
  <c r="X27" i="3"/>
  <c r="M25" i="3"/>
  <c r="U25" i="3"/>
  <c r="V25" i="3"/>
  <c r="X25" i="3"/>
  <c r="M30" i="3"/>
  <c r="U30" i="3"/>
  <c r="AC30" i="3" s="1"/>
  <c r="V30" i="3"/>
  <c r="X30" i="3"/>
  <c r="M14" i="3"/>
  <c r="U14" i="3"/>
  <c r="AC14" i="3" s="1"/>
  <c r="V14" i="3"/>
  <c r="X14" i="3"/>
  <c r="M15" i="3"/>
  <c r="U15" i="3"/>
  <c r="T15" i="3" s="1"/>
  <c r="V15" i="3"/>
  <c r="X15" i="3"/>
  <c r="M10" i="3"/>
  <c r="U10" i="3"/>
  <c r="AC10" i="3" s="1"/>
  <c r="V10" i="3"/>
  <c r="X10" i="3"/>
  <c r="M20" i="3"/>
  <c r="U20" i="3"/>
  <c r="AC20" i="3" s="1"/>
  <c r="V20" i="3"/>
  <c r="X20" i="3"/>
  <c r="AG160" i="1"/>
  <c r="AG149" i="1"/>
  <c r="AG133" i="1"/>
  <c r="AG106" i="1"/>
  <c r="AG17" i="1"/>
  <c r="AG21" i="1"/>
  <c r="AG25" i="1"/>
  <c r="AG28" i="1"/>
  <c r="AG32" i="1"/>
  <c r="AG36" i="1"/>
  <c r="AG40" i="1"/>
  <c r="AG44" i="1"/>
  <c r="AG48" i="1"/>
  <c r="AG52" i="1"/>
  <c r="AG56" i="1"/>
  <c r="AG60" i="1"/>
  <c r="AG64" i="1"/>
  <c r="AG68" i="1"/>
  <c r="AG76" i="1"/>
  <c r="AG71" i="1"/>
  <c r="AG89" i="1"/>
  <c r="AG96" i="1"/>
  <c r="AG104" i="1"/>
  <c r="AG113" i="1"/>
  <c r="AG121" i="1"/>
  <c r="AG128" i="1"/>
  <c r="AG132" i="1"/>
  <c r="AG137" i="1"/>
  <c r="AG141" i="1"/>
  <c r="AG145" i="1"/>
  <c r="AG79" i="1"/>
  <c r="AG93" i="1"/>
  <c r="AG101" i="1"/>
  <c r="AG110" i="1"/>
  <c r="AG151" i="1"/>
  <c r="AG159" i="1"/>
  <c r="AG217" i="1"/>
  <c r="AG231" i="1"/>
  <c r="AG235" i="1"/>
  <c r="AG239" i="1"/>
  <c r="AG243" i="1"/>
  <c r="AG247" i="1"/>
  <c r="AG251" i="1"/>
  <c r="AG164" i="1"/>
  <c r="AG168" i="1"/>
  <c r="AG172" i="1"/>
  <c r="AG176" i="1"/>
  <c r="AG180" i="1"/>
  <c r="AG184" i="1"/>
  <c r="AG188" i="1"/>
  <c r="AG192" i="1"/>
  <c r="AG196" i="1"/>
  <c r="AG82" i="1"/>
  <c r="AG124" i="1"/>
  <c r="AG154" i="1"/>
  <c r="AG212" i="1"/>
  <c r="AG220" i="1"/>
  <c r="AG86" i="1"/>
  <c r="AG200" i="1"/>
  <c r="AG204" i="1"/>
  <c r="AG208" i="1"/>
  <c r="AG224" i="1"/>
  <c r="AG90" i="1"/>
  <c r="AG134" i="1"/>
  <c r="AG146" i="1"/>
  <c r="AG95" i="1"/>
  <c r="AG112" i="1"/>
  <c r="AG211" i="1"/>
  <c r="AG232" i="1"/>
  <c r="AG240" i="1"/>
  <c r="AG248" i="1"/>
  <c r="AG165" i="1"/>
  <c r="AG173" i="1"/>
  <c r="AG181" i="1"/>
  <c r="AG189" i="1"/>
  <c r="AG197" i="1"/>
  <c r="AG147" i="1"/>
  <c r="AG156" i="1"/>
  <c r="AG228" i="1"/>
  <c r="AG201" i="1"/>
  <c r="AG209" i="1"/>
  <c r="AG15" i="1"/>
  <c r="AG19" i="1"/>
  <c r="AG23" i="1"/>
  <c r="AG26" i="1"/>
  <c r="AG30" i="1"/>
  <c r="AG34" i="1"/>
  <c r="AG46" i="1"/>
  <c r="AG50" i="1"/>
  <c r="AG54" i="1"/>
  <c r="AG14" i="1"/>
  <c r="AG18" i="1"/>
  <c r="AG22" i="1"/>
  <c r="AG29" i="1"/>
  <c r="AG33" i="1"/>
  <c r="AG37" i="1"/>
  <c r="AG41" i="1"/>
  <c r="AG45" i="1"/>
  <c r="AG49" i="1"/>
  <c r="AG53" i="1"/>
  <c r="AG57" i="1"/>
  <c r="AG61" i="1"/>
  <c r="AG65" i="1"/>
  <c r="AG69" i="1"/>
  <c r="AG80" i="1"/>
  <c r="AG77" i="1"/>
  <c r="AG98" i="1"/>
  <c r="AG107" i="1"/>
  <c r="AG115" i="1"/>
  <c r="AG123" i="1"/>
  <c r="AG129" i="1"/>
  <c r="AG138" i="1"/>
  <c r="AG142" i="1"/>
  <c r="AG83" i="1"/>
  <c r="AG103" i="1"/>
  <c r="AG153" i="1"/>
  <c r="AG219" i="1"/>
  <c r="AG236" i="1"/>
  <c r="AG244" i="1"/>
  <c r="AG161" i="1"/>
  <c r="AG169" i="1"/>
  <c r="AG177" i="1"/>
  <c r="AG185" i="1"/>
  <c r="AG193" i="1"/>
  <c r="AG114" i="1"/>
  <c r="AG214" i="1"/>
  <c r="AG118" i="1"/>
  <c r="AG205" i="1"/>
  <c r="AG225" i="1"/>
  <c r="AG38" i="1"/>
  <c r="AG42" i="1"/>
  <c r="AG62" i="1"/>
  <c r="AG20" i="1"/>
  <c r="AG35" i="1"/>
  <c r="AG51" i="1"/>
  <c r="AG63" i="1"/>
  <c r="AG72" i="1"/>
  <c r="AG85" i="1"/>
  <c r="AG102" i="1"/>
  <c r="AG119" i="1"/>
  <c r="AG131" i="1"/>
  <c r="AG140" i="1"/>
  <c r="AG75" i="1"/>
  <c r="AG99" i="1"/>
  <c r="AG148" i="1"/>
  <c r="AG215" i="1"/>
  <c r="AG234" i="1"/>
  <c r="AG242" i="1"/>
  <c r="AG250" i="1"/>
  <c r="AG167" i="1"/>
  <c r="AG175" i="1"/>
  <c r="AG183" i="1"/>
  <c r="AG191" i="1"/>
  <c r="AG74" i="1"/>
  <c r="AG152" i="1"/>
  <c r="AG218" i="1"/>
  <c r="AG199" i="1"/>
  <c r="AG207" i="1"/>
  <c r="AG227" i="1"/>
  <c r="AG230" i="1"/>
  <c r="AG24" i="1"/>
  <c r="AG39" i="1"/>
  <c r="AG55" i="1"/>
  <c r="AG66" i="1"/>
  <c r="AG84" i="1"/>
  <c r="AG92" i="1"/>
  <c r="AG109" i="1"/>
  <c r="AG125" i="1"/>
  <c r="AG135" i="1"/>
  <c r="AG143" i="1"/>
  <c r="AG87" i="1"/>
  <c r="AG105" i="1"/>
  <c r="AG155" i="1"/>
  <c r="AG221" i="1"/>
  <c r="AG237" i="1"/>
  <c r="AG245" i="1"/>
  <c r="AG162" i="1"/>
  <c r="AG170" i="1"/>
  <c r="AG178" i="1"/>
  <c r="AG194" i="1"/>
  <c r="AG122" i="1"/>
  <c r="AG158" i="1"/>
  <c r="AG202" i="1"/>
  <c r="AG222" i="1"/>
  <c r="AG27" i="1"/>
  <c r="AG43" i="1"/>
  <c r="AG58" i="1"/>
  <c r="AG67" i="1"/>
  <c r="AG88" i="1"/>
  <c r="AG94" i="1"/>
  <c r="AG111" i="1"/>
  <c r="AG127" i="1"/>
  <c r="AG136" i="1"/>
  <c r="AG144" i="1"/>
  <c r="AG91" i="1"/>
  <c r="AG108" i="1"/>
  <c r="AG157" i="1"/>
  <c r="AG229" i="1"/>
  <c r="AG238" i="1"/>
  <c r="AG246" i="1"/>
  <c r="AG163" i="1"/>
  <c r="AG171" i="1"/>
  <c r="AG179" i="1"/>
  <c r="AG187" i="1"/>
  <c r="AG195" i="1"/>
  <c r="AG116" i="1"/>
  <c r="AG210" i="1"/>
  <c r="AG78" i="1"/>
  <c r="AG203" i="1"/>
  <c r="AG223" i="1"/>
  <c r="AG16" i="1"/>
  <c r="AG31" i="1"/>
  <c r="AG47" i="1"/>
  <c r="AG59" i="1"/>
  <c r="AG70" i="1"/>
  <c r="AG81" i="1"/>
  <c r="AG100" i="1"/>
  <c r="AG117" i="1"/>
  <c r="AG130" i="1"/>
  <c r="AG139" i="1"/>
  <c r="AG73" i="1"/>
  <c r="AG97" i="1"/>
  <c r="AG120" i="1"/>
  <c r="AG213" i="1"/>
  <c r="AG233" i="1"/>
  <c r="AG241" i="1"/>
  <c r="AG249" i="1"/>
  <c r="AG166" i="1"/>
  <c r="AG174" i="1"/>
  <c r="AG182" i="1"/>
  <c r="AG190" i="1"/>
  <c r="AG198" i="1"/>
  <c r="AG150" i="1"/>
  <c r="AG216" i="1"/>
  <c r="AG126" i="1"/>
  <c r="AG206" i="1"/>
  <c r="AG226" i="1"/>
  <c r="AG186" i="1"/>
  <c r="W17" i="3"/>
  <c r="W12" i="3"/>
  <c r="W19" i="3"/>
  <c r="W18" i="3"/>
  <c r="W15" i="3"/>
  <c r="W14" i="3"/>
  <c r="W26" i="3"/>
  <c r="W11" i="3"/>
  <c r="W16" i="3"/>
  <c r="W23" i="3"/>
  <c r="W13" i="3"/>
  <c r="W9" i="3"/>
  <c r="W28" i="3"/>
  <c r="W8" i="3"/>
  <c r="W29" i="3"/>
  <c r="W22" i="3"/>
  <c r="W30" i="3"/>
  <c r="W7" i="3"/>
  <c r="W25" i="3"/>
  <c r="W20" i="3"/>
  <c r="W10" i="3"/>
  <c r="W27" i="3"/>
  <c r="W160" i="1" l="1"/>
  <c r="W161" i="1"/>
  <c r="W162" i="1"/>
  <c r="X160" i="1"/>
  <c r="S17" i="3"/>
  <c r="X201" i="1"/>
  <c r="AA193" i="1"/>
  <c r="W193" i="1" s="1"/>
  <c r="AA184" i="1"/>
  <c r="AA175" i="1"/>
  <c r="AA172" i="1"/>
  <c r="AA167" i="1"/>
  <c r="W167" i="1" s="1"/>
  <c r="AA164" i="1"/>
  <c r="AA163" i="1"/>
  <c r="W163" i="1" s="1"/>
  <c r="AA244" i="1"/>
  <c r="AA240" i="1"/>
  <c r="W240" i="1" s="1"/>
  <c r="AA236" i="1"/>
  <c r="AA232" i="1"/>
  <c r="AA141" i="1"/>
  <c r="AA125" i="1"/>
  <c r="W125" i="1" s="1"/>
  <c r="AA111" i="1"/>
  <c r="AA107" i="1"/>
  <c r="AA68" i="1"/>
  <c r="W68" i="1" s="1"/>
  <c r="AA46" i="1"/>
  <c r="W46" i="1" s="1"/>
  <c r="AA33" i="1"/>
  <c r="AA29" i="1"/>
  <c r="AA22" i="1"/>
  <c r="X149" i="1"/>
  <c r="X163" i="1"/>
  <c r="R13" i="3"/>
  <c r="AA224" i="1"/>
  <c r="W224" i="1" s="1"/>
  <c r="X203" i="1"/>
  <c r="AA191" i="1"/>
  <c r="AA188" i="1"/>
  <c r="AA187" i="1"/>
  <c r="AA177" i="1"/>
  <c r="W177" i="1" s="1"/>
  <c r="AA169" i="1"/>
  <c r="AA251" i="1"/>
  <c r="AA242" i="1"/>
  <c r="W242" i="1" s="1"/>
  <c r="AA238" i="1"/>
  <c r="X233" i="1"/>
  <c r="AA137" i="1"/>
  <c r="AA132" i="1"/>
  <c r="W132" i="1" s="1"/>
  <c r="AA94" i="1"/>
  <c r="W94" i="1" s="1"/>
  <c r="AA93" i="1"/>
  <c r="X69" i="1"/>
  <c r="T66" i="1"/>
  <c r="AA59" i="1"/>
  <c r="W59" i="1" s="1"/>
  <c r="AA58" i="1"/>
  <c r="X57" i="1"/>
  <c r="AA55" i="1"/>
  <c r="AA54" i="1"/>
  <c r="W54" i="1" s="1"/>
  <c r="AA52" i="1"/>
  <c r="AA44" i="1"/>
  <c r="AA43" i="1"/>
  <c r="AA24" i="1"/>
  <c r="W24" i="1" s="1"/>
  <c r="AA20" i="1"/>
  <c r="AA16" i="1"/>
  <c r="X106" i="1"/>
  <c r="U160" i="1"/>
  <c r="AI160" i="1"/>
  <c r="R27" i="3"/>
  <c r="S13" i="3"/>
  <c r="U149" i="1"/>
  <c r="S149" i="1" s="1"/>
  <c r="AI149" i="1"/>
  <c r="W149" i="1"/>
  <c r="X133" i="1"/>
  <c r="U133" i="1"/>
  <c r="S133" i="1" s="1"/>
  <c r="AI133" i="1"/>
  <c r="W133" i="1"/>
  <c r="U106" i="1"/>
  <c r="S106" i="1" s="1"/>
  <c r="AI106" i="1"/>
  <c r="W106" i="1"/>
  <c r="AD8" i="3"/>
  <c r="AC8" i="3"/>
  <c r="S26" i="3"/>
  <c r="R18" i="3"/>
  <c r="X177" i="1"/>
  <c r="AA90" i="1"/>
  <c r="W90" i="1" s="1"/>
  <c r="AA86" i="1"/>
  <c r="AA82" i="1"/>
  <c r="AA78" i="1"/>
  <c r="W78" i="1" s="1"/>
  <c r="X74" i="1"/>
  <c r="AA74" i="1"/>
  <c r="X73" i="1"/>
  <c r="AA72" i="1"/>
  <c r="W72" i="1" s="1"/>
  <c r="X71" i="1"/>
  <c r="AA70" i="1"/>
  <c r="T201" i="1"/>
  <c r="X200" i="1"/>
  <c r="AA145" i="1"/>
  <c r="W145" i="1" s="1"/>
  <c r="AA128" i="1"/>
  <c r="AA18" i="1"/>
  <c r="X193" i="1"/>
  <c r="X185" i="1"/>
  <c r="X169" i="1"/>
  <c r="AA226" i="1"/>
  <c r="AA222" i="1"/>
  <c r="AA201" i="1"/>
  <c r="W201" i="1" s="1"/>
  <c r="T233" i="1"/>
  <c r="AA231" i="1"/>
  <c r="AA138" i="1"/>
  <c r="AA136" i="1"/>
  <c r="W136" i="1" s="1"/>
  <c r="AA131" i="1"/>
  <c r="AA130" i="1"/>
  <c r="AA123" i="1"/>
  <c r="AA97" i="1"/>
  <c r="W97" i="1" s="1"/>
  <c r="AA69" i="1"/>
  <c r="X68" i="1"/>
  <c r="AA41" i="1"/>
  <c r="AA31" i="1"/>
  <c r="AA27" i="1"/>
  <c r="AA98" i="1"/>
  <c r="AA50" i="1"/>
  <c r="AA48" i="1"/>
  <c r="W48" i="1" s="1"/>
  <c r="AA47" i="1"/>
  <c r="W47" i="1" s="1"/>
  <c r="AA34" i="1"/>
  <c r="AA32" i="1"/>
  <c r="AA28" i="1"/>
  <c r="W28" i="1" s="1"/>
  <c r="AA25" i="1"/>
  <c r="AA21" i="1"/>
  <c r="AA17" i="1"/>
  <c r="W17" i="1" s="1"/>
  <c r="AA135" i="1"/>
  <c r="W135" i="1" s="1"/>
  <c r="AA110" i="1"/>
  <c r="X204" i="1"/>
  <c r="X191" i="1"/>
  <c r="X183" i="1"/>
  <c r="X175" i="1"/>
  <c r="X167" i="1"/>
  <c r="X250" i="1"/>
  <c r="X232" i="1"/>
  <c r="AA139" i="1"/>
  <c r="AA124" i="1"/>
  <c r="AA105" i="1"/>
  <c r="AA88" i="1"/>
  <c r="W88" i="1" s="1"/>
  <c r="AA84" i="1"/>
  <c r="AA80" i="1"/>
  <c r="AA76" i="1"/>
  <c r="X67" i="1"/>
  <c r="AA65" i="1"/>
  <c r="X63" i="1"/>
  <c r="X61" i="1"/>
  <c r="AA51" i="1"/>
  <c r="W51" i="1" s="1"/>
  <c r="AA35" i="1"/>
  <c r="X198" i="1"/>
  <c r="X190" i="1"/>
  <c r="X182" i="1"/>
  <c r="X174" i="1"/>
  <c r="X166" i="1"/>
  <c r="X249" i="1"/>
  <c r="AA122" i="1"/>
  <c r="T203" i="1"/>
  <c r="X202" i="1"/>
  <c r="X199" i="1"/>
  <c r="AA198" i="1"/>
  <c r="X192" i="1"/>
  <c r="AA190" i="1"/>
  <c r="X184" i="1"/>
  <c r="AA182" i="1"/>
  <c r="X176" i="1"/>
  <c r="AA174" i="1"/>
  <c r="X168" i="1"/>
  <c r="AA166" i="1"/>
  <c r="X251" i="1"/>
  <c r="AA249" i="1"/>
  <c r="X245" i="1"/>
  <c r="AA230" i="1"/>
  <c r="W230" i="1" s="1"/>
  <c r="AA229" i="1"/>
  <c r="AA228" i="1"/>
  <c r="AA221" i="1"/>
  <c r="W221" i="1" s="1"/>
  <c r="AA146" i="1"/>
  <c r="W146" i="1" s="1"/>
  <c r="AA144" i="1"/>
  <c r="AA143" i="1"/>
  <c r="AA129" i="1"/>
  <c r="W129" i="1" s="1"/>
  <c r="AA127" i="1"/>
  <c r="W127" i="1" s="1"/>
  <c r="AA126" i="1"/>
  <c r="AA102" i="1"/>
  <c r="AA101" i="1"/>
  <c r="W101" i="1" s="1"/>
  <c r="X58" i="1"/>
  <c r="AA56" i="1"/>
  <c r="AA42" i="1"/>
  <c r="AA40" i="1"/>
  <c r="AA39" i="1"/>
  <c r="AA30" i="1"/>
  <c r="AA26" i="1"/>
  <c r="W26" i="1" s="1"/>
  <c r="AA23" i="1"/>
  <c r="AA19" i="1"/>
  <c r="W19" i="1" s="1"/>
  <c r="AA15" i="1"/>
  <c r="T196" i="1"/>
  <c r="T188" i="1"/>
  <c r="U188" i="1" s="1"/>
  <c r="S188" i="1" s="1"/>
  <c r="T180" i="1"/>
  <c r="U180" i="1" s="1"/>
  <c r="S180" i="1" s="1"/>
  <c r="T172" i="1"/>
  <c r="T164" i="1"/>
  <c r="T194" i="1"/>
  <c r="T186" i="1"/>
  <c r="U186" i="1" s="1"/>
  <c r="S186" i="1" s="1"/>
  <c r="T178" i="1"/>
  <c r="T170" i="1"/>
  <c r="T162" i="1"/>
  <c r="U162" i="1" s="1"/>
  <c r="S162" i="1" s="1"/>
  <c r="AA208" i="1"/>
  <c r="W208" i="1" s="1"/>
  <c r="AA207" i="1"/>
  <c r="AA206" i="1"/>
  <c r="AA205" i="1"/>
  <c r="AA204" i="1"/>
  <c r="W204" i="1" s="1"/>
  <c r="AA202" i="1"/>
  <c r="AA200" i="1"/>
  <c r="X197" i="1"/>
  <c r="X189" i="1"/>
  <c r="X181" i="1"/>
  <c r="X173" i="1"/>
  <c r="X165" i="1"/>
  <c r="X248" i="1"/>
  <c r="X246" i="1"/>
  <c r="T246" i="1"/>
  <c r="X195" i="1"/>
  <c r="T193" i="1"/>
  <c r="U193" i="1" s="1"/>
  <c r="S193" i="1" s="1"/>
  <c r="X187" i="1"/>
  <c r="T185" i="1"/>
  <c r="X179" i="1"/>
  <c r="T177" i="1"/>
  <c r="U177" i="1" s="1"/>
  <c r="S177" i="1" s="1"/>
  <c r="X171" i="1"/>
  <c r="T169" i="1"/>
  <c r="T161" i="1"/>
  <c r="U161" i="1" s="1"/>
  <c r="S161" i="1" s="1"/>
  <c r="T247" i="1"/>
  <c r="T244" i="1"/>
  <c r="AA121" i="1"/>
  <c r="AA120" i="1"/>
  <c r="AA118" i="1"/>
  <c r="W118" i="1" s="1"/>
  <c r="AA116" i="1"/>
  <c r="AA109" i="1"/>
  <c r="AA108" i="1"/>
  <c r="W108" i="1" s="1"/>
  <c r="AA100" i="1"/>
  <c r="AA99" i="1"/>
  <c r="AA92" i="1"/>
  <c r="AA91" i="1"/>
  <c r="W91" i="1" s="1"/>
  <c r="AA89" i="1"/>
  <c r="W89" i="1" s="1"/>
  <c r="AA85" i="1"/>
  <c r="AA81" i="1"/>
  <c r="AA77" i="1"/>
  <c r="T74" i="1"/>
  <c r="U74" i="1" s="1"/>
  <c r="S74" i="1" s="1"/>
  <c r="X72" i="1"/>
  <c r="AA71" i="1"/>
  <c r="T69" i="1"/>
  <c r="U69" i="1" s="1"/>
  <c r="S69" i="1" s="1"/>
  <c r="X65" i="1"/>
  <c r="T62" i="1"/>
  <c r="T60" i="1"/>
  <c r="X56" i="1"/>
  <c r="AA234" i="1"/>
  <c r="W234" i="1" s="1"/>
  <c r="AA233" i="1"/>
  <c r="X64" i="1"/>
  <c r="T61" i="1"/>
  <c r="U61" i="1" s="1"/>
  <c r="X55" i="1"/>
  <c r="AA14" i="1"/>
  <c r="AA220" i="1"/>
  <c r="AA219" i="1"/>
  <c r="W219" i="1" s="1"/>
  <c r="AA218" i="1"/>
  <c r="AA217" i="1"/>
  <c r="AA216" i="1"/>
  <c r="AA215" i="1"/>
  <c r="W215" i="1" s="1"/>
  <c r="AA214" i="1"/>
  <c r="W214" i="1" s="1"/>
  <c r="AA213" i="1"/>
  <c r="AA212" i="1"/>
  <c r="AA211" i="1"/>
  <c r="W211" i="1" s="1"/>
  <c r="AA210" i="1"/>
  <c r="W210" i="1" s="1"/>
  <c r="AA159" i="1"/>
  <c r="W159" i="1" s="1"/>
  <c r="AA158" i="1"/>
  <c r="AA157" i="1"/>
  <c r="W157" i="1" s="1"/>
  <c r="AA156" i="1"/>
  <c r="AA155" i="1"/>
  <c r="AA154" i="1"/>
  <c r="AA153" i="1"/>
  <c r="W153" i="1" s="1"/>
  <c r="AA152" i="1"/>
  <c r="W152" i="1" s="1"/>
  <c r="AA151" i="1"/>
  <c r="AA150" i="1"/>
  <c r="AA148" i="1"/>
  <c r="W148" i="1" s="1"/>
  <c r="AA147" i="1"/>
  <c r="W147" i="1" s="1"/>
  <c r="AA113" i="1"/>
  <c r="AA112" i="1"/>
  <c r="AA104" i="1"/>
  <c r="W104" i="1" s="1"/>
  <c r="AA103" i="1"/>
  <c r="AA96" i="1"/>
  <c r="AA95" i="1"/>
  <c r="AA87" i="1"/>
  <c r="W87" i="1" s="1"/>
  <c r="AA83" i="1"/>
  <c r="W83" i="1" s="1"/>
  <c r="AA79" i="1"/>
  <c r="AA75" i="1"/>
  <c r="AA73" i="1"/>
  <c r="W73" i="1" s="1"/>
  <c r="X70" i="1"/>
  <c r="T68" i="1"/>
  <c r="AA61" i="1"/>
  <c r="T59" i="1"/>
  <c r="U59" i="1" s="1"/>
  <c r="S59" i="1" s="1"/>
  <c r="U227" i="1"/>
  <c r="S227" i="1" s="1"/>
  <c r="AI251" i="1"/>
  <c r="U226" i="1"/>
  <c r="S226" i="1" s="1"/>
  <c r="AI250" i="1"/>
  <c r="U225" i="1"/>
  <c r="S225" i="1" s="1"/>
  <c r="AI249" i="1"/>
  <c r="U224" i="1"/>
  <c r="S224" i="1" s="1"/>
  <c r="AI248" i="1"/>
  <c r="U223" i="1"/>
  <c r="S223" i="1" s="1"/>
  <c r="AI247" i="1"/>
  <c r="U222" i="1"/>
  <c r="S222" i="1" s="1"/>
  <c r="AI246" i="1"/>
  <c r="U209" i="1"/>
  <c r="S209" i="1" s="1"/>
  <c r="AI245" i="1"/>
  <c r="U208" i="1"/>
  <c r="S208" i="1" s="1"/>
  <c r="AI244" i="1"/>
  <c r="U207" i="1"/>
  <c r="S207" i="1" s="1"/>
  <c r="AI243" i="1"/>
  <c r="U206" i="1"/>
  <c r="S206" i="1" s="1"/>
  <c r="AI242" i="1"/>
  <c r="U205" i="1"/>
  <c r="S205" i="1" s="1"/>
  <c r="AI241" i="1"/>
  <c r="U204" i="1"/>
  <c r="S204" i="1" s="1"/>
  <c r="AI240" i="1"/>
  <c r="U203" i="1"/>
  <c r="S203" i="1" s="1"/>
  <c r="AI239" i="1"/>
  <c r="U202" i="1"/>
  <c r="S202" i="1" s="1"/>
  <c r="AI238" i="1"/>
  <c r="U201" i="1"/>
  <c r="S201" i="1" s="1"/>
  <c r="AI237" i="1"/>
  <c r="U200" i="1"/>
  <c r="S200" i="1" s="1"/>
  <c r="AI236" i="1"/>
  <c r="U199" i="1"/>
  <c r="S199" i="1" s="1"/>
  <c r="AI235" i="1"/>
  <c r="AI126" i="1"/>
  <c r="W126" i="1"/>
  <c r="AI118" i="1"/>
  <c r="AI86" i="1"/>
  <c r="U86" i="1"/>
  <c r="S86" i="1" s="1"/>
  <c r="AI78" i="1"/>
  <c r="U78" i="1"/>
  <c r="S78" i="1" s="1"/>
  <c r="AI175" i="1"/>
  <c r="AI173" i="1"/>
  <c r="W228" i="1"/>
  <c r="AI171" i="1"/>
  <c r="W220" i="1"/>
  <c r="AI169" i="1"/>
  <c r="W218" i="1"/>
  <c r="AI167" i="1"/>
  <c r="AI165" i="1"/>
  <c r="AI163" i="1"/>
  <c r="AI161" i="1"/>
  <c r="AI158" i="1"/>
  <c r="AI156" i="1"/>
  <c r="AI154" i="1"/>
  <c r="AI152" i="1"/>
  <c r="AI150" i="1"/>
  <c r="AI147" i="1"/>
  <c r="AI124" i="1"/>
  <c r="AI116" i="1"/>
  <c r="AI122" i="1"/>
  <c r="AI114" i="1"/>
  <c r="AI82" i="1"/>
  <c r="U82" i="1"/>
  <c r="S82" i="1" s="1"/>
  <c r="AI74" i="1"/>
  <c r="U198" i="1"/>
  <c r="S198" i="1" s="1"/>
  <c r="AI234" i="1"/>
  <c r="U197" i="1"/>
  <c r="S197" i="1" s="1"/>
  <c r="AI233" i="1"/>
  <c r="U196" i="1"/>
  <c r="S196" i="1" s="1"/>
  <c r="AI232" i="1"/>
  <c r="U195" i="1"/>
  <c r="S195" i="1" s="1"/>
  <c r="AI231" i="1"/>
  <c r="U194" i="1"/>
  <c r="S194" i="1" s="1"/>
  <c r="AI230" i="1"/>
  <c r="AI229" i="1"/>
  <c r="U192" i="1"/>
  <c r="S192" i="1" s="1"/>
  <c r="AI228" i="1"/>
  <c r="U191" i="1"/>
  <c r="S191" i="1" s="1"/>
  <c r="AI227" i="1"/>
  <c r="U190" i="1"/>
  <c r="S190" i="1" s="1"/>
  <c r="AI226" i="1"/>
  <c r="U189" i="1"/>
  <c r="S189" i="1" s="1"/>
  <c r="AI225" i="1"/>
  <c r="AI224" i="1"/>
  <c r="U187" i="1"/>
  <c r="S187" i="1" s="1"/>
  <c r="AI223" i="1"/>
  <c r="AI222" i="1"/>
  <c r="U185" i="1"/>
  <c r="S185" i="1" s="1"/>
  <c r="AI221" i="1"/>
  <c r="U184" i="1"/>
  <c r="S184" i="1" s="1"/>
  <c r="AI220" i="1"/>
  <c r="U183" i="1"/>
  <c r="S183" i="1" s="1"/>
  <c r="AI219" i="1"/>
  <c r="U182" i="1"/>
  <c r="S182" i="1" s="1"/>
  <c r="AI218" i="1"/>
  <c r="U181" i="1"/>
  <c r="S181" i="1" s="1"/>
  <c r="AI217" i="1"/>
  <c r="AI216" i="1"/>
  <c r="U179" i="1"/>
  <c r="S179" i="1" s="1"/>
  <c r="AI215" i="1"/>
  <c r="U178" i="1"/>
  <c r="S178" i="1" s="1"/>
  <c r="AI214" i="1"/>
  <c r="AI213" i="1"/>
  <c r="U176" i="1"/>
  <c r="S176" i="1" s="1"/>
  <c r="AI212" i="1"/>
  <c r="U175" i="1"/>
  <c r="S175" i="1" s="1"/>
  <c r="AI211" i="1"/>
  <c r="U174" i="1"/>
  <c r="S174" i="1" s="1"/>
  <c r="AI210" i="1"/>
  <c r="U173" i="1"/>
  <c r="S173" i="1" s="1"/>
  <c r="AI209" i="1"/>
  <c r="U172" i="1"/>
  <c r="S172" i="1" s="1"/>
  <c r="AI208" i="1"/>
  <c r="U171" i="1"/>
  <c r="S171" i="1" s="1"/>
  <c r="AI207" i="1"/>
  <c r="U170" i="1"/>
  <c r="S170" i="1" s="1"/>
  <c r="AI206" i="1"/>
  <c r="U169" i="1"/>
  <c r="S169" i="1" s="1"/>
  <c r="AI205" i="1"/>
  <c r="U168" i="1"/>
  <c r="S168" i="1" s="1"/>
  <c r="AI204" i="1"/>
  <c r="U167" i="1"/>
  <c r="S167" i="1" s="1"/>
  <c r="AI203" i="1"/>
  <c r="U166" i="1"/>
  <c r="S166" i="1" s="1"/>
  <c r="AI202" i="1"/>
  <c r="U165" i="1"/>
  <c r="S165" i="1" s="1"/>
  <c r="AI201" i="1"/>
  <c r="U164" i="1"/>
  <c r="S164" i="1" s="1"/>
  <c r="AI200" i="1"/>
  <c r="U163" i="1"/>
  <c r="S163" i="1" s="1"/>
  <c r="AI199" i="1"/>
  <c r="AI198" i="1"/>
  <c r="AI197" i="1"/>
  <c r="U251" i="1"/>
  <c r="S251" i="1" s="1"/>
  <c r="AI196" i="1"/>
  <c r="U250" i="1"/>
  <c r="S250" i="1" s="1"/>
  <c r="AI195" i="1"/>
  <c r="U249" i="1"/>
  <c r="S249" i="1" s="1"/>
  <c r="AI194" i="1"/>
  <c r="U248" i="1"/>
  <c r="S248" i="1" s="1"/>
  <c r="AI193" i="1"/>
  <c r="U247" i="1"/>
  <c r="S247" i="1" s="1"/>
  <c r="AI192" i="1"/>
  <c r="U246" i="1"/>
  <c r="S246" i="1" s="1"/>
  <c r="AI191" i="1"/>
  <c r="U245" i="1"/>
  <c r="S245" i="1" s="1"/>
  <c r="AI190" i="1"/>
  <c r="U244" i="1"/>
  <c r="S244" i="1" s="1"/>
  <c r="AI189" i="1"/>
  <c r="U243" i="1"/>
  <c r="S243" i="1" s="1"/>
  <c r="AI188" i="1"/>
  <c r="AI187" i="1"/>
  <c r="U241" i="1"/>
  <c r="S241" i="1" s="1"/>
  <c r="AI186" i="1"/>
  <c r="AI185" i="1"/>
  <c r="U239" i="1"/>
  <c r="S239" i="1" s="1"/>
  <c r="AI184" i="1"/>
  <c r="AI183" i="1"/>
  <c r="U237" i="1"/>
  <c r="S237" i="1" s="1"/>
  <c r="AI182" i="1"/>
  <c r="AI181" i="1"/>
  <c r="U235" i="1"/>
  <c r="S235" i="1" s="1"/>
  <c r="AI180" i="1"/>
  <c r="AI179" i="1"/>
  <c r="U233" i="1"/>
  <c r="S233" i="1" s="1"/>
  <c r="AI178" i="1"/>
  <c r="AI177" i="1"/>
  <c r="AI176" i="1"/>
  <c r="AI174" i="1"/>
  <c r="AI172" i="1"/>
  <c r="AI170" i="1"/>
  <c r="AI168" i="1"/>
  <c r="AI166" i="1"/>
  <c r="AI164" i="1"/>
  <c r="AI162" i="1"/>
  <c r="AI159" i="1"/>
  <c r="AI157" i="1"/>
  <c r="AI155" i="1"/>
  <c r="AI153" i="1"/>
  <c r="AI151" i="1"/>
  <c r="AI148" i="1"/>
  <c r="AI120" i="1"/>
  <c r="AI112" i="1"/>
  <c r="AI110" i="1"/>
  <c r="AI108" i="1"/>
  <c r="AI105" i="1"/>
  <c r="W105" i="1"/>
  <c r="AI103" i="1"/>
  <c r="AI101" i="1"/>
  <c r="AI99" i="1"/>
  <c r="W99" i="1"/>
  <c r="AI97" i="1"/>
  <c r="AI95" i="1"/>
  <c r="AI93" i="1"/>
  <c r="AI91" i="1"/>
  <c r="AI87" i="1"/>
  <c r="U87" i="1"/>
  <c r="S87" i="1" s="1"/>
  <c r="AI83" i="1"/>
  <c r="U83" i="1"/>
  <c r="S83" i="1" s="1"/>
  <c r="AI79" i="1"/>
  <c r="U79" i="1"/>
  <c r="S79" i="1" s="1"/>
  <c r="AI75" i="1"/>
  <c r="U75" i="1"/>
  <c r="S75" i="1" s="1"/>
  <c r="AI73" i="1"/>
  <c r="U73" i="1"/>
  <c r="S73" i="1" s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2" i="1"/>
  <c r="AI131" i="1"/>
  <c r="AI130" i="1"/>
  <c r="AI129" i="1"/>
  <c r="AI128" i="1"/>
  <c r="AI127" i="1"/>
  <c r="AI125" i="1"/>
  <c r="AI123" i="1"/>
  <c r="AI121" i="1"/>
  <c r="AI119" i="1"/>
  <c r="AI117" i="1"/>
  <c r="AI115" i="1"/>
  <c r="AI113" i="1"/>
  <c r="AI111" i="1"/>
  <c r="AI109" i="1"/>
  <c r="AI107" i="1"/>
  <c r="AI104" i="1"/>
  <c r="AI102" i="1"/>
  <c r="AI100" i="1"/>
  <c r="AI98" i="1"/>
  <c r="AI96" i="1"/>
  <c r="AI94" i="1"/>
  <c r="AI92" i="1"/>
  <c r="AI90" i="1"/>
  <c r="U90" i="1"/>
  <c r="S90" i="1" s="1"/>
  <c r="AI89" i="1"/>
  <c r="U89" i="1"/>
  <c r="S89" i="1" s="1"/>
  <c r="AI85" i="1"/>
  <c r="U85" i="1"/>
  <c r="S85" i="1" s="1"/>
  <c r="AI81" i="1"/>
  <c r="U81" i="1"/>
  <c r="AI77" i="1"/>
  <c r="U77" i="1"/>
  <c r="S77" i="1" s="1"/>
  <c r="U71" i="1"/>
  <c r="S71" i="1" s="1"/>
  <c r="AI71" i="1"/>
  <c r="AI88" i="1"/>
  <c r="U88" i="1"/>
  <c r="S88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U70" i="1"/>
  <c r="S70" i="1" s="1"/>
  <c r="AI70" i="1"/>
  <c r="W70" i="1"/>
  <c r="AI69" i="1"/>
  <c r="U68" i="1"/>
  <c r="S68" i="1" s="1"/>
  <c r="AI68" i="1"/>
  <c r="U67" i="1"/>
  <c r="S67" i="1" s="1"/>
  <c r="AI67" i="1"/>
  <c r="U66" i="1"/>
  <c r="S66" i="1" s="1"/>
  <c r="AI66" i="1"/>
  <c r="W66" i="1"/>
  <c r="U65" i="1"/>
  <c r="S65" i="1" s="1"/>
  <c r="AI65" i="1"/>
  <c r="U64" i="1"/>
  <c r="S64" i="1" s="1"/>
  <c r="AI64" i="1"/>
  <c r="AI63" i="1"/>
  <c r="W63" i="1"/>
  <c r="U62" i="1"/>
  <c r="S62" i="1" s="1"/>
  <c r="AI62" i="1"/>
  <c r="AI61" i="1"/>
  <c r="U60" i="1"/>
  <c r="S60" i="1" s="1"/>
  <c r="AI60" i="1"/>
  <c r="AI59" i="1"/>
  <c r="U58" i="1"/>
  <c r="S58" i="1" s="1"/>
  <c r="AI58" i="1"/>
  <c r="U57" i="1"/>
  <c r="S57" i="1" s="1"/>
  <c r="AI57" i="1"/>
  <c r="W57" i="1"/>
  <c r="U56" i="1"/>
  <c r="S56" i="1" s="1"/>
  <c r="AI56" i="1"/>
  <c r="U55" i="1"/>
  <c r="S55" i="1" s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W34" i="1"/>
  <c r="AI33" i="1"/>
  <c r="W33" i="1"/>
  <c r="AI32" i="1"/>
  <c r="W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7" i="1"/>
  <c r="W202" i="1"/>
  <c r="W198" i="1"/>
  <c r="W196" i="1"/>
  <c r="W188" i="1"/>
  <c r="W185" i="1"/>
  <c r="W180" i="1"/>
  <c r="W172" i="1"/>
  <c r="W169" i="1"/>
  <c r="W164" i="1"/>
  <c r="W247" i="1"/>
  <c r="W244" i="1"/>
  <c r="W225" i="1"/>
  <c r="W209" i="1"/>
  <c r="W206" i="1"/>
  <c r="W200" i="1"/>
  <c r="W203" i="1"/>
  <c r="W191" i="1"/>
  <c r="W186" i="1"/>
  <c r="W183" i="1"/>
  <c r="W178" i="1"/>
  <c r="W175" i="1"/>
  <c r="W170" i="1"/>
  <c r="W250" i="1"/>
  <c r="W245" i="1"/>
  <c r="W226" i="1"/>
  <c r="W222" i="1"/>
  <c r="W205" i="1"/>
  <c r="W199" i="1"/>
  <c r="W194" i="1"/>
  <c r="W197" i="1"/>
  <c r="W192" i="1"/>
  <c r="W189" i="1"/>
  <c r="W184" i="1"/>
  <c r="W181" i="1"/>
  <c r="W176" i="1"/>
  <c r="W173" i="1"/>
  <c r="W168" i="1"/>
  <c r="W165" i="1"/>
  <c r="W251" i="1"/>
  <c r="W248" i="1"/>
  <c r="W223" i="1"/>
  <c r="W207" i="1"/>
  <c r="W195" i="1"/>
  <c r="W190" i="1"/>
  <c r="W187" i="1"/>
  <c r="W182" i="1"/>
  <c r="W179" i="1"/>
  <c r="W174" i="1"/>
  <c r="W171" i="1"/>
  <c r="W166" i="1"/>
  <c r="W249" i="1"/>
  <c r="W246" i="1"/>
  <c r="W231" i="1"/>
  <c r="W229" i="1"/>
  <c r="W217" i="1"/>
  <c r="W213" i="1"/>
  <c r="W155" i="1"/>
  <c r="W151" i="1"/>
  <c r="X227" i="1"/>
  <c r="X226" i="1"/>
  <c r="X224" i="1"/>
  <c r="X223" i="1"/>
  <c r="X208" i="1"/>
  <c r="X207" i="1"/>
  <c r="X206" i="1"/>
  <c r="X205" i="1"/>
  <c r="T231" i="1"/>
  <c r="U231" i="1" s="1"/>
  <c r="S231" i="1" s="1"/>
  <c r="X231" i="1"/>
  <c r="T229" i="1"/>
  <c r="U229" i="1" s="1"/>
  <c r="S229" i="1" s="1"/>
  <c r="X229" i="1"/>
  <c r="T221" i="1"/>
  <c r="U221" i="1" s="1"/>
  <c r="S221" i="1" s="1"/>
  <c r="X221" i="1"/>
  <c r="T219" i="1"/>
  <c r="U219" i="1" s="1"/>
  <c r="S219" i="1" s="1"/>
  <c r="X219" i="1"/>
  <c r="W216" i="1"/>
  <c r="W212" i="1"/>
  <c r="W158" i="1"/>
  <c r="W154" i="1"/>
  <c r="W150" i="1"/>
  <c r="W141" i="1"/>
  <c r="W137" i="1"/>
  <c r="W128" i="1"/>
  <c r="W115" i="1"/>
  <c r="W114" i="1"/>
  <c r="X225" i="1"/>
  <c r="X222" i="1"/>
  <c r="X243" i="1"/>
  <c r="T242" i="1"/>
  <c r="U242" i="1" s="1"/>
  <c r="S242" i="1" s="1"/>
  <c r="X241" i="1"/>
  <c r="T240" i="1"/>
  <c r="U240" i="1" s="1"/>
  <c r="S240" i="1" s="1"/>
  <c r="X239" i="1"/>
  <c r="W238" i="1"/>
  <c r="T238" i="1"/>
  <c r="U238" i="1" s="1"/>
  <c r="S238" i="1" s="1"/>
  <c r="X237" i="1"/>
  <c r="W236" i="1"/>
  <c r="T236" i="1"/>
  <c r="U236" i="1" s="1"/>
  <c r="S236" i="1" s="1"/>
  <c r="X235" i="1"/>
  <c r="T234" i="1"/>
  <c r="U234" i="1" s="1"/>
  <c r="S234" i="1" s="1"/>
  <c r="W232" i="1"/>
  <c r="T232" i="1"/>
  <c r="U232" i="1" s="1"/>
  <c r="S232" i="1" s="1"/>
  <c r="T216" i="1"/>
  <c r="U216" i="1" s="1"/>
  <c r="S216" i="1" s="1"/>
  <c r="X216" i="1"/>
  <c r="T212" i="1"/>
  <c r="U212" i="1" s="1"/>
  <c r="S212" i="1" s="1"/>
  <c r="X212" i="1"/>
  <c r="T158" i="1"/>
  <c r="U158" i="1" s="1"/>
  <c r="S158" i="1" s="1"/>
  <c r="X158" i="1"/>
  <c r="T154" i="1"/>
  <c r="U154" i="1" s="1"/>
  <c r="S154" i="1" s="1"/>
  <c r="X154" i="1"/>
  <c r="T150" i="1"/>
  <c r="U150" i="1" s="1"/>
  <c r="S150" i="1" s="1"/>
  <c r="W144" i="1"/>
  <c r="W140" i="1"/>
  <c r="W131" i="1"/>
  <c r="W121" i="1"/>
  <c r="W120" i="1"/>
  <c r="W116" i="1"/>
  <c r="T230" i="1"/>
  <c r="U230" i="1" s="1"/>
  <c r="S230" i="1" s="1"/>
  <c r="X230" i="1"/>
  <c r="T228" i="1"/>
  <c r="U228" i="1" s="1"/>
  <c r="S228" i="1" s="1"/>
  <c r="X228" i="1"/>
  <c r="T220" i="1"/>
  <c r="U220" i="1" s="1"/>
  <c r="S220" i="1" s="1"/>
  <c r="X220" i="1"/>
  <c r="T218" i="1"/>
  <c r="U218" i="1" s="1"/>
  <c r="S218" i="1" s="1"/>
  <c r="X218" i="1"/>
  <c r="W156" i="1"/>
  <c r="W143" i="1"/>
  <c r="W139" i="1"/>
  <c r="W130" i="1"/>
  <c r="W124" i="1"/>
  <c r="W122" i="1"/>
  <c r="W110" i="1"/>
  <c r="W93" i="1"/>
  <c r="W56" i="1"/>
  <c r="W243" i="1"/>
  <c r="W241" i="1"/>
  <c r="W239" i="1"/>
  <c r="W237" i="1"/>
  <c r="W235" i="1"/>
  <c r="W233" i="1"/>
  <c r="T214" i="1"/>
  <c r="U214" i="1" s="1"/>
  <c r="S214" i="1" s="1"/>
  <c r="X214" i="1"/>
  <c r="T210" i="1"/>
  <c r="U210" i="1" s="1"/>
  <c r="S210" i="1" s="1"/>
  <c r="X210" i="1"/>
  <c r="T156" i="1"/>
  <c r="U156" i="1" s="1"/>
  <c r="S156" i="1" s="1"/>
  <c r="X156" i="1"/>
  <c r="T152" i="1"/>
  <c r="U152" i="1" s="1"/>
  <c r="S152" i="1" s="1"/>
  <c r="X152" i="1"/>
  <c r="T147" i="1"/>
  <c r="U147" i="1" s="1"/>
  <c r="S147" i="1" s="1"/>
  <c r="X147" i="1"/>
  <c r="W142" i="1"/>
  <c r="W138" i="1"/>
  <c r="W134" i="1"/>
  <c r="W113" i="1"/>
  <c r="W112" i="1"/>
  <c r="W103" i="1"/>
  <c r="W95" i="1"/>
  <c r="T121" i="1"/>
  <c r="U121" i="1" s="1"/>
  <c r="S121" i="1" s="1"/>
  <c r="X121" i="1"/>
  <c r="W119" i="1"/>
  <c r="T113" i="1"/>
  <c r="U113" i="1" s="1"/>
  <c r="S113" i="1" s="1"/>
  <c r="X113" i="1"/>
  <c r="W111" i="1"/>
  <c r="T104" i="1"/>
  <c r="U104" i="1" s="1"/>
  <c r="S104" i="1" s="1"/>
  <c r="X104" i="1"/>
  <c r="W102" i="1"/>
  <c r="T96" i="1"/>
  <c r="U96" i="1" s="1"/>
  <c r="S96" i="1" s="1"/>
  <c r="X96" i="1"/>
  <c r="W81" i="1"/>
  <c r="W65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T134" i="1"/>
  <c r="U134" i="1" s="1"/>
  <c r="S134" i="1" s="1"/>
  <c r="T132" i="1"/>
  <c r="U132" i="1" s="1"/>
  <c r="S132" i="1" s="1"/>
  <c r="X132" i="1"/>
  <c r="T131" i="1"/>
  <c r="U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19" i="1"/>
  <c r="U119" i="1" s="1"/>
  <c r="S119" i="1" s="1"/>
  <c r="X119" i="1"/>
  <c r="W117" i="1"/>
  <c r="T111" i="1"/>
  <c r="U111" i="1" s="1"/>
  <c r="S111" i="1" s="1"/>
  <c r="X111" i="1"/>
  <c r="W109" i="1"/>
  <c r="T102" i="1"/>
  <c r="U102" i="1" s="1"/>
  <c r="S102" i="1" s="1"/>
  <c r="X102" i="1"/>
  <c r="W100" i="1"/>
  <c r="T94" i="1"/>
  <c r="U94" i="1" s="1"/>
  <c r="S94" i="1" s="1"/>
  <c r="X94" i="1"/>
  <c r="W92" i="1"/>
  <c r="W71" i="1"/>
  <c r="W69" i="1"/>
  <c r="W61" i="1"/>
  <c r="W55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159" i="1"/>
  <c r="U159" i="1" s="1"/>
  <c r="S159" i="1" s="1"/>
  <c r="X159" i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8" i="1"/>
  <c r="U148" i="1" s="1"/>
  <c r="S148" i="1" s="1"/>
  <c r="X148" i="1"/>
  <c r="T125" i="1"/>
  <c r="U125" i="1" s="1"/>
  <c r="S125" i="1" s="1"/>
  <c r="X125" i="1"/>
  <c r="W123" i="1"/>
  <c r="T117" i="1"/>
  <c r="U117" i="1" s="1"/>
  <c r="S117" i="1" s="1"/>
  <c r="X117" i="1"/>
  <c r="T109" i="1"/>
  <c r="U109" i="1" s="1"/>
  <c r="S109" i="1" s="1"/>
  <c r="X109" i="1"/>
  <c r="W107" i="1"/>
  <c r="T100" i="1"/>
  <c r="U100" i="1" s="1"/>
  <c r="S100" i="1" s="1"/>
  <c r="X100" i="1"/>
  <c r="W98" i="1"/>
  <c r="T92" i="1"/>
  <c r="U92" i="1" s="1"/>
  <c r="S92" i="1" s="1"/>
  <c r="X92" i="1"/>
  <c r="W85" i="1"/>
  <c r="W77" i="1"/>
  <c r="T123" i="1"/>
  <c r="U123" i="1" s="1"/>
  <c r="S123" i="1" s="1"/>
  <c r="X123" i="1"/>
  <c r="T115" i="1"/>
  <c r="U115" i="1" s="1"/>
  <c r="S115" i="1" s="1"/>
  <c r="X115" i="1"/>
  <c r="T107" i="1"/>
  <c r="U107" i="1" s="1"/>
  <c r="S107" i="1" s="1"/>
  <c r="T98" i="1"/>
  <c r="U98" i="1" s="1"/>
  <c r="S98" i="1" s="1"/>
  <c r="X98" i="1"/>
  <c r="W96" i="1"/>
  <c r="W64" i="1"/>
  <c r="W86" i="1"/>
  <c r="W82" i="1"/>
  <c r="W74" i="1"/>
  <c r="W62" i="1"/>
  <c r="W53" i="1"/>
  <c r="W49" i="1"/>
  <c r="W45" i="1"/>
  <c r="W41" i="1"/>
  <c r="W37" i="1"/>
  <c r="W84" i="1"/>
  <c r="W80" i="1"/>
  <c r="W76" i="1"/>
  <c r="W60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W79" i="1"/>
  <c r="W75" i="1"/>
  <c r="W67" i="1"/>
  <c r="W58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W52" i="1"/>
  <c r="W44" i="1"/>
  <c r="W40" i="1"/>
  <c r="W36" i="1"/>
  <c r="W43" i="1"/>
  <c r="W39" i="1"/>
  <c r="W35" i="1"/>
  <c r="T63" i="1"/>
  <c r="U63" i="1" s="1"/>
  <c r="S63" i="1" s="1"/>
  <c r="W50" i="1"/>
  <c r="W42" i="1"/>
  <c r="W38" i="1"/>
  <c r="W31" i="1"/>
  <c r="W30" i="1"/>
  <c r="W29" i="1"/>
  <c r="W27" i="1"/>
  <c r="W25" i="1"/>
  <c r="W23" i="1"/>
  <c r="W22" i="1"/>
  <c r="W21" i="1"/>
  <c r="W20" i="1"/>
  <c r="W18" i="1"/>
  <c r="W16" i="1"/>
  <c r="W15" i="1"/>
  <c r="W14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T26" i="1"/>
  <c r="U26" i="1" s="1"/>
  <c r="S26" i="1" s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D26" i="3"/>
  <c r="AD28" i="3"/>
  <c r="AE30" i="3"/>
  <c r="AE26" i="3"/>
  <c r="AD27" i="3"/>
  <c r="T9" i="3"/>
  <c r="AD30" i="3"/>
  <c r="T14" i="3"/>
  <c r="T19" i="3"/>
  <c r="T11" i="3"/>
  <c r="AD13" i="3"/>
  <c r="AD15" i="3"/>
  <c r="T28" i="3"/>
  <c r="T12" i="3"/>
  <c r="AE18" i="3"/>
  <c r="T26" i="3"/>
  <c r="AD16" i="3"/>
  <c r="AE15" i="3"/>
  <c r="AE11" i="3"/>
  <c r="AE27" i="3"/>
  <c r="AE22" i="3"/>
  <c r="AD20" i="3"/>
  <c r="AE19" i="3"/>
  <c r="AE14" i="3"/>
  <c r="AD12" i="3"/>
  <c r="AD11" i="3"/>
  <c r="AD9" i="3"/>
  <c r="AD25" i="3"/>
  <c r="AD19" i="3"/>
  <c r="AD17" i="3"/>
  <c r="AE10" i="3"/>
  <c r="T20" i="3"/>
  <c r="AC15" i="3"/>
  <c r="AC27" i="3"/>
  <c r="AC7" i="3"/>
  <c r="AC29" i="3"/>
  <c r="AC18" i="3"/>
  <c r="AC16" i="3"/>
  <c r="AE29" i="3"/>
  <c r="T30" i="3"/>
  <c r="AE23" i="3"/>
  <c r="AE20" i="3"/>
  <c r="AE16" i="3"/>
  <c r="AE12" i="3"/>
  <c r="Y15" i="3"/>
  <c r="Y27" i="3"/>
  <c r="Y7" i="3"/>
  <c r="Y29" i="3"/>
  <c r="Y18" i="3"/>
  <c r="Y16" i="3"/>
  <c r="Y8" i="3"/>
  <c r="Y19" i="3"/>
  <c r="Y11" i="3"/>
  <c r="Y28" i="3"/>
  <c r="Y10" i="3"/>
  <c r="Y30" i="3"/>
  <c r="Y12" i="3"/>
  <c r="Y26" i="3"/>
  <c r="Y20" i="3"/>
  <c r="Y14" i="3"/>
  <c r="Y9" i="3"/>
  <c r="Y25" i="3"/>
  <c r="Y22" i="3"/>
  <c r="Y13" i="3"/>
  <c r="Y17" i="3"/>
  <c r="Y23" i="3"/>
  <c r="AC25" i="3"/>
  <c r="AC22" i="3"/>
  <c r="AC13" i="3"/>
  <c r="AC17" i="3"/>
  <c r="AC23" i="3"/>
  <c r="T10" i="3"/>
  <c r="AD29" i="3"/>
  <c r="AE28" i="3"/>
  <c r="T25" i="3"/>
  <c r="T22" i="3"/>
  <c r="AE25" i="3"/>
  <c r="T13" i="3"/>
  <c r="AD22" i="3"/>
  <c r="T17" i="3"/>
  <c r="AD18" i="3"/>
  <c r="AE17" i="3"/>
  <c r="AD14" i="3"/>
  <c r="AE13" i="3"/>
  <c r="AD10" i="3"/>
  <c r="AE9" i="3"/>
  <c r="T23" i="3"/>
  <c r="AE8" i="3"/>
  <c r="S21" i="3" l="1"/>
  <c r="M21" i="3"/>
  <c r="R21" i="3"/>
  <c r="U21" i="3"/>
  <c r="V21" i="3"/>
  <c r="X21" i="3"/>
  <c r="T21" i="3" l="1"/>
  <c r="AE21" i="3"/>
  <c r="AD21" i="3"/>
  <c r="W21" i="3"/>
  <c r="AC21" i="3" l="1"/>
  <c r="Y21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D3" i="6" s="1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N10" i="3" s="1"/>
  <c r="G244" i="4"/>
  <c r="G245" i="4"/>
  <c r="G246" i="4"/>
  <c r="G247" i="4"/>
  <c r="G248" i="4"/>
  <c r="N20" i="3" s="1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8" i="3" s="1"/>
  <c r="G22" i="4"/>
  <c r="G23" i="4"/>
  <c r="G24" i="4"/>
  <c r="G25" i="4"/>
  <c r="G26" i="4"/>
  <c r="G27" i="4"/>
  <c r="N23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16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30" i="3" s="1"/>
  <c r="G71" i="4"/>
  <c r="G72" i="4"/>
  <c r="G73" i="4"/>
  <c r="G74" i="4"/>
  <c r="G75" i="4"/>
  <c r="G76" i="4"/>
  <c r="N28" i="3" s="1"/>
  <c r="G77" i="4"/>
  <c r="G78" i="4"/>
  <c r="G79" i="4"/>
  <c r="G80" i="4"/>
  <c r="G81" i="4"/>
  <c r="N11" i="3" s="1"/>
  <c r="G82" i="4"/>
  <c r="G83" i="4"/>
  <c r="G84" i="4"/>
  <c r="N29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9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7" i="3" s="1"/>
  <c r="G136" i="4"/>
  <c r="G137" i="4"/>
  <c r="G138" i="4"/>
  <c r="G139" i="4"/>
  <c r="G140" i="4"/>
  <c r="G141" i="4"/>
  <c r="G142" i="4"/>
  <c r="N22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N19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25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14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15" i="3" s="1"/>
  <c r="G2" i="4"/>
  <c r="N27" i="3" l="1"/>
  <c r="N26" i="3"/>
  <c r="N12" i="3"/>
  <c r="N13" i="3"/>
  <c r="N17" i="3"/>
  <c r="N18" i="3"/>
  <c r="N2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<sst xmlns="http://schemas.openxmlformats.org/spreadsheetml/2006/main" count="2853" uniqueCount="1129">
  <si>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</si>
  <si>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</si>
  <si>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</si>
  <si>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</si>
  <si>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</si>
  <si>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</si>
  <si>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</si>
  <si>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</si>
  <si>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</si>
  <si>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</si>
  <si>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</si>
  <si>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</si>
  <si>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</si>
  <si>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</si>
  <si>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</si>
  <si>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</si>
  <si>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</si>
  <si>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</si>
  <si>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</si>
  <si>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</si>
  <si>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</si>
  <si>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</si>
  <si>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</si>
  <si>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</si>
  <si>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</si>
  <si>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</si>
  <si>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</si>
  <si>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</si>
  <si>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</si>
  <si>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</si>
  <si>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</si>
  <si>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</si>
  <si>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</si>
  <si>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</si>
  <si>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</si>
  <si>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</si>
  <si>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</si>
  <si>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</si>
  <si>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</si>
  <si>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</si>
  <si>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</si>
  <si>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</si>
  <si>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</si>
  <si>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</si>
  <si>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</si>
  <si>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</si>
  <si>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</si>
  <si>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</si>
  <si>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</si>
  <si>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</si>
  <si>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</si>
  <si>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</si>
  <si>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</si>
  <si>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</si>
  <si>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</si>
  <si>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</si>
  <si>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</si>
  <si>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</si>
  <si>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</si>
  <si>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</si>
  <si>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</si>
  <si>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</si>
  <si>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</si>
  <si>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</si>
  <si>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</si>
  <si>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</si>
  <si>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</si>
  <si>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</si>
  <si>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</si>
  <si>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</si>
  <si>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</si>
  <si>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</si>
  <si>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</si>
  <si>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</si>
  <si>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</si>
  <si>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</si>
  <si>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</si>
  <si>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</si>
  <si>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</si>
  <si>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</si>
  <si>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</si>
  <si>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</si>
  <si>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</si>
  <si>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</si>
  <si>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</si>
  <si>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</si>
  <si>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</si>
  <si>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</si>
  <si>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</si>
  <si>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</si>
  <si>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</si>
  <si>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</si>
  <si>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</si>
  <si>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</si>
  <si>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</si>
  <si>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</si>
  <si>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</si>
  <si>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</si>
  <si>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</si>
  <si>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</si>
  <si>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</si>
  <si>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</si>
  <si>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</si>
  <si>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</si>
  <si>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</si>
  <si>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</si>
  <si>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</si>
  <si>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</si>
  <si>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</si>
  <si>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</si>
  <si>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</si>
  <si>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</si>
  <si>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</si>
  <si>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</si>
  <si>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</si>
  <si>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</si>
  <si>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</si>
  <si>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</si>
  <si>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</si>
  <si>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</si>
  <si>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</si>
  <si>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</si>
  <si>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</si>
  <si>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</si>
  <si>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</si>
  <si>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</si>
  <si>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</si>
  <si>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</si>
  <si>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</si>
  <si>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</si>
  <si>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</si>
  <si>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</si>
  <si>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</si>
  <si>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</si>
  <si>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</si>
  <si>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</si>
  <si>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</si>
  <si>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</si>
  <si>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</si>
  <si>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</si>
  <si>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</si>
  <si>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</si>
  <si>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</si>
  <si>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</si>
  <si>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</si>
  <si>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</si>
  <si>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</si>
  <si>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</si>
  <si>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</si>
  <si>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</si>
  <si>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</si>
  <si>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</si>
  <si>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</si>
  <si>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</si>
  <si>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</si>
  <si>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</si>
  <si>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</si>
  <si>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</si>
  <si>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</si>
  <si>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</si>
  <si>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</si>
  <si>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</si>
  <si>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</si>
  <si>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</si>
  <si>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</si>
  <si>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</si>
  <si>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</si>
  <si>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</si>
  <si>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</si>
  <si>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</si>
  <si>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</si>
  <si>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</si>
  <si>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</si>
  <si>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</si>
  <si>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</si>
  <si>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</si>
  <si>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</si>
  <si>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</si>
  <si>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</si>
  <si>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</si>
  <si>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</si>
  <si>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</si>
  <si>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</si>
  <si>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</si>
  <si>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</si>
  <si>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</si>
  <si>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</si>
  <si>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</si>
  <si>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</si>
  <si>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</si>
  <si>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</si>
  <si>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</si>
  <si>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</si>
  <si>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</si>
  <si>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</si>
  <si>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</si>
  <si>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</si>
  <si>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</si>
  <si>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</si>
  <si>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</si>
  <si>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</si>
  <si>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</si>
  <si>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</si>
  <si>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</si>
  <si>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</si>
  <si>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</si>
  <si>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</si>
  <si>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</si>
  <si>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</si>
  <si>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</si>
  <si>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</si>
  <si>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</si>
  <si>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</si>
  <si>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</si>
  <si>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</si>
  <si>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</si>
  <si>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</si>
  <si>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</si>
  <si>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</si>
  <si>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</si>
  <si>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</si>
  <si>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</si>
  <si>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</si>
  <si>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</si>
  <si>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</si>
  <si>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</si>
  <si>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</si>
  <si>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</si>
  <si>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</si>
  <si>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</si>
  <si>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</si>
  <si>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</si>
  <si>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</si>
  <si>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</si>
  <si>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</si>
  <si>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</si>
  <si>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</si>
  <si>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</si>
  <si>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</si>
  <si>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</si>
  <si>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</si>
  <si>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</si>
  <si>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</si>
  <si>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</si>
  <si>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</si>
  <si>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</si>
  <si>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</si>
  <si>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</si>
  <si>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</si>
  <si>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</si>
  <si>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</si>
  <si>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</si>
  <si>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</si>
  <si>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</si>
  <si>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</si>
  <si>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</si>
  <si>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</si>
  <si>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</si>
  <si>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</si>
  <si>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</si>
  <si>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</si>
  <si>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</si>
  <si>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</si>
  <si>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</si>
  <si>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</si>
  <si>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</si>
  <si>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</si>
  <si>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</si>
  <si>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</si>
  <si>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</si>
  <si>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</si>
  <si>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</si>
  <si>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</si>
  <si>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</si>
  <si>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</si>
  <si>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</si>
  <si>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</si>
  <si>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</si>
  <si>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</si>
  <si>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</si>
  <si>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</si>
  <si>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</si>
  <si>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</si>
  <si>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</si>
  <si>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</si>
  <si>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</si>
  <si>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</si>
  <si>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</si>
  <si>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</si>
  <si>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</si>
  <si>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</si>
  <si>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</si>
  <si>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</si>
  <si>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</si>
  <si>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</si>
  <si>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</si>
  <si>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</si>
  <si>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</si>
  <si>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</si>
  <si>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</si>
  <si>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</si>
  <si>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</si>
  <si>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</si>
  <si>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</si>
  <si>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</si>
  <si>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</si>
  <si>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</si>
  <si>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</si>
  <si>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</si>
  <si>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</si>
  <si>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</si>
  <si>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</si>
  <si>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</si>
  <si>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</si>
  <si>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</si>
  <si>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</si>
  <si>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</si>
  <si>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</si>
  <si>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</si>
  <si>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</si>
  <si>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</si>
  <si>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</si>
  <si>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</si>
  <si>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</si>
  <si>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</si>
  <si>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</si>
  <si>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</si>
  <si>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</si>
  <si>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</si>
  <si>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</si>
  <si>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</si>
  <si>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</si>
  <si>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</si>
  <si>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</si>
  <si>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</si>
  <si>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</si>
  <si>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</si>
  <si>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</si>
  <si>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</si>
  <si>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</si>
  <si>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</si>
  <si>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</si>
  <si>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</si>
  <si>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</si>
  <si>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</si>
  <si>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</si>
  <si>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</si>
  <si>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</si>
  <si>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</si>
  <si>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</si>
  <si>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</si>
  <si>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</si>
  <si>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</si>
  <si>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</si>
  <si>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</si>
  <si>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</si>
  <si>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</si>
  <si>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</si>
  <si>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</si>
  <si>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</si>
  <si>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</si>
  <si>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</si>
  <si>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</si>
  <si>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</si>
  <si>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</si>
  <si>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</si>
  <si>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</si>
  <si>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</si>
  <si>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</si>
  <si>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</si>
  <si>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</si>
  <si>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</si>
  <si>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</si>
  <si>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</si>
  <si>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</si>
  <si>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</si>
  <si>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</si>
  <si>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</si>
  <si>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</si>
  <si>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</si>
  <si>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</si>
  <si>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</si>
  <si>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</si>
  <si>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</si>
  <si>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</si>
  <si>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</si>
  <si>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</si>
  <si>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</si>
  <si>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</si>
  <si>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</si>
  <si>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</si>
  <si>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</si>
  <si>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</si>
  <si>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</si>
  <si>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</si>
  <si>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</si>
  <si>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</si>
  <si>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</si>
  <si>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</si>
  <si>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</si>
  <si>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</si>
  <si>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</si>
  <si>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</si>
  <si>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</si>
  <si>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</si>
  <si>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</si>
  <si>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</si>
  <si>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</si>
  <si>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</si>
  <si>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</si>
  <si>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</si>
  <si>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</si>
  <si>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</si>
  <si>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</si>
  <si>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</si>
  <si>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</si>
  <si>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</si>
  <si>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</si>
  <si>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</si>
  <si>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</si>
  <si>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</si>
  <si>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</si>
  <si>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</si>
  <si>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</si>
  <si>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</si>
  <si>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</si>
  <si>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</si>
  <si>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</si>
  <si>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</si>
  <si>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</si>
  <si>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</si>
  <si>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</si>
  <si>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</si>
  <si>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</si>
  <si>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</si>
  <si>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</si>
  <si>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</si>
  <si>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</si>
  <si>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</si>
  <si>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</si>
  <si>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</si>
  <si>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</si>
  <si>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</si>
  <si>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</si>
  <si>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</si>
  <si>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</si>
  <si>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</si>
  <si>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</si>
  <si>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</si>
  <si>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</si>
  <si>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</si>
  <si>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</si>
  <si>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</si>
  <si>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</si>
  <si>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</si>
  <si>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</si>
  <si>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</si>
  <si>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</si>
  <si>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</si>
  <si>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</si>
  <si>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</si>
  <si>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</si>
  <si>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</si>
  <si>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</si>
  <si>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</si>
  <si>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HAMMOND</t>
  </si>
  <si>
    <t>JUSTYNN</t>
  </si>
  <si>
    <t>311-17</t>
  </si>
  <si>
    <t>313-17</t>
  </si>
  <si>
    <t>204:225</t>
  </si>
  <si>
    <t>rtdc.l.rtdc.4006:itc</t>
  </si>
  <si>
    <t>rtdc.l.rtdc.4005:itc</t>
  </si>
  <si>
    <t>313-22</t>
  </si>
  <si>
    <t>307-22</t>
  </si>
  <si>
    <t>244-22</t>
  </si>
  <si>
    <t>309-22</t>
  </si>
  <si>
    <t>311-22</t>
  </si>
  <si>
    <t>ANDERS</t>
  </si>
  <si>
    <t>STEVEN</t>
  </si>
  <si>
    <t>rtdc.l.rtdc.4009:itc</t>
  </si>
  <si>
    <t>204:201</t>
  </si>
  <si>
    <t>rtdc.l.rtdc.4044:itc</t>
  </si>
  <si>
    <t>204:205</t>
  </si>
  <si>
    <t>204:466</t>
  </si>
  <si>
    <t>204:194</t>
  </si>
  <si>
    <t>Early Arrival</t>
  </si>
  <si>
    <t>204:517</t>
  </si>
  <si>
    <t>204:464</t>
  </si>
  <si>
    <t>partly-cloudy-night</t>
  </si>
  <si>
    <t>Partly Cloudy</t>
  </si>
  <si>
    <t>204:158</t>
  </si>
  <si>
    <t>204:233295</t>
  </si>
  <si>
    <t>204:156</t>
  </si>
  <si>
    <t>DAVID</t>
  </si>
  <si>
    <t>204:233266</t>
  </si>
  <si>
    <t>204:522</t>
  </si>
  <si>
    <t>204:497</t>
  </si>
  <si>
    <t>204:200</t>
  </si>
  <si>
    <t>204:233278</t>
  </si>
  <si>
    <t>204:169</t>
  </si>
  <si>
    <t>SPECTOR</t>
  </si>
  <si>
    <t>rtdc.l.rtdc.4019:itc</t>
  </si>
  <si>
    <t>rtdc.l.rtdc.4020:itc</t>
  </si>
  <si>
    <t>DAVIDSON</t>
  </si>
  <si>
    <t>246-22</t>
  </si>
  <si>
    <t>204:232998</t>
  </si>
  <si>
    <t>204:232977</t>
  </si>
  <si>
    <t>204:489</t>
  </si>
  <si>
    <t>204:453</t>
  </si>
  <si>
    <t>204:214</t>
  </si>
  <si>
    <t>204:176</t>
  </si>
  <si>
    <t>SWITCH UNKNOWN</t>
  </si>
  <si>
    <t>Track device (7)</t>
  </si>
  <si>
    <t>rtdc.l.rtdc.4014:itc</t>
  </si>
  <si>
    <t>LAMAR</t>
  </si>
  <si>
    <t>NEKESHA</t>
  </si>
  <si>
    <t>204:209</t>
  </si>
  <si>
    <t>204:480</t>
  </si>
  <si>
    <t>204:508</t>
  </si>
  <si>
    <t>204:500</t>
  </si>
  <si>
    <t>204:233310</t>
  </si>
  <si>
    <t>204:471</t>
  </si>
  <si>
    <t>204:535</t>
  </si>
  <si>
    <t>300:23304</t>
  </si>
  <si>
    <t>rtdc.l.rtdc.4041:itc</t>
  </si>
  <si>
    <t>rtdc.l.rtdc.4033:itc</t>
  </si>
  <si>
    <t>rtdc.l.rtdc.4064:itc</t>
  </si>
  <si>
    <t>rtdc.l.rtdc.4004:itc</t>
  </si>
  <si>
    <t>DAVIS</t>
  </si>
  <si>
    <t>204:232994</t>
  </si>
  <si>
    <t>204:154</t>
  </si>
  <si>
    <t>204:529</t>
  </si>
  <si>
    <t>204:515</t>
  </si>
  <si>
    <t>204:233303</t>
  </si>
  <si>
    <t>204:150</t>
  </si>
  <si>
    <t>204:232981</t>
  </si>
  <si>
    <t>204:484</t>
  </si>
  <si>
    <t>204:167</t>
  </si>
  <si>
    <t>204:178</t>
  </si>
  <si>
    <t>204:475</t>
  </si>
  <si>
    <t>204:258</t>
  </si>
  <si>
    <t>204:233257</t>
  </si>
  <si>
    <t>rtdc.l.rtdc.4026:itc</t>
  </si>
  <si>
    <t>rtdc.l.rtdc.4025:itc</t>
  </si>
  <si>
    <t>STEWART</t>
  </si>
  <si>
    <t>204:233299</t>
  </si>
  <si>
    <t>204:233334</t>
  </si>
  <si>
    <t>204:233019</t>
  </si>
  <si>
    <t>204:232976</t>
  </si>
  <si>
    <t>204:498</t>
  </si>
  <si>
    <t>204:172</t>
  </si>
  <si>
    <t>204:467</t>
  </si>
  <si>
    <t>204:232989</t>
  </si>
  <si>
    <t>204:233274</t>
  </si>
  <si>
    <t>204:232953</t>
  </si>
  <si>
    <t>204:232949</t>
  </si>
  <si>
    <t>204:211</t>
  </si>
  <si>
    <t>204:451</t>
  </si>
  <si>
    <t>204:469</t>
  </si>
  <si>
    <t>204:462</t>
  </si>
  <si>
    <t>204:233270</t>
  </si>
  <si>
    <t>204:232957</t>
  </si>
  <si>
    <t>204:252</t>
  </si>
  <si>
    <t>204:174</t>
  </si>
  <si>
    <t>204:232936</t>
  </si>
  <si>
    <t>204:233253</t>
  </si>
  <si>
    <t>204:218</t>
  </si>
  <si>
    <t>300:23301</t>
  </si>
  <si>
    <t>204:145</t>
  </si>
  <si>
    <t>rtdc.l.rtdc.4063:itc</t>
  </si>
  <si>
    <t>rtdc.l.rtdc.4013:itc</t>
  </si>
  <si>
    <t>LONG</t>
  </si>
  <si>
    <t>FULLER</t>
  </si>
  <si>
    <t>YANAI</t>
  </si>
  <si>
    <t>IAN</t>
  </si>
  <si>
    <t>LEVERE</t>
  </si>
  <si>
    <t>CRAIG</t>
  </si>
  <si>
    <t>LORI</t>
  </si>
  <si>
    <t>SANTOS</t>
  </si>
  <si>
    <t>clear-day</t>
  </si>
  <si>
    <t>Clear</t>
  </si>
  <si>
    <t>clear-night</t>
  </si>
  <si>
    <t>204:136</t>
  </si>
  <si>
    <t>204:242</t>
  </si>
  <si>
    <t>204:138</t>
  </si>
  <si>
    <t>204:233291</t>
  </si>
  <si>
    <t>204:444</t>
  </si>
  <si>
    <t>204:233011</t>
  </si>
  <si>
    <t>204:232</t>
  </si>
  <si>
    <t>204:548</t>
  </si>
  <si>
    <t>204:233268</t>
  </si>
  <si>
    <t>204:233272</t>
  </si>
  <si>
    <t>204:233263</t>
  </si>
  <si>
    <t>204:227</t>
  </si>
  <si>
    <t>204:233247</t>
  </si>
  <si>
    <t>204:216</t>
  </si>
  <si>
    <t>204:233298</t>
  </si>
  <si>
    <t>204:238</t>
  </si>
  <si>
    <t>204:524</t>
  </si>
  <si>
    <t>204:233193</t>
  </si>
  <si>
    <t>204:531</t>
  </si>
  <si>
    <t>300:58611</t>
  </si>
  <si>
    <t>300:58619</t>
  </si>
  <si>
    <t>204:439</t>
  </si>
  <si>
    <t>300:58931</t>
  </si>
  <si>
    <t>204:148</t>
  </si>
  <si>
    <t>300:58939</t>
  </si>
  <si>
    <t>204:129</t>
  </si>
  <si>
    <t>204:495</t>
  </si>
  <si>
    <t>300:58630</t>
  </si>
  <si>
    <t>204:133</t>
  </si>
  <si>
    <t>204:233223</t>
  </si>
  <si>
    <t>204:511</t>
  </si>
  <si>
    <t>204:223</t>
  </si>
  <si>
    <t>300:28774</t>
  </si>
  <si>
    <t>204:232983</t>
  </si>
  <si>
    <t>204:540</t>
  </si>
  <si>
    <t>204:233264</t>
  </si>
  <si>
    <t>204:233308</t>
  </si>
  <si>
    <t>204:221</t>
  </si>
  <si>
    <t>204:233205</t>
  </si>
  <si>
    <t>204:537</t>
  </si>
  <si>
    <t>204:220</t>
  </si>
  <si>
    <t>204:232975</t>
  </si>
  <si>
    <t>204:232892</t>
  </si>
  <si>
    <t>204:273</t>
  </si>
  <si>
    <t>204:232938</t>
  </si>
  <si>
    <t>204:551</t>
  </si>
  <si>
    <t>204:232959</t>
  </si>
  <si>
    <t>204:232942</t>
  </si>
  <si>
    <t>204:579</t>
  </si>
  <si>
    <t>204:573</t>
  </si>
  <si>
    <t>300:23297</t>
  </si>
  <si>
    <t>300:23346</t>
  </si>
  <si>
    <t>rtdc.l.rtdc.4002:itc</t>
  </si>
  <si>
    <t>105-03</t>
  </si>
  <si>
    <t>104-03</t>
  </si>
  <si>
    <t>800-03</t>
  </si>
  <si>
    <t>802-03</t>
  </si>
  <si>
    <t>TRACK WARRANT AUTHORITY</t>
  </si>
  <si>
    <t>Form based authority (4)</t>
  </si>
  <si>
    <t>121-03</t>
  </si>
  <si>
    <t>809-03</t>
  </si>
  <si>
    <t>139-03</t>
  </si>
  <si>
    <t>68-03</t>
  </si>
  <si>
    <t>71-03</t>
  </si>
  <si>
    <t>72-03</t>
  </si>
  <si>
    <t>142-03</t>
  </si>
  <si>
    <t>rtdc.l.rtdc.4001:itc</t>
  </si>
  <si>
    <t>148-03</t>
  </si>
  <si>
    <t>67-03</t>
  </si>
  <si>
    <t>158-03</t>
  </si>
  <si>
    <t>rtdc.l.rtdc.4003:itc</t>
  </si>
  <si>
    <t>164-03</t>
  </si>
  <si>
    <t>174-03</t>
  </si>
  <si>
    <t>178-03</t>
  </si>
  <si>
    <t>824-03</t>
  </si>
  <si>
    <t>186-03</t>
  </si>
  <si>
    <t>830-03</t>
  </si>
  <si>
    <t>215-03</t>
  </si>
  <si>
    <t>229-03</t>
  </si>
  <si>
    <t>847-03</t>
  </si>
  <si>
    <t>240-03</t>
  </si>
  <si>
    <t>244-03</t>
  </si>
  <si>
    <t>242-02</t>
  </si>
  <si>
    <t>rtdc.l.rtdc.4040:itc</t>
  </si>
  <si>
    <t>307-02</t>
  </si>
  <si>
    <t>244-02</t>
  </si>
  <si>
    <t>rtdc.l.rtdc.4034:itc</t>
  </si>
  <si>
    <t>309-02</t>
  </si>
  <si>
    <t>311-02</t>
  </si>
  <si>
    <t>300-03</t>
  </si>
  <si>
    <t>51-03</t>
  </si>
  <si>
    <t>101-03</t>
  </si>
  <si>
    <t>52-03</t>
  </si>
  <si>
    <t>302-03</t>
  </si>
  <si>
    <t>LESTER</t>
  </si>
  <si>
    <t>103-03</t>
  </si>
  <si>
    <t>304-03</t>
  </si>
  <si>
    <t>PAGE</t>
  </si>
  <si>
    <t>MARCUS</t>
  </si>
  <si>
    <t>102-03</t>
  </si>
  <si>
    <t>306-03</t>
  </si>
  <si>
    <t>308-03</t>
  </si>
  <si>
    <t>107-03</t>
  </si>
  <si>
    <t>109-03</t>
  </si>
  <si>
    <t>310-03</t>
  </si>
  <si>
    <t>901-03</t>
  </si>
  <si>
    <t>111-03</t>
  </si>
  <si>
    <t>113-03</t>
  </si>
  <si>
    <t>106-03</t>
  </si>
  <si>
    <t>108-03</t>
  </si>
  <si>
    <t>312-03</t>
  </si>
  <si>
    <t>HUFFSMITH</t>
  </si>
  <si>
    <t>MONTY</t>
  </si>
  <si>
    <t>115-03</t>
  </si>
  <si>
    <t>801-03</t>
  </si>
  <si>
    <t>117-03</t>
  </si>
  <si>
    <t>110-03</t>
  </si>
  <si>
    <t>902-03</t>
  </si>
  <si>
    <t>GEBRETEKLE</t>
  </si>
  <si>
    <t>DAGNEW</t>
  </si>
  <si>
    <t>112-03</t>
  </si>
  <si>
    <t>119-03</t>
  </si>
  <si>
    <t>114-03</t>
  </si>
  <si>
    <t>803-03</t>
  </si>
  <si>
    <t>123-03</t>
  </si>
  <si>
    <t>116-03</t>
  </si>
  <si>
    <t>804-03</t>
  </si>
  <si>
    <t>805-03</t>
  </si>
  <si>
    <t>118-03</t>
  </si>
  <si>
    <t>125-03</t>
  </si>
  <si>
    <t>120-03</t>
  </si>
  <si>
    <t>127-03</t>
  </si>
  <si>
    <t>122-03</t>
  </si>
  <si>
    <t>806-03</t>
  </si>
  <si>
    <t>807-03</t>
  </si>
  <si>
    <t>129-03</t>
  </si>
  <si>
    <t>124-03</t>
  </si>
  <si>
    <t>131-03</t>
  </si>
  <si>
    <t>808-03</t>
  </si>
  <si>
    <t>126-03</t>
  </si>
  <si>
    <t>128-03</t>
  </si>
  <si>
    <t>133-03</t>
  </si>
  <si>
    <t>135-03</t>
  </si>
  <si>
    <t>810-03</t>
  </si>
  <si>
    <t>811-03</t>
  </si>
  <si>
    <t>137-03</t>
  </si>
  <si>
    <t>132-03</t>
  </si>
  <si>
    <t>130-03</t>
  </si>
  <si>
    <t>134-03</t>
  </si>
  <si>
    <t>BROWN</t>
  </si>
  <si>
    <t>JACOB</t>
  </si>
  <si>
    <t>812-03</t>
  </si>
  <si>
    <t>903-03</t>
  </si>
  <si>
    <t>141-03</t>
  </si>
  <si>
    <t>136-03</t>
  </si>
  <si>
    <t>138-03</t>
  </si>
  <si>
    <t>813-03</t>
  </si>
  <si>
    <t>143-03</t>
  </si>
  <si>
    <t>145-03</t>
  </si>
  <si>
    <t>140-03</t>
  </si>
  <si>
    <t>147-03</t>
  </si>
  <si>
    <t>814-03</t>
  </si>
  <si>
    <t>FORTUNATO</t>
  </si>
  <si>
    <t>FRANK</t>
  </si>
  <si>
    <t>149-03</t>
  </si>
  <si>
    <t>151-03</t>
  </si>
  <si>
    <t>146-03</t>
  </si>
  <si>
    <t>144-03</t>
  </si>
  <si>
    <t>815-03</t>
  </si>
  <si>
    <t>153-03</t>
  </si>
  <si>
    <t>150-03</t>
  </si>
  <si>
    <t>155-03</t>
  </si>
  <si>
    <t>816-03</t>
  </si>
  <si>
    <t>157-03</t>
  </si>
  <si>
    <t>NEWELL</t>
  </si>
  <si>
    <t>152-03</t>
  </si>
  <si>
    <t>159-03</t>
  </si>
  <si>
    <t>154-03</t>
  </si>
  <si>
    <t>817-03</t>
  </si>
  <si>
    <t>156-03</t>
  </si>
  <si>
    <t>161-03</t>
  </si>
  <si>
    <t>BRUDER</t>
  </si>
  <si>
    <t>RICHARD</t>
  </si>
  <si>
    <t>163-03</t>
  </si>
  <si>
    <t>818-03</t>
  </si>
  <si>
    <t>165-03</t>
  </si>
  <si>
    <t>160-03</t>
  </si>
  <si>
    <t>167-03</t>
  </si>
  <si>
    <t>819-03</t>
  </si>
  <si>
    <t>169-03</t>
  </si>
  <si>
    <t>KILLION</t>
  </si>
  <si>
    <t>162-03</t>
  </si>
  <si>
    <t>166-03</t>
  </si>
  <si>
    <t>820-03</t>
  </si>
  <si>
    <t>171-03</t>
  </si>
  <si>
    <t>173-03</t>
  </si>
  <si>
    <t>HOLCOMB</t>
  </si>
  <si>
    <t>KAMDEN</t>
  </si>
  <si>
    <t>168-03</t>
  </si>
  <si>
    <t>175-03</t>
  </si>
  <si>
    <t>170-03</t>
  </si>
  <si>
    <t>821-03</t>
  </si>
  <si>
    <t>177-03</t>
  </si>
  <si>
    <t>179-03</t>
  </si>
  <si>
    <t>172-03</t>
  </si>
  <si>
    <t>822-03</t>
  </si>
  <si>
    <t>181-03</t>
  </si>
  <si>
    <t>ZEWDU</t>
  </si>
  <si>
    <t>DEREJE</t>
  </si>
  <si>
    <t>176-03</t>
  </si>
  <si>
    <t>183-03</t>
  </si>
  <si>
    <t>823-03</t>
  </si>
  <si>
    <t>180-03</t>
  </si>
  <si>
    <t>185-03</t>
  </si>
  <si>
    <t>187-03</t>
  </si>
  <si>
    <t>182-03</t>
  </si>
  <si>
    <t>189-03</t>
  </si>
  <si>
    <t>184-03</t>
  </si>
  <si>
    <t>191-03</t>
  </si>
  <si>
    <t>825-03</t>
  </si>
  <si>
    <t>193-03</t>
  </si>
  <si>
    <t>904-03</t>
  </si>
  <si>
    <t>188-03</t>
  </si>
  <si>
    <t>195-03</t>
  </si>
  <si>
    <t>826-03</t>
  </si>
  <si>
    <t>190-03</t>
  </si>
  <si>
    <t>827-03</t>
  </si>
  <si>
    <t>197-03</t>
  </si>
  <si>
    <t>194-03</t>
  </si>
  <si>
    <t>828-03</t>
  </si>
  <si>
    <t>199-03</t>
  </si>
  <si>
    <t>829-03</t>
  </si>
  <si>
    <t>201-03</t>
  </si>
  <si>
    <t>196-03</t>
  </si>
  <si>
    <t>203-03</t>
  </si>
  <si>
    <t>831-03</t>
  </si>
  <si>
    <t>198-03</t>
  </si>
  <si>
    <t>205-03</t>
  </si>
  <si>
    <t>75-03</t>
  </si>
  <si>
    <t>DE LA ROSA</t>
  </si>
  <si>
    <t>ALEX</t>
  </si>
  <si>
    <t>200-03</t>
  </si>
  <si>
    <t>832-03</t>
  </si>
  <si>
    <t>207-03</t>
  </si>
  <si>
    <t>202-03</t>
  </si>
  <si>
    <t>833-03</t>
  </si>
  <si>
    <t>209-03</t>
  </si>
  <si>
    <t>76-03</t>
  </si>
  <si>
    <t>204-03</t>
  </si>
  <si>
    <t>211-03</t>
  </si>
  <si>
    <t>835-03</t>
  </si>
  <si>
    <t>834-03</t>
  </si>
  <si>
    <t>206-03</t>
  </si>
  <si>
    <t>213-03</t>
  </si>
  <si>
    <t>208-03</t>
  </si>
  <si>
    <t>rtdc.l.rtdc.4053:itc</t>
  </si>
  <si>
    <t>66-03</t>
  </si>
  <si>
    <t>836-03</t>
  </si>
  <si>
    <t>210-03</t>
  </si>
  <si>
    <t>837-03</t>
  </si>
  <si>
    <t>217-03</t>
  </si>
  <si>
    <t>212-03</t>
  </si>
  <si>
    <t>214-03</t>
  </si>
  <si>
    <t>838-03</t>
  </si>
  <si>
    <t>219-03</t>
  </si>
  <si>
    <t>839-03</t>
  </si>
  <si>
    <t>301-03</t>
  </si>
  <si>
    <t>216-03</t>
  </si>
  <si>
    <t>906-03</t>
  </si>
  <si>
    <t>221-03</t>
  </si>
  <si>
    <t>841-03</t>
  </si>
  <si>
    <t>303-03</t>
  </si>
  <si>
    <t>218-03</t>
  </si>
  <si>
    <t>220-03</t>
  </si>
  <si>
    <t>840-03</t>
  </si>
  <si>
    <t>223-03</t>
  </si>
  <si>
    <t>305-03</t>
  </si>
  <si>
    <t>222-03</t>
  </si>
  <si>
    <t>225-03</t>
  </si>
  <si>
    <t>843-03</t>
  </si>
  <si>
    <t>224-03</t>
  </si>
  <si>
    <t>227-03</t>
  </si>
  <si>
    <t>842-03</t>
  </si>
  <si>
    <t>226-03</t>
  </si>
  <si>
    <t>845-03</t>
  </si>
  <si>
    <t>228-03</t>
  </si>
  <si>
    <t>231-03</t>
  </si>
  <si>
    <t>844-03</t>
  </si>
  <si>
    <t>233-03</t>
  </si>
  <si>
    <t>230-03</t>
  </si>
  <si>
    <t>232-03</t>
  </si>
  <si>
    <t>846-03</t>
  </si>
  <si>
    <t>235-03</t>
  </si>
  <si>
    <t>237-03</t>
  </si>
  <si>
    <t>234-03</t>
  </si>
  <si>
    <t>849-03</t>
  </si>
  <si>
    <t>236-03</t>
  </si>
  <si>
    <t>908-03</t>
  </si>
  <si>
    <t>239-03</t>
  </si>
  <si>
    <t>241-03</t>
  </si>
  <si>
    <t>238-03</t>
  </si>
  <si>
    <t>243-03</t>
  </si>
  <si>
    <t>313-03</t>
  </si>
  <si>
    <t>242-03</t>
  </si>
  <si>
    <t>307-03</t>
  </si>
  <si>
    <t>precipAccumulation</t>
  </si>
  <si>
    <t>precipType</t>
  </si>
  <si>
    <t>snow</t>
  </si>
  <si>
    <t>204:894</t>
  </si>
  <si>
    <t>204:233322</t>
  </si>
  <si>
    <t>204:152</t>
  </si>
  <si>
    <t>204:473</t>
  </si>
  <si>
    <t>204:233318</t>
  </si>
  <si>
    <t>204:232984</t>
  </si>
  <si>
    <t>204:233251</t>
  </si>
  <si>
    <t>204:233282</t>
  </si>
  <si>
    <t>204:232969</t>
  </si>
  <si>
    <t>204:533</t>
  </si>
  <si>
    <t>204:553</t>
  </si>
  <si>
    <t>204:233314</t>
  </si>
  <si>
    <t>204:233017</t>
  </si>
  <si>
    <t>204:233021</t>
  </si>
  <si>
    <t>204:232964</t>
  </si>
  <si>
    <t>204:130</t>
  </si>
  <si>
    <t>204:233284</t>
  </si>
  <si>
    <t>204:232950</t>
  </si>
  <si>
    <t>204:232992</t>
  </si>
  <si>
    <t>204:486</t>
  </si>
  <si>
    <t>204:233359</t>
  </si>
  <si>
    <t>204:233045</t>
  </si>
  <si>
    <t>204:457</t>
  </si>
  <si>
    <t>204:233328</t>
  </si>
  <si>
    <t>204:233007</t>
  </si>
  <si>
    <t>204:233315</t>
  </si>
  <si>
    <t>204:233001</t>
  </si>
  <si>
    <t>204:233283</t>
  </si>
  <si>
    <t>204:232966</t>
  </si>
  <si>
    <t>204:207</t>
  </si>
  <si>
    <t>204:559</t>
  </si>
  <si>
    <t>204:233360</t>
  </si>
  <si>
    <t>204:233321</t>
  </si>
  <si>
    <t>204:175764</t>
  </si>
  <si>
    <t>204:153996</t>
  </si>
  <si>
    <t>204:1147</t>
  </si>
  <si>
    <t>204:232972</t>
  </si>
  <si>
    <t>204:233276</t>
  </si>
  <si>
    <t>204:233340</t>
  </si>
  <si>
    <t>204:233038</t>
  </si>
  <si>
    <t>204:415</t>
  </si>
  <si>
    <t>204:233344</t>
  </si>
  <si>
    <t>204:233006</t>
  </si>
  <si>
    <t>204:141</t>
  </si>
  <si>
    <t>204:438</t>
  </si>
  <si>
    <t>204:231</t>
  </si>
  <si>
    <t>204:233259</t>
  </si>
  <si>
    <t>204:232932</t>
  </si>
  <si>
    <t>204:19147</t>
  </si>
  <si>
    <t>204:161</t>
  </si>
  <si>
    <t>204:504</t>
  </si>
  <si>
    <t>204:232952</t>
  </si>
  <si>
    <t>204:233287</t>
  </si>
  <si>
    <t>204:232985</t>
  </si>
  <si>
    <t>204:437</t>
  </si>
  <si>
    <t>204:233245</t>
  </si>
  <si>
    <t>204:232925</t>
  </si>
  <si>
    <t>204:233210</t>
  </si>
  <si>
    <t>204:232885</t>
  </si>
  <si>
    <t>204:233238</t>
  </si>
  <si>
    <t>204:482</t>
  </si>
  <si>
    <t>204:233347</t>
  </si>
  <si>
    <t>204:180</t>
  </si>
  <si>
    <t>204:539</t>
  </si>
  <si>
    <t>204:233180</t>
  </si>
  <si>
    <t>204:232854</t>
  </si>
  <si>
    <t>204:233389</t>
  </si>
  <si>
    <t>204:233036</t>
  </si>
  <si>
    <t>204:233323</t>
  </si>
  <si>
    <t>204:233027</t>
  </si>
  <si>
    <t>204:232930</t>
  </si>
  <si>
    <t>204:189</t>
  </si>
  <si>
    <t>204:233286</t>
  </si>
  <si>
    <t>204:229</t>
  </si>
  <si>
    <t>204:560</t>
  </si>
  <si>
    <t>204:233215</t>
  </si>
  <si>
    <t>204:232900</t>
  </si>
  <si>
    <t>204:1484</t>
  </si>
  <si>
    <t>204:233325</t>
  </si>
  <si>
    <t>204:61946</t>
  </si>
  <si>
    <t>204:232951</t>
  </si>
  <si>
    <t>204:263</t>
  </si>
  <si>
    <t>204:546</t>
  </si>
  <si>
    <t>204:127857</t>
  </si>
  <si>
    <t>204:232909</t>
  </si>
  <si>
    <t>204:233207</t>
  </si>
  <si>
    <t>204:232908</t>
  </si>
  <si>
    <t>204:233147</t>
  </si>
  <si>
    <t>204:232869</t>
  </si>
  <si>
    <t>204:232934</t>
  </si>
  <si>
    <t>204:260</t>
  </si>
  <si>
    <t>204:528</t>
  </si>
  <si>
    <t>204:544</t>
  </si>
  <si>
    <t>204:236</t>
  </si>
  <si>
    <t>204:232875</t>
  </si>
  <si>
    <t>204:262</t>
  </si>
  <si>
    <t>204:233244</t>
  </si>
  <si>
    <t>204:232919</t>
  </si>
  <si>
    <t>204:549</t>
  </si>
  <si>
    <t>204:233204</t>
  </si>
  <si>
    <t>204:232960</t>
  </si>
  <si>
    <t>204:513</t>
  </si>
  <si>
    <t>204:375</t>
  </si>
  <si>
    <t>300:23548</t>
  </si>
  <si>
    <t>300:23413</t>
  </si>
  <si>
    <t>300:23306</t>
  </si>
  <si>
    <t>300:23773</t>
  </si>
  <si>
    <t>300:23316</t>
  </si>
  <si>
    <t>300:23336</t>
  </si>
  <si>
    <t>300:23444</t>
  </si>
  <si>
    <t>300:23766</t>
  </si>
  <si>
    <t>204:254</t>
  </si>
  <si>
    <t>300:23519</t>
  </si>
  <si>
    <t>300:23310</t>
  </si>
  <si>
    <t>204:3554</t>
  </si>
  <si>
    <t>204:1492</t>
  </si>
  <si>
    <t>204:3276</t>
  </si>
  <si>
    <t>204:2939</t>
  </si>
  <si>
    <t>204:3207</t>
  </si>
  <si>
    <t>204:1169</t>
  </si>
  <si>
    <t>300:23792</t>
  </si>
  <si>
    <t>204:1635</t>
  </si>
  <si>
    <t>300:30096</t>
  </si>
  <si>
    <t>300:33117</t>
  </si>
  <si>
    <t>300:37979</t>
  </si>
  <si>
    <t>300:112580</t>
  </si>
  <si>
    <t>204:965</t>
  </si>
  <si>
    <t>300:112565</t>
  </si>
  <si>
    <t>204:1065</t>
  </si>
  <si>
    <t>300:112533</t>
  </si>
  <si>
    <t>300:112266</t>
  </si>
  <si>
    <t>300:37773</t>
  </si>
  <si>
    <t>300:39214</t>
  </si>
  <si>
    <t>204:682</t>
  </si>
  <si>
    <t>300:112264</t>
  </si>
  <si>
    <t>300:37709</t>
  </si>
  <si>
    <t>300:112249</t>
  </si>
  <si>
    <t>204:731</t>
  </si>
  <si>
    <t>300:112211</t>
  </si>
  <si>
    <t>204:785</t>
  </si>
  <si>
    <t>300:38094</t>
  </si>
  <si>
    <t>300:112511</t>
  </si>
  <si>
    <t>204:1245</t>
  </si>
  <si>
    <t>300:112477</t>
  </si>
  <si>
    <t>300:37994</t>
  </si>
  <si>
    <t>300:112576</t>
  </si>
  <si>
    <t>204:1105</t>
  </si>
  <si>
    <t>300:23284</t>
  </si>
  <si>
    <t>300:112195</t>
  </si>
  <si>
    <t>300:37658</t>
  </si>
  <si>
    <t>300:112258</t>
  </si>
  <si>
    <t>300:37734</t>
  </si>
  <si>
    <t>300:112222</t>
  </si>
  <si>
    <t>204:775</t>
  </si>
  <si>
    <t>300:112254</t>
  </si>
  <si>
    <t>300:39208</t>
  </si>
  <si>
    <t>204:1150</t>
  </si>
  <si>
    <t>300:58640</t>
  </si>
  <si>
    <t>204:4630</t>
  </si>
  <si>
    <t>300:58960</t>
  </si>
  <si>
    <t>300:58649</t>
  </si>
  <si>
    <t>300:58973</t>
  </si>
  <si>
    <t>204:151</t>
  </si>
  <si>
    <t>204:493</t>
  </si>
  <si>
    <t>300:58944</t>
  </si>
  <si>
    <t>204:173</t>
  </si>
  <si>
    <t>300:58653</t>
  </si>
  <si>
    <t>300:58899</t>
  </si>
  <si>
    <t>300:58587</t>
  </si>
  <si>
    <t>204:4606</t>
  </si>
  <si>
    <t>204:446</t>
  </si>
  <si>
    <t>300:58975</t>
  </si>
  <si>
    <t>300:58660</t>
  </si>
  <si>
    <t>300:58967</t>
  </si>
  <si>
    <t>300:58664</t>
  </si>
  <si>
    <t>300:58969</t>
  </si>
  <si>
    <t>204:157</t>
  </si>
  <si>
    <t>204:426</t>
  </si>
  <si>
    <t>300:58647</t>
  </si>
  <si>
    <t>204:162</t>
  </si>
  <si>
    <t>300:58656</t>
  </si>
  <si>
    <t>204:186</t>
  </si>
  <si>
    <t>300:58651</t>
  </si>
  <si>
    <t>300:58954</t>
  </si>
  <si>
    <t>300:58952</t>
  </si>
  <si>
    <t>300:58641</t>
  </si>
  <si>
    <t>300:59003</t>
  </si>
  <si>
    <t>300:58692</t>
  </si>
  <si>
    <t>300:58643</t>
  </si>
  <si>
    <t>204:4580</t>
  </si>
  <si>
    <t>204:470</t>
  </si>
  <si>
    <t>300:58948</t>
  </si>
  <si>
    <t>204:142</t>
  </si>
  <si>
    <t>300:58963</t>
  </si>
  <si>
    <t>204:131</t>
  </si>
  <si>
    <t>204:468</t>
  </si>
  <si>
    <t>300:58946</t>
  </si>
  <si>
    <t>204:182</t>
  </si>
  <si>
    <t>300:58638</t>
  </si>
  <si>
    <t>204:164</t>
  </si>
  <si>
    <t>300:58632</t>
  </si>
  <si>
    <t>204:153</t>
  </si>
  <si>
    <t>204:448</t>
  </si>
  <si>
    <t>300:58634</t>
  </si>
  <si>
    <t>300:58950</t>
  </si>
  <si>
    <t>300:58700</t>
  </si>
  <si>
    <t>300:59010</t>
  </si>
  <si>
    <t>300:58922</t>
  </si>
  <si>
    <t>300:30110</t>
  </si>
  <si>
    <t>300:23385</t>
  </si>
  <si>
    <t>300:24207</t>
  </si>
  <si>
    <t>300:23233</t>
  </si>
  <si>
    <t>204:140</t>
  </si>
  <si>
    <t>300:58623</t>
  </si>
  <si>
    <t>300:28784</t>
  </si>
  <si>
    <t>start /low /b %USERPROFILE%\Documents\GitHub\eaglep3\Utilities\DownloadLogsFromS3.py --loco 4029 --day 2018-01-03</t>
  </si>
  <si>
    <t>start /low /b %USERPROFILE%\Documents\GitHub\eaglep3\Utilities\DownloadLogsFromS3.py --loco 4001 --day 2018-01-03</t>
  </si>
  <si>
    <t>start /low /b %USERPROFILE%\Documents\GitHub\eaglep3\Utilities\DownloadLogsFromS3.py --loco 4042 --day 2018-01-03</t>
  </si>
  <si>
    <t>start /low /b %USERPROFILE%\Documents\GitHub\eaglep3\Utilities\DownloadLogsFromS3.py --loco 4041 --day 2018-01-03</t>
  </si>
  <si>
    <t>start /low /b %USERPROFILE%\Documents\GitHub\eaglep3\Utilities\DownloadLogsFromS3.py --loco 4061 --day 2018-01-03</t>
  </si>
  <si>
    <t>start /low /b %USERPROFILE%\Documents\GitHub\eaglep3\Utilities\DownloadLogsFromS3.py --loco 4013 --day 2018-01-03</t>
  </si>
  <si>
    <t>start /low /b %USERPROFILE%\Documents\GitHub\eaglep3\Utilities\DownloadLogsFromS3.py --loco 4064 --day 2018-01-03</t>
  </si>
  <si>
    <t>start /low /b %USERPROFILE%\Documents\GitHub\eaglep3\Utilities\DownloadLogsFromS3.py --loco 4063 --day 2018-01-03</t>
  </si>
  <si>
    <t>start /low /b %USERPROFILE%\Documents\GitHub\eaglep3\Utilities\DownloadLogsFromS3.py --loco 4049 --day 2018-01-03</t>
  </si>
  <si>
    <t>start /low /b %USERPROFILE%\Documents\GitHub\eaglep3\Utilities\DownloadLogsFromS3.py --loco 4049 --day 2018-01-04</t>
  </si>
  <si>
    <t>start /low /b %USERPROFILE%\Documents\GitHub\eaglep3\Utilities\DownloadLogsFromS3.py --loco 4003 --day 2018-01-03</t>
  </si>
  <si>
    <t>start /low /b %USERPROFILE%\Documents\GitHub\eaglep3\Utilities\DownloadLogsFromS3.py --loco 4062 --day 2018-01-04</t>
  </si>
  <si>
    <t>start /low /b %USERPROFILE%\Documents\GitHub\eaglep3\Utilities\DownloadLogsFromS3.py --loco 4042 --day 2018-01-04</t>
  </si>
  <si>
    <t>start /low /b %USERPROFILE%\Documents\GitHub\eaglep3\Utilities\DownloadLogsFromS3.py --loco 4004 --day 2018-01-03</t>
  </si>
  <si>
    <t>start /low /b %USERPROFILE%\Documents\GitHub\eaglep3\Utilities\DownloadLogsFromS3.py --loco 4001 --day 2018-01-04</t>
  </si>
  <si>
    <t>start /low /b %USERPROFILE%\Documents\GitHub\eaglep3\Utilities\DownloadLogsFromS3.py --loco 4002 --day 2018-01-03</t>
  </si>
  <si>
    <t>Onboard en route failure during init at DUS</t>
  </si>
  <si>
    <t>192-03</t>
  </si>
  <si>
    <t>STEWART MICHAEL</t>
  </si>
  <si>
    <t>Onboard en route failure during init at DIA</t>
  </si>
  <si>
    <t>Poor GPS under Wewatta St. overpass</t>
  </si>
  <si>
    <t>Did not init due to extended Wi-MAX data drop</t>
  </si>
  <si>
    <t>CP Quebec 2S signal issues (59340)</t>
  </si>
  <si>
    <t>Operator reported red fence for signal status unknown, no evidence in onboard 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</si>
</sst>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6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43103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43103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COUNTIFS($N$13:$N$9599,"&gt;0",$AG$13:$AG$9599,I1)</f>
        <v>138</v>
      </c>
      <c r="K5" s="39"/>
      <c r="L5" s="171"/>
      <c r="M5" s="40">
        <f>AVERAGEIFS($N$13:$N$9599,$AG$13:$AG$9599,I1)</f>
        <v>37.131763284965217</v>
      </c>
      <c r="N5" s="38">
        <f t="array" ref="N5">MIN(IF($AG$13:$AG$9599=I1,IF(ISNUMBER($N$13:$N$9599),IF($N$13:$N$9599&gt;0,$N$13:$N$9599))))</f>
        <v>34.033333326224238</v>
      </c>
      <c r="O5" s="3">
        <f t="array" ref="O5">MAX(IF($AG$13:$AG$9599=I1,IF(ISNUMBER($N$13:$N$9599),IF($N$13:$N$9599&gt;0,$N$13:$N$9599))))</f>
        <v>42.366666669258848</v>
      </c>
      <c r="P5" s="2"/>
      <c r="R5" s="162" t="s">
        <v>17</v>
      </c>
      <c r="S5" s="206">
        <f>COUNTIFS($N$13:$N$9599,"&gt;0",$AG$13:$AG$9599,R1)</f>
        <v>48</v>
      </c>
      <c r="T5" s="171"/>
      <c r="U5" s="194"/>
      <c r="V5" s="210">
        <f>AVERAGEIFS($N$13:$N$9599,$AG$13:$AG$9599,R1)</f>
        <v>13.156597222405253</v>
      </c>
      <c r="W5" s="211">
        <f t="array" ref="W5">MIN(IF($AG$13:$AG$9599=R1,IF(ISNUMBER($N$13:$N$9599),IF($N$13:$N$9599&gt;0,$N$13:$N$9599))))</f>
        <v>10.483333332231268</v>
      </c>
      <c r="X5" s="199">
        <f t="array" ref="X5">MAX(IF($AG$13:$AG$9599=R1,IF(ISNUMBER($N$13:$N$9599),IF($N$13:$N$9599&gt;0,$N$13:$N$9599))))</f>
        <v>15.483333338052034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COUNT($O$13:$O$357)</f>
        <v>0</v>
      </c>
      <c r="K6" s="39"/>
      <c r="L6" s="171"/>
      <c r="M6" s="40">
        <f>IFERROR(AVERAGE($O$13:$O$357),0)</f>
        <v>0</v>
      </c>
      <c r="N6" s="38">
        <f>MIN($O$13:$O$357)</f>
        <v>0</v>
      </c>
      <c r="O6" s="3">
        <f>MAX($O$13:$O$357)</f>
        <v>0</v>
      </c>
      <c r="P6" s="2"/>
      <c r="R6" s="163" t="s">
        <v>43</v>
      </c>
      <c r="S6" s="206">
        <f>COUNT($O$13:$O$357)</f>
        <v>0</v>
      </c>
      <c r="T6" s="171"/>
      <c r="U6" s="194"/>
      <c r="V6" s="210">
        <f>IFERROR(AVERAGE($O$13:$O$357),0)</f>
        <v>0</v>
      </c>
      <c r="W6" s="211">
        <f>MIN($O$13:$O$357)</f>
        <v>0</v>
      </c>
      <c r="X6" s="199">
        <f>MAX($O$13:$O$357)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COUNTIFS($P$13:$P$9599,"&gt;0",$AG$13:$AG$9599,I1)</f>
        <v>6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COUNTIFS($P$13:$P$9599,"&gt;0",$AG$13:$AG$9599,R1)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171"/>
      <c r="M8" s="40">
        <f>M5</f>
        <v>37.131763284965217</v>
      </c>
      <c r="N8" s="38">
        <f>N5</f>
        <v>34.033333326224238</v>
      </c>
      <c r="O8" s="3">
        <f>O5</f>
        <v>42.366666669258848</v>
      </c>
      <c r="P8" s="2"/>
      <c r="R8" s="162" t="s">
        <v>16</v>
      </c>
      <c r="S8" s="206">
        <f>S5</f>
        <v>48</v>
      </c>
      <c r="T8" s="171"/>
      <c r="U8" s="194"/>
      <c r="V8" s="210">
        <f>V5</f>
        <v>13.156597222405253</v>
      </c>
      <c r="W8" s="211">
        <f>W5</f>
        <v>10.483333332231268</v>
      </c>
      <c r="X8" s="199">
        <f>X5</f>
        <v>15.483333338052034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0.97959183673469385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- 2018-01-03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AVERAGE(S13:S135)</f>
        <v>0.98611111111111105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673</v>
      </c>
      <c r="B13" s="7">
        <v>4042</v>
      </c>
      <c r="C13" s="21" t="s">
        <v>192</v>
      </c>
      <c r="D13" s="21" t="s">
        <v>890</v>
      </c>
      <c r="E13" s="13">
        <v>43103.130497685182</v>
      </c>
      <c r="F13" s="13">
        <v>43103.135821759257</v>
      </c>
      <c r="G13" s="7">
        <v>79</v>
      </c>
      <c r="H13" s="21" t="s">
        <v>891</v>
      </c>
      <c r="I13" s="13">
        <v>43103.16097222222</v>
      </c>
      <c r="J13" s="7">
        <v>0</v>
      </c>
      <c r="K13" s="89" t="str">
        <f>IF(ISEVEN(B13),(B13-1)&amp;"/"&amp;B13,B13&amp;"/"&amp;(B13+1))</f>
        <v>4041/4042</v>
      </c>
      <c r="L13" s="184" t="str">
        <f>VLOOKUP(A13,'Trips&amp;Operators'!$C$1:$G$99911,5,FALSE)</f>
        <v>LONG FULLER</v>
      </c>
      <c r="M13" s="6">
        <f>I13-F13</f>
        <v>2.5150462963210884E-2</v>
      </c>
      <c r="N13" s="7">
        <f>24*60*SUM($M13:$M13)</f>
        <v>36.216666667023674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-03T02:07:55-0700',mode:absolute,to:'2018-01-03T04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8.9399999999999993E-2</v>
      </c>
      <c r="Z13" s="203">
        <f>RIGHT(H13,LEN(H13)-4)/10000</f>
        <v>23.3322</v>
      </c>
      <c r="AA13" s="203">
        <f>ABS(Z13-Y13)</f>
        <v>23.242799999999999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/stypes="app*4042*20180103*"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4042 --swversion DE.1.0.9.0 --startMP 204:894 --initTime 2018-01-03T03:07:55 --startdatetime 2018-01-03T03:15:35 --delay 79 --endMP 204:233322 --enddatetime 2018-01-03T03:51:48 --enforcementcount 0 &gt;&gt;%USERPROFILE%\Documents\GitHub\eaglep3-reporting\EC\2018-01-03-refined-times.txt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{"issue":{"subject":"","project_id":79,"tracker_id":40,"status_id":1,"priority_id":2,"assigned_to_id":338,"start_date":"2018-01-03","description":"","custom_fields":[{"id":1,"name":"Subdivision","value":"EC"},{"id":4,"name":"Milepost","value":"23.3322"},{"id":17,"name":"Train ID","value":"101-03"},{"id":16,"name":"Locomotive ID","value":"4042"},{"id":130,"name":"Impact","value":""},{"id":150,"name":"Time of Event (Mountain Time)","value":"03:51:48"},{"id":151,"name":"Denver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4042 --day 2018-01-03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-03T02:07:55-0700',mode:absolute,to:'2018-01-03T04:51:48-0700'))&amp;_a=(columns:!('Message%20ID',Summary),filters:!(),index:'emp_*',interval:auto,query:(query_string:(analyze_wildcard:!t,query:'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681</v>
      </c>
      <c r="B14" s="225">
        <v>4041</v>
      </c>
      <c r="C14" s="227" t="s">
        <v>192</v>
      </c>
      <c r="D14" s="227" t="s">
        <v>623</v>
      </c>
      <c r="E14" s="226">
        <v>43103.165659722225</v>
      </c>
      <c r="F14" s="226">
        <v>43103.175173611111</v>
      </c>
      <c r="G14" s="225">
        <v>158</v>
      </c>
      <c r="H14" s="227" t="s">
        <v>588</v>
      </c>
      <c r="I14" s="226">
        <v>43103.202337962961</v>
      </c>
      <c r="J14" s="225">
        <v>0</v>
      </c>
      <c r="K14" s="237" t="str">
        <f>IF(ISEVEN(B14),(B14-1)&amp;"/"&amp;B14,B14&amp;"/"&amp;(B14+1))</f>
        <v>4041/4042</v>
      </c>
      <c r="L14" s="245" t="str">
        <f>VLOOKUP(A14,'Trips&amp;Operators'!$C$1:$G$99911,5,FALSE)</f>
        <v>LONG FULLER</v>
      </c>
      <c r="M14" s="224">
        <f>I14-F14</f>
        <v>2.7164351849933155E-2</v>
      </c>
      <c r="N14" s="225">
        <f>24*60*SUM($M14:$M14)</f>
        <v>39.116666663903743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-03T02:58:33-0700',mode:absolute,to:'2018-01-03T05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23.297499999999999</v>
      </c>
      <c r="Z14" s="247">
        <f>RIGHT(H14,LEN(H14)-4)/10000</f>
        <v>2.3199999999999998E-2</v>
      </c>
      <c r="AA14" s="247">
        <f>ABS(Z14-Y14)</f>
        <v>23.2743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/stypes="app*4041*20180103*"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6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4041 --swversion DE.1.0.9.0 --startMP 204:232975 --initTime 2018-01-03T03:58:33 --startdatetime 2018-01-03T04:12:15 --delay 158 --endMP 204:232 --enddatetime 2018-01-03T04:51:22 --enforcementcount 0 &gt;&gt;%USERPROFILE%\Documents\GitHub\eaglep3-reporting\EC\2018-01-03-refined-times.txt</v>
      </c>
      <c r="AI14" s="238" t="str">
        <f t="shared" ref="AI14:AI76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{"issue":{"subject":"","project_id":79,"tracker_id":40,"status_id":1,"priority_id":2,"assigned_to_id":338,"start_date":"2018-01-03","description":"","custom_fields":[{"id":1,"name":"Subdivision","value":"EC"},{"id":4,"name":"Milepost","value":"0.0232"},{"id":17,"name":"Train ID","value":"102-03"},{"id":16,"name":"Locomotive ID","value":"4041"},{"id":130,"name":"Impact","value":""},{"id":150,"name":"Time of Event (Mountain Time)","value":"04:51:22"},{"id":151,"name":"Denver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6" si="7">"start /low /b "&amp;dls3logs&amp;" --loco "&amp;B14&amp;" --day "&amp;TEXT(F14,"YYYY-MM-DD")</f>
        <v>start /low /b %USERPROFILE%\Documents\GitHub\eaglep3\Utilities\DownloadLogsFromS3.py --loco 4041 --day 2018-01-03</v>
      </c>
      <c r="AN14" s="241" t="str">
        <f t="shared" ref="AN14:AN76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6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-03T02:58:33-0700',mode:absolute,to:'2018-01-03T05:51:22-0700'))&amp;_a=(columns:!('Message%20ID',Summary),filters:!(),index:'emp_*',interval:auto,query:(query_string:(analyze_wildcard:!t,query:'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677</v>
      </c>
      <c r="B15" s="225">
        <v>4050</v>
      </c>
      <c r="C15" s="227" t="s">
        <v>192</v>
      </c>
      <c r="D15" s="227" t="s">
        <v>551</v>
      </c>
      <c r="E15" s="226">
        <v>43103.150405092594</v>
      </c>
      <c r="F15" s="226">
        <v>43103.156585648147</v>
      </c>
      <c r="G15" s="225">
        <v>78</v>
      </c>
      <c r="H15" s="227" t="s">
        <v>591</v>
      </c>
      <c r="I15" s="226">
        <v>43103.182002314818</v>
      </c>
      <c r="J15" s="225">
        <v>0</v>
      </c>
      <c r="K15" s="237" t="str">
        <f>IF(ISEVEN(B15),(B15-1)&amp;"/"&amp;B15,B15&amp;"/"&amp;(B15+1))</f>
        <v>4049/4050</v>
      </c>
      <c r="L15" s="245" t="str">
        <f>VLOOKUP(A15,'Trips&amp;Operators'!$C$1:$G$99911,5,FALSE)</f>
        <v>THOMPSON LESTER</v>
      </c>
      <c r="M15" s="224">
        <f>I15-F15</f>
        <v>2.5416666670935228E-2</v>
      </c>
      <c r="N15" s="225">
        <f>24*60*SUM($M15:$M15)</f>
        <v>36.600000006146729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-03T02:36:35-0700',mode:absolute,to:'2018-01-03T05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4.6699999999999998E-2</v>
      </c>
      <c r="Z15" s="247">
        <f>RIGHT(H15,LEN(H15)-4)/10000</f>
        <v>23.327200000000001</v>
      </c>
      <c r="AA15" s="247">
        <f>ABS(Z15-Y15)</f>
        <v>23.2805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/stypes="app*4050*20180103*"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103-03 --locoid 4050 --swversion DE.1.0.9.0 --startMP 204:467 --initTime 2018-01-03T03:36:35 --startdatetime 2018-01-03T03:45:29 --delay 78 --endMP 204:233272 --enddatetime 2018-01-03T04:22:05 --enforcementcount 0 &gt;&gt;%USERPROFILE%\Documents\GitHub\eaglep3-reporting\EC\2018-01-03-refined-times.txt</v>
      </c>
      <c r="AI1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{"issue":{"subject":"","project_id":79,"tracker_id":40,"status_id":1,"priority_id":2,"assigned_to_id":338,"start_date":"2018-01-03","description":"","custom_fields":[{"id":1,"name":"Subdivision","value":"EC"},{"id":4,"name":"Milepost","value":"23.3272"},{"id":17,"name":"Train ID","value":"103-03"},{"id":16,"name":"Locomotive ID","value":"4050"},{"id":130,"name":"Impact","value":""},{"id":150,"name":"Time of Event (Mountain Time)","value":"04:22:05"},{"id":151,"name":"Denver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4050 --day 2018-01-03</v>
      </c>
      <c r="AN1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-03T02:36:35-0700',mode:absolute,to:'2018-01-03T05:22:05-0700'))&amp;_a=(columns:!('Message%20ID',Summary),filters:!(),index:'emp_*',interval:auto,query:(query_string:(analyze_wildcard:!t,query:'%22rtdc.l.rtdc.4050%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636</v>
      </c>
      <c r="B16" s="225">
        <v>4049</v>
      </c>
      <c r="C16" s="227" t="s">
        <v>192</v>
      </c>
      <c r="D16" s="227" t="s">
        <v>626</v>
      </c>
      <c r="E16" s="226">
        <v>43103.194456018522</v>
      </c>
      <c r="F16" s="226">
        <v>43103.196099537039</v>
      </c>
      <c r="G16" s="225">
        <v>55</v>
      </c>
      <c r="H16" s="227" t="s">
        <v>892</v>
      </c>
      <c r="I16" s="226">
        <v>43103.225162037037</v>
      </c>
      <c r="J16" s="225">
        <v>0</v>
      </c>
      <c r="K16" s="237" t="str">
        <f>IF(ISEVEN(B16),(B16-1)&amp;"/"&amp;B16,B16&amp;"/"&amp;(B16+1))</f>
        <v>4049/4050</v>
      </c>
      <c r="L16" s="245" t="str">
        <f>VLOOKUP(A16,'Trips&amp;Operators'!$C$1:$G$99911,5,FALSE)</f>
        <v>THOMPSON LESTER</v>
      </c>
      <c r="M16" s="224">
        <f>I16-F16</f>
        <v>2.9062499997962732E-2</v>
      </c>
      <c r="N16" s="225">
        <f>24*60*SUM($M16:$M16)</f>
        <v>41.849999997066334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-03T03:40:01-0700',mode:absolute,to:'2018-01-03T06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23.293800000000001</v>
      </c>
      <c r="Z16" s="247">
        <f>RIGHT(H16,LEN(H16)-4)/10000</f>
        <v>1.52E-2</v>
      </c>
      <c r="AA16" s="247">
        <f>ABS(Z16-Y16)</f>
        <v>23.278600000000001</v>
      </c>
      <c r="AB16" s="233" t="str">
        <f>VLOOKUP(A16,Enforcements!$C$7:$K$9,8,0)</f>
        <v>Bulletin (2)</v>
      </c>
      <c r="AC16" s="232" t="str">
        <f>VLOOKUP(A16,Enforcements!$C$7:$E$9,3,0)</f>
        <v>GRADE CROSSING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/stypes="app*4049*20180103*"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104-03 --locoid 4049 --swversion DE.1.0.9.0 --startMP 204:232938 --initTime 2018-01-03T04:40:01 --startdatetime 2018-01-03T04:42:23 --delay 55 --endMP 204:152 --enddatetime 2018-01-03T05:24:14 --enforcementcount 0 &gt;&gt;%USERPROFILE%\Documents\GitHub\eaglep3-reporting\EC\2018-01-03-refined-times.txt</v>
      </c>
      <c r="AI1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{"issue":{"subject":"","project_id":79,"tracker_id":40,"status_id":1,"priority_id":2,"assigned_to_id":338,"start_date":"2018-01-03","description":"","custom_fields":[{"id":1,"name":"Subdivision","value":"EC"},{"id":4,"name":"Milepost","value":"0.0152"},{"id":17,"name":"Train ID","value":"104-03"},{"id":16,"name":"Locomotive ID","value":"4049"},{"id":130,"name":"Impact","value":""},{"id":150,"name":"Time of Event (Mountain Time)","value":"05:24:14"},{"id":151,"name":"Denver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4049 --day 2018-01-03</v>
      </c>
      <c r="AN1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-03T03:40:01-0700',mode:absolute,to:'2018-01-03T06:24:14-0700'))&amp;_a=(columns:!('Message%20ID',Summary),filters:!(),index:'emp_*',interval:auto,query:(query_string:(analyze_wildcard:!t,query:'%22rtdc.l.rtdc.4049%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635</v>
      </c>
      <c r="B17" s="225">
        <v>4002</v>
      </c>
      <c r="C17" s="227" t="s">
        <v>192</v>
      </c>
      <c r="D17" s="227" t="s">
        <v>893</v>
      </c>
      <c r="E17" s="226">
        <v>43103.17083333333</v>
      </c>
      <c r="F17" s="226">
        <v>43103.177233796298</v>
      </c>
      <c r="G17" s="225">
        <v>101</v>
      </c>
      <c r="H17" s="227" t="s">
        <v>894</v>
      </c>
      <c r="I17" s="226">
        <v>43103.201736111114</v>
      </c>
      <c r="J17" s="225">
        <v>0</v>
      </c>
      <c r="K17" s="237" t="str">
        <f>IF(ISEVEN(B17),(B17-1)&amp;"/"&amp;B17,B17&amp;"/"&amp;(B17+1))</f>
        <v>4001/4002</v>
      </c>
      <c r="L17" s="245" t="str">
        <f>VLOOKUP(A17,'Trips&amp;Operators'!$C$1:$G$99911,5,FALSE)</f>
        <v>PAGE MARCUS</v>
      </c>
      <c r="M17" s="224">
        <f>I17-F17</f>
        <v>2.4502314816345461E-2</v>
      </c>
      <c r="N17" s="225">
        <f>24*60*SUM($M17:$M17)</f>
        <v>35.283333335537463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-03T03:06:00-0700',mode:absolute,to:'2018-01-03T05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4.7300000000000002E-2</v>
      </c>
      <c r="Z17" s="247">
        <f>RIGHT(H17,LEN(H17)-4)/10000</f>
        <v>23.331800000000001</v>
      </c>
      <c r="AA17" s="247">
        <f>ABS(Z17-Y17)</f>
        <v>23.284500000000001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/stypes="app*4002*20180103*"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105-03 --locoid 4002 --swversion DE.1.0.9.0 --startMP 204:473 --initTime 2018-01-03T04:06:00 --startdatetime 2018-01-03T04:15:13 --delay 101 --endMP 204:233318 --enddatetime 2018-01-03T04:50:30 --enforcementcount 0 &gt;&gt;%USERPROFILE%\Documents\GitHub\eaglep3-reporting\EC\2018-01-03-refined-times.txt</v>
      </c>
      <c r="AI1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{"issue":{"subject":"","project_id":79,"tracker_id":40,"status_id":1,"priority_id":2,"assigned_to_id":338,"start_date":"2018-01-03","description":"","custom_fields":[{"id":1,"name":"Subdivision","value":"EC"},{"id":4,"name":"Milepost","value":"23.3318"},{"id":17,"name":"Train ID","value":"105-03"},{"id":16,"name":"Locomotive ID","value":"4002"},{"id":130,"name":"Impact","value":""},{"id":150,"name":"Time of Event (Mountain Time)","value":"04:50:30"},{"id":151,"name":"Denver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4002 --day 2018-01-03</v>
      </c>
      <c r="AN1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-03T03:06:00-0700',mode:absolute,to:'2018-01-03T05:50:30-0700'))&amp;_a=(columns:!('Message%20ID',Summary),filters:!(),index:'emp_*',interval:auto,query:(query_string:(analyze_wildcard:!t,query:'%22rtdc.l.rtdc.4002%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690</v>
      </c>
      <c r="B18" s="225">
        <v>4001</v>
      </c>
      <c r="C18" s="227" t="s">
        <v>192</v>
      </c>
      <c r="D18" s="227" t="s">
        <v>895</v>
      </c>
      <c r="E18" s="226">
        <v>43103.203865740739</v>
      </c>
      <c r="F18" s="226">
        <v>43103.216817129629</v>
      </c>
      <c r="G18" s="225">
        <v>657</v>
      </c>
      <c r="H18" s="227" t="s">
        <v>537</v>
      </c>
      <c r="I18" s="226">
        <v>43103.242152777777</v>
      </c>
      <c r="J18" s="225">
        <v>0</v>
      </c>
      <c r="K18" s="237" t="str">
        <f>IF(ISEVEN(B18),(B18-1)&amp;"/"&amp;B18,B18&amp;"/"&amp;(B18+1))</f>
        <v>4001/4002</v>
      </c>
      <c r="L18" s="245" t="str">
        <f>VLOOKUP(A18,'Trips&amp;Operators'!$C$1:$G$99911,5,FALSE)</f>
        <v>PAGE MARCUS</v>
      </c>
      <c r="M18" s="224">
        <f>I18-F18</f>
        <v>2.5335648148029577E-2</v>
      </c>
      <c r="N18" s="225">
        <f>24*60*SUM($M18:$M18)</f>
        <v>36.483333333162591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-03T03:53:34-0700',mode:absolute,to:'2018-01-03T06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23.298400000000001</v>
      </c>
      <c r="Z18" s="247">
        <f>RIGHT(H18,LEN(H18)-4)/10000</f>
        <v>1.67E-2</v>
      </c>
      <c r="AA18" s="247">
        <f>ABS(Z18-Y18)</f>
        <v>23.281700000000001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/stypes="app*4001*20180103*"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106-03 --locoid 4001 --swversion DE.1.0.9.0 --startMP 204:232984 --initTime 2018-01-03T04:53:34 --startdatetime 2018-01-03T05:12:13 --delay 657 --endMP 204:167 --enddatetime 2018-01-03T05:48:42 --enforcementcount 0 &gt;&gt;%USERPROFILE%\Documents\GitHub\eaglep3-reporting\EC\2018-01-03-refined-times.txt</v>
      </c>
      <c r="AI1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{"issue":{"subject":"","project_id":79,"tracker_id":40,"status_id":1,"priority_id":2,"assigned_to_id":338,"start_date":"2018-01-03","description":"","custom_fields":[{"id":1,"name":"Subdivision","value":"EC"},{"id":4,"name":"Milepost","value":"0.0167"},{"id":17,"name":"Train ID","value":"106-03"},{"id":16,"name":"Locomotive ID","value":"4001"},{"id":130,"name":"Impact","value":""},{"id":150,"name":"Time of Event (Mountain Time)","value":"05:48:42"},{"id":151,"name":"Denver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4001 --day 2018-01-03</v>
      </c>
      <c r="AN1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-03T03:53:34-0700',mode:absolute,to:'2018-01-03T06:48:42-0700'))&amp;_a=(columns:!('Message%20ID',Summary),filters:!(),index:'emp_*',interval:auto,query:(query_string:(analyze_wildcard:!t,query:'%22rtdc.l.rtdc.4001%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684</v>
      </c>
      <c r="B19" s="225">
        <v>4004</v>
      </c>
      <c r="C19" s="227" t="s">
        <v>192</v>
      </c>
      <c r="D19" s="227" t="s">
        <v>589</v>
      </c>
      <c r="E19" s="226">
        <v>43103.183472222219</v>
      </c>
      <c r="F19" s="226">
        <v>43103.187708333331</v>
      </c>
      <c r="G19" s="225">
        <v>97</v>
      </c>
      <c r="H19" s="227" t="s">
        <v>896</v>
      </c>
      <c r="I19" s="226">
        <v>43103.213900462964</v>
      </c>
      <c r="J19" s="225">
        <v>0</v>
      </c>
      <c r="K19" s="237" t="str">
        <f>IF(ISEVEN(B19),(B19-1)&amp;"/"&amp;B19,B19&amp;"/"&amp;(B19+1))</f>
        <v>4003/4004</v>
      </c>
      <c r="L19" s="245" t="str">
        <f>VLOOKUP(A19,'Trips&amp;Operators'!$C$1:$G$99911,5,FALSE)</f>
        <v>DAVIDSON DAVID</v>
      </c>
      <c r="M19" s="224">
        <f>I19-F19</f>
        <v>2.6192129633272998E-2</v>
      </c>
      <c r="N19" s="225">
        <f>24*60*SUM($M19:$M19)</f>
        <v>37.716666671913117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-03T03:24:12-0700',mode:absolute,to:'2018-01-03T06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5.4800000000000001E-2</v>
      </c>
      <c r="Z19" s="247">
        <f>RIGHT(H19,LEN(H19)-4)/10000</f>
        <v>23.325099999999999</v>
      </c>
      <c r="AA19" s="247">
        <f>ABS(Z19-Y19)</f>
        <v>23.270299999999999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/stypes="app*4004*20180103*"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107-03 --locoid 4004 --swversion DE.1.0.9.0 --startMP 204:548 --initTime 2018-01-03T04:24:12 --startdatetime 2018-01-03T04:30:18 --delay 97 --endMP 204:233251 --enddatetime 2018-01-03T05:08:01 --enforcementcount 0 &gt;&gt;%USERPROFILE%\Documents\GitHub\eaglep3-reporting\EC\2018-01-03-refined-times.txt</v>
      </c>
      <c r="AI1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{"issue":{"subject":"","project_id":79,"tracker_id":40,"status_id":1,"priority_id":2,"assigned_to_id":338,"start_date":"2018-01-03","description":"","custom_fields":[{"id":1,"name":"Subdivision","value":"EC"},{"id":4,"name":"Milepost","value":"23.3251"},{"id":17,"name":"Train ID","value":"107-03"},{"id":16,"name":"Locomotive ID","value":"4004"},{"id":130,"name":"Impact","value":""},{"id":150,"name":"Time of Event (Mountain Time)","value":"05:08:01"},{"id":151,"name":"Denver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4004 --day 2018-01-03</v>
      </c>
      <c r="AN1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-03T03:24:12-0700',mode:absolute,to:'2018-01-03T06:08:01-0700'))&amp;_a=(columns:!('Message%20ID',Summary),filters:!(),index:'emp_*',interval:auto,query:(query_string:(analyze_wildcard:!t,query:'%22rtdc.l.rtdc.4004%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691</v>
      </c>
      <c r="B20" s="225">
        <v>4003</v>
      </c>
      <c r="C20" s="227" t="s">
        <v>192</v>
      </c>
      <c r="D20" s="227" t="s">
        <v>554</v>
      </c>
      <c r="E20" s="226">
        <v>43103.217719907407</v>
      </c>
      <c r="F20" s="226">
        <v>43103.227303240739</v>
      </c>
      <c r="G20" s="225">
        <v>97</v>
      </c>
      <c r="H20" s="227" t="s">
        <v>469</v>
      </c>
      <c r="I20" s="226">
        <v>43103.254259259258</v>
      </c>
      <c r="J20" s="225">
        <v>0</v>
      </c>
      <c r="K20" s="237" t="str">
        <f>IF(ISEVEN(B20),(B20-1)&amp;"/"&amp;B20,B20&amp;"/"&amp;(B20+1))</f>
        <v>4003/4004</v>
      </c>
      <c r="L20" s="245" t="str">
        <f>VLOOKUP(A20,'Trips&amp;Operators'!$C$1:$G$99911,5,FALSE)</f>
        <v>DAVIDSON DAVID</v>
      </c>
      <c r="M20" s="224">
        <f>I20-F20</f>
        <v>2.6956018518831115E-2</v>
      </c>
      <c r="N20" s="225">
        <f>24*60*SUM($M20:$M20)</f>
        <v>38.816666667116806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-03T04:13:31-0700',mode:absolute,to:'2018-01-03T07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23.295300000000001</v>
      </c>
      <c r="Z20" s="247">
        <f>RIGHT(H20,LEN(H20)-4)/10000</f>
        <v>2.2499999999999999E-2</v>
      </c>
      <c r="AA20" s="247">
        <f>ABS(Z20-Y20)</f>
        <v>23.2728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/stypes="app*4003*20180103*"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108-03 --locoid 4003 --swversion DE.1.0.9.0 --startMP 204:232953 --initTime 2018-01-03T05:13:31 --startdatetime 2018-01-03T05:27:19 --delay 97 --endMP 204:225 --enddatetime 2018-01-03T06:06:08 --enforcementcount 0 &gt;&gt;%USERPROFILE%\Documents\GitHub\eaglep3-reporting\EC\2018-01-03-refined-times.txt</v>
      </c>
      <c r="AI2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{"issue":{"subject":"","project_id":79,"tracker_id":40,"status_id":1,"priority_id":2,"assigned_to_id":338,"start_date":"2018-01-03","description":"","custom_fields":[{"id":1,"name":"Subdivision","value":"EC"},{"id":4,"name":"Milepost","value":"0.0225"},{"id":17,"name":"Train ID","value":"108-03"},{"id":16,"name":"Locomotive ID","value":"4003"},{"id":130,"name":"Impact","value":""},{"id":150,"name":"Time of Event (Mountain Time)","value":"06:06:08"},{"id":151,"name":"Denver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4003 --day 2018-01-03</v>
      </c>
      <c r="AN2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-03T04:13:31-0700',mode:absolute,to:'2018-01-03T07:06:08-0700'))&amp;_a=(columns:!('Message%20ID',Summary),filters:!(),index:'emp_*',interval:auto,query:(query_string:(analyze_wildcard:!t,query:'%22rtdc.l.rtdc.4003%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685</v>
      </c>
      <c r="B21" s="225">
        <v>4060</v>
      </c>
      <c r="C21" s="227" t="s">
        <v>192</v>
      </c>
      <c r="D21" s="227" t="s">
        <v>600</v>
      </c>
      <c r="E21" s="226">
        <v>43103.192546296297</v>
      </c>
      <c r="F21" s="226">
        <v>43103.198831018519</v>
      </c>
      <c r="G21" s="225">
        <v>94</v>
      </c>
      <c r="H21" s="227" t="s">
        <v>897</v>
      </c>
      <c r="I21" s="226">
        <v>43103.223703703705</v>
      </c>
      <c r="J21" s="225">
        <v>0</v>
      </c>
      <c r="K21" s="237" t="str">
        <f>IF(ISEVEN(B21),(B21-1)&amp;"/"&amp;B21,B21&amp;"/"&amp;(B21+1))</f>
        <v>4059/4060</v>
      </c>
      <c r="L21" s="245" t="str">
        <f>VLOOKUP(A21,'Trips&amp;Operators'!$C$1:$G$99911,5,FALSE)</f>
        <v>LOPES KIMBERLY</v>
      </c>
      <c r="M21" s="224">
        <f>I21-F21</f>
        <v>2.4872685185982846E-2</v>
      </c>
      <c r="N21" s="225">
        <f>24*60*SUM($M21:$M21)</f>
        <v>35.816666667815298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-03T03:37:16-0700',mode:absolute,to:'2018-01-03T06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5.3100000000000001E-2</v>
      </c>
      <c r="Z21" s="247">
        <f>RIGHT(H21,LEN(H21)-4)/10000</f>
        <v>23.328199999999999</v>
      </c>
      <c r="AA21" s="247">
        <f>ABS(Z21-Y21)</f>
        <v>23.275099999999998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/stypes="app*4060*20180103*"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109-03 --locoid 4060 --swversion DE.1.0.9.0 --startMP 204:531 --initTime 2018-01-03T04:37:16 --startdatetime 2018-01-03T04:46:19 --delay 94 --endMP 204:233282 --enddatetime 2018-01-03T05:22:08 --enforcementcount 0 &gt;&gt;%USERPROFILE%\Documents\GitHub\eaglep3-reporting\EC\2018-01-03-refined-times.txt</v>
      </c>
      <c r="AI2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{"issue":{"subject":"","project_id":79,"tracker_id":40,"status_id":1,"priority_id":2,"assigned_to_id":338,"start_date":"2018-01-03","description":"","custom_fields":[{"id":1,"name":"Subdivision","value":"EC"},{"id":4,"name":"Milepost","value":"23.3282"},{"id":17,"name":"Train ID","value":"109-03"},{"id":16,"name":"Locomotive ID","value":"4060"},{"id":130,"name":"Impact","value":""},{"id":150,"name":"Time of Event (Mountain Time)","value":"05:22:08"},{"id":151,"name":"Denver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4060 --day 2018-01-03</v>
      </c>
      <c r="AN2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-03T03:37:16-0700',mode:absolute,to:'2018-01-03T06:22:08-0700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698</v>
      </c>
      <c r="B22" s="225">
        <v>4059</v>
      </c>
      <c r="C22" s="227" t="s">
        <v>192</v>
      </c>
      <c r="D22" s="227" t="s">
        <v>898</v>
      </c>
      <c r="E22" s="226">
        <v>43103.232881944445</v>
      </c>
      <c r="F22" s="226">
        <v>43103.237673611111</v>
      </c>
      <c r="G22" s="225">
        <v>65</v>
      </c>
      <c r="H22" s="227" t="s">
        <v>566</v>
      </c>
      <c r="I22" s="226">
        <v>43103.263078703705</v>
      </c>
      <c r="J22" s="225">
        <v>0</v>
      </c>
      <c r="K22" s="237" t="str">
        <f>IF(ISEVEN(B22),(B22-1)&amp;"/"&amp;B22,B22&amp;"/"&amp;(B22+1))</f>
        <v>4059/4060</v>
      </c>
      <c r="L22" s="245" t="str">
        <f>VLOOKUP(A22,'Trips&amp;Operators'!$C$1:$G$99911,5,FALSE)</f>
        <v>LOPES KIMBERLY</v>
      </c>
      <c r="M22" s="224">
        <f>I22-F22</f>
        <v>2.5405092594155576E-2</v>
      </c>
      <c r="N22" s="225">
        <f>24*60*SUM($M22:$M22)</f>
        <v>36.58333333558403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-03T04:35:21-0700',mode:absolute,to:'2018-01-03T07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23.296900000000001</v>
      </c>
      <c r="Z22" s="247">
        <f>RIGHT(H22,LEN(H22)-4)/10000</f>
        <v>2.18E-2</v>
      </c>
      <c r="AA22" s="247">
        <f>ABS(Z22-Y22)</f>
        <v>23.275100000000002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/stypes="app*4059*20180103*"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110-03 --locoid 4059 --swversion DE.1.0.9.0 --startMP 204:232969 --initTime 2018-01-03T05:35:21 --startdatetime 2018-01-03T05:42:15 --delay 65 --endMP 204:218 --enddatetime 2018-01-03T06:18:50 --enforcementcount 0 &gt;&gt;%USERPROFILE%\Documents\GitHub\eaglep3-reporting\EC\2018-01-03-refined-times.txt</v>
      </c>
      <c r="AI2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{"issue":{"subject":"","project_id":79,"tracker_id":40,"status_id":1,"priority_id":2,"assigned_to_id":338,"start_date":"2018-01-03","description":"","custom_fields":[{"id":1,"name":"Subdivision","value":"EC"},{"id":4,"name":"Milepost","value":"0.0218"},{"id":17,"name":"Train ID","value":"110-03"},{"id":16,"name":"Locomotive ID","value":"4059"},{"id":130,"name":"Impact","value":""},{"id":150,"name":"Time of Event (Mountain Time)","value":"06:18:50"},{"id":151,"name":"Denver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4059 --day 2018-01-03</v>
      </c>
      <c r="AN2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-03T04:35:21-0700',mode:absolute,to:'2018-01-03T07:18:50-0700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688</v>
      </c>
      <c r="B23" s="225">
        <v>4042</v>
      </c>
      <c r="C23" s="227" t="s">
        <v>192</v>
      </c>
      <c r="D23" s="227" t="s">
        <v>899</v>
      </c>
      <c r="E23" s="226">
        <v>43103.204525462963</v>
      </c>
      <c r="F23" s="226">
        <v>43103.208518518521</v>
      </c>
      <c r="G23" s="225">
        <v>94</v>
      </c>
      <c r="H23" s="227" t="s">
        <v>494</v>
      </c>
      <c r="I23" s="226">
        <v>43103.233935185184</v>
      </c>
      <c r="J23" s="225">
        <v>0</v>
      </c>
      <c r="K23" s="237" t="str">
        <f>IF(ISEVEN(B23),(B23-1)&amp;"/"&amp;B23,B23&amp;"/"&amp;(B23+1))</f>
        <v>4041/4042</v>
      </c>
      <c r="L23" s="245" t="str">
        <f>VLOOKUP(A23,'Trips&amp;Operators'!$C$1:$G$99911,5,FALSE)</f>
        <v>LONG FULLER</v>
      </c>
      <c r="M23" s="224">
        <f>I23-F23</f>
        <v>2.5416666663659271E-2</v>
      </c>
      <c r="N23" s="225">
        <f>24*60*SUM($M23:$M23)</f>
        <v>36.59999999566935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-03T03:54:31-0700',mode:absolute,to:'2018-01-03T06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5.33E-2</v>
      </c>
      <c r="Z23" s="247">
        <f>RIGHT(H23,LEN(H23)-4)/10000</f>
        <v>23.326599999999999</v>
      </c>
      <c r="AA23" s="247">
        <f>ABS(Z23-Y23)</f>
        <v>23.273299999999999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/stypes="app*4042*20180103*"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111-03 --locoid 4042 --swversion DE.1.0.9.0 --startMP 204:533 --initTime 2018-01-03T04:54:31 --startdatetime 2018-01-03T05:00:16 --delay 94 --endMP 204:233266 --enddatetime 2018-01-03T05:36:52 --enforcementcount 0 &gt;&gt;%USERPROFILE%\Documents\GitHub\eaglep3-reporting\EC\2018-01-03-refined-times.txt</v>
      </c>
      <c r="AI2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{"issue":{"subject":"","project_id":79,"tracker_id":40,"status_id":1,"priority_id":2,"assigned_to_id":338,"start_date":"2018-01-03","description":"","custom_fields":[{"id":1,"name":"Subdivision","value":"EC"},{"id":4,"name":"Milepost","value":"23.3266"},{"id":17,"name":"Train ID","value":"111-03"},{"id":16,"name":"Locomotive ID","value":"4042"},{"id":130,"name":"Impact","value":""},{"id":150,"name":"Time of Event (Mountain Time)","value":"05:36:52"},{"id":151,"name":"Denver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4042 --day 2018-01-03</v>
      </c>
      <c r="AN2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-03T03:54:31-0700',mode:absolute,to:'2018-01-03T06:36:52-0700'))&amp;_a=(columns:!('Message%20ID',Summary),filters:!(),index:'emp_*',interval:auto,query:(query_string:(analyze_wildcard:!t,query:'%22rtdc.l.rtdc.4042%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702</v>
      </c>
      <c r="B24" s="225">
        <v>4041</v>
      </c>
      <c r="C24" s="227" t="s">
        <v>192</v>
      </c>
      <c r="D24" s="227" t="s">
        <v>555</v>
      </c>
      <c r="E24" s="226">
        <v>43103.241851851853</v>
      </c>
      <c r="F24" s="226">
        <v>43103.248078703706</v>
      </c>
      <c r="G24" s="225">
        <v>69</v>
      </c>
      <c r="H24" s="227" t="s">
        <v>619</v>
      </c>
      <c r="I24" s="226">
        <v>43103.274513888886</v>
      </c>
      <c r="J24" s="225">
        <v>0</v>
      </c>
      <c r="K24" s="237" t="str">
        <f>IF(ISEVEN(B24),(B24-1)&amp;"/"&amp;B24,B24&amp;"/"&amp;(B24+1))</f>
        <v>4041/4042</v>
      </c>
      <c r="L24" s="245" t="str">
        <f>VLOOKUP(A24,'Trips&amp;Operators'!$C$1:$G$99911,5,FALSE)</f>
        <v>LONG FULLER</v>
      </c>
      <c r="M24" s="224">
        <f>I24-F24</f>
        <v>2.643518518016208E-2</v>
      </c>
      <c r="N24" s="225">
        <f>24*60*SUM($M24:$M24)</f>
        <v>38.066666659433395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-03T04:48:16-0700',mode:absolute,to:'2018-01-03T07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23.294899999999998</v>
      </c>
      <c r="Z24" s="247">
        <f>RIGHT(H24,LEN(H24)-4)/10000</f>
        <v>2.2100000000000002E-2</v>
      </c>
      <c r="AA24" s="247">
        <f>ABS(Z24-Y24)</f>
        <v>23.2728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/stypes="app*4041*20180103*"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112-03 --locoid 4041 --swversion DE.1.0.9.0 --startMP 204:232949 --initTime 2018-01-03T05:48:16 --startdatetime 2018-01-03T05:57:14 --delay 69 --endMP 204:221 --enddatetime 2018-01-03T06:35:18 --enforcementcount 0 &gt;&gt;%USERPROFILE%\Documents\GitHub\eaglep3-reporting\EC\2018-01-03-refined-times.txt</v>
      </c>
      <c r="AI2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{"issue":{"subject":"","project_id":79,"tracker_id":40,"status_id":1,"priority_id":2,"assigned_to_id":338,"start_date":"2018-01-03","description":"","custom_fields":[{"id":1,"name":"Subdivision","value":"EC"},{"id":4,"name":"Milepost","value":"0.0221"},{"id":17,"name":"Train ID","value":"112-03"},{"id":16,"name":"Locomotive ID","value":"4041"},{"id":130,"name":"Impact","value":""},{"id":150,"name":"Time of Event (Mountain Time)","value":"06:35:18"},{"id":151,"name":"Denver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4041 --day 2018-01-03</v>
      </c>
      <c r="AN2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-03T04:48:16-0700',mode:absolute,to:'2018-01-03T07:35:18-0700'))&amp;_a=(columns:!('Message%20ID',Summary),filters:!(),index:'emp_*',interval:auto,query:(query_string:(analyze_wildcard:!t,query:'%22rtdc.l.rtdc.4041%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689</v>
      </c>
      <c r="B25" s="225">
        <v>4030</v>
      </c>
      <c r="C25" s="227" t="s">
        <v>192</v>
      </c>
      <c r="D25" s="227" t="s">
        <v>900</v>
      </c>
      <c r="E25" s="226">
        <v>43103.207615740743</v>
      </c>
      <c r="F25" s="226">
        <v>43103.218912037039</v>
      </c>
      <c r="G25" s="225">
        <v>58</v>
      </c>
      <c r="H25" s="227" t="s">
        <v>901</v>
      </c>
      <c r="I25" s="226">
        <v>43103.244259259256</v>
      </c>
      <c r="J25" s="225">
        <v>0</v>
      </c>
      <c r="K25" s="237" t="str">
        <f>IF(ISEVEN(B25),(B25-1)&amp;"/"&amp;B25,B25&amp;"/"&amp;(B25+1))</f>
        <v>4029/4030</v>
      </c>
      <c r="L25" s="245" t="str">
        <f>VLOOKUP(A25,'Trips&amp;Operators'!$C$1:$G$99911,5,FALSE)</f>
        <v>YANAI IAN</v>
      </c>
      <c r="M25" s="224">
        <f>I25-F25</f>
        <v>2.5347222217533272E-2</v>
      </c>
      <c r="N25" s="225">
        <f>24*60*SUM($M25:$M25)</f>
        <v>36.499999993247911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-03T03:58:58-0700',mode:absolute,to:'2018-01-03T06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5.5300000000000002E-2</v>
      </c>
      <c r="Z25" s="247">
        <f>RIGHT(H25,LEN(H25)-4)/10000</f>
        <v>23.331399999999999</v>
      </c>
      <c r="AA25" s="247">
        <f>ABS(Z25-Y25)</f>
        <v>23.2761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/stypes="app*4030*20180103*"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113-03 --locoid 4030 --swversion DE.1.0.9.0 --startMP 204:553 --initTime 2018-01-03T04:58:58 --startdatetime 2018-01-03T05:15:14 --delay 58 --endMP 204:233314 --enddatetime 2018-01-03T05:51:44 --enforcementcount 0 &gt;&gt;%USERPROFILE%\Documents\GitHub\eaglep3-reporting\EC\2018-01-03-refined-times.txt</v>
      </c>
      <c r="AI2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{"issue":{"subject":"","project_id":79,"tracker_id":40,"status_id":1,"priority_id":2,"assigned_to_id":338,"start_date":"2018-01-03","description":"","custom_fields":[{"id":1,"name":"Subdivision","value":"EC"},{"id":4,"name":"Milepost","value":"23.3314"},{"id":17,"name":"Train ID","value":"113-03"},{"id":16,"name":"Locomotive ID","value":"4030"},{"id":130,"name":"Impact","value":""},{"id":150,"name":"Time of Event (Mountain Time)","value":"05:51:44"},{"id":151,"name":"Denver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4030 --day 2018-01-03</v>
      </c>
      <c r="AN2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-03T03:58:58-0700',mode:absolute,to:'2018-01-03T06:51:44-0700'))&amp;_a=(columns:!('Message%20ID',Summary),filters:!(),index:'emp_*',interval:auto,query:(query_string:(analyze_wildcard:!t,query:'%22rtdc.l.rtdc.4030%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704</v>
      </c>
      <c r="B26" s="225">
        <v>4029</v>
      </c>
      <c r="C26" s="227" t="s">
        <v>192</v>
      </c>
      <c r="D26" s="227" t="s">
        <v>903</v>
      </c>
      <c r="E26" s="226">
        <v>43103.257002314815</v>
      </c>
      <c r="F26" s="226">
        <v>43103.258506944447</v>
      </c>
      <c r="G26" s="225">
        <v>45</v>
      </c>
      <c r="H26" s="227" t="s">
        <v>902</v>
      </c>
      <c r="I26" s="226">
        <v>43103.284907407404</v>
      </c>
      <c r="J26" s="225">
        <v>0</v>
      </c>
      <c r="K26" s="237" t="str">
        <f>IF(ISEVEN(B26),(B26-1)&amp;"/"&amp;B26,B26&amp;"/"&amp;(B26+1))</f>
        <v>4029/4030</v>
      </c>
      <c r="L26" s="245" t="str">
        <f>VLOOKUP(A26,'Trips&amp;Operators'!$C$1:$G$99911,5,FALSE)</f>
        <v>YANAI IAN</v>
      </c>
      <c r="M26" s="224">
        <f>I26-F26</f>
        <v>2.640046295709908E-2</v>
      </c>
      <c r="N26" s="225">
        <f>24*60*SUM($M26:$M26)</f>
        <v>38.016666658222675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-03T05:10:05-0700',mode:absolute,to:'2018-01-03T07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247" t="str">
        <f>IF(AA26&lt;VLOOKUP(AG26,Variables!$AC$3:$AD$8,2,FALSE),"Y","N")</f>
        <v>N</v>
      </c>
      <c r="X26" s="247">
        <f t="shared" ref="X26:X27" si="10">VALUE(LEFT(AD26,4))-VALUE(LEFT(AD25,4))</f>
        <v>1</v>
      </c>
      <c r="Y26" s="247">
        <f>RIGHT(D26,LEN(D26)-4)/10000</f>
        <v>23.302099999999999</v>
      </c>
      <c r="Z26" s="247">
        <v>1.9199999999999998E-2</v>
      </c>
      <c r="AA26" s="247">
        <f>ABS(Z26-Y26)</f>
        <v>23.282899999999998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/stypes="app*4029*20180103*"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114-03 --locoid 4029 --swversion DE.1.0.9.0 --startMP 204:233021 --initTime 2018-01-03T06:10:05 --startdatetime 2018-01-03T06:12:15 --delay 45 --endMP 204:233017 --enddatetime 2018-01-03T06:50:16 --enforcementcount 0 &gt;&gt;%USERPROFILE%\Documents\GitHub\eaglep3-reporting\EC\2018-01-03-refined-times.txt</v>
      </c>
      <c r="AI2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{"issue":{"subject":"","project_id":79,"tracker_id":40,"status_id":1,"priority_id":2,"assigned_to_id":338,"start_date":"2018-01-03","description":"","custom_fields":[{"id":1,"name":"Subdivision","value":"EC"},{"id":4,"name":"Milepost","value":"0.0192"},{"id":17,"name":"Train ID","value":"114-03"},{"id":16,"name":"Locomotive ID","value":"4029"},{"id":130,"name":"Impact","value":""},{"id":150,"name":"Time of Event (Mountain Time)","value":"06:50:16"},{"id":151,"name":"Denver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4029 --day 2018-01-03</v>
      </c>
      <c r="AN2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-03T05:10:05-0700',mode:absolute,to:'2018-01-03T07:50:16-0700'))&amp;_a=(columns:!('Message%20ID',Summary),filters:!(),index:'emp_*',interval:auto,query:(query_string:(analyze_wildcard:!t,query:'%22rtdc.l.rtdc.4029%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695</v>
      </c>
      <c r="B27" s="225">
        <v>4050</v>
      </c>
      <c r="C27" s="227" t="s">
        <v>192</v>
      </c>
      <c r="D27" s="227" t="s">
        <v>487</v>
      </c>
      <c r="E27" s="226">
        <v>43103.227349537039</v>
      </c>
      <c r="F27" s="226">
        <v>43103.229502314818</v>
      </c>
      <c r="G27" s="225">
        <v>82</v>
      </c>
      <c r="H27" s="227" t="s">
        <v>553</v>
      </c>
      <c r="I27" s="226">
        <v>43103.255370370367</v>
      </c>
      <c r="J27" s="225">
        <v>0</v>
      </c>
      <c r="K27" s="237" t="str">
        <f>IF(ISEVEN(B27),(B27-1)&amp;"/"&amp;B27,B27&amp;"/"&amp;(B27+1))</f>
        <v>4049/4050</v>
      </c>
      <c r="L27" s="245" t="str">
        <f>VLOOKUP(A27,'Trips&amp;Operators'!$C$1:$G$99911,5,FALSE)</f>
        <v>THOMPSON LESTER</v>
      </c>
      <c r="M27" s="224">
        <f>I27-F27</f>
        <v>2.586805554892635E-2</v>
      </c>
      <c r="N27" s="225">
        <f>24*60*SUM($M27:$M27)</f>
        <v>37.249999990453944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-03T04:27:23-0700',mode:absolute,to:'2018-01-03T07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247" t="str">
        <f>IF(AA27&lt;VLOOKUP(AG27,Variables!$AC$3:$AD$8,2,FALSE),"Y","N")</f>
        <v>N</v>
      </c>
      <c r="X27" s="247">
        <f t="shared" si="10"/>
        <v>1</v>
      </c>
      <c r="Y27" s="247">
        <f>RIGHT(D27,LEN(D27)-4)/10000</f>
        <v>4.6399999999999997E-2</v>
      </c>
      <c r="Z27" s="247">
        <f>RIGHT(H27,LEN(H27)-4)/10000</f>
        <v>23.327400000000001</v>
      </c>
      <c r="AA27" s="247">
        <f>ABS(Z27-Y27)</f>
        <v>23.281000000000002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/stypes="app*4050*20180103*"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115-03 --locoid 4050 --swversion DE.1.0.9.0 --startMP 204:464 --initTime 2018-01-03T05:27:23 --startdatetime 2018-01-03T05:30:29 --delay 82 --endMP 204:233274 --enddatetime 2018-01-03T06:07:44 --enforcementcount 0 &gt;&gt;%USERPROFILE%\Documents\GitHub\eaglep3-reporting\EC\2018-01-03-refined-times.txt</v>
      </c>
      <c r="AI2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{"issue":{"subject":"","project_id":79,"tracker_id":40,"status_id":1,"priority_id":2,"assigned_to_id":338,"start_date":"2018-01-03","description":"","custom_fields":[{"id":1,"name":"Subdivision","value":"EC"},{"id":4,"name":"Milepost","value":"23.3274"},{"id":17,"name":"Train ID","value":"115-03"},{"id":16,"name":"Locomotive ID","value":"4050"},{"id":130,"name":"Impact","value":""},{"id":150,"name":"Time of Event (Mountain Time)","value":"06:07:44"},{"id":151,"name":"Denver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4050 --day 2018-01-03</v>
      </c>
      <c r="AN2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-03T04:27:23-0700',mode:absolute,to:'2018-01-03T07:07:44-0700'))&amp;_a=(columns:!('Message%20ID',Summary),filters:!(),index:'emp_*',interval:auto,query:(query_string:(analyze_wildcard:!t,query:'%22rtdc.l.rtdc.4050%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707</v>
      </c>
      <c r="B28" s="225">
        <v>4049</v>
      </c>
      <c r="C28" s="227" t="s">
        <v>192</v>
      </c>
      <c r="D28" s="227" t="s">
        <v>904</v>
      </c>
      <c r="E28" s="226">
        <v>43103.267152777778</v>
      </c>
      <c r="F28" s="226">
        <v>43103.269050925926</v>
      </c>
      <c r="G28" s="225">
        <v>50</v>
      </c>
      <c r="H28" s="227" t="s">
        <v>550</v>
      </c>
      <c r="I28" s="226">
        <v>43103.297106481485</v>
      </c>
      <c r="J28" s="225">
        <v>0</v>
      </c>
      <c r="K28" s="237" t="str">
        <f>IF(ISEVEN(B28),(B28-1)&amp;"/"&amp;B28,B28&amp;"/"&amp;(B28+1))</f>
        <v>4049/4050</v>
      </c>
      <c r="L28" s="245" t="str">
        <f>VLOOKUP(A28,'Trips&amp;Operators'!$C$1:$G$99911,5,FALSE)</f>
        <v>THOMPSON LESTER</v>
      </c>
      <c r="M28" s="224">
        <f>I28-F28</f>
        <v>2.8055555558239575E-2</v>
      </c>
      <c r="N28" s="225">
        <f>24*60*SUM($M28:$M28)</f>
        <v>40.400000003864989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-03T05:24:42-0700',mode:absolute,to:'2018-01-03T08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23.296399999999998</v>
      </c>
      <c r="Z28" s="247">
        <f>RIGHT(H28,LEN(H28)-4)/10000</f>
        <v>1.72E-2</v>
      </c>
      <c r="AA28" s="247">
        <f>ABS(Z28-Y28)</f>
        <v>23.279199999999999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/stypes="app*4049*20180103*"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116-03 --locoid 4049 --swversion DE.1.0.9.0 --startMP 204:232964 --initTime 2018-01-03T06:24:42 --startdatetime 2018-01-03T06:27:26 --delay 50 --endMP 204:172 --enddatetime 2018-01-03T07:07:50 --enforcementcount 0 &gt;&gt;%USERPROFILE%\Documents\GitHub\eaglep3-reporting\EC\2018-01-03-refined-times.txt</v>
      </c>
      <c r="AI2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{"issue":{"subject":"","project_id":79,"tracker_id":40,"status_id":1,"priority_id":2,"assigned_to_id":338,"start_date":"2018-01-03","description":"","custom_fields":[{"id":1,"name":"Subdivision","value":"EC"},{"id":4,"name":"Milepost","value":"0.0172"},{"id":17,"name":"Train ID","value":"116-03"},{"id":16,"name":"Locomotive ID","value":"4049"},{"id":130,"name":"Impact","value":""},{"id":150,"name":"Time of Event (Mountain Time)","value":"07:07:50"},{"id":151,"name":"Denver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4049 --day 2018-01-03</v>
      </c>
      <c r="AN2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-03T05:24:42-0700',mode:absolute,to:'2018-01-03T08:07:50-0700'))&amp;_a=(columns:!('Message%20ID',Summary),filters:!(),index:'emp_*',interval:auto,query:(query_string:(analyze_wildcard:!t,query:'%22rtdc.l.rtdc.4049%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697</v>
      </c>
      <c r="B29" s="225">
        <v>4062</v>
      </c>
      <c r="C29" s="227" t="s">
        <v>192</v>
      </c>
      <c r="D29" s="227" t="s">
        <v>558</v>
      </c>
      <c r="E29" s="226">
        <v>43103.231099537035</v>
      </c>
      <c r="F29" s="226">
        <v>43103.239872685182</v>
      </c>
      <c r="G29" s="225">
        <v>59</v>
      </c>
      <c r="H29" s="227" t="s">
        <v>491</v>
      </c>
      <c r="I29" s="226">
        <v>43103.265023148146</v>
      </c>
      <c r="J29" s="225">
        <v>0</v>
      </c>
      <c r="K29" s="237" t="str">
        <f>IF(ISEVEN(B29),(B29-1)&amp;"/"&amp;B29,B29&amp;"/"&amp;(B29+1))</f>
        <v>4061/4062</v>
      </c>
      <c r="L29" s="245" t="str">
        <f>VLOOKUP(A29,'Trips&amp;Operators'!$C$1:$G$99911,5,FALSE)</f>
        <v>HUFFSMITH MONTY</v>
      </c>
      <c r="M29" s="224">
        <f>I29-F29</f>
        <v>2.5150462963210884E-2</v>
      </c>
      <c r="N29" s="225">
        <f>24*60*SUM($M29:$M29)</f>
        <v>36.216666667023674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-03T04:32:47-0700',mode:absolute,to:'2018-01-03T07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4.6899999999999997E-2</v>
      </c>
      <c r="Z29" s="247">
        <f>RIGHT(H29,LEN(H29)-4)/10000</f>
        <v>23.329499999999999</v>
      </c>
      <c r="AA29" s="247">
        <f>ABS(Z29-Y29)</f>
        <v>23.282599999999999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/stypes="app*4062*20180103*"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117-03 --locoid 4062 --swversion DE.1.0.9.0 --startMP 204:469 --initTime 2018-01-03T05:32:47 --startdatetime 2018-01-03T05:45:25 --delay 59 --endMP 204:233295 --enddatetime 2018-01-03T06:21:38 --enforcementcount 0 &gt;&gt;%USERPROFILE%\Documents\GitHub\eaglep3-reporting\EC\2018-01-03-refined-times.txt</v>
      </c>
      <c r="AI2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{"issue":{"subject":"","project_id":79,"tracker_id":40,"status_id":1,"priority_id":2,"assigned_to_id":338,"start_date":"2018-01-03","description":"","custom_fields":[{"id":1,"name":"Subdivision","value":"EC"},{"id":4,"name":"Milepost","value":"23.3295"},{"id":17,"name":"Train ID","value":"117-03"},{"id":16,"name":"Locomotive ID","value":"4062"},{"id":130,"name":"Impact","value":""},{"id":150,"name":"Time of Event (Mountain Time)","value":"06:21:38"},{"id":151,"name":"Denver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4062 --day 2018-01-03</v>
      </c>
      <c r="AN2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-03T04:32:47-0700',mode:absolute,to:'2018-01-03T07:21:38-0700'))&amp;_a=(columns:!('Message%20ID',Summary),filters:!(),index:'emp_*',interval:auto,query:(query_string:(analyze_wildcard:!t,query:'%22rtdc.l.rtdc.4062%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710</v>
      </c>
      <c r="B30" s="225">
        <v>4061</v>
      </c>
      <c r="C30" s="227" t="s">
        <v>192</v>
      </c>
      <c r="D30" s="227" t="s">
        <v>898</v>
      </c>
      <c r="E30" s="226">
        <v>43103.275659722225</v>
      </c>
      <c r="F30" s="226">
        <v>43103.279444444444</v>
      </c>
      <c r="G30" s="225">
        <v>54</v>
      </c>
      <c r="H30" s="227" t="s">
        <v>905</v>
      </c>
      <c r="I30" s="226">
        <v>43103.307025462964</v>
      </c>
      <c r="J30" s="225">
        <v>0</v>
      </c>
      <c r="K30" s="237" t="str">
        <f>IF(ISEVEN(B30),(B30-1)&amp;"/"&amp;B30,B30&amp;"/"&amp;(B30+1))</f>
        <v>4061/4062</v>
      </c>
      <c r="L30" s="245" t="str">
        <f>VLOOKUP(A30,'Trips&amp;Operators'!$C$1:$G$99911,5,FALSE)</f>
        <v>HUFFSMITH MONTY</v>
      </c>
      <c r="M30" s="224">
        <f>I30-F30</f>
        <v>2.7581018519413192E-2</v>
      </c>
      <c r="N30" s="225">
        <f>24*60*SUM($M30:$M30)</f>
        <v>39.716666667954996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-03T05:36:57-0700',mode:absolute,to:'2018-01-03T08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23.296900000000001</v>
      </c>
      <c r="Z30" s="247">
        <f>RIGHT(H30,LEN(H30)-4)/10000</f>
        <v>1.2999999999999999E-2</v>
      </c>
      <c r="AA30" s="247">
        <f>ABS(Z30-Y30)</f>
        <v>23.283899999999999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/stypes="app*4061*20180103*"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118-03 --locoid 4061 --swversion DE.1.0.9.0 --startMP 204:232969 --initTime 2018-01-03T06:36:57 --startdatetime 2018-01-03T06:42:24 --delay 54 --endMP 204:130 --enddatetime 2018-01-03T07:22:07 --enforcementcount 0 &gt;&gt;%USERPROFILE%\Documents\GitHub\eaglep3-reporting\EC\2018-01-03-refined-times.txt</v>
      </c>
      <c r="AI3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{"issue":{"subject":"","project_id":79,"tracker_id":40,"status_id":1,"priority_id":2,"assigned_to_id":338,"start_date":"2018-01-03","description":"","custom_fields":[{"id":1,"name":"Subdivision","value":"EC"},{"id":4,"name":"Milepost","value":"0.013"},{"id":17,"name":"Train ID","value":"118-03"},{"id":16,"name":"Locomotive ID","value":"4061"},{"id":130,"name":"Impact","value":""},{"id":150,"name":"Time of Event (Mountain Time)","value":"07:22:07"},{"id":151,"name":"Denver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4061 --day 2018-01-03</v>
      </c>
      <c r="AN3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-03T05:36:57-0700',mode:absolute,to:'2018-01-03T08:22:07-0700'))&amp;_a=(columns:!('Message%20ID',Summary),filters:!(),index:'emp_*',interval:auto,query:(query_string:(analyze_wildcard:!t,query:'%22rtdc.l.rtdc.4061%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703</v>
      </c>
      <c r="B31" s="225">
        <v>4002</v>
      </c>
      <c r="C31" s="227" t="s">
        <v>192</v>
      </c>
      <c r="D31" s="227" t="s">
        <v>521</v>
      </c>
      <c r="E31" s="226">
        <v>43103.244085648148</v>
      </c>
      <c r="F31" s="226">
        <v>43103.250324074077</v>
      </c>
      <c r="G31" s="225">
        <v>70</v>
      </c>
      <c r="H31" s="227" t="s">
        <v>520</v>
      </c>
      <c r="I31" s="226">
        <v>43103.275219907409</v>
      </c>
      <c r="J31" s="225">
        <v>0</v>
      </c>
      <c r="K31" s="237" t="str">
        <f>IF(ISEVEN(B31),(B31-1)&amp;"/"&amp;B31,B31&amp;"/"&amp;(B31+1))</f>
        <v>4001/4002</v>
      </c>
      <c r="L31" s="245" t="str">
        <f>VLOOKUP(A31,'Trips&amp;Operators'!$C$1:$G$99911,5,FALSE)</f>
        <v>PAGE MARCUS</v>
      </c>
      <c r="M31" s="224">
        <f>I31-F31</f>
        <v>2.4895833332266193E-2</v>
      </c>
      <c r="N31" s="225">
        <f>24*60*SUM($M31:$M31)</f>
        <v>35.849999998463318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-03T04:51:29-0700',mode:absolute,to:'2018-01-03T07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4.7100000000000003E-2</v>
      </c>
      <c r="Z31" s="247">
        <f>RIGHT(H31,LEN(H31)-4)/10000</f>
        <v>23.331</v>
      </c>
      <c r="AA31" s="247">
        <f>ABS(Z31-Y31)</f>
        <v>23.283899999999999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/stypes="app*4002*20180103*"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119-03 --locoid 4002 --swversion DE.1.0.9.0 --startMP 204:471 --initTime 2018-01-03T05:51:29 --startdatetime 2018-01-03T06:00:28 --delay 70 --endMP 204:233310 --enddatetime 2018-01-03T06:36:19 --enforcementcount 0 &gt;&gt;%USERPROFILE%\Documents\GitHub\eaglep3-reporting\EC\2018-01-03-refined-times.txt</v>
      </c>
      <c r="AI3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{"issue":{"subject":"","project_id":79,"tracker_id":40,"status_id":1,"priority_id":2,"assigned_to_id":338,"start_date":"2018-01-03","description":"","custom_fields":[{"id":1,"name":"Subdivision","value":"EC"},{"id":4,"name":"Milepost","value":"23.331"},{"id":17,"name":"Train ID","value":"119-03"},{"id":16,"name":"Locomotive ID","value":"4002"},{"id":130,"name":"Impact","value":""},{"id":150,"name":"Time of Event (Mountain Time)","value":"06:36:19"},{"id":151,"name":"Denver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4002 --day 2018-01-03</v>
      </c>
      <c r="AN3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-03T04:51:29-0700',mode:absolute,to:'2018-01-03T07:36:19-0700'))&amp;_a=(columns:!('Message%20ID',Summary),filters:!(),index:'emp_*',interval:auto,query:(query_string:(analyze_wildcard:!t,query:'%22rtdc.l.rtdc.4002%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712</v>
      </c>
      <c r="B32" s="225">
        <v>4001</v>
      </c>
      <c r="C32" s="227" t="s">
        <v>192</v>
      </c>
      <c r="D32" s="227" t="s">
        <v>529</v>
      </c>
      <c r="E32" s="226">
        <v>43103.276539351849</v>
      </c>
      <c r="F32" s="226">
        <v>43103.289733796293</v>
      </c>
      <c r="G32" s="225">
        <v>57</v>
      </c>
      <c r="H32" s="227" t="s">
        <v>492</v>
      </c>
      <c r="I32" s="226">
        <v>43103.315740740742</v>
      </c>
      <c r="J32" s="225">
        <v>0</v>
      </c>
      <c r="K32" s="237" t="str">
        <f>IF(ISEVEN(B32),(B32-1)&amp;"/"&amp;B32,B32&amp;"/"&amp;(B32+1))</f>
        <v>4001/4002</v>
      </c>
      <c r="L32" s="245" t="str">
        <f>VLOOKUP(A32,'Trips&amp;Operators'!$C$1:$G$99911,5,FALSE)</f>
        <v>PAGE MARCUS</v>
      </c>
      <c r="M32" s="224">
        <f>I32-F32</f>
        <v>2.6006944448454306E-2</v>
      </c>
      <c r="N32" s="225">
        <f>24*60*SUM($M32:$M32)</f>
        <v>37.4500000057742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-03T05:38:13-0700',mode:absolute,to:'2018-01-03T08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23.299399999999999</v>
      </c>
      <c r="Z32" s="247">
        <f>RIGHT(H32,LEN(H32)-4)/10000</f>
        <v>1.5599999999999999E-2</v>
      </c>
      <c r="AA32" s="247">
        <f>ABS(Z32-Y32)</f>
        <v>23.283799999999999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/stypes="app*4001*20180103*"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120-03 --locoid 4001 --swversion DE.1.0.9.0 --startMP 204:232994 --initTime 2018-01-03T06:38:13 --startdatetime 2018-01-03T06:57:13 --delay 57 --endMP 204:156 --enddatetime 2018-01-03T07:34:40 --enforcementcount 0 &gt;&gt;%USERPROFILE%\Documents\GitHub\eaglep3-reporting\EC\2018-01-03-refined-times.txt</v>
      </c>
      <c r="AI3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{"issue":{"subject":"","project_id":79,"tracker_id":40,"status_id":1,"priority_id":2,"assigned_to_id":338,"start_date":"2018-01-03","description":"","custom_fields":[{"id":1,"name":"Subdivision","value":"EC"},{"id":4,"name":"Milepost","value":"0.0156"},{"id":17,"name":"Train ID","value":"120-03"},{"id":16,"name":"Locomotive ID","value":"4001"},{"id":130,"name":"Impact","value":""},{"id":150,"name":"Time of Event (Mountain Time)","value":"07:34:40"},{"id":151,"name":"Denver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4001 --day 2018-01-03</v>
      </c>
      <c r="AN3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-03T05:38:13-0700',mode:absolute,to:'2018-01-03T08:34:40-0700'))&amp;_a=(columns:!('Message%20ID',Summary),filters:!(),index:'emp_*',interval:auto,query:(query_string:(analyze_wildcard:!t,query:'%22rtdc.l.rtdc.4001%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641</v>
      </c>
      <c r="B33" s="225">
        <v>4004</v>
      </c>
      <c r="C33" s="227" t="s">
        <v>192</v>
      </c>
      <c r="D33" s="227" t="s">
        <v>899</v>
      </c>
      <c r="E33" s="226">
        <v>43103.256041666667</v>
      </c>
      <c r="F33" s="226">
        <v>43103.260625000003</v>
      </c>
      <c r="G33" s="225">
        <v>65</v>
      </c>
      <c r="H33" s="227" t="s">
        <v>906</v>
      </c>
      <c r="I33" s="226">
        <v>43103.286793981482</v>
      </c>
      <c r="J33" s="225">
        <v>0</v>
      </c>
      <c r="K33" s="237" t="str">
        <f>IF(ISEVEN(B33),(B33-1)&amp;"/"&amp;B33,B33&amp;"/"&amp;(B33+1))</f>
        <v>4003/4004</v>
      </c>
      <c r="L33" s="245" t="str">
        <f>VLOOKUP(A33,'Trips&amp;Operators'!$C$1:$G$99911,5,FALSE)</f>
        <v>DAVIDSON DAVID</v>
      </c>
      <c r="M33" s="224">
        <f>I33-F33</f>
        <v>2.6168981479713693E-2</v>
      </c>
      <c r="N33" s="225">
        <f>24*60*SUM($M33:$M33)</f>
        <v>37.683333330787718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-03T05:08:42-0700',mode:absolute,to:'2018-01-03T07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5.33E-2</v>
      </c>
      <c r="Z33" s="247">
        <f>RIGHT(H33,LEN(H33)-4)/10000</f>
        <v>23.328399999999998</v>
      </c>
      <c r="AA33" s="247">
        <f>ABS(Z33-Y33)</f>
        <v>23.275099999999998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/stypes="app*4004*20180103*"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121-03 --locoid 4004 --swversion DE.1.0.9.0 --startMP 204:533 --initTime 2018-01-03T06:08:42 --startdatetime 2018-01-03T06:15:18 --delay 65 --endMP 204:233284 --enddatetime 2018-01-03T06:52:59 --enforcementcount 0 &gt;&gt;%USERPROFILE%\Documents\GitHub\eaglep3-reporting\EC\2018-01-03-refined-times.txt</v>
      </c>
      <c r="AI3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{"issue":{"subject":"","project_id":79,"tracker_id":40,"status_id":1,"priority_id":2,"assigned_to_id":338,"start_date":"2018-01-03","description":"","custom_fields":[{"id":1,"name":"Subdivision","value":"EC"},{"id":4,"name":"Milepost","value":"23.3284"},{"id":17,"name":"Train ID","value":"121-03"},{"id":16,"name":"Locomotive ID","value":"4004"},{"id":130,"name":"Impact","value":""},{"id":150,"name":"Time of Event (Mountain Time)","value":"06:52:59"},{"id":151,"name":"Denver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4004 --day 2018-01-03</v>
      </c>
      <c r="AN3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-03T05:08:42-0700',mode:absolute,to:'2018-01-03T07:52:59-0700'))&amp;_a=(columns:!('Message%20ID',Summary),filters:!(),index:'emp_*',interval:auto,query:(query_string:(analyze_wildcard:!t,query:'%22rtdc.l.rtdc.4004%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714</v>
      </c>
      <c r="B34" s="225">
        <v>4003</v>
      </c>
      <c r="C34" s="227" t="s">
        <v>192</v>
      </c>
      <c r="D34" s="227" t="s">
        <v>907</v>
      </c>
      <c r="E34" s="226">
        <v>43103.288298611114</v>
      </c>
      <c r="F34" s="226">
        <v>43103.300219907411</v>
      </c>
      <c r="G34" s="225">
        <v>56</v>
      </c>
      <c r="H34" s="227" t="s">
        <v>613</v>
      </c>
      <c r="I34" s="226">
        <v>43103.327060185184</v>
      </c>
      <c r="J34" s="225">
        <v>0</v>
      </c>
      <c r="K34" s="237" t="str">
        <f>IF(ISEVEN(B34),(B34-1)&amp;"/"&amp;B34,B34&amp;"/"&amp;(B34+1))</f>
        <v>4003/4004</v>
      </c>
      <c r="L34" s="245" t="str">
        <f>VLOOKUP(A34,'Trips&amp;Operators'!$C$1:$G$99911,5,FALSE)</f>
        <v>DAVIDSON DAVID</v>
      </c>
      <c r="M34" s="224">
        <f>I34-F34</f>
        <v>2.6840277772862464E-2</v>
      </c>
      <c r="N34" s="225">
        <f>24*60*SUM($M34:$M34)</f>
        <v>38.649999992921948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-03T05:55:09-0700',mode:absolute,to:'2018-01-03T08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23.295000000000002</v>
      </c>
      <c r="Z34" s="247">
        <f>RIGHT(H34,LEN(H34)-4)/10000</f>
        <v>2.23E-2</v>
      </c>
      <c r="AA34" s="247">
        <f>ABS(Z34-Y34)</f>
        <v>23.2727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/stypes="app*4003*20180103*"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122-03 --locoid 4003 --swversion DE.1.0.9.0 --startMP 204:232950 --initTime 2018-01-03T06:55:09 --startdatetime 2018-01-03T07:12:19 --delay 56 --endMP 204:223 --enddatetime 2018-01-03T07:50:58 --enforcementcount 0 &gt;&gt;%USERPROFILE%\Documents\GitHub\eaglep3-reporting\EC\2018-01-03-refined-times.txt</v>
      </c>
      <c r="AI3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{"issue":{"subject":"","project_id":79,"tracker_id":40,"status_id":1,"priority_id":2,"assigned_to_id":338,"start_date":"2018-01-03","description":"","custom_fields":[{"id":1,"name":"Subdivision","value":"EC"},{"id":4,"name":"Milepost","value":"0.0223"},{"id":17,"name":"Train ID","value":"122-03"},{"id":16,"name":"Locomotive ID","value":"4003"},{"id":130,"name":"Impact","value":""},{"id":150,"name":"Time of Event (Mountain Time)","value":"07:50:58"},{"id":151,"name":"Denver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4003 --day 2018-01-03</v>
      </c>
      <c r="AN3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-03T05:55:09-0700',mode:absolute,to:'2018-01-03T08:50:58-0700'))&amp;_a=(columns:!('Message%20ID',Summary),filters:!(),index:'emp_*',interval:auto,query:(query_string:(analyze_wildcard:!t,query:'%22rtdc.l.rtdc.4003%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706</v>
      </c>
      <c r="B35" s="225">
        <v>4060</v>
      </c>
      <c r="C35" s="227" t="s">
        <v>192</v>
      </c>
      <c r="D35" s="227" t="s">
        <v>495</v>
      </c>
      <c r="E35" s="226">
        <v>43103.26457175926</v>
      </c>
      <c r="F35" s="226">
        <v>43103.27107638889</v>
      </c>
      <c r="G35" s="225">
        <v>70</v>
      </c>
      <c r="H35" s="227" t="s">
        <v>617</v>
      </c>
      <c r="I35" s="226">
        <v>43103.295474537037</v>
      </c>
      <c r="J35" s="225">
        <v>0</v>
      </c>
      <c r="K35" s="237" t="str">
        <f>IF(ISEVEN(B35),(B35-1)&amp;"/"&amp;B35,B35&amp;"/"&amp;(B35+1))</f>
        <v>4059/4060</v>
      </c>
      <c r="L35" s="245" t="str">
        <f>VLOOKUP(A35,'Trips&amp;Operators'!$C$1:$G$99911,5,FALSE)</f>
        <v>LOPES KIMBERLY</v>
      </c>
      <c r="M35" s="224">
        <f>I35-F35</f>
        <v>2.4398148147156462E-2</v>
      </c>
      <c r="N35" s="225">
        <f>24*60*SUM($M35:$M35)</f>
        <v>35.133333331905305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-03T05:20:59-0700',mode:absolute,to:'2018-01-03T08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5.2200000000000003E-2</v>
      </c>
      <c r="Z35" s="247">
        <f>RIGHT(H35,LEN(H35)-4)/10000</f>
        <v>23.3264</v>
      </c>
      <c r="AA35" s="247">
        <f>ABS(Z35-Y35)</f>
        <v>23.2742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/stypes="app*4060*20180103*"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123-03 --locoid 4060 --swversion DE.1.0.9.0 --startMP 204:522 --initTime 2018-01-03T06:20:59 --startdatetime 2018-01-03T06:30:21 --delay 70 --endMP 204:233264 --enddatetime 2018-01-03T07:05:29 --enforcementcount 0 &gt;&gt;%USERPROFILE%\Documents\GitHub\eaglep3-reporting\EC\2018-01-03-refined-times.txt</v>
      </c>
      <c r="AI3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{"issue":{"subject":"","project_id":79,"tracker_id":40,"status_id":1,"priority_id":2,"assigned_to_id":338,"start_date":"2018-01-03","description":"","custom_fields":[{"id":1,"name":"Subdivision","value":"EC"},{"id":4,"name":"Milepost","value":"23.3264"},{"id":17,"name":"Train ID","value":"123-03"},{"id":16,"name":"Locomotive ID","value":"4060"},{"id":130,"name":"Impact","value":""},{"id":150,"name":"Time of Event (Mountain Time)","value":"07:05:29"},{"id":151,"name":"Denver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4060 --day 2018-01-03</v>
      </c>
      <c r="AN3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-03T05:20:59-0700',mode:absolute,to:'2018-01-03T08:05:29-0700'))&amp;_a=(columns:!('Message%20ID',Summary),filters:!(),index:'emp_*',interval:auto,query:(query_string:(analyze_wildcard:!t,query:'%22rtdc.l.rtdc.4060%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718</v>
      </c>
      <c r="B36" s="225">
        <v>4059</v>
      </c>
      <c r="C36" s="227" t="s">
        <v>192</v>
      </c>
      <c r="D36" s="227" t="s">
        <v>554</v>
      </c>
      <c r="E36" s="226">
        <v>43103.3049537037</v>
      </c>
      <c r="F36" s="226">
        <v>43103.310601851852</v>
      </c>
      <c r="G36" s="225">
        <v>54</v>
      </c>
      <c r="H36" s="227" t="s">
        <v>497</v>
      </c>
      <c r="I36" s="226">
        <v>43103.335833333331</v>
      </c>
      <c r="J36" s="225">
        <v>0</v>
      </c>
      <c r="K36" s="237" t="str">
        <f>IF(ISEVEN(B36),(B36-1)&amp;"/"&amp;B36,B36&amp;"/"&amp;(B36+1))</f>
        <v>4059/4060</v>
      </c>
      <c r="L36" s="245" t="str">
        <f>VLOOKUP(A36,'Trips&amp;Operators'!$C$1:$G$99911,5,FALSE)</f>
        <v>LOPES KIMBERLY</v>
      </c>
      <c r="M36" s="224">
        <f>I36-F36</f>
        <v>2.5231481478840578E-2</v>
      </c>
      <c r="N36" s="225">
        <f>24*60*SUM($M36:$M36)</f>
        <v>36.333333329530433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-03T06:19:08-0700',mode:absolute,to:'2018-01-03T09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23.295300000000001</v>
      </c>
      <c r="Z36" s="247">
        <f>RIGHT(H36,LEN(H36)-4)/10000</f>
        <v>0.02</v>
      </c>
      <c r="AA36" s="247">
        <f>ABS(Z36-Y36)</f>
        <v>23.275300000000001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/stypes="app*4059*20180103*"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124-03 --locoid 4059 --swversion DE.1.0.9.0 --startMP 204:232953 --initTime 2018-01-03T07:19:08 --startdatetime 2018-01-03T07:27:16 --delay 54 --endMP 204:200 --enddatetime 2018-01-03T08:03:36 --enforcementcount 0 &gt;&gt;%USERPROFILE%\Documents\GitHub\eaglep3-reporting\EC\2018-01-03-refined-times.txt</v>
      </c>
      <c r="AI3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{"issue":{"subject":"","project_id":79,"tracker_id":40,"status_id":1,"priority_id":2,"assigned_to_id":338,"start_date":"2018-01-03","description":"","custom_fields":[{"id":1,"name":"Subdivision","value":"EC"},{"id":4,"name":"Milepost","value":"0.02"},{"id":17,"name":"Train ID","value":"124-03"},{"id":16,"name":"Locomotive ID","value":"4059"},{"id":130,"name":"Impact","value":""},{"id":150,"name":"Time of Event (Mountain Time)","value":"08:03:36"},{"id":151,"name":"Denver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4059 --day 2018-01-03</v>
      </c>
      <c r="AN3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-03T06:19:08-0700',mode:absolute,to:'2018-01-03T09:03:36-0700'))&amp;_a=(columns:!('Message%20ID',Summary),filters:!(),index:'emp_*',interval:auto,query:(query_string:(analyze_wildcard:!t,query:'%22rtdc.l.rtdc.4059%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711</v>
      </c>
      <c r="B37" s="225">
        <v>4042</v>
      </c>
      <c r="C37" s="227" t="s">
        <v>192</v>
      </c>
      <c r="D37" s="227" t="s">
        <v>616</v>
      </c>
      <c r="E37" s="226">
        <v>43103.276423611111</v>
      </c>
      <c r="F37" s="226">
        <v>43103.281527777777</v>
      </c>
      <c r="G37" s="225">
        <v>58</v>
      </c>
      <c r="H37" s="227" t="s">
        <v>901</v>
      </c>
      <c r="I37" s="226">
        <v>43103.307187500002</v>
      </c>
      <c r="J37" s="225">
        <v>0</v>
      </c>
      <c r="K37" s="237" t="str">
        <f>IF(ISEVEN(B37),(B37-1)&amp;"/"&amp;B37,B37&amp;"/"&amp;(B37+1))</f>
        <v>4041/4042</v>
      </c>
      <c r="L37" s="245" t="str">
        <f>VLOOKUP(A37,'Trips&amp;Operators'!$C$1:$G$99911,5,FALSE)</f>
        <v>LONG FULLER</v>
      </c>
      <c r="M37" s="224">
        <f>I37-F37</f>
        <v>2.5659722225100268E-2</v>
      </c>
      <c r="N37" s="225">
        <f>24*60*SUM($M37:$M37)</f>
        <v>36.950000004144385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-03T05:38:03-0700',mode:absolute,to:'2018-01-03T08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5.3999999999999999E-2</v>
      </c>
      <c r="Z37" s="247">
        <f>RIGHT(H37,LEN(H37)-4)/10000</f>
        <v>23.331399999999999</v>
      </c>
      <c r="AA37" s="247">
        <f>ABS(Z37-Y37)</f>
        <v>23.2774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/stypes="app*4042*20180103*"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125-03 --locoid 4042 --swversion DE.1.0.9.0 --startMP 204:540 --initTime 2018-01-03T06:38:03 --startdatetime 2018-01-03T06:45:24 --delay 58 --endMP 204:233314 --enddatetime 2018-01-03T07:22:21 --enforcementcount 0 &gt;&gt;%USERPROFILE%\Documents\GitHub\eaglep3-reporting\EC\2018-01-03-refined-times.txt</v>
      </c>
      <c r="AI3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{"issue":{"subject":"","project_id":79,"tracker_id":40,"status_id":1,"priority_id":2,"assigned_to_id":338,"start_date":"2018-01-03","description":"","custom_fields":[{"id":1,"name":"Subdivision","value":"EC"},{"id":4,"name":"Milepost","value":"23.3314"},{"id":17,"name":"Train ID","value":"125-03"},{"id":16,"name":"Locomotive ID","value":"4042"},{"id":130,"name":"Impact","value":""},{"id":150,"name":"Time of Event (Mountain Time)","value":"07:22:21"},{"id":151,"name":"Denver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4042 --day 2018-01-03</v>
      </c>
      <c r="AN3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-03T05:38:03-0700',mode:absolute,to:'2018-01-03T08:22:21-0700'))&amp;_a=(columns:!('Message%20ID',Summary),filters:!(),index:'emp_*',interval:auto,query:(query_string:(analyze_wildcard:!t,query:'%22rtdc.l.rtdc.4042%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721</v>
      </c>
      <c r="B38" s="225">
        <v>4041</v>
      </c>
      <c r="C38" s="227" t="s">
        <v>192</v>
      </c>
      <c r="D38" s="227" t="s">
        <v>908</v>
      </c>
      <c r="E38" s="226">
        <v>43103.313078703701</v>
      </c>
      <c r="F38" s="226">
        <v>43103.321030092593</v>
      </c>
      <c r="G38" s="225">
        <v>99</v>
      </c>
      <c r="H38" s="227" t="s">
        <v>556</v>
      </c>
      <c r="I38" s="226">
        <v>43103.348217592589</v>
      </c>
      <c r="J38" s="225">
        <v>0</v>
      </c>
      <c r="K38" s="237" t="str">
        <f>IF(ISEVEN(B38),(B38-1)&amp;"/"&amp;B38,B38&amp;"/"&amp;(B38+1))</f>
        <v>4041/4042</v>
      </c>
      <c r="L38" s="245" t="str">
        <f>VLOOKUP(A38,'Trips&amp;Operators'!$C$1:$G$99911,5,FALSE)</f>
        <v>LONG FULLER</v>
      </c>
      <c r="M38" s="224">
        <f>I38-F38</f>
        <v>2.7187499996216502E-2</v>
      </c>
      <c r="N38" s="225">
        <f>24*60*SUM($M38:$M38)</f>
        <v>39.149999994551763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-03T06:30:50-0700',mode:absolute,to:'2018-01-03T09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23.299199999999999</v>
      </c>
      <c r="Z38" s="247">
        <f>RIGHT(H38,LEN(H38)-4)/10000</f>
        <v>2.1100000000000001E-2</v>
      </c>
      <c r="AA38" s="247">
        <f>ABS(Z38-Y38)</f>
        <v>23.278099999999998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/stypes="app*4041*20180103*"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126-03 --locoid 4041 --swversion DE.1.0.9.0 --startMP 204:232992 --initTime 2018-01-03T07:30:50 --startdatetime 2018-01-03T07:42:17 --delay 99 --endMP 204:211 --enddatetime 2018-01-03T08:21:26 --enforcementcount 0 &gt;&gt;%USERPROFILE%\Documents\GitHub\eaglep3-reporting\EC\2018-01-03-refined-times.txt</v>
      </c>
      <c r="AI3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{"issue":{"subject":"","project_id":79,"tracker_id":40,"status_id":1,"priority_id":2,"assigned_to_id":338,"start_date":"2018-01-03","description":"","custom_fields":[{"id":1,"name":"Subdivision","value":"EC"},{"id":4,"name":"Milepost","value":"0.0211"},{"id":17,"name":"Train ID","value":"126-03"},{"id":16,"name":"Locomotive ID","value":"4041"},{"id":130,"name":"Impact","value":""},{"id":150,"name":"Time of Event (Mountain Time)","value":"08:21:26"},{"id":151,"name":"Denver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4041 --day 2018-01-03</v>
      </c>
      <c r="AN3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-03T06:30:50-0700',mode:absolute,to:'2018-01-03T09:21:26-0700'))&amp;_a=(columns:!('Message%20ID',Summary),filters:!(),index:'emp_*',interval:auto,query:(query_string:(analyze_wildcard:!t,query:'%22rtdc.l.rtdc.4041%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713</v>
      </c>
      <c r="B39" s="225">
        <v>4030</v>
      </c>
      <c r="C39" s="227" t="s">
        <v>192</v>
      </c>
      <c r="D39" s="227" t="s">
        <v>909</v>
      </c>
      <c r="E39" s="226">
        <v>43103.287106481483</v>
      </c>
      <c r="F39" s="226">
        <v>43103.291828703703</v>
      </c>
      <c r="G39" s="225">
        <v>60</v>
      </c>
      <c r="H39" s="227" t="s">
        <v>910</v>
      </c>
      <c r="I39" s="226">
        <v>43103.317060185182</v>
      </c>
      <c r="J39" s="225">
        <v>0</v>
      </c>
      <c r="K39" s="237" t="str">
        <f>IF(ISEVEN(B39),(B39-1)&amp;"/"&amp;B39,B39&amp;"/"&amp;(B39+1))</f>
        <v>4029/4030</v>
      </c>
      <c r="L39" s="245" t="str">
        <f>VLOOKUP(A39,'Trips&amp;Operators'!$C$1:$G$99911,5,FALSE)</f>
        <v>YANAI IAN</v>
      </c>
      <c r="M39" s="224">
        <f>I39-F39</f>
        <v>2.5231481478840578E-2</v>
      </c>
      <c r="N39" s="225">
        <f>24*60*SUM($M39:$M39)</f>
        <v>36.333333329530433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-03T05:53:26-0700',mode:absolute,to:'2018-01-03T08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4.8599999999999997E-2</v>
      </c>
      <c r="Z39" s="247">
        <f>RIGHT(H39,LEN(H39)-4)/10000</f>
        <v>23.335899999999999</v>
      </c>
      <c r="AA39" s="247">
        <f>ABS(Z39-Y39)</f>
        <v>23.287299999999998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/stypes="app*4030*20180103*"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127-03 --locoid 4030 --swversion DE.1.0.9.0 --startMP 204:486 --initTime 2018-01-03T06:53:26 --startdatetime 2018-01-03T07:00:14 --delay 60 --endMP 204:233359 --enddatetime 2018-01-03T07:36:34 --enforcementcount 0 &gt;&gt;%USERPROFILE%\Documents\GitHub\eaglep3-reporting\EC\2018-01-03-refined-times.txt</v>
      </c>
      <c r="AI3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{"issue":{"subject":"","project_id":79,"tracker_id":40,"status_id":1,"priority_id":2,"assigned_to_id":338,"start_date":"2018-01-03","description":"","custom_fields":[{"id":1,"name":"Subdivision","value":"EC"},{"id":4,"name":"Milepost","value":"23.3359"},{"id":17,"name":"Train ID","value":"127-03"},{"id":16,"name":"Locomotive ID","value":"4030"},{"id":130,"name":"Impact","value":""},{"id":150,"name":"Time of Event (Mountain Time)","value":"07:36:34"},{"id":151,"name":"Denver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4030 --day 2018-01-03</v>
      </c>
      <c r="AN3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-03T05:53:26-0700',mode:absolute,to:'2018-01-03T08:36:34-0700'))&amp;_a=(columns:!('Message%20ID',Summary),filters:!(),index:'emp_*',interval:auto,query:(query_string:(analyze_wildcard:!t,query:'%22rtdc.l.rtdc.4030%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722</v>
      </c>
      <c r="B40" s="225">
        <v>4029</v>
      </c>
      <c r="C40" s="227" t="s">
        <v>192</v>
      </c>
      <c r="D40" s="227" t="s">
        <v>911</v>
      </c>
      <c r="E40" s="226">
        <v>43103.318182870367</v>
      </c>
      <c r="F40" s="226">
        <v>43103.331412037034</v>
      </c>
      <c r="G40" s="225">
        <v>46</v>
      </c>
      <c r="H40" s="227" t="s">
        <v>597</v>
      </c>
      <c r="I40" s="226">
        <v>43103.357187499998</v>
      </c>
      <c r="J40" s="225">
        <v>0</v>
      </c>
      <c r="K40" s="237" t="str">
        <f>IF(ISEVEN(B40),(B40-1)&amp;"/"&amp;B40,B40&amp;"/"&amp;(B40+1))</f>
        <v>4029/4030</v>
      </c>
      <c r="L40" s="245" t="str">
        <f>VLOOKUP(A40,'Trips&amp;Operators'!$C$1:$G$99911,5,FALSE)</f>
        <v>YANAI IAN</v>
      </c>
      <c r="M40" s="224">
        <f>I40-F40</f>
        <v>2.5775462963792961E-2</v>
      </c>
      <c r="N40" s="225">
        <f>24*60*SUM($M40:$M40)</f>
        <v>37.116666667861864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-03T06:38:11-0700',mode:absolute,to:'2018-01-03T09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23.304500000000001</v>
      </c>
      <c r="Z40" s="247">
        <f>RIGHT(H40,LEN(H40)-4)/10000</f>
        <v>2.3800000000000002E-2</v>
      </c>
      <c r="AA40" s="247">
        <f>ABS(Z40-Y40)</f>
        <v>23.2807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/stypes="app*4029*20180103*"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128-03 --locoid 4029 --swversion DE.1.0.9.0 --startMP 204:233045 --initTime 2018-01-03T07:38:11 --startdatetime 2018-01-03T07:57:14 --delay 46 --endMP 204:238 --enddatetime 2018-01-03T08:34:21 --enforcementcount 0 &gt;&gt;%USERPROFILE%\Documents\GitHub\eaglep3-reporting\EC\2018-01-03-refined-times.txt</v>
      </c>
      <c r="AI4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{"issue":{"subject":"","project_id":79,"tracker_id":40,"status_id":1,"priority_id":2,"assigned_to_id":338,"start_date":"2018-01-03","description":"","custom_fields":[{"id":1,"name":"Subdivision","value":"EC"},{"id":4,"name":"Milepost","value":"0.0238"},{"id":17,"name":"Train ID","value":"128-03"},{"id":16,"name":"Locomotive ID","value":"4029"},{"id":130,"name":"Impact","value":""},{"id":150,"name":"Time of Event (Mountain Time)","value":"08:34:21"},{"id":151,"name":"Denver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4029 --day 2018-01-03</v>
      </c>
      <c r="AN4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-03T06:38:11-0700',mode:absolute,to:'2018-01-03T09:34:21-0700'))&amp;_a=(columns:!('Message%20ID',Summary),filters:!(),index:'emp_*',interval:auto,query:(query_string:(analyze_wildcard:!t,query:'%22rtdc.l.rtdc.4029%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717</v>
      </c>
      <c r="B41" s="225">
        <v>4050</v>
      </c>
      <c r="C41" s="227" t="s">
        <v>192</v>
      </c>
      <c r="D41" s="227" t="s">
        <v>912</v>
      </c>
      <c r="E41" s="226">
        <v>43103.300567129627</v>
      </c>
      <c r="F41" s="226">
        <v>43103.30232638889</v>
      </c>
      <c r="G41" s="225">
        <v>65</v>
      </c>
      <c r="H41" s="227" t="s">
        <v>913</v>
      </c>
      <c r="I41" s="226">
        <v>43103.327511574076</v>
      </c>
      <c r="J41" s="225">
        <v>0</v>
      </c>
      <c r="K41" s="237" t="str">
        <f>IF(ISEVEN(B41),(B41-1)&amp;"/"&amp;B41,B41&amp;"/"&amp;(B41+1))</f>
        <v>4049/4050</v>
      </c>
      <c r="L41" s="245" t="str">
        <f>VLOOKUP(A41,'Trips&amp;Operators'!$C$1:$G$99911,5,FALSE)</f>
        <v>THOMPSON LESTER</v>
      </c>
      <c r="M41" s="224">
        <f>I41-F41</f>
        <v>2.5185185186273884E-2</v>
      </c>
      <c r="N41" s="225">
        <f>24*60*SUM($M41:$M41)</f>
        <v>36.266666668234393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-03T06:12:49-0700',mode:absolute,to:'2018-01-03T08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4.5699999999999998E-2</v>
      </c>
      <c r="Z41" s="247">
        <f>RIGHT(H41,LEN(H41)-4)/10000</f>
        <v>23.332799999999999</v>
      </c>
      <c r="AA41" s="247">
        <f>ABS(Z41-Y41)</f>
        <v>23.287099999999999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/stypes="app*4050*20180103*"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129-03 --locoid 4050 --swversion DE.1.0.9.0 --startMP 204:457 --initTime 2018-01-03T07:12:49 --startdatetime 2018-01-03T07:15:21 --delay 65 --endMP 204:233328 --enddatetime 2018-01-03T07:51:37 --enforcementcount 0 &gt;&gt;%USERPROFILE%\Documents\GitHub\eaglep3-reporting\EC\2018-01-03-refined-times.txt</v>
      </c>
      <c r="AI4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{"issue":{"subject":"","project_id":79,"tracker_id":40,"status_id":1,"priority_id":2,"assigned_to_id":338,"start_date":"2018-01-03","description":"","custom_fields":[{"id":1,"name":"Subdivision","value":"EC"},{"id":4,"name":"Milepost","value":"23.3328"},{"id":17,"name":"Train ID","value":"129-03"},{"id":16,"name":"Locomotive ID","value":"4050"},{"id":130,"name":"Impact","value":""},{"id":150,"name":"Time of Event (Mountain Time)","value":"07:51:37"},{"id":151,"name":"Denver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4050 --day 2018-01-03</v>
      </c>
      <c r="AN4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-03T06:12:49-0700',mode:absolute,to:'2018-01-03T08:51:37-0700'))&amp;_a=(columns:!('Message%20ID',Summary),filters:!(),index:'emp_*',interval:auto,query:(query_string:(analyze_wildcard:!t,query:'%22rtdc.l.rtdc.4050%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729</v>
      </c>
      <c r="B42" s="225">
        <v>4049</v>
      </c>
      <c r="C42" s="227" t="s">
        <v>192</v>
      </c>
      <c r="D42" s="227" t="s">
        <v>914</v>
      </c>
      <c r="E42" s="226">
        <v>43103.33997685185</v>
      </c>
      <c r="F42" s="226">
        <v>43103.34202546296</v>
      </c>
      <c r="G42" s="225">
        <v>57</v>
      </c>
      <c r="H42" s="227" t="s">
        <v>534</v>
      </c>
      <c r="I42" s="226">
        <v>43103.368784722225</v>
      </c>
      <c r="J42" s="225">
        <v>0</v>
      </c>
      <c r="K42" s="237" t="str">
        <f>IF(ISEVEN(B42),(B42-1)&amp;"/"&amp;B42,B42&amp;"/"&amp;(B42+1))</f>
        <v>4049/4050</v>
      </c>
      <c r="L42" s="245" t="str">
        <f>VLOOKUP(A42,'Trips&amp;Operators'!$C$1:$G$99911,5,FALSE)</f>
        <v>THOMPSON LESTER</v>
      </c>
      <c r="M42" s="224">
        <f>I42-F42</f>
        <v>2.6759259264508728E-2</v>
      </c>
      <c r="N42" s="225">
        <f>24*60*SUM($M42:$M42)</f>
        <v>38.533333340892568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-03T07:09:34-0700',mode:absolute,to:'2018-01-03T09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23.300699999999999</v>
      </c>
      <c r="Z42" s="247">
        <f>RIGHT(H42,LEN(H42)-4)/10000</f>
        <v>1.4999999999999999E-2</v>
      </c>
      <c r="AA42" s="247">
        <f>ABS(Z42-Y42)</f>
        <v>23.285699999999999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/stypes="app*4049*20180103*"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130-03 --locoid 4049 --swversion DE.1.0.9.0 --startMP 204:233007 --initTime 2018-01-03T08:09:34 --startdatetime 2018-01-03T08:12:31 --delay 57 --endMP 204:150 --enddatetime 2018-01-03T08:51:03 --enforcementcount 0 &gt;&gt;%USERPROFILE%\Documents\GitHub\eaglep3-reporting\EC\2018-01-03-refined-times.txt</v>
      </c>
      <c r="AI4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{"issue":{"subject":"","project_id":79,"tracker_id":40,"status_id":1,"priority_id":2,"assigned_to_id":338,"start_date":"2018-01-03","description":"","custom_fields":[{"id":1,"name":"Subdivision","value":"EC"},{"id":4,"name":"Milepost","value":"0.015"},{"id":17,"name":"Train ID","value":"130-03"},{"id":16,"name":"Locomotive ID","value":"4049"},{"id":130,"name":"Impact","value":""},{"id":150,"name":"Time of Event (Mountain Time)","value":"08:51:03"},{"id":151,"name":"Denver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4049 --day 2018-01-03</v>
      </c>
      <c r="AN4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-03T07:09:34-0700',mode:absolute,to:'2018-01-03T09:51:03-0700'))&amp;_a=(columns:!('Message%20ID',Summary),filters:!(),index:'emp_*',interval:auto,query:(query_string:(analyze_wildcard:!t,query:'%22rtdc.l.rtdc.4049%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719</v>
      </c>
      <c r="B43" s="225">
        <v>4062</v>
      </c>
      <c r="C43" s="227" t="s">
        <v>192</v>
      </c>
      <c r="D43" s="227" t="s">
        <v>893</v>
      </c>
      <c r="E43" s="226">
        <v>43103.309131944443</v>
      </c>
      <c r="F43" s="226">
        <v>43103.312708333331</v>
      </c>
      <c r="G43" s="225">
        <v>60</v>
      </c>
      <c r="H43" s="227" t="s">
        <v>915</v>
      </c>
      <c r="I43" s="226">
        <v>43103.338171296295</v>
      </c>
      <c r="J43" s="225">
        <v>0</v>
      </c>
      <c r="K43" s="237" t="str">
        <f>IF(ISEVEN(B43),(B43-1)&amp;"/"&amp;B43,B43&amp;"/"&amp;(B43+1))</f>
        <v>4061/4062</v>
      </c>
      <c r="L43" s="245" t="str">
        <f>VLOOKUP(A43,'Trips&amp;Operators'!$C$1:$G$99911,5,FALSE)</f>
        <v>HUFFSMITH MONTY</v>
      </c>
      <c r="M43" s="224">
        <f>I43-F43</f>
        <v>2.5462962963501923E-2</v>
      </c>
      <c r="N43" s="225">
        <f>24*60*SUM($M43:$M43)</f>
        <v>36.666666667442769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-03T06:25:09-0700',mode:absolute,to:'2018-01-03T09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4.7300000000000002E-2</v>
      </c>
      <c r="Z43" s="247">
        <f>RIGHT(H43,LEN(H43)-4)/10000</f>
        <v>23.331499999999998</v>
      </c>
      <c r="AA43" s="247">
        <f>ABS(Z43-Y43)</f>
        <v>23.284199999999998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/stypes="app*4062*20180103*"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131-03 --locoid 4062 --swversion DE.1.0.9.0 --startMP 204:473 --initTime 2018-01-03T07:25:09 --startdatetime 2018-01-03T07:30:18 --delay 60 --endMP 204:233315 --enddatetime 2018-01-03T08:06:58 --enforcementcount 0 &gt;&gt;%USERPROFILE%\Documents\GitHub\eaglep3-reporting\EC\2018-01-03-refined-times.txt</v>
      </c>
      <c r="AI4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{"issue":{"subject":"","project_id":79,"tracker_id":40,"status_id":1,"priority_id":2,"assigned_to_id":338,"start_date":"2018-01-03","description":"","custom_fields":[{"id":1,"name":"Subdivision","value":"EC"},{"id":4,"name":"Milepost","value":"23.3315"},{"id":17,"name":"Train ID","value":"131-03"},{"id":16,"name":"Locomotive ID","value":"4062"},{"id":130,"name":"Impact","value":""},{"id":150,"name":"Time of Event (Mountain Time)","value":"08:06:58"},{"id":151,"name":"Denver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4062 --day 2018-01-03</v>
      </c>
      <c r="AN4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-03T06:25:09-0700',mode:absolute,to:'2018-01-03T09:06:58-0700'))&amp;_a=(columns:!('Message%20ID',Summary),filters:!(),index:'emp_*',interval:auto,query:(query_string:(analyze_wildcard:!t,query:'%22rtdc.l.rtdc.4062%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728</v>
      </c>
      <c r="B44" s="225">
        <v>4061</v>
      </c>
      <c r="C44" s="227" t="s">
        <v>192</v>
      </c>
      <c r="D44" s="227" t="s">
        <v>547</v>
      </c>
      <c r="E44" s="226">
        <v>43103.339814814812</v>
      </c>
      <c r="F44" s="226">
        <v>43103.35229166667</v>
      </c>
      <c r="G44" s="225">
        <v>63</v>
      </c>
      <c r="H44" s="227" t="s">
        <v>568</v>
      </c>
      <c r="I44" s="226">
        <v>43103.37877314815</v>
      </c>
      <c r="J44" s="225">
        <v>0</v>
      </c>
      <c r="K44" s="237" t="str">
        <f>IF(ISEVEN(B44),(B44-1)&amp;"/"&amp;B44,B44&amp;"/"&amp;(B44+1))</f>
        <v>4061/4062</v>
      </c>
      <c r="L44" s="245" t="str">
        <f>VLOOKUP(A44,'Trips&amp;Operators'!$C$1:$G$99911,5,FALSE)</f>
        <v>HUFFSMITH MONTY</v>
      </c>
      <c r="M44" s="224">
        <f>I44-F44</f>
        <v>2.6481481480004732E-2</v>
      </c>
      <c r="N44" s="225">
        <f>24*60*SUM($M44:$M44)</f>
        <v>38.133333331206813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-03T07:09:20-0700',mode:absolute,to:'2018-01-03T10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23.3019</v>
      </c>
      <c r="Z44" s="247">
        <f>RIGHT(H44,LEN(H44)-4)/10000</f>
        <v>1.4500000000000001E-2</v>
      </c>
      <c r="AA44" s="247">
        <f>ABS(Z44-Y44)</f>
        <v>23.287399999999998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/stypes="app*4061*20180103*"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132-03 --locoid 4061 --swversion DE.1.0.9.0 --startMP 204:233019 --initTime 2018-01-03T08:09:20 --startdatetime 2018-01-03T08:27:18 --delay 63 --endMP 204:145 --enddatetime 2018-01-03T09:05:26 --enforcementcount 0 &gt;&gt;%USERPROFILE%\Documents\GitHub\eaglep3-reporting\EC\2018-01-03-refined-times.txt</v>
      </c>
      <c r="AI4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{"issue":{"subject":"","project_id":79,"tracker_id":40,"status_id":1,"priority_id":2,"assigned_to_id":338,"start_date":"2018-01-03","description":"","custom_fields":[{"id":1,"name":"Subdivision","value":"EC"},{"id":4,"name":"Milepost","value":"0.0145"},{"id":17,"name":"Train ID","value":"132-03"},{"id":16,"name":"Locomotive ID","value":"4061"},{"id":130,"name":"Impact","value":""},{"id":150,"name":"Time of Event (Mountain Time)","value":"09:05:26"},{"id":151,"name":"Denver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4061 --day 2018-01-03</v>
      </c>
      <c r="AN4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-03T07:09:20-0700',mode:absolute,to:'2018-01-03T10:05:26-0700'))&amp;_a=(columns:!('Message%20ID',Summary),filters:!(),index:'emp_*',interval:auto,query:(query_string:(analyze_wildcard:!t,query:'%22rtdc.l.rtdc.4061%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723</v>
      </c>
      <c r="B45" s="225">
        <v>4002</v>
      </c>
      <c r="C45" s="227" t="s">
        <v>192</v>
      </c>
      <c r="D45" s="227" t="s">
        <v>608</v>
      </c>
      <c r="E45" s="226">
        <v>43103.31826388889</v>
      </c>
      <c r="F45" s="226">
        <v>43103.323194444441</v>
      </c>
      <c r="G45" s="225">
        <v>55</v>
      </c>
      <c r="H45" s="227" t="s">
        <v>533</v>
      </c>
      <c r="I45" s="226">
        <v>43103.347071759257</v>
      </c>
      <c r="J45" s="225">
        <v>0</v>
      </c>
      <c r="K45" s="237" t="str">
        <f>IF(ISEVEN(B45),(B45-1)&amp;"/"&amp;B45,B45&amp;"/"&amp;(B45+1))</f>
        <v>4001/4002</v>
      </c>
      <c r="L45" s="245" t="str">
        <f>VLOOKUP(A45,'Trips&amp;Operators'!$C$1:$G$99911,5,FALSE)</f>
        <v>PAGE MARCUS</v>
      </c>
      <c r="M45" s="224">
        <f>I45-F45</f>
        <v>2.3877314815763384E-2</v>
      </c>
      <c r="N45" s="225">
        <f>24*60*SUM($M45:$M45)</f>
        <v>34.383333334699273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-03T06:38:18-0700',mode:absolute,to:'2018-01-03T09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4.9500000000000002E-2</v>
      </c>
      <c r="Z45" s="247">
        <f>RIGHT(H45,LEN(H45)-4)/10000</f>
        <v>23.330300000000001</v>
      </c>
      <c r="AA45" s="247">
        <f>ABS(Z45-Y45)</f>
        <v>23.280800000000003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/stypes="app*4002*20180103*"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133-03 --locoid 4002 --swversion DE.1.0.9.0 --startMP 204:495 --initTime 2018-01-03T07:38:18 --startdatetime 2018-01-03T07:45:24 --delay 55 --endMP 204:233303 --enddatetime 2018-01-03T08:19:47 --enforcementcount 0 &gt;&gt;%USERPROFILE%\Documents\GitHub\eaglep3-reporting\EC\2018-01-03-refined-times.txt</v>
      </c>
      <c r="AI4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{"issue":{"subject":"","project_id":79,"tracker_id":40,"status_id":1,"priority_id":2,"assigned_to_id":338,"start_date":"2018-01-03","description":"","custom_fields":[{"id":1,"name":"Subdivision","value":"EC"},{"id":4,"name":"Milepost","value":"23.3303"},{"id":17,"name":"Train ID","value":"133-03"},{"id":16,"name":"Locomotive ID","value":"4002"},{"id":130,"name":"Impact","value":""},{"id":150,"name":"Time of Event (Mountain Time)","value":"08:19:47"},{"id":151,"name":"Denver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4002 --day 2018-01-03</v>
      </c>
      <c r="AN4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-03T06:38:18-0700',mode:absolute,to:'2018-01-03T09:19:47-0700'))&amp;_a=(columns:!('Message%20ID',Summary),filters:!(),index:'emp_*',interval:auto,query:(query_string:(analyze_wildcard:!t,query:'%22rtdc.l.rtdc.4002%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730</v>
      </c>
      <c r="B46" s="225">
        <v>4001</v>
      </c>
      <c r="C46" s="227" t="s">
        <v>192</v>
      </c>
      <c r="D46" s="227" t="s">
        <v>916</v>
      </c>
      <c r="E46" s="226">
        <v>43103.348240740743</v>
      </c>
      <c r="F46" s="226">
        <v>43103.362743055557</v>
      </c>
      <c r="G46" s="225">
        <v>58</v>
      </c>
      <c r="H46" s="227" t="s">
        <v>563</v>
      </c>
      <c r="I46" s="226">
        <v>43103.38858796296</v>
      </c>
      <c r="J46" s="225">
        <v>0</v>
      </c>
      <c r="K46" s="237" t="str">
        <f>IF(ISEVEN(B46),(B46-1)&amp;"/"&amp;B46,B46&amp;"/"&amp;(B46+1))</f>
        <v>4001/4002</v>
      </c>
      <c r="L46" s="245" t="str">
        <f>VLOOKUP(A46,'Trips&amp;Operators'!$C$1:$G$99911,5,FALSE)</f>
        <v>PAGE MARCUS</v>
      </c>
      <c r="M46" s="224">
        <f>I46-F46</f>
        <v>2.5844907402643003E-2</v>
      </c>
      <c r="N46" s="225">
        <f>24*60*SUM($M46:$M46)</f>
        <v>37.216666659805924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-03T07:21:28-0700',mode:absolute,to:'2018-01-03T10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23.3001</v>
      </c>
      <c r="Z46" s="247">
        <f>RIGHT(H46,LEN(H46)-4)/10000</f>
        <v>1.7399999999999999E-2</v>
      </c>
      <c r="AA46" s="247">
        <f>ABS(Z46-Y46)</f>
        <v>23.282700000000002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/stypes="app*4001*20180103*"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134-03 --locoid 4001 --swversion DE.1.0.9.0 --startMP 204:233001 --initTime 2018-01-03T08:21:28 --startdatetime 2018-01-03T08:42:21 --delay 58 --endMP 204:174 --enddatetime 2018-01-03T09:19:34 --enforcementcount 0 &gt;&gt;%USERPROFILE%\Documents\GitHub\eaglep3-reporting\EC\2018-01-03-refined-times.txt</v>
      </c>
      <c r="AI4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{"issue":{"subject":"","project_id":79,"tracker_id":40,"status_id":1,"priority_id":2,"assigned_to_id":338,"start_date":"2018-01-03","description":"","custom_fields":[{"id":1,"name":"Subdivision","value":"EC"},{"id":4,"name":"Milepost","value":"0.0174"},{"id":17,"name":"Train ID","value":"134-03"},{"id":16,"name":"Locomotive ID","value":"4001"},{"id":130,"name":"Impact","value":""},{"id":150,"name":"Time of Event (Mountain Time)","value":"09:19:34"},{"id":151,"name":"Denver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4001 --day 2018-01-03</v>
      </c>
      <c r="AN4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-03T07:21:28-0700',mode:absolute,to:'2018-01-03T10:19:34-0700'))&amp;_a=(columns:!('Message%20ID',Summary),filters:!(),index:'emp_*',interval:auto,query:(query_string:(analyze_wildcard:!t,query:'%22rtdc.l.rtdc.4001%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724</v>
      </c>
      <c r="B47" s="225">
        <v>4004</v>
      </c>
      <c r="C47" s="227" t="s">
        <v>192</v>
      </c>
      <c r="D47" s="227" t="s">
        <v>621</v>
      </c>
      <c r="E47" s="226">
        <v>43103.328784722224</v>
      </c>
      <c r="F47" s="226">
        <v>43103.333541666667</v>
      </c>
      <c r="G47" s="225">
        <v>64</v>
      </c>
      <c r="H47" s="227" t="s">
        <v>917</v>
      </c>
      <c r="I47" s="226">
        <v>43103.358530092592</v>
      </c>
      <c r="J47" s="225">
        <v>0</v>
      </c>
      <c r="K47" s="237" t="str">
        <f>IF(ISEVEN(B47),(B47-1)&amp;"/"&amp;B47,B47&amp;"/"&amp;(B47+1))</f>
        <v>4003/4004</v>
      </c>
      <c r="L47" s="245" t="str">
        <f>VLOOKUP(A47,'Trips&amp;Operators'!$C$1:$G$99911,5,FALSE)</f>
        <v>DAVIDSON DAVID</v>
      </c>
      <c r="M47" s="224">
        <f>I47-F47</f>
        <v>2.4988425924675539E-2</v>
      </c>
      <c r="N47" s="225">
        <f>24*60*SUM($M47:$M47)</f>
        <v>35.983333331532776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-03T06:53:27-0700',mode:absolute,to:'2018-01-03T09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5.3699999999999998E-2</v>
      </c>
      <c r="Z47" s="247">
        <f>RIGHT(H47,LEN(H47)-4)/10000</f>
        <v>23.328299999999999</v>
      </c>
      <c r="AA47" s="247">
        <f>ABS(Z47-Y47)</f>
        <v>23.2746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/stypes="app*4004*20180103*"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135-03 --locoid 4004 --swversion DE.1.0.9.0 --startMP 204:537 --initTime 2018-01-03T07:53:27 --startdatetime 2018-01-03T08:00:18 --delay 64 --endMP 204:233283 --enddatetime 2018-01-03T08:36:17 --enforcementcount 0 &gt;&gt;%USERPROFILE%\Documents\GitHub\eaglep3-reporting\EC\2018-01-03-refined-times.txt</v>
      </c>
      <c r="AI4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{"issue":{"subject":"","project_id":79,"tracker_id":40,"status_id":1,"priority_id":2,"assigned_to_id":338,"start_date":"2018-01-03","description":"","custom_fields":[{"id":1,"name":"Subdivision","value":"EC"},{"id":4,"name":"Milepost","value":"23.3283"},{"id":17,"name":"Train ID","value":"135-03"},{"id":16,"name":"Locomotive ID","value":"4004"},{"id":130,"name":"Impact","value":""},{"id":150,"name":"Time of Event (Mountain Time)","value":"08:36:17"},{"id":151,"name":"Denver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4004 --day 2018-01-03</v>
      </c>
      <c r="AN4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-03T06:53:27-0700',mode:absolute,to:'2018-01-03T09:36:17-0700'))&amp;_a=(columns:!('Message%20ID',Summary),filters:!(),index:'emp_*',interval:auto,query:(query_string:(analyze_wildcard:!t,query:'%22rtdc.l.rtdc.4004%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736</v>
      </c>
      <c r="B48" s="225">
        <v>4003</v>
      </c>
      <c r="C48" s="227" t="s">
        <v>192</v>
      </c>
      <c r="D48" s="227" t="s">
        <v>918</v>
      </c>
      <c r="E48" s="226">
        <v>43103.360208333332</v>
      </c>
      <c r="F48" s="226">
        <v>43103.373113425929</v>
      </c>
      <c r="G48" s="225">
        <v>52</v>
      </c>
      <c r="H48" s="227" t="s">
        <v>593</v>
      </c>
      <c r="I48" s="226">
        <v>43103.399884259263</v>
      </c>
      <c r="J48" s="225">
        <v>0</v>
      </c>
      <c r="K48" s="237" t="str">
        <f>IF(ISEVEN(B48),(B48-1)&amp;"/"&amp;B48,B48&amp;"/"&amp;(B48+1))</f>
        <v>4003/4004</v>
      </c>
      <c r="L48" s="245" t="str">
        <f>VLOOKUP(A48,'Trips&amp;Operators'!$C$1:$G$99911,5,FALSE)</f>
        <v>DAVIDSON DAVID</v>
      </c>
      <c r="M48" s="224">
        <f>I48-F48</f>
        <v>2.6770833334012423E-2</v>
      </c>
      <c r="N48" s="225">
        <f>24*60*SUM($M48:$M48)</f>
        <v>38.550000000977889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-03T07:38:42-0700',mode:absolute,to:'2018-01-03T10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23.296600000000002</v>
      </c>
      <c r="Z48" s="247">
        <f>RIGHT(H48,LEN(H48)-4)/10000</f>
        <v>2.2700000000000001E-2</v>
      </c>
      <c r="AA48" s="247">
        <f>ABS(Z48-Y48)</f>
        <v>23.273900000000001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/stypes="app*4003*20180103*"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136-03 --locoid 4003 --swversion DE.1.0.9.0 --startMP 204:232966 --initTime 2018-01-03T08:38:42 --startdatetime 2018-01-03T08:57:17 --delay 52 --endMP 204:227 --enddatetime 2018-01-03T09:35:50 --enforcementcount 0 &gt;&gt;%USERPROFILE%\Documents\GitHub\eaglep3-reporting\EC\2018-01-03-refined-times.txt</v>
      </c>
      <c r="AI4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{"issue":{"subject":"","project_id":79,"tracker_id":40,"status_id":1,"priority_id":2,"assigned_to_id":338,"start_date":"2018-01-03","description":"","custom_fields":[{"id":1,"name":"Subdivision","value":"EC"},{"id":4,"name":"Milepost","value":"0.0227"},{"id":17,"name":"Train ID","value":"136-03"},{"id":16,"name":"Locomotive ID","value":"4003"},{"id":130,"name":"Impact","value":""},{"id":150,"name":"Time of Event (Mountain Time)","value":"09:35:50"},{"id":151,"name":"Denver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4003 --day 2018-01-03</v>
      </c>
      <c r="AN4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-03T07:38:42-0700',mode:absolute,to:'2018-01-03T10:35:50-0700'))&amp;_a=(columns:!('Message%20ID',Summary),filters:!(),index:'emp_*',interval:auto,query:(query_string:(analyze_wildcard:!t,query:'%22rtdc.l.rtdc.4003%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727</v>
      </c>
      <c r="B49" s="225">
        <v>4060</v>
      </c>
      <c r="C49" s="227" t="s">
        <v>192</v>
      </c>
      <c r="D49" s="227" t="s">
        <v>519</v>
      </c>
      <c r="E49" s="226">
        <v>43103.337326388886</v>
      </c>
      <c r="F49" s="226">
        <v>43103.343923611108</v>
      </c>
      <c r="G49" s="225">
        <v>65</v>
      </c>
      <c r="H49" s="227" t="s">
        <v>565</v>
      </c>
      <c r="I49" s="226">
        <v>43103.367789351854</v>
      </c>
      <c r="J49" s="225">
        <v>0</v>
      </c>
      <c r="K49" s="237" t="str">
        <f>IF(ISEVEN(B49),(B49-1)&amp;"/"&amp;B49,B49&amp;"/"&amp;(B49+1))</f>
        <v>4059/4060</v>
      </c>
      <c r="L49" s="245" t="str">
        <f>VLOOKUP(A49,'Trips&amp;Operators'!$C$1:$G$99911,5,FALSE)</f>
        <v>LOPES KIMBERLY</v>
      </c>
      <c r="M49" s="224">
        <f>I49-F49</f>
        <v>2.3865740746259689E-2</v>
      </c>
      <c r="N49" s="225">
        <f>24*60*SUM($M49:$M49)</f>
        <v>34.366666674613953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-03T07:05:45-0700',mode:absolute,to:'2018-01-03T09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0.05</v>
      </c>
      <c r="Z49" s="247">
        <f>RIGHT(H49,LEN(H49)-4)/10000</f>
        <v>23.325299999999999</v>
      </c>
      <c r="AA49" s="247">
        <f>ABS(Z49-Y49)</f>
        <v>23.275299999999998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/stypes="app*4060*20180103*"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137-03 --locoid 4060 --swversion DE.1.0.9.0 --startMP 204:500 --initTime 2018-01-03T08:05:45 --startdatetime 2018-01-03T08:15:15 --delay 65 --endMP 204:233253 --enddatetime 2018-01-03T08:49:37 --enforcementcount 0 &gt;&gt;%USERPROFILE%\Documents\GitHub\eaglep3-reporting\EC\2018-01-03-refined-times.txt</v>
      </c>
      <c r="AI4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{"issue":{"subject":"","project_id":79,"tracker_id":40,"status_id":1,"priority_id":2,"assigned_to_id":338,"start_date":"2018-01-03","description":"","custom_fields":[{"id":1,"name":"Subdivision","value":"EC"},{"id":4,"name":"Milepost","value":"23.3253"},{"id":17,"name":"Train ID","value":"137-03"},{"id":16,"name":"Locomotive ID","value":"4060"},{"id":130,"name":"Impact","value":""},{"id":150,"name":"Time of Event (Mountain Time)","value":"08:49:37"},{"id":151,"name":"Denver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4060 --day 2018-01-03</v>
      </c>
      <c r="AN4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-03T07:05:45-0700',mode:absolute,to:'2018-01-03T09:49:37-0700'))&amp;_a=(columns:!('Message%20ID',Summary),filters:!(),index:'emp_*',interval:auto,query:(query_string:(analyze_wildcard:!t,query:'%22rtdc.l.rtdc.4060%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737</v>
      </c>
      <c r="B50" s="225">
        <v>4059</v>
      </c>
      <c r="C50" s="227" t="s">
        <v>192</v>
      </c>
      <c r="D50" s="227" t="s">
        <v>629</v>
      </c>
      <c r="E50" s="226">
        <v>43103.368958333333</v>
      </c>
      <c r="F50" s="226">
        <v>43103.383506944447</v>
      </c>
      <c r="G50" s="225">
        <v>62</v>
      </c>
      <c r="H50" s="227" t="s">
        <v>919</v>
      </c>
      <c r="I50" s="226">
        <v>43103.408645833333</v>
      </c>
      <c r="J50" s="225">
        <v>0</v>
      </c>
      <c r="K50" s="237" t="str">
        <f>IF(ISEVEN(B50),(B50-1)&amp;"/"&amp;B50,B50&amp;"/"&amp;(B50+1))</f>
        <v>4059/4060</v>
      </c>
      <c r="L50" s="245" t="str">
        <f>VLOOKUP(A50,'Trips&amp;Operators'!$C$1:$G$99911,5,FALSE)</f>
        <v>LOPES KIMBERLY</v>
      </c>
      <c r="M50" s="224">
        <f>I50-F50</f>
        <v>2.5138888886431232E-2</v>
      </c>
      <c r="N50" s="225">
        <f>24*60*SUM($M50:$M50)</f>
        <v>36.199999996460974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-03T07:51:18-0700',mode:absolute,to:'2018-01-03T10:48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23.2942</v>
      </c>
      <c r="Z50" s="247">
        <f>RIGHT(H50,LEN(H50)-4)/10000</f>
        <v>2.07E-2</v>
      </c>
      <c r="AA50" s="247">
        <f>ABS(Z50-Y50)</f>
        <v>23.273499999999999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/stypes="app*4059*20180103*"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138-03 --locoid 4059 --swversion DE.1.0.9.0 --startMP 204:232942 --initTime 2018-01-03T08:51:18 --startdatetime 2018-01-03T09:12:15 --delay 62 --endMP 204:207 --enddatetime 2018-01-03T09:48:27 --enforcementcount 0 &gt;&gt;%USERPROFILE%\Documents\GitHub\eaglep3-reporting\EC\2018-01-03-refined-times.txt</v>
      </c>
      <c r="AI5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{"issue":{"subject":"","project_id":79,"tracker_id":40,"status_id":1,"priority_id":2,"assigned_to_id":338,"start_date":"2018-01-03","description":"","custom_fields":[{"id":1,"name":"Subdivision","value":"EC"},{"id":4,"name":"Milepost","value":"0.0207"},{"id":17,"name":"Train ID","value":"138-03"},{"id":16,"name":"Locomotive ID","value":"4059"},{"id":130,"name":"Impact","value":""},{"id":150,"name":"Time of Event (Mountain Time)","value":"09:48:27"},{"id":151,"name":"Denver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4059 --day 2018-01-03</v>
      </c>
      <c r="AN5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-03T07:51:18-0700',mode:absolute,to:'2018-01-03T10:48:27-0700'))&amp;_a=(columns:!('Message%20ID',Summary),filters:!(),index:'emp_*',interval:auto,query:(query_string:(analyze_wildcard:!t,query:'%22rtdc.l.rtdc.4059%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643</v>
      </c>
      <c r="B51" s="225">
        <v>4042</v>
      </c>
      <c r="C51" s="227" t="s">
        <v>192</v>
      </c>
      <c r="D51" s="227" t="s">
        <v>598</v>
      </c>
      <c r="E51" s="226">
        <v>43103.349965277775</v>
      </c>
      <c r="F51" s="226">
        <v>43103.354351851849</v>
      </c>
      <c r="G51" s="225">
        <v>75</v>
      </c>
      <c r="H51" s="227" t="s">
        <v>618</v>
      </c>
      <c r="I51" s="226">
        <v>43103.380011574074</v>
      </c>
      <c r="J51" s="225">
        <v>0</v>
      </c>
      <c r="K51" s="237" t="str">
        <f>IF(ISEVEN(B51),(B51-1)&amp;"/"&amp;B51,B51&amp;"/"&amp;(B51+1))</f>
        <v>4041/4042</v>
      </c>
      <c r="L51" s="245" t="str">
        <f>VLOOKUP(A51,'Trips&amp;Operators'!$C$1:$G$99911,5,FALSE)</f>
        <v>LONG FULLER</v>
      </c>
      <c r="M51" s="224">
        <f>I51-F51</f>
        <v>2.5659722225100268E-2</v>
      </c>
      <c r="N51" s="225">
        <f>24*60*SUM($M51:$M51)</f>
        <v>36.950000004144385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-03T07:23:57-0700',mode:absolute,to:'2018-01-03T10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5.2400000000000002E-2</v>
      </c>
      <c r="Z51" s="247">
        <f>RIGHT(H51,LEN(H51)-4)/10000</f>
        <v>23.3308</v>
      </c>
      <c r="AA51" s="247">
        <f>ABS(Z51-Y51)</f>
        <v>23.278400000000001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/stypes="app*4042*20180103*"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139-03 --locoid 4042 --swversion DE.1.0.9.0 --startMP 204:524 --initTime 2018-01-03T08:23:57 --startdatetime 2018-01-03T08:30:16 --delay 75 --endMP 204:233308 --enddatetime 2018-01-03T09:07:13 --enforcementcount 0 &gt;&gt;%USERPROFILE%\Documents\GitHub\eaglep3-reporting\EC\2018-01-03-refined-times.txt</v>
      </c>
      <c r="AI5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{"issue":{"subject":"","project_id":79,"tracker_id":40,"status_id":1,"priority_id":2,"assigned_to_id":338,"start_date":"2018-01-03","description":"","custom_fields":[{"id":1,"name":"Subdivision","value":"EC"},{"id":4,"name":"Milepost","value":"23.3308"},{"id":17,"name":"Train ID","value":"139-03"},{"id":16,"name":"Locomotive ID","value":"4042"},{"id":130,"name":"Impact","value":""},{"id":150,"name":"Time of Event (Mountain Time)","value":"09:07:13"},{"id":151,"name":"Denver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4042 --day 2018-01-03</v>
      </c>
      <c r="AN5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-03T07:23:57-0700',mode:absolute,to:'2018-01-03T10:07:13-0700'))&amp;_a=(columns:!('Message%20ID',Summary),filters:!(),index:'emp_*',interval:auto,query:(query_string:(analyze_wildcard:!t,query:'%22rtdc.l.rtdc.4042%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741</v>
      </c>
      <c r="B52" s="225">
        <v>4041</v>
      </c>
      <c r="C52" s="227" t="s">
        <v>192</v>
      </c>
      <c r="D52" s="227" t="s">
        <v>548</v>
      </c>
      <c r="E52" s="226">
        <v>43103.386435185188</v>
      </c>
      <c r="F52" s="226">
        <v>43103.393923611111</v>
      </c>
      <c r="G52" s="225">
        <v>77</v>
      </c>
      <c r="H52" s="227" t="s">
        <v>516</v>
      </c>
      <c r="I52" s="226">
        <v>43103.419398148151</v>
      </c>
      <c r="J52" s="225">
        <v>0</v>
      </c>
      <c r="K52" s="237" t="str">
        <f>IF(ISEVEN(B52),(B52-1)&amp;"/"&amp;B52,B52&amp;"/"&amp;(B52+1))</f>
        <v>4041/4042</v>
      </c>
      <c r="L52" s="245" t="str">
        <f>VLOOKUP(A52,'Trips&amp;Operators'!$C$1:$G$99911,5,FALSE)</f>
        <v>LONG FULLER</v>
      </c>
      <c r="M52" s="224">
        <f>I52-F52</f>
        <v>2.5474537040281575E-2</v>
      </c>
      <c r="N52" s="225">
        <f>24*60*SUM($M52:$M52)</f>
        <v>36.683333338005468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-03T08:16:28-0700',mode:absolute,to:'2018-01-03T11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23.297599999999999</v>
      </c>
      <c r="Z52" s="247">
        <f>RIGHT(H52,LEN(H52)-4)/10000</f>
        <v>2.0899999999999998E-2</v>
      </c>
      <c r="AA52" s="247">
        <f>ABS(Z52-Y52)</f>
        <v>23.276699999999998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/stypes="app*4041*20180103*"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140-03 --locoid 4041 --swversion DE.1.0.9.0 --startMP 204:232976 --initTime 2018-01-03T09:16:28 --startdatetime 2018-01-03T09:27:15 --delay 77 --endMP 204:209 --enddatetime 2018-01-03T10:03:56 --enforcementcount 0 &gt;&gt;%USERPROFILE%\Documents\GitHub\eaglep3-reporting\EC\2018-01-03-refined-times.txt</v>
      </c>
      <c r="AI5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{"issue":{"subject":"","project_id":79,"tracker_id":40,"status_id":1,"priority_id":2,"assigned_to_id":338,"start_date":"2018-01-03","description":"","custom_fields":[{"id":1,"name":"Subdivision","value":"EC"},{"id":4,"name":"Milepost","value":"0.0209"},{"id":17,"name":"Train ID","value":"140-03"},{"id":16,"name":"Locomotive ID","value":"4041"},{"id":130,"name":"Impact","value":""},{"id":150,"name":"Time of Event (Mountain Time)","value":"10:03:56"},{"id":151,"name":"Denver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4041 --day 2018-01-03</v>
      </c>
      <c r="AN5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-03T08:16:28-0700',mode:absolute,to:'2018-01-03T11:03:56-0700'))&amp;_a=(columns:!('Message%20ID',Summary),filters:!(),index:'emp_*',interval:auto,query:(query_string:(analyze_wildcard:!t,query:'%22rtdc.l.rtdc.4041%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735</v>
      </c>
      <c r="B53" s="225">
        <v>4030</v>
      </c>
      <c r="C53" s="227" t="s">
        <v>192</v>
      </c>
      <c r="D53" s="227" t="s">
        <v>920</v>
      </c>
      <c r="E53" s="226">
        <v>43103.359733796293</v>
      </c>
      <c r="F53" s="226">
        <v>43103.364745370367</v>
      </c>
      <c r="G53" s="225">
        <v>48</v>
      </c>
      <c r="H53" s="227" t="s">
        <v>921</v>
      </c>
      <c r="I53" s="226">
        <v>43103.389108796298</v>
      </c>
      <c r="J53" s="225">
        <v>0</v>
      </c>
      <c r="K53" s="237" t="str">
        <f>IF(ISEVEN(B53),(B53-1)&amp;"/"&amp;B53,B53&amp;"/"&amp;(B53+1))</f>
        <v>4029/4030</v>
      </c>
      <c r="L53" s="245" t="str">
        <f>VLOOKUP(A53,'Trips&amp;Operators'!$C$1:$G$99911,5,FALSE)</f>
        <v>YANAI IAN</v>
      </c>
      <c r="M53" s="224">
        <f>I53-F53</f>
        <v>2.436342593136942E-2</v>
      </c>
      <c r="N53" s="225">
        <f>24*60*SUM($M53:$M53)</f>
        <v>35.083333341171965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-03T07:38:01-0700',mode:absolute,to:'2018-01-03T10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5.5899999999999998E-2</v>
      </c>
      <c r="Z53" s="247">
        <f>RIGHT(H53,LEN(H53)-4)/10000</f>
        <v>23.335999999999999</v>
      </c>
      <c r="AA53" s="247">
        <f>ABS(Z53-Y53)</f>
        <v>23.280099999999997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/stypes="app*4030*20180103*"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141-03 --locoid 4030 --swversion DE.1.0.9.0 --startMP 204:559 --initTime 2018-01-03T08:38:01 --startdatetime 2018-01-03T08:45:14 --delay 48 --endMP 204:233360 --enddatetime 2018-01-03T09:20:19 --enforcementcount 0 &gt;&gt;%USERPROFILE%\Documents\GitHub\eaglep3-reporting\EC\2018-01-03-refined-times.txt</v>
      </c>
      <c r="AI5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{"issue":{"subject":"","project_id":79,"tracker_id":40,"status_id":1,"priority_id":2,"assigned_to_id":338,"start_date":"2018-01-03","description":"","custom_fields":[{"id":1,"name":"Subdivision","value":"EC"},{"id":4,"name":"Milepost","value":"23.336"},{"id":17,"name":"Train ID","value":"141-03"},{"id":16,"name":"Locomotive ID","value":"4030"},{"id":130,"name":"Impact","value":""},{"id":150,"name":"Time of Event (Mountain Time)","value":"09:20:19"},{"id":151,"name":"Denver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4030 --day 2018-01-03</v>
      </c>
      <c r="AN5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-03T07:38:01-0700',mode:absolute,to:'2018-01-03T10:20:19-0700'))&amp;_a=(columns:!('Message%20ID',Summary),filters:!(),index:'emp_*',interval:auto,query:(query_string:(analyze_wildcard:!t,query:'%22rtdc.l.rtdc.4030%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647</v>
      </c>
      <c r="B54" s="225">
        <v>4029</v>
      </c>
      <c r="C54" s="227" t="s">
        <v>192</v>
      </c>
      <c r="D54" s="227" t="s">
        <v>587</v>
      </c>
      <c r="E54" s="226">
        <v>43103.390081018515</v>
      </c>
      <c r="F54" s="226">
        <v>43103.404374999998</v>
      </c>
      <c r="G54" s="225">
        <v>495</v>
      </c>
      <c r="H54" s="227" t="s">
        <v>538</v>
      </c>
      <c r="I54" s="226">
        <v>43103.430428240739</v>
      </c>
      <c r="J54" s="225">
        <v>0</v>
      </c>
      <c r="K54" s="237" t="str">
        <f>IF(ISEVEN(B54),(B54-1)&amp;"/"&amp;B54,B54&amp;"/"&amp;(B54+1))</f>
        <v>4029/4030</v>
      </c>
      <c r="L54" s="245" t="str">
        <f>VLOOKUP(A54,'Trips&amp;Operators'!$C$1:$G$99911,5,FALSE)</f>
        <v>YANAI IAN</v>
      </c>
      <c r="M54" s="224">
        <f>I54-F54</f>
        <v>2.6053240741021E-2</v>
      </c>
      <c r="N54" s="225">
        <f>24*60*SUM($M54:$M54)</f>
        <v>37.51666666707024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-03T08:21:43-0700',mode:absolute,to:'2018-01-03T11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23.301100000000002</v>
      </c>
      <c r="Z54" s="247">
        <f>RIGHT(H54,LEN(H54)-4)/10000</f>
        <v>1.78E-2</v>
      </c>
      <c r="AA54" s="247">
        <f>ABS(Z54-Y54)</f>
        <v>23.283300000000001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/stypes="app*4029*20180103*"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142-03 --locoid 4029 --swversion DE.1.0.9.0 --startMP 204:233011 --initTime 2018-01-03T09:21:43 --startdatetime 2018-01-03T09:42:18 --delay 495 --endMP 204:178 --enddatetime 2018-01-03T10:19:49 --enforcementcount 0 &gt;&gt;%USERPROFILE%\Documents\GitHub\eaglep3-reporting\EC\2018-01-03-refined-times.txt</v>
      </c>
      <c r="AI5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{"issue":{"subject":"","project_id":79,"tracker_id":40,"status_id":1,"priority_id":2,"assigned_to_id":338,"start_date":"2018-01-03","description":"","custom_fields":[{"id":1,"name":"Subdivision","value":"EC"},{"id":4,"name":"Milepost","value":"0.0178"},{"id":17,"name":"Train ID","value":"142-03"},{"id":16,"name":"Locomotive ID","value":"4029"},{"id":130,"name":"Impact","value":""},{"id":150,"name":"Time of Event (Mountain Time)","value":"10:19:49"},{"id":151,"name":"Denver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4029 --day 2018-01-03</v>
      </c>
      <c r="AN5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-03T08:21:43-0700',mode:absolute,to:'2018-01-03T11:19:49-0700'))&amp;_a=(columns:!('Message%20ID',Summary),filters:!(),index:'emp_*',interval:auto,query:(query_string:(analyze_wildcard:!t,query:'%22rtdc.l.rtdc.4029%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739</v>
      </c>
      <c r="B55" s="225">
        <v>4050</v>
      </c>
      <c r="C55" s="227" t="s">
        <v>192</v>
      </c>
      <c r="D55" s="227" t="s">
        <v>508</v>
      </c>
      <c r="E55" s="226">
        <v>43103.373240740744</v>
      </c>
      <c r="F55" s="226">
        <v>43103.375254629631</v>
      </c>
      <c r="G55" s="225">
        <v>63</v>
      </c>
      <c r="H55" s="227" t="s">
        <v>618</v>
      </c>
      <c r="I55" s="226">
        <v>43103.400231481479</v>
      </c>
      <c r="J55" s="225">
        <v>0</v>
      </c>
      <c r="K55" s="237" t="str">
        <f>IF(ISEVEN(B55),(B55-1)&amp;"/"&amp;B55,B55&amp;"/"&amp;(B55+1))</f>
        <v>4049/4050</v>
      </c>
      <c r="L55" s="245" t="str">
        <f>VLOOKUP(A55,'Trips&amp;Operators'!$C$1:$G$99911,5,FALSE)</f>
        <v>THOMPSON LESTER</v>
      </c>
      <c r="M55" s="224">
        <f>I55-F55</f>
        <v>2.4976851847895887E-2</v>
      </c>
      <c r="N55" s="225">
        <f>24*60*SUM($M55:$M55)</f>
        <v>35.966666660970077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-03T07:57:28-0700',mode:absolute,to:'2018-01-03T10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4.53E-2</v>
      </c>
      <c r="Z55" s="247">
        <f>RIGHT(H55,LEN(H55)-4)/10000</f>
        <v>23.3308</v>
      </c>
      <c r="AA55" s="247">
        <f>ABS(Z55-Y55)</f>
        <v>23.285499999999999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/stypes="app*4050*20180103*"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143-03 --locoid 4050 --swversion DE.1.0.9.0 --startMP 204:453 --initTime 2018-01-03T08:57:28 --startdatetime 2018-01-03T09:00:22 --delay 63 --endMP 204:233308 --enddatetime 2018-01-03T09:36:20 --enforcementcount 0 &gt;&gt;%USERPROFILE%\Documents\GitHub\eaglep3-reporting\EC\2018-01-03-refined-times.txt</v>
      </c>
      <c r="AI5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{"issue":{"subject":"","project_id":79,"tracker_id":40,"status_id":1,"priority_id":2,"assigned_to_id":338,"start_date":"2018-01-03","description":"","custom_fields":[{"id":1,"name":"Subdivision","value":"EC"},{"id":4,"name":"Milepost","value":"23.3308"},{"id":17,"name":"Train ID","value":"143-03"},{"id":16,"name":"Locomotive ID","value":"4050"},{"id":130,"name":"Impact","value":""},{"id":150,"name":"Time of Event (Mountain Time)","value":"09:36:20"},{"id":151,"name":"Denver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4050 --day 2018-01-03</v>
      </c>
      <c r="AN5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-03T07:57:28-0700',mode:absolute,to:'2018-01-03T10:36:20-0700'))&amp;_a=(columns:!('Message%20ID',Summary),filters:!(),index:'emp_*',interval:auto,query:(query_string:(analyze_wildcard:!t,query:'%22rtdc.l.rtdc.4050%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749</v>
      </c>
      <c r="B56" s="225">
        <v>4049</v>
      </c>
      <c r="C56" s="227" t="s">
        <v>192</v>
      </c>
      <c r="D56" s="227" t="s">
        <v>552</v>
      </c>
      <c r="E56" s="226">
        <v>43103.413101851853</v>
      </c>
      <c r="F56" s="226">
        <v>43103.414895833332</v>
      </c>
      <c r="G56" s="225">
        <v>57</v>
      </c>
      <c r="H56" s="227" t="s">
        <v>534</v>
      </c>
      <c r="I56" s="226">
        <v>43103.441134259258</v>
      </c>
      <c r="J56" s="225">
        <v>0</v>
      </c>
      <c r="K56" s="237" t="str">
        <f>IF(ISEVEN(B56),(B56-1)&amp;"/"&amp;B56,B56&amp;"/"&amp;(B56+1))</f>
        <v>4049/4050</v>
      </c>
      <c r="L56" s="245" t="str">
        <f>VLOOKUP(A56,'Trips&amp;Operators'!$C$1:$G$99911,5,FALSE)</f>
        <v>THOMPSON LESTER</v>
      </c>
      <c r="M56" s="224">
        <f>I56-F56</f>
        <v>2.6238425925839692E-2</v>
      </c>
      <c r="N56" s="225">
        <f>24*60*SUM($M56:$M56)</f>
        <v>37.783333333209157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-03T08:54:52-0700',mode:absolute,to:'2018-01-03T11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23.2989</v>
      </c>
      <c r="Z56" s="247">
        <f>RIGHT(H56,LEN(H56)-4)/10000</f>
        <v>1.4999999999999999E-2</v>
      </c>
      <c r="AA56" s="247">
        <f>ABS(Z56-Y56)</f>
        <v>23.283899999999999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/stypes="app*4049*20180103*"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144-03 --locoid 4049 --swversion DE.1.0.9.0 --startMP 204:232989 --initTime 2018-01-03T09:54:52 --startdatetime 2018-01-03T09:57:27 --delay 57 --endMP 204:150 --enddatetime 2018-01-03T10:35:14 --enforcementcount 0 &gt;&gt;%USERPROFILE%\Documents\GitHub\eaglep3-reporting\EC\2018-01-03-refined-times.txt</v>
      </c>
      <c r="AI5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{"issue":{"subject":"","project_id":79,"tracker_id":40,"status_id":1,"priority_id":2,"assigned_to_id":338,"start_date":"2018-01-03","description":"","custom_fields":[{"id":1,"name":"Subdivision","value":"EC"},{"id":4,"name":"Milepost","value":"0.015"},{"id":17,"name":"Train ID","value":"144-03"},{"id":16,"name":"Locomotive ID","value":"4049"},{"id":130,"name":"Impact","value":""},{"id":150,"name":"Time of Event (Mountain Time)","value":"10:35:14"},{"id":151,"name":"Denver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4049 --day 2018-01-03</v>
      </c>
      <c r="AN5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-03T08:54:52-0700',mode:absolute,to:'2018-01-03T11:35:14-0700'))&amp;_a=(columns:!('Message%20ID',Summary),filters:!(),index:'emp_*',interval:auto,query:(query_string:(analyze_wildcard:!t,query:'%22rtdc.l.rtdc.4049%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740</v>
      </c>
      <c r="B57" s="225">
        <v>4062</v>
      </c>
      <c r="C57" s="227" t="s">
        <v>192</v>
      </c>
      <c r="D57" s="227" t="s">
        <v>508</v>
      </c>
      <c r="E57" s="226">
        <v>43103.380486111113</v>
      </c>
      <c r="F57" s="226">
        <v>43103.385694444441</v>
      </c>
      <c r="G57" s="225">
        <v>52</v>
      </c>
      <c r="H57" s="227" t="s">
        <v>545</v>
      </c>
      <c r="I57" s="226">
        <v>43103.41033564815</v>
      </c>
      <c r="J57" s="225">
        <v>0</v>
      </c>
      <c r="K57" s="237" t="str">
        <f>IF(ISEVEN(B57),(B57-1)&amp;"/"&amp;B57,B57&amp;"/"&amp;(B57+1))</f>
        <v>4061/4062</v>
      </c>
      <c r="L57" s="245" t="str">
        <f>VLOOKUP(A57,'Trips&amp;Operators'!$C$1:$G$99911,5,FALSE)</f>
        <v>HUFFSMITH MONTY</v>
      </c>
      <c r="M57" s="224">
        <f>I57-F57</f>
        <v>2.4641203708597459E-2</v>
      </c>
      <c r="N57" s="225">
        <f>24*60*SUM($M57:$M57)</f>
        <v>35.483333340380341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-03T08:07:54-0700',mode:absolute,to:'2018-01-03T10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4.53E-2</v>
      </c>
      <c r="Z57" s="247">
        <f>RIGHT(H57,LEN(H57)-4)/10000</f>
        <v>23.329899999999999</v>
      </c>
      <c r="AA57" s="247">
        <f>ABS(Z57-Y57)</f>
        <v>23.284599999999998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/stypes="app*4062*20180103*"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145-03 --locoid 4062 --swversion DE.1.0.9.0 --startMP 204:453 --initTime 2018-01-03T09:07:54 --startdatetime 2018-01-03T09:15:24 --delay 52 --endMP 204:233299 --enddatetime 2018-01-03T09:50:53 --enforcementcount 0 &gt;&gt;%USERPROFILE%\Documents\GitHub\eaglep3-reporting\EC\2018-01-03-refined-times.txt</v>
      </c>
      <c r="AI5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{"issue":{"subject":"","project_id":79,"tracker_id":40,"status_id":1,"priority_id":2,"assigned_to_id":338,"start_date":"2018-01-03","description":"","custom_fields":[{"id":1,"name":"Subdivision","value":"EC"},{"id":4,"name":"Milepost","value":"23.3299"},{"id":17,"name":"Train ID","value":"145-03"},{"id":16,"name":"Locomotive ID","value":"4062"},{"id":130,"name":"Impact","value":""},{"id":150,"name":"Time of Event (Mountain Time)","value":"09:50:53"},{"id":151,"name":"Denver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4062 --day 2018-01-03</v>
      </c>
      <c r="AN5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-03T08:07:54-0700',mode:absolute,to:'2018-01-03T10:50:53-0700'))&amp;_a=(columns:!('Message%20ID',Summary),filters:!(),index:'emp_*',interval:auto,query:(query_string:(analyze_wildcard:!t,query:'%22rtdc.l.rtdc.4062%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748</v>
      </c>
      <c r="B58" s="225">
        <v>4061</v>
      </c>
      <c r="C58" s="227" t="s">
        <v>192</v>
      </c>
      <c r="D58" s="227" t="s">
        <v>506</v>
      </c>
      <c r="E58" s="226">
        <v>43103.412164351852</v>
      </c>
      <c r="F58" s="226">
        <v>43103.425196759257</v>
      </c>
      <c r="G58" s="225">
        <v>60</v>
      </c>
      <c r="H58" s="227" t="s">
        <v>582</v>
      </c>
      <c r="I58" s="226">
        <v>43103.451863425929</v>
      </c>
      <c r="J58" s="225">
        <v>0</v>
      </c>
      <c r="K58" s="237" t="str">
        <f>IF(ISEVEN(B58),(B58-1)&amp;"/"&amp;B58,B58&amp;"/"&amp;(B58+1))</f>
        <v>4061/4062</v>
      </c>
      <c r="L58" s="245" t="str">
        <f>VLOOKUP(A58,'Trips&amp;Operators'!$C$1:$G$99911,5,FALSE)</f>
        <v>HUFFSMITH MONTY</v>
      </c>
      <c r="M58" s="224">
        <f>I58-F58</f>
        <v>2.6666666672099382E-2</v>
      </c>
      <c r="N58" s="225">
        <f>24*60*SUM($M58:$M58)</f>
        <v>38.40000000782311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-03T08:53:31-0700',mode:absolute,to:'2018-01-03T11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23.297699999999999</v>
      </c>
      <c r="Z58" s="247">
        <f>RIGHT(H58,LEN(H58)-4)/10000</f>
        <v>1.3599999999999999E-2</v>
      </c>
      <c r="AA58" s="247">
        <f>ABS(Z58-Y58)</f>
        <v>23.284099999999999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/stypes="app*4061*20180103*"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146-03 --locoid 4061 --swversion DE.1.0.9.0 --startMP 204:232977 --initTime 2018-01-03T09:53:31 --startdatetime 2018-01-03T10:12:17 --delay 60 --endMP 204:136 --enddatetime 2018-01-03T10:50:41 --enforcementcount 0 &gt;&gt;%USERPROFILE%\Documents\GitHub\eaglep3-reporting\EC\2018-01-03-refined-times.txt</v>
      </c>
      <c r="AI5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{"issue":{"subject":"","project_id":79,"tracker_id":40,"status_id":1,"priority_id":2,"assigned_to_id":338,"start_date":"2018-01-03","description":"","custom_fields":[{"id":1,"name":"Subdivision","value":"EC"},{"id":4,"name":"Milepost","value":"0.0136"},{"id":17,"name":"Train ID","value":"146-03"},{"id":16,"name":"Locomotive ID","value":"4061"},{"id":130,"name":"Impact","value":""},{"id":150,"name":"Time of Event (Mountain Time)","value":"10:50:41"},{"id":151,"name":"Denver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4061 --day 2018-01-03</v>
      </c>
      <c r="AN5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-03T08:53:31-0700',mode:absolute,to:'2018-01-03T11:50:41-0700'))&amp;_a=(columns:!('Message%20ID',Summary),filters:!(),index:'emp_*',interval:auto,query:(query_string:(analyze_wildcard:!t,query:'%22rtdc.l.rtdc.4061%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742</v>
      </c>
      <c r="B59" s="225">
        <v>4002</v>
      </c>
      <c r="C59" s="227" t="s">
        <v>192</v>
      </c>
      <c r="D59" s="227" t="s">
        <v>558</v>
      </c>
      <c r="E59" s="226">
        <v>43103.39135416667</v>
      </c>
      <c r="F59" s="226">
        <v>43103.396134259259</v>
      </c>
      <c r="G59" s="225">
        <v>94</v>
      </c>
      <c r="H59" s="227" t="s">
        <v>922</v>
      </c>
      <c r="I59" s="226">
        <v>43103.420868055553</v>
      </c>
      <c r="J59" s="225">
        <v>0</v>
      </c>
      <c r="K59" s="237" t="str">
        <f>IF(ISEVEN(B59),(B59-1)&amp;"/"&amp;B59,B59&amp;"/"&amp;(B59+1))</f>
        <v>4001/4002</v>
      </c>
      <c r="L59" s="245" t="str">
        <f>VLOOKUP(A59,'Trips&amp;Operators'!$C$1:$G$99911,5,FALSE)</f>
        <v>PAGE MARCUS</v>
      </c>
      <c r="M59" s="224">
        <f>I59-F59</f>
        <v>2.4733796293730848E-2</v>
      </c>
      <c r="N59" s="225">
        <f>24*60*SUM($M59:$M59)</f>
        <v>35.61666666297242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-03T08:23:33-0700',mode:absolute,to:'2018-01-03T11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4.6899999999999997E-2</v>
      </c>
      <c r="Z59" s="247">
        <f>RIGHT(H59,LEN(H59)-4)/10000</f>
        <v>23.332100000000001</v>
      </c>
      <c r="AA59" s="247">
        <f>ABS(Z59-Y59)</f>
        <v>23.2852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/stypes="app*4002*20180103*"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147-03 --locoid 4002 --swversion DE.1.0.9.0 --startMP 204:469 --initTime 2018-01-03T09:23:33 --startdatetime 2018-01-03T09:30:26 --delay 94 --endMP 204:233321 --enddatetime 2018-01-03T10:06:03 --enforcementcount 0 &gt;&gt;%USERPROFILE%\Documents\GitHub\eaglep3-reporting\EC\2018-01-03-refined-times.txt</v>
      </c>
      <c r="AI5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{"issue":{"subject":"","project_id":79,"tracker_id":40,"status_id":1,"priority_id":2,"assigned_to_id":338,"start_date":"2018-01-03","description":"","custom_fields":[{"id":1,"name":"Subdivision","value":"EC"},{"id":4,"name":"Milepost","value":"23.3321"},{"id":17,"name":"Train ID","value":"147-03"},{"id":16,"name":"Locomotive ID","value":"4002"},{"id":130,"name":"Impact","value":""},{"id":150,"name":"Time of Event (Mountain Time)","value":"10:06:03"},{"id":151,"name":"Denver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4002 --day 2018-01-03</v>
      </c>
      <c r="AN5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-03T08:23:33-0700',mode:absolute,to:'2018-01-03T11:06:03-0700'))&amp;_a=(columns:!('Message%20ID',Summary),filters:!(),index:'emp_*',interval:auto,query:(query_string:(analyze_wildcard:!t,query:'%22rtdc.l.rtdc.4002%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649</v>
      </c>
      <c r="B60" s="225">
        <v>4001</v>
      </c>
      <c r="C60" s="227" t="s">
        <v>192</v>
      </c>
      <c r="D60" s="227" t="s">
        <v>505</v>
      </c>
      <c r="E60" s="226">
        <v>43103.422951388886</v>
      </c>
      <c r="F60" s="226">
        <v>43103.446030092593</v>
      </c>
      <c r="G60" s="225">
        <v>73</v>
      </c>
      <c r="H60" s="227" t="s">
        <v>923</v>
      </c>
      <c r="I60" s="226">
        <v>43103.46634259259</v>
      </c>
      <c r="J60" s="225">
        <v>0</v>
      </c>
      <c r="K60" s="237" t="str">
        <f>IF(ISEVEN(B60),(B60-1)&amp;"/"&amp;B60,B60&amp;"/"&amp;(B60+1))</f>
        <v>4001/4002</v>
      </c>
      <c r="L60" s="245" t="str">
        <f>VLOOKUP(A60,'Trips&amp;Operators'!$C$1:$G$99911,5,FALSE)</f>
        <v>PAGE MARCUS</v>
      </c>
      <c r="M60" s="224">
        <f>I60-F60</f>
        <v>2.0312499997089617E-2</v>
      </c>
      <c r="N60" s="225"/>
      <c r="O60" s="225"/>
      <c r="P60" s="225">
        <f>24*60*SUM($M60:$M60)</f>
        <v>29.249999995809048</v>
      </c>
      <c r="Q60" s="228"/>
      <c r="R60" s="242" t="s">
        <v>464</v>
      </c>
      <c r="S60" s="249">
        <f>1/IF(AG60="EC",12,1)*SUM(U60:U60+U61)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247" t="str">
        <f>IF(AA60&lt;VLOOKUP(AG60,Variables!$AC$3:$AD$8,2,FALSE),"Y","N")</f>
        <v>Y</v>
      </c>
      <c r="X60" s="247">
        <f>VALUE(LEFT(AD60,4))-VALUE(LEFT(AD59,4))</f>
        <v>1</v>
      </c>
      <c r="Y60" s="247">
        <f>RIGHT(D60,LEN(D60)-4)/10000</f>
        <v>23.299800000000001</v>
      </c>
      <c r="Z60" s="247">
        <f>RIGHT(H60,LEN(H60)-4)/10000</f>
        <v>17.5764</v>
      </c>
      <c r="AA60" s="247">
        <f>ABS(Z60-Y60)</f>
        <v>5.7234000000000016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/stypes="app*4001*20180103*"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148-03 --locoid 4001 --swversion DE.1.0.9.0 --startMP 204:232998 --initTime 2018-01-03T10:09:03 --startdatetime 2018-01-03T10:42:17 --delay 73 --endMP 204:175764 --enddatetime 2018-01-03T11:11:32 --enforcementcount 0 &gt;&gt;%USERPROFILE%\Documents\GitHub\eaglep3-reporting\EC\2018-01-03-refined-times.txt</v>
      </c>
      <c r="AI60" s="238" t="str">
        <f t="shared" si="6"/>
        <v>echo {"issue":{"subject":"Wi-MAX data drop","project_id":79,"tracker_id":40,"status_id":1,"priority_id":2,"assigned_to_id":338,"start_date":"2018-01-03","description":"","custom_fields":[{"id":1,"name":"Subdivision","value":"EC"},{"id":4,"name":"Milepost","value":"17.5764"},{"id":17,"name":"Train ID","value":"148-03"},{"id":16,"name":"Locomotive ID","value":"4001"},{"id":130,"name":"Impact","value":""},{"id":150,"name":"Time of Event (Mountain Time)","value":"11:11:32"},{"id":151,"name":"Denver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4001 --day 2018-01-03</v>
      </c>
      <c r="AN60" s="241" t="str">
        <f t="shared" si="8"/>
        <v>echo {"issue":{"subject":"Wi-MAX data drop","project_id":30,"tracker_id":4,"status_id":1,"priority_id":1,"assigned_to_id":10,"start_date":"2018-01-03","description":"","custom_fields":[{"id":30,"name":"Category","value":"Issue"},{"id":3,"name":"Functional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Message%20ID',Summary),filters:!(),index:'emp_*',interval:auto,query:(query_string:(analyze_wildcard:!t,query:'%22rtdc.l.rtdc.4001%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649</v>
      </c>
      <c r="B61" s="225">
        <v>4001</v>
      </c>
      <c r="C61" s="227" t="s">
        <v>192</v>
      </c>
      <c r="D61" s="227" t="s">
        <v>924</v>
      </c>
      <c r="E61" s="226">
        <v>43103.445069444446</v>
      </c>
      <c r="F61" s="226">
        <v>43103.446030092593</v>
      </c>
      <c r="G61" s="225">
        <v>39</v>
      </c>
      <c r="H61" s="227" t="s">
        <v>925</v>
      </c>
      <c r="I61" s="226">
        <v>43103.46634259259</v>
      </c>
      <c r="J61" s="225">
        <v>0</v>
      </c>
      <c r="K61" s="237" t="str">
        <f>IF(ISEVEN(B61),(B61-1)&amp;"/"&amp;B61,B61&amp;"/"&amp;(B61+1))</f>
        <v>4001/4002</v>
      </c>
      <c r="L61" s="245" t="str">
        <f>VLOOKUP(A61,'Trips&amp;Operators'!$C$1:$G$99911,5,FALSE)</f>
        <v>PAGE MARCUS</v>
      </c>
      <c r="M61" s="224">
        <f>I61-F61</f>
        <v>2.0312499997089617E-2</v>
      </c>
      <c r="N61" s="225"/>
      <c r="O61" s="225"/>
      <c r="P61" s="225"/>
      <c r="Q61" s="228"/>
      <c r="R61" s="242"/>
      <c r="S61" s="249"/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-03T09:40:54-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1" s="247" t="str">
        <f>IF(AA61&lt;VLOOKUP(AG61,Variables!$AC$3:$AD$8,2,FALSE),"Y","N")</f>
        <v>Y</v>
      </c>
      <c r="X61" s="247">
        <f>VALUE(LEFT(AD61,4))-VALUE(LEFT(AD60,4))</f>
        <v>0</v>
      </c>
      <c r="Y61" s="247">
        <f>RIGHT(D61,LEN(D61)-4)/10000</f>
        <v>15.3996</v>
      </c>
      <c r="Z61" s="247">
        <f>RIGHT(H61,LEN(H61)-4)/10000</f>
        <v>0.1147</v>
      </c>
      <c r="AA61" s="247">
        <f>ABS(Z61-Y61)</f>
        <v>15.2849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/stypes="app*4001*20180103*"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148-03 --locoid 4001 --swversion DE.1.0.9.0 --startMP 204:153996 --initTime 2018-01-03T10:40:54 --startdatetime 2018-01-03T10:42:17 --delay 39 --endMP 204:1147 --enddatetime 2018-01-03T11:11:32 --enforcementcount 0 &gt;&gt;%USERPROFILE%\Documents\GitHub\eaglep3-reporting\EC\2018-01-03-refined-times.txt</v>
      </c>
      <c r="AI6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{"issue":{"subject":"","project_id":79,"tracker_id":40,"status_id":1,"priority_id":2,"assigned_to_id":338,"start_date":"2018-01-03","description":"","custom_fields":[{"id":1,"name":"Subdivision","value":"EC"},{"id":4,"name":"Milepost","value":"0.1147"},{"id":17,"name":"Train ID","value":"148-03"},{"id":16,"name":"Locomotive ID","value":"4001"},{"id":130,"name":"Impact","value":""},{"id":150,"name":"Time of Event (Mountain Time)","value":"11:11:32"},{"id":151,"name":"Denver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4001 --day 2018-01-03</v>
      </c>
      <c r="AN6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-03T09:40:54-0700',mode:absolute,to:'2018-01-03T12:11:32-0700'))&amp;_a=(columns:!('Message%20ID',Summary),filters:!(),index:'emp_*',interval:auto,query:(query_string:(analyze_wildcard:!t,query:'%22rtdc.l.rtdc.4001%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746</v>
      </c>
      <c r="B62" s="225">
        <v>4004</v>
      </c>
      <c r="C62" s="227" t="s">
        <v>192</v>
      </c>
      <c r="D62" s="227" t="s">
        <v>522</v>
      </c>
      <c r="E62" s="226">
        <v>43103.401574074072</v>
      </c>
      <c r="F62" s="226">
        <v>43103.406446759262</v>
      </c>
      <c r="G62" s="225">
        <v>51</v>
      </c>
      <c r="H62" s="227" t="s">
        <v>585</v>
      </c>
      <c r="I62" s="226">
        <v>43103.431064814817</v>
      </c>
      <c r="J62" s="225">
        <v>0</v>
      </c>
      <c r="K62" s="237" t="str">
        <f>IF(ISEVEN(B62),(B62-1)&amp;"/"&amp;B62,B62&amp;"/"&amp;(B62+1))</f>
        <v>4003/4004</v>
      </c>
      <c r="L62" s="245" t="str">
        <f>VLOOKUP(A62,'Trips&amp;Operators'!$C$1:$G$99911,5,FALSE)</f>
        <v>DAVIDSON DAVID</v>
      </c>
      <c r="M62" s="224">
        <f>I62-F62</f>
        <v>2.4618055555038154E-2</v>
      </c>
      <c r="N62" s="225">
        <f>24*60*SUM($M62:$M62)</f>
        <v>35.449999999254942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-03T08:38:16-0700',mode:absolute,to:'2018-01-03T11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5.3499999999999999E-2</v>
      </c>
      <c r="Z62" s="247">
        <f>RIGHT(H62,LEN(H62)-4)/10000</f>
        <v>23.3291</v>
      </c>
      <c r="AA62" s="247">
        <f>ABS(Z62-Y62)</f>
        <v>23.275600000000001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/stypes="app*4004*20180103*"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149-03 --locoid 4004 --swversion DE.1.0.9.0 --startMP 204:535 --initTime 2018-01-03T09:38:16 --startdatetime 2018-01-03T09:45:17 --delay 51 --endMP 204:233291 --enddatetime 2018-01-03T10:20:44 --enforcementcount 0 &gt;&gt;%USERPROFILE%\Documents\GitHub\eaglep3-reporting\EC\2018-01-03-refined-times.txt</v>
      </c>
      <c r="AI6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{"issue":{"subject":"","project_id":79,"tracker_id":40,"status_id":1,"priority_id":2,"assigned_to_id":338,"start_date":"2018-01-03","description":"","custom_fields":[{"id":1,"name":"Subdivision","value":"EC"},{"id":4,"name":"Milepost","value":"23.3291"},{"id":17,"name":"Train ID","value":"149-03"},{"id":16,"name":"Locomotive ID","value":"4004"},{"id":130,"name":"Impact","value":""},{"id":150,"name":"Time of Event (Mountain Time)","value":"10:20:44"},{"id":151,"name":"Denver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4004 --day 2018-01-03</v>
      </c>
      <c r="AN6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-03T08:38:16-0700',mode:absolute,to:'2018-01-03T11:20:44-0700'))&amp;_a=(columns:!('Message%20ID',Summary),filters:!(),index:'emp_*',interval:auto,query:(query_string:(analyze_wildcard:!t,query:'%22rtdc.l.rtdc.4004%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752</v>
      </c>
      <c r="B63" s="225">
        <v>4003</v>
      </c>
      <c r="C63" s="227" t="s">
        <v>192</v>
      </c>
      <c r="D63" s="227" t="s">
        <v>561</v>
      </c>
      <c r="E63" s="226">
        <v>43103.433356481481</v>
      </c>
      <c r="F63" s="226">
        <v>43103.446111111109</v>
      </c>
      <c r="G63" s="225">
        <v>65</v>
      </c>
      <c r="H63" s="227" t="s">
        <v>509</v>
      </c>
      <c r="I63" s="226">
        <v>43103.472824074073</v>
      </c>
      <c r="J63" s="225">
        <v>0</v>
      </c>
      <c r="K63" s="237" t="str">
        <f>IF(ISEVEN(B63),(B63-1)&amp;"/"&amp;B63,B63&amp;"/"&amp;(B63+1))</f>
        <v>4003/4004</v>
      </c>
      <c r="L63" s="245" t="str">
        <f>VLOOKUP(A63,'Trips&amp;Operators'!$C$1:$G$99911,5,FALSE)</f>
        <v>DAVIDSON DAVID</v>
      </c>
      <c r="M63" s="224">
        <f>I63-F63</f>
        <v>2.6712962964666076E-2</v>
      </c>
      <c r="N63" s="225">
        <f>24*60*SUM($M63:$M63)</f>
        <v>38.466666669119149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-03T09:24:02-0700',mode:absolute,to:'2018-01-03T12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23.2957</v>
      </c>
      <c r="Z63" s="247">
        <f>RIGHT(H63,LEN(H63)-4)/10000</f>
        <v>2.1399999999999999E-2</v>
      </c>
      <c r="AA63" s="247">
        <f>ABS(Z63-Y63)</f>
        <v>23.2743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/stypes="app*4003*20180103*"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150-03 --locoid 4003 --swversion DE.1.0.9.0 --startMP 204:232957 --initTime 2018-01-03T10:24:02 --startdatetime 2018-01-03T10:42:24 --delay 65 --endMP 204:214 --enddatetime 2018-01-03T11:20:52 --enforcementcount 0 &gt;&gt;%USERPROFILE%\Documents\GitHub\eaglep3-reporting\EC\2018-01-03-refined-times.txt</v>
      </c>
      <c r="AI6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{"issue":{"subject":"","project_id":79,"tracker_id":40,"status_id":1,"priority_id":2,"assigned_to_id":338,"start_date":"2018-01-03","description":"","custom_fields":[{"id":1,"name":"Subdivision","value":"EC"},{"id":4,"name":"Milepost","value":"0.0214"},{"id":17,"name":"Train ID","value":"150-03"},{"id":16,"name":"Locomotive ID","value":"4003"},{"id":130,"name":"Impact","value":""},{"id":150,"name":"Time of Event (Mountain Time)","value":"11:20:52"},{"id":151,"name":"Denver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4003 --day 2018-01-03</v>
      </c>
      <c r="AN6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-03T09:24:02-0700',mode:absolute,to:'2018-01-03T12:20:52-0700'))&amp;_a=(columns:!('Message%20ID',Summary),filters:!(),index:'emp_*',interval:auto,query:(query_string:(analyze_wildcard:!t,query:'%22rtdc.l.rtdc.4003%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747</v>
      </c>
      <c r="B64" s="225">
        <v>4060</v>
      </c>
      <c r="C64" s="227" t="s">
        <v>192</v>
      </c>
      <c r="D64" s="227" t="s">
        <v>608</v>
      </c>
      <c r="E64" s="226">
        <v>43103.409699074073</v>
      </c>
      <c r="F64" s="226">
        <v>43103.416851851849</v>
      </c>
      <c r="G64" s="225">
        <v>64</v>
      </c>
      <c r="H64" s="227" t="s">
        <v>917</v>
      </c>
      <c r="I64" s="226">
        <v>43103.44127314815</v>
      </c>
      <c r="J64" s="225">
        <v>0</v>
      </c>
      <c r="K64" s="237" t="str">
        <f>IF(ISEVEN(B64),(B64-1)&amp;"/"&amp;B64,B64&amp;"/"&amp;(B64+1))</f>
        <v>4059/4060</v>
      </c>
      <c r="L64" s="245" t="str">
        <f>VLOOKUP(A64,'Trips&amp;Operators'!$C$1:$G$99911,5,FALSE)</f>
        <v>LOPES KIMBERLY</v>
      </c>
      <c r="M64" s="224">
        <f>I64-F64</f>
        <v>2.4421296300715767E-2</v>
      </c>
      <c r="N64" s="225">
        <f>24*60*SUM($M64:$M64)</f>
        <v>35.166666673030704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-03T08:49:58-0700',mode:absolute,to:'2018-01-03T11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4.9500000000000002E-2</v>
      </c>
      <c r="Z64" s="247">
        <f>RIGHT(H64,LEN(H64)-4)/10000</f>
        <v>23.328299999999999</v>
      </c>
      <c r="AA64" s="247">
        <f>ABS(Z64-Y64)</f>
        <v>23.2788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/stypes="app*4060*20180103*"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151-03 --locoid 4060 --swversion DE.1.0.9.0 --startMP 204:495 --initTime 2018-01-03T09:49:58 --startdatetime 2018-01-03T10:00:16 --delay 64 --endMP 204:233283 --enddatetime 2018-01-03T10:35:26 --enforcementcount 0 &gt;&gt;%USERPROFILE%\Documents\GitHub\eaglep3-reporting\EC\2018-01-03-refined-times.txt</v>
      </c>
      <c r="AI6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{"issue":{"subject":"","project_id":79,"tracker_id":40,"status_id":1,"priority_id":2,"assigned_to_id":338,"start_date":"2018-01-03","description":"","custom_fields":[{"id":1,"name":"Subdivision","value":"EC"},{"id":4,"name":"Milepost","value":"23.3283"},{"id":17,"name":"Train ID","value":"151-03"},{"id":16,"name":"Locomotive ID","value":"4060"},{"id":130,"name":"Impact","value":""},{"id":150,"name":"Time of Event (Mountain Time)","value":"10:35:26"},{"id":151,"name":"Denver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4060 --day 2018-01-03</v>
      </c>
      <c r="AN6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-03T08:49:58-0700',mode:absolute,to:'2018-01-03T11:35:26-0700'))&amp;_a=(columns:!('Message%20ID',Summary),filters:!(),index:'emp_*',interval:auto,query:(query_string:(analyze_wildcard:!t,query:'%22rtdc.l.rtdc.4060%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757</v>
      </c>
      <c r="B65" s="225">
        <v>4059</v>
      </c>
      <c r="C65" s="227" t="s">
        <v>192</v>
      </c>
      <c r="D65" s="227" t="s">
        <v>926</v>
      </c>
      <c r="E65" s="226">
        <v>43103.453252314815</v>
      </c>
      <c r="F65" s="226">
        <v>43103.456423611111</v>
      </c>
      <c r="G65" s="225">
        <v>57</v>
      </c>
      <c r="H65" s="227" t="s">
        <v>463</v>
      </c>
      <c r="I65" s="226">
        <v>43103.482511574075</v>
      </c>
      <c r="J65" s="225">
        <v>0</v>
      </c>
      <c r="K65" s="237" t="str">
        <f>IF(ISEVEN(B65),(B65-1)&amp;"/"&amp;B65,B65&amp;"/"&amp;(B65+1))</f>
        <v>4059/4060</v>
      </c>
      <c r="L65" s="245" t="str">
        <f>VLOOKUP(A65,'Trips&amp;Operators'!$C$1:$G$99911,5,FALSE)</f>
        <v>LOPES KIMBERLY</v>
      </c>
      <c r="M65" s="224">
        <f>I65-F65</f>
        <v>2.6087962964083999E-2</v>
      </c>
      <c r="N65" s="225">
        <f>24*60*SUM($M65:$M65)</f>
        <v>37.566666668280959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-03T09:52:41-0700',mode:absolute,to:'2018-01-03T12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23.2972</v>
      </c>
      <c r="Z65" s="247">
        <f>RIGHT(H65,LEN(H65)-4)/10000</f>
        <v>1.9599999999999999E-2</v>
      </c>
      <c r="AA65" s="247">
        <f>ABS(Z65-Y65)</f>
        <v>23.2776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/stypes="app*4059*20180103*"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152-03 --locoid 4059 --swversion DE.1.0.9.0 --startMP 204:232972 --initTime 2018-01-03T10:52:41 --startdatetime 2018-01-03T10:57:15 --delay 57 --endMP 204:196 --enddatetime 2018-01-03T11:34:49 --enforcementcount 0 &gt;&gt;%USERPROFILE%\Documents\GitHub\eaglep3-reporting\EC\2018-01-03-refined-times.txt</v>
      </c>
      <c r="AI6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{"issue":{"subject":"","project_id":79,"tracker_id":40,"status_id":1,"priority_id":2,"assigned_to_id":338,"start_date":"2018-01-03","description":"","custom_fields":[{"id":1,"name":"Subdivision","value":"EC"},{"id":4,"name":"Milepost","value":"0.0196"},{"id":17,"name":"Train ID","value":"152-03"},{"id":16,"name":"Locomotive ID","value":"4059"},{"id":130,"name":"Impact","value":""},{"id":150,"name":"Time of Event (Mountain Time)","value":"11:34:49"},{"id":151,"name":"Denver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4059 --day 2018-01-03</v>
      </c>
      <c r="AN6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-03T09:52:41-0700',mode:absolute,to:'2018-01-03T12:34:49-0700'))&amp;_a=(columns:!('Message%20ID',Summary),filters:!(),index:'emp_*',interval:auto,query:(query_string:(analyze_wildcard:!t,query:'%22rtdc.l.rtdc.4059%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751</v>
      </c>
      <c r="B66" s="225">
        <v>4042</v>
      </c>
      <c r="C66" s="227" t="s">
        <v>192</v>
      </c>
      <c r="D66" s="227" t="s">
        <v>486</v>
      </c>
      <c r="E66" s="226">
        <v>43103.4221412037</v>
      </c>
      <c r="F66" s="226">
        <v>43103.427384259259</v>
      </c>
      <c r="G66" s="225">
        <v>85</v>
      </c>
      <c r="H66" s="227" t="s">
        <v>927</v>
      </c>
      <c r="I66" s="226">
        <v>43103.452013888891</v>
      </c>
      <c r="J66" s="225">
        <v>0</v>
      </c>
      <c r="K66" s="237" t="str">
        <f>IF(ISEVEN(B66),(B66-1)&amp;"/"&amp;B66,B66&amp;"/"&amp;(B66+1))</f>
        <v>4041/4042</v>
      </c>
      <c r="L66" s="245" t="str">
        <f>VLOOKUP(A66,'Trips&amp;Operators'!$C$1:$G$99911,5,FALSE)</f>
        <v>LAMAR NEKESHA</v>
      </c>
      <c r="M66" s="224">
        <f>I66-F66</f>
        <v>2.4629629631817807E-2</v>
      </c>
      <c r="N66" s="225">
        <f>24*60*SUM($M66:$M66)</f>
        <v>35.466666669817641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-03T09:07:53-0700',mode:absolute,to:'2018-01-03T11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5.1700000000000003E-2</v>
      </c>
      <c r="Z66" s="247">
        <f>RIGHT(H66,LEN(H66)-4)/10000</f>
        <v>23.3276</v>
      </c>
      <c r="AA66" s="247">
        <f>ABS(Z66-Y66)</f>
        <v>23.2759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/stypes="app*4042*20180103*"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153-03 --locoid 4042 --swversion DE.1.0.9.0 --startMP 204:517 --initTime 2018-01-03T10:07:53 --startdatetime 2018-01-03T10:15:26 --delay 85 --endMP 204:233276 --enddatetime 2018-01-03T10:50:54 --enforcementcount 0 &gt;&gt;%USERPROFILE%\Documents\GitHub\eaglep3-reporting\EC\2018-01-03-refined-times.txt</v>
      </c>
      <c r="AI6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{"issue":{"subject":"","project_id":79,"tracker_id":40,"status_id":1,"priority_id":2,"assigned_to_id":338,"start_date":"2018-01-03","description":"","custom_fields":[{"id":1,"name":"Subdivision","value":"EC"},{"id":4,"name":"Milepost","value":"23.3276"},{"id":17,"name":"Train ID","value":"153-03"},{"id":16,"name":"Locomotive ID","value":"4042"},{"id":130,"name":"Impact","value":""},{"id":150,"name":"Time of Event (Mountain Time)","value":"10:50:54"},{"id":151,"name":"Denver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4042 --day 2018-01-03</v>
      </c>
      <c r="AN6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-03T09:07:53-0700',mode:absolute,to:'2018-01-03T11:50:54-0700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759</v>
      </c>
      <c r="B67" s="225">
        <v>4041</v>
      </c>
      <c r="C67" s="227" t="s">
        <v>192</v>
      </c>
      <c r="D67" s="227" t="s">
        <v>628</v>
      </c>
      <c r="E67" s="226">
        <v>43103.455081018517</v>
      </c>
      <c r="F67" s="226">
        <v>43103.466909722221</v>
      </c>
      <c r="G67" s="225">
        <v>78</v>
      </c>
      <c r="H67" s="227" t="s">
        <v>480</v>
      </c>
      <c r="I67" s="226">
        <v>43103.494085648148</v>
      </c>
      <c r="J67" s="225">
        <v>0</v>
      </c>
      <c r="K67" s="237" t="str">
        <f>IF(ISEVEN(B67),(B67-1)&amp;"/"&amp;B67,B67&amp;"/"&amp;(B67+1))</f>
        <v>4041/4042</v>
      </c>
      <c r="L67" s="245" t="str">
        <f>VLOOKUP(A67,'Trips&amp;Operators'!$C$1:$G$99911,5,FALSE)</f>
        <v>LAMAR NEKESHA</v>
      </c>
      <c r="M67" s="224">
        <f>I67-F67</f>
        <v>2.7175925926712807E-2</v>
      </c>
      <c r="N67" s="225">
        <f>24*60*SUM($M67:$M67)</f>
        <v>39.133333334466442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-03T09:55:19-0700',mode:absolute,to:'2018-01-03T12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23.2959</v>
      </c>
      <c r="Z67" s="247">
        <f>RIGHT(H67,LEN(H67)-4)/10000</f>
        <v>2.01E-2</v>
      </c>
      <c r="AA67" s="247">
        <f>ABS(Z67-Y67)</f>
        <v>23.2758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/stypes="app*4041*20180103*"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154-03 --locoid 4041 --swversion DE.1.0.9.0 --startMP 204:232959 --initTime 2018-01-03T10:55:19 --startdatetime 2018-01-03T11:12:21 --delay 78 --endMP 204:201 --enddatetime 2018-01-03T11:51:29 --enforcementcount 0 &gt;&gt;%USERPROFILE%\Documents\GitHub\eaglep3-reporting\EC\2018-01-03-refined-times.txt</v>
      </c>
      <c r="AI6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{"issue":{"subject":"","project_id":79,"tracker_id":40,"status_id":1,"priority_id":2,"assigned_to_id":338,"start_date":"2018-01-03","description":"","custom_fields":[{"id":1,"name":"Subdivision","value":"EC"},{"id":4,"name":"Milepost","value":"0.0201"},{"id":17,"name":"Train ID","value":"154-03"},{"id":16,"name":"Locomotive ID","value":"4041"},{"id":130,"name":"Impact","value":""},{"id":150,"name":"Time of Event (Mountain Time)","value":"11:51:29"},{"id":151,"name":"Denver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4041 --day 2018-01-03</v>
      </c>
      <c r="AN6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-03T09:55:19-0700',mode:absolute,to:'2018-01-03T12:51:29-0700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753</v>
      </c>
      <c r="B68" s="225">
        <v>4030</v>
      </c>
      <c r="C68" s="227" t="s">
        <v>192</v>
      </c>
      <c r="D68" s="227" t="s">
        <v>496</v>
      </c>
      <c r="E68" s="226">
        <v>43103.43372685185</v>
      </c>
      <c r="F68" s="226">
        <v>43103.437754629631</v>
      </c>
      <c r="G68" s="225">
        <v>96</v>
      </c>
      <c r="H68" s="227" t="s">
        <v>928</v>
      </c>
      <c r="I68" s="226">
        <v>43103.463784722226</v>
      </c>
      <c r="J68" s="225">
        <v>0</v>
      </c>
      <c r="K68" s="237" t="str">
        <f>IF(ISEVEN(B68),(B68-1)&amp;"/"&amp;B68,B68&amp;"/"&amp;(B68+1))</f>
        <v>4029/4030</v>
      </c>
      <c r="L68" s="245" t="str">
        <f>VLOOKUP(A68,'Trips&amp;Operators'!$C$1:$G$99911,5,FALSE)</f>
        <v>YANAI IAN</v>
      </c>
      <c r="M68" s="224">
        <f>I68-F68</f>
        <v>2.6030092594737653E-2</v>
      </c>
      <c r="N68" s="225">
        <f>24*60*SUM($M68:$M68)</f>
        <v>37.48333333642222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-03T09:24:34-0700',mode:absolute,to:'2018-01-03T12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4.9700000000000001E-2</v>
      </c>
      <c r="Z68" s="247">
        <f>RIGHT(H68,LEN(H68)-4)/10000</f>
        <v>23.334</v>
      </c>
      <c r="AA68" s="247">
        <f>ABS(Z68-Y68)</f>
        <v>23.284299999999998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/stypes="app*4030*20180103*"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155-03 --locoid 4030 --swversion DE.1.0.9.0 --startMP 204:497 --initTime 2018-01-03T10:24:34 --startdatetime 2018-01-03T10:30:22 --delay 96 --endMP 204:233340 --enddatetime 2018-01-03T11:07:51 --enforcementcount 0 &gt;&gt;%USERPROFILE%\Documents\GitHub\eaglep3-reporting\EC\2018-01-03-refined-times.txt</v>
      </c>
      <c r="AI6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{"issue":{"subject":"","project_id":79,"tracker_id":40,"status_id":1,"priority_id":2,"assigned_to_id":338,"start_date":"2018-01-03","description":"","custom_fields":[{"id":1,"name":"Subdivision","value":"EC"},{"id":4,"name":"Milepost","value":"23.334"},{"id":17,"name":"Train ID","value":"155-03"},{"id":16,"name":"Locomotive ID","value":"4030"},{"id":130,"name":"Impact","value":""},{"id":150,"name":"Time of Event (Mountain Time)","value":"11:07:51"},{"id":151,"name":"Denver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4030 --day 2018-01-03</v>
      </c>
      <c r="AN6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-03T09:24:34-0700',mode:absolute,to:'2018-01-03T12:07:51-0700'))&amp;_a=(columns:!('Message%20ID',Summary),filters:!(),index:'emp_*',interval:auto,query:(query_string:(analyze_wildcard:!t,query:'%22rtdc.l.rtdc.4030%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761</v>
      </c>
      <c r="B69" s="225">
        <v>4029</v>
      </c>
      <c r="C69" s="227" t="s">
        <v>192</v>
      </c>
      <c r="D69" s="227" t="s">
        <v>929</v>
      </c>
      <c r="E69" s="226">
        <v>43103.464502314811</v>
      </c>
      <c r="F69" s="226">
        <v>43103.47724537037</v>
      </c>
      <c r="G69" s="225">
        <v>45</v>
      </c>
      <c r="H69" s="227" t="s">
        <v>516</v>
      </c>
      <c r="I69" s="226">
        <v>43103.502627314818</v>
      </c>
      <c r="J69" s="225">
        <v>0</v>
      </c>
      <c r="K69" s="237" t="str">
        <f>IF(ISEVEN(B69),(B69-1)&amp;"/"&amp;B69,B69&amp;"/"&amp;(B69+1))</f>
        <v>4029/4030</v>
      </c>
      <c r="L69" s="245" t="str">
        <f>VLOOKUP(A69,'Trips&amp;Operators'!$C$1:$G$99911,5,FALSE)</f>
        <v>YANAI IAN</v>
      </c>
      <c r="M69" s="224">
        <f>I69-F69</f>
        <v>2.5381944447872229E-2</v>
      </c>
      <c r="N69" s="225">
        <f>24*60*SUM($M69:$M69)</f>
        <v>36.55000000493601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-03T10:08:53-0700',mode:absolute,to:'2018-01-03T13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23.303799999999999</v>
      </c>
      <c r="Z69" s="247">
        <f>RIGHT(H69,LEN(H69)-4)/10000</f>
        <v>2.0899999999999998E-2</v>
      </c>
      <c r="AA69" s="247">
        <f>ABS(Z69-Y69)</f>
        <v>23.282899999999998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156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/stypes="app*4029*20180103*" /stext=" 19:.+((SYSTEM_STATE.+slice.+state.+changed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156-03 --locoid 4029 --swversion DE.1.0.9.0 --startMP 204:233038 --initTime 2018-01-03T11:08:53 --startdatetime 2018-01-03T11:27:14 --delay 45 --endMP 204:209 --enddatetime 2018-01-03T12:03:47 --enforcementcount 0 &gt;&gt;%USERPROFILE%\Documents\GitHub\eaglep3-reporting\EC\2018-01-03-refined-times.txt</v>
      </c>
      <c r="AI6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{"issue":{"subject":"","project_id":79,"tracker_id":40,"status_id":1,"priority_id":2,"assigned_to_id":338,"start_date":"2018-01-03","description":"","custom_fields":[{"id":1,"name":"Subdivision","value":"EC"},{"id":4,"name":"Milepost","value":"0.0209"},{"id":17,"name":"Train ID","value":"156-03"},{"id":16,"name":"Locomotive ID","value":"4029"},{"id":130,"name":"Impact","value":""},{"id":150,"name":"Time of Event (Mountain Time)","value":"12:03:47"},{"id":151,"name":"Denver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4029 --day 2018-01-03</v>
      </c>
      <c r="AN6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-03T10:08:53-0700',mode:absolute,to:'2018-01-03T13:03:47-0700'))&amp;_a=(columns:!('Message%20ID',Summary),filters:!(),index:'emp_*',interval:auto,query:(query_string:(analyze_wildcard:!t,query:'%22rtdc.l.rtdc.4029%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755</v>
      </c>
      <c r="B70" s="225">
        <v>4050</v>
      </c>
      <c r="C70" s="227" t="s">
        <v>192</v>
      </c>
      <c r="D70" s="227" t="s">
        <v>521</v>
      </c>
      <c r="E70" s="226">
        <v>43103.444432870368</v>
      </c>
      <c r="F70" s="226">
        <v>43103.448217592595</v>
      </c>
      <c r="G70" s="225">
        <v>114</v>
      </c>
      <c r="H70" s="227" t="s">
        <v>491</v>
      </c>
      <c r="I70" s="226">
        <v>43103.473437499997</v>
      </c>
      <c r="J70" s="225">
        <v>0</v>
      </c>
      <c r="K70" s="237" t="str">
        <f>IF(ISEVEN(B70),(B70-1)&amp;"/"&amp;B70,B70&amp;"/"&amp;(B70+1))</f>
        <v>4049/4050</v>
      </c>
      <c r="L70" s="245" t="str">
        <f>VLOOKUP(A70,'Trips&amp;Operators'!$C$1:$G$99911,5,FALSE)</f>
        <v>DAVIS MICHAEL</v>
      </c>
      <c r="M70" s="224">
        <f>I70-F70</f>
        <v>2.5219907402060926E-2</v>
      </c>
      <c r="N70" s="225">
        <f>24*60*SUM($M70:$M70)</f>
        <v>36.316666658967733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-03T09:39:59-0700',mode:absolute,to:'2018-01-03T12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4.7100000000000003E-2</v>
      </c>
      <c r="Z70" s="247">
        <f>RIGHT(H70,LEN(H70)-4)/10000</f>
        <v>23.329499999999999</v>
      </c>
      <c r="AA70" s="247">
        <f>ABS(Z70-Y70)</f>
        <v>23.282399999999999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157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/stypes="app*4050*20180103*" /stext=" 18:.+((SYSTEM_STATE.+slice.+state.+changed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157-03 --locoid 4050 --swversion DE.1.0.9.0 --startMP 204:471 --initTime 2018-01-03T10:39:59 --startdatetime 2018-01-03T10:45:26 --delay 114 --endMP 204:233295 --enddatetime 2018-01-03T11:21:45 --enforcementcount 0 &gt;&gt;%USERPROFILE%\Documents\GitHub\eaglep3-reporting\EC\2018-01-03-refined-times.txt</v>
      </c>
      <c r="AI7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{"issue":{"subject":"","project_id":79,"tracker_id":40,"status_id":1,"priority_id":2,"assigned_to_id":338,"start_date":"2018-01-03","description":"","custom_fields":[{"id":1,"name":"Subdivision","value":"EC"},{"id":4,"name":"Milepost","value":"23.3295"},{"id":17,"name":"Train ID","value":"157-03"},{"id":16,"name":"Locomotive ID","value":"4050"},{"id":130,"name":"Impact","value":""},{"id":150,"name":"Time of Event (Mountain Time)","value":"11:21:45"},{"id":151,"name":"Denver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4050 --day 2018-01-03</v>
      </c>
      <c r="AN7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-03T09:39:59-0700',mode:absolute,to:'2018-01-03T12:21:45-0700'))&amp;_a=(columns:!('Message%20ID',Summary),filters:!(),index:'emp_*',interval:auto,query:(query_string:(analyze_wildcard:!t,query:'%22rtdc.l.rtdc.4050%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651</v>
      </c>
      <c r="B71" s="225">
        <v>4049</v>
      </c>
      <c r="C71" s="227" t="s">
        <v>192</v>
      </c>
      <c r="D71" s="227" t="s">
        <v>623</v>
      </c>
      <c r="E71" s="226">
        <v>43103.485474537039</v>
      </c>
      <c r="F71" s="226">
        <v>43103.487800925926</v>
      </c>
      <c r="G71" s="225">
        <v>97</v>
      </c>
      <c r="H71" s="227" t="s">
        <v>482</v>
      </c>
      <c r="I71" s="226">
        <v>43103.516388888886</v>
      </c>
      <c r="J71" s="225">
        <v>0</v>
      </c>
      <c r="K71" s="237" t="str">
        <f>IF(ISEVEN(B71),(B71-1)&amp;"/"&amp;B71,B71&amp;"/"&amp;(B71+1))</f>
        <v>4049/4050</v>
      </c>
      <c r="L71" s="245" t="str">
        <f>VLOOKUP(A71,'Trips&amp;Operators'!$C$1:$G$99911,5,FALSE)</f>
        <v>DAVIS MICHAEL</v>
      </c>
      <c r="M71" s="224">
        <f>I71-F71</f>
        <v>2.8587962959136348E-2</v>
      </c>
      <c r="N71" s="225">
        <f>24*60*SUM($M71:$M71)</f>
        <v>41.166666661156341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-03T10:39:05-0700',mode:absolute,to:'2018-01-03T13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23.297499999999999</v>
      </c>
      <c r="Z71" s="247">
        <f>RIGHT(H71,LEN(H71)-4)/10000</f>
        <v>2.0500000000000001E-2</v>
      </c>
      <c r="AA71" s="247">
        <f>ABS(Z71-Y71)</f>
        <v>23.277000000000001</v>
      </c>
      <c r="AB71" s="233" t="str">
        <f>VLOOKUP(A71,Enforcements!$C$7:$K$9,8,0)</f>
        <v>Bulletin (2)</v>
      </c>
      <c r="AC71" s="232" t="str">
        <f>VLOOKUP(A71,Enforcements!$C$7:$E$9,3,0)</f>
        <v>GRADE CROSSING</v>
      </c>
      <c r="AD71" s="243">
        <f>VALUE(LEFT(A71,LEN(A71)-3))</f>
        <v>158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/stypes="app*4049*20180103*" /stext=" 19:.+((SYSTEM_STATE.+slice.+state.+changed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158-03 --locoid 4049 --swversion DE.1.0.9.0 --startMP 204:232975 --initTime 2018-01-03T11:39:05 --startdatetime 2018-01-03T11:42:26 --delay 97 --endMP 204:205 --enddatetime 2018-01-03T12:23:36 --enforcementcount 0 &gt;&gt;%USERPROFILE%\Documents\GitHub\eaglep3-reporting\EC\2018-01-03-refined-times.txt</v>
      </c>
      <c r="AI7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{"issue":{"subject":"","project_id":79,"tracker_id":40,"status_id":1,"priority_id":2,"assigned_to_id":338,"start_date":"2018-01-03","description":"","custom_fields":[{"id":1,"name":"Subdivision","value":"EC"},{"id":4,"name":"Milepost","value":"0.0205"},{"id":17,"name":"Train ID","value":"158-03"},{"id":16,"name":"Locomotive ID","value":"4049"},{"id":130,"name":"Impact","value":""},{"id":150,"name":"Time of Event (Mountain Time)","value":"12:23:36"},{"id":151,"name":"Denver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4049 --day 2018-01-03</v>
      </c>
      <c r="AN7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-03T10:39:05-0700',mode:absolute,to:'2018-01-03T13:23:36-0700'))&amp;_a=(columns:!('Message%20ID',Summary),filters:!(),index:'emp_*',interval:auto,query:(query_string:(analyze_wildcard:!t,query:'%22rtdc.l.rtdc.4049%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758</v>
      </c>
      <c r="B72" s="225">
        <v>4062</v>
      </c>
      <c r="C72" s="227" t="s">
        <v>192</v>
      </c>
      <c r="D72" s="227" t="s">
        <v>930</v>
      </c>
      <c r="E72" s="226">
        <v>43103.453738425924</v>
      </c>
      <c r="F72" s="226">
        <v>43103.458495370367</v>
      </c>
      <c r="G72" s="225">
        <v>54</v>
      </c>
      <c r="H72" s="227" t="s">
        <v>931</v>
      </c>
      <c r="I72" s="226">
        <v>43103.485590277778</v>
      </c>
      <c r="J72" s="225">
        <v>0</v>
      </c>
      <c r="K72" s="237" t="str">
        <f>IF(ISEVEN(B72),(B72-1)&amp;"/"&amp;B72,B72&amp;"/"&amp;(B72+1))</f>
        <v>4061/4062</v>
      </c>
      <c r="L72" s="245" t="str">
        <f>VLOOKUP(A72,'Trips&amp;Operators'!$C$1:$G$99911,5,FALSE)</f>
        <v>HUFFSMITH MONTY</v>
      </c>
      <c r="M72" s="224">
        <f>I72-F72</f>
        <v>2.7094907411083113E-2</v>
      </c>
      <c r="N72" s="225">
        <f>24*60*SUM($M72:$M72)</f>
        <v>39.016666671959683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-03T09:53:23-0700',mode:absolute,to:'2018-01-03T12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4.1500000000000002E-2</v>
      </c>
      <c r="Z72" s="247">
        <f>RIGHT(H72,LEN(H72)-4)/10000</f>
        <v>23.334399999999999</v>
      </c>
      <c r="AA72" s="247">
        <f>ABS(Z72-Y72)</f>
        <v>23.292899999999999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159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/stypes="app*4062*20180103*" /stext=" 18:.+((SYSTEM_STATE.+slice.+state.+changed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159-03 --locoid 4062 --swversion DE.1.0.9.0 --startMP 204:415 --initTime 2018-01-03T10:53:23 --startdatetime 2018-01-03T11:00:14 --delay 54 --endMP 204:233344 --enddatetime 2018-01-03T11:39:15 --enforcementcount 0 &gt;&gt;%USERPROFILE%\Documents\GitHub\eaglep3-reporting\EC\2018-01-03-refined-times.txt</v>
      </c>
      <c r="AI7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{"issue":{"subject":"","project_id":79,"tracker_id":40,"status_id":1,"priority_id":2,"assigned_to_id":338,"start_date":"2018-01-03","description":"","custom_fields":[{"id":1,"name":"Subdivision","value":"EC"},{"id":4,"name":"Milepost","value":"23.3344"},{"id":17,"name":"Train ID","value":"159-03"},{"id":16,"name":"Locomotive ID","value":"4062"},{"id":130,"name":"Impact","value":""},{"id":150,"name":"Time of Event (Mountain Time)","value":"11:39:15"},{"id":151,"name":"Denver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4062 --day 2018-01-03</v>
      </c>
      <c r="AN7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-03T09:53:23-0700',mode:absolute,to:'2018-01-03T12:39:15-0700'))&amp;_a=(columns:!('Message%20ID',Summary),filters:!(),index:'emp_*',interval:auto,query:(query_string:(analyze_wildcard:!t,query:'%22rtdc.l.rtdc.4062%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768</v>
      </c>
      <c r="B73" s="225">
        <v>4061</v>
      </c>
      <c r="C73" s="227" t="s">
        <v>192</v>
      </c>
      <c r="D73" s="227" t="s">
        <v>932</v>
      </c>
      <c r="E73" s="226">
        <v>43103.487442129626</v>
      </c>
      <c r="F73" s="226">
        <v>43103.498101851852</v>
      </c>
      <c r="G73" s="225">
        <v>54</v>
      </c>
      <c r="H73" s="227" t="s">
        <v>933</v>
      </c>
      <c r="I73" s="226">
        <v>43103.524537037039</v>
      </c>
      <c r="J73" s="225">
        <v>0</v>
      </c>
      <c r="K73" s="237" t="str">
        <f>IF(ISEVEN(B73),(B73-1)&amp;"/"&amp;B73,B73&amp;"/"&amp;(B73+1))</f>
        <v>4061/4062</v>
      </c>
      <c r="L73" s="245" t="str">
        <f>VLOOKUP(A73,'Trips&amp;Operators'!$C$1:$G$99911,5,FALSE)</f>
        <v>HUFFSMITH MONTY</v>
      </c>
      <c r="M73" s="224">
        <f>I73-F73</f>
        <v>2.6435185187438037E-2</v>
      </c>
      <c r="N73" s="225">
        <f>24*60*SUM($M73:$M73)</f>
        <v>38.066666669910774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-03T10:41:55-0700',mode:absolute,to:'2018-01-03T13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23.300599999999999</v>
      </c>
      <c r="Z73" s="247">
        <f>RIGHT(H73,LEN(H73)-4)/10000</f>
        <v>1.41E-2</v>
      </c>
      <c r="AA73" s="247">
        <f>ABS(Z73-Y73)</f>
        <v>23.2865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160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/stypes="app*4061*20180103*" /stext=" 19:.+((SYSTEM_STATE.+slice.+state.+changed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160-03 --locoid 4061 --swversion DE.1.0.9.0 --startMP 204:233006 --initTime 2018-01-03T11:41:55 --startdatetime 2018-01-03T11:57:16 --delay 54 --endMP 204:141 --enddatetime 2018-01-03T12:35:20 --enforcementcount 0 &gt;&gt;%USERPROFILE%\Documents\GitHub\eaglep3-reporting\EC\2018-01-03-refined-times.txt</v>
      </c>
      <c r="AI7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{"issue":{"subject":"","project_id":79,"tracker_id":40,"status_id":1,"priority_id":2,"assigned_to_id":338,"start_date":"2018-01-03","description":"","custom_fields":[{"id":1,"name":"Subdivision","value":"EC"},{"id":4,"name":"Milepost","value":"0.0141"},{"id":17,"name":"Train ID","value":"160-03"},{"id":16,"name":"Locomotive ID","value":"4061"},{"id":130,"name":"Impact","value":""},{"id":150,"name":"Time of Event (Mountain Time)","value":"12:35:20"},{"id":151,"name":"Denver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4061 --day 2018-01-03</v>
      </c>
      <c r="AN7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-03T10:41:55-0700',mode:absolute,to:'2018-01-03T13:35:20-0700'))&amp;_a=(columns:!('Message%20ID',Summary),filters:!(),index:'emp_*',interval:auto,query:(query_string:(analyze_wildcard:!t,query:'%22rtdc.l.rtdc.4061%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762</v>
      </c>
      <c r="B74" s="225">
        <v>4020</v>
      </c>
      <c r="C74" s="227" t="s">
        <v>192</v>
      </c>
      <c r="D74" s="227" t="s">
        <v>934</v>
      </c>
      <c r="E74" s="226">
        <v>43103.465763888889</v>
      </c>
      <c r="F74" s="226">
        <v>43103.468946759262</v>
      </c>
      <c r="G74" s="225">
        <v>80</v>
      </c>
      <c r="H74" s="227" t="s">
        <v>620</v>
      </c>
      <c r="I74" s="226">
        <v>43103.493506944447</v>
      </c>
      <c r="J74" s="225">
        <v>0</v>
      </c>
      <c r="K74" s="237" t="str">
        <f>IF(ISEVEN(B74),(B74-1)&amp;"/"&amp;B74,B74&amp;"/"&amp;(B74+1))</f>
        <v>4019/4020</v>
      </c>
      <c r="L74" s="245" t="str">
        <f>VLOOKUP(A74,'Trips&amp;Operators'!$C$1:$G$99911,5,FALSE)</f>
        <v>BRUDER RICHARD</v>
      </c>
      <c r="M74" s="224">
        <f>I74-F74</f>
        <v>2.4560185185691807E-2</v>
      </c>
      <c r="N74" s="225">
        <f>24*60*SUM($M74:$M74)</f>
        <v>35.366666667396203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-03T10:10:42-0700',mode:absolute,to:'2018-01-03T12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4.3799999999999999E-2</v>
      </c>
      <c r="Z74" s="247">
        <f>RIGHT(H74,LEN(H74)-4)/10000</f>
        <v>23.320499999999999</v>
      </c>
      <c r="AA74" s="247">
        <f>ABS(Z74-Y74)</f>
        <v>23.276699999999998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161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/stypes="app*4020*20180103*" /stext=" 18:.+((SYSTEM_STATE.+slice.+state.+changed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161-03 --locoid 4020 --swversion DE.1.0.9.0 --startMP 204:438 --initTime 2018-01-03T11:10:42 --startdatetime 2018-01-03T11:15:17 --delay 80 --endMP 204:233205 --enddatetime 2018-01-03T11:50:39 --enforcementcount 0 &gt;&gt;%USERPROFILE%\Documents\GitHub\eaglep3-reporting\EC\2018-01-03-refined-times.txt</v>
      </c>
      <c r="AI7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{"issue":{"subject":"","project_id":79,"tracker_id":40,"status_id":1,"priority_id":2,"assigned_to_id":338,"start_date":"2018-01-03","description":"","custom_fields":[{"id":1,"name":"Subdivision","value":"EC"},{"id":4,"name":"Milepost","value":"23.3205"},{"id":17,"name":"Train ID","value":"161-03"},{"id":16,"name":"Locomotive ID","value":"4020"},{"id":130,"name":"Impact","value":""},{"id":150,"name":"Time of Event (Mountain Time)","value":"11:50:39"},{"id":151,"name":"Denver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4020 --day 2018-01-03</v>
      </c>
      <c r="AN7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-03T10:10:42-0700',mode:absolute,to:'2018-01-03T12:50:39-0700'))&amp;_a=(columns:!('Message%20ID',Summary),filters:!(),index:'emp_*',interval:auto,query:(query_string:(analyze_wildcard:!t,query:'%22rtdc.l.rtdc.4020%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773</v>
      </c>
      <c r="B75" s="225">
        <v>4019</v>
      </c>
      <c r="C75" s="227" t="s">
        <v>192</v>
      </c>
      <c r="D75" s="227" t="s">
        <v>624</v>
      </c>
      <c r="E75" s="226">
        <v>43103.505393518521</v>
      </c>
      <c r="F75" s="226">
        <v>43103.50854166667</v>
      </c>
      <c r="G75" s="225">
        <v>139</v>
      </c>
      <c r="H75" s="227" t="s">
        <v>935</v>
      </c>
      <c r="I75" s="226">
        <v>43103.535393518519</v>
      </c>
      <c r="J75" s="225">
        <v>0</v>
      </c>
      <c r="K75" s="237" t="str">
        <f>IF(ISEVEN(B75),(B75-1)&amp;"/"&amp;B75,B75&amp;"/"&amp;(B75+1))</f>
        <v>4019/4020</v>
      </c>
      <c r="L75" s="245" t="str">
        <f>VLOOKUP(A75,'Trips&amp;Operators'!$C$1:$G$99911,5,FALSE)</f>
        <v>BRUDER RICHARD</v>
      </c>
      <c r="M75" s="224">
        <f>I75-F75</f>
        <v>2.6851851849642117E-2</v>
      </c>
      <c r="N75" s="225">
        <f>24*60*SUM($M75:$M75)</f>
        <v>38.666666663484648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-03T11:07:46-0700',mode:absolute,to:'2018-01-03T13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23.289200000000001</v>
      </c>
      <c r="Z75" s="247">
        <f>RIGHT(H75,LEN(H75)-4)/10000</f>
        <v>2.3099999999999999E-2</v>
      </c>
      <c r="AA75" s="247">
        <f>ABS(Z75-Y75)</f>
        <v>23.266100000000002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162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/stypes="app*4019*20180103*"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162-03 --locoid 4019 --swversion DE.1.0.9.0 --startMP 204:232892 --initTime 2018-01-03T12:07:46 --startdatetime 2018-01-03T12:12:18 --delay 139 --endMP 204:231 --enddatetime 2018-01-03T12:50:58 --enforcementcount 0 &gt;&gt;%USERPROFILE%\Documents\GitHub\eaglep3-reporting\EC\2018-01-03-refined-times.txt</v>
      </c>
      <c r="AI7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{"issue":{"subject":"","project_id":79,"tracker_id":40,"status_id":1,"priority_id":2,"assigned_to_id":338,"start_date":"2018-01-03","description":"","custom_fields":[{"id":1,"name":"Subdivision","value":"EC"},{"id":4,"name":"Milepost","value":"0.0231"},{"id":17,"name":"Train ID","value":"162-03"},{"id":16,"name":"Locomotive ID","value":"4019"},{"id":130,"name":"Impact","value":""},{"id":150,"name":"Time of Event (Mountain Time)","value":"12:50:58"},{"id":151,"name":"Denver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4019 --day 2018-01-03</v>
      </c>
      <c r="AN7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-03T11:07:46-0700',mode:absolute,to:'2018-01-03T13:50:58-0700'))&amp;_a=(columns:!('Message%20ID',Summary),filters:!(),index:'emp_*',interval:auto,query:(query_string:(analyze_wildcard:!t,query:'%22rtdc.l.rtdc.4019%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765</v>
      </c>
      <c r="B76" s="225">
        <v>4004</v>
      </c>
      <c r="C76" s="227" t="s">
        <v>192</v>
      </c>
      <c r="D76" s="227" t="s">
        <v>600</v>
      </c>
      <c r="E76" s="226">
        <v>43103.475532407407</v>
      </c>
      <c r="F76" s="226">
        <v>43103.479432870372</v>
      </c>
      <c r="G76" s="225">
        <v>72</v>
      </c>
      <c r="H76" s="227" t="s">
        <v>936</v>
      </c>
      <c r="I76" s="226">
        <v>43103.505104166667</v>
      </c>
      <c r="J76" s="225">
        <v>0</v>
      </c>
      <c r="K76" s="237" t="str">
        <f>IF(ISEVEN(B76),(B76-1)&amp;"/"&amp;B76,B76&amp;"/"&amp;(B76+1))</f>
        <v>4003/4004</v>
      </c>
      <c r="L76" s="245" t="str">
        <f>VLOOKUP(A76,'Trips&amp;Operators'!$C$1:$G$99911,5,FALSE)</f>
        <v>STEWART MICHAEL</v>
      </c>
      <c r="M76" s="224">
        <f>I76-F76</f>
        <v>2.5671296294603962E-2</v>
      </c>
      <c r="N76" s="225">
        <f>24*60*SUM($M76:$M76)</f>
        <v>36.966666664229706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-03T10:24:46-0700',mode:absolute,to:'2018-01-03T13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5.3100000000000001E-2</v>
      </c>
      <c r="Z76" s="247">
        <f>RIGHT(H76,LEN(H76)-4)/10000</f>
        <v>23.325900000000001</v>
      </c>
      <c r="AA76" s="247">
        <f>ABS(Z76-Y76)</f>
        <v>23.2728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163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/stypes="app*4004*20180103*"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163-03 --locoid 4004 --swversion DE.1.0.9.0 --startMP 204:531 --initTime 2018-01-03T11:24:46 --startdatetime 2018-01-03T11:30:23 --delay 72 --endMP 204:233259 --enddatetime 2018-01-03T12:07:21 --enforcementcount 0 &gt;&gt;%USERPROFILE%\Documents\GitHub\eaglep3-reporting\EC\2018-01-03-refined-times.txt</v>
      </c>
      <c r="AI7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{"issue":{"subject":"","project_id":79,"tracker_id":40,"status_id":1,"priority_id":2,"assigned_to_id":338,"start_date":"2018-01-03","description":"","custom_fields":[{"id":1,"name":"Subdivision","value":"EC"},{"id":4,"name":"Milepost","value":"23.3259"},{"id":17,"name":"Train ID","value":"163-03"},{"id":16,"name":"Locomotive ID","value":"4004"},{"id":130,"name":"Impact","value":""},{"id":150,"name":"Time of Event (Mountain Time)","value":"12:07:21"},{"id":151,"name":"Denver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4004 --day 2018-01-03</v>
      </c>
      <c r="AN7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-03T10:24:46-0700',mode:absolute,to:'2018-01-03T13:07:21-0700'))&amp;_a=(columns:!('Message%20ID',Summary),filters:!(),index:'emp_*',interval:auto,query:(query_string:(analyze_wildcard:!t,query:'%22rtdc.l.rtdc.4004%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653</v>
      </c>
      <c r="B77" s="225">
        <v>4003</v>
      </c>
      <c r="C77" s="227" t="s">
        <v>192</v>
      </c>
      <c r="D77" s="227" t="s">
        <v>937</v>
      </c>
      <c r="E77" s="226">
        <v>43103.516122685185</v>
      </c>
      <c r="F77" s="226">
        <v>43103.519062500003</v>
      </c>
      <c r="G77" s="225">
        <v>81</v>
      </c>
      <c r="H77" s="227" t="s">
        <v>484</v>
      </c>
      <c r="I77" s="226">
        <v>43103.54824074074</v>
      </c>
      <c r="J77" s="225">
        <v>0</v>
      </c>
      <c r="K77" s="237" t="str">
        <f>IF(ISEVEN(B77),(B77-1)&amp;"/"&amp;B77,B77&amp;"/"&amp;(B77+1))</f>
        <v>4003/4004</v>
      </c>
      <c r="L77" s="245" t="str">
        <f>VLOOKUP(A77,'Trips&amp;Operators'!$C$1:$G$99911,5,FALSE)</f>
        <v>STEWART MICHAEL</v>
      </c>
      <c r="M77" s="224">
        <f>I77-F77</f>
        <v>2.9178240736655425E-2</v>
      </c>
      <c r="N77" s="225">
        <f>24*60*SUM($M77:$M77)</f>
        <v>42.016666660783812</v>
      </c>
      <c r="O77" s="225"/>
      <c r="P77" s="225"/>
      <c r="Q77" s="228"/>
      <c r="R77" s="242" t="s">
        <v>1128</v>
      </c>
      <c r="S77" s="249">
        <f>1/IF(AG77="EC",12,1)*SUM(U77:U77)</f>
        <v>1</v>
      </c>
      <c r="T77" s="242" t="str">
        <f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23.293199999999999</v>
      </c>
      <c r="Z77" s="247">
        <f>RIGHT(H77,LEN(H77)-4)/10000</f>
        <v>1.9400000000000001E-2</v>
      </c>
      <c r="AA77" s="247">
        <f>ABS(Z77-Y77)</f>
        <v>23.273799999999998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164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/stypes="app*4003*20180103*" /stext=" 20:.+((SYSTEM_STATE.+slice.+state.+changed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ref="AH77:AH142" si="1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164-03 --locoid 4003 --swversion DE.1.0.9.0 --startMP 204:232932 --initTime 2018-01-03T12:23:13 --startdatetime 2018-01-03T12:27:27 --delay 81 --endMP 204:194 --enddatetime 2018-01-03T13:09:28 --enforcementcount 0 &gt;&gt;%USERPROFILE%\Documents\GitHub\eaglep3-reporting\EC\2018-01-03-refined-times.txt</v>
      </c>
      <c r="AI77" s="238" t="str">
        <f t="shared" ref="AI77:AI142" si="1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{"issue":{"subject":"Operator reported red fence for signal status unknown, no evidence in onboard logs","project_id":79,"tracker_id":40,"status_id":1,"priority_id":2,"assigned_to_id":338,"start_date":"2018-01-03","description":"","custom_fields":[{"id":1,"name":"Subdivision","value":"EC"},{"id":4,"name":"Milepost","value":"0.0194"},{"id":17,"name":"Train ID","value":"164-03"},{"id":16,"name":"Locomotive ID","value":"4003"},{"id":130,"name":"Impact","value":""},{"id":150,"name":"Time of Event (Mountain Time)","value":"13:09:28"},{"id":151,"name":"Denver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ref="AM77:AM142" si="13">"start /low /b "&amp;dls3logs&amp;" --loco "&amp;B77&amp;" --day "&amp;TEXT(F77,"YYYY-MM-DD")</f>
        <v>start /low /b %USERPROFILE%\Documents\GitHub\eaglep3\Utilities\DownloadLogsFromS3.py --loco 4003 --day 2018-01-03</v>
      </c>
      <c r="AN77" s="241" t="str">
        <f t="shared" ref="AN77:AN142" si="1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reported red fence for signal status unknown, no evidence in onboard logs","project_id":30,"tracker_id":4,"status_id":1,"priority_id":1,"assigned_to_id":10,"start_date":"2018-01-03","description":"","custom_fields":[{"id":30,"name":"Category","value":"Issue"},{"id":3,"name":"Functional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ref="AO77:AO142" si="1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Message%20ID',Summary),filters:!(),index:'emp_*',interval:auto,query:(query_string:(analyze_wildcard:!t,query:'%22rtdc.l.rtdc.4003%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767</v>
      </c>
      <c r="B78" s="225">
        <v>4060</v>
      </c>
      <c r="C78" s="227" t="s">
        <v>192</v>
      </c>
      <c r="D78" s="227" t="s">
        <v>507</v>
      </c>
      <c r="E78" s="226">
        <v>43103.484629629631</v>
      </c>
      <c r="F78" s="226">
        <v>43103.489756944444</v>
      </c>
      <c r="G78" s="225">
        <v>74</v>
      </c>
      <c r="H78" s="227" t="s">
        <v>901</v>
      </c>
      <c r="I78" s="226">
        <v>43103.51390046296</v>
      </c>
      <c r="J78" s="225">
        <v>0</v>
      </c>
      <c r="K78" s="237" t="str">
        <f>IF(ISEVEN(B78),(B78-1)&amp;"/"&amp;B78,B78&amp;"/"&amp;(B78+1))</f>
        <v>4059/4060</v>
      </c>
      <c r="L78" s="245" t="str">
        <f>VLOOKUP(A78,'Trips&amp;Operators'!$C$1:$G$99911,5,FALSE)</f>
        <v>GUZMAN DANNY</v>
      </c>
      <c r="M78" s="224">
        <f>I78-F78</f>
        <v>2.414351851621177E-2</v>
      </c>
      <c r="N78" s="225">
        <f>24*60*SUM($M78:$M78)</f>
        <v>34.766666663344949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-03T10:37:52-0700',mode:absolute,to:'2018-01-03T13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4.8899999999999999E-2</v>
      </c>
      <c r="Z78" s="247">
        <f>RIGHT(H78,LEN(H78)-4)/10000</f>
        <v>23.331399999999999</v>
      </c>
      <c r="AA78" s="247">
        <f>ABS(Z78-Y78)</f>
        <v>23.282499999999999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165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/stypes="app*4060*20180103*" /stext=" 19:.+((SYSTEM_STATE.+slice.+state.+changed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11"/>
        <v>"%USERPROFILE%\Documents\GitHub\eaglep3\Utilities\RefineRTDCRunTimes.py" --tripid 165-03 --locoid 4060 --swversion DE.1.0.9.0 --startMP 204:489 --initTime 2018-01-03T11:37:52 --startdatetime 2018-01-03T11:45:15 --delay 74 --endMP 204:233314 --enddatetime 2018-01-03T12:20:01 --enforcementcount 0 &gt;&gt;%USERPROFILE%\Documents\GitHub\eaglep3-reporting\EC\2018-01-03-refined-times.txt</v>
      </c>
      <c r="AI7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{"issue":{"subject":"","project_id":79,"tracker_id":40,"status_id":1,"priority_id":2,"assigned_to_id":338,"start_date":"2018-01-03","description":"","custom_fields":[{"id":1,"name":"Subdivision","value":"EC"},{"id":4,"name":"Milepost","value":"23.3314"},{"id":17,"name":"Train ID","value":"165-03"},{"id":16,"name":"Locomotive ID","value":"4060"},{"id":130,"name":"Impact","value":""},{"id":150,"name":"Time of Event (Mountain Time)","value":"12:20:01"},{"id":151,"name":"Denver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13"/>
        <v>start /low /b %USERPROFILE%\Documents\GitHub\eaglep3\Utilities\DownloadLogsFromS3.py --loco 4060 --day 2018-01-03</v>
      </c>
      <c r="AN7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15"/>
        <v>https://d0f6bd738d7f1b3e5a7ca70fe4ff75f0.us-east-1.aws.found.io/app/kibana#/discover/Steve-Slow-Train-Analysis-(2080s-and-2083s)?_g=(refreshInterval:(display:Off,pause:!f,section:0,value:0),time:(from:'2018-01-03T10:37:52-0700',mode:absolute,to:'2018-01-03T13:20:01-0700'))&amp;_a=(columns:!('Message%20ID',Summary),filters:!(),index:'emp_*',interval:auto,query:(query_string:(analyze_wildcard:!t,query:'%22rtdc.l.rtdc.4060%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774</v>
      </c>
      <c r="B79" s="225">
        <v>4059</v>
      </c>
      <c r="C79" s="227" t="s">
        <v>192</v>
      </c>
      <c r="D79" s="227" t="s">
        <v>895</v>
      </c>
      <c r="E79" s="226">
        <v>43103.515879629631</v>
      </c>
      <c r="F79" s="226">
        <v>43103.529340277775</v>
      </c>
      <c r="G79" s="225">
        <v>72</v>
      </c>
      <c r="H79" s="227" t="s">
        <v>510</v>
      </c>
      <c r="I79" s="226">
        <v>43103.555393518516</v>
      </c>
      <c r="J79" s="225">
        <v>0</v>
      </c>
      <c r="K79" s="237" t="str">
        <f>IF(ISEVEN(B79),(B79-1)&amp;"/"&amp;B79,B79&amp;"/"&amp;(B79+1))</f>
        <v>4059/4060</v>
      </c>
      <c r="L79" s="245" t="str">
        <f>VLOOKUP(A79,'Trips&amp;Operators'!$C$1:$G$99911,5,FALSE)</f>
        <v>GUZMAN DANNY</v>
      </c>
      <c r="M79" s="224">
        <f>I79-F79</f>
        <v>2.6053240741021E-2</v>
      </c>
      <c r="N79" s="225">
        <f>24*60*SUM($M79:$M79)</f>
        <v>37.51666666707024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-03T11:22:52-0700',mode:absolute,to:'2018-01-03T14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23.298400000000001</v>
      </c>
      <c r="Z79" s="247">
        <f>RIGHT(H79,LEN(H79)-4)/10000</f>
        <v>1.7600000000000001E-2</v>
      </c>
      <c r="AA79" s="247">
        <f>ABS(Z79-Y79)</f>
        <v>23.280799999999999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166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/stypes="app*4059*20180103*" /stext=" 20:.+((SYSTEM_STATE.+slice.+state.+changed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1"/>
        <v>"%USERPROFILE%\Documents\GitHub\eaglep3\Utilities\RefineRTDCRunTimes.py" --tripid 166-03 --locoid 4059 --swversion DE.1.0.9.0 --startMP 204:232984 --initTime 2018-01-03T12:22:52 --startdatetime 2018-01-03T12:42:15 --delay 72 --endMP 204:176 --enddatetime 2018-01-03T13:19:46 --enforcementcount 0 &gt;&gt;%USERPROFILE%\Documents\GitHub\eaglep3-reporting\EC\2018-01-03-refined-times.txt</v>
      </c>
      <c r="AI7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{"issue":{"subject":"","project_id":79,"tracker_id":40,"status_id":1,"priority_id":2,"assigned_to_id":338,"start_date":"2018-01-03","description":"","custom_fields":[{"id":1,"name":"Subdivision","value":"EC"},{"id":4,"name":"Milepost","value":"0.0176"},{"id":17,"name":"Train ID","value":"166-03"},{"id":16,"name":"Locomotive ID","value":"4059"},{"id":130,"name":"Impact","value":""},{"id":150,"name":"Time of Event (Mountain Time)","value":"13:19:46"},{"id":151,"name":"Denver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3"/>
        <v>start /low /b %USERPROFILE%\Documents\GitHub\eaglep3\Utilities\DownloadLogsFromS3.py --loco 4059 --day 2018-01-03</v>
      </c>
      <c r="AN7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5"/>
        <v>https://d0f6bd738d7f1b3e5a7ca70fe4ff75f0.us-east-1.aws.found.io/app/kibana#/discover/Steve-Slow-Train-Analysis-(2080s-and-2083s)?_g=(refreshInterval:(display:Off,pause:!f,section:0,value:0),time:(from:'2018-01-03T11:22:52-0700',mode:absolute,to:'2018-01-03T14:19:46-0700'))&amp;_a=(columns:!('Message%20ID',Summary),filters:!(),index:'emp_*',interval:auto,query:(query_string:(analyze_wildcard:!t,query:'%22rtdc.l.rtdc.4059%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769</v>
      </c>
      <c r="B80" s="225">
        <v>4042</v>
      </c>
      <c r="C80" s="227" t="s">
        <v>192</v>
      </c>
      <c r="D80" s="227" t="s">
        <v>938</v>
      </c>
      <c r="E80" s="226">
        <v>43103.504259259258</v>
      </c>
      <c r="F80" s="226">
        <v>43103.506226851852</v>
      </c>
      <c r="G80" s="225">
        <v>94</v>
      </c>
      <c r="H80" s="227" t="s">
        <v>546</v>
      </c>
      <c r="I80" s="226">
        <v>43103.527696759258</v>
      </c>
      <c r="J80" s="225">
        <v>0</v>
      </c>
      <c r="K80" s="237" t="str">
        <f>IF(ISEVEN(B80),(B80-1)&amp;"/"&amp;B80,B80&amp;"/"&amp;(B80+1))</f>
        <v>4041/4042</v>
      </c>
      <c r="L80" s="245" t="str">
        <f>VLOOKUP(A80,'Trips&amp;Operators'!$C$1:$G$99911,5,FALSE)</f>
        <v>LEVIN SCOTT</v>
      </c>
      <c r="M80" s="224">
        <f>I80-F80</f>
        <v>2.1469907405844424E-2</v>
      </c>
      <c r="N80" s="225"/>
      <c r="O80" s="225"/>
      <c r="P80" s="225">
        <f>24*60*SUM($M80:$M80)</f>
        <v>30.91666666441597</v>
      </c>
      <c r="Q80" s="228"/>
      <c r="R80" s="242" t="s">
        <v>1121</v>
      </c>
      <c r="S80" s="249">
        <f>1/IF(AG80="EC",12,1)*SUM(U80:U80)</f>
        <v>1</v>
      </c>
      <c r="T80" s="242" t="str">
        <f>IF(ISEVEN(LEFT(AD80,4)),"Southbound","NorthBound")</f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-03T11:06:08-0700',mode:absolute,to:'2018-01-03T13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247" t="str">
        <f>IF(AA80&lt;VLOOKUP(AG80,Variables!$AC$3:$AD$8,2,FALSE),"Y","N")</f>
        <v>Y</v>
      </c>
      <c r="X80" s="247">
        <f>VALUE(LEFT(AD80,4))-VALUE(LEFT(AD79,4))</f>
        <v>1</v>
      </c>
      <c r="Y80" s="247">
        <f>RIGHT(D80,LEN(D80)-4)/10000</f>
        <v>1.9147000000000001</v>
      </c>
      <c r="Z80" s="247">
        <f>RIGHT(H80,LEN(H80)-4)/10000</f>
        <v>23.333400000000001</v>
      </c>
      <c r="AA80" s="247">
        <f>ABS(Z80-Y80)</f>
        <v>21.418700000000001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167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/stypes="app*4042*20180103*" /stext=" 19:.+((SYSTEM_STATE.+slice.+state.+changed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1"/>
        <v>"%USERPROFILE%\Documents\GitHub\eaglep3\Utilities\RefineRTDCRunTimes.py" --tripid 167-03 --locoid 4042 --swversion DE.1.0.9.0 --startMP 204:19147 --initTime 2018-01-03T12:06:08 --startdatetime 2018-01-03T12:08:58 --delay 94 --endMP 204:233334 --enddatetime 2018-01-03T12:39:53 --enforcementcount 0 &gt;&gt;%USERPROFILE%\Documents\GitHub\eaglep3-reporting\EC\2018-01-03-refined-times.txt</v>
      </c>
      <c r="AI80" s="238" t="str">
        <f t="shared" si="12"/>
        <v>echo {"issue":{"subject":"Onboard en route failure during init at DUS","project_id":79,"tracker_id":40,"status_id":1,"priority_id":2,"assigned_to_id":338,"start_date":"2018-01-03","description":"","custom_fields":[{"id":1,"name":"Subdivision","value":"EC"},{"id":4,"name":"Milepost","value":"23.3334"},{"id":17,"name":"Train ID","value":"167-03"},{"id":16,"name":"Locomotive ID","value":"4042"},{"id":130,"name":"Impact","value":""},{"id":150,"name":"Time of Event (Mountain Time)","value":"12:39:53"},{"id":151,"name":"Denver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3"/>
        <v>start /low /b %USERPROFILE%\Documents\GitHub\eaglep3\Utilities\DownloadLogsFromS3.py --loco 4042 --day 2018-01-03</v>
      </c>
      <c r="AN80" s="241" t="str">
        <f t="shared" si="14"/>
        <v>echo {"issue":{"subject":"Onboard en route failure during init at DUS","project_id":30,"tracker_id":4,"status_id":1,"priority_id":1,"assigned_to_id":10,"start_date":"2018-01-03","description":"","custom_fields":[{"id":30,"name":"Category","value":"Issue"},{"id":3,"name":"Functional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5"/>
        <v>https://d0f6bd738d7f1b3e5a7ca70fe4ff75f0.us-east-1.aws.found.io/app/kibana#/discover/Steve-Slow-Train-Analysis-(2080s-and-2083s)?_g=(refreshInterval:(display:Off,pause:!f,section:0,value:0),time:(from:'2018-01-03T11:06:08-0700',mode:absolute,to:'2018-01-03T13:39:53-0700'))&amp;_a=(columns:!('Message%20ID',Summary),filters:!(),index:'emp_*',interval:auto,query:(query_string:(analyze_wildcard:!t,query:'%22rtdc.l.rtdc.4042%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769</v>
      </c>
      <c r="B81" s="225">
        <v>4042</v>
      </c>
      <c r="C81" s="227" t="s">
        <v>192</v>
      </c>
      <c r="D81" s="227" t="s">
        <v>519</v>
      </c>
      <c r="E81" s="226">
        <v>43103.495625000003</v>
      </c>
      <c r="F81" s="226">
        <v>43103.506226851852</v>
      </c>
      <c r="G81" s="225">
        <v>120</v>
      </c>
      <c r="H81" s="227" t="s">
        <v>536</v>
      </c>
      <c r="I81" s="226">
        <v>43103.527696759258</v>
      </c>
      <c r="J81" s="225">
        <v>0</v>
      </c>
      <c r="K81" s="237" t="str">
        <f>IF(ISEVEN(B81),(B81-1)&amp;"/"&amp;B81,B81&amp;"/"&amp;(B81+1))</f>
        <v>4041/4042</v>
      </c>
      <c r="L81" s="245" t="str">
        <f>VLOOKUP(A81,'Trips&amp;Operators'!$C$1:$G$99911,5,FALSE)</f>
        <v>LEVIN SCOTT</v>
      </c>
      <c r="M81" s="224">
        <f>I81-F81</f>
        <v>2.1469907405844424E-2</v>
      </c>
      <c r="N81" s="225"/>
      <c r="O81" s="225"/>
      <c r="P81" s="225"/>
      <c r="Q81" s="228"/>
      <c r="R81" s="242"/>
      <c r="S81" s="249"/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-03T10:53:42-0700',mode:absolute,to:'2018-01-03T13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247" t="str">
        <f>IF(AA81&lt;VLOOKUP(AG81,Variables!$AC$3:$AD$8,2,FALSE),"Y","N")</f>
        <v>Y</v>
      </c>
      <c r="X81" s="247">
        <f>VALUE(LEFT(AD81,4))-VALUE(LEFT(AD80,4))</f>
        <v>0</v>
      </c>
      <c r="Y81" s="247">
        <f>RIGHT(D81,LEN(D81)-4)/10000</f>
        <v>0.05</v>
      </c>
      <c r="Z81" s="247">
        <f>RIGHT(H81,LEN(H81)-4)/10000</f>
        <v>4.8399999999999999E-2</v>
      </c>
      <c r="AA81" s="247">
        <f>ABS(Z81-Y81)</f>
        <v>1.6000000000000042E-3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/stypes="app*4042*20180103*"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1"/>
        <v>"%USERPROFILE%\Documents\GitHub\eaglep3\Utilities\RefineRTDCRunTimes.py" --tripid 167-03 --locoid 4042 --swversion DE.1.0.9.0 --startMP 204:500 --initTime 2018-01-03T11:53:42 --startdatetime 2018-01-03T12:08:58 --delay 120 --endMP 204:484 --enddatetime 2018-01-03T12:39:53 --enforcementcount 0 &gt;&gt;%USERPROFILE%\Documents\GitHub\eaglep3-reporting\EC\2018-01-03-refined-times.txt</v>
      </c>
      <c r="AI8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{"issue":{"subject":"","project_id":79,"tracker_id":40,"status_id":1,"priority_id":2,"assigned_to_id":338,"start_date":"2018-01-03","description":"","custom_fields":[{"id":1,"name":"Subdivision","value":"EC"},{"id":4,"name":"Milepost","value":"0.0484"},{"id":17,"name":"Train ID","value":"167-03"},{"id":16,"name":"Locomotive ID","value":"4042"},{"id":130,"name":"Impact","value":""},{"id":150,"name":"Time of Event (Mountain Time)","value":"12:39:53"},{"id":151,"name":"Denver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3"/>
        <v>start /low /b %USERPROFILE%\Documents\GitHub\eaglep3\Utilities\DownloadLogsFromS3.py --loco 4042 --day 2018-01-03</v>
      </c>
      <c r="AN8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5"/>
        <v>https://d0f6bd738d7f1b3e5a7ca70fe4ff75f0.us-east-1.aws.found.io/app/kibana#/discover/Steve-Slow-Train-Analysis-(2080s-and-2083s)?_g=(refreshInterval:(display:Off,pause:!f,section:0,value:0),time:(from:'2018-01-03T10:53:42-0700',mode:absolute,to:'2018-01-03T13:39:53-0700'))&amp;_a=(columns:!('Message%20ID',Summary),filters:!(),index:'emp_*',interval:auto,query:(query_string:(analyze_wildcard:!t,query:'%22rtdc.l.rtdc.4042%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780</v>
      </c>
      <c r="B82" s="225">
        <v>4041</v>
      </c>
      <c r="C82" s="227" t="s">
        <v>192</v>
      </c>
      <c r="D82" s="227" t="s">
        <v>903</v>
      </c>
      <c r="E82" s="226">
        <v>43103.532106481478</v>
      </c>
      <c r="F82" s="226">
        <v>43103.539872685185</v>
      </c>
      <c r="G82" s="225">
        <v>66</v>
      </c>
      <c r="H82" s="227" t="s">
        <v>939</v>
      </c>
      <c r="I82" s="226">
        <v>43103.56559027778</v>
      </c>
      <c r="J82" s="225">
        <v>0</v>
      </c>
      <c r="K82" s="237" t="str">
        <f>IF(ISEVEN(B82),(B82-1)&amp;"/"&amp;B82,B82&amp;"/"&amp;(B82+1))</f>
        <v>4041/4042</v>
      </c>
      <c r="L82" s="245" t="str">
        <f>VLOOKUP(A82,'Trips&amp;Operators'!$C$1:$G$99911,5,FALSE)</f>
        <v>LEVIN SCOTT</v>
      </c>
      <c r="M82" s="224">
        <f>I82-F82</f>
        <v>2.5717592594446614E-2</v>
      </c>
      <c r="N82" s="225">
        <f>24*60*SUM($M82:$M82)</f>
        <v>37.033333336003125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-03T11:46:14-0700',mode:absolute,to:'2018-01-03T14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23.302099999999999</v>
      </c>
      <c r="Z82" s="247">
        <f>RIGHT(H82,LEN(H82)-4)/10000</f>
        <v>1.61E-2</v>
      </c>
      <c r="AA82" s="247">
        <f>ABS(Z82-Y82)</f>
        <v>23.285999999999998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/stypes="app*4041*20180103*"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1"/>
        <v>"%USERPROFILE%\Documents\GitHub\eaglep3\Utilities\RefineRTDCRunTimes.py" --tripid 168-03 --locoid 4041 --swversion DE.1.0.9.0 --startMP 204:233021 --initTime 2018-01-03T12:46:14 --startdatetime 2018-01-03T12:57:25 --delay 66 --endMP 204:161 --enddatetime 2018-01-03T13:34:27 --enforcementcount 0 &gt;&gt;%USERPROFILE%\Documents\GitHub\eaglep3-reporting\EC\2018-01-03-refined-times.txt</v>
      </c>
      <c r="AI8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{"issue":{"subject":"","project_id":79,"tracker_id":40,"status_id":1,"priority_id":2,"assigned_to_id":338,"start_date":"2018-01-03","description":"","custom_fields":[{"id":1,"name":"Subdivision","value":"EC"},{"id":4,"name":"Milepost","value":"0.0161"},{"id":17,"name":"Train ID","value":"168-03"},{"id":16,"name":"Locomotive ID","value":"4041"},{"id":130,"name":"Impact","value":""},{"id":150,"name":"Time of Event (Mountain Time)","value":"13:34:27"},{"id":151,"name":"Denver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3"/>
        <v>start /low /b %USERPROFILE%\Documents\GitHub\eaglep3\Utilities\DownloadLogsFromS3.py --loco 4041 --day 2018-01-03</v>
      </c>
      <c r="AN82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5"/>
        <v>https://d0f6bd738d7f1b3e5a7ca70fe4ff75f0.us-east-1.aws.found.io/app/kibana#/discover/Steve-Slow-Train-Analysis-(2080s-and-2083s)?_g=(refreshInterval:(display:Off,pause:!f,section:0,value:0),time:(from:'2018-01-03T11:46:14-0700',mode:absolute,to:'2018-01-03T14:34:27-0700'))&amp;_a=(columns:!('Message%20ID',Summary),filters:!(),index:'emp_*',interval:auto,query:(query_string:(analyze_wildcard:!t,query:'%22rtdc.l.rtdc.4041%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771</v>
      </c>
      <c r="B83" s="225">
        <v>4030</v>
      </c>
      <c r="C83" s="227" t="s">
        <v>192</v>
      </c>
      <c r="D83" s="227" t="s">
        <v>940</v>
      </c>
      <c r="E83" s="226">
        <v>43103.505810185183</v>
      </c>
      <c r="F83" s="226">
        <v>43103.510833333334</v>
      </c>
      <c r="G83" s="225">
        <v>68</v>
      </c>
      <c r="H83" s="227" t="s">
        <v>906</v>
      </c>
      <c r="I83" s="226">
        <v>43103.535601851851</v>
      </c>
      <c r="J83" s="225">
        <v>0</v>
      </c>
      <c r="K83" s="237" t="str">
        <f>IF(ISEVEN(B83),(B83-1)&amp;"/"&amp;B83,B83&amp;"/"&amp;(B83+1))</f>
        <v>4029/4030</v>
      </c>
      <c r="L83" s="245" t="str">
        <f>VLOOKUP(A83,'Trips&amp;Operators'!$C$1:$G$99911,5,FALSE)</f>
        <v>KILLION DAVID</v>
      </c>
      <c r="M83" s="224">
        <f>I83-F83</f>
        <v>2.4768518516793847E-2</v>
      </c>
      <c r="N83" s="225">
        <f>24*60*SUM($M83:$M83)</f>
        <v>35.66666666418314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-03T11:08:22-0700',mode:absolute,to:'2018-01-03T13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5.04E-2</v>
      </c>
      <c r="Z83" s="247">
        <f>RIGHT(H83,LEN(H83)-4)/10000</f>
        <v>23.328399999999998</v>
      </c>
      <c r="AA83" s="247">
        <f>ABS(Z83-Y83)</f>
        <v>23.277999999999999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/stypes="app*4030*20180103*"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1"/>
        <v>"%USERPROFILE%\Documents\GitHub\eaglep3\Utilities\RefineRTDCRunTimes.py" --tripid 169-03 --locoid 4030 --swversion DE.1.0.9.0 --startMP 204:504 --initTime 2018-01-03T12:08:22 --startdatetime 2018-01-03T12:15:36 --delay 68 --endMP 204:233284 --enddatetime 2018-01-03T12:51:16 --enforcementcount 0 &gt;&gt;%USERPROFILE%\Documents\GitHub\eaglep3-reporting\EC\2018-01-03-refined-times.txt</v>
      </c>
      <c r="AI8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{"issue":{"subject":"","project_id":79,"tracker_id":40,"status_id":1,"priority_id":2,"assigned_to_id":338,"start_date":"2018-01-03","description":"","custom_fields":[{"id":1,"name":"Subdivision","value":"EC"},{"id":4,"name":"Milepost","value":"23.3284"},{"id":17,"name":"Train ID","value":"169-03"},{"id":16,"name":"Locomotive ID","value":"4030"},{"id":130,"name":"Impact","value":""},{"id":150,"name":"Time of Event (Mountain Time)","value":"12:51:16"},{"id":151,"name":"Denver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3"/>
        <v>start /low /b %USERPROFILE%\Documents\GitHub\eaglep3\Utilities\DownloadLogsFromS3.py --loco 4030 --day 2018-01-03</v>
      </c>
      <c r="AN8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5"/>
        <v>https://d0f6bd738d7f1b3e5a7ca70fe4ff75f0.us-east-1.aws.found.io/app/kibana#/discover/Steve-Slow-Train-Analysis-(2080s-and-2083s)?_g=(refreshInterval:(display:Off,pause:!f,section:0,value:0),time:(from:'2018-01-03T11:08:22-0700',mode:absolute,to:'2018-01-03T13:51:16-0700'))&amp;_a=(columns:!('Message%20ID',Summary),filters:!(),index:'emp_*',interval:auto,query:(query_string:(analyze_wildcard:!t,query:'%22rtdc.l.rtdc.4030%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782</v>
      </c>
      <c r="B84" s="225">
        <v>4029</v>
      </c>
      <c r="C84" s="227" t="s">
        <v>192</v>
      </c>
      <c r="D84" s="227" t="s">
        <v>941</v>
      </c>
      <c r="E84" s="226">
        <v>43103.541180555556</v>
      </c>
      <c r="F84" s="226">
        <v>43103.550243055557</v>
      </c>
      <c r="G84" s="225">
        <v>65</v>
      </c>
      <c r="H84" s="227" t="s">
        <v>563</v>
      </c>
      <c r="I84" s="226">
        <v>43103.57671296296</v>
      </c>
      <c r="J84" s="225">
        <v>0</v>
      </c>
      <c r="K84" s="237" t="str">
        <f>IF(ISEVEN(B84),(B84-1)&amp;"/"&amp;B84,B84&amp;"/"&amp;(B84+1))</f>
        <v>4029/4030</v>
      </c>
      <c r="L84" s="245" t="str">
        <f>VLOOKUP(A84,'Trips&amp;Operators'!$C$1:$G$99911,5,FALSE)</f>
        <v>KILLION DAVID</v>
      </c>
      <c r="M84" s="224">
        <f>I84-F84</f>
        <v>2.6469907403225079E-2</v>
      </c>
      <c r="N84" s="225">
        <f>24*60*SUM($M84:$M84)</f>
        <v>38.116666660644114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-03T11:59:18-0700',mode:absolute,to:'2018-01-03T14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23.295200000000001</v>
      </c>
      <c r="Z84" s="247">
        <f>RIGHT(H84,LEN(H84)-4)/10000</f>
        <v>1.7399999999999999E-2</v>
      </c>
      <c r="AA84" s="247">
        <f>ABS(Z84-Y84)</f>
        <v>23.277800000000003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/stypes="app*4029*20180103*"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1"/>
        <v>"%USERPROFILE%\Documents\GitHub\eaglep3\Utilities\RefineRTDCRunTimes.py" --tripid 170-03 --locoid 4029 --swversion DE.1.0.9.0 --startMP 204:232952 --initTime 2018-01-03T12:59:18 --startdatetime 2018-01-03T13:12:21 --delay 65 --endMP 204:174 --enddatetime 2018-01-03T13:50:28 --enforcementcount 0 &gt;&gt;%USERPROFILE%\Documents\GitHub\eaglep3-reporting\EC\2018-01-03-refined-times.txt</v>
      </c>
      <c r="AI8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{"issue":{"subject":"","project_id":79,"tracker_id":40,"status_id":1,"priority_id":2,"assigned_to_id":338,"start_date":"2018-01-03","description":"","custom_fields":[{"id":1,"name":"Subdivision","value":"EC"},{"id":4,"name":"Milepost","value":"0.0174"},{"id":17,"name":"Train ID","value":"170-03"},{"id":16,"name":"Locomotive ID","value":"4029"},{"id":130,"name":"Impact","value":""},{"id":150,"name":"Time of Event (Mountain Time)","value":"13:50:28"},{"id":151,"name":"Denver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3"/>
        <v>start /low /b %USERPROFILE%\Documents\GitHub\eaglep3\Utilities\DownloadLogsFromS3.py --loco 4029 --day 2018-01-03</v>
      </c>
      <c r="AN84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5"/>
        <v>https://d0f6bd738d7f1b3e5a7ca70fe4ff75f0.us-east-1.aws.found.io/app/kibana#/discover/Steve-Slow-Train-Analysis-(2080s-and-2083s)?_g=(refreshInterval:(display:Off,pause:!f,section:0,value:0),time:(from:'2018-01-03T11:59:18-0700',mode:absolute,to:'2018-01-03T14:50:28-0700'))&amp;_a=(columns:!('Message%20ID',Summary),filters:!(),index:'emp_*',interval:auto,query:(query_string:(analyze_wildcard:!t,query:'%22rtdc.l.rtdc.4029%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776</v>
      </c>
      <c r="B85" s="225">
        <v>4050</v>
      </c>
      <c r="C85" s="227" t="s">
        <v>192</v>
      </c>
      <c r="D85" s="227" t="s">
        <v>518</v>
      </c>
      <c r="E85" s="226">
        <v>43103.519444444442</v>
      </c>
      <c r="F85" s="226">
        <v>43103.521226851852</v>
      </c>
      <c r="G85" s="225">
        <v>61</v>
      </c>
      <c r="H85" s="227" t="s">
        <v>942</v>
      </c>
      <c r="I85" s="226">
        <v>43103.547407407408</v>
      </c>
      <c r="J85" s="225">
        <v>0</v>
      </c>
      <c r="K85" s="237" t="str">
        <f>IF(ISEVEN(B85),(B85-1)&amp;"/"&amp;B85,B85&amp;"/"&amp;(B85+1))</f>
        <v>4049/4050</v>
      </c>
      <c r="L85" s="245" t="str">
        <f>VLOOKUP(A85,'Trips&amp;Operators'!$C$1:$G$99911,5,FALSE)</f>
        <v>DAVIS MICHAEL</v>
      </c>
      <c r="M85" s="224">
        <f>I85-F85</f>
        <v>2.6180555556493346E-2</v>
      </c>
      <c r="N85" s="225">
        <f>24*60*SUM($M85:$M85)</f>
        <v>37.700000001350418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-03T11:28:00-0700',mode:absolute,to:'2018-01-03T14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5.0799999999999998E-2</v>
      </c>
      <c r="Z85" s="247">
        <f>RIGHT(H85,LEN(H85)-4)/10000</f>
        <v>23.328700000000001</v>
      </c>
      <c r="AA85" s="247">
        <f>ABS(Z85-Y85)</f>
        <v>23.277900000000002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/stypes="app*4050*20180103*"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1"/>
        <v>"%USERPROFILE%\Documents\GitHub\eaglep3\Utilities\RefineRTDCRunTimes.py" --tripid 171-03 --locoid 4050 --swversion DE.1.0.9.0 --startMP 204:508 --initTime 2018-01-03T12:28:00 --startdatetime 2018-01-03T12:30:34 --delay 61 --endMP 204:233287 --enddatetime 2018-01-03T13:08:16 --enforcementcount 0 &gt;&gt;%USERPROFILE%\Documents\GitHub\eaglep3-reporting\EC\2018-01-03-refined-times.txt</v>
      </c>
      <c r="AI8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{"issue":{"subject":"","project_id":79,"tracker_id":40,"status_id":1,"priority_id":2,"assigned_to_id":338,"start_date":"2018-01-03","description":"","custom_fields":[{"id":1,"name":"Subdivision","value":"EC"},{"id":4,"name":"Milepost","value":"23.3287"},{"id":17,"name":"Train ID","value":"171-03"},{"id":16,"name":"Locomotive ID","value":"4050"},{"id":130,"name":"Impact","value":""},{"id":150,"name":"Time of Event (Mountain Time)","value":"13:08:16"},{"id":151,"name":"Denver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3"/>
        <v>start /low /b %USERPROFILE%\Documents\GitHub\eaglep3\Utilities\DownloadLogsFromS3.py --loco 4050 --day 2018-01-03</v>
      </c>
      <c r="AN85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5"/>
        <v>https://d0f6bd738d7f1b3e5a7ca70fe4ff75f0.us-east-1.aws.found.io/app/kibana#/discover/Steve-Slow-Train-Analysis-(2080s-and-2083s)?_g=(refreshInterval:(display:Off,pause:!f,section:0,value:0),time:(from:'2018-01-03T11:28:00-0700',mode:absolute,to:'2018-01-03T14:08:16-0700'))&amp;_a=(columns:!('Message%20ID',Summary),filters:!(),index:'emp_*',interval:auto,query:(query_string:(analyze_wildcard:!t,query:'%22rtdc.l.rtdc.4050%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786</v>
      </c>
      <c r="B86" s="225">
        <v>4049</v>
      </c>
      <c r="C86" s="227" t="s">
        <v>192</v>
      </c>
      <c r="D86" s="227" t="s">
        <v>943</v>
      </c>
      <c r="E86" s="226">
        <v>43103.558437500003</v>
      </c>
      <c r="F86" s="226">
        <v>43103.560763888891</v>
      </c>
      <c r="G86" s="225">
        <v>69</v>
      </c>
      <c r="H86" s="227" t="s">
        <v>622</v>
      </c>
      <c r="I86" s="226">
        <v>43103.588159722225</v>
      </c>
      <c r="J86" s="225">
        <v>0</v>
      </c>
      <c r="K86" s="237" t="str">
        <f>IF(ISEVEN(B86),(B86-1)&amp;"/"&amp;B86,B86&amp;"/"&amp;(B86+1))</f>
        <v>4049/4050</v>
      </c>
      <c r="L86" s="245" t="str">
        <f>VLOOKUP(A86,'Trips&amp;Operators'!$C$1:$G$99911,5,FALSE)</f>
        <v>DAVIS MICHAEL</v>
      </c>
      <c r="M86" s="224">
        <f>I86-F86</f>
        <v>2.7395833334594499E-2</v>
      </c>
      <c r="N86" s="225">
        <f>24*60*SUM($M86:$M86)</f>
        <v>39.450000001816079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-03T12:24:09-0700',mode:absolute,to:'2018-01-03T15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23.298500000000001</v>
      </c>
      <c r="Z86" s="247">
        <f>RIGHT(H86,LEN(H86)-4)/10000</f>
        <v>2.1999999999999999E-2</v>
      </c>
      <c r="AA86" s="247">
        <f>ABS(Z86-Y86)</f>
        <v>23.276500000000002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/stypes="app*4049*20180103*"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1"/>
        <v>"%USERPROFILE%\Documents\GitHub\eaglep3\Utilities\RefineRTDCRunTimes.py" --tripid 172-03 --locoid 4049 --swversion DE.1.0.9.0 --startMP 204:232985 --initTime 2018-01-03T13:24:09 --startdatetime 2018-01-03T13:27:30 --delay 69 --endMP 204:220 --enddatetime 2018-01-03T14:06:57 --enforcementcount 0 &gt;&gt;%USERPROFILE%\Documents\GitHub\eaglep3-reporting\EC\2018-01-03-refined-times.txt</v>
      </c>
      <c r="AI8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{"issue":{"subject":"","project_id":79,"tracker_id":40,"status_id":1,"priority_id":2,"assigned_to_id":338,"start_date":"2018-01-03","description":"","custom_fields":[{"id":1,"name":"Subdivision","value":"EC"},{"id":4,"name":"Milepost","value":"0.022"},{"id":17,"name":"Train ID","value":"172-03"},{"id":16,"name":"Locomotive ID","value":"4049"},{"id":130,"name":"Impact","value":""},{"id":150,"name":"Time of Event (Mountain Time)","value":"14:06:57"},{"id":151,"name":"Denver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3"/>
        <v>start /low /b %USERPROFILE%\Documents\GitHub\eaglep3\Utilities\DownloadLogsFromS3.py --loco 4049 --day 2018-01-03</v>
      </c>
      <c r="AN86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5"/>
        <v>https://d0f6bd738d7f1b3e5a7ca70fe4ff75f0.us-east-1.aws.found.io/app/kibana#/discover/Steve-Slow-Train-Analysis-(2080s-and-2083s)?_g=(refreshInterval:(display:Off,pause:!f,section:0,value:0),time:(from:'2018-01-03T12:24:09-0700',mode:absolute,to:'2018-01-03T15:06:57-0700'))&amp;_a=(columns:!('Message%20ID',Summary),filters:!(),index:'emp_*',interval:auto,query:(query_string:(analyze_wildcard:!t,query:'%22rtdc.l.rtdc.4049%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777</v>
      </c>
      <c r="B87" s="225">
        <v>4062</v>
      </c>
      <c r="C87" s="227" t="s">
        <v>192</v>
      </c>
      <c r="D87" s="227" t="s">
        <v>944</v>
      </c>
      <c r="E87" s="226">
        <v>43103.526921296296</v>
      </c>
      <c r="F87" s="226">
        <v>43103.531481481485</v>
      </c>
      <c r="G87" s="225">
        <v>98</v>
      </c>
      <c r="H87" s="227" t="s">
        <v>945</v>
      </c>
      <c r="I87" s="226">
        <v>43103.555115740739</v>
      </c>
      <c r="J87" s="225">
        <v>0</v>
      </c>
      <c r="K87" s="237" t="str">
        <f>IF(ISEVEN(B87),(B87-1)&amp;"/"&amp;B87,B87&amp;"/"&amp;(B87+1))</f>
        <v>4061/4062</v>
      </c>
      <c r="L87" s="245" t="str">
        <f>VLOOKUP(A87,'Trips&amp;Operators'!$C$1:$G$99911,5,FALSE)</f>
        <v>HOLCOMB KAMDEN</v>
      </c>
      <c r="M87" s="224">
        <f>I87-F87</f>
        <v>2.3634259254322387E-2</v>
      </c>
      <c r="N87" s="225">
        <f>24*60*SUM($M87:$M87)</f>
        <v>34.033333326224238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-03T11:38:46-0700',mode:absolute,to:'2018-01-03T14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4.3700000000000003E-2</v>
      </c>
      <c r="Z87" s="247">
        <f>RIGHT(H87,LEN(H87)-4)/10000</f>
        <v>23.3245</v>
      </c>
      <c r="AA87" s="247">
        <f>ABS(Z87-Y87)</f>
        <v>23.280799999999999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/stypes="app*4062*20180103*"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1"/>
        <v>"%USERPROFILE%\Documents\GitHub\eaglep3\Utilities\RefineRTDCRunTimes.py" --tripid 173-03 --locoid 4062 --swversion DE.1.0.9.0 --startMP 204:437 --initTime 2018-01-03T12:38:46 --startdatetime 2018-01-03T12:45:20 --delay 98 --endMP 204:233245 --enddatetime 2018-01-03T13:19:22 --enforcementcount 0 &gt;&gt;%USERPROFILE%\Documents\GitHub\eaglep3-reporting\EC\2018-01-03-refined-times.txt</v>
      </c>
      <c r="AI8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{"issue":{"subject":"","project_id":79,"tracker_id":40,"status_id":1,"priority_id":2,"assigned_to_id":338,"start_date":"2018-01-03","description":"","custom_fields":[{"id":1,"name":"Subdivision","value":"EC"},{"id":4,"name":"Milepost","value":"23.3245"},{"id":17,"name":"Train ID","value":"173-03"},{"id":16,"name":"Locomotive ID","value":"4062"},{"id":130,"name":"Impact","value":""},{"id":150,"name":"Time of Event (Mountain Time)","value":"13:19:22"},{"id":151,"name":"Denver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3"/>
        <v>start /low /b %USERPROFILE%\Documents\GitHub\eaglep3\Utilities\DownloadLogsFromS3.py --loco 4062 --day 2018-01-03</v>
      </c>
      <c r="AN87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5"/>
        <v>https://d0f6bd738d7f1b3e5a7ca70fe4ff75f0.us-east-1.aws.found.io/app/kibana#/discover/Steve-Slow-Train-Analysis-(2080s-and-2083s)?_g=(refreshInterval:(display:Off,pause:!f,section:0,value:0),time:(from:'2018-01-03T11:38:46-0700',mode:absolute,to:'2018-01-03T14:19:22-0700'))&amp;_a=(columns:!('Message%20ID',Summary),filters:!(),index:'emp_*',interval:auto,query:(query_string:(analyze_wildcard:!t,query:'%22rtdc.l.rtdc.4062%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654</v>
      </c>
      <c r="B88" s="225">
        <v>4061</v>
      </c>
      <c r="C88" s="227" t="s">
        <v>192</v>
      </c>
      <c r="D88" s="227" t="s">
        <v>946</v>
      </c>
      <c r="E88" s="226">
        <v>43103.566493055558</v>
      </c>
      <c r="F88" s="226">
        <v>43103.571099537039</v>
      </c>
      <c r="G88" s="225">
        <v>73</v>
      </c>
      <c r="H88" s="227" t="s">
        <v>607</v>
      </c>
      <c r="I88" s="226">
        <v>43103.597037037034</v>
      </c>
      <c r="J88" s="225">
        <v>0</v>
      </c>
      <c r="K88" s="237" t="str">
        <f>IF(ISEVEN(B88),(B88-1)&amp;"/"&amp;B88,B88&amp;"/"&amp;(B88+1))</f>
        <v>4061/4062</v>
      </c>
      <c r="L88" s="245" t="str">
        <f>VLOOKUP(A88,'Trips&amp;Operators'!$C$1:$G$99911,5,FALSE)</f>
        <v>HOLCOMB KAMDEN</v>
      </c>
      <c r="M88" s="224">
        <f>I88-F88</f>
        <v>2.5937499995052349E-2</v>
      </c>
      <c r="N88" s="225">
        <f>24*60*SUM($M88:$M88)</f>
        <v>37.349999992875382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-03T12:35:45-0700',mode:absolute,to:'2018-01-03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23.2925</v>
      </c>
      <c r="Z88" s="247">
        <f>RIGHT(H88,LEN(H88)-4)/10000</f>
        <v>1.29E-2</v>
      </c>
      <c r="AA88" s="247">
        <f>ABS(Z88-Y88)</f>
        <v>23.279600000000002</v>
      </c>
      <c r="AB88" s="233" t="str">
        <f>VLOOKUP(A88,Enforcements!$C$7:$K$9,8,0)</f>
        <v>Bulletin (2)</v>
      </c>
      <c r="AC88" s="232" t="str">
        <f>VLOOKUP(A88,Enforcements!$C$7:$E$9,3,0)</f>
        <v>GRADE CROSSING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/stypes="app*4061*20180103*"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1"/>
        <v>"%USERPROFILE%\Documents\GitHub\eaglep3\Utilities\RefineRTDCRunTimes.py" --tripid 174-03 --locoid 4061 --swversion DE.1.0.9.0 --startMP 204:232925 --initTime 2018-01-03T13:35:45 --startdatetime 2018-01-03T13:42:23 --delay 73 --endMP 204:129 --enddatetime 2018-01-03T14:19:44 --enforcementcount 0 &gt;&gt;%USERPROFILE%\Documents\GitHub\eaglep3-reporting\EC\2018-01-03-refined-times.txt</v>
      </c>
      <c r="AI8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{"issue":{"subject":"","project_id":79,"tracker_id":40,"status_id":1,"priority_id":2,"assigned_to_id":338,"start_date":"2018-01-03","description":"","custom_fields":[{"id":1,"name":"Subdivision","value":"EC"},{"id":4,"name":"Milepost","value":"0.0129"},{"id":17,"name":"Train ID","value":"174-03"},{"id":16,"name":"Locomotive ID","value":"4061"},{"id":130,"name":"Impact","value":""},{"id":150,"name":"Time of Event (Mountain Time)","value":"14:19:44"},{"id":151,"name":"Denver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3"/>
        <v>start /low /b %USERPROFILE%\Documents\GitHub\eaglep3\Utilities\DownloadLogsFromS3.py --loco 4061 --day 2018-01-03</v>
      </c>
      <c r="AN8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5"/>
        <v>https://d0f6bd738d7f1b3e5a7ca70fe4ff75f0.us-east-1.aws.found.io/app/kibana#/discover/Steve-Slow-Train-Analysis-(2080s-and-2083s)?_g=(refreshInterval:(display:Off,pause:!f,section:0,value:0),time:(from:'2018-01-03T12:35:45-0700',mode:absolute,to:'2018-01-03T15:19:44-0700'))&amp;_a=(columns:!('Message%20ID',Summary),filters:!(),index:'emp_*',interval:auto,query:(query_string:(analyze_wildcard:!t,query:'%22rtdc.l.rtdc.4061%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781</v>
      </c>
      <c r="B89" s="225">
        <v>4020</v>
      </c>
      <c r="C89" s="227" t="s">
        <v>192</v>
      </c>
      <c r="D89" s="227" t="s">
        <v>616</v>
      </c>
      <c r="E89" s="226">
        <v>43103.539027777777</v>
      </c>
      <c r="F89" s="226">
        <v>43103.541851851849</v>
      </c>
      <c r="G89" s="225">
        <v>68</v>
      </c>
      <c r="H89" s="227" t="s">
        <v>947</v>
      </c>
      <c r="I89" s="226">
        <v>43103.567499999997</v>
      </c>
      <c r="J89" s="225">
        <v>0</v>
      </c>
      <c r="K89" s="237" t="str">
        <f>IF(ISEVEN(B89),(B89-1)&amp;"/"&amp;B89,B89&amp;"/"&amp;(B89+1))</f>
        <v>4019/4020</v>
      </c>
      <c r="L89" s="245" t="str">
        <f>VLOOKUP(A89,'Trips&amp;Operators'!$C$1:$G$99911,5,FALSE)</f>
        <v>BRUDER RICHARD</v>
      </c>
      <c r="M89" s="224">
        <f>I89-F89</f>
        <v>2.5648148148320615E-2</v>
      </c>
      <c r="N89" s="225">
        <f>24*60*SUM($M89:$M89)</f>
        <v>36.933333333581686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-03T11:56:12-0700',mode:absolute,to:'2018-01-03T14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5.3999999999999999E-2</v>
      </c>
      <c r="Z89" s="247">
        <f>RIGHT(H89,LEN(H89)-4)/10000</f>
        <v>23.321000000000002</v>
      </c>
      <c r="AA89" s="247">
        <f>ABS(Z89-Y89)</f>
        <v>23.267000000000003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/stypes="app*4020*20180103*"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1"/>
        <v>"%USERPROFILE%\Documents\GitHub\eaglep3\Utilities\RefineRTDCRunTimes.py" --tripid 175-03 --locoid 4020 --swversion DE.1.0.9.0 --startMP 204:540 --initTime 2018-01-03T12:56:12 --startdatetime 2018-01-03T13:00:16 --delay 68 --endMP 204:233210 --enddatetime 2018-01-03T13:37:12 --enforcementcount 0 &gt;&gt;%USERPROFILE%\Documents\GitHub\eaglep3-reporting\EC\2018-01-03-refined-times.txt</v>
      </c>
      <c r="AI8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{"issue":{"subject":"","project_id":79,"tracker_id":40,"status_id":1,"priority_id":2,"assigned_to_id":338,"start_date":"2018-01-03","description":"","custom_fields":[{"id":1,"name":"Subdivision","value":"EC"},{"id":4,"name":"Milepost","value":"23.321"},{"id":17,"name":"Train ID","value":"175-03"},{"id":16,"name":"Locomotive ID","value":"4020"},{"id":130,"name":"Impact","value":""},{"id":150,"name":"Time of Event (Mountain Time)","value":"13:37:12"},{"id":151,"name":"Denver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3"/>
        <v>start /low /b %USERPROFILE%\Documents\GitHub\eaglep3\Utilities\DownloadLogsFromS3.py --loco 4020 --day 2018-01-03</v>
      </c>
      <c r="AN8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5"/>
        <v>https://d0f6bd738d7f1b3e5a7ca70fe4ff75f0.us-east-1.aws.found.io/app/kibana#/discover/Steve-Slow-Train-Analysis-(2080s-and-2083s)?_g=(refreshInterval:(display:Off,pause:!f,section:0,value:0),time:(from:'2018-01-03T11:56:12-0700',mode:absolute,to:'2018-01-03T14:37:12-0700'))&amp;_a=(columns:!('Message%20ID',Summary),filters:!(),index:'emp_*',interval:auto,query:(query_string:(analyze_wildcard:!t,query:'%22rtdc.l.rtdc.4020%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791</v>
      </c>
      <c r="B90" s="225">
        <v>4019</v>
      </c>
      <c r="C90" s="227" t="s">
        <v>192</v>
      </c>
      <c r="D90" s="227" t="s">
        <v>948</v>
      </c>
      <c r="E90" s="226">
        <v>43103.576631944445</v>
      </c>
      <c r="F90" s="226">
        <v>43103.581423611111</v>
      </c>
      <c r="G90" s="225">
        <v>63</v>
      </c>
      <c r="H90" s="227" t="s">
        <v>622</v>
      </c>
      <c r="I90" s="226">
        <v>43103.606736111113</v>
      </c>
      <c r="J90" s="225">
        <v>0</v>
      </c>
      <c r="K90" s="237" t="str">
        <f>IF(ISEVEN(B90),(B90-1)&amp;"/"&amp;B90,B90&amp;"/"&amp;(B90+1))</f>
        <v>4019/4020</v>
      </c>
      <c r="L90" s="245" t="str">
        <f>VLOOKUP(A90,'Trips&amp;Operators'!$C$1:$G$99911,5,FALSE)</f>
        <v>BRUDER RICHARD</v>
      </c>
      <c r="M90" s="224">
        <f>I90-F90</f>
        <v>2.531250000174623E-2</v>
      </c>
      <c r="N90" s="225">
        <f>24*60*SUM($M90:$M90)</f>
        <v>36.450000002514571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-03T12:50:21-0700',mode:absolute,to:'2018-01-03T15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23.288499999999999</v>
      </c>
      <c r="Z90" s="247">
        <f>RIGHT(H90,LEN(H90)-4)/10000</f>
        <v>2.1999999999999999E-2</v>
      </c>
      <c r="AA90" s="247">
        <f>ABS(Z90-Y90)</f>
        <v>23.266500000000001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/stypes="app*4019*20180103*"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1"/>
        <v>"%USERPROFILE%\Documents\GitHub\eaglep3\Utilities\RefineRTDCRunTimes.py" --tripid 176-03 --locoid 4019 --swversion DE.1.0.9.0 --startMP 204:232885 --initTime 2018-01-03T13:50:21 --startdatetime 2018-01-03T13:57:15 --delay 63 --endMP 204:220 --enddatetime 2018-01-03T14:33:42 --enforcementcount 0 &gt;&gt;%USERPROFILE%\Documents\GitHub\eaglep3-reporting\EC\2018-01-03-refined-times.txt</v>
      </c>
      <c r="AI9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{"issue":{"subject":"","project_id":79,"tracker_id":40,"status_id":1,"priority_id":2,"assigned_to_id":338,"start_date":"2018-01-03","description":"","custom_fields":[{"id":1,"name":"Subdivision","value":"EC"},{"id":4,"name":"Milepost","value":"0.022"},{"id":17,"name":"Train ID","value":"176-03"},{"id":16,"name":"Locomotive ID","value":"4019"},{"id":130,"name":"Impact","value":""},{"id":150,"name":"Time of Event (Mountain Time)","value":"14:33:42"},{"id":151,"name":"Denver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3"/>
        <v>start /low /b %USERPROFILE%\Documents\GitHub\eaglep3\Utilities\DownloadLogsFromS3.py --loco 4019 --day 2018-01-03</v>
      </c>
      <c r="AN90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5"/>
        <v>https://d0f6bd738d7f1b3e5a7ca70fe4ff75f0.us-east-1.aws.found.io/app/kibana#/discover/Steve-Slow-Train-Analysis-(2080s-and-2083s)?_g=(refreshInterval:(display:Off,pause:!f,section:0,value:0),time:(from:'2018-01-03T12:50:21-0700',mode:absolute,to:'2018-01-03T15:33:42-0700'))&amp;_a=(columns:!('Message%20ID',Summary),filters:!(),index:'emp_*',interval:auto,query:(query_string:(analyze_wildcard:!t,query:'%22rtdc.l.rtdc.4019%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784</v>
      </c>
      <c r="B91" s="225">
        <v>4004</v>
      </c>
      <c r="C91" s="227" t="s">
        <v>192</v>
      </c>
      <c r="D91" s="227" t="s">
        <v>507</v>
      </c>
      <c r="E91" s="226">
        <v>43103.550520833334</v>
      </c>
      <c r="F91" s="226">
        <v>43103.552268518521</v>
      </c>
      <c r="G91" s="225">
        <v>51</v>
      </c>
      <c r="H91" s="227" t="s">
        <v>949</v>
      </c>
      <c r="I91" s="226">
        <v>43103.576793981483</v>
      </c>
      <c r="J91" s="225">
        <v>0</v>
      </c>
      <c r="K91" s="237" t="str">
        <f>IF(ISEVEN(B91),(B91-1)&amp;"/"&amp;B91,B91&amp;"/"&amp;(B91+1))</f>
        <v>4003/4004</v>
      </c>
      <c r="L91" s="245" t="str">
        <f>VLOOKUP(A91,'Trips&amp;Operators'!$C$1:$G$99911,5,FALSE)</f>
        <v>STEWART MICHAEL</v>
      </c>
      <c r="M91" s="224">
        <f>I91-F91</f>
        <v>2.4525462962628808E-2</v>
      </c>
      <c r="N91" s="225">
        <f>24*60*SUM($M91:$M91)</f>
        <v>35.316666666185483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-03T12:12:45-0700',mode:absolute,to:'2018-01-03T14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4.8899999999999999E-2</v>
      </c>
      <c r="Z91" s="247">
        <f>RIGHT(H91,LEN(H91)-4)/10000</f>
        <v>23.323799999999999</v>
      </c>
      <c r="AA91" s="247">
        <f>ABS(Z91-Y91)</f>
        <v>23.274899999999999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/stypes="app*4004*20180103*"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1"/>
        <v>"%USERPROFILE%\Documents\GitHub\eaglep3\Utilities\RefineRTDCRunTimes.py" --tripid 177-03 --locoid 4004 --swversion DE.1.0.9.0 --startMP 204:489 --initTime 2018-01-03T13:12:45 --startdatetime 2018-01-03T13:15:16 --delay 51 --endMP 204:233238 --enddatetime 2018-01-03T13:50:35 --enforcementcount 0 &gt;&gt;%USERPROFILE%\Documents\GitHub\eaglep3-reporting\EC\2018-01-03-refined-times.txt</v>
      </c>
      <c r="AI9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{"issue":{"subject":"","project_id":79,"tracker_id":40,"status_id":1,"priority_id":2,"assigned_to_id":338,"start_date":"2018-01-03","description":"","custom_fields":[{"id":1,"name":"Subdivision","value":"EC"},{"id":4,"name":"Milepost","value":"23.3238"},{"id":17,"name":"Train ID","value":"177-03"},{"id":16,"name":"Locomotive ID","value":"4004"},{"id":130,"name":"Impact","value":""},{"id":150,"name":"Time of Event (Mountain Time)","value":"13:50:35"},{"id":151,"name":"Denver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3"/>
        <v>start /low /b %USERPROFILE%\Documents\GitHub\eaglep3\Utilities\DownloadLogsFromS3.py --loco 4004 --day 2018-01-03</v>
      </c>
      <c r="AN9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5"/>
        <v>https://d0f6bd738d7f1b3e5a7ca70fe4ff75f0.us-east-1.aws.found.io/app/kibana#/discover/Steve-Slow-Train-Analysis-(2080s-and-2083s)?_g=(refreshInterval:(display:Off,pause:!f,section:0,value:0),time:(from:'2018-01-03T12:12:45-0700',mode:absolute,to:'2018-01-03T14:50:35-0700'))&amp;_a=(columns:!('Message%20ID',Summary),filters:!(),index:'emp_*',interval:auto,query:(query_string:(analyze_wildcard:!t,query:'%22rtdc.l.rtdc.4004%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655</v>
      </c>
      <c r="B92" s="225">
        <v>4003</v>
      </c>
      <c r="C92" s="227" t="s">
        <v>192</v>
      </c>
      <c r="D92" s="227" t="s">
        <v>626</v>
      </c>
      <c r="E92" s="226">
        <v>43103.587175925924</v>
      </c>
      <c r="F92" s="226">
        <v>43103.591863425929</v>
      </c>
      <c r="G92" s="225">
        <v>58</v>
      </c>
      <c r="H92" s="227" t="s">
        <v>517</v>
      </c>
      <c r="I92" s="226">
        <v>43103.618668981479</v>
      </c>
      <c r="J92" s="225">
        <v>0</v>
      </c>
      <c r="K92" s="237" t="str">
        <f>IF(ISEVEN(B92),(B92-1)&amp;"/"&amp;B92,B92&amp;"/"&amp;(B92+1))</f>
        <v>4003/4004</v>
      </c>
      <c r="L92" s="245" t="str">
        <f>VLOOKUP(A92,'Trips&amp;Operators'!$C$1:$G$99911,5,FALSE)</f>
        <v>STEWART MICHAEL</v>
      </c>
      <c r="M92" s="224">
        <f>I92-F92</f>
        <v>2.6805555549799465E-2</v>
      </c>
      <c r="N92" s="225">
        <f>24*60*SUM($M92:$M92)</f>
        <v>38.599999991711229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-03T13:05:32-0700',mode:absolute,to:'2018-01-03T15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23.293800000000001</v>
      </c>
      <c r="Z92" s="247">
        <f>RIGHT(H92,LEN(H92)-4)/10000</f>
        <v>4.8000000000000001E-2</v>
      </c>
      <c r="AA92" s="247">
        <f>ABS(Z92-Y92)</f>
        <v>23.245800000000003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/stypes="app*4003*20180103*"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1"/>
        <v>"%USERPROFILE%\Documents\GitHub\eaglep3\Utilities\RefineRTDCRunTimes.py" --tripid 178-03 --locoid 4003 --swversion DE.1.0.9.0 --startMP 204:232938 --initTime 2018-01-03T14:05:32 --startdatetime 2018-01-03T14:12:17 --delay 58 --endMP 204:480 --enddatetime 2018-01-03T14:50:53 --enforcementcount 0 &gt;&gt;%USERPROFILE%\Documents\GitHub\eaglep3-reporting\EC\2018-01-03-refined-times.txt</v>
      </c>
      <c r="AI9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{"issue":{"subject":"","project_id":79,"tracker_id":40,"status_id":1,"priority_id":2,"assigned_to_id":338,"start_date":"2018-01-03","description":"","custom_fields":[{"id":1,"name":"Subdivision","value":"EC"},{"id":4,"name":"Milepost","value":"0.048"},{"id":17,"name":"Train ID","value":"178-03"},{"id":16,"name":"Locomotive ID","value":"4003"},{"id":130,"name":"Impact","value":""},{"id":150,"name":"Time of Event (Mountain Time)","value":"14:50:53"},{"id":151,"name":"Denver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3"/>
        <v>start /low /b %USERPROFILE%\Documents\GitHub\eaglep3\Utilities\DownloadLogsFromS3.py --loco 4003 --day 2018-01-03</v>
      </c>
      <c r="AN92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5"/>
        <v>https://d0f6bd738d7f1b3e5a7ca70fe4ff75f0.us-east-1.aws.found.io/app/kibana#/discover/Steve-Slow-Train-Analysis-(2080s-and-2083s)?_g=(refreshInterval:(display:Off,pause:!f,section:0,value:0),time:(from:'2018-01-03T13:05:32-0700',mode:absolute,to:'2018-01-03T15:50:53-0700'))&amp;_a=(columns:!('Message%20ID',Summary),filters:!(),index:'emp_*',interval:auto,query:(query_string:(analyze_wildcard:!t,query:'%22rtdc.l.rtdc.4003%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785</v>
      </c>
      <c r="B93" s="225">
        <v>4060</v>
      </c>
      <c r="C93" s="227" t="s">
        <v>192</v>
      </c>
      <c r="D93" s="227" t="s">
        <v>950</v>
      </c>
      <c r="E93" s="226">
        <v>43103.557870370372</v>
      </c>
      <c r="F93" s="226">
        <v>43103.562708333331</v>
      </c>
      <c r="G93" s="225">
        <v>66</v>
      </c>
      <c r="H93" s="227" t="s">
        <v>520</v>
      </c>
      <c r="I93" s="226">
        <v>43103.587361111109</v>
      </c>
      <c r="J93" s="225">
        <v>0</v>
      </c>
      <c r="K93" s="237" t="str">
        <f>IF(ISEVEN(B93),(B93-1)&amp;"/"&amp;B93,B93&amp;"/"&amp;(B93+1))</f>
        <v>4059/4060</v>
      </c>
      <c r="L93" s="245" t="str">
        <f>VLOOKUP(A93,'Trips&amp;Operators'!$C$1:$G$99911,5,FALSE)</f>
        <v>GUZMAN DANNY</v>
      </c>
      <c r="M93" s="224">
        <f>I93-F93</f>
        <v>2.4652777778101154E-2</v>
      </c>
      <c r="N93" s="225">
        <f>24*60*SUM($M93:$M93)</f>
        <v>35.500000000465661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-03T12:23:20-0700',mode:absolute,to:'2018-01-03T15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4.82E-2</v>
      </c>
      <c r="Z93" s="247">
        <f>RIGHT(H93,LEN(H93)-4)/10000</f>
        <v>23.331</v>
      </c>
      <c r="AA93" s="247">
        <f>ABS(Z93-Y93)</f>
        <v>23.282799999999998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/stypes="app*4060*20180103*"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1"/>
        <v>"%USERPROFILE%\Documents\GitHub\eaglep3\Utilities\RefineRTDCRunTimes.py" --tripid 179-03 --locoid 4060 --swversion DE.1.0.9.0 --startMP 204:482 --initTime 2018-01-03T13:23:20 --startdatetime 2018-01-03T13:30:18 --delay 66 --endMP 204:233310 --enddatetime 2018-01-03T14:05:48 --enforcementcount 0 &gt;&gt;%USERPROFILE%\Documents\GitHub\eaglep3-reporting\EC\2018-01-03-refined-times.txt</v>
      </c>
      <c r="AI9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{"issue":{"subject":"","project_id":79,"tracker_id":40,"status_id":1,"priority_id":2,"assigned_to_id":338,"start_date":"2018-01-03","description":"","custom_fields":[{"id":1,"name":"Subdivision","value":"EC"},{"id":4,"name":"Milepost","value":"23.331"},{"id":17,"name":"Train ID","value":"179-03"},{"id":16,"name":"Locomotive ID","value":"4060"},{"id":130,"name":"Impact","value":""},{"id":150,"name":"Time of Event (Mountain Time)","value":"14:05:48"},{"id":151,"name":"Denver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3"/>
        <v>start /low /b %USERPROFILE%\Documents\GitHub\eaglep3\Utilities\DownloadLogsFromS3.py --loco 4060 --day 2018-01-03</v>
      </c>
      <c r="AN9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5"/>
        <v>https://d0f6bd738d7f1b3e5a7ca70fe4ff75f0.us-east-1.aws.found.io/app/kibana#/discover/Steve-Slow-Train-Analysis-(2080s-and-2083s)?_g=(refreshInterval:(display:Off,pause:!f,section:0,value:0),time:(from:'2018-01-03T12:23:20-0700',mode:absolute,to:'2018-01-03T15:05:48-0700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794</v>
      </c>
      <c r="B94" s="225">
        <v>4059</v>
      </c>
      <c r="C94" s="227" t="s">
        <v>192</v>
      </c>
      <c r="D94" s="227" t="s">
        <v>615</v>
      </c>
      <c r="E94" s="226">
        <v>43103.589178240742</v>
      </c>
      <c r="F94" s="226">
        <v>43103.60229166667</v>
      </c>
      <c r="G94" s="225">
        <v>47</v>
      </c>
      <c r="H94" s="227" t="s">
        <v>540</v>
      </c>
      <c r="I94" s="226">
        <v>43103.628217592595</v>
      </c>
      <c r="J94" s="225">
        <v>0</v>
      </c>
      <c r="K94" s="237" t="str">
        <f>IF(ISEVEN(B94),(B94-1)&amp;"/"&amp;B94,B94&amp;"/"&amp;(B94+1))</f>
        <v>4059/4060</v>
      </c>
      <c r="L94" s="245" t="str">
        <f>VLOOKUP(A94,'Trips&amp;Operators'!$C$1:$G$99911,5,FALSE)</f>
        <v>GUZMAN DANNY</v>
      </c>
      <c r="M94" s="224">
        <f>I94-F94</f>
        <v>2.5925925925548654E-2</v>
      </c>
      <c r="N94" s="225">
        <f>24*60*SUM($M94:$M94)</f>
        <v>37.333333332790062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-03T13:08:25-0700',mode:absolute,to:'2018-01-03T16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23.298300000000001</v>
      </c>
      <c r="Z94" s="247">
        <f>RIGHT(H94,LEN(H94)-4)/10000</f>
        <v>2.58E-2</v>
      </c>
      <c r="AA94" s="247">
        <f>ABS(Z94-Y94)</f>
        <v>23.272500000000001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/stypes="app*4059*20180103*"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1"/>
        <v>"%USERPROFILE%\Documents\GitHub\eaglep3\Utilities\RefineRTDCRunTimes.py" --tripid 180-03 --locoid 4059 --swversion DE.1.0.9.0 --startMP 204:232983 --initTime 2018-01-03T14:08:25 --startdatetime 2018-01-03T14:27:18 --delay 47 --endMP 204:258 --enddatetime 2018-01-03T15:04:38 --enforcementcount 0 &gt;&gt;%USERPROFILE%\Documents\GitHub\eaglep3-reporting\EC\2018-01-03-refined-times.txt</v>
      </c>
      <c r="AI9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{"issue":{"subject":"","project_id":79,"tracker_id":40,"status_id":1,"priority_id":2,"assigned_to_id":338,"start_date":"2018-01-03","description":"","custom_fields":[{"id":1,"name":"Subdivision","value":"EC"},{"id":4,"name":"Milepost","value":"0.0258"},{"id":17,"name":"Train ID","value":"180-03"},{"id":16,"name":"Locomotive ID","value":"4059"},{"id":130,"name":"Impact","value":""},{"id":150,"name":"Time of Event (Mountain Time)","value":"15:04:38"},{"id":151,"name":"Denver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3"/>
        <v>start /low /b %USERPROFILE%\Documents\GitHub\eaglep3\Utilities\DownloadLogsFromS3.py --loco 4059 --day 2018-01-03</v>
      </c>
      <c r="AN94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5"/>
        <v>https://d0f6bd738d7f1b3e5a7ca70fe4ff75f0.us-east-1.aws.found.io/app/kibana#/discover/Steve-Slow-Train-Analysis-(2080s-and-2083s)?_g=(refreshInterval:(display:Off,pause:!f,section:0,value:0),time:(from:'2018-01-03T13:08:25-0700',mode:absolute,to:'2018-01-03T16:04:38-0700'))&amp;_a=(columns:!('Message%20ID',Summary),filters:!(),index:'emp_*',interval:auto,query:(query_string:(analyze_wildcard:!t,query:'%22rtdc.l.rtdc.4059%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788</v>
      </c>
      <c r="B95" s="225">
        <v>4042</v>
      </c>
      <c r="C95" s="227" t="s">
        <v>192</v>
      </c>
      <c r="D95" s="227" t="s">
        <v>557</v>
      </c>
      <c r="E95" s="226">
        <v>43103.569872685184</v>
      </c>
      <c r="F95" s="226">
        <v>43103.57309027778</v>
      </c>
      <c r="G95" s="225">
        <v>59</v>
      </c>
      <c r="H95" s="227" t="s">
        <v>951</v>
      </c>
      <c r="I95" s="226">
        <v>43103.596990740742</v>
      </c>
      <c r="J95" s="225">
        <v>0</v>
      </c>
      <c r="K95" s="237" t="str">
        <f>IF(ISEVEN(B95),(B95-1)&amp;"/"&amp;B95,B95&amp;"/"&amp;(B95+1))</f>
        <v>4041/4042</v>
      </c>
      <c r="L95" s="245" t="str">
        <f>VLOOKUP(A95,'Trips&amp;Operators'!$C$1:$G$99911,5,FALSE)</f>
        <v>LEVIN SCOTT</v>
      </c>
      <c r="M95" s="224">
        <f>I95-F95</f>
        <v>2.3900462962046731E-2</v>
      </c>
      <c r="N95" s="225">
        <f>24*60*SUM($M95:$M95)</f>
        <v>34.416666665347293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-03T12:40:37-0700',mode:absolute,to:'2018-01-03T15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4.5100000000000001E-2</v>
      </c>
      <c r="Z95" s="247">
        <f>RIGHT(H95,LEN(H95)-4)/10000</f>
        <v>23.334700000000002</v>
      </c>
      <c r="AA95" s="247">
        <f>ABS(Z95-Y95)</f>
        <v>23.2896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/stypes="app*4042*20180103*"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1"/>
        <v>"%USERPROFILE%\Documents\GitHub\eaglep3\Utilities\RefineRTDCRunTimes.py" --tripid 181-03 --locoid 4042 --swversion DE.1.0.9.0 --startMP 204:451 --initTime 2018-01-03T13:40:37 --startdatetime 2018-01-03T13:45:15 --delay 59 --endMP 204:233347 --enddatetime 2018-01-03T14:19:40 --enforcementcount 0 &gt;&gt;%USERPROFILE%\Documents\GitHub\eaglep3-reporting\EC\2018-01-03-refined-times.txt</v>
      </c>
      <c r="AI9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{"issue":{"subject":"","project_id":79,"tracker_id":40,"status_id":1,"priority_id":2,"assigned_to_id":338,"start_date":"2018-01-03","description":"","custom_fields":[{"id":1,"name":"Subdivision","value":"EC"},{"id":4,"name":"Milepost","value":"23.3347"},{"id":17,"name":"Train ID","value":"181-03"},{"id":16,"name":"Locomotive ID","value":"4042"},{"id":130,"name":"Impact","value":""},{"id":150,"name":"Time of Event (Mountain Time)","value":"14:19:40"},{"id":151,"name":"Denver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3"/>
        <v>start /low /b %USERPROFILE%\Documents\GitHub\eaglep3\Utilities\DownloadLogsFromS3.py --loco 4042 --day 2018-01-03</v>
      </c>
      <c r="AN95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5"/>
        <v>https://d0f6bd738d7f1b3e5a7ca70fe4ff75f0.us-east-1.aws.found.io/app/kibana#/discover/Steve-Slow-Train-Analysis-(2080s-and-2083s)?_g=(refreshInterval:(display:Off,pause:!f,section:0,value:0),time:(from:'2018-01-03T12:40:37-0700',mode:absolute,to:'2018-01-03T15:19:40-0700'))&amp;_a=(columns:!('Message%20ID',Summary),filters:!(),index:'emp_*',interval:auto,query:(query_string:(analyze_wildcard:!t,query:'%22rtdc.l.rtdc.4042%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797</v>
      </c>
      <c r="B96" s="225">
        <v>4041</v>
      </c>
      <c r="C96" s="227" t="s">
        <v>192</v>
      </c>
      <c r="D96" s="227" t="s">
        <v>916</v>
      </c>
      <c r="E96" s="226">
        <v>43103.60193287037</v>
      </c>
      <c r="F96" s="226">
        <v>43103.612719907411</v>
      </c>
      <c r="G96" s="225">
        <v>49</v>
      </c>
      <c r="H96" s="227" t="s">
        <v>492</v>
      </c>
      <c r="I96" s="226">
        <v>43103.639236111114</v>
      </c>
      <c r="J96" s="225">
        <v>0</v>
      </c>
      <c r="K96" s="237" t="str">
        <f>IF(ISEVEN(B96),(B96-1)&amp;"/"&amp;B96,B96&amp;"/"&amp;(B96+1))</f>
        <v>4041/4042</v>
      </c>
      <c r="L96" s="245" t="str">
        <f>VLOOKUP(A96,'Trips&amp;Operators'!$C$1:$G$99911,5,FALSE)</f>
        <v>LEVIN SCOTT</v>
      </c>
      <c r="M96" s="224">
        <f>I96-F96</f>
        <v>2.6516203703067731E-2</v>
      </c>
      <c r="N96" s="225">
        <f>24*60*SUM($M96:$M96)</f>
        <v>38.183333332417533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-03T13:26:47-0700',mode:absolute,to:'2018-01-03T16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23.3001</v>
      </c>
      <c r="Z96" s="247">
        <f>RIGHT(H96,LEN(H96)-4)/10000</f>
        <v>1.5599999999999999E-2</v>
      </c>
      <c r="AA96" s="247">
        <f>ABS(Z96-Y96)</f>
        <v>23.284500000000001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/stypes="app*4041*20180103*"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1"/>
        <v>"%USERPROFILE%\Documents\GitHub\eaglep3\Utilities\RefineRTDCRunTimes.py" --tripid 182-03 --locoid 4041 --swversion DE.1.0.9.0 --startMP 204:233001 --initTime 2018-01-03T14:26:47 --startdatetime 2018-01-03T14:42:19 --delay 49 --endMP 204:156 --enddatetime 2018-01-03T15:20:30 --enforcementcount 0 &gt;&gt;%USERPROFILE%\Documents\GitHub\eaglep3-reporting\EC\2018-01-03-refined-times.txt</v>
      </c>
      <c r="AI9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{"issue":{"subject":"","project_id":79,"tracker_id":40,"status_id":1,"priority_id":2,"assigned_to_id":338,"start_date":"2018-01-03","description":"","custom_fields":[{"id":1,"name":"Subdivision","value":"EC"},{"id":4,"name":"Milepost","value":"0.0156"},{"id":17,"name":"Train ID","value":"182-03"},{"id":16,"name":"Locomotive ID","value":"4041"},{"id":130,"name":"Impact","value":""},{"id":150,"name":"Time of Event (Mountain Time)","value":"15:20:30"},{"id":151,"name":"Denver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3"/>
        <v>start /low /b %USERPROFILE%\Documents\GitHub\eaglep3\Utilities\DownloadLogsFromS3.py --loco 4041 --day 2018-01-03</v>
      </c>
      <c r="AN96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5"/>
        <v>https://d0f6bd738d7f1b3e5a7ca70fe4ff75f0.us-east-1.aws.found.io/app/kibana#/discover/Steve-Slow-Train-Analysis-(2080s-and-2083s)?_g=(refreshInterval:(display:Off,pause:!f,section:0,value:0),time:(from:'2018-01-03T13:26:47-0700',mode:absolute,to:'2018-01-03T16:20:30-0700'))&amp;_a=(columns:!('Message%20ID',Summary),filters:!(),index:'emp_*',interval:auto,query:(query_string:(analyze_wildcard:!t,query:'%22rtdc.l.rtdc.4041%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792</v>
      </c>
      <c r="B97" s="225">
        <v>4030</v>
      </c>
      <c r="C97" s="227" t="s">
        <v>192</v>
      </c>
      <c r="D97" s="227" t="s">
        <v>558</v>
      </c>
      <c r="E97" s="226">
        <v>43103.578402777777</v>
      </c>
      <c r="F97" s="226">
        <v>43103.584282407406</v>
      </c>
      <c r="G97" s="225">
        <v>228</v>
      </c>
      <c r="H97" s="227" t="s">
        <v>553</v>
      </c>
      <c r="I97" s="226">
        <v>43103.608599537038</v>
      </c>
      <c r="J97" s="225">
        <v>0</v>
      </c>
      <c r="K97" s="237" t="str">
        <f>IF(ISEVEN(B97),(B97-1)&amp;"/"&amp;B97,B97&amp;"/"&amp;(B97+1))</f>
        <v>4029/4030</v>
      </c>
      <c r="L97" s="245" t="str">
        <f>VLOOKUP(A97,'Trips&amp;Operators'!$C$1:$G$99911,5,FALSE)</f>
        <v>MOSES BRADLEY</v>
      </c>
      <c r="M97" s="224">
        <f>I97-F97</f>
        <v>2.4317129631526768E-2</v>
      </c>
      <c r="N97" s="225">
        <f>24*60*SUM($M97:$M97)</f>
        <v>35.016666669398546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-03T12:52:54-0700',mode:absolute,to:'2018-01-03T15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4.6899999999999997E-2</v>
      </c>
      <c r="Z97" s="247">
        <f>RIGHT(H97,LEN(H97)-4)/10000</f>
        <v>23.327400000000001</v>
      </c>
      <c r="AA97" s="247">
        <f>ABS(Z97-Y97)</f>
        <v>23.2805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/stypes="app*4030*20180103*"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1"/>
        <v>"%USERPROFILE%\Documents\GitHub\eaglep3\Utilities\RefineRTDCRunTimes.py" --tripid 183-03 --locoid 4030 --swversion DE.1.0.9.0 --startMP 204:469 --initTime 2018-01-03T13:52:54 --startdatetime 2018-01-03T14:01:22 --delay 228 --endMP 204:233274 --enddatetime 2018-01-03T14:36:23 --enforcementcount 0 &gt;&gt;%USERPROFILE%\Documents\GitHub\eaglep3-reporting\EC\2018-01-03-refined-times.txt</v>
      </c>
      <c r="AI9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{"issue":{"subject":"","project_id":79,"tracker_id":40,"status_id":1,"priority_id":2,"assigned_to_id":338,"start_date":"2018-01-03","description":"","custom_fields":[{"id":1,"name":"Subdivision","value":"EC"},{"id":4,"name":"Milepost","value":"23.3274"},{"id":17,"name":"Train ID","value":"183-03"},{"id":16,"name":"Locomotive ID","value":"4030"},{"id":130,"name":"Impact","value":""},{"id":150,"name":"Time of Event (Mountain Time)","value":"14:36:23"},{"id":151,"name":"Denver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3"/>
        <v>start /low /b %USERPROFILE%\Documents\GitHub\eaglep3\Utilities\DownloadLogsFromS3.py --loco 4030 --day 2018-01-03</v>
      </c>
      <c r="AN97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5"/>
        <v>https://d0f6bd738d7f1b3e5a7ca70fe4ff75f0.us-east-1.aws.found.io/app/kibana#/discover/Steve-Slow-Train-Analysis-(2080s-and-2083s)?_g=(refreshInterval:(display:Off,pause:!f,section:0,value:0),time:(from:'2018-01-03T12:52:54-0700',mode:absolute,to:'2018-01-03T15:36:23-0700'))&amp;_a=(columns:!('Message%20ID',Summary),filters:!(),index:'emp_*',interval:auto,query:(query_string:(analyze_wildcard:!t,query:'%22rtdc.l.rtdc.4030%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799</v>
      </c>
      <c r="B98" s="225">
        <v>4029</v>
      </c>
      <c r="C98" s="227" t="s">
        <v>192</v>
      </c>
      <c r="D98" s="227" t="s">
        <v>554</v>
      </c>
      <c r="E98" s="226">
        <v>43103.620567129627</v>
      </c>
      <c r="F98" s="226">
        <v>43103.623124999998</v>
      </c>
      <c r="G98" s="225">
        <v>57</v>
      </c>
      <c r="H98" s="227" t="s">
        <v>538</v>
      </c>
      <c r="I98" s="226">
        <v>43103.648761574077</v>
      </c>
      <c r="J98" s="225">
        <v>0</v>
      </c>
      <c r="K98" s="237" t="str">
        <f>IF(ISEVEN(B98),(B98-1)&amp;"/"&amp;B98,B98&amp;"/"&amp;(B98+1))</f>
        <v>4029/4030</v>
      </c>
      <c r="L98" s="245" t="str">
        <f>VLOOKUP(A98,'Trips&amp;Operators'!$C$1:$G$99911,5,FALSE)</f>
        <v>MOSES BRADLEY</v>
      </c>
      <c r="M98" s="224">
        <f>I98-F98</f>
        <v>2.5636574078816921E-2</v>
      </c>
      <c r="N98" s="225">
        <f>24*60*SUM($M98:$M98)</f>
        <v>36.916666673496366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-03T13:53:37-0700',mode:absolute,to:'2018-01-03T16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23.295300000000001</v>
      </c>
      <c r="Z98" s="247">
        <f>RIGHT(H98,LEN(H98)-4)/10000</f>
        <v>1.78E-2</v>
      </c>
      <c r="AA98" s="247">
        <f>ABS(Z98-Y98)</f>
        <v>23.2775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/stypes="app*4029*20180103*"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1"/>
        <v>"%USERPROFILE%\Documents\GitHub\eaglep3\Utilities\RefineRTDCRunTimes.py" --tripid 184-03 --locoid 4029 --swversion DE.1.0.9.0 --startMP 204:232953 --initTime 2018-01-03T14:53:37 --startdatetime 2018-01-03T14:57:18 --delay 57 --endMP 204:178 --enddatetime 2018-01-03T15:34:13 --enforcementcount 0 &gt;&gt;%USERPROFILE%\Documents\GitHub\eaglep3-reporting\EC\2018-01-03-refined-times.txt</v>
      </c>
      <c r="AI9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{"issue":{"subject":"","project_id":79,"tracker_id":40,"status_id":1,"priority_id":2,"assigned_to_id":338,"start_date":"2018-01-03","description":"","custom_fields":[{"id":1,"name":"Subdivision","value":"EC"},{"id":4,"name":"Milepost","value":"0.0178"},{"id":17,"name":"Train ID","value":"184-03"},{"id":16,"name":"Locomotive ID","value":"4029"},{"id":130,"name":"Impact","value":""},{"id":150,"name":"Time of Event (Mountain Time)","value":"15:34:13"},{"id":151,"name":"Denver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3"/>
        <v>start /low /b %USERPROFILE%\Documents\GitHub\eaglep3\Utilities\DownloadLogsFromS3.py --loco 4029 --day 2018-01-03</v>
      </c>
      <c r="AN9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5"/>
        <v>https://d0f6bd738d7f1b3e5a7ca70fe4ff75f0.us-east-1.aws.found.io/app/kibana#/discover/Steve-Slow-Train-Analysis-(2080s-and-2083s)?_g=(refreshInterval:(display:Off,pause:!f,section:0,value:0),time:(from:'2018-01-03T13:53:37-0700',mode:absolute,to:'2018-01-03T16:34:13-0700'))&amp;_a=(columns:!('Message%20ID',Summary),filters:!(),index:'emp_*',interval:auto,query:(query_string:(analyze_wildcard:!t,query:'%22rtdc.l.rtdc.4029%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795</v>
      </c>
      <c r="B99" s="225">
        <v>4050</v>
      </c>
      <c r="C99" s="227" t="s">
        <v>192</v>
      </c>
      <c r="D99" s="227" t="s">
        <v>486</v>
      </c>
      <c r="E99" s="226">
        <v>43103.591585648152</v>
      </c>
      <c r="F99" s="226">
        <v>43103.5940162037</v>
      </c>
      <c r="G99" s="225">
        <v>64</v>
      </c>
      <c r="H99" s="227" t="s">
        <v>585</v>
      </c>
      <c r="I99" s="226">
        <v>43103.619467592594</v>
      </c>
      <c r="J99" s="225">
        <v>0</v>
      </c>
      <c r="K99" s="237" t="str">
        <f>IF(ISEVEN(B99),(B99-1)&amp;"/"&amp;B99,B99&amp;"/"&amp;(B99+1))</f>
        <v>4049/4050</v>
      </c>
      <c r="L99" s="245" t="str">
        <f>VLOOKUP(A99,'Trips&amp;Operators'!$C$1:$G$99911,5,FALSE)</f>
        <v>DAVIS MICHAEL</v>
      </c>
      <c r="M99" s="224">
        <f>I99-F99</f>
        <v>2.5451388893998228E-2</v>
      </c>
      <c r="N99" s="225">
        <f>24*60*SUM($M99:$M99)</f>
        <v>36.650000007357448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-03T13:11:53-0700',mode:absolute,to:'2018-01-03T15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5.1700000000000003E-2</v>
      </c>
      <c r="Z99" s="247">
        <f>RIGHT(H99,LEN(H99)-4)/10000</f>
        <v>23.3291</v>
      </c>
      <c r="AA99" s="247">
        <f>ABS(Z99-Y99)</f>
        <v>23.2774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/stypes="app*4050*20180103*"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1"/>
        <v>"%USERPROFILE%\Documents\GitHub\eaglep3\Utilities\RefineRTDCRunTimes.py" --tripid 185-03 --locoid 4050 --swversion DE.1.0.9.0 --startMP 204:517 --initTime 2018-01-03T14:11:53 --startdatetime 2018-01-03T14:15:23 --delay 64 --endMP 204:233291 --enddatetime 2018-01-03T14:52:02 --enforcementcount 0 &gt;&gt;%USERPROFILE%\Documents\GitHub\eaglep3-reporting\EC\2018-01-03-refined-times.txt</v>
      </c>
      <c r="AI9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{"issue":{"subject":"","project_id":79,"tracker_id":40,"status_id":1,"priority_id":2,"assigned_to_id":338,"start_date":"2018-01-03","description":"","custom_fields":[{"id":1,"name":"Subdivision","value":"EC"},{"id":4,"name":"Milepost","value":"23.3291"},{"id":17,"name":"Train ID","value":"185-03"},{"id":16,"name":"Locomotive ID","value":"4050"},{"id":130,"name":"Impact","value":""},{"id":150,"name":"Time of Event (Mountain Time)","value":"14:52:02"},{"id":151,"name":"Denver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3"/>
        <v>start /low /b %USERPROFILE%\Documents\GitHub\eaglep3\Utilities\DownloadLogsFromS3.py --loco 4050 --day 2018-01-03</v>
      </c>
      <c r="AN9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5"/>
        <v>https://d0f6bd738d7f1b3e5a7ca70fe4ff75f0.us-east-1.aws.found.io/app/kibana#/discover/Steve-Slow-Train-Analysis-(2080s-and-2083s)?_g=(refreshInterval:(display:Off,pause:!f,section:0,value:0),time:(from:'2018-01-03T13:11:53-0700',mode:absolute,to:'2018-01-03T15:52:02-0700'))&amp;_a=(columns:!('Message%20ID',Summary),filters:!(),index:'emp_*',interval:auto,query:(query_string:(analyze_wildcard:!t,query:'%22rtdc.l.rtdc.4050%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657</v>
      </c>
      <c r="B100" s="225">
        <v>4049</v>
      </c>
      <c r="C100" s="227" t="s">
        <v>192</v>
      </c>
      <c r="D100" s="227" t="s">
        <v>908</v>
      </c>
      <c r="E100" s="226">
        <v>43103.631747685184</v>
      </c>
      <c r="F100" s="226">
        <v>43103.633715277778</v>
      </c>
      <c r="G100" s="225">
        <v>74</v>
      </c>
      <c r="H100" s="227" t="s">
        <v>952</v>
      </c>
      <c r="I100" s="226">
        <v>43103.663136574076</v>
      </c>
      <c r="J100" s="225">
        <v>0</v>
      </c>
      <c r="K100" s="237" t="str">
        <f>IF(ISEVEN(B100),(B100-1)&amp;"/"&amp;B100,B100&amp;"/"&amp;(B100+1))</f>
        <v>4049/4050</v>
      </c>
      <c r="L100" s="245" t="str">
        <f>VLOOKUP(A100,'Trips&amp;Operators'!$C$1:$G$99911,5,FALSE)</f>
        <v>DAVIS MICHAEL</v>
      </c>
      <c r="M100" s="224">
        <f>I100-F100</f>
        <v>2.9421296298096422E-2</v>
      </c>
      <c r="N100" s="225">
        <f>24*60*SUM($M100:$M100)</f>
        <v>42.366666669258848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-03T14:09:43-0700',mode:absolute,to:'2018-01-03T16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23.299199999999999</v>
      </c>
      <c r="Z100" s="247">
        <f>RIGHT(H100,LEN(H100)-4)/10000</f>
        <v>1.7999999999999999E-2</v>
      </c>
      <c r="AA100" s="247">
        <f>ABS(Z100-Y100)</f>
        <v>23.281199999999998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/stypes="app*4049*20180103*"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1"/>
        <v>"%USERPROFILE%\Documents\GitHub\eaglep3\Utilities\RefineRTDCRunTimes.py" --tripid 186-03 --locoid 4049 --swversion DE.1.0.9.0 --startMP 204:232992 --initTime 2018-01-03T15:09:43 --startdatetime 2018-01-03T15:12:33 --delay 74 --endMP 204:180 --enddatetime 2018-01-03T15:54:55 --enforcementcount 0 &gt;&gt;%USERPROFILE%\Documents\GitHub\eaglep3-reporting\EC\2018-01-03-refined-times.txt</v>
      </c>
      <c r="AI10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{"issue":{"subject":"","project_id":79,"tracker_id":40,"status_id":1,"priority_id":2,"assigned_to_id":338,"start_date":"2018-01-03","description":"","custom_fields":[{"id":1,"name":"Subdivision","value":"EC"},{"id":4,"name":"Milepost","value":"0.018"},{"id":17,"name":"Train ID","value":"186-03"},{"id":16,"name":"Locomotive ID","value":"4049"},{"id":130,"name":"Impact","value":""},{"id":150,"name":"Time of Event (Mountain Time)","value":"15:54:55"},{"id":151,"name":"Denver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3"/>
        <v>start /low /b %USERPROFILE%\Documents\GitHub\eaglep3\Utilities\DownloadLogsFromS3.py --loco 4049 --day 2018-01-03</v>
      </c>
      <c r="AN100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5"/>
        <v>https://d0f6bd738d7f1b3e5a7ca70fe4ff75f0.us-east-1.aws.found.io/app/kibana#/discover/Steve-Slow-Train-Analysis-(2080s-and-2083s)?_g=(refreshInterval:(display:Off,pause:!f,section:0,value:0),time:(from:'2018-01-03T14:09:43-0700',mode:absolute,to:'2018-01-03T16:54:55-0700'))&amp;_a=(columns:!('Message%20ID',Summary),filters:!(),index:'emp_*',interval:auto,query:(query_string:(analyze_wildcard:!t,query:'%22rtdc.l.rtdc.4049%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796</v>
      </c>
      <c r="B101" s="225">
        <v>4062</v>
      </c>
      <c r="C101" s="227" t="s">
        <v>192</v>
      </c>
      <c r="D101" s="227" t="s">
        <v>557</v>
      </c>
      <c r="E101" s="226">
        <v>43103.601284722223</v>
      </c>
      <c r="F101" s="226">
        <v>43103.604502314818</v>
      </c>
      <c r="G101" s="225">
        <v>53</v>
      </c>
      <c r="H101" s="227" t="s">
        <v>498</v>
      </c>
      <c r="I101" s="226">
        <v>43103.628796296296</v>
      </c>
      <c r="J101" s="225">
        <v>0</v>
      </c>
      <c r="K101" s="237" t="str">
        <f>IF(ISEVEN(B101),(B101-1)&amp;"/"&amp;B101,B101&amp;"/"&amp;(B101+1))</f>
        <v>4061/4062</v>
      </c>
      <c r="L101" s="245" t="str">
        <f>VLOOKUP(A101,'Trips&amp;Operators'!$C$1:$G$99911,5,FALSE)</f>
        <v>HOLCOMB KAMDEN</v>
      </c>
      <c r="M101" s="224">
        <f>I101-F101</f>
        <v>2.4293981477967463E-2</v>
      </c>
      <c r="N101" s="225">
        <f>24*60*SUM($M101:$M101)</f>
        <v>34.983333328273147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-03T13:25:51-0700',mode:absolute,to:'2018-01-03T16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4.5100000000000001E-2</v>
      </c>
      <c r="Z101" s="247">
        <f>RIGHT(H101,LEN(H101)-4)/10000</f>
        <v>23.3278</v>
      </c>
      <c r="AA101" s="247">
        <f>ABS(Z101-Y101)</f>
        <v>23.282699999999998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/stypes="app*4062*20180103*"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1"/>
        <v>"%USERPROFILE%\Documents\GitHub\eaglep3\Utilities\RefineRTDCRunTimes.py" --tripid 187-03 --locoid 4062 --swversion DE.1.0.9.0 --startMP 204:451 --initTime 2018-01-03T14:25:51 --startdatetime 2018-01-03T14:30:29 --delay 53 --endMP 204:233278 --enddatetime 2018-01-03T15:05:28 --enforcementcount 0 &gt;&gt;%USERPROFILE%\Documents\GitHub\eaglep3-reporting\EC\2018-01-03-refined-times.txt</v>
      </c>
      <c r="AI10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{"issue":{"subject":"","project_id":79,"tracker_id":40,"status_id":1,"priority_id":2,"assigned_to_id":338,"start_date":"2018-01-03","description":"","custom_fields":[{"id":1,"name":"Subdivision","value":"EC"},{"id":4,"name":"Milepost","value":"23.3278"},{"id":17,"name":"Train ID","value":"187-03"},{"id":16,"name":"Locomotive ID","value":"4062"},{"id":130,"name":"Impact","value":""},{"id":150,"name":"Time of Event (Mountain Time)","value":"15:05:28"},{"id":151,"name":"Denver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3"/>
        <v>start /low /b %USERPROFILE%\Documents\GitHub\eaglep3\Utilities\DownloadLogsFromS3.py --loco 4062 --day 2018-01-03</v>
      </c>
      <c r="AN10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5"/>
        <v>https://d0f6bd738d7f1b3e5a7ca70fe4ff75f0.us-east-1.aws.found.io/app/kibana#/discover/Steve-Slow-Train-Analysis-(2080s-and-2083s)?_g=(refreshInterval:(display:Off,pause:!f,section:0,value:0),time:(from:'2018-01-03T13:25:51-0700',mode:absolute,to:'2018-01-03T16:05:28-0700'))&amp;_a=(columns:!('Message%20ID',Summary),filters:!(),index:'emp_*',interval:auto,query:(query_string:(analyze_wildcard:!t,query:'%22rtdc.l.rtdc.4062%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804</v>
      </c>
      <c r="B102" s="225">
        <v>4061</v>
      </c>
      <c r="C102" s="227" t="s">
        <v>192</v>
      </c>
      <c r="D102" s="227" t="s">
        <v>554</v>
      </c>
      <c r="E102" s="226">
        <v>43103.638391203705</v>
      </c>
      <c r="F102" s="226">
        <v>43103.644270833334</v>
      </c>
      <c r="G102" s="225">
        <v>56</v>
      </c>
      <c r="H102" s="227" t="s">
        <v>595</v>
      </c>
      <c r="I102" s="226">
        <v>43103.669675925928</v>
      </c>
      <c r="J102" s="225">
        <v>0</v>
      </c>
      <c r="K102" s="237" t="str">
        <f>IF(ISEVEN(B102),(B102-1)&amp;"/"&amp;B102,B102&amp;"/"&amp;(B102+1))</f>
        <v>4061/4062</v>
      </c>
      <c r="L102" s="245" t="str">
        <f>VLOOKUP(A102,'Trips&amp;Operators'!$C$1:$G$99911,5,FALSE)</f>
        <v>HOLCOMB KAMDEN</v>
      </c>
      <c r="M102" s="224">
        <f>I102-F102</f>
        <v>2.5405092594155576E-2</v>
      </c>
      <c r="N102" s="225">
        <f>24*60*SUM($M102:$M102)</f>
        <v>36.58333333558403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-03T14:19:17-0700',mode:absolute,to:'2018-01-03T17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23.295300000000001</v>
      </c>
      <c r="Z102" s="247">
        <f>RIGHT(H102,LEN(H102)-4)/10000</f>
        <v>2.1600000000000001E-2</v>
      </c>
      <c r="AA102" s="247">
        <f>ABS(Z102-Y102)</f>
        <v>23.273700000000002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/stypes="app*4061*20180103*"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1"/>
        <v>"%USERPROFILE%\Documents\GitHub\eaglep3\Utilities\RefineRTDCRunTimes.py" --tripid 188-03 --locoid 4061 --swversion DE.1.0.9.0 --startMP 204:232953 --initTime 2018-01-03T15:19:17 --startdatetime 2018-01-03T15:27:45 --delay 56 --endMP 204:216 --enddatetime 2018-01-03T16:04:20 --enforcementcount 0 &gt;&gt;%USERPROFILE%\Documents\GitHub\eaglep3-reporting\EC\2018-01-03-refined-times.txt</v>
      </c>
      <c r="AI10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{"issue":{"subject":"","project_id":79,"tracker_id":40,"status_id":1,"priority_id":2,"assigned_to_id":338,"start_date":"2018-01-03","description":"","custom_fields":[{"id":1,"name":"Subdivision","value":"EC"},{"id":4,"name":"Milepost","value":"0.0216"},{"id":17,"name":"Train ID","value":"188-03"},{"id":16,"name":"Locomotive ID","value":"4061"},{"id":130,"name":"Impact","value":""},{"id":150,"name":"Time of Event (Mountain Time)","value":"16:04:20"},{"id":151,"name":"Denver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3"/>
        <v>start /low /b %USERPROFILE%\Documents\GitHub\eaglep3\Utilities\DownloadLogsFromS3.py --loco 4061 --day 2018-01-03</v>
      </c>
      <c r="AN102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5"/>
        <v>https://d0f6bd738d7f1b3e5a7ca70fe4ff75f0.us-east-1.aws.found.io/app/kibana#/discover/Steve-Slow-Train-Analysis-(2080s-and-2083s)?_g=(refreshInterval:(display:Off,pause:!f,section:0,value:0),time:(from:'2018-01-03T14:19:17-0700',mode:absolute,to:'2018-01-03T17:04:20-0700'))&amp;_a=(columns:!('Message%20ID',Summary),filters:!(),index:'emp_*',interval:auto,query:(query_string:(analyze_wildcard:!t,query:'%22rtdc.l.rtdc.4061%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798</v>
      </c>
      <c r="B103" s="225">
        <v>4020</v>
      </c>
      <c r="C103" s="227" t="s">
        <v>192</v>
      </c>
      <c r="D103" s="227" t="s">
        <v>953</v>
      </c>
      <c r="E103" s="226">
        <v>43103.611689814818</v>
      </c>
      <c r="F103" s="226">
        <v>43103.614803240744</v>
      </c>
      <c r="G103" s="225">
        <v>86</v>
      </c>
      <c r="H103" s="227" t="s">
        <v>954</v>
      </c>
      <c r="I103" s="226">
        <v>43103.640601851854</v>
      </c>
      <c r="J103" s="225">
        <v>0</v>
      </c>
      <c r="K103" s="237" t="str">
        <f>IF(ISEVEN(B103),(B103-1)&amp;"/"&amp;B103,B103&amp;"/"&amp;(B103+1))</f>
        <v>4019/4020</v>
      </c>
      <c r="L103" s="245" t="str">
        <f>VLOOKUP(A103,'Trips&amp;Operators'!$C$1:$G$99911,5,FALSE)</f>
        <v>LORI SANTOS</v>
      </c>
      <c r="M103" s="224">
        <f>I103-F103</f>
        <v>2.5798611110076308E-2</v>
      </c>
      <c r="N103" s="225">
        <f>24*60*SUM($M103:$M103)</f>
        <v>37.149999998509884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-03T13:40:50-0700',mode:absolute,to:'2018-01-03T16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5.3900000000000003E-2</v>
      </c>
      <c r="Z103" s="247">
        <f>RIGHT(H103,LEN(H103)-4)/10000</f>
        <v>23.318000000000001</v>
      </c>
      <c r="AA103" s="247">
        <f>ABS(Z103-Y103)</f>
        <v>23.264100000000003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/stypes="app*4020*20180103*"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1"/>
        <v>"%USERPROFILE%\Documents\GitHub\eaglep3\Utilities\RefineRTDCRunTimes.py" --tripid 189-03 --locoid 4020 --swversion DE.1.0.9.0 --startMP 204:539 --initTime 2018-01-03T14:40:50 --startdatetime 2018-01-03T14:45:19 --delay 86 --endMP 204:233180 --enddatetime 2018-01-03T15:22:28 --enforcementcount 0 &gt;&gt;%USERPROFILE%\Documents\GitHub\eaglep3-reporting\EC\2018-01-03-refined-times.txt</v>
      </c>
      <c r="AI10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{"issue":{"subject":"","project_id":79,"tracker_id":40,"status_id":1,"priority_id":2,"assigned_to_id":338,"start_date":"2018-01-03","description":"","custom_fields":[{"id":1,"name":"Subdivision","value":"EC"},{"id":4,"name":"Milepost","value":"23.318"},{"id":17,"name":"Train ID","value":"189-03"},{"id":16,"name":"Locomotive ID","value":"4020"},{"id":130,"name":"Impact","value":""},{"id":150,"name":"Time of Event (Mountain Time)","value":"15:22:28"},{"id":151,"name":"Denver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3"/>
        <v>start /low /b %USERPROFILE%\Documents\GitHub\eaglep3\Utilities\DownloadLogsFromS3.py --loco 4020 --day 2018-01-03</v>
      </c>
      <c r="AN10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5"/>
        <v>https://d0f6bd738d7f1b3e5a7ca70fe4ff75f0.us-east-1.aws.found.io/app/kibana#/discover/Steve-Slow-Train-Analysis-(2080s-and-2083s)?_g=(refreshInterval:(display:Off,pause:!f,section:0,value:0),time:(from:'2018-01-03T13:40:50-0700',mode:absolute,to:'2018-01-03T16:22:28-0700'))&amp;_a=(columns:!('Message%20ID',Summary),filters:!(),index:'emp_*',interval:auto,query:(query_string:(analyze_wildcard:!t,query:'%22rtdc.l.rtdc.4020%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807</v>
      </c>
      <c r="B104" s="225">
        <v>4019</v>
      </c>
      <c r="C104" s="227" t="s">
        <v>192</v>
      </c>
      <c r="D104" s="227" t="s">
        <v>955</v>
      </c>
      <c r="E104" s="226">
        <v>43103.64603009259</v>
      </c>
      <c r="F104" s="226">
        <v>43103.654340277775</v>
      </c>
      <c r="G104" s="225">
        <v>87</v>
      </c>
      <c r="H104" s="227" t="s">
        <v>540</v>
      </c>
      <c r="I104" s="226">
        <v>43103.680937500001</v>
      </c>
      <c r="J104" s="225">
        <v>0</v>
      </c>
      <c r="K104" s="237" t="str">
        <f>IF(ISEVEN(B104),(B104-1)&amp;"/"&amp;B104,B104&amp;"/"&amp;(B104+1))</f>
        <v>4019/4020</v>
      </c>
      <c r="L104" s="245" t="str">
        <f>VLOOKUP(A104,'Trips&amp;Operators'!$C$1:$G$99911,5,FALSE)</f>
        <v>LORI SANTOS</v>
      </c>
      <c r="M104" s="224">
        <f>I104-F104</f>
        <v>2.6597222225973383E-2</v>
      </c>
      <c r="N104" s="225">
        <f>24*60*SUM($M104:$M104)</f>
        <v>38.300000005401671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-03T14:30:17-0700',mode:absolute,to:'2018-01-03T17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23.285399999999999</v>
      </c>
      <c r="Z104" s="247">
        <f>RIGHT(H104,LEN(H104)-4)/10000</f>
        <v>2.58E-2</v>
      </c>
      <c r="AA104" s="247">
        <f>ABS(Z104-Y104)</f>
        <v>23.259599999999999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/stypes="app*4019*20180103*"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1"/>
        <v>"%USERPROFILE%\Documents\GitHub\eaglep3\Utilities\RefineRTDCRunTimes.py" --tripid 190-03 --locoid 4019 --swversion DE.1.0.9.0 --startMP 204:232854 --initTime 2018-01-03T15:30:17 --startdatetime 2018-01-03T15:42:15 --delay 87 --endMP 204:258 --enddatetime 2018-01-03T16:20:33 --enforcementcount 0 &gt;&gt;%USERPROFILE%\Documents\GitHub\eaglep3-reporting\EC\2018-01-03-refined-times.txt</v>
      </c>
      <c r="AI10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{"issue":{"subject":"","project_id":79,"tracker_id":40,"status_id":1,"priority_id":2,"assigned_to_id":338,"start_date":"2018-01-03","description":"","custom_fields":[{"id":1,"name":"Subdivision","value":"EC"},{"id":4,"name":"Milepost","value":"0.0258"},{"id":17,"name":"Train ID","value":"190-03"},{"id":16,"name":"Locomotive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3"/>
        <v>start /low /b %USERPROFILE%\Documents\GitHub\eaglep3\Utilities\DownloadLogsFromS3.py --loco 4019 --day 2018-01-03</v>
      </c>
      <c r="AN104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5"/>
        <v>https://d0f6bd738d7f1b3e5a7ca70fe4ff75f0.us-east-1.aws.found.io/app/kibana#/discover/Steve-Slow-Train-Analysis-(2080s-and-2083s)?_g=(refreshInterval:(display:Off,pause:!f,section:0,value:0),time:(from:'2018-01-03T14:30:17-0700',mode:absolute,to:'2018-01-03T17:20:33-0700'))&amp;_a=(columns:!('Message%20ID',Summary),filters:!(),index:'emp_*',interval:auto,query:(query_string:(analyze_wildcard:!t,query:'%22rtdc.l.rtdc.4019%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800</v>
      </c>
      <c r="B105" s="225">
        <v>4004</v>
      </c>
      <c r="C105" s="227" t="s">
        <v>192</v>
      </c>
      <c r="D105" s="227" t="s">
        <v>608</v>
      </c>
      <c r="E105" s="226">
        <v>43103.622453703705</v>
      </c>
      <c r="F105" s="226">
        <v>43103.625277777777</v>
      </c>
      <c r="G105" s="225">
        <v>49</v>
      </c>
      <c r="H105" s="227" t="s">
        <v>565</v>
      </c>
      <c r="I105" s="226">
        <v>43103.650509259256</v>
      </c>
      <c r="J105" s="225">
        <v>0</v>
      </c>
      <c r="K105" s="237" t="str">
        <f>IF(ISEVEN(B105),(B105-1)&amp;"/"&amp;B105,B105&amp;"/"&amp;(B105+1))</f>
        <v>4003/4004</v>
      </c>
      <c r="L105" s="245" t="str">
        <f>VLOOKUP(A105,'Trips&amp;Operators'!$C$1:$G$99911,5,FALSE)</f>
        <v>STEWART MICHAEL</v>
      </c>
      <c r="M105" s="224">
        <f>I105-F105</f>
        <v>2.5231481478840578E-2</v>
      </c>
      <c r="N105" s="225">
        <f>24*60*SUM($M105:$M105)</f>
        <v>36.333333329530433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-03T13:56:20-0700',mode:absolute,to:'2018-01-03T16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4.9500000000000002E-2</v>
      </c>
      <c r="Z105" s="247">
        <f>RIGHT(H105,LEN(H105)-4)/10000</f>
        <v>23.325299999999999</v>
      </c>
      <c r="AA105" s="247">
        <f>ABS(Z105-Y105)</f>
        <v>23.2758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/stypes="app*4004*20180103*"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1"/>
        <v>"%USERPROFILE%\Documents\GitHub\eaglep3\Utilities\RefineRTDCRunTimes.py" --tripid 191-03 --locoid 4004 --swversion DE.1.0.9.0 --startMP 204:495 --initTime 2018-01-03T14:56:20 --startdatetime 2018-01-03T15:00:24 --delay 49 --endMP 204:233253 --enddatetime 2018-01-03T15:36:44 --enforcementcount 0 &gt;&gt;%USERPROFILE%\Documents\GitHub\eaglep3-reporting\EC\2018-01-03-refined-times.txt</v>
      </c>
      <c r="AI10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{"issue":{"subject":"","project_id":79,"tracker_id":40,"status_id":1,"priority_id":2,"assigned_to_id":338,"start_date":"2018-01-03","description":"","custom_fields":[{"id":1,"name":"Subdivision","value":"EC"},{"id":4,"name":"Milepost","value":"23.3253"},{"id":17,"name":"Train ID","value":"191-03"},{"id":16,"name":"Locomotive ID","value":"4004"},{"id":130,"name":"Impact","value":""},{"id":150,"name":"Time of Event (Mountain Time)","value":"15:36:44"},{"id":151,"name":"Denver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3"/>
        <v>start /low /b %USERPROFILE%\Documents\GitHub\eaglep3\Utilities\DownloadLogsFromS3.py --loco 4004 --day 2018-01-03</v>
      </c>
      <c r="AN105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5"/>
        <v>https://d0f6bd738d7f1b3e5a7ca70fe4ff75f0.us-east-1.aws.found.io/app/kibana#/discover/Steve-Slow-Train-Analysis-(2080s-and-2083s)?_g=(refreshInterval:(display:Off,pause:!f,section:0,value:0),time:(from:'2018-01-03T13:56:20-0700',mode:absolute,to:'2018-01-03T16:36:44-0700'))&amp;_a=(columns:!('Message%20ID',Summary),filters:!(),index:'emp_*',interval:auto,query:(query_string:(analyze_wildcard:!t,query:'%22rtdc.l.rtdc.4004%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1122</v>
      </c>
      <c r="B106" s="225">
        <v>4003</v>
      </c>
      <c r="C106" s="227" t="s">
        <v>192</v>
      </c>
      <c r="D106" s="227" t="s">
        <v>608</v>
      </c>
      <c r="E106" s="226">
        <v>43103.622453703705</v>
      </c>
      <c r="F106" s="226">
        <v>43103.664756944447</v>
      </c>
      <c r="G106" s="225">
        <v>49</v>
      </c>
      <c r="H106" s="227" t="s">
        <v>565</v>
      </c>
      <c r="I106" s="226">
        <v>43103.665451388886</v>
      </c>
      <c r="J106" s="225">
        <v>0</v>
      </c>
      <c r="K106" s="237" t="str">
        <f>IF(ISEVEN(B106),(B106-1)&amp;"/"&amp;B106,B106&amp;"/"&amp;(B106+1))</f>
        <v>4003/4004</v>
      </c>
      <c r="L106" s="245" t="s">
        <v>1123</v>
      </c>
      <c r="M106" s="224">
        <f>I106-F106</f>
        <v>6.9444443943211809E-4</v>
      </c>
      <c r="N106" s="225"/>
      <c r="O106" s="225"/>
      <c r="P106" s="225">
        <f>24*60*SUM($M106:$M106)</f>
        <v>0.99999999278225005</v>
      </c>
      <c r="Q106" s="228"/>
      <c r="R106" s="242" t="s">
        <v>1126</v>
      </c>
      <c r="S106" s="249">
        <f>1/IF(AG106="EC",12,1)*SUM(U106:U106)</f>
        <v>0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-03T13:56:20-0700',mode:absolute,to:'2018-01-03T16:58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247" t="str">
        <f>IF(AA106&lt;VLOOKUP(AG106,Variables!$AC$3:$AD$8,2,FALSE),"Y","N")</f>
        <v>Y</v>
      </c>
      <c r="X106" s="247">
        <f t="shared" ref="X106:X108" si="16">VALUE(LEFT(AD106,4))-VALUE(LEFT(AD105,4))</f>
        <v>1</v>
      </c>
      <c r="Y106" s="247">
        <v>23.303599999999999</v>
      </c>
      <c r="Z106" s="247">
        <v>23.285399999999999</v>
      </c>
      <c r="AA106" s="247">
        <f>ABS(Z106-Y106)</f>
        <v>1.8200000000000216E-2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/stypes="app*4003*20180103*"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ref="AH106" si="17"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192-03 --locoid 4003 --swversion DE.1.0.9.0 --startMP 204:495 --initTime 2018-01-03T14:56:20 --startdatetime 2018-01-03T15:57:15 --delay 49 --endMP 204:233253 --enddatetime 2018-01-03T15:58:15 --enforcementcount 0 &gt;&gt;%USERPROFILE%\Documents\GitHub\eaglep3-reporting\EC\2018-01-03-refined-times.txt</v>
      </c>
      <c r="AI106" s="238" t="str">
        <f t="shared" ref="AI106" si="18"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--insecure -X POST -H ""Content-Type: application/json"" -H ""X-Redmine-API-Key: "&amp;redm_api_key&amp;""" "&amp;redm_url&amp;" --data @-"</f>
        <v>echo {"issue":{"subject":"Did not init due to extended Wi-MAX data drop","project_id":79,"tracker_id":40,"status_id":1,"priority_id":2,"assigned_to_id":338,"start_date":"2018-01-03","description":"","custom_fields":[{"id":1,"name":"Subdivision","value":"EC"},{"id":4,"name":"Milepost","value":"23.2854"},{"id":17,"name":"Train ID","value":"192-03"},{"id":16,"name":"Locomotive ID","value":"4003"},{"id":130,"name":"Impact","value":""},{"id":150,"name":"Time of Event (Mountain Time)","value":"15:58:15"},{"id":151,"name":"Denver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ref="AM106" si="19">"start /low /b "&amp;dls3logs&amp;" --loco "&amp;B106&amp;" --day "&amp;TEXT(F106,"YYYY-MM-DD")</f>
        <v>start /low /b %USERPROFILE%\Documents\GitHub\eaglep3\Utilities\DownloadLogsFromS3.py --loco 4003 --day 2018-01-03</v>
      </c>
      <c r="AN106" s="241" t="str">
        <f t="shared" ref="AN106" si="20"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extended Wi-MAX data drop","project_id":30,"tracker_id":4,"status_id":1,"priority_id":1,"assigned_to_id":10,"start_date":"2018-01-03","description":"","custom_fields":[{"id":30,"name":"Category","value":"Issue"},{"id":3,"name":"Functional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ref="AO106" si="21"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Message%20ID',Summary),filters:!(),index:'emp_*',interval:auto,query:"&amp;"(query_string:(analyze_wildcard:!t,query:'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-03T13:56:20-0700',mode:absolute,to:'2018-01-03T16:58:15-0700'))&amp;_a=(columns:!('Message%20ID',Summary),filters:!(),index:'emp_*',interval:auto,query:(query_string:(analyze_wildcard:!t,query:'%22rtdc.l.rtdc.4003%22')),sort:!(Time.ISO8601,asc))</v>
      </c>
    </row>
    <row r="107" spans="1:91" s="20" customFormat="1" x14ac:dyDescent="0.3">
      <c r="A107" s="229" t="s">
        <v>802</v>
      </c>
      <c r="B107" s="225">
        <v>4060</v>
      </c>
      <c r="C107" s="227" t="s">
        <v>192</v>
      </c>
      <c r="D107" s="227" t="s">
        <v>589</v>
      </c>
      <c r="E107" s="226">
        <v>43103.631782407407</v>
      </c>
      <c r="F107" s="226">
        <v>43103.63559027778</v>
      </c>
      <c r="G107" s="225">
        <v>51</v>
      </c>
      <c r="H107" s="227" t="s">
        <v>956</v>
      </c>
      <c r="I107" s="226">
        <v>43103.66</v>
      </c>
      <c r="J107" s="225">
        <v>0</v>
      </c>
      <c r="K107" s="237" t="str">
        <f>IF(ISEVEN(B107),(B107-1)&amp;"/"&amp;B107,B107&amp;"/"&amp;(B107+1))</f>
        <v>4059/4060</v>
      </c>
      <c r="L107" s="245" t="str">
        <f>VLOOKUP(A107,'Trips&amp;Operators'!$C$1:$G$99911,5,FALSE)</f>
        <v>GUZMAN DANNY</v>
      </c>
      <c r="M107" s="224">
        <f>I107-F107</f>
        <v>2.4409722223936114E-2</v>
      </c>
      <c r="N107" s="225">
        <f>24*60*SUM($M107:$M107)</f>
        <v>35.150000002468005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-03T14:09:46-0700',mode:absolute,to:'2018-01-03T16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247" t="str">
        <f>IF(AA107&lt;VLOOKUP(AG107,Variables!$AC$3:$AD$8,2,FALSE),"Y","N")</f>
        <v>N</v>
      </c>
      <c r="X107" s="247">
        <f t="shared" si="16"/>
        <v>1</v>
      </c>
      <c r="Y107" s="247">
        <f>RIGHT(D107,LEN(D107)-4)/10000</f>
        <v>5.4800000000000001E-2</v>
      </c>
      <c r="Z107" s="247">
        <f>RIGHT(H107,LEN(H107)-4)/10000</f>
        <v>23.338899999999999</v>
      </c>
      <c r="AA107" s="247">
        <f>ABS(Z107-Y107)</f>
        <v>23.284099999999999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/stypes="app*4060*20180103*"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1"/>
        <v>"%USERPROFILE%\Documents\GitHub\eaglep3\Utilities\RefineRTDCRunTimes.py" --tripid 193-03 --locoid 4060 --swversion DE.1.0.9.0 --startMP 204:548 --initTime 2018-01-03T15:09:46 --startdatetime 2018-01-03T15:15:15 --delay 51 --endMP 204:233389 --enddatetime 2018-01-03T15:50:24 --enforcementcount 0 &gt;&gt;%USERPROFILE%\Documents\GitHub\eaglep3-reporting\EC\2018-01-03-refined-times.txt</v>
      </c>
      <c r="AI10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{"issue":{"subject":"","project_id":79,"tracker_id":40,"status_id":1,"priority_id":2,"assigned_to_id":338,"start_date":"2018-01-03","description":"","custom_fields":[{"id":1,"name":"Subdivision","value":"EC"},{"id":4,"name":"Milepost","value":"23.3389"},{"id":17,"name":"Train ID","value":"193-03"},{"id":16,"name":"Locomotive ID","value":"4060"},{"id":130,"name":"Impact","value":""},{"id":150,"name":"Time of Event (Mountain Time)","value":"15:50:24"},{"id":151,"name":"Denver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3"/>
        <v>start /low /b %USERPROFILE%\Documents\GitHub\eaglep3\Utilities\DownloadLogsFromS3.py --loco 4060 --day 2018-01-03</v>
      </c>
      <c r="AN107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5"/>
        <v>https://d0f6bd738d7f1b3e5a7ca70fe4ff75f0.us-east-1.aws.found.io/app/kibana#/discover/Steve-Slow-Train-Analysis-(2080s-and-2083s)?_g=(refreshInterval:(display:Off,pause:!f,section:0,value:0),time:(from:'2018-01-03T14:09:46-0700',mode:absolute,to:'2018-01-03T16:50:24-0700'))&amp;_a=(columns:!('Message%20ID',Summary),filters:!(),index:'emp_*',interval:auto,query:(query_string:(analyze_wildcard:!t,query:'%22rtdc.l.rtdc.4060%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810</v>
      </c>
      <c r="B108" s="225">
        <v>4059</v>
      </c>
      <c r="C108" s="227" t="s">
        <v>192</v>
      </c>
      <c r="D108" s="227" t="s">
        <v>957</v>
      </c>
      <c r="E108" s="226">
        <v>43103.661597222221</v>
      </c>
      <c r="F108" s="226">
        <v>43103.675173611111</v>
      </c>
      <c r="G108" s="225">
        <v>54</v>
      </c>
      <c r="H108" s="227" t="s">
        <v>497</v>
      </c>
      <c r="I108" s="226">
        <v>43103.704293981478</v>
      </c>
      <c r="J108" s="225">
        <v>0</v>
      </c>
      <c r="K108" s="237" t="str">
        <f>IF(ISEVEN(B108),(B108-1)&amp;"/"&amp;B108,B108&amp;"/"&amp;(B108+1))</f>
        <v>4059/4060</v>
      </c>
      <c r="L108" s="245" t="str">
        <f>VLOOKUP(A108,'Trips&amp;Operators'!$C$1:$G$99911,5,FALSE)</f>
        <v>GUZMAN DANNY</v>
      </c>
      <c r="M108" s="224">
        <f>I108-F108</f>
        <v>2.9120370367309079E-2</v>
      </c>
      <c r="N108" s="225">
        <f>24*60*SUM($M108:$M108)</f>
        <v>41.933333328925073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-03T14:52:42-0700',mode:absolute,to:'2018-01-03T17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247" t="str">
        <f>IF(AA108&lt;VLOOKUP(AG108,Variables!$AC$3:$AD$8,2,FALSE),"Y","N")</f>
        <v>N</v>
      </c>
      <c r="X108" s="247">
        <f t="shared" si="16"/>
        <v>1</v>
      </c>
      <c r="Y108" s="247">
        <f>RIGHT(D108,LEN(D108)-4)/10000</f>
        <v>23.303599999999999</v>
      </c>
      <c r="Z108" s="247">
        <f>RIGHT(H108,LEN(H108)-4)/10000</f>
        <v>0.02</v>
      </c>
      <c r="AA108" s="247">
        <f>ABS(Z108-Y108)</f>
        <v>23.2836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/stypes="app*4059*20180103*"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1"/>
        <v>"%USERPROFILE%\Documents\GitHub\eaglep3\Utilities\RefineRTDCRunTimes.py" --tripid 194-03 --locoid 4059 --swversion DE.1.0.9.0 --startMP 204:233036 --initTime 2018-01-03T15:52:42 --startdatetime 2018-01-03T16:12:15 --delay 54 --endMP 204:200 --enddatetime 2018-01-03T16:54:11 --enforcementcount 0 &gt;&gt;%USERPROFILE%\Documents\GitHub\eaglep3-reporting\EC\2018-01-03-refined-times.txt</v>
      </c>
      <c r="AI10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{"issue":{"subject":"","project_id":79,"tracker_id":40,"status_id":1,"priority_id":2,"assigned_to_id":338,"start_date":"2018-01-03","description":"","custom_fields":[{"id":1,"name":"Subdivision","value":"EC"},{"id":4,"name":"Milepost","value":"0.02"},{"id":17,"name":"Train ID","value":"194-03"},{"id":16,"name":"Locomotive ID","value":"4059"},{"id":130,"name":"Impact","value":""},{"id":150,"name":"Time of Event (Mountain Time)","value":"16:54:11"},{"id":151,"name":"Denver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3"/>
        <v>start /low /b %USERPROFILE%\Documents\GitHub\eaglep3\Utilities\DownloadLogsFromS3.py --loco 4059 --day 2018-01-03</v>
      </c>
      <c r="AN10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5"/>
        <v>https://d0f6bd738d7f1b3e5a7ca70fe4ff75f0.us-east-1.aws.found.io/app/kibana#/discover/Steve-Slow-Train-Analysis-(2080s-and-2083s)?_g=(refreshInterval:(display:Off,pause:!f,section:0,value:0),time:(from:'2018-01-03T14:52:42-0700',mode:absolute,to:'2018-01-03T17:54:11-0700'))&amp;_a=(columns:!('Message%20ID',Summary),filters:!(),index:'emp_*',interval:auto,query:(query_string:(analyze_wildcard:!t,query:'%22rtdc.l.rtdc.4059%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805</v>
      </c>
      <c r="B109" s="225">
        <v>4042</v>
      </c>
      <c r="C109" s="227" t="s">
        <v>192</v>
      </c>
      <c r="D109" s="227" t="s">
        <v>483</v>
      </c>
      <c r="E109" s="226">
        <v>43103.640775462962</v>
      </c>
      <c r="F109" s="226">
        <v>43103.646053240744</v>
      </c>
      <c r="G109" s="225">
        <v>65</v>
      </c>
      <c r="H109" s="227" t="s">
        <v>958</v>
      </c>
      <c r="I109" s="226">
        <v>43103.671585648146</v>
      </c>
      <c r="J109" s="225">
        <v>0</v>
      </c>
      <c r="K109" s="237" t="str">
        <f>IF(ISEVEN(B109),(B109-1)&amp;"/"&amp;B109,B109&amp;"/"&amp;(B109+1))</f>
        <v>4041/4042</v>
      </c>
      <c r="L109" s="245" t="str">
        <f>VLOOKUP(A109,'Trips&amp;Operators'!$C$1:$G$99911,5,FALSE)</f>
        <v>LEVIN SCOTT</v>
      </c>
      <c r="M109" s="224">
        <f>I109-F109</f>
        <v>2.5532407402351964E-2</v>
      </c>
      <c r="N109" s="225">
        <f>24*60*SUM($M109:$M109)</f>
        <v>36.766666659386829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-03T14:22:43-0700',mode:absolute,to:'2018-01-03T17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4.6600000000000003E-2</v>
      </c>
      <c r="Z109" s="247">
        <f>RIGHT(H109,LEN(H109)-4)/10000</f>
        <v>23.3323</v>
      </c>
      <c r="AA109" s="247">
        <f>ABS(Z109-Y109)</f>
        <v>23.285699999999999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/stypes="app*4042*20180103*"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1"/>
        <v>"%USERPROFILE%\Documents\GitHub\eaglep3\Utilities\RefineRTDCRunTimes.py" --tripid 195-03 --locoid 4042 --swversion DE.1.0.9.0 --startMP 204:466 --initTime 2018-01-03T15:22:43 --startdatetime 2018-01-03T15:30:19 --delay 65 --endMP 204:233323 --enddatetime 2018-01-03T16:07:05 --enforcementcount 0 &gt;&gt;%USERPROFILE%\Documents\GitHub\eaglep3-reporting\EC\2018-01-03-refined-times.txt</v>
      </c>
      <c r="AI10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{"issue":{"subject":"","project_id":79,"tracker_id":40,"status_id":1,"priority_id":2,"assigned_to_id":338,"start_date":"2018-01-03","description":"","custom_fields":[{"id":1,"name":"Subdivision","value":"EC"},{"id":4,"name":"Milepost","value":"23.3323"},{"id":17,"name":"Train ID","value":"195-03"},{"id":16,"name":"Locomotive ID","value":"4042"},{"id":130,"name":"Impact","value":""},{"id":150,"name":"Time of Event (Mountain Time)","value":"16:07:05"},{"id":151,"name":"Denver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3"/>
        <v>start /low /b %USERPROFILE%\Documents\GitHub\eaglep3\Utilities\DownloadLogsFromS3.py --loco 4042 --day 2018-01-03</v>
      </c>
      <c r="AN10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5"/>
        <v>https://d0f6bd738d7f1b3e5a7ca70fe4ff75f0.us-east-1.aws.found.io/app/kibana#/discover/Steve-Slow-Train-Analysis-(2080s-and-2083s)?_g=(refreshInterval:(display:Off,pause:!f,section:0,value:0),time:(from:'2018-01-03T14:22:43-0700',mode:absolute,to:'2018-01-03T17:07:05-0700'))&amp;_a=(columns:!('Message%20ID',Summary),filters:!(),index:'emp_*',interval:auto,query:(query_string:(analyze_wildcard:!t,query:'%22rtdc.l.rtdc.4042%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815</v>
      </c>
      <c r="B110" s="225">
        <v>4041</v>
      </c>
      <c r="C110" s="227" t="s">
        <v>192</v>
      </c>
      <c r="D110" s="227" t="s">
        <v>959</v>
      </c>
      <c r="E110" s="226">
        <v>43103.675868055558</v>
      </c>
      <c r="F110" s="226">
        <v>43103.685694444444</v>
      </c>
      <c r="G110" s="225">
        <v>49</v>
      </c>
      <c r="H110" s="227" t="s">
        <v>490</v>
      </c>
      <c r="I110" s="226">
        <v>43103.712233796294</v>
      </c>
      <c r="J110" s="225">
        <v>0</v>
      </c>
      <c r="K110" s="237" t="str">
        <f>IF(ISEVEN(B110),(B110-1)&amp;"/"&amp;B110,B110&amp;"/"&amp;(B110+1))</f>
        <v>4041/4042</v>
      </c>
      <c r="L110" s="245" t="str">
        <f>VLOOKUP(A110,'Trips&amp;Operators'!$C$1:$G$99911,5,FALSE)</f>
        <v>LEVIN SCOTT</v>
      </c>
      <c r="M110" s="224">
        <f>I110-F110</f>
        <v>2.6539351849351078E-2</v>
      </c>
      <c r="N110" s="225">
        <f>24*60*SUM($M110:$M110)</f>
        <v>38.216666663065553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-03T15:13:15-0700',mode:absolute,to:'2018-01-03T18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23.302700000000002</v>
      </c>
      <c r="Z110" s="247">
        <f>RIGHT(H110,LEN(H110)-4)/10000</f>
        <v>1.5800000000000002E-2</v>
      </c>
      <c r="AA110" s="247">
        <f>ABS(Z110-Y110)</f>
        <v>23.286900000000003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/stypes="app*4041*20180104*"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1"/>
        <v>"%USERPROFILE%\Documents\GitHub\eaglep3\Utilities\RefineRTDCRunTimes.py" --tripid 196-03 --locoid 4041 --swversion DE.1.0.9.0 --startMP 204:233027 --initTime 2018-01-03T16:13:15 --startdatetime 2018-01-03T16:27:24 --delay 49 --endMP 204:158 --enddatetime 2018-01-03T17:05:37 --enforcementcount 0 &gt;&gt;%USERPROFILE%\Documents\GitHub\eaglep3-reporting\EC\2018-01-03-refined-times.txt</v>
      </c>
      <c r="AI11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{"issue":{"subject":"","project_id":79,"tracker_id":40,"status_id":1,"priority_id":2,"assigned_to_id":338,"start_date":"2018-01-03","description":"","custom_fields":[{"id":1,"name":"Subdivision","value":"EC"},{"id":4,"name":"Milepost","value":"0.0158"},{"id":17,"name":"Train ID","value":"196-03"},{"id":16,"name":"Locomotive ID","value":"4041"},{"id":130,"name":"Impact","value":""},{"id":150,"name":"Time of Event (Mountain Time)","value":"17:05:37"},{"id":151,"name":"Denver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3"/>
        <v>start /low /b %USERPROFILE%\Documents\GitHub\eaglep3\Utilities\DownloadLogsFromS3.py --loco 4041 --day 2018-01-03</v>
      </c>
      <c r="AN11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5"/>
        <v>https://d0f6bd738d7f1b3e5a7ca70fe4ff75f0.us-east-1.aws.found.io/app/kibana#/discover/Steve-Slow-Train-Analysis-(2080s-and-2083s)?_g=(refreshInterval:(display:Off,pause:!f,section:0,value:0),time:(from:'2018-01-03T15:13:15-0700',mode:absolute,to:'2018-01-03T18:05:37-0700'))&amp;_a=(columns:!('Message%20ID',Summary),filters:!(),index:'emp_*',interval:auto,query:(query_string:(analyze_wildcard:!t,query:'%22rtdc.l.rtdc.4041%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809</v>
      </c>
      <c r="B111" s="225">
        <v>4030</v>
      </c>
      <c r="C111" s="227" t="s">
        <v>192</v>
      </c>
      <c r="D111" s="227" t="s">
        <v>521</v>
      </c>
      <c r="E111" s="226">
        <v>43103.650451388887</v>
      </c>
      <c r="F111" s="226">
        <v>43103.656435185185</v>
      </c>
      <c r="G111" s="225">
        <v>84</v>
      </c>
      <c r="H111" s="227" t="s">
        <v>936</v>
      </c>
      <c r="I111" s="226">
        <v>43103.680937500001</v>
      </c>
      <c r="J111" s="225">
        <v>0</v>
      </c>
      <c r="K111" s="237" t="str">
        <f>IF(ISEVEN(B111),(B111-1)&amp;"/"&amp;B111,B111&amp;"/"&amp;(B111+1))</f>
        <v>4029/4030</v>
      </c>
      <c r="L111" s="245" t="str">
        <f>VLOOKUP(A111,'Trips&amp;Operators'!$C$1:$G$99911,5,FALSE)</f>
        <v>KILLION DAVID</v>
      </c>
      <c r="M111" s="224">
        <f>I111-F111</f>
        <v>2.4502314816345461E-2</v>
      </c>
      <c r="N111" s="225">
        <f>24*60*SUM($M111:$M111)</f>
        <v>35.283333335537463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-03T14:36:39-0700',mode:absolute,to:'2018-01-03T17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4.7100000000000003E-2</v>
      </c>
      <c r="Z111" s="247">
        <f>RIGHT(H111,LEN(H111)-4)/10000</f>
        <v>23.325900000000001</v>
      </c>
      <c r="AA111" s="247">
        <f>ABS(Z111-Y111)</f>
        <v>23.2788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/stypes="app*4030*20180103*"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1"/>
        <v>"%USERPROFILE%\Documents\GitHub\eaglep3\Utilities\RefineRTDCRunTimes.py" --tripid 197-03 --locoid 4030 --swversion DE.1.0.9.0 --startMP 204:471 --initTime 2018-01-03T15:36:39 --startdatetime 2018-01-03T15:45:16 --delay 84 --endMP 204:233259 --enddatetime 2018-01-03T16:20:33 --enforcementcount 0 &gt;&gt;%USERPROFILE%\Documents\GitHub\eaglep3-reporting\EC\2018-01-03-refined-times.txt</v>
      </c>
      <c r="AI11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{"issue":{"subject":"","project_id":79,"tracker_id":40,"status_id":1,"priority_id":2,"assigned_to_id":338,"start_date":"2018-01-03","description":"","custom_fields":[{"id":1,"name":"Subdivision","value":"EC"},{"id":4,"name":"Milepost","value":"23.3259"},{"id":17,"name":"Train ID","value":"197-03"},{"id":16,"name":"Locomotive ID","value":"4030"},{"id":130,"name":"Impact","value":""},{"id":150,"name":"Time of Event (Mountain Time)","value":"16:20:33"},{"id":151,"name":"Denver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3"/>
        <v>start /low /b %USERPROFILE%\Documents\GitHub\eaglep3\Utilities\DownloadLogsFromS3.py --loco 4030 --day 2018-01-03</v>
      </c>
      <c r="AN11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5"/>
        <v>https://d0f6bd738d7f1b3e5a7ca70fe4ff75f0.us-east-1.aws.found.io/app/kibana#/discover/Steve-Slow-Train-Analysis-(2080s-and-2083s)?_g=(refreshInterval:(display:Off,pause:!f,section:0,value:0),time:(from:'2018-01-03T14:36:39-0700',mode:absolute,to:'2018-01-03T17:20:33-0700'))&amp;_a=(columns:!('Message%20ID',Summary),filters:!(),index:'emp_*',interval:auto,query:(query_string:(analyze_wildcard:!t,query:'%22rtdc.l.rtdc.4030%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818</v>
      </c>
      <c r="B112" s="225">
        <v>4029</v>
      </c>
      <c r="C112" s="227" t="s">
        <v>192</v>
      </c>
      <c r="D112" s="227" t="s">
        <v>960</v>
      </c>
      <c r="E112" s="226">
        <v>43103.685868055552</v>
      </c>
      <c r="F112" s="226">
        <v>43103.696215277778</v>
      </c>
      <c r="G112" s="225">
        <v>62</v>
      </c>
      <c r="H112" s="227" t="s">
        <v>961</v>
      </c>
      <c r="I112" s="226">
        <v>43103.723090277781</v>
      </c>
      <c r="J112" s="225">
        <v>0</v>
      </c>
      <c r="K112" s="237" t="str">
        <f>IF(ISEVEN(B112),(B112-1)&amp;"/"&amp;B112,B112&amp;"/"&amp;(B112+1))</f>
        <v>4029/4030</v>
      </c>
      <c r="L112" s="245" t="str">
        <f>VLOOKUP(A112,'Trips&amp;Operators'!$C$1:$G$99911,5,FALSE)</f>
        <v>KILLION DAVID</v>
      </c>
      <c r="M112" s="224">
        <f>I112-F112</f>
        <v>2.6875000003201421E-2</v>
      </c>
      <c r="N112" s="225">
        <f>24*60*SUM($M112:$M112)</f>
        <v>38.700000004610047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-03T15:27:39-0700',mode:absolute,to:'2018-01-03T18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23.292999999999999</v>
      </c>
      <c r="Z112" s="247">
        <f>RIGHT(H112,LEN(H112)-4)/10000</f>
        <v>1.89E-2</v>
      </c>
      <c r="AA112" s="247">
        <f>ABS(Z112-Y112)</f>
        <v>23.274100000000001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/stypes="app*4029*20180104*"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1"/>
        <v>"%USERPROFILE%\Documents\GitHub\eaglep3\Utilities\RefineRTDCRunTimes.py" --tripid 198-03 --locoid 4029 --swversion DE.1.0.9.0 --startMP 204:232930 --initTime 2018-01-03T16:27:39 --startdatetime 2018-01-03T16:42:33 --delay 62 --endMP 204:189 --enddatetime 2018-01-03T17:21:15 --enforcementcount 0 &gt;&gt;%USERPROFILE%\Documents\GitHub\eaglep3-reporting\EC\2018-01-03-refined-times.txt</v>
      </c>
      <c r="AI11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{"issue":{"subject":"","project_id":79,"tracker_id":40,"status_id":1,"priority_id":2,"assigned_to_id":338,"start_date":"2018-01-03","description":"","custom_fields":[{"id":1,"name":"Subdivision","value":"EC"},{"id":4,"name":"Milepost","value":"0.0189"},{"id":17,"name":"Train ID","value":"198-03"},{"id":16,"name":"Locomotive ID","value":"4029"},{"id":130,"name":"Impact","value":""},{"id":150,"name":"Time of Event (Mountain Time)","value":"17:21:15"},{"id":151,"name":"Denver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3"/>
        <v>start /low /b %USERPROFILE%\Documents\GitHub\eaglep3\Utilities\DownloadLogsFromS3.py --loco 4029 --day 2018-01-03</v>
      </c>
      <c r="AN11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5"/>
        <v>https://d0f6bd738d7f1b3e5a7ca70fe4ff75f0.us-east-1.aws.found.io/app/kibana#/discover/Steve-Slow-Train-Analysis-(2080s-and-2083s)?_g=(refreshInterval:(display:Off,pause:!f,section:0,value:0),time:(from:'2018-01-03T15:27:39-0700',mode:absolute,to:'2018-01-03T18:21:15-0700'))&amp;_a=(columns:!('Message%20ID',Summary),filters:!(),index:'emp_*',interval:auto,query:(query_string:(analyze_wildcard:!t,query:'%22rtdc.l.rtdc.4029%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812</v>
      </c>
      <c r="B113" s="225">
        <v>4050</v>
      </c>
      <c r="C113" s="227" t="s">
        <v>192</v>
      </c>
      <c r="D113" s="227" t="s">
        <v>612</v>
      </c>
      <c r="E113" s="226">
        <v>43103.665219907409</v>
      </c>
      <c r="F113" s="226">
        <v>43103.667013888888</v>
      </c>
      <c r="G113" s="225">
        <v>58</v>
      </c>
      <c r="H113" s="227" t="s">
        <v>596</v>
      </c>
      <c r="I113" s="226">
        <v>43103.693252314813</v>
      </c>
      <c r="J113" s="225">
        <v>0</v>
      </c>
      <c r="K113" s="237" t="str">
        <f>IF(ISEVEN(B113),(B113-1)&amp;"/"&amp;B113,B113&amp;"/"&amp;(B113+1))</f>
        <v>4049/4050</v>
      </c>
      <c r="L113" s="245" t="str">
        <f>VLOOKUP(A113,'Trips&amp;Operators'!$C$1:$G$99911,5,FALSE)</f>
        <v>DAVIS MICHAEL</v>
      </c>
      <c r="M113" s="224">
        <f>I113-F113</f>
        <v>2.6238425925839692E-2</v>
      </c>
      <c r="N113" s="225">
        <f>24*60*SUM($M113:$M113)</f>
        <v>37.783333333209157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-03T14:57:55-0700',mode:absolute,to:'2018-01-03T17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5.11E-2</v>
      </c>
      <c r="Z113" s="247">
        <f>RIGHT(H113,LEN(H113)-4)/10000</f>
        <v>23.329799999999999</v>
      </c>
      <c r="AA113" s="247">
        <f>ABS(Z113-Y113)</f>
        <v>23.278699999999997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/stypes="app*4050*20180103*"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1"/>
        <v>"%USERPROFILE%\Documents\GitHub\eaglep3\Utilities\RefineRTDCRunTimes.py" --tripid 199-03 --locoid 4050 --swversion DE.1.0.9.0 --startMP 204:511 --initTime 2018-01-03T15:57:55 --startdatetime 2018-01-03T16:00:30 --delay 58 --endMP 204:233298 --enddatetime 2018-01-03T16:38:17 --enforcementcount 0 &gt;&gt;%USERPROFILE%\Documents\GitHub\eaglep3-reporting\EC\2018-01-03-refined-times.txt</v>
      </c>
      <c r="AI11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{"issue":{"subject":"","project_id":79,"tracker_id":40,"status_id":1,"priority_id":2,"assigned_to_id":338,"start_date":"2018-01-03","description":"","custom_fields":[{"id":1,"name":"Subdivision","value":"EC"},{"id":4,"name":"Milepost","value":"23.3298"},{"id":17,"name":"Train ID","value":"199-03"},{"id":16,"name":"Locomotive ID","value":"4050"},{"id":130,"name":"Impact","value":""},{"id":150,"name":"Time of Event (Mountain Time)","value":"16:38:17"},{"id":151,"name":"Denver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3"/>
        <v>start /low /b %USERPROFILE%\Documents\GitHub\eaglep3\Utilities\DownloadLogsFromS3.py --loco 4050 --day 2018-01-03</v>
      </c>
      <c r="AN11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5"/>
        <v>https://d0f6bd738d7f1b3e5a7ca70fe4ff75f0.us-east-1.aws.found.io/app/kibana#/discover/Steve-Slow-Train-Analysis-(2080s-and-2083s)?_g=(refreshInterval:(display:Off,pause:!f,section:0,value:0),time:(from:'2018-01-03T14:57:55-0700',mode:absolute,to:'2018-01-03T17:38:17-0700'))&amp;_a=(columns:!('Message%20ID',Summary),filters:!(),index:'emp_*',interval:auto,query:(query_string:(analyze_wildcard:!t,query:'%22rtdc.l.rtdc.4050%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823</v>
      </c>
      <c r="B114" s="225">
        <v>4049</v>
      </c>
      <c r="C114" s="227" t="s">
        <v>192</v>
      </c>
      <c r="D114" s="227" t="s">
        <v>535</v>
      </c>
      <c r="E114" s="226">
        <v>43103.70453703704</v>
      </c>
      <c r="F114" s="226">
        <v>43103.706712962965</v>
      </c>
      <c r="G114" s="225">
        <v>66</v>
      </c>
      <c r="H114" s="227" t="s">
        <v>622</v>
      </c>
      <c r="I114" s="226">
        <v>43103.734872685185</v>
      </c>
      <c r="J114" s="225">
        <v>0</v>
      </c>
      <c r="K114" s="237" t="str">
        <f>IF(ISEVEN(B114),(B114-1)&amp;"/"&amp;B114,B114&amp;"/"&amp;(B114+1))</f>
        <v>4049/4050</v>
      </c>
      <c r="L114" s="245" t="str">
        <f>VLOOKUP(A114,'Trips&amp;Operators'!$C$1:$G$99911,5,FALSE)</f>
        <v>DAVIS MICHAEL</v>
      </c>
      <c r="M114" s="224">
        <f>I114-F114</f>
        <v>2.8159722220152617E-2</v>
      </c>
      <c r="N114" s="225">
        <f>24*60*SUM($M114:$M114)</f>
        <v>40.549999997019768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-03T15:54:32-0700',mode:absolute,to:'2018-01-03T18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23.298100000000002</v>
      </c>
      <c r="Z114" s="247">
        <f>RIGHT(H114,LEN(H114)-4)/10000</f>
        <v>2.1999999999999999E-2</v>
      </c>
      <c r="AA114" s="247">
        <f>ABS(Z114-Y114)</f>
        <v>23.276100000000003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/stypes="app*4049*20180104*"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1"/>
        <v>"%USERPROFILE%\Documents\GitHub\eaglep3\Utilities\RefineRTDCRunTimes.py" --tripid 200-03 --locoid 4049 --swversion DE.1.0.9.0 --startMP 204:232981 --initTime 2018-01-03T16:54:32 --startdatetime 2018-01-03T16:57:40 --delay 66 --endMP 204:220 --enddatetime 2018-01-03T17:38:13 --enforcementcount 0 &gt;&gt;%USERPROFILE%\Documents\GitHub\eaglep3-reporting\EC\2018-01-03-refined-times.txt</v>
      </c>
      <c r="AI11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{"issue":{"subject":"","project_id":79,"tracker_id":40,"status_id":1,"priority_id":2,"assigned_to_id":338,"start_date":"2018-01-03","description":"","custom_fields":[{"id":1,"name":"Subdivision","value":"EC"},{"id":4,"name":"Milepost","value":"0.022"},{"id":17,"name":"Train ID","value":"200-03"},{"id":16,"name":"Locomotive ID","value":"4049"},{"id":130,"name":"Impact","value":""},{"id":150,"name":"Time of Event (Mountain Time)","value":"17:38:13"},{"id":151,"name":"Denver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3"/>
        <v>start /low /b %USERPROFILE%\Documents\GitHub\eaglep3\Utilities\DownloadLogsFromS3.py --loco 4049 --day 2018-01-03</v>
      </c>
      <c r="AN11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5"/>
        <v>https://d0f6bd738d7f1b3e5a7ca70fe4ff75f0.us-east-1.aws.found.io/app/kibana#/discover/Steve-Slow-Train-Analysis-(2080s-and-2083s)?_g=(refreshInterval:(display:Off,pause:!f,section:0,value:0),time:(from:'2018-01-03T15:54:32-0700',mode:absolute,to:'2018-01-03T18:38:13-0700'))&amp;_a=(columns:!('Message%20ID',Summary),filters:!(),index:'emp_*',interval:auto,query:(query_string:(analyze_wildcard:!t,query:'%22rtdc.l.rtdc.4049%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814</v>
      </c>
      <c r="B115" s="225">
        <v>4062</v>
      </c>
      <c r="C115" s="227" t="s">
        <v>192</v>
      </c>
      <c r="D115" s="227" t="s">
        <v>519</v>
      </c>
      <c r="E115" s="226">
        <v>43103.673761574071</v>
      </c>
      <c r="F115" s="226">
        <v>43103.677222222221</v>
      </c>
      <c r="G115" s="225">
        <v>75</v>
      </c>
      <c r="H115" s="227" t="s">
        <v>962</v>
      </c>
      <c r="I115" s="226">
        <v>43103.702268518522</v>
      </c>
      <c r="J115" s="225">
        <v>0</v>
      </c>
      <c r="K115" s="237" t="str">
        <f>IF(ISEVEN(B115),(B115-1)&amp;"/"&amp;B115,B115&amp;"/"&amp;(B115+1))</f>
        <v>4061/4062</v>
      </c>
      <c r="L115" s="245" t="str">
        <f>VLOOKUP(A115,'Trips&amp;Operators'!$C$1:$G$99911,5,FALSE)</f>
        <v>MCREYNOLDS KYLE</v>
      </c>
      <c r="M115" s="224">
        <f>I115-F115</f>
        <v>2.5046296301297843E-2</v>
      </c>
      <c r="N115" s="225">
        <f>24*60*SUM($M115:$M115)</f>
        <v>36.066666673868895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-03T15:10:13-0700',mode:absolute,to:'2018-01-03T17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0.05</v>
      </c>
      <c r="Z115" s="247">
        <f>RIGHT(H115,LEN(H115)-4)/10000</f>
        <v>23.328600000000002</v>
      </c>
      <c r="AA115" s="247">
        <f>ABS(Z115-Y115)</f>
        <v>23.278600000000001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/stypes="app*4062*20180103*"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1"/>
        <v>"%USERPROFILE%\Documents\GitHub\eaglep3\Utilities\RefineRTDCRunTimes.py" --tripid 201-03 --locoid 4062 --swversion DE.1.0.9.0 --startMP 204:500 --initTime 2018-01-03T16:10:13 --startdatetime 2018-01-03T16:15:12 --delay 75 --endMP 204:233286 --enddatetime 2018-01-03T16:51:16 --enforcementcount 0 &gt;&gt;%USERPROFILE%\Documents\GitHub\eaglep3-reporting\EC\2018-01-03-refined-times.txt</v>
      </c>
      <c r="AI11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{"issue":{"subject":"","project_id":79,"tracker_id":40,"status_id":1,"priority_id":2,"assigned_to_id":338,"start_date":"2018-01-03","description":"","custom_fields":[{"id":1,"name":"Subdivision","value":"EC"},{"id":4,"name":"Milepost","value":"23.3286"},{"id":17,"name":"Train ID","value":"201-03"},{"id":16,"name":"Locomotive ID","value":"4062"},{"id":130,"name":"Impact","value":""},{"id":150,"name":"Time of Event (Mountain Time)","value":"16:51:16"},{"id":151,"name":"Denver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3"/>
        <v>start /low /b %USERPROFILE%\Documents\GitHub\eaglep3\Utilities\DownloadLogsFromS3.py --loco 4062 --day 2018-01-03</v>
      </c>
      <c r="AN115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5"/>
        <v>https://d0f6bd738d7f1b3e5a7ca70fe4ff75f0.us-east-1.aws.found.io/app/kibana#/discover/Steve-Slow-Train-Analysis-(2080s-and-2083s)?_g=(refreshInterval:(display:Off,pause:!f,section:0,value:0),time:(from:'2018-01-03T15:10:13-0700',mode:absolute,to:'2018-01-03T17:51:16-0700'))&amp;_a=(columns:!('Message%20ID',Summary),filters:!(),index:'emp_*',interval:auto,query:(query_string:(analyze_wildcard:!t,query:'%22rtdc.l.rtdc.4062%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826</v>
      </c>
      <c r="B116" s="225">
        <v>4061</v>
      </c>
      <c r="C116" s="227" t="s">
        <v>192</v>
      </c>
      <c r="D116" s="227" t="s">
        <v>907</v>
      </c>
      <c r="E116" s="226">
        <v>43103.709976851853</v>
      </c>
      <c r="F116" s="226">
        <v>43103.716898148145</v>
      </c>
      <c r="G116" s="225">
        <v>68</v>
      </c>
      <c r="H116" s="227" t="s">
        <v>963</v>
      </c>
      <c r="I116" s="226">
        <v>43103.743807870371</v>
      </c>
      <c r="J116" s="225">
        <v>0</v>
      </c>
      <c r="K116" s="237" t="str">
        <f>IF(ISEVEN(B116),(B116-1)&amp;"/"&amp;B116,B116&amp;"/"&amp;(B116+1))</f>
        <v>4061/4062</v>
      </c>
      <c r="L116" s="245" t="str">
        <f>VLOOKUP(A116,'Trips&amp;Operators'!$C$1:$G$99911,5,FALSE)</f>
        <v>MCREYNOLDS KYLE</v>
      </c>
      <c r="M116" s="224">
        <f>I116-F116</f>
        <v>2.6909722226264421E-2</v>
      </c>
      <c r="N116" s="225">
        <f>24*60*SUM($M116:$M116)</f>
        <v>38.750000005820766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-03T16:02:22-0700',mode:absolute,to:'2018-01-03T18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23.295000000000002</v>
      </c>
      <c r="Z116" s="247">
        <f>RIGHT(H116,LEN(H116)-4)/10000</f>
        <v>2.29E-2</v>
      </c>
      <c r="AA116" s="247">
        <f>ABS(Z116-Y116)</f>
        <v>23.272100000000002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/stypes="app*4061*20180104*"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1"/>
        <v>"%USERPROFILE%\Documents\GitHub\eaglep3\Utilities\RefineRTDCRunTimes.py" --tripid 202-03 --locoid 4061 --swversion DE.1.0.9.0 --startMP 204:232950 --initTime 2018-01-03T17:02:22 --startdatetime 2018-01-03T17:12:20 --delay 68 --endMP 204:229 --enddatetime 2018-01-03T17:51:05 --enforcementcount 0 &gt;&gt;%USERPROFILE%\Documents\GitHub\eaglep3-reporting\EC\2018-01-03-refined-times.txt</v>
      </c>
      <c r="AI11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{"issue":{"subject":"","project_id":79,"tracker_id":40,"status_id":1,"priority_id":2,"assigned_to_id":338,"start_date":"2018-01-03","description":"","custom_fields":[{"id":1,"name":"Subdivision","value":"EC"},{"id":4,"name":"Milepost","value":"0.0229"},{"id":17,"name":"Train ID","value":"202-03"},{"id":16,"name":"Locomotive ID","value":"4061"},{"id":130,"name":"Impact","value":""},{"id":150,"name":"Time of Event (Mountain Time)","value":"17:51:05"},{"id":151,"name":"Denver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3"/>
        <v>start /low /b %USERPROFILE%\Documents\GitHub\eaglep3\Utilities\DownloadLogsFromS3.py --loco 4061 --day 2018-01-03</v>
      </c>
      <c r="AN11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5"/>
        <v>https://d0f6bd738d7f1b3e5a7ca70fe4ff75f0.us-east-1.aws.found.io/app/kibana#/discover/Steve-Slow-Train-Analysis-(2080s-and-2083s)?_g=(refreshInterval:(display:Off,pause:!f,section:0,value:0),time:(from:'2018-01-03T16:02:22-0700',mode:absolute,to:'2018-01-03T18:51:05-0700'))&amp;_a=(columns:!('Message%20ID',Summary),filters:!(),index:'emp_*',interval:auto,query:(query_string:(analyze_wildcard:!t,query:'%22rtdc.l.rtdc.4061%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816</v>
      </c>
      <c r="B117" s="225">
        <v>4020</v>
      </c>
      <c r="C117" s="227" t="s">
        <v>192</v>
      </c>
      <c r="D117" s="227" t="s">
        <v>964</v>
      </c>
      <c r="E117" s="226">
        <v>43103.683645833335</v>
      </c>
      <c r="F117" s="226">
        <v>43103.687708333331</v>
      </c>
      <c r="G117" s="225">
        <v>103</v>
      </c>
      <c r="H117" s="227" t="s">
        <v>965</v>
      </c>
      <c r="I117" s="226">
        <v>43103.712685185186</v>
      </c>
      <c r="J117" s="225">
        <v>0</v>
      </c>
      <c r="K117" s="237" t="str">
        <f>IF(ISEVEN(B117),(B117-1)&amp;"/"&amp;B117,B117&amp;"/"&amp;(B117+1))</f>
        <v>4019/4020</v>
      </c>
      <c r="L117" s="245" t="str">
        <f>VLOOKUP(A117,'Trips&amp;Operators'!$C$1:$G$99911,5,FALSE)</f>
        <v>BRUDER RICHARD</v>
      </c>
      <c r="M117" s="224">
        <f>I117-F117</f>
        <v>2.4976851855171844E-2</v>
      </c>
      <c r="N117" s="225">
        <f>24*60*SUM($M117:$M117)</f>
        <v>35.966666671447456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-03T15:24:27-0700',mode:absolute,to:'2018-01-03T18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5.6000000000000001E-2</v>
      </c>
      <c r="Z117" s="247">
        <f>RIGHT(H117,LEN(H117)-4)/10000</f>
        <v>23.3215</v>
      </c>
      <c r="AA117" s="247">
        <f>ABS(Z117-Y117)</f>
        <v>23.265499999999999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/stypes="app*4020*20180104*"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1"/>
        <v>"%USERPROFILE%\Documents\GitHub\eaglep3\Utilities\RefineRTDCRunTimes.py" --tripid 203-03 --locoid 4020 --swversion DE.1.0.9.0 --startMP 204:560 --initTime 2018-01-03T16:24:27 --startdatetime 2018-01-03T16:30:18 --delay 103 --endMP 204:233215 --enddatetime 2018-01-03T17:06:16 --enforcementcount 0 &gt;&gt;%USERPROFILE%\Documents\GitHub\eaglep3-reporting\EC\2018-01-03-refined-times.txt</v>
      </c>
      <c r="AI11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{"issue":{"subject":"","project_id":79,"tracker_id":40,"status_id":1,"priority_id":2,"assigned_to_id":338,"start_date":"2018-01-03","description":"","custom_fields":[{"id":1,"name":"Subdivision","value":"EC"},{"id":4,"name":"Milepost","value":"23.3215"},{"id":17,"name":"Train ID","value":"203-03"},{"id":16,"name":"Locomotive ID","value":"4020"},{"id":130,"name":"Impact","value":""},{"id":150,"name":"Time of Event (Mountain Time)","value":"17:06:16"},{"id":151,"name":"Denver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3"/>
        <v>start /low /b %USERPROFILE%\Documents\GitHub\eaglep3\Utilities\DownloadLogsFromS3.py --loco 4020 --day 2018-01-03</v>
      </c>
      <c r="AN11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5"/>
        <v>https://d0f6bd738d7f1b3e5a7ca70fe4ff75f0.us-east-1.aws.found.io/app/kibana#/discover/Steve-Slow-Train-Analysis-(2080s-and-2083s)?_g=(refreshInterval:(display:Off,pause:!f,section:0,value:0),time:(from:'2018-01-03T15:24:27-0700',mode:absolute,to:'2018-01-03T18:06:16-0700'))&amp;_a=(columns:!('Message%20ID',Summary),filters:!(),index:'emp_*',interval:auto,query:(query_string:(analyze_wildcard:!t,query:'%22rtdc.l.rtdc.4020%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830</v>
      </c>
      <c r="B118" s="225">
        <v>4019</v>
      </c>
      <c r="C118" s="227" t="s">
        <v>192</v>
      </c>
      <c r="D118" s="227" t="s">
        <v>966</v>
      </c>
      <c r="E118" s="226">
        <v>43103.724293981482</v>
      </c>
      <c r="F118" s="226">
        <v>43103.727268518516</v>
      </c>
      <c r="G118" s="225">
        <v>63</v>
      </c>
      <c r="H118" s="227" t="s">
        <v>588</v>
      </c>
      <c r="I118" s="226">
        <v>43103.753113425926</v>
      </c>
      <c r="J118" s="225">
        <v>0</v>
      </c>
      <c r="K118" s="237" t="str">
        <f>IF(ISEVEN(B118),(B118-1)&amp;"/"&amp;B118,B118&amp;"/"&amp;(B118+1))</f>
        <v>4019/4020</v>
      </c>
      <c r="L118" s="245" t="str">
        <f>VLOOKUP(A118,'Trips&amp;Operators'!$C$1:$G$99911,5,FALSE)</f>
        <v>BRUDER RICHARD</v>
      </c>
      <c r="M118" s="224">
        <f>I118-F118</f>
        <v>2.584490740991896E-2</v>
      </c>
      <c r="N118" s="225">
        <f>24*60*SUM($M118:$M118)</f>
        <v>37.216666670283303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-03T16:22:59-0700',mode:absolute,to:'2018-01-03T19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</v>
      </c>
      <c r="Z118" s="247">
        <f>RIGHT(H118,LEN(H118)-4)/10000</f>
        <v>2.3199999999999998E-2</v>
      </c>
      <c r="AA118" s="247">
        <f>ABS(Z118-Y118)</f>
        <v>23.2668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/stypes="app*4019*20180104*"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1"/>
        <v>"%USERPROFILE%\Documents\GitHub\eaglep3\Utilities\RefineRTDCRunTimes.py" --tripid 204-03 --locoid 4019 --swversion DE.1.0.9.0 --startMP 204:232900 --initTime 2018-01-03T17:22:59 --startdatetime 2018-01-03T17:27:16 --delay 63 --endMP 204:232 --enddatetime 2018-01-03T18:04:29 --enforcementcount 0 &gt;&gt;%USERPROFILE%\Documents\GitHub\eaglep3-reporting\EC\2018-01-03-refined-times.txt</v>
      </c>
      <c r="AI11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{"issue":{"subject":"","project_id":79,"tracker_id":40,"status_id":1,"priority_id":2,"assigned_to_id":338,"start_date":"2018-01-03","description":"","custom_fields":[{"id":1,"name":"Subdivision","value":"EC"},{"id":4,"name":"Milepost","value":"0.0232"},{"id":17,"name":"Train ID","value":"204-03"},{"id":16,"name":"Locomotive ID","value":"4019"},{"id":130,"name":"Impact","value":""},{"id":150,"name":"Time of Event (Mountain Time)","value":"18:04:29"},{"id":151,"name":"Denver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3"/>
        <v>start /low /b %USERPROFILE%\Documents\GitHub\eaglep3\Utilities\DownloadLogsFromS3.py --loco 4019 --day 2018-01-03</v>
      </c>
      <c r="AN11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5"/>
        <v>https://d0f6bd738d7f1b3e5a7ca70fe4ff75f0.us-east-1.aws.found.io/app/kibana#/discover/Steve-Slow-Train-Analysis-(2080s-and-2083s)?_g=(refreshInterval:(display:Off,pause:!f,section:0,value:0),time:(from:'2018-01-03T16:22:59-0700',mode:absolute,to:'2018-01-03T19:04:29-0700'))&amp;_a=(columns:!('Message%20ID',Summary),filters:!(),index:'emp_*',interval:auto,query:(query_string:(analyze_wildcard:!t,query:'%22rtdc.l.rtdc.4019%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819</v>
      </c>
      <c r="B119" s="225">
        <v>4002</v>
      </c>
      <c r="C119" s="227" t="s">
        <v>192</v>
      </c>
      <c r="D119" s="227" t="s">
        <v>967</v>
      </c>
      <c r="E119" s="226">
        <v>43103.690763888888</v>
      </c>
      <c r="F119" s="226">
        <v>43103.700266203705</v>
      </c>
      <c r="G119" s="225">
        <v>352</v>
      </c>
      <c r="H119" s="227" t="s">
        <v>936</v>
      </c>
      <c r="I119" s="226">
        <v>43103.724664351852</v>
      </c>
      <c r="J119" s="225">
        <v>0</v>
      </c>
      <c r="K119" s="237" t="str">
        <f>IF(ISEVEN(B119),(B119-1)&amp;"/"&amp;B119,B119&amp;"/"&amp;(B119+1))</f>
        <v>4001/4002</v>
      </c>
      <c r="L119" s="245" t="str">
        <f>VLOOKUP(A119,'Trips&amp;Operators'!$C$1:$G$99911,5,FALSE)</f>
        <v>STEWART MICHAEL</v>
      </c>
      <c r="M119" s="224">
        <f>I119-F119</f>
        <v>2.4398148147156462E-2</v>
      </c>
      <c r="N119" s="225">
        <f>24*60*SUM($M119:$M119)</f>
        <v>35.133333331905305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-03T15:34:42-0700',mode:absolute,to:'2018-01-03T18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0.1484</v>
      </c>
      <c r="Z119" s="247">
        <f>RIGHT(H119,LEN(H119)-4)/10000</f>
        <v>23.325900000000001</v>
      </c>
      <c r="AA119" s="247">
        <f>ABS(Z119-Y119)</f>
        <v>23.177500000000002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/stypes="app*4002*20180104*"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1"/>
        <v>"%USERPROFILE%\Documents\GitHub\eaglep3\Utilities\RefineRTDCRunTimes.py" --tripid 205-03 --locoid 4002 --swversion DE.1.0.9.0 --startMP 204:1484 --initTime 2018-01-03T16:34:42 --startdatetime 2018-01-03T16:48:23 --delay 352 --endMP 204:233259 --enddatetime 2018-01-03T17:23:31 --enforcementcount 0 &gt;&gt;%USERPROFILE%\Documents\GitHub\eaglep3-reporting\EC\2018-01-03-refined-times.txt</v>
      </c>
      <c r="AI11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{"issue":{"subject":"","project_id":79,"tracker_id":40,"status_id":1,"priority_id":2,"assigned_to_id":338,"start_date":"2018-01-03","description":"","custom_fields":[{"id":1,"name":"Subdivision","value":"EC"},{"id":4,"name":"Milepost","value":"23.3259"},{"id":17,"name":"Train ID","value":"205-03"},{"id":16,"name":"Locomotive ID","value":"4002"},{"id":130,"name":"Impact","value":""},{"id":150,"name":"Time of Event (Mountain Time)","value":"17:23:31"},{"id":151,"name":"Denver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3"/>
        <v>start /low /b %USERPROFILE%\Documents\GitHub\eaglep3\Utilities\DownloadLogsFromS3.py --loco 4002 --day 2018-01-03</v>
      </c>
      <c r="AN11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5"/>
        <v>https://d0f6bd738d7f1b3e5a7ca70fe4ff75f0.us-east-1.aws.found.io/app/kibana#/discover/Steve-Slow-Train-Analysis-(2080s-and-2083s)?_g=(refreshInterval:(display:Off,pause:!f,section:0,value:0),time:(from:'2018-01-03T15:34:42-0700',mode:absolute,to:'2018-01-03T18:23:31-0700'))&amp;_a=(columns:!('Message%20ID',Summary),filters:!(),index:'emp_*',interval:auto,query:(query_string:(analyze_wildcard:!t,query:'%22rtdc.l.rtdc.4002%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834</v>
      </c>
      <c r="B120" s="225">
        <v>4001</v>
      </c>
      <c r="C120" s="227" t="s">
        <v>192</v>
      </c>
      <c r="D120" s="227" t="s">
        <v>564</v>
      </c>
      <c r="E120" s="226">
        <v>43103.734780092593</v>
      </c>
      <c r="F120" s="226">
        <v>43103.737696759257</v>
      </c>
      <c r="G120" s="225">
        <v>77</v>
      </c>
      <c r="H120" s="227" t="s">
        <v>961</v>
      </c>
      <c r="I120" s="226">
        <v>43103.765138888892</v>
      </c>
      <c r="J120" s="225">
        <v>0</v>
      </c>
      <c r="K120" s="237" t="str">
        <f>IF(ISEVEN(B120),(B120-1)&amp;"/"&amp;B120,B120&amp;"/"&amp;(B120+1))</f>
        <v>4001/4002</v>
      </c>
      <c r="L120" s="245" t="str">
        <f>VLOOKUP(A120,'Trips&amp;Operators'!$C$1:$G$99911,5,FALSE)</f>
        <v>STEWART MICHAEL</v>
      </c>
      <c r="M120" s="224">
        <f>I120-F120</f>
        <v>2.7442129634437151E-2</v>
      </c>
      <c r="N120" s="225">
        <f>24*60*SUM($M120:$M120)</f>
        <v>39.516666673589498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-03T16:38:05-0700',mode:absolute,to:'2018-01-03T19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23.293600000000001</v>
      </c>
      <c r="Z120" s="247">
        <f>RIGHT(H120,LEN(H120)-4)/10000</f>
        <v>1.89E-2</v>
      </c>
      <c r="AA120" s="247">
        <f>ABS(Z120-Y120)</f>
        <v>23.274700000000003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/stypes="app*4001*20180104*"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1"/>
        <v>"%USERPROFILE%\Documents\GitHub\eaglep3\Utilities\RefineRTDCRunTimes.py" --tripid 206-03 --locoid 4001 --swversion DE.1.0.9.0 --startMP 204:232936 --initTime 2018-01-03T17:38:05 --startdatetime 2018-01-03T17:42:17 --delay 77 --endMP 204:189 --enddatetime 2018-01-03T18:21:48 --enforcementcount 0 &gt;&gt;%USERPROFILE%\Documents\GitHub\eaglep3-reporting\EC\2018-01-03-refined-times.txt</v>
      </c>
      <c r="AI12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{"issue":{"subject":"","project_id":79,"tracker_id":40,"status_id":1,"priority_id":2,"assigned_to_id":338,"start_date":"2018-01-03","description":"","custom_fields":[{"id":1,"name":"Subdivision","value":"EC"},{"id":4,"name":"Milepost","value":"0.0189"},{"id":17,"name":"Train ID","value":"206-03"},{"id":16,"name":"Locomotive ID","value":"4001"},{"id":130,"name":"Impact","value":""},{"id":150,"name":"Time of Event (Mountain Time)","value":"18:21:48"},{"id":151,"name":"Denver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3"/>
        <v>start /low /b %USERPROFILE%\Documents\GitHub\eaglep3\Utilities\DownloadLogsFromS3.py --loco 4001 --day 2018-01-03</v>
      </c>
      <c r="AN12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5"/>
        <v>https://d0f6bd738d7f1b3e5a7ca70fe4ff75f0.us-east-1.aws.found.io/app/kibana#/discover/Steve-Slow-Train-Analysis-(2080s-and-2083s)?_g=(refreshInterval:(display:Off,pause:!f,section:0,value:0),time:(from:'2018-01-03T16:38:05-0700',mode:absolute,to:'2018-01-03T19:21:48-0700'))&amp;_a=(columns:!('Message%20ID',Summary),filters:!(),index:'emp_*',interval:auto,query:(query_string:(analyze_wildcard:!t,query:'%22rtdc.l.rtdc.4001%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825</v>
      </c>
      <c r="B121" s="225">
        <v>4060</v>
      </c>
      <c r="C121" s="227" t="s">
        <v>192</v>
      </c>
      <c r="D121" s="227" t="s">
        <v>598</v>
      </c>
      <c r="E121" s="226">
        <v>43103.705682870372</v>
      </c>
      <c r="F121" s="226">
        <v>43103.708738425928</v>
      </c>
      <c r="G121" s="225">
        <v>51</v>
      </c>
      <c r="H121" s="227" t="s">
        <v>968</v>
      </c>
      <c r="I121" s="226">
        <v>43103.733819444446</v>
      </c>
      <c r="J121" s="225">
        <v>0</v>
      </c>
      <c r="K121" s="237" t="str">
        <f>IF(ISEVEN(B121),(B121-1)&amp;"/"&amp;B121,B121&amp;"/"&amp;(B121+1))</f>
        <v>4059/4060</v>
      </c>
      <c r="L121" s="245" t="str">
        <f>VLOOKUP(A121,'Trips&amp;Operators'!$C$1:$G$99911,5,FALSE)</f>
        <v>GUZMAN DANNY</v>
      </c>
      <c r="M121" s="224">
        <f>I121-F121</f>
        <v>2.5081018517084885E-2</v>
      </c>
      <c r="N121" s="225">
        <f>24*60*SUM($M121:$M121)</f>
        <v>36.116666664602235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-03T15:56:11-0700',mode:absolute,to:'2018-01-03T18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5.2400000000000002E-2</v>
      </c>
      <c r="Z121" s="247">
        <f>RIGHT(H121,LEN(H121)-4)/10000</f>
        <v>23.3325</v>
      </c>
      <c r="AA121" s="247">
        <f>ABS(Z121-Y121)</f>
        <v>23.280100000000001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/stypes="app*4060*20180104*"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1"/>
        <v>"%USERPROFILE%\Documents\GitHub\eaglep3\Utilities\RefineRTDCRunTimes.py" --tripid 207-03 --locoid 4060 --swversion DE.1.0.9.0 --startMP 204:524 --initTime 2018-01-03T16:56:11 --startdatetime 2018-01-03T17:00:35 --delay 51 --endMP 204:233325 --enddatetime 2018-01-03T17:36:42 --enforcementcount 0 &gt;&gt;%USERPROFILE%\Documents\GitHub\eaglep3-reporting\EC\2018-01-03-refined-times.txt</v>
      </c>
      <c r="AI12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{"issue":{"subject":"","project_id":79,"tracker_id":40,"status_id":1,"priority_id":2,"assigned_to_id":338,"start_date":"2018-01-03","description":"","custom_fields":[{"id":1,"name":"Subdivision","value":"EC"},{"id":4,"name":"Milepost","value":"23.3325"},{"id":17,"name":"Train ID","value":"207-03"},{"id":16,"name":"Locomotive ID","value":"4060"},{"id":130,"name":"Impact","value":""},{"id":150,"name":"Time of Event (Mountain Time)","value":"17:36:42"},{"id":151,"name":"Denver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3"/>
        <v>start /low /b %USERPROFILE%\Documents\GitHub\eaglep3\Utilities\DownloadLogsFromS3.py --loco 4060 --day 2018-01-03</v>
      </c>
      <c r="AN12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5"/>
        <v>https://d0f6bd738d7f1b3e5a7ca70fe4ff75f0.us-east-1.aws.found.io/app/kibana#/discover/Steve-Slow-Train-Analysis-(2080s-and-2083s)?_g=(refreshInterval:(display:Off,pause:!f,section:0,value:0),time:(from:'2018-01-03T15:56:11-0700',mode:absolute,to:'2018-01-03T18:36:42-0700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836</v>
      </c>
      <c r="B122" s="225">
        <v>4059</v>
      </c>
      <c r="C122" s="227" t="s">
        <v>192</v>
      </c>
      <c r="D122" s="227" t="s">
        <v>932</v>
      </c>
      <c r="E122" s="226">
        <v>43103.737488425926</v>
      </c>
      <c r="F122" s="226">
        <v>43103.748101851852</v>
      </c>
      <c r="G122" s="225">
        <v>52</v>
      </c>
      <c r="H122" s="227" t="s">
        <v>562</v>
      </c>
      <c r="I122" s="226">
        <v>43103.77443287037</v>
      </c>
      <c r="J122" s="225">
        <v>0</v>
      </c>
      <c r="K122" s="237" t="str">
        <f>IF(ISEVEN(B122),(B122-1)&amp;"/"&amp;B122,B122&amp;"/"&amp;(B122+1))</f>
        <v>4059/4060</v>
      </c>
      <c r="L122" s="245" t="str">
        <f>VLOOKUP(A122,'Trips&amp;Operators'!$C$1:$G$99911,5,FALSE)</f>
        <v>GUZMAN DANNY</v>
      </c>
      <c r="M122" s="224">
        <f>I122-F122</f>
        <v>2.6331018518249039E-2</v>
      </c>
      <c r="N122" s="225">
        <f>24*60*SUM($M122:$M122)</f>
        <v>37.916666666278616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-03T16:41:59-0700',mode:absolute,to:'2018-01-03T19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23.300599999999999</v>
      </c>
      <c r="Z122" s="247">
        <f>RIGHT(H122,LEN(H122)-4)/10000</f>
        <v>2.52E-2</v>
      </c>
      <c r="AA122" s="247">
        <f>ABS(Z122-Y122)</f>
        <v>23.275399999999998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/stypes="app*4059*20180104*"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1"/>
        <v>"%USERPROFILE%\Documents\GitHub\eaglep3\Utilities\RefineRTDCRunTimes.py" --tripid 208-03 --locoid 4059 --swversion DE.1.0.9.0 --startMP 204:233006 --initTime 2018-01-03T17:41:59 --startdatetime 2018-01-03T17:57:16 --delay 52 --endMP 204:252 --enddatetime 2018-01-03T18:35:11 --enforcementcount 0 &gt;&gt;%USERPROFILE%\Documents\GitHub\eaglep3-reporting\EC\2018-01-03-refined-times.txt</v>
      </c>
      <c r="AI12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{"issue":{"subject":"","project_id":79,"tracker_id":40,"status_id":1,"priority_id":2,"assigned_to_id":338,"start_date":"2018-01-03","description":"","custom_fields":[{"id":1,"name":"Subdivision","value":"EC"},{"id":4,"name":"Milepost","value":"0.0252"},{"id":17,"name":"Train ID","value":"208-03"},{"id":16,"name":"Locomotive ID","value":"4059"},{"id":130,"name":"Impact","value":""},{"id":150,"name":"Time of Event (Mountain Time)","value":"18:35:11"},{"id":151,"name":"Denver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3"/>
        <v>start /low /b %USERPROFILE%\Documents\GitHub\eaglep3\Utilities\DownloadLogsFromS3.py --loco 4059 --day 2018-01-03</v>
      </c>
      <c r="AN12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5"/>
        <v>https://d0f6bd738d7f1b3e5a7ca70fe4ff75f0.us-east-1.aws.found.io/app/kibana#/discover/Steve-Slow-Train-Analysis-(2080s-and-2083s)?_g=(refreshInterval:(display:Off,pause:!f,section:0,value:0),time:(from:'2018-01-03T16:41:59-0700',mode:absolute,to:'2018-01-03T19:35:11-0700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828</v>
      </c>
      <c r="B123" s="225">
        <v>4042</v>
      </c>
      <c r="C123" s="227" t="s">
        <v>192</v>
      </c>
      <c r="D123" s="227" t="s">
        <v>559</v>
      </c>
      <c r="E123" s="226">
        <v>43103.715902777774</v>
      </c>
      <c r="F123" s="226">
        <v>43103.718935185185</v>
      </c>
      <c r="G123" s="225">
        <v>57</v>
      </c>
      <c r="H123" s="227" t="s">
        <v>913</v>
      </c>
      <c r="I123" s="226">
        <v>43103.743668981479</v>
      </c>
      <c r="J123" s="225">
        <v>0</v>
      </c>
      <c r="K123" s="237" t="str">
        <f>IF(ISEVEN(B123),(B123-1)&amp;"/"&amp;B123,B123&amp;"/"&amp;(B123+1))</f>
        <v>4041/4042</v>
      </c>
      <c r="L123" s="245" t="str">
        <f>VLOOKUP(A123,'Trips&amp;Operators'!$C$1:$G$99911,5,FALSE)</f>
        <v>LEVIN SCOTT</v>
      </c>
      <c r="M123" s="224">
        <f>I123-F123</f>
        <v>2.4733796293730848E-2</v>
      </c>
      <c r="N123" s="225">
        <f>24*60*SUM($M123:$M123)</f>
        <v>35.61666666297242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-03T16:10:54-0700',mode:absolute,to:'2018-01-03T18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4.6199999999999998E-2</v>
      </c>
      <c r="Z123" s="247">
        <f>RIGHT(H123,LEN(H123)-4)/10000</f>
        <v>23.332799999999999</v>
      </c>
      <c r="AA123" s="247">
        <f>ABS(Z123-Y123)</f>
        <v>23.2866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/stypes="app*4042*20180104*"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1"/>
        <v>"%USERPROFILE%\Documents\GitHub\eaglep3\Utilities\RefineRTDCRunTimes.py" --tripid 209-03 --locoid 4042 --swversion DE.1.0.9.0 --startMP 204:462 --initTime 2018-01-03T17:10:54 --startdatetime 2018-01-03T17:15:16 --delay 57 --endMP 204:233328 --enddatetime 2018-01-03T17:50:53 --enforcementcount 0 &gt;&gt;%USERPROFILE%\Documents\GitHub\eaglep3-reporting\EC\2018-01-03-refined-times.txt</v>
      </c>
      <c r="AI12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{"issue":{"subject":"","project_id":79,"tracker_id":40,"status_id":1,"priority_id":2,"assigned_to_id":338,"start_date":"2018-01-03","description":"","custom_fields":[{"id":1,"name":"Subdivision","value":"EC"},{"id":4,"name":"Milepost","value":"23.3328"},{"id":17,"name":"Train ID","value":"209-03"},{"id":16,"name":"Locomotive ID","value":"4042"},{"id":130,"name":"Impact","value":""},{"id":150,"name":"Time of Event (Mountain Time)","value":"17:50:53"},{"id":151,"name":"Denver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13"/>
        <v>start /low /b %USERPROFILE%\Documents\GitHub\eaglep3\Utilities\DownloadLogsFromS3.py --loco 4042 --day 2018-01-03</v>
      </c>
      <c r="AN123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5"/>
        <v>https://d0f6bd738d7f1b3e5a7ca70fe4ff75f0.us-east-1.aws.found.io/app/kibana#/discover/Steve-Slow-Train-Analysis-(2080s-and-2083s)?_g=(refreshInterval:(display:Off,pause:!f,section:0,value:0),time:(from:'2018-01-03T16:10:54-0700',mode:absolute,to:'2018-01-03T18:50:53-0700'))&amp;_a=(columns:!('Message%20ID',Summary),filters:!(),index:'emp_*',interval:auto,query:(query_string:(analyze_wildcard:!t,query:'%22rtdc.l.rtdc.4042%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840</v>
      </c>
      <c r="B124" s="225">
        <v>4041</v>
      </c>
      <c r="C124" s="227" t="s">
        <v>192</v>
      </c>
      <c r="D124" s="227" t="s">
        <v>547</v>
      </c>
      <c r="E124" s="226">
        <v>43103.748773148145</v>
      </c>
      <c r="F124" s="226">
        <v>43103.758530092593</v>
      </c>
      <c r="G124" s="225">
        <v>55</v>
      </c>
      <c r="H124" s="227" t="s">
        <v>969</v>
      </c>
      <c r="I124" s="226">
        <v>43103.777546296296</v>
      </c>
      <c r="J124" s="225">
        <v>0</v>
      </c>
      <c r="K124" s="237" t="str">
        <f>IF(ISEVEN(B124),(B124-1)&amp;"/"&amp;B124,B124&amp;"/"&amp;(B124+1))</f>
        <v>4041/4042</v>
      </c>
      <c r="L124" s="245" t="str">
        <f>VLOOKUP(A124,'Trips&amp;Operators'!$C$1:$G$99911,5,FALSE)</f>
        <v>LEVIN SCOTT</v>
      </c>
      <c r="M124" s="224">
        <f>I124-F124</f>
        <v>1.9016203703358769E-2</v>
      </c>
      <c r="N124" s="225"/>
      <c r="O124" s="225"/>
      <c r="P124" s="225">
        <f>24*60*SUM($M124:$M124)</f>
        <v>27.383333332836628</v>
      </c>
      <c r="Q124" s="228"/>
      <c r="R124" s="242" t="s">
        <v>1127</v>
      </c>
      <c r="S124" s="249">
        <f>1/IF(AG124="EC",12,1)*SUM(U124:U124)</f>
        <v>0.33333333333333331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4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-03T16:58:14-0700',mode:absolute,to:'2018-01-03T19:39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247" t="str">
        <f>IF(AA124&lt;VLOOKUP(AG124,Variables!$AC$3:$AD$8,2,FALSE),"Y","N")</f>
        <v>Y</v>
      </c>
      <c r="X124" s="247">
        <f>VALUE(LEFT(AD124,4))-VALUE(LEFT(AD123,4))</f>
        <v>1</v>
      </c>
      <c r="Y124" s="247">
        <f>RIGHT(D124,LEN(D124)-4)/10000</f>
        <v>23.3019</v>
      </c>
      <c r="Z124" s="247">
        <f>RIGHT(H124,LEN(H124)-4)/10000</f>
        <v>6.1946000000000003</v>
      </c>
      <c r="AA124" s="247">
        <f>ABS(Z124-Y124)</f>
        <v>17.107299999999999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/stypes="app*4041*20180104*"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1"/>
        <v>"%USERPROFILE%\Documents\GitHub\eaglep3\Utilities\RefineRTDCRunTimes.py" --tripid 210-03 --locoid 4041 --swversion DE.1.0.9.0 --startMP 204:233019 --initTime 2018-01-03T17:58:14 --startdatetime 2018-01-03T18:12:17 --delay 55 --endMP 204:61946 --enddatetime 2018-01-03T18:39:40 --enforcementcount 0 &gt;&gt;%USERPROFILE%\Documents\GitHub\eaglep3-reporting\EC\2018-01-03-refined-times.txt</v>
      </c>
      <c r="AI124" s="238" t="str">
        <f t="shared" si="12"/>
        <v>echo {"issue":{"subject":"CP Quebec 2S signal issues (59340)","project_id":79,"tracker_id":40,"status_id":1,"priority_id":2,"assigned_to_id":338,"start_date":"2018-01-03","description":"","custom_fields":[{"id":1,"name":"Subdivision","value":"EC"},{"id":4,"name":"Milepost","value":"6.1946"},{"id":17,"name":"Train ID","value":"210-03"},{"id":16,"name":"Locomotive ID","value":"4041"},{"id":130,"name":"Impact","value":""},{"id":150,"name":"Time of Event (Mountain Time)","value":"18:39:40"},{"id":151,"name":"Denver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3"/>
        <v>start /low /b %USERPROFILE%\Documents\GitHub\eaglep3\Utilities\DownloadLogsFromS3.py --loco 4041 --day 2018-01-03</v>
      </c>
      <c r="AN124" s="241" t="str">
        <f t="shared" si="14"/>
        <v>echo {"issue":{"subject":"CP Quebec 2S signal issues (59340)","project_id":30,"tracker_id":4,"status_id":1,"priority_id":1,"assigned_to_id":10,"start_date":"2018-01-04","description":"","custom_fields":[{"id":30,"name":"Category","value":"Issue"},{"id":3,"name":"Functional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5"/>
        <v>https://d0f6bd738d7f1b3e5a7ca70fe4ff75f0.us-east-1.aws.found.io/app/kibana#/discover/Steve-Slow-Train-Analysis-(2080s-and-2083s)?_g=(refreshInterval:(display:Off,pause:!f,section:0,value:0),time:(from:'2018-01-03T16:58:14-0700',mode:absolute,to:'2018-01-03T19:39:40-0700'))&amp;_a=(columns:!('Message%20ID',Summary),filters:!(),index:'emp_*',interval:auto,query:(query_string:(analyze_wildcard:!t,query:'%22rtdc.l.rtdc.4041%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831</v>
      </c>
      <c r="B125" s="225">
        <v>4030</v>
      </c>
      <c r="C125" s="227" t="s">
        <v>192</v>
      </c>
      <c r="D125" s="227" t="s">
        <v>496</v>
      </c>
      <c r="E125" s="226">
        <v>43103.724409722221</v>
      </c>
      <c r="F125" s="226">
        <v>43103.729375000003</v>
      </c>
      <c r="G125" s="225">
        <v>72</v>
      </c>
      <c r="H125" s="227" t="s">
        <v>590</v>
      </c>
      <c r="I125" s="226">
        <v>43103.754479166666</v>
      </c>
      <c r="J125" s="225">
        <v>0</v>
      </c>
      <c r="K125" s="237" t="str">
        <f>IF(ISEVEN(B125),(B125-1)&amp;"/"&amp;B125,B125&amp;"/"&amp;(B125+1))</f>
        <v>4029/4030</v>
      </c>
      <c r="L125" s="245" t="str">
        <f>VLOOKUP(A125,'Trips&amp;Operators'!$C$1:$G$99911,5,FALSE)</f>
        <v>KILLION DAVID</v>
      </c>
      <c r="M125" s="224">
        <f>I125-F125</f>
        <v>2.5104166663368233E-2</v>
      </c>
      <c r="N125" s="225">
        <f>24*60*SUM($M125:$M125)</f>
        <v>36.149999995250255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-03T16:23:09-0700',mode:absolute,to:'2018-01-03T19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4.9700000000000001E-2</v>
      </c>
      <c r="Z125" s="247">
        <f>RIGHT(H125,LEN(H125)-4)/10000</f>
        <v>23.326799999999999</v>
      </c>
      <c r="AA125" s="247">
        <f>ABS(Z125-Y125)</f>
        <v>23.277099999999997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/stypes="app*4030*20180104*"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1"/>
        <v>"%USERPROFILE%\Documents\GitHub\eaglep3\Utilities\RefineRTDCRunTimes.py" --tripid 211-03 --locoid 4030 --swversion DE.1.0.9.0 --startMP 204:497 --initTime 2018-01-03T17:23:09 --startdatetime 2018-01-03T17:30:18 --delay 72 --endMP 204:233268 --enddatetime 2018-01-03T18:06:27 --enforcementcount 0 &gt;&gt;%USERPROFILE%\Documents\GitHub\eaglep3-reporting\EC\2018-01-03-refined-times.txt</v>
      </c>
      <c r="AI12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{"issue":{"subject":"","project_id":79,"tracker_id":40,"status_id":1,"priority_id":2,"assigned_to_id":338,"start_date":"2018-01-03","description":"","custom_fields":[{"id":1,"name":"Subdivision","value":"EC"},{"id":4,"name":"Milepost","value":"23.3268"},{"id":17,"name":"Train ID","value":"211-03"},{"id":16,"name":"Locomotive ID","value":"4030"},{"id":130,"name":"Impact","value":""},{"id":150,"name":"Time of Event (Mountain Time)","value":"18:06:27"},{"id":151,"name":"Denver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3"/>
        <v>start /low /b %USERPROFILE%\Documents\GitHub\eaglep3\Utilities\DownloadLogsFromS3.py --loco 4030 --day 2018-01-03</v>
      </c>
      <c r="AN125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5"/>
        <v>https://d0f6bd738d7f1b3e5a7ca70fe4ff75f0.us-east-1.aws.found.io/app/kibana#/discover/Steve-Slow-Train-Analysis-(2080s-and-2083s)?_g=(refreshInterval:(display:Off,pause:!f,section:0,value:0),time:(from:'2018-01-03T16:23:09-0700',mode:absolute,to:'2018-01-03T19:06:27-0700'))&amp;_a=(columns:!('Message%20ID',Summary),filters:!(),index:'emp_*',interval:auto,query:(query_string:(analyze_wildcard:!t,query:'%22rtdc.l.rtdc.4030%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843</v>
      </c>
      <c r="B126" s="225">
        <v>4029</v>
      </c>
      <c r="C126" s="227" t="s">
        <v>192</v>
      </c>
      <c r="D126" s="227" t="s">
        <v>970</v>
      </c>
      <c r="E126" s="226">
        <v>43103.759351851855</v>
      </c>
      <c r="F126" s="226">
        <v>43103.769050925926</v>
      </c>
      <c r="G126" s="225">
        <v>51</v>
      </c>
      <c r="H126" s="227" t="s">
        <v>497</v>
      </c>
      <c r="I126" s="226">
        <v>43103.795949074076</v>
      </c>
      <c r="J126" s="225">
        <v>0</v>
      </c>
      <c r="K126" s="237" t="str">
        <f>IF(ISEVEN(B126),(B126-1)&amp;"/"&amp;B126,B126&amp;"/"&amp;(B126+1))</f>
        <v>4029/4030</v>
      </c>
      <c r="L126" s="245" t="str">
        <f>VLOOKUP(A126,'Trips&amp;Operators'!$C$1:$G$99911,5,FALSE)</f>
        <v>KILLION DAVID</v>
      </c>
      <c r="M126" s="224">
        <f>I126-F126</f>
        <v>2.6898148149484769E-2</v>
      </c>
      <c r="N126" s="225">
        <f>24*60*SUM($M126:$M126)</f>
        <v>38.733333335258067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-03T17:13:28-0700',mode:absolute,to:'2018-01-03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23.295100000000001</v>
      </c>
      <c r="Z126" s="247">
        <f>RIGHT(H126,LEN(H126)-4)/10000</f>
        <v>0.02</v>
      </c>
      <c r="AA126" s="247">
        <f>ABS(Z126-Y126)</f>
        <v>23.275100000000002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/stypes="app*4029*20180104*"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1"/>
        <v>"%USERPROFILE%\Documents\GitHub\eaglep3\Utilities\RefineRTDCRunTimes.py" --tripid 212-03 --locoid 4029 --swversion DE.1.0.9.0 --startMP 204:232951 --initTime 2018-01-03T18:13:28 --startdatetime 2018-01-03T18:27:26 --delay 51 --endMP 204:200 --enddatetime 2018-01-03T19:06:10 --enforcementcount 0 &gt;&gt;%USERPROFILE%\Documents\GitHub\eaglep3-reporting\EC\2018-01-03-refined-times.txt</v>
      </c>
      <c r="AI12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{"issue":{"subject":"","project_id":79,"tracker_id":40,"status_id":1,"priority_id":2,"assigned_to_id":338,"start_date":"2018-01-03","description":"","custom_fields":[{"id":1,"name":"Subdivision","value":"EC"},{"id":4,"name":"Milepost","value":"0.02"},{"id":17,"name":"Train ID","value":"212-03"},{"id":16,"name":"Locomotive ID","value":"4029"},{"id":130,"name":"Impact","value":""},{"id":150,"name":"Time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3"/>
        <v>start /low /b %USERPROFILE%\Documents\GitHub\eaglep3\Utilities\DownloadLogsFromS3.py --loco 4029 --day 2018-01-03</v>
      </c>
      <c r="AN12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5"/>
        <v>https://d0f6bd738d7f1b3e5a7ca70fe4ff75f0.us-east-1.aws.found.io/app/kibana#/discover/Steve-Slow-Train-Analysis-(2080s-and-2083s)?_g=(refreshInterval:(display:Off,pause:!f,section:0,value:0),time:(from:'2018-01-03T17:13:28-0700',mode:absolute,to:'2018-01-03T20:06:10-0700'))&amp;_a=(columns:!('Message%20ID',Summary),filters:!(),index:'emp_*',interval:auto,query:(query_string:(analyze_wildcard:!t,query:'%22rtdc.l.rtdc.4029%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835</v>
      </c>
      <c r="B127" s="225">
        <v>4050</v>
      </c>
      <c r="C127" s="227" t="s">
        <v>192</v>
      </c>
      <c r="D127" s="227" t="s">
        <v>486</v>
      </c>
      <c r="E127" s="226">
        <v>43103.736817129633</v>
      </c>
      <c r="F127" s="226">
        <v>43103.739768518521</v>
      </c>
      <c r="G127" s="225">
        <v>74</v>
      </c>
      <c r="H127" s="227" t="s">
        <v>541</v>
      </c>
      <c r="I127" s="226">
        <v>43103.763865740744</v>
      </c>
      <c r="J127" s="225">
        <v>0</v>
      </c>
      <c r="K127" s="237" t="str">
        <f>IF(ISEVEN(B127),(B127-1)&amp;"/"&amp;B127,B127&amp;"/"&amp;(B127+1))</f>
        <v>4049/4050</v>
      </c>
      <c r="L127" s="245" t="str">
        <f>VLOOKUP(A127,'Trips&amp;Operators'!$C$1:$G$99911,5,FALSE)</f>
        <v>RESPASS AARON</v>
      </c>
      <c r="M127" s="224">
        <f>I127-F127</f>
        <v>2.4097222223645076E-2</v>
      </c>
      <c r="N127" s="225">
        <f>24*60*SUM($M127:$M127)</f>
        <v>34.70000000204891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-03T16:41:01-0700',mode:absolute,to:'2018-01-03T19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5.1700000000000003E-2</v>
      </c>
      <c r="Z127" s="247">
        <f>RIGHT(H127,LEN(H127)-4)/10000</f>
        <v>23.325700000000001</v>
      </c>
      <c r="AA127" s="247">
        <f>ABS(Z127-Y127)</f>
        <v>23.274000000000001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/stypes="app*4050*20180104*"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1"/>
        <v>"%USERPROFILE%\Documents\GitHub\eaglep3\Utilities\RefineRTDCRunTimes.py" --tripid 213-03 --locoid 4050 --swversion DE.1.0.9.0 --startMP 204:517 --initTime 2018-01-03T17:41:01 --startdatetime 2018-01-03T17:45:16 --delay 74 --endMP 204:233257 --enddatetime 2018-01-03T18:19:58 --enforcementcount 0 &gt;&gt;%USERPROFILE%\Documents\GitHub\eaglep3-reporting\EC\2018-01-03-refined-times.txt</v>
      </c>
      <c r="AI12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{"issue":{"subject":"","project_id":79,"tracker_id":40,"status_id":1,"priority_id":2,"assigned_to_id":338,"start_date":"2018-01-03","description":"","custom_fields":[{"id":1,"name":"Subdivision","value":"EC"},{"id":4,"name":"Milepost","value":"23.3257"},{"id":17,"name":"Train ID","value":"213-03"},{"id":16,"name":"Locomotive ID","value":"4050"},{"id":130,"name":"Impact","value":""},{"id":150,"name":"Time of Event (Mountain Time)","value":"18:19:58"},{"id":151,"name":"Denver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3"/>
        <v>start /low /b %USERPROFILE%\Documents\GitHub\eaglep3\Utilities\DownloadLogsFromS3.py --loco 4050 --day 2018-01-03</v>
      </c>
      <c r="AN12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5"/>
        <v>https://d0f6bd738d7f1b3e5a7ca70fe4ff75f0.us-east-1.aws.found.io/app/kibana#/discover/Steve-Slow-Train-Analysis-(2080s-and-2083s)?_g=(refreshInterval:(display:Off,pause:!f,section:0,value:0),time:(from:'2018-01-03T16:41:01-0700',mode:absolute,to:'2018-01-03T19:19:58-0700'))&amp;_a=(columns:!('Message%20ID',Summary),filters:!(),index:'emp_*',interval:auto,query:(query_string:(analyze_wildcard:!t,query:'%22rtdc.l.rtdc.4050%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844</v>
      </c>
      <c r="B128" s="225">
        <v>4049</v>
      </c>
      <c r="C128" s="227" t="s">
        <v>192</v>
      </c>
      <c r="D128" s="227" t="s">
        <v>946</v>
      </c>
      <c r="E128" s="226">
        <v>43103.767858796295</v>
      </c>
      <c r="F128" s="226">
        <v>43103.779386574075</v>
      </c>
      <c r="G128" s="225">
        <v>75</v>
      </c>
      <c r="H128" s="227" t="s">
        <v>971</v>
      </c>
      <c r="I128" s="226">
        <v>43103.805231481485</v>
      </c>
      <c r="J128" s="225">
        <v>0</v>
      </c>
      <c r="K128" s="237" t="str">
        <f>IF(ISEVEN(B128),(B128-1)&amp;"/"&amp;B128,B128&amp;"/"&amp;(B128+1))</f>
        <v>4049/4050</v>
      </c>
      <c r="L128" s="245" t="str">
        <f>VLOOKUP(A128,'Trips&amp;Operators'!$C$1:$G$99911,5,FALSE)</f>
        <v>RESPASS AARON</v>
      </c>
      <c r="M128" s="224">
        <f>I128-F128</f>
        <v>2.584490740991896E-2</v>
      </c>
      <c r="N128" s="225">
        <f>24*60*SUM($M128:$M128)</f>
        <v>37.216666670283303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-03T17:25:43-0700',mode:absolute,to:'2018-01-03T20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23.2925</v>
      </c>
      <c r="Z128" s="247">
        <f>RIGHT(H128,LEN(H128)-4)/10000</f>
        <v>2.63E-2</v>
      </c>
      <c r="AA128" s="247">
        <f>ABS(Z128-Y128)</f>
        <v>23.266200000000001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/stypes="app*4049*20180104*"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1"/>
        <v>"%USERPROFILE%\Documents\GitHub\eaglep3\Utilities\RefineRTDCRunTimes.py" --tripid 214-03 --locoid 4049 --swversion DE.1.0.9.0 --startMP 204:232925 --initTime 2018-01-03T18:25:43 --startdatetime 2018-01-03T18:42:19 --delay 75 --endMP 204:263 --enddatetime 2018-01-03T19:19:32 --enforcementcount 0 &gt;&gt;%USERPROFILE%\Documents\GitHub\eaglep3-reporting\EC\2018-01-03-refined-times.txt</v>
      </c>
      <c r="AI12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{"issue":{"subject":"","project_id":79,"tracker_id":40,"status_id":1,"priority_id":2,"assigned_to_id":338,"start_date":"2018-01-03","description":"","custom_fields":[{"id":1,"name":"Subdivision","value":"EC"},{"id":4,"name":"Milepost","value":"0.0263"},{"id":17,"name":"Train ID","value":"214-03"},{"id":16,"name":"Locomotive ID","value":"4049"},{"id":130,"name":"Impact","value":""},{"id":150,"name":"Time of Event (Mountain Time)","value":"19:19:32"},{"id":151,"name":"Denver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3"/>
        <v>start /low /b %USERPROFILE%\Documents\GitHub\eaglep3\Utilities\DownloadLogsFromS3.py --loco 4049 --day 2018-01-03</v>
      </c>
      <c r="AN12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5"/>
        <v>https://d0f6bd738d7f1b3e5a7ca70fe4ff75f0.us-east-1.aws.found.io/app/kibana#/discover/Steve-Slow-Train-Analysis-(2080s-and-2083s)?_g=(refreshInterval:(display:Off,pause:!f,section:0,value:0),time:(from:'2018-01-03T17:25:43-0700',mode:absolute,to:'2018-01-03T20:19:32-0700'))&amp;_a=(columns:!('Message%20ID',Summary),filters:!(),index:'emp_*',interval:auto,query:(query_string:(analyze_wildcard:!t,query:'%22rtdc.l.rtdc.4049%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659</v>
      </c>
      <c r="B129" s="225">
        <v>4062</v>
      </c>
      <c r="C129" s="227" t="s">
        <v>192</v>
      </c>
      <c r="D129" s="227" t="s">
        <v>972</v>
      </c>
      <c r="E129" s="226">
        <v>43103.746435185189</v>
      </c>
      <c r="F129" s="226">
        <v>43103.7503125</v>
      </c>
      <c r="G129" s="225">
        <v>59</v>
      </c>
      <c r="H129" s="227" t="s">
        <v>949</v>
      </c>
      <c r="I129" s="226">
        <v>43103.774988425925</v>
      </c>
      <c r="J129" s="225">
        <v>0</v>
      </c>
      <c r="K129" s="237" t="str">
        <f>IF(ISEVEN(B129),(B129-1)&amp;"/"&amp;B129,B129&amp;"/"&amp;(B129+1))</f>
        <v>4061/4062</v>
      </c>
      <c r="L129" s="245" t="str">
        <f>VLOOKUP(A129,'Trips&amp;Operators'!$C$1:$G$99911,5,FALSE)</f>
        <v>HOLCOMB KAMDEN</v>
      </c>
      <c r="M129" s="224">
        <f>I129-F129</f>
        <v>2.4675925924384501E-2</v>
      </c>
      <c r="N129" s="225">
        <f>24*60*SUM($M129:$M129)</f>
        <v>35.533333331113681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-03T16:54:52-0700',mode:absolute,to:'2018-01-03T19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5.4600000000000003E-2</v>
      </c>
      <c r="Z129" s="247">
        <f>RIGHT(H129,LEN(H129)-4)/10000</f>
        <v>23.323799999999999</v>
      </c>
      <c r="AA129" s="247">
        <f>ABS(Z129-Y129)</f>
        <v>23.269199999999998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/stypes="app*4062*20180104*"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1"/>
        <v>"%USERPROFILE%\Documents\GitHub\eaglep3\Utilities\RefineRTDCRunTimes.py" --tripid 215-03 --locoid 4062 --swversion DE.1.0.9.0 --startMP 204:546 --initTime 2018-01-03T17:54:52 --startdatetime 2018-01-03T18:00:27 --delay 59 --endMP 204:233238 --enddatetime 2018-01-03T18:35:59 --enforcementcount 0 &gt;&gt;%USERPROFILE%\Documents\GitHub\eaglep3-reporting\EC\2018-01-03-refined-times.txt</v>
      </c>
      <c r="AI12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{"issue":{"subject":"","project_id":79,"tracker_id":40,"status_id":1,"priority_id":2,"assigned_to_id":338,"start_date":"2018-01-03","description":"","custom_fields":[{"id":1,"name":"Subdivision","value":"EC"},{"id":4,"name":"Milepost","value":"23.3238"},{"id":17,"name":"Train ID","value":"215-03"},{"id":16,"name":"Locomotive ID","value":"4062"},{"id":130,"name":"Impact","value":""},{"id":150,"name":"Time of Event (Mountain Time)","value":"18:35:59"},{"id":151,"name":"Denver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3"/>
        <v>start /low /b %USERPROFILE%\Documents\GitHub\eaglep3\Utilities\DownloadLogsFromS3.py --loco 4062 --day 2018-01-03</v>
      </c>
      <c r="AN12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5"/>
        <v>https://d0f6bd738d7f1b3e5a7ca70fe4ff75f0.us-east-1.aws.found.io/app/kibana#/discover/Steve-Slow-Train-Analysis-(2080s-and-2083s)?_g=(refreshInterval:(display:Off,pause:!f,section:0,value:0),time:(from:'2018-01-03T16:54:52-0700',mode:absolute,to:'2018-01-03T19:35:59-0700'))&amp;_a=(columns:!('Message%20ID',Summary),filters:!(),index:'emp_*',interval:auto,query:(query_string:(analyze_wildcard:!t,query:'%22rtdc.l.rtdc.4062%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849</v>
      </c>
      <c r="B130" s="225">
        <v>4061</v>
      </c>
      <c r="C130" s="227" t="s">
        <v>192</v>
      </c>
      <c r="D130" s="227" t="s">
        <v>973</v>
      </c>
      <c r="E130" s="226">
        <v>43103.801446759258</v>
      </c>
      <c r="F130" s="226">
        <v>43103.80332175926</v>
      </c>
      <c r="G130" s="225">
        <v>105</v>
      </c>
      <c r="H130" s="227" t="s">
        <v>619</v>
      </c>
      <c r="I130" s="226">
        <v>43103.819398148145</v>
      </c>
      <c r="J130" s="225">
        <v>0</v>
      </c>
      <c r="K130" s="237" t="str">
        <f>IF(ISEVEN(B130),(B130-1)&amp;"/"&amp;B130,B130&amp;"/"&amp;(B130+1))</f>
        <v>4061/4062</v>
      </c>
      <c r="L130" s="245" t="str">
        <f>VLOOKUP(A130,'Trips&amp;Operators'!$C$1:$G$99911,5,FALSE)</f>
        <v>HOLCOMB KAMDEN</v>
      </c>
      <c r="M130" s="224">
        <f>I130-F130</f>
        <v>1.6076388885267079E-2</v>
      </c>
      <c r="N130" s="225"/>
      <c r="O130" s="225"/>
      <c r="P130" s="225">
        <f>24*60*SUM($M130:$M130)</f>
        <v>23.149999994784594</v>
      </c>
      <c r="Q130" s="228"/>
      <c r="R130" s="242" t="s">
        <v>1124</v>
      </c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-03T18:14:05-0700',mode:absolute,to:'2018-01-03T20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0" s="247" t="str">
        <f>IF(AA130&lt;VLOOKUP(AG130,Variables!$AC$3:$AD$8,2,FALSE),"Y","N")</f>
        <v>Y</v>
      </c>
      <c r="X130" s="247">
        <f>VALUE(LEFT(AD130,4))-VALUE(LEFT(AD129,4))</f>
        <v>1</v>
      </c>
      <c r="Y130" s="247">
        <f>RIGHT(D130,LEN(D130)-4)/10000</f>
        <v>12.7857</v>
      </c>
      <c r="Z130" s="247">
        <f>RIGHT(H130,LEN(H130)-4)/10000</f>
        <v>2.2100000000000002E-2</v>
      </c>
      <c r="AA130" s="247">
        <f>ABS(Z130-Y130)</f>
        <v>12.7636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/stypes="app*4061*20180104*"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1"/>
        <v>"%USERPROFILE%\Documents\GitHub\eaglep3\Utilities\RefineRTDCRunTimes.py" --tripid 216-03 --locoid 4061 --swversion DE.1.0.9.0 --startMP 204:127857 --initTime 2018-01-03T19:14:05 --startdatetime 2018-01-03T19:16:47 --delay 105 --endMP 204:221 --enddatetime 2018-01-03T19:39:56 --enforcementcount 0 &gt;&gt;%USERPROFILE%\Documents\GitHub\eaglep3-reporting\EC\2018-01-03-refined-times.txt</v>
      </c>
      <c r="AI130" s="238" t="str">
        <f t="shared" si="12"/>
        <v>echo {"issue":{"subject":"Onboard en route failure during init at DIA","project_id":79,"tracker_id":40,"status_id":1,"priority_id":2,"assigned_to_id":338,"start_date":"2018-01-03","description":"","custom_fields":[{"id":1,"name":"Subdivision","value":"EC"},{"id":4,"name":"Milepost","value":"0.0221"},{"id":17,"name":"Train ID","value":"216-03"},{"id":16,"name":"Locomotive ID","value":"4061"},{"id":130,"name":"Impact","value":""},{"id":150,"name":"Time of Event (Mountain Time)","value":"19:39:56"},{"id":151,"name":"Denver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3"/>
        <v>start /low /b %USERPROFILE%\Documents\GitHub\eaglep3\Utilities\DownloadLogsFromS3.py --loco 4061 --day 2018-01-03</v>
      </c>
      <c r="AN130" s="241" t="str">
        <f t="shared" si="14"/>
        <v>echo {"issue":{"subject":"Onboard en route failure during init at DIA","project_id":30,"tracker_id":4,"status_id":1,"priority_id":1,"assigned_to_id":10,"start_date":"2018-01-04","description":"","custom_fields":[{"id":30,"name":"Category","value":"Issue"},{"id":3,"name":"Functional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5"/>
        <v>https://d0f6bd738d7f1b3e5a7ca70fe4ff75f0.us-east-1.aws.found.io/app/kibana#/discover/Steve-Slow-Train-Analysis-(2080s-and-2083s)?_g=(refreshInterval:(display:Off,pause:!f,section:0,value:0),time:(from:'2018-01-03T18:14:05-0700',mode:absolute,to:'2018-01-03T20:39:56-0700'))&amp;_a=(columns:!('Message%20ID',Summary),filters:!(),index:'emp_*',interval:auto,query:(query_string:(analyze_wildcard:!t,query:'%22rtdc.l.rtdc.4061%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849</v>
      </c>
      <c r="B131" s="225">
        <v>4061</v>
      </c>
      <c r="C131" s="227" t="s">
        <v>192</v>
      </c>
      <c r="D131" s="227" t="s">
        <v>974</v>
      </c>
      <c r="E131" s="226">
        <v>43103.787245370368</v>
      </c>
      <c r="F131" s="226">
        <v>43103.80332175926</v>
      </c>
      <c r="G131" s="225">
        <v>69</v>
      </c>
      <c r="H131" s="227" t="s">
        <v>974</v>
      </c>
      <c r="I131" s="226">
        <v>43103.819398148145</v>
      </c>
      <c r="J131" s="225">
        <v>0</v>
      </c>
      <c r="K131" s="237" t="str">
        <f>IF(ISEVEN(B131),(B131-1)&amp;"/"&amp;B131,B131&amp;"/"&amp;(B131+1))</f>
        <v>4061/4062</v>
      </c>
      <c r="L131" s="245" t="str">
        <f>VLOOKUP(A131,'Trips&amp;Operators'!$C$1:$G$99911,5,FALSE)</f>
        <v>HOLCOMB KAMDEN</v>
      </c>
      <c r="M131" s="224">
        <f>I131-F131</f>
        <v>1.6076388885267079E-2</v>
      </c>
      <c r="N131" s="225"/>
      <c r="O131" s="225"/>
      <c r="P131" s="225"/>
      <c r="Q131" s="228"/>
      <c r="R131" s="242"/>
      <c r="S131" s="249"/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-03T17:53:38-0700',mode:absolute,to:'2018-01-03T20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1" s="247" t="str">
        <f>IF(AA131&lt;VLOOKUP(AG131,Variables!$AC$3:$AD$8,2,FALSE),"Y","N")</f>
        <v>Y</v>
      </c>
      <c r="X131" s="247">
        <f>VALUE(LEFT(AD131,4))-VALUE(LEFT(AD130,4))</f>
        <v>0</v>
      </c>
      <c r="Y131" s="247">
        <f>RIGHT(D131,LEN(D131)-4)/10000</f>
        <v>23.290900000000001</v>
      </c>
      <c r="Z131" s="247">
        <f>RIGHT(H131,LEN(H131)-4)/10000</f>
        <v>23.290900000000001</v>
      </c>
      <c r="AA131" s="247">
        <f>ABS(Z131-Y131)</f>
        <v>0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216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/stypes="app*4061*20180104*"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1"/>
        <v>"%USERPROFILE%\Documents\GitHub\eaglep3\Utilities\RefineRTDCRunTimes.py" --tripid 216-03 --locoid 4061 --swversion DE.1.0.9.0 --startMP 204:232909 --initTime 2018-01-03T18:53:38 --startdatetime 2018-01-03T19:16:47 --delay 69 --endMP 204:232909 --enddatetime 2018-01-03T19:39:56 --enforcementcount 0 &gt;&gt;%USERPROFILE%\Documents\GitHub\eaglep3-reporting\EC\2018-01-03-refined-times.txt</v>
      </c>
      <c r="AI13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{"issue":{"subject":"","project_id":79,"tracker_id":40,"status_id":1,"priority_id":2,"assigned_to_id":338,"start_date":"2018-01-03","description":"","custom_fields":[{"id":1,"name":"Subdivision","value":"EC"},{"id":4,"name":"Milepost","value":"23.2909"},{"id":17,"name":"Train ID","value":"216-03"},{"id":16,"name":"Locomotive ID","value":"4061"},{"id":130,"name":"Impact","value":""},{"id":150,"name":"Time of Event (Mountain Time)","value":"19:39:56"},{"id":151,"name":"Denver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3"/>
        <v>start /low /b %USERPROFILE%\Documents\GitHub\eaglep3\Utilities\DownloadLogsFromS3.py --loco 4061 --day 2018-01-03</v>
      </c>
      <c r="AN13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5"/>
        <v>https://d0f6bd738d7f1b3e5a7ca70fe4ff75f0.us-east-1.aws.found.io/app/kibana#/discover/Steve-Slow-Train-Analysis-(2080s-and-2083s)?_g=(refreshInterval:(display:Off,pause:!f,section:0,value:0),time:(from:'2018-01-03T17:53:38-0700',mode:absolute,to:'2018-01-03T20:39:56-0700'))&amp;_a=(columns:!('Message%20ID',Summary),filters:!(),index:'emp_*',interval:auto,query:(query_string:(analyze_wildcard:!t,query:'%22rtdc.l.rtdc.4061%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842</v>
      </c>
      <c r="B132" s="225">
        <v>4020</v>
      </c>
      <c r="C132" s="227" t="s">
        <v>192</v>
      </c>
      <c r="D132" s="227" t="s">
        <v>920</v>
      </c>
      <c r="E132" s="226">
        <v>43103.757071759261</v>
      </c>
      <c r="F132" s="226">
        <v>43103.760844907411</v>
      </c>
      <c r="G132" s="225">
        <v>109</v>
      </c>
      <c r="H132" s="227" t="s">
        <v>975</v>
      </c>
      <c r="I132" s="226">
        <v>43103.784548611111</v>
      </c>
      <c r="J132" s="225">
        <v>0</v>
      </c>
      <c r="K132" s="237" t="str">
        <f>IF(ISEVEN(B132),(B132-1)&amp;"/"&amp;B132,B132&amp;"/"&amp;(B132+1))</f>
        <v>4019/4020</v>
      </c>
      <c r="L132" s="245" t="str">
        <f>VLOOKUP(A132,'Trips&amp;Operators'!$C$1:$G$99911,5,FALSE)</f>
        <v>LOZA FIDEL</v>
      </c>
      <c r="M132" s="224">
        <f>I132-F132</f>
        <v>2.3703703700448386E-2</v>
      </c>
      <c r="N132" s="225">
        <f>24*60*SUM($M132:$M132)</f>
        <v>34.133333328645676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-03T17:10:11-0700',mode:absolute,to:'2018-01-03T19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5.5899999999999998E-2</v>
      </c>
      <c r="Z132" s="247">
        <f>RIGHT(H132,LEN(H132)-4)/10000</f>
        <v>23.320699999999999</v>
      </c>
      <c r="AA132" s="247">
        <f>ABS(Z132-Y132)</f>
        <v>23.264799999999997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217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/stypes="app*4020*20180104*" /stext=" 01:.+((SYSTEM_STATE.+slice.+state.+changed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1"/>
        <v>"%USERPROFILE%\Documents\GitHub\eaglep3\Utilities\RefineRTDCRunTimes.py" --tripid 217-03 --locoid 4020 --swversion DE.1.0.9.0 --startMP 204:559 --initTime 2018-01-03T18:10:11 --startdatetime 2018-01-03T18:15:37 --delay 109 --endMP 204:233207 --enddatetime 2018-01-03T18:49:45 --enforcementcount 0 &gt;&gt;%USERPROFILE%\Documents\GitHub\eaglep3-reporting\EC\2018-01-03-refined-times.txt</v>
      </c>
      <c r="AI13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{"issue":{"subject":"","project_id":79,"tracker_id":40,"status_id":1,"priority_id":2,"assigned_to_id":338,"start_date":"2018-01-03","description":"","custom_fields":[{"id":1,"name":"Subdivision","value":"EC"},{"id":4,"name":"Milepost","value":"23.3207"},{"id":17,"name":"Train ID","value":"217-03"},{"id":16,"name":"Locomotive ID","value":"4020"},{"id":130,"name":"Impact","value":""},{"id":150,"name":"Time of Event (Mountain Time)","value":"18:49:45"},{"id":151,"name":"Denver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3"/>
        <v>start /low /b %USERPROFILE%\Documents\GitHub\eaglep3\Utilities\DownloadLogsFromS3.py --loco 4020 --day 2018-01-03</v>
      </c>
      <c r="AN13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5"/>
        <v>https://d0f6bd738d7f1b3e5a7ca70fe4ff75f0.us-east-1.aws.found.io/app/kibana#/discover/Steve-Slow-Train-Analysis-(2080s-and-2083s)?_g=(refreshInterval:(display:Off,pause:!f,section:0,value:0),time:(from:'2018-01-03T17:10:11-0700',mode:absolute,to:'2018-01-03T19:49:45-0700'))&amp;_a=(columns:!('Message%20ID',Summary),filters:!(),index:'emp_*',interval:auto,query:(query_string:(analyze_wildcard:!t,query:'%22rtdc.l.rtdc.4020%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854</v>
      </c>
      <c r="B133" s="225">
        <v>4019</v>
      </c>
      <c r="C133" s="227" t="s">
        <v>192</v>
      </c>
      <c r="D133" s="227" t="s">
        <v>920</v>
      </c>
      <c r="E133" s="226">
        <v>43103.757071759261</v>
      </c>
      <c r="F133" s="226">
        <v>43103.800428240742</v>
      </c>
      <c r="G133" s="225">
        <v>109</v>
      </c>
      <c r="H133" s="227" t="s">
        <v>975</v>
      </c>
      <c r="I133" s="226">
        <v>43103.826620370368</v>
      </c>
      <c r="J133" s="225">
        <v>0</v>
      </c>
      <c r="K133" s="237" t="str">
        <f>IF(ISEVEN(B133),(B133-1)&amp;"/"&amp;B133,B133&amp;"/"&amp;(B133+1))</f>
        <v>4019/4020</v>
      </c>
      <c r="L133" s="245" t="str">
        <f>VLOOKUP(A133,'Trips&amp;Operators'!$C$1:$G$99911,5,FALSE)</f>
        <v>LOZA FIDEL</v>
      </c>
      <c r="M133" s="224">
        <f>I133-F133</f>
        <v>2.619212962599704E-2</v>
      </c>
      <c r="N133" s="225">
        <f>24*60*SUM($M133:$M133)</f>
        <v>37.716666661435738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-03T17:10:11-0700',mode:absolute,to:'2018-01-03T20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v>23.267499999999998</v>
      </c>
      <c r="Z133" s="247">
        <v>2.29E-2</v>
      </c>
      <c r="AA133" s="247">
        <f>ABS(Z133-Y133)</f>
        <v>23.244599999999998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218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/stypes="app*4019*20180104*"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ref="AH133" si="22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218-03 --locoid 4019 --swversion DE.1.0.9.0 --startMP 204:559 --initTime 2018-01-03T18:10:11 --startdatetime 2018-01-03T19:12:37 --delay 109 --endMP 204:233207 --enddatetime 2018-01-03T19:50:20 --enforcementcount 0 &gt;&gt;%USERPROFILE%\Documents\GitHub\eaglep3-reporting\EC\2018-01-03-refined-times.txt</v>
      </c>
      <c r="AI133" s="238" t="str">
        <f t="shared" ref="AI133" si="23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{"issue":{"subject":"","project_id":79,"tracker_id":40,"status_id":1,"priority_id":2,"assigned_to_id":338,"start_date":"2018-01-03","description":"","custom_fields":[{"id":1,"name":"Subdivision","value":"EC"},{"id":4,"name":"Milepost","value":"0.0229"},{"id":17,"name":"Train ID","value":"218-03"},{"id":16,"name":"Locomotive ID","value":"4019"},{"id":130,"name":"Impact","value":""},{"id":150,"name":"Time of Event (Mountain Time)","value":"19:50:20"},{"id":151,"name":"Denver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ref="AM133" si="24">"start /low /b "&amp;dls3logs&amp;" --loco "&amp;B133&amp;" --day "&amp;TEXT(F133,"YYYY-MM-DD")</f>
        <v>start /low /b %USERPROFILE%\Documents\GitHub\eaglep3\Utilities\DownloadLogsFromS3.py --loco 4019 --day 2018-01-03</v>
      </c>
      <c r="AN133" s="241" t="str">
        <f t="shared" ref="AN133" si="25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ref="AO133" si="26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-03T17:10:11-0700',mode:absolute,to:'2018-01-03T20:50:20-0700'))&amp;_a=(columns:!('Message%20ID',Summary),filters:!(),index:'emp_*',interval:auto,query:(query_string:(analyze_wildcard:!t,query:'%22rtdc.l.rtdc.4019%22')),sort:!(Time.ISO8601,asc))</v>
      </c>
    </row>
    <row r="134" spans="1:91" s="223" customFormat="1" x14ac:dyDescent="0.3">
      <c r="A134" s="229" t="s">
        <v>846</v>
      </c>
      <c r="B134" s="225">
        <v>4002</v>
      </c>
      <c r="C134" s="227" t="s">
        <v>192</v>
      </c>
      <c r="D134" s="227" t="s">
        <v>558</v>
      </c>
      <c r="E134" s="226">
        <v>43103.768437500003</v>
      </c>
      <c r="F134" s="226">
        <v>43103.771354166667</v>
      </c>
      <c r="G134" s="225">
        <v>76</v>
      </c>
      <c r="H134" s="227" t="s">
        <v>611</v>
      </c>
      <c r="I134" s="226">
        <v>43103.79791666667</v>
      </c>
      <c r="J134" s="225">
        <v>0</v>
      </c>
      <c r="K134" s="237" t="str">
        <f>IF(ISEVEN(B134),(B134-1)&amp;"/"&amp;B134,B134&amp;"/"&amp;(B134+1))</f>
        <v>4001/4002</v>
      </c>
      <c r="L134" s="245" t="str">
        <f>VLOOKUP(A134,'Trips&amp;Operators'!$C$1:$G$99911,5,FALSE)</f>
        <v>ANDERS STEVEN</v>
      </c>
      <c r="M134" s="224">
        <f>I134-F134</f>
        <v>2.6562500002910383E-2</v>
      </c>
      <c r="N134" s="225">
        <f>24*60*SUM($M134:$M134)</f>
        <v>38.250000004190952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-03T17:26:33-0700',mode:absolute,to:'2018-01-03T20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47" t="str">
        <f>IF(AA134&lt;VLOOKUP(AG134,Variables!$AC$3:$AD$8,2,FALSE),"Y","N")</f>
        <v>N</v>
      </c>
      <c r="X134" s="247">
        <f t="shared" ref="X134:X135" si="27">VALUE(LEFT(AD134,4))-VALUE(LEFT(AD133,4))</f>
        <v>1</v>
      </c>
      <c r="Y134" s="247">
        <f>RIGHT(D134,LEN(D134)-4)/10000</f>
        <v>4.6899999999999997E-2</v>
      </c>
      <c r="Z134" s="247">
        <f>RIGHT(H134,LEN(H134)-4)/10000</f>
        <v>23.322299999999998</v>
      </c>
      <c r="AA134" s="247">
        <f>ABS(Z134-Y134)</f>
        <v>23.275399999999998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219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/stypes="app*4002*20180104*"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1"/>
        <v>"%USERPROFILE%\Documents\GitHub\eaglep3\Utilities\RefineRTDCRunTimes.py" --tripid 219-03 --locoid 4002 --swversion DE.1.0.9.0 --startMP 204:469 --initTime 2018-01-03T18:26:33 --startdatetime 2018-01-03T18:30:45 --delay 76 --endMP 204:233223 --enddatetime 2018-01-03T19:09:00 --enforcementcount 0 &gt;&gt;%USERPROFILE%\Documents\GitHub\eaglep3-reporting\EC\2018-01-03-refined-times.txt</v>
      </c>
      <c r="AI13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{"issue":{"subject":"","project_id":79,"tracker_id":40,"status_id":1,"priority_id":2,"assigned_to_id":338,"start_date":"2018-01-03","description":"","custom_fields":[{"id":1,"name":"Subdivision","value":"EC"},{"id":4,"name":"Milepost","value":"23.3223"},{"id":17,"name":"Train ID","value":"219-03"},{"id":16,"name":"Locomotive ID","value":"4002"},{"id":130,"name":"Impact","value":""},{"id":150,"name":"Time of Event (Mountain Time)","value":"19:09:00"},{"id":151,"name":"Denver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3"/>
        <v>start /low /b %USERPROFILE%\Documents\GitHub\eaglep3\Utilities\DownloadLogsFromS3.py --loco 4002 --day 2018-01-03</v>
      </c>
      <c r="AN13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5"/>
        <v>https://d0f6bd738d7f1b3e5a7ca70fe4ff75f0.us-east-1.aws.found.io/app/kibana#/discover/Steve-Slow-Train-Analysis-(2080s-and-2083s)?_g=(refreshInterval:(display:Off,pause:!f,section:0,value:0),time:(from:'2018-01-03T17:26:33-0700',mode:absolute,to:'2018-01-03T20:09:00-0700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855</v>
      </c>
      <c r="B135" s="225">
        <v>4001</v>
      </c>
      <c r="C135" s="227" t="s">
        <v>192</v>
      </c>
      <c r="D135" s="227" t="s">
        <v>976</v>
      </c>
      <c r="E135" s="226">
        <v>43103.79959490741</v>
      </c>
      <c r="F135" s="226">
        <v>43103.81077546296</v>
      </c>
      <c r="G135" s="225">
        <v>70</v>
      </c>
      <c r="H135" s="227" t="s">
        <v>516</v>
      </c>
      <c r="I135" s="226">
        <v>43103.838391203702</v>
      </c>
      <c r="J135" s="225">
        <v>0</v>
      </c>
      <c r="K135" s="237" t="str">
        <f>IF(ISEVEN(B135),(B135-1)&amp;"/"&amp;B135,B135&amp;"/"&amp;(B135+1))</f>
        <v>4001/4002</v>
      </c>
      <c r="L135" s="245" t="str">
        <f>VLOOKUP(A135,'Trips&amp;Operators'!$C$1:$G$99911,5,FALSE)</f>
        <v>ANDERS STEVEN</v>
      </c>
      <c r="M135" s="224">
        <f>I135-F135</f>
        <v>2.7615740742476191E-2</v>
      </c>
      <c r="N135" s="225">
        <f>24*60*SUM($M135:$M135)</f>
        <v>39.766666669165716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-03T18:11:25-0700',mode:absolute,to:'2018-01-03T21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47" t="str">
        <f>IF(AA135&lt;VLOOKUP(AG135,Variables!$AC$3:$AD$8,2,FALSE),"Y","N")</f>
        <v>N</v>
      </c>
      <c r="X135" s="247">
        <f t="shared" si="27"/>
        <v>1</v>
      </c>
      <c r="Y135" s="247">
        <f>RIGHT(D135,LEN(D135)-4)/10000</f>
        <v>23.290800000000001</v>
      </c>
      <c r="Z135" s="247">
        <f>RIGHT(H135,LEN(H135)-4)/10000</f>
        <v>2.0899999999999998E-2</v>
      </c>
      <c r="AA135" s="247">
        <f>ABS(Z135-Y135)</f>
        <v>23.2699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220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/stypes="app*4001*20180104*"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1"/>
        <v>"%USERPROFILE%\Documents\GitHub\eaglep3\Utilities\RefineRTDCRunTimes.py" --tripid 220-03 --locoid 4001 --swversion DE.1.0.9.0 --startMP 204:232908 --initTime 2018-01-03T19:11:25 --startdatetime 2018-01-03T19:27:31 --delay 70 --endMP 204:209 --enddatetime 2018-01-03T20:07:17 --enforcementcount 0 &gt;&gt;%USERPROFILE%\Documents\GitHub\eaglep3-reporting\EC\2018-01-03-refined-times.txt</v>
      </c>
      <c r="AI13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{"issue":{"subject":"","project_id":79,"tracker_id":40,"status_id":1,"priority_id":2,"assigned_to_id":338,"start_date":"2018-01-03","description":"","custom_fields":[{"id":1,"name":"Subdivision","value":"EC"},{"id":4,"name":"Milepost","value":"0.0209"},{"id":17,"name":"Train ID","value":"220-03"},{"id":16,"name":"Locomotive ID","value":"4001"},{"id":130,"name":"Impact","value":""},{"id":150,"name":"Time of Event (Mountain Time)","value":"20:07:17"},{"id":151,"name":"Denver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3"/>
        <v>start /low /b %USERPROFILE%\Documents\GitHub\eaglep3\Utilities\DownloadLogsFromS3.py --loco 4001 --day 2018-01-03</v>
      </c>
      <c r="AN135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5"/>
        <v>https://d0f6bd738d7f1b3e5a7ca70fe4ff75f0.us-east-1.aws.found.io/app/kibana#/discover/Steve-Slow-Train-Analysis-(2080s-and-2083s)?_g=(refreshInterval:(display:Off,pause:!f,section:0,value:0),time:(from:'2018-01-03T18:11:25-0700',mode:absolute,to:'2018-01-03T21:07:17-0700'))&amp;_a=(columns:!('Message%20ID',Summary),filters:!(),index:'emp_*',interval:auto,query:(query_string:(analyze_wildcard:!t,query:'%22rtdc.l.rtdc.4001%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851</v>
      </c>
      <c r="B136" s="225">
        <v>4042</v>
      </c>
      <c r="C136" s="227" t="s">
        <v>192</v>
      </c>
      <c r="D136" s="227" t="s">
        <v>536</v>
      </c>
      <c r="E136" s="226">
        <v>43103.791388888887</v>
      </c>
      <c r="F136" s="226">
        <v>43103.793865740743</v>
      </c>
      <c r="G136" s="225">
        <v>127</v>
      </c>
      <c r="H136" s="227" t="s">
        <v>977</v>
      </c>
      <c r="I136" s="226">
        <v>43103.818912037037</v>
      </c>
      <c r="J136" s="225">
        <v>0</v>
      </c>
      <c r="K136" s="237" t="str">
        <f>IF(ISEVEN(B136),(B136-1)&amp;"/"&amp;B136,B136&amp;"/"&amp;(B136+1))</f>
        <v>4041/4042</v>
      </c>
      <c r="L136" s="245" t="str">
        <f>VLOOKUP(A136,'Trips&amp;Operators'!$C$1:$G$99911,5,FALSE)</f>
        <v>NICHOLSON WESLEY</v>
      </c>
      <c r="M136" s="224">
        <f>I136-F136</f>
        <v>2.5046296294021886E-2</v>
      </c>
      <c r="N136" s="225">
        <f>24*60*SUM($M136:$M136)</f>
        <v>36.066666663391516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-03T17:59:36-0700',mode:absolute,to:'2018-01-03T20:39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4.8399999999999999E-2</v>
      </c>
      <c r="Z136" s="247">
        <f>RIGHT(H136,LEN(H136)-4)/10000</f>
        <v>23.314699999999998</v>
      </c>
      <c r="AA136" s="247">
        <f>ABS(Z136-Y136)</f>
        <v>23.266299999999998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221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/stypes="app*4042*20180104*" /stext=" 02:.+((SYSTEM_STATE.+slice.+state.+changed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1"/>
        <v>"%USERPROFILE%\Documents\GitHub\eaglep3\Utilities\RefineRTDCRunTimes.py" --tripid 221-03 --locoid 4042 --swversion DE.1.0.9.0 --startMP 204:484 --initTime 2018-01-03T18:59:36 --startdatetime 2018-01-03T19:03:10 --delay 127 --endMP 204:233147 --enddatetime 2018-01-03T19:39:14 --enforcementcount 0 &gt;&gt;%USERPROFILE%\Documents\GitHub\eaglep3-reporting\EC\2018-01-03-refined-times.txt</v>
      </c>
      <c r="AI13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{"issue":{"subject":"","project_id":79,"tracker_id":40,"status_id":1,"priority_id":2,"assigned_to_id":338,"start_date":"2018-01-03","description":"","custom_fields":[{"id":1,"name":"Subdivision","value":"EC"},{"id":4,"name":"Milepost","value":"23.3147"},{"id":17,"name":"Train ID","value":"221-03"},{"id":16,"name":"Locomotive ID","value":"4042"},{"id":130,"name":"Impact","value":""},{"id":150,"name":"Time of Event (Mountain Time)","value":"19:39:14"},{"id":151,"name":"Denver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3"/>
        <v>start /low /b %USERPROFILE%\Documents\GitHub\eaglep3\Utilities\DownloadLogsFromS3.py --loco 4042 --day 2018-01-03</v>
      </c>
      <c r="AN13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5"/>
        <v>https://d0f6bd738d7f1b3e5a7ca70fe4ff75f0.us-east-1.aws.found.io/app/kibana#/discover/Steve-Slow-Train-Analysis-(2080s-and-2083s)?_g=(refreshInterval:(display:Off,pause:!f,section:0,value:0),time:(from:'2018-01-03T17:59:36-0700',mode:absolute,to:'2018-01-03T20:39:14-0700'))&amp;_a=(columns:!('Message%20ID',Summary),filters:!(),index:'emp_*',interval:auto,query:(query_string:(analyze_wildcard:!t,query:'%22rtdc.l.rtdc.4042%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859</v>
      </c>
      <c r="B137" s="225">
        <v>4041</v>
      </c>
      <c r="C137" s="227" t="s">
        <v>192</v>
      </c>
      <c r="D137" s="227" t="s">
        <v>978</v>
      </c>
      <c r="E137" s="226">
        <v>43103.823657407411</v>
      </c>
      <c r="F137" s="226">
        <v>43103.831458333334</v>
      </c>
      <c r="G137" s="225">
        <v>119</v>
      </c>
      <c r="H137" s="227" t="s">
        <v>583</v>
      </c>
      <c r="I137" s="226">
        <v>43103.85796296296</v>
      </c>
      <c r="J137" s="225">
        <v>0</v>
      </c>
      <c r="K137" s="237" t="str">
        <f>IF(ISEVEN(B137),(B137-1)&amp;"/"&amp;B137,B137&amp;"/"&amp;(B137+1))</f>
        <v>4041/4042</v>
      </c>
      <c r="L137" s="245" t="str">
        <f>VLOOKUP(A137,'Trips&amp;Operators'!$C$1:$G$99911,5,FALSE)</f>
        <v>NICHOLSON WESLEY</v>
      </c>
      <c r="M137" s="224">
        <f>I137-F137</f>
        <v>2.6504629626288079E-2</v>
      </c>
      <c r="N137" s="225">
        <f>24*60*SUM($M137:$M137)</f>
        <v>38.166666661854833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-03T18:46:04-0700',mode:absolute,to:'2018-01-03T21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23.286899999999999</v>
      </c>
      <c r="Z137" s="247">
        <f>RIGHT(H137,LEN(H137)-4)/10000</f>
        <v>2.4199999999999999E-2</v>
      </c>
      <c r="AA137" s="247">
        <f>ABS(Z137-Y137)</f>
        <v>23.262699999999999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222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/stypes="app*4041*20180104*"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1"/>
        <v>"%USERPROFILE%\Documents\GitHub\eaglep3\Utilities\RefineRTDCRunTimes.py" --tripid 222-03 --locoid 4041 --swversion DE.1.0.9.0 --startMP 204:232869 --initTime 2018-01-03T19:46:04 --startdatetime 2018-01-03T19:57:18 --delay 119 --endMP 204:242 --enddatetime 2018-01-03T20:35:28 --enforcementcount 0 &gt;&gt;%USERPROFILE%\Documents\GitHub\eaglep3-reporting\EC\2018-01-03-refined-times.txt</v>
      </c>
      <c r="AI13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{"issue":{"subject":"","project_id":79,"tracker_id":40,"status_id":1,"priority_id":2,"assigned_to_id":338,"start_date":"2018-01-03","description":"","custom_fields":[{"id":1,"name":"Subdivision","value":"EC"},{"id":4,"name":"Milepost","value":"0.0242"},{"id":17,"name":"Train ID","value":"222-03"},{"id":16,"name":"Locomotive ID","value":"4041"},{"id":130,"name":"Impact","value":""},{"id":150,"name":"Time of Event (Mountain Time)","value":"20:35:28"},{"id":151,"name":"Denver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3"/>
        <v>start /low /b %USERPROFILE%\Documents\GitHub\eaglep3\Utilities\DownloadLogsFromS3.py --loco 4041 --day 2018-01-03</v>
      </c>
      <c r="AN13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5"/>
        <v>https://d0f6bd738d7f1b3e5a7ca70fe4ff75f0.us-east-1.aws.found.io/app/kibana#/discover/Steve-Slow-Train-Analysis-(2080s-and-2083s)?_g=(refreshInterval:(display:Off,pause:!f,section:0,value:0),time:(from:'2018-01-03T18:46:04-0700',mode:absolute,to:'2018-01-03T21:35:28-0700'))&amp;_a=(columns:!('Message%20ID',Summary),filters:!(),index:'emp_*',interval:auto,query:(query_string:(analyze_wildcard:!t,query:'%22rtdc.l.rtdc.4041%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857</v>
      </c>
      <c r="B138" s="225">
        <v>4050</v>
      </c>
      <c r="C138" s="227" t="s">
        <v>192</v>
      </c>
      <c r="D138" s="227" t="s">
        <v>495</v>
      </c>
      <c r="E138" s="226">
        <v>43103.811180555553</v>
      </c>
      <c r="F138" s="226">
        <v>43103.812685185185</v>
      </c>
      <c r="G138" s="225">
        <v>56</v>
      </c>
      <c r="H138" s="227" t="s">
        <v>590</v>
      </c>
      <c r="I138" s="226">
        <v>43103.836631944447</v>
      </c>
      <c r="J138" s="225">
        <v>0</v>
      </c>
      <c r="K138" s="237" t="str">
        <f>IF(ISEVEN(B138),(B138-1)&amp;"/"&amp;B138,B138&amp;"/"&amp;(B138+1))</f>
        <v>4049/4050</v>
      </c>
      <c r="L138" s="245" t="str">
        <f>VLOOKUP(A138,'Trips&amp;Operators'!$C$1:$G$99911,5,FALSE)</f>
        <v>RESPASS AARON</v>
      </c>
      <c r="M138" s="224">
        <f>I138-F138</f>
        <v>2.3946759261889383E-2</v>
      </c>
      <c r="N138" s="225">
        <f>24*60*SUM($M138:$M138)</f>
        <v>34.483333337120712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-03T18:28:06-0700',mode:absolute,to:'2018-01-03T21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5.2200000000000003E-2</v>
      </c>
      <c r="Z138" s="247">
        <f>RIGHT(H138,LEN(H138)-4)/10000</f>
        <v>23.326799999999999</v>
      </c>
      <c r="AA138" s="247">
        <f>ABS(Z138-Y138)</f>
        <v>23.2746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223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/stypes="app*4050*20180104*"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1"/>
        <v>"%USERPROFILE%\Documents\GitHub\eaglep3\Utilities\RefineRTDCRunTimes.py" --tripid 223-03 --locoid 4050 --swversion DE.1.0.9.0 --startMP 204:522 --initTime 2018-01-03T19:28:06 --startdatetime 2018-01-03T19:30:16 --delay 56 --endMP 204:233268 --enddatetime 2018-01-03T20:04:45 --enforcementcount 0 &gt;&gt;%USERPROFILE%\Documents\GitHub\eaglep3-reporting\EC\2018-01-03-refined-times.txt</v>
      </c>
      <c r="AI13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{"issue":{"subject":"","project_id":79,"tracker_id":40,"status_id":1,"priority_id":2,"assigned_to_id":338,"start_date":"2018-01-03","description":"","custom_fields":[{"id":1,"name":"Subdivision","value":"EC"},{"id":4,"name":"Milepost","value":"23.3268"},{"id":17,"name":"Train ID","value":"223-03"},{"id":16,"name":"Locomotive ID","value":"4050"},{"id":130,"name":"Impact","value":""},{"id":150,"name":"Time of Event (Mountain Time)","value":"20:04:45"},{"id":151,"name":"Denver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13"/>
        <v>start /low /b %USERPROFILE%\Documents\GitHub\eaglep3\Utilities\DownloadLogsFromS3.py --loco 4050 --day 2018-01-03</v>
      </c>
      <c r="AN13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5"/>
        <v>https://d0f6bd738d7f1b3e5a7ca70fe4ff75f0.us-east-1.aws.found.io/app/kibana#/discover/Steve-Slow-Train-Analysis-(2080s-and-2083s)?_g=(refreshInterval:(display:Off,pause:!f,section:0,value:0),time:(from:'2018-01-03T18:28:06-0700',mode:absolute,to:'2018-01-03T21:04:45-0700'))&amp;_a=(columns:!('Message%20ID',Summary),filters:!(),index:'emp_*',interval:auto,query:(query_string:(analyze_wildcard:!t,query:'%22rtdc.l.rtdc.4050%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862</v>
      </c>
      <c r="B139" s="225">
        <v>4049</v>
      </c>
      <c r="C139" s="227" t="s">
        <v>192</v>
      </c>
      <c r="D139" s="227" t="s">
        <v>979</v>
      </c>
      <c r="E139" s="226">
        <v>43103.849664351852</v>
      </c>
      <c r="F139" s="226">
        <v>43103.852349537039</v>
      </c>
      <c r="G139" s="225">
        <v>59</v>
      </c>
      <c r="H139" s="227" t="s">
        <v>980</v>
      </c>
      <c r="I139" s="226">
        <v>43103.877349537041</v>
      </c>
      <c r="J139" s="225">
        <v>0</v>
      </c>
      <c r="K139" s="237" t="str">
        <f>IF(ISEVEN(B139),(B139-1)&amp;"/"&amp;B139,B139&amp;"/"&amp;(B139+1))</f>
        <v>4049/4050</v>
      </c>
      <c r="L139" s="245" t="str">
        <f>VLOOKUP(A139,'Trips&amp;Operators'!$C$1:$G$99911,5,FALSE)</f>
        <v>RESPASS AARON</v>
      </c>
      <c r="M139" s="224">
        <f>I139-F139</f>
        <v>2.5000000001455192E-2</v>
      </c>
      <c r="N139" s="225">
        <f>24*60*SUM($M139:$M139)</f>
        <v>36.000000002095476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-03T19:23:31-0700',mode:absolute,to:'2018-01-03T22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23.293399999999998</v>
      </c>
      <c r="Z139" s="247">
        <f>RIGHT(H139,LEN(H139)-4)/10000</f>
        <v>2.5999999999999999E-2</v>
      </c>
      <c r="AA139" s="247">
        <f>ABS(Z139-Y139)</f>
        <v>23.267399999999999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224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/stypes="app*4049*20180104*"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1"/>
        <v>"%USERPROFILE%\Documents\GitHub\eaglep3\Utilities\RefineRTDCRunTimes.py" --tripid 224-03 --locoid 4049 --swversion DE.1.0.9.0 --startMP 204:232934 --initTime 2018-01-03T20:23:31 --startdatetime 2018-01-03T20:27:23 --delay 59 --endMP 204:260 --enddatetime 2018-01-03T21:03:23 --enforcementcount 0 &gt;&gt;%USERPROFILE%\Documents\GitHub\eaglep3-reporting\EC\2018-01-03-refined-times.txt</v>
      </c>
      <c r="AI13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{"issue":{"subject":"","project_id":79,"tracker_id":40,"status_id":1,"priority_id":2,"assigned_to_id":338,"start_date":"2018-01-03","description":"","custom_fields":[{"id":1,"name":"Subdivision","value":"EC"},{"id":4,"name":"Milepost","value":"0.026"},{"id":17,"name":"Train ID","value":"224-03"},{"id":16,"name":"Locomotive ID","value":"4049"},{"id":130,"name":"Impact","value":""},{"id":150,"name":"Time of Event (Mountain Time)","value":"21:03:23"},{"id":151,"name":"Denver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13"/>
        <v>start /low /b %USERPROFILE%\Documents\GitHub\eaglep3\Utilities\DownloadLogsFromS3.py --loco 4049 --day 2018-01-03</v>
      </c>
      <c r="AN13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5"/>
        <v>https://d0f6bd738d7f1b3e5a7ca70fe4ff75f0.us-east-1.aws.found.io/app/kibana#/discover/Steve-Slow-Train-Analysis-(2080s-and-2083s)?_g=(refreshInterval:(display:Off,pause:!f,section:0,value:0),time:(from:'2018-01-03T19:23:31-0700',mode:absolute,to:'2018-01-03T22:03:23-0700'))&amp;_a=(columns:!('Message%20ID',Summary),filters:!(),index:'emp_*',interval:auto,query:(query_string:(analyze_wildcard:!t,query:'%22rtdc.l.rtdc.4049%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860</v>
      </c>
      <c r="B140" s="225">
        <v>4020</v>
      </c>
      <c r="C140" s="227" t="s">
        <v>192</v>
      </c>
      <c r="D140" s="227" t="s">
        <v>981</v>
      </c>
      <c r="E140" s="226">
        <v>43103.829837962963</v>
      </c>
      <c r="F140" s="226">
        <v>43103.83353009259</v>
      </c>
      <c r="G140" s="225">
        <v>63</v>
      </c>
      <c r="H140" s="227" t="s">
        <v>560</v>
      </c>
      <c r="I140" s="226">
        <v>43103.857638888891</v>
      </c>
      <c r="J140" s="225">
        <v>0</v>
      </c>
      <c r="K140" s="237" t="str">
        <f>IF(ISEVEN(B140),(B140-1)&amp;"/"&amp;B140,B140&amp;"/"&amp;(B140+1))</f>
        <v>4019/4020</v>
      </c>
      <c r="L140" s="245" t="str">
        <f>VLOOKUP(A140,'Trips&amp;Operators'!$C$1:$G$99911,5,FALSE)</f>
        <v>LOZA FIDEL</v>
      </c>
      <c r="M140" s="224">
        <f>I140-F140</f>
        <v>2.4108796300424729E-2</v>
      </c>
      <c r="N140" s="225">
        <f>24*60*SUM($M140:$M140)</f>
        <v>34.716666672611609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-03T18:54:58-0700',mode:absolute,to:'2018-01-03T21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5.28E-2</v>
      </c>
      <c r="Z140" s="247">
        <f>RIGHT(H140,LEN(H140)-4)/10000</f>
        <v>23.327000000000002</v>
      </c>
      <c r="AA140" s="247">
        <f>ABS(Z140-Y140)</f>
        <v>23.2742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225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/stypes="app*4020*20180104*" /stext=" 03:.+((SYSTEM_STATE.+slice.+state.+changed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1"/>
        <v>"%USERPROFILE%\Documents\GitHub\eaglep3\Utilities\RefineRTDCRunTimes.py" --tripid 225-03 --locoid 4020 --swversion DE.1.0.9.0 --startMP 204:528 --initTime 2018-01-03T19:54:58 --startdatetime 2018-01-03T20:00:17 --delay 63 --endMP 204:233270 --enddatetime 2018-01-03T20:35:00 --enforcementcount 0 &gt;&gt;%USERPROFILE%\Documents\GitHub\eaglep3-reporting\EC\2018-01-03-refined-times.txt</v>
      </c>
      <c r="AI14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{"issue":{"subject":"","project_id":79,"tracker_id":40,"status_id":1,"priority_id":2,"assigned_to_id":338,"start_date":"2018-01-03","description":"","custom_fields":[{"id":1,"name":"Subdivision","value":"EC"},{"id":4,"name":"Milepost","value":"23.327"},{"id":17,"name":"Train ID","value":"225-03"},{"id":16,"name":"Locomotive ID","value":"4020"},{"id":130,"name":"Impact","value":""},{"id":150,"name":"Time of Event (Mountain Time)","value":"20:35:00"},{"id":151,"name":"Denver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13"/>
        <v>start /low /b %USERPROFILE%\Documents\GitHub\eaglep3\Utilities\DownloadLogsFromS3.py --loco 4020 --day 2018-01-03</v>
      </c>
      <c r="AN14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5"/>
        <v>https://d0f6bd738d7f1b3e5a7ca70fe4ff75f0.us-east-1.aws.found.io/app/kibana#/discover/Steve-Slow-Train-Analysis-(2080s-and-2083s)?_g=(refreshInterval:(display:Off,pause:!f,section:0,value:0),time:(from:'2018-01-03T18:54:58-0700',mode:absolute,to:'2018-01-03T21:35:00-0700'))&amp;_a=(columns:!('Message%20ID',Summary),filters:!(),index:'emp_*',interval:auto,query:(query_string:(analyze_wildcard:!t,query:'%22rtdc.l.rtdc.4020%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865</v>
      </c>
      <c r="B141" s="225">
        <v>4019</v>
      </c>
      <c r="C141" s="227" t="s">
        <v>192</v>
      </c>
      <c r="D141" s="227" t="s">
        <v>561</v>
      </c>
      <c r="E141" s="226">
        <v>43103.870972222219</v>
      </c>
      <c r="F141" s="226">
        <v>43103.873171296298</v>
      </c>
      <c r="G141" s="225">
        <v>62</v>
      </c>
      <c r="H141" s="227" t="s">
        <v>556</v>
      </c>
      <c r="I141" s="226">
        <v>43103.89984953704</v>
      </c>
      <c r="J141" s="225">
        <v>0</v>
      </c>
      <c r="K141" s="237" t="str">
        <f>IF(ISEVEN(B141),(B141-1)&amp;"/"&amp;B141,B141&amp;"/"&amp;(B141+1))</f>
        <v>4019/4020</v>
      </c>
      <c r="L141" s="245" t="str">
        <f>VLOOKUP(A141,'Trips&amp;Operators'!$C$1:$G$99911,5,FALSE)</f>
        <v>LOZA FIDEL</v>
      </c>
      <c r="M141" s="224">
        <f>I141-F141</f>
        <v>2.6678240741603076E-2</v>
      </c>
      <c r="N141" s="225">
        <f>24*60*SUM($M141:$M141)</f>
        <v>38.41666666790843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-03T19:54:12-0700',mode:absolute,to:'2018-01-03T22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23.2957</v>
      </c>
      <c r="Z141" s="247">
        <f>RIGHT(H141,LEN(H141)-4)/10000</f>
        <v>2.1100000000000001E-2</v>
      </c>
      <c r="AA141" s="247">
        <f>ABS(Z141-Y141)</f>
        <v>23.2746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226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/stypes="app*4019*20180104*"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1"/>
        <v>"%USERPROFILE%\Documents\GitHub\eaglep3\Utilities\RefineRTDCRunTimes.py" --tripid 226-03 --locoid 4019 --swversion DE.1.0.9.0 --startMP 204:232957 --initTime 2018-01-03T20:54:12 --startdatetime 2018-01-03T20:57:22 --delay 62 --endMP 204:211 --enddatetime 2018-01-03T21:35:47 --enforcementcount 0 &gt;&gt;%USERPROFILE%\Documents\GitHub\eaglep3-reporting\EC\2018-01-03-refined-times.txt</v>
      </c>
      <c r="AI14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{"issue":{"subject":"","project_id":79,"tracker_id":40,"status_id":1,"priority_id":2,"assigned_to_id":338,"start_date":"2018-01-03","description":"","custom_fields":[{"id":1,"name":"Subdivision","value":"EC"},{"id":4,"name":"Milepost","value":"0.0211"},{"id":17,"name":"Train ID","value":"226-03"},{"id":16,"name":"Locomotive ID","value":"4019"},{"id":130,"name":"Impact","value":""},{"id":150,"name":"Time of Event (Mountain Time)","value":"21:35:47"},{"id":151,"name":"Denver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3"/>
        <v>start /low /b %USERPROFILE%\Documents\GitHub\eaglep3\Utilities\DownloadLogsFromS3.py --loco 4019 --day 2018-01-03</v>
      </c>
      <c r="AN14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5"/>
        <v>https://d0f6bd738d7f1b3e5a7ca70fe4ff75f0.us-east-1.aws.found.io/app/kibana#/discover/Steve-Slow-Train-Analysis-(2080s-and-2083s)?_g=(refreshInterval:(display:Off,pause:!f,section:0,value:0),time:(from:'2018-01-03T19:54:12-0700',mode:absolute,to:'2018-01-03T22:35:47-0700'))&amp;_a=(columns:!('Message%20ID',Summary),filters:!(),index:'emp_*',interval:auto,query:(query_string:(analyze_wildcard:!t,query:'%22rtdc.l.rtdc.4019%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863</v>
      </c>
      <c r="B142" s="225">
        <v>4002</v>
      </c>
      <c r="C142" s="227" t="s">
        <v>192</v>
      </c>
      <c r="D142" s="227" t="s">
        <v>982</v>
      </c>
      <c r="E142" s="226">
        <v>43103.850868055553</v>
      </c>
      <c r="F142" s="226">
        <v>43103.854421296295</v>
      </c>
      <c r="G142" s="225">
        <v>64</v>
      </c>
      <c r="H142" s="227" t="s">
        <v>553</v>
      </c>
      <c r="I142" s="226">
        <v>43103.88009259259</v>
      </c>
      <c r="J142" s="225">
        <v>0</v>
      </c>
      <c r="K142" s="237" t="str">
        <f>IF(ISEVEN(B142),(B142-1)&amp;"/"&amp;B142,B142&amp;"/"&amp;(B142+1))</f>
        <v>4001/4002</v>
      </c>
      <c r="L142" s="245" t="str">
        <f>VLOOKUP(A142,'Trips&amp;Operators'!$C$1:$G$99911,5,FALSE)</f>
        <v>ANDERS STEVEN</v>
      </c>
      <c r="M142" s="224">
        <f>I142-F142</f>
        <v>2.5671296294603962E-2</v>
      </c>
      <c r="N142" s="225">
        <f>24*60*SUM($M142:$M142)</f>
        <v>36.966666664229706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-03T19:25:15-0700',mode:absolute,to:'2018-01-03T22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5.4399999999999997E-2</v>
      </c>
      <c r="Z142" s="247">
        <f>RIGHT(H142,LEN(H142)-4)/10000</f>
        <v>23.327400000000001</v>
      </c>
      <c r="AA142" s="247">
        <f>ABS(Z142-Y142)</f>
        <v>23.273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227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/stypes="app*4002*20180104*"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1"/>
        <v>"%USERPROFILE%\Documents\GitHub\eaglep3\Utilities\RefineRTDCRunTimes.py" --tripid 227-03 --locoid 4002 --swversion DE.1.0.9.0 --startMP 204:544 --initTime 2018-01-03T20:25:15 --startdatetime 2018-01-03T20:30:22 --delay 64 --endMP 204:233274 --enddatetime 2018-01-03T21:07:20 --enforcementcount 0 &gt;&gt;%USERPROFILE%\Documents\GitHub\eaglep3-reporting\EC\2018-01-03-refined-times.txt</v>
      </c>
      <c r="AI14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{"issue":{"subject":"","project_id":79,"tracker_id":40,"status_id":1,"priority_id":2,"assigned_to_id":338,"start_date":"2018-01-03","description":"","custom_fields":[{"id":1,"name":"Subdivision","value":"EC"},{"id":4,"name":"Milepost","value":"23.3274"},{"id":17,"name":"Train ID","value":"227-03"},{"id":16,"name":"Locomotive ID","value":"4002"},{"id":130,"name":"Impact","value":""},{"id":150,"name":"Time of Event (Mountain Time)","value":"21:07:20"},{"id":151,"name":"Denver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3"/>
        <v>start /low /b %USERPROFILE%\Documents\GitHub\eaglep3\Utilities\DownloadLogsFromS3.py --loco 4002 --day 2018-01-03</v>
      </c>
      <c r="AN14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5"/>
        <v>https://d0f6bd738d7f1b3e5a7ca70fe4ff75f0.us-east-1.aws.found.io/app/kibana#/discover/Steve-Slow-Train-Analysis-(2080s-and-2083s)?_g=(refreshInterval:(display:Off,pause:!f,section:0,value:0),time:(from:'2018-01-03T19:25:15-0700',mode:absolute,to:'2018-01-03T22:07:20-0700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867</v>
      </c>
      <c r="B143" s="225">
        <v>4001</v>
      </c>
      <c r="C143" s="227" t="s">
        <v>192</v>
      </c>
      <c r="D143" s="227" t="s">
        <v>561</v>
      </c>
      <c r="E143" s="226">
        <v>43103.890949074077</v>
      </c>
      <c r="F143" s="226">
        <v>43103.89403935185</v>
      </c>
      <c r="G143" s="225">
        <v>48</v>
      </c>
      <c r="H143" s="227" t="s">
        <v>983</v>
      </c>
      <c r="I143" s="226">
        <v>43103.921956018516</v>
      </c>
      <c r="J143" s="225">
        <v>0</v>
      </c>
      <c r="K143" s="237" t="str">
        <f>IF(ISEVEN(B143),(B143-1)&amp;"/"&amp;B143,B143&amp;"/"&amp;(B143+1))</f>
        <v>4001/4002</v>
      </c>
      <c r="L143" s="245" t="str">
        <f>VLOOKUP(A143,'Trips&amp;Operators'!$C$1:$G$99911,5,FALSE)</f>
        <v>ANDERS STEVEN</v>
      </c>
      <c r="M143" s="224">
        <f>I143-F143</f>
        <v>2.7916666665987577E-2</v>
      </c>
      <c r="N143" s="225">
        <f>24*60*SUM($M143:$M143)</f>
        <v>40.199999999022111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-03T20:22:58-0700',mode:absolute,to:'2018-01-03T23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23.2957</v>
      </c>
      <c r="Z143" s="247">
        <f>RIGHT(H143,LEN(H143)-4)/10000</f>
        <v>2.3599999999999999E-2</v>
      </c>
      <c r="AA143" s="247">
        <f>ABS(Z143-Y143)</f>
        <v>23.272100000000002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228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/stypes="app*4001*20180104*"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:AH208" si="28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228-03 --locoid 4001 --swversion DE.1.0.9.0 --startMP 204:232957 --initTime 2018-01-03T21:22:58 --startdatetime 2018-01-03T21:27:25 --delay 48 --endMP 204:236 --enddatetime 2018-01-03T22:07:37 --enforcementcount 0 &gt;&gt;%USERPROFILE%\Documents\GitHub\eaglep3-reporting\EC\2018-01-03-refined-times.txt</v>
      </c>
      <c r="AI143" s="238" t="str">
        <f t="shared" ref="AI143:AI208" si="29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{"issue":{"subject":"","project_id":79,"tracker_id":40,"status_id":1,"priority_id":2,"assigned_to_id":338,"start_date":"2018-01-03","description":"","custom_fields":[{"id":1,"name":"Subdivision","value":"EC"},{"id":4,"name":"Milepost","value":"0.0236"},{"id":17,"name":"Train ID","value":"228-03"},{"id":16,"name":"Locomotive ID","value":"4001"},{"id":130,"name":"Impact","value":""},{"id":150,"name":"Time of Event (Mountain Time)","value":"22:07:37"},{"id":151,"name":"Denver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:AM208" si="30">"start /low /b "&amp;dls3logs&amp;" --loco "&amp;B143&amp;" --day "&amp;TEXT(F143,"YYYY-MM-DD")</f>
        <v>start /low /b %USERPROFILE%\Documents\GitHub\eaglep3\Utilities\DownloadLogsFromS3.py --loco 4001 --day 2018-01-03</v>
      </c>
      <c r="AN143" s="241" t="str">
        <f t="shared" ref="AN143:AN208" si="31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8" si="32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-03T20:22:58-0700',mode:absolute,to:'2018-01-03T23:07:37-0700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660</v>
      </c>
      <c r="B144" s="225">
        <v>4042</v>
      </c>
      <c r="C144" s="227" t="s">
        <v>192</v>
      </c>
      <c r="D144" s="227" t="s">
        <v>982</v>
      </c>
      <c r="E144" s="226">
        <v>43103.860821759263</v>
      </c>
      <c r="F144" s="226">
        <v>43103.875196759262</v>
      </c>
      <c r="G144" s="225">
        <v>80</v>
      </c>
      <c r="H144" s="227" t="s">
        <v>599</v>
      </c>
      <c r="I144" s="226">
        <v>43103.901770833334</v>
      </c>
      <c r="J144" s="225">
        <v>0</v>
      </c>
      <c r="K144" s="237" t="str">
        <f>IF(ISEVEN(B144),(B144-1)&amp;"/"&amp;B144,B144&amp;"/"&amp;(B144+1))</f>
        <v>4041/4042</v>
      </c>
      <c r="L144" s="245" t="str">
        <f>VLOOKUP(A144,'Trips&amp;Operators'!$C$1:$G$99911,5,FALSE)</f>
        <v>NICHOLSON WESLEY</v>
      </c>
      <c r="M144" s="224">
        <f>I144-F144</f>
        <v>2.6574074072414078E-2</v>
      </c>
      <c r="N144" s="225">
        <f>24*60*SUM($M144:$M144)</f>
        <v>38.266666664276272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-03T19:39:35-0700',mode:absolute,to:'2018-01-03T22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5.4399999999999997E-2</v>
      </c>
      <c r="Z144" s="247">
        <f>RIGHT(H144,LEN(H144)-4)/10000</f>
        <v>23.319299999999998</v>
      </c>
      <c r="AA144" s="247">
        <f>ABS(Z144-Y144)</f>
        <v>23.264899999999997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229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/stypes="app*4042*20180104*" /stext=" 04:.+((SYSTEM_STATE.+slice.+state.+changed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28"/>
        <v>"%USERPROFILE%\Documents\GitHub\eaglep3\Utilities\RefineRTDCRunTimes.py" --tripid 229-03 --locoid 4042 --swversion DE.1.0.9.0 --startMP 204:544 --initTime 2018-01-03T20:39:35 --startdatetime 2018-01-03T21:00:17 --delay 80 --endMP 204:233193 --enddatetime 2018-01-03T21:38:33 --enforcementcount 0 &gt;&gt;%USERPROFILE%\Documents\GitHub\eaglep3-reporting\EC\2018-01-03-refined-times.txt</v>
      </c>
      <c r="AI144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{"issue":{"subject":"","project_id":79,"tracker_id":40,"status_id":1,"priority_id":2,"assigned_to_id":338,"start_date":"2018-01-03","description":"","custom_fields":[{"id":1,"name":"Subdivision","value":"EC"},{"id":4,"name":"Milepost","value":"23.3193"},{"id":17,"name":"Train ID","value":"229-03"},{"id":16,"name":"Locomotive ID","value":"4042"},{"id":130,"name":"Impact","value":""},{"id":150,"name":"Time of Event (Mountain Time)","value":"21:38:33"},{"id":151,"name":"Denver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30"/>
        <v>start /low /b %USERPROFILE%\Documents\GitHub\eaglep3\Utilities\DownloadLogsFromS3.py --loco 4042 --day 2018-01-03</v>
      </c>
      <c r="AN144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32"/>
        <v>https://d0f6bd738d7f1b3e5a7ca70fe4ff75f0.us-east-1.aws.found.io/app/kibana#/discover/Steve-Slow-Train-Analysis-(2080s-and-2083s)?_g=(refreshInterval:(display:Off,pause:!f,section:0,value:0),time:(from:'2018-01-03T19:39:35-0700',mode:absolute,to:'2018-01-03T22:38:33-0700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871</v>
      </c>
      <c r="B145" s="225">
        <v>4041</v>
      </c>
      <c r="C145" s="227" t="s">
        <v>192</v>
      </c>
      <c r="D145" s="227" t="s">
        <v>984</v>
      </c>
      <c r="E145" s="226">
        <v>43103.912731481483</v>
      </c>
      <c r="F145" s="226">
        <v>43103.916076388887</v>
      </c>
      <c r="G145" s="225">
        <v>167</v>
      </c>
      <c r="H145" s="227" t="s">
        <v>985</v>
      </c>
      <c r="I145" s="226">
        <v>43103.943194444444</v>
      </c>
      <c r="J145" s="225">
        <v>0</v>
      </c>
      <c r="K145" s="237" t="str">
        <f>IF(ISEVEN(B145),(B145-1)&amp;"/"&amp;B145,B145&amp;"/"&amp;(B145+1))</f>
        <v>4041/4042</v>
      </c>
      <c r="L145" s="245" t="str">
        <f>VLOOKUP(A145,'Trips&amp;Operators'!$C$1:$G$99911,5,FALSE)</f>
        <v>NICHOLSON WESLEY</v>
      </c>
      <c r="M145" s="224">
        <f>I145-F145</f>
        <v>2.7118055557366461E-2</v>
      </c>
      <c r="N145" s="225">
        <f>24*60*SUM($M145:$M145)</f>
        <v>39.050000002607703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-03T20:54:20-0700',mode:absolute,to:'2018-01-03T23:38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23.287500000000001</v>
      </c>
      <c r="Z145" s="247">
        <f>RIGHT(H145,LEN(H145)-4)/10000</f>
        <v>2.6200000000000001E-2</v>
      </c>
      <c r="AA145" s="247">
        <f>ABS(Z145-Y145)</f>
        <v>23.261300000000002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230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/stypes="app*4041*20180104*"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28"/>
        <v>"%USERPROFILE%\Documents\GitHub\eaglep3\Utilities\RefineRTDCRunTimes.py" --tripid 230-03 --locoid 4041 --swversion DE.1.0.9.0 --startMP 204:232875 --initTime 2018-01-03T21:54:20 --startdatetime 2018-01-03T21:59:09 --delay 167 --endMP 204:262 --enddatetime 2018-01-03T22:38:12 --enforcementcount 0 &gt;&gt;%USERPROFILE%\Documents\GitHub\eaglep3-reporting\EC\2018-01-03-refined-times.txt</v>
      </c>
      <c r="AI145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{"issue":{"subject":"","project_id":79,"tracker_id":40,"status_id":1,"priority_id":2,"assigned_to_id":338,"start_date":"2018-01-03","description":"","custom_fields":[{"id":1,"name":"Subdivision","value":"EC"},{"id":4,"name":"Milepost","value":"0.0262"},{"id":17,"name":"Train ID","value":"230-03"},{"id":16,"name":"Locomotive ID","value":"4041"},{"id":130,"name":"Impact","value":""},{"id":150,"name":"Time of Event (Mountain Time)","value":"22:38:12"},{"id":151,"name":"Denver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30"/>
        <v>start /low /b %USERPROFILE%\Documents\GitHub\eaglep3\Utilities\DownloadLogsFromS3.py --loco 4041 --day 2018-01-03</v>
      </c>
      <c r="AN14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32"/>
        <v>https://d0f6bd738d7f1b3e5a7ca70fe4ff75f0.us-east-1.aws.found.io/app/kibana#/discover/Steve-Slow-Train-Analysis-(2080s-and-2083s)?_g=(refreshInterval:(display:Off,pause:!f,section:0,value:0),time:(from:'2018-01-03T20:54:20-0700',mode:absolute,to:'2018-01-03T23:38:12-0700'))&amp;_a=(columns:!('Message%20ID',Summary),filters:!(),index:'emp_*',interval:auto,query:(query_string:(analyze_wildcard:!t,query:'%22rtdc.l.rtdc.4041%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868</v>
      </c>
      <c r="B146" s="225">
        <v>4050</v>
      </c>
      <c r="C146" s="227" t="s">
        <v>192</v>
      </c>
      <c r="D146" s="227" t="s">
        <v>631</v>
      </c>
      <c r="E146" s="226">
        <v>43103.890914351854</v>
      </c>
      <c r="F146" s="226">
        <v>43103.895972222221</v>
      </c>
      <c r="G146" s="225">
        <v>65</v>
      </c>
      <c r="H146" s="227" t="s">
        <v>986</v>
      </c>
      <c r="I146" s="226">
        <v>43103.920300925929</v>
      </c>
      <c r="J146" s="225">
        <v>0</v>
      </c>
      <c r="K146" s="237" t="str">
        <f>IF(ISEVEN(B146),(B146-1)&amp;"/"&amp;B146,B146&amp;"/"&amp;(B146+1))</f>
        <v>4049/4050</v>
      </c>
      <c r="L146" s="245" t="str">
        <f>VLOOKUP(A146,'Trips&amp;Operators'!$C$1:$G$99911,5,FALSE)</f>
        <v>RESPASS AARON</v>
      </c>
      <c r="M146" s="224">
        <f>I146-F146</f>
        <v>2.4328703708306421E-2</v>
      </c>
      <c r="N146" s="225">
        <f>24*60*SUM($M146:$M146)</f>
        <v>35.033333339961246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-03T20:22:55-0700',mode:absolute,to:'2018-01-03T23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5.7299999999999997E-2</v>
      </c>
      <c r="Z146" s="247">
        <f>RIGHT(H146,LEN(H146)-4)/10000</f>
        <v>23.324400000000001</v>
      </c>
      <c r="AA146" s="247">
        <f>ABS(Z146-Y146)</f>
        <v>23.267099999999999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231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/stypes="app*4050*20180104*"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28"/>
        <v>"%USERPROFILE%\Documents\GitHub\eaglep3\Utilities\RefineRTDCRunTimes.py" --tripid 231-03 --locoid 4050 --swversion DE.1.0.9.0 --startMP 204:573 --initTime 2018-01-03T21:22:55 --startdatetime 2018-01-03T21:30:12 --delay 65 --endMP 204:233244 --enddatetime 2018-01-03T22:05:14 --enforcementcount 0 &gt;&gt;%USERPROFILE%\Documents\GitHub\eaglep3-reporting\EC\2018-01-03-refined-times.txt</v>
      </c>
      <c r="AI146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{"issue":{"subject":"","project_id":79,"tracker_id":40,"status_id":1,"priority_id":2,"assigned_to_id":338,"start_date":"2018-01-03","description":"","custom_fields":[{"id":1,"name":"Subdivision","value":"EC"},{"id":4,"name":"Milepost","value":"23.3244"},{"id":17,"name":"Train ID","value":"231-03"},{"id":16,"name":"Locomotive ID","value":"4050"},{"id":130,"name":"Impact","value":""},{"id":150,"name":"Time of Event (Mountain Time)","value":"22:05:14"},{"id":151,"name":"Denver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30"/>
        <v>start /low /b %USERPROFILE%\Documents\GitHub\eaglep3\Utilities\DownloadLogsFromS3.py --loco 4050 --day 2018-01-03</v>
      </c>
      <c r="AN14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32"/>
        <v>https://d0f6bd738d7f1b3e5a7ca70fe4ff75f0.us-east-1.aws.found.io/app/kibana#/discover/Steve-Slow-Train-Analysis-(2080s-and-2083s)?_g=(refreshInterval:(display:Off,pause:!f,section:0,value:0),time:(from:'2018-01-03T20:22:55-0700',mode:absolute,to:'2018-01-03T23:05:14-0700'))&amp;_a=(columns:!('Message%20ID',Summary),filters:!(),index:'emp_*',interval:auto,query:(query_string:(analyze_wildcard:!t,query:'%22rtdc.l.rtdc.4050%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872</v>
      </c>
      <c r="B147" s="225">
        <v>4049</v>
      </c>
      <c r="C147" s="227" t="s">
        <v>192</v>
      </c>
      <c r="D147" s="227" t="s">
        <v>987</v>
      </c>
      <c r="E147" s="226">
        <v>43103.932673611111</v>
      </c>
      <c r="F147" s="226">
        <v>43103.935601851852</v>
      </c>
      <c r="G147" s="225">
        <v>68</v>
      </c>
      <c r="H147" s="227" t="s">
        <v>625</v>
      </c>
      <c r="I147" s="226">
        <v>43103.961736111109</v>
      </c>
      <c r="J147" s="225">
        <v>0</v>
      </c>
      <c r="K147" s="237" t="str">
        <f>IF(ISEVEN(B147),(B147-1)&amp;"/"&amp;B147,B147&amp;"/"&amp;(B147+1))</f>
        <v>4049/4050</v>
      </c>
      <c r="L147" s="245" t="str">
        <f>VLOOKUP(A147,'Trips&amp;Operators'!$C$1:$G$99911,5,FALSE)</f>
        <v>RESPASS AARON</v>
      </c>
      <c r="M147" s="224">
        <f>I147-F147</f>
        <v>2.6134259256650694E-2</v>
      </c>
      <c r="N147" s="225">
        <f>24*60*SUM($M147:$M147)</f>
        <v>37.633333329576999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-03T21:23:03-0700',mode:absolute,to:'2018-01-04T00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23.291899999999998</v>
      </c>
      <c r="Z147" s="247">
        <f>RIGHT(H147,LEN(H147)-4)/10000</f>
        <v>2.7300000000000001E-2</v>
      </c>
      <c r="AA147" s="247">
        <f>ABS(Z147-Y147)</f>
        <v>23.264599999999998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232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/stypes="app*4049*20180104*"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28"/>
        <v>"%USERPROFILE%\Documents\GitHub\eaglep3\Utilities\RefineRTDCRunTimes.py" --tripid 232-03 --locoid 4049 --swversion DE.1.0.9.0 --startMP 204:232919 --initTime 2018-01-03T22:23:03 --startdatetime 2018-01-03T22:27:16 --delay 68 --endMP 204:273 --enddatetime 2018-01-03T23:04:54 --enforcementcount 0 &gt;&gt;%USERPROFILE%\Documents\GitHub\eaglep3-reporting\EC\2018-01-03-refined-times.txt</v>
      </c>
      <c r="AI147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{"issue":{"subject":"","project_id":79,"tracker_id":40,"status_id":1,"priority_id":2,"assigned_to_id":338,"start_date":"2018-01-03","description":"","custom_fields":[{"id":1,"name":"Subdivision","value":"EC"},{"id":4,"name":"Milepost","value":"0.0273"},{"id":17,"name":"Train ID","value":"232-03"},{"id":16,"name":"Locomotive ID","value":"4049"},{"id":130,"name":"Impact","value":""},{"id":150,"name":"Time of Event (Mountain Time)","value":"23:04:54"},{"id":151,"name":"Denver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30"/>
        <v>start /low /b %USERPROFILE%\Documents\GitHub\eaglep3\Utilities\DownloadLogsFromS3.py --loco 4049 --day 2018-01-03</v>
      </c>
      <c r="AN14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32"/>
        <v>https://d0f6bd738d7f1b3e5a7ca70fe4ff75f0.us-east-1.aws.found.io/app/kibana#/discover/Steve-Slow-Train-Analysis-(2080s-and-2083s)?_g=(refreshInterval:(display:Off,pause:!f,section:0,value:0),time:(from:'2018-01-03T21:23:03-0700',mode:absolute,to:'2018-01-04T00:04:54-0700'))&amp;_a=(columns:!('Message%20ID',Summary),filters:!(),index:'emp_*',interval:auto,query:(query_string:(analyze_wildcard:!t,query:'%22rtdc.l.rtdc.4049%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870</v>
      </c>
      <c r="B148" s="225">
        <v>4020</v>
      </c>
      <c r="C148" s="227" t="s">
        <v>192</v>
      </c>
      <c r="D148" s="227" t="s">
        <v>532</v>
      </c>
      <c r="E148" s="226">
        <v>43103.901712962965</v>
      </c>
      <c r="F148" s="226">
        <v>43103.917118055557</v>
      </c>
      <c r="G148" s="225">
        <v>77</v>
      </c>
      <c r="H148" s="227" t="s">
        <v>494</v>
      </c>
      <c r="I148" s="226">
        <v>43103.94190972222</v>
      </c>
      <c r="J148" s="225">
        <v>0</v>
      </c>
      <c r="K148" s="237" t="str">
        <f>IF(ISEVEN(B148),(B148-1)&amp;"/"&amp;B148,B148&amp;"/"&amp;(B148+1))</f>
        <v>4019/4020</v>
      </c>
      <c r="L148" s="245" t="str">
        <f>VLOOKUP(A148,'Trips&amp;Operators'!$C$1:$G$99911,5,FALSE)</f>
        <v>LOZA FIDEL</v>
      </c>
      <c r="M148" s="224">
        <f>I148-F148</f>
        <v>2.4791666663077194E-2</v>
      </c>
      <c r="N148" s="225">
        <f>24*60*SUM($M148:$M148)</f>
        <v>35.69999999483116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-03T20:38:28-0700',mode:absolute,to:'2018-01-03T23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5.1499999999999997E-2</v>
      </c>
      <c r="Z148" s="247">
        <f>RIGHT(H148,LEN(H148)-4)/10000</f>
        <v>23.326599999999999</v>
      </c>
      <c r="AA148" s="247">
        <f>ABS(Z148-Y148)</f>
        <v>23.275099999999998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233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/stypes="app*4020*20180104*" /stext=" 05:.+((SYSTEM_STATE.+slice.+state.+changed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28"/>
        <v>"%USERPROFILE%\Documents\GitHub\eaglep3\Utilities\RefineRTDCRunTimes.py" --tripid 233-03 --locoid 4020 --swversion DE.1.0.9.0 --startMP 204:515 --initTime 2018-01-03T21:38:28 --startdatetime 2018-01-03T22:00:39 --delay 77 --endMP 204:233266 --enddatetime 2018-01-03T22:36:21 --enforcementcount 0 &gt;&gt;%USERPROFILE%\Documents\GitHub\eaglep3-reporting\EC\2018-01-03-refined-times.txt</v>
      </c>
      <c r="AI148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{"issue":{"subject":"","project_id":79,"tracker_id":40,"status_id":1,"priority_id":2,"assigned_to_id":338,"start_date":"2018-01-03","description":"","custom_fields":[{"id":1,"name":"Subdivision","value":"EC"},{"id":4,"name":"Milepost","value":"23.3266"},{"id":17,"name":"Train ID","value":"233-03"},{"id":16,"name":"Locomotive ID","value":"4020"},{"id":130,"name":"Impact","value":""},{"id":150,"name":"Time of Event (Mountain Time)","value":"22:36:21"},{"id":151,"name":"Denver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30"/>
        <v>start /low /b %USERPROFILE%\Documents\GitHub\eaglep3\Utilities\DownloadLogsFromS3.py --loco 4020 --day 2018-01-03</v>
      </c>
      <c r="AN14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32"/>
        <v>https://d0f6bd738d7f1b3e5a7ca70fe4ff75f0.us-east-1.aws.found.io/app/kibana#/discover/Steve-Slow-Train-Analysis-(2080s-and-2083s)?_g=(refreshInterval:(display:Off,pause:!f,section:0,value:0),time:(from:'2018-01-03T20:38:28-0700',mode:absolute,to:'2018-01-03T23:36:21-0700'))&amp;_a=(columns:!('Message%20ID',Summary),filters:!(),index:'emp_*',interval:auto,query:(query_string:(analyze_wildcard:!t,query:'%22rtdc.l.rtdc.4020%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876</v>
      </c>
      <c r="B149" s="225">
        <v>4019</v>
      </c>
      <c r="C149" s="227" t="s">
        <v>192</v>
      </c>
      <c r="D149" s="227" t="s">
        <v>532</v>
      </c>
      <c r="E149" s="226">
        <v>43103.901712962965</v>
      </c>
      <c r="F149" s="226">
        <v>43103.956435185188</v>
      </c>
      <c r="G149" s="225">
        <v>77</v>
      </c>
      <c r="H149" s="227" t="s">
        <v>494</v>
      </c>
      <c r="I149" s="226">
        <v>43103.982395833336</v>
      </c>
      <c r="J149" s="225">
        <v>0</v>
      </c>
      <c r="K149" s="237" t="str">
        <f>IF(ISEVEN(B149),(B149-1)&amp;"/"&amp;B149,B149&amp;"/"&amp;(B149+1))</f>
        <v>4019/4020</v>
      </c>
      <c r="L149" s="245" t="str">
        <f>VLOOKUP(A149,'Trips&amp;Operators'!$C$1:$G$99911,5,FALSE)</f>
        <v>LOZA FIDEL</v>
      </c>
      <c r="M149" s="224">
        <f>I149-F149</f>
        <v>2.5960648148611654E-2</v>
      </c>
      <c r="N149" s="225">
        <f>24*60*SUM($M149:$M149)</f>
        <v>37.383333334000781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-03T20:38:28-0700',mode:absolute,to:'2018-01-04T00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v>23.2713</v>
      </c>
      <c r="Z149" s="247">
        <v>2.2499999999999999E-2</v>
      </c>
      <c r="AA149" s="247">
        <f>ABS(Z149-Y149)</f>
        <v>23.248799999999999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234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/stypes="app*4019*20180104*"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ref="AH149" si="33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234-03 --locoid 4019 --swversion DE.1.0.9.0 --startMP 204:515 --initTime 2018-01-03T21:38:28 --startdatetime 2018-01-03T22:57:16 --delay 77 --endMP 204:233266 --enddatetime 2018-01-03T23:34:39 --enforcementcount 0 &gt;&gt;%USERPROFILE%\Documents\GitHub\eaglep3-reporting\EC\2018-01-03-refined-times.txt</v>
      </c>
      <c r="AI149" s="238" t="str">
        <f t="shared" ref="AI149" si="34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{"issue":{"subject":"","project_id":79,"tracker_id":40,"status_id":1,"priority_id":2,"assigned_to_id":338,"start_date":"2018-01-03","description":"","custom_fields":[{"id":1,"name":"Subdivision","value":"EC"},{"id":4,"name":"Milepost","value":"0.0225"},{"id":17,"name":"Train ID","value":"234-03"},{"id":16,"name":"Locomotive ID","value":"4019"},{"id":130,"name":"Impact","value":""},{"id":150,"name":"Time of Event (Mountain Time)","value":"23:34:39"},{"id":151,"name":"Denver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35">"start /low /b "&amp;dls3logs&amp;" --loco "&amp;B149&amp;" --day "&amp;TEXT(F149,"YYYY-MM-DD")</f>
        <v>start /low /b %USERPROFILE%\Documents\GitHub\eaglep3\Utilities\DownloadLogsFromS3.py --loco 4019 --day 2018-01-03</v>
      </c>
      <c r="AN149" s="241" t="str">
        <f t="shared" ref="AN149" si="36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37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-03T20:38:28-0700',mode:absolute,to:'2018-01-04T00:34:39-0700'))&amp;_a=(columns:!('Message%20ID',Summary),filters:!(),index:'emp_*',interval:auto,query:(query_string:(analyze_wildcard:!t,query:'%22rtdc.l.rtdc.4019%22')),sort:!(Time.ISO8601,asc))</v>
      </c>
    </row>
    <row r="150" spans="1:91" s="20" customFormat="1" x14ac:dyDescent="0.3">
      <c r="A150" s="229" t="s">
        <v>874</v>
      </c>
      <c r="B150" s="225">
        <v>4002</v>
      </c>
      <c r="C150" s="227" t="s">
        <v>192</v>
      </c>
      <c r="D150" s="227" t="s">
        <v>988</v>
      </c>
      <c r="E150" s="226">
        <v>43103.934837962966</v>
      </c>
      <c r="F150" s="226">
        <v>43103.937824074077</v>
      </c>
      <c r="G150" s="225">
        <v>55</v>
      </c>
      <c r="H150" s="227" t="s">
        <v>592</v>
      </c>
      <c r="I150" s="226">
        <v>43103.962500000001</v>
      </c>
      <c r="J150" s="225">
        <v>0</v>
      </c>
      <c r="K150" s="237" t="str">
        <f>IF(ISEVEN(B150),(B150-1)&amp;"/"&amp;B150,B150&amp;"/"&amp;(B150+1))</f>
        <v>4001/4002</v>
      </c>
      <c r="L150" s="245" t="str">
        <f>VLOOKUP(A150,'Trips&amp;Operators'!$C$1:$G$99911,5,FALSE)</f>
        <v>ANDERS STEVEN</v>
      </c>
      <c r="M150" s="224">
        <f>I150-F150</f>
        <v>2.4675925924384501E-2</v>
      </c>
      <c r="N150" s="225">
        <f>24*60*SUM($M150:$M150)</f>
        <v>35.533333331113681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-03T21:26:10-0700',mode:absolute,to:'2018-01-04T00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5.4899999999999997E-2</v>
      </c>
      <c r="Z150" s="247">
        <f>RIGHT(H150,LEN(H150)-4)/10000</f>
        <v>23.3263</v>
      </c>
      <c r="AA150" s="247">
        <f>ABS(Z150-Y150)</f>
        <v>23.2714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235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/stypes="app*4002*20180104*"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28"/>
        <v>"%USERPROFILE%\Documents\GitHub\eaglep3\Utilities\RefineRTDCRunTimes.py" --tripid 235-03 --locoid 4002 --swversion DE.1.0.9.0 --startMP 204:549 --initTime 2018-01-03T22:26:10 --startdatetime 2018-01-03T22:30:28 --delay 55 --endMP 204:233263 --enddatetime 2018-01-03T23:06:00 --enforcementcount 0 &gt;&gt;%USERPROFILE%\Documents\GitHub\eaglep3-reporting\EC\2018-01-03-refined-times.txt</v>
      </c>
      <c r="AI150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{"issue":{"subject":"","project_id":79,"tracker_id":40,"status_id":1,"priority_id":2,"assigned_to_id":338,"start_date":"2018-01-03","description":"","custom_fields":[{"id":1,"name":"Subdivision","value":"EC"},{"id":4,"name":"Milepost","value":"23.3263"},{"id":17,"name":"Train ID","value":"235-03"},{"id":16,"name":"Locomotive ID","value":"4002"},{"id":130,"name":"Impact","value":""},{"id":150,"name":"Time of Event (Mountain Time)","value":"23:06:00"},{"id":151,"name":"Denver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30"/>
        <v>start /low /b %USERPROFILE%\Documents\GitHub\eaglep3\Utilities\DownloadLogsFromS3.py --loco 4002 --day 2018-01-03</v>
      </c>
      <c r="AN150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32"/>
        <v>https://d0f6bd738d7f1b3e5a7ca70fe4ff75f0.us-east-1.aws.found.io/app/kibana#/discover/Steve-Slow-Train-Analysis-(2080s-and-2083s)?_g=(refreshInterval:(display:Off,pause:!f,section:0,value:0),time:(from:'2018-01-03T21:26:10-0700',mode:absolute,to:'2018-01-04T00:06:00-0700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878</v>
      </c>
      <c r="B151" s="225">
        <v>4001</v>
      </c>
      <c r="C151" s="227" t="s">
        <v>192</v>
      </c>
      <c r="D151" s="227" t="s">
        <v>555</v>
      </c>
      <c r="E151" s="226">
        <v>43103.970370370371</v>
      </c>
      <c r="F151" s="226">
        <v>43103.977685185186</v>
      </c>
      <c r="G151" s="225">
        <v>59</v>
      </c>
      <c r="H151" s="227" t="s">
        <v>595</v>
      </c>
      <c r="I151" s="226">
        <v>43104.004317129627</v>
      </c>
      <c r="J151" s="225">
        <v>0</v>
      </c>
      <c r="K151" s="237" t="str">
        <f>IF(ISEVEN(B151),(B151-1)&amp;"/"&amp;B151,B151&amp;"/"&amp;(B151+1))</f>
        <v>4001/4002</v>
      </c>
      <c r="L151" s="245" t="str">
        <f>VLOOKUP(A151,'Trips&amp;Operators'!$C$1:$G$99911,5,FALSE)</f>
        <v>ANDERS STEVEN</v>
      </c>
      <c r="M151" s="224">
        <f>I151-F151</f>
        <v>2.6631944441760425E-2</v>
      </c>
      <c r="N151" s="225">
        <f>24*60*SUM($M151:$M151)</f>
        <v>38.349999996135011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-03T22:17:20-0700',mode:absolute,to:'2018-01-04T01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23.294899999999998</v>
      </c>
      <c r="Z151" s="247">
        <f>RIGHT(H151,LEN(H151)-4)/10000</f>
        <v>2.1600000000000001E-2</v>
      </c>
      <c r="AA151" s="247">
        <f>ABS(Z151-Y151)</f>
        <v>23.273299999999999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236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/stypes="app*4001*20180104*"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28"/>
        <v>"%USERPROFILE%\Documents\GitHub\eaglep3\Utilities\RefineRTDCRunTimes.py" --tripid 236-03 --locoid 4001 --swversion DE.1.0.9.0 --startMP 204:232949 --initTime 2018-01-03T23:17:20 --startdatetime 2018-01-03T23:27:52 --delay 59 --endMP 204:216 --enddatetime 2018-01-04T00:06:13 --enforcementcount 0 &gt;&gt;%USERPROFILE%\Documents\GitHub\eaglep3-reporting\EC\2018-01-03-refined-times.txt</v>
      </c>
      <c r="AI151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{"issue":{"subject":"","project_id":79,"tracker_id":40,"status_id":1,"priority_id":2,"assigned_to_id":338,"start_date":"2018-01-04","description":"","custom_fields":[{"id":1,"name":"Subdivision","value":"EC"},{"id":4,"name":"Milepost","value":"0.0216"},{"id":17,"name":"Train ID","value":"236-03"},{"id":16,"name":"Locomotive ID","value":"4001"},{"id":130,"name":"Impact","value":""},{"id":150,"name":"Time of Event (Mountain Time)","value":"00:06:13"},{"id":151,"name":"Denver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30"/>
        <v>start /low /b %USERPROFILE%\Documents\GitHub\eaglep3\Utilities\DownloadLogsFromS3.py --loco 4001 --day 2018-01-03</v>
      </c>
      <c r="AN151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32"/>
        <v>https://d0f6bd738d7f1b3e5a7ca70fe4ff75f0.us-east-1.aws.found.io/app/kibana#/discover/Steve-Slow-Train-Analysis-(2080s-and-2083s)?_g=(refreshInterval:(display:Off,pause:!f,section:0,value:0),time:(from:'2018-01-03T22:17:20-0700',mode:absolute,to:'2018-01-04T01:06:13-0700'))&amp;_a=(columns:!('Message%20ID',Summary),filters:!(),index:'emp_*',interval:auto,query:(query_string:(analyze_wildcard:!t,query:'%22rtdc.l.rtdc.4001%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875</v>
      </c>
      <c r="B152" s="225">
        <v>4042</v>
      </c>
      <c r="C152" s="227" t="s">
        <v>192</v>
      </c>
      <c r="D152" s="227" t="s">
        <v>616</v>
      </c>
      <c r="E152" s="226">
        <v>43103.953055555554</v>
      </c>
      <c r="F152" s="226">
        <v>43103.958587962959</v>
      </c>
      <c r="G152" s="225">
        <v>59</v>
      </c>
      <c r="H152" s="227" t="s">
        <v>989</v>
      </c>
      <c r="I152" s="226">
        <v>43103.983842592592</v>
      </c>
      <c r="J152" s="225">
        <v>0</v>
      </c>
      <c r="K152" s="237" t="str">
        <f>IF(ISEVEN(B152),(B152-1)&amp;"/"&amp;B152,B152&amp;"/"&amp;(B152+1))</f>
        <v>4041/4042</v>
      </c>
      <c r="L152" s="245" t="str">
        <f>VLOOKUP(A152,'Trips&amp;Operators'!$C$1:$G$99911,5,FALSE)</f>
        <v>NICHOLSON WESLEY</v>
      </c>
      <c r="M152" s="224">
        <f>I152-F152</f>
        <v>2.5254629632399883E-2</v>
      </c>
      <c r="N152" s="225">
        <f>24*60*SUM($M152:$M152)</f>
        <v>36.366666670655832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-03T21:52:24-0700',mode:absolute,to:'2018-01-04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5.3999999999999999E-2</v>
      </c>
      <c r="Z152" s="247">
        <f>RIGHT(H152,LEN(H152)-4)/10000</f>
        <v>23.320399999999999</v>
      </c>
      <c r="AA152" s="247">
        <f>ABS(Z152-Y152)</f>
        <v>23.266400000000001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237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/stypes="app*4042*20180104*" /stext=" 06:.+((SYSTEM_STATE.+slice.+state.+changed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28"/>
        <v>"%USERPROFILE%\Documents\GitHub\eaglep3\Utilities\RefineRTDCRunTimes.py" --tripid 237-03 --locoid 4042 --swversion DE.1.0.9.0 --startMP 204:540 --initTime 2018-01-03T22:52:24 --startdatetime 2018-01-03T23:00:22 --delay 59 --endMP 204:233204 --enddatetime 2018-01-03T23:36:44 --enforcementcount 0 &gt;&gt;%USERPROFILE%\Documents\GitHub\eaglep3-reporting\EC\2018-01-03-refined-times.txt</v>
      </c>
      <c r="AI152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{"issue":{"subject":"","project_id":79,"tracker_id":40,"status_id":1,"priority_id":2,"assigned_to_id":338,"start_date":"2018-01-03","description":"","custom_fields":[{"id":1,"name":"Subdivision","value":"EC"},{"id":4,"name":"Milepost","value":"23.3204"},{"id":17,"name":"Train ID","value":"237-03"},{"id":16,"name":"Locomotive ID","value":"4042"},{"id":130,"name":"Impact","value":""},{"id":150,"name":"Time of Event (Mountain Time)","value":"23:36:44"},{"id":151,"name":"Denver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30"/>
        <v>start /low /b %USERPROFILE%\Documents\GitHub\eaglep3\Utilities\DownloadLogsFromS3.py --loco 4042 --day 2018-01-03</v>
      </c>
      <c r="AN152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32"/>
        <v>https://d0f6bd738d7f1b3e5a7ca70fe4ff75f0.us-east-1.aws.found.io/app/kibana#/discover/Steve-Slow-Train-Analysis-(2080s-and-2083s)?_g=(refreshInterval:(display:Off,pause:!f,section:0,value:0),time:(from:'2018-01-03T21:52:24-0700',mode:absolute,to:'2018-01-04T00:36:44-0700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882</v>
      </c>
      <c r="B153" s="225">
        <v>4041</v>
      </c>
      <c r="C153" s="227" t="s">
        <v>192</v>
      </c>
      <c r="D153" s="227" t="s">
        <v>948</v>
      </c>
      <c r="E153" s="226">
        <v>43103.995011574072</v>
      </c>
      <c r="F153" s="226">
        <v>43103.998391203706</v>
      </c>
      <c r="G153" s="225">
        <v>66</v>
      </c>
      <c r="H153" s="227" t="s">
        <v>540</v>
      </c>
      <c r="I153" s="226">
        <v>43104.025370370371</v>
      </c>
      <c r="J153" s="225">
        <v>0</v>
      </c>
      <c r="K153" s="237" t="str">
        <f>IF(ISEVEN(B153),(B153-1)&amp;"/"&amp;B153,B153&amp;"/"&amp;(B153+1))</f>
        <v>4041/4042</v>
      </c>
      <c r="L153" s="245" t="str">
        <f>VLOOKUP(A153,'Trips&amp;Operators'!$C$1:$G$99911,5,FALSE)</f>
        <v>NICHOLSON WESLEY</v>
      </c>
      <c r="M153" s="224">
        <f>I153-F153</f>
        <v>2.6979166665114462E-2</v>
      </c>
      <c r="N153" s="225">
        <f>24*60*SUM($M153:$M153)</f>
        <v>38.849999997764826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-03T22:52:49-0700',mode:absolute,to:'2018-01-04T01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23.288499999999999</v>
      </c>
      <c r="Z153" s="247">
        <f>RIGHT(H153,LEN(H153)-4)/10000</f>
        <v>2.58E-2</v>
      </c>
      <c r="AA153" s="247">
        <f>ABS(Z153-Y153)</f>
        <v>23.262699999999999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238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/stypes="app*4041*20180104*"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28"/>
        <v>"%USERPROFILE%\Documents\GitHub\eaglep3\Utilities\RefineRTDCRunTimes.py" --tripid 238-03 --locoid 4041 --swversion DE.1.0.9.0 --startMP 204:232885 --initTime 2018-01-03T23:52:49 --startdatetime 2018-01-03T23:57:41 --delay 66 --endMP 204:258 --enddatetime 2018-01-04T00:36:32 --enforcementcount 0 &gt;&gt;%USERPROFILE%\Documents\GitHub\eaglep3-reporting\EC\2018-01-03-refined-times.txt</v>
      </c>
      <c r="AI153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{"issue":{"subject":"","project_id":79,"tracker_id":40,"status_id":1,"priority_id":2,"assigned_to_id":338,"start_date":"2018-01-04","description":"","custom_fields":[{"id":1,"name":"Subdivision","value":"EC"},{"id":4,"name":"Milepost","value":"0.0258"},{"id":17,"name":"Train ID","value":"238-03"},{"id":16,"name":"Locomotive ID","value":"4041"},{"id":130,"name":"Impact","value":""},{"id":150,"name":"Time of Event (Mountain Time)","value":"00:36:32"},{"id":151,"name":"Denver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30"/>
        <v>start /low /b %USERPROFILE%\Documents\GitHub\eaglep3\Utilities\DownloadLogsFromS3.py --loco 4041 --day 2018-01-03</v>
      </c>
      <c r="AN153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32"/>
        <v>https://d0f6bd738d7f1b3e5a7ca70fe4ff75f0.us-east-1.aws.found.io/app/kibana#/discover/Steve-Slow-Train-Analysis-(2080s-and-2083s)?_g=(refreshInterval:(display:Off,pause:!f,section:0,value:0),time:(from:'2018-01-03T22:52:49-0700',mode:absolute,to:'2018-01-04T01:36:32-0700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880</v>
      </c>
      <c r="B154" s="225">
        <v>4050</v>
      </c>
      <c r="C154" s="227" t="s">
        <v>192</v>
      </c>
      <c r="D154" s="227" t="s">
        <v>630</v>
      </c>
      <c r="E154" s="226">
        <v>43103.975266203706</v>
      </c>
      <c r="F154" s="226">
        <v>43103.97934027778</v>
      </c>
      <c r="G154" s="225">
        <v>53</v>
      </c>
      <c r="H154" s="227" t="s">
        <v>594</v>
      </c>
      <c r="I154" s="226">
        <v>43104.00377314815</v>
      </c>
      <c r="J154" s="225">
        <v>0</v>
      </c>
      <c r="K154" s="237" t="str">
        <f>IF(ISEVEN(B154),(B154-1)&amp;"/"&amp;B154,B154&amp;"/"&amp;(B154+1))</f>
        <v>4049/4050</v>
      </c>
      <c r="L154" s="245" t="str">
        <f>VLOOKUP(A154,'Trips&amp;Operators'!$C$1:$G$99911,5,FALSE)</f>
        <v>RESPASS AARON</v>
      </c>
      <c r="M154" s="224">
        <f>I154-F154</f>
        <v>2.4432870370219462E-2</v>
      </c>
      <c r="N154" s="225">
        <f>24*60*SUM($M154:$M154)</f>
        <v>35.183333333116025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-03T22:24:23-0700',mode:absolute,to:'2018-01-04T01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5.79E-2</v>
      </c>
      <c r="Z154" s="247">
        <f>RIGHT(H154,LEN(H154)-4)/10000</f>
        <v>23.3247</v>
      </c>
      <c r="AA154" s="247">
        <f>ABS(Z154-Y154)</f>
        <v>23.2668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239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/stypes="app*4050*20180104*"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28"/>
        <v>"%USERPROFILE%\Documents\GitHub\eaglep3\Utilities\RefineRTDCRunTimes.py" --tripid 239-03 --locoid 4050 --swversion DE.1.0.9.0 --startMP 204:579 --initTime 2018-01-03T23:24:23 --startdatetime 2018-01-03T23:30:15 --delay 53 --endMP 204:233247 --enddatetime 2018-01-04T00:05:26 --enforcementcount 0 &gt;&gt;%USERPROFILE%\Documents\GitHub\eaglep3-reporting\EC\2018-01-03-refined-times.txt</v>
      </c>
      <c r="AI154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{"issue":{"subject":"","project_id":79,"tracker_id":40,"status_id":1,"priority_id":2,"assigned_to_id":338,"start_date":"2018-01-04","description":"","custom_fields":[{"id":1,"name":"Subdivision","value":"EC"},{"id":4,"name":"Milepost","value":"23.3247"},{"id":17,"name":"Train ID","value":"239-03"},{"id":16,"name":"Locomotive ID","value":"4050"},{"id":130,"name":"Impact","value":""},{"id":150,"name":"Time of Event (Mountain Time)","value":"00:05:26"},{"id":151,"name":"Denver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30"/>
        <v>start /low /b %USERPROFILE%\Documents\GitHub\eaglep3\Utilities\DownloadLogsFromS3.py --loco 4050 --day 2018-01-03</v>
      </c>
      <c r="AN154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32"/>
        <v>https://d0f6bd738d7f1b3e5a7ca70fe4ff75f0.us-east-1.aws.found.io/app/kibana#/discover/Steve-Slow-Train-Analysis-(2080s-and-2083s)?_g=(refreshInterval:(display:Off,pause:!f,section:0,value:0),time:(from:'2018-01-03T22:24:23-0700',mode:absolute,to:'2018-01-04T01:05:26-0700'))&amp;_a=(columns:!('Message%20ID',Summary),filters:!(),index:'emp_*',interval:auto,query:(query_string:(analyze_wildcard:!t,query:'%22rtdc.l.rtdc.4050%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662</v>
      </c>
      <c r="B155" s="225">
        <v>4049</v>
      </c>
      <c r="C155" s="227" t="s">
        <v>192</v>
      </c>
      <c r="D155" s="227" t="s">
        <v>987</v>
      </c>
      <c r="E155" s="226">
        <v>43104.016840277778</v>
      </c>
      <c r="F155" s="226">
        <v>43104.018946759257</v>
      </c>
      <c r="G155" s="225">
        <v>67</v>
      </c>
      <c r="H155" s="227" t="s">
        <v>562</v>
      </c>
      <c r="I155" s="226">
        <v>43104.044270833336</v>
      </c>
      <c r="J155" s="225">
        <v>0</v>
      </c>
      <c r="K155" s="237" t="str">
        <f>IF(ISEVEN(B155),(B155-1)&amp;"/"&amp;B155,B155&amp;"/"&amp;(B155+1))</f>
        <v>4049/4050</v>
      </c>
      <c r="L155" s="245" t="str">
        <f>VLOOKUP(A155,'Trips&amp;Operators'!$C$1:$G$99911,5,FALSE)</f>
        <v>RESPASS AARON</v>
      </c>
      <c r="M155" s="224">
        <f>I155-F155</f>
        <v>2.5324074078525882E-2</v>
      </c>
      <c r="N155" s="225">
        <f>24*60*SUM($M155:$M155)</f>
        <v>36.46666667307727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-03T23:24:15-0700',mode:absolute,to:'2018-01-04T02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23.291899999999998</v>
      </c>
      <c r="Z155" s="247">
        <f>RIGHT(H155,LEN(H155)-4)/10000</f>
        <v>2.52E-2</v>
      </c>
      <c r="AA155" s="247">
        <f>ABS(Z155-Y155)</f>
        <v>23.266699999999997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240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 &amp; 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/stypes="app*4049*20180104*"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28"/>
        <v>"%USERPROFILE%\Documents\GitHub\eaglep3\Utilities\RefineRTDCRunTimes.py" --tripid 240-03 --locoid 4049 --swversion DE.1.0.9.0 --startMP 204:232919 --initTime 2018-01-04T00:24:15 --startdatetime 2018-01-04T00:27:17 --delay 67 --endMP 204:252 --enddatetime 2018-01-04T01:03:45 --enforcementcount 0 &gt;&gt;%USERPROFILE%\Documents\GitHub\eaglep3-reporting\EC\2018-01-03-refined-times.txt</v>
      </c>
      <c r="AI155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{"issue":{"subject":"","project_id":79,"tracker_id":40,"status_id":1,"priority_id":2,"assigned_to_id":338,"start_date":"2018-01-04","description":"","custom_fields":[{"id":1,"name":"Subdivision","value":"EC"},{"id":4,"name":"Milepost","value":"0.0252"},{"id":17,"name":"Train ID","value":"240-03"},{"id":16,"name":"Locomotive ID","value":"4049"},{"id":130,"name":"Impact","value":""},{"id":150,"name":"Time of Event (Mountain Time)","value":"01:03:45"},{"id":151,"name":"Denver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30"/>
        <v>start /low /b %USERPROFILE%\Documents\GitHub\eaglep3\Utilities\DownloadLogsFromS3.py --loco 4049 --day 2018-01-04</v>
      </c>
      <c r="AN15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32"/>
        <v>https://d0f6bd738d7f1b3e5a7ca70fe4ff75f0.us-east-1.aws.found.io/app/kibana#/discover/Steve-Slow-Train-Analysis-(2080s-and-2083s)?_g=(refreshInterval:(display:Off,pause:!f,section:0,value:0),time:(from:'2018-01-03T23:24:15-0700',mode:absolute,to:'2018-01-04T02:03:45-0700'))&amp;_a=(columns:!('Message%20ID',Summary),filters:!(),index:'emp_*',interval:auto,query:(query_string:(analyze_wildcard:!t,query:'%22rtdc.l.rtdc.4049%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229" t="s">
        <v>881</v>
      </c>
      <c r="B156" s="225">
        <v>4020</v>
      </c>
      <c r="C156" s="227" t="s">
        <v>192</v>
      </c>
      <c r="D156" s="227" t="s">
        <v>621</v>
      </c>
      <c r="E156" s="226">
        <v>43103.98710648148</v>
      </c>
      <c r="F156" s="226">
        <v>43104.000185185185</v>
      </c>
      <c r="G156" s="225">
        <v>61</v>
      </c>
      <c r="H156" s="227" t="s">
        <v>494</v>
      </c>
      <c r="I156" s="226">
        <v>43104.024513888886</v>
      </c>
      <c r="J156" s="225">
        <v>0</v>
      </c>
      <c r="K156" s="237" t="str">
        <f>IF(ISEVEN(B156),(B156-1)&amp;"/"&amp;B156,B156&amp;"/"&amp;(B156+1))</f>
        <v>4019/4020</v>
      </c>
      <c r="L156" s="245" t="str">
        <f>VLOOKUP(A156,'Trips&amp;Operators'!$C$1:$G$99911,5,FALSE)</f>
        <v>LOZA FIDEL</v>
      </c>
      <c r="M156" s="224">
        <f>I156-F156</f>
        <v>2.4328703701030463E-2</v>
      </c>
      <c r="N156" s="225">
        <f>24*60*SUM($M156:$M156)</f>
        <v>35.033333329483867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-03T22:41:26-0700',mode:absolute,to:'2018-01-04T01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5.3699999999999998E-2</v>
      </c>
      <c r="Z156" s="247">
        <f>RIGHT(H156,LEN(H156)-4)/10000</f>
        <v>23.326599999999999</v>
      </c>
      <c r="AA156" s="247">
        <f>ABS(Z156-Y156)</f>
        <v>23.2729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241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 &amp; 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/stypes="app*4020*20180104*" /stext=" 07:.+((SYSTEM_STATE.+slice.+state.+changed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28"/>
        <v>"%USERPROFILE%\Documents\GitHub\eaglep3\Utilities\RefineRTDCRunTimes.py" --tripid 241-03 --locoid 4020 --swversion DE.1.0.9.0 --startMP 204:537 --initTime 2018-01-03T23:41:26 --startdatetime 2018-01-04T00:00:16 --delay 61 --endMP 204:233266 --enddatetime 2018-01-04T00:35:18 --enforcementcount 0 &gt;&gt;%USERPROFILE%\Documents\GitHub\eaglep3-reporting\EC\2018-01-03-refined-times.txt</v>
      </c>
      <c r="AI156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{"issue":{"subject":"","project_id":79,"tracker_id":40,"status_id":1,"priority_id":2,"assigned_to_id":338,"start_date":"2018-01-04","description":"","custom_fields":[{"id":1,"name":"Subdivision","value":"EC"},{"id":4,"name":"Milepost","value":"23.3266"},{"id":17,"name":"Train ID","value":"241-03"},{"id":16,"name":"Locomotive ID","value":"4020"},{"id":130,"name":"Impact","value":""},{"id":150,"name":"Time of Event (Mountain Time)","value":"00:35:18"},{"id":151,"name":"Denver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30"/>
        <v>start /low /b %USERPROFILE%\Documents\GitHub\eaglep3\Utilities\DownloadLogsFromS3.py --loco 4020 --day 2018-01-04</v>
      </c>
      <c r="AN15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32"/>
        <v>https://d0f6bd738d7f1b3e5a7ca70fe4ff75f0.us-east-1.aws.found.io/app/kibana#/discover/Steve-Slow-Train-Analysis-(2080s-and-2083s)?_g=(refreshInterval:(display:Off,pause:!f,section:0,value:0),time:(from:'2018-01-03T22:41:26-0700',mode:absolute,to:'2018-01-04T01:35:18-0700'))&amp;_a=(columns:!('Message%20ID',Summary),filters:!(),index:'emp_*',interval:auto,query:(query_string:(analyze_wildcard:!t,query:'%22rtdc.l.rtdc.4020%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885</v>
      </c>
      <c r="B157" s="225">
        <v>4019</v>
      </c>
      <c r="C157" s="227" t="s">
        <v>192</v>
      </c>
      <c r="D157" s="227" t="s">
        <v>990</v>
      </c>
      <c r="E157" s="226">
        <v>43104.034814814811</v>
      </c>
      <c r="F157" s="226">
        <v>43104.039756944447</v>
      </c>
      <c r="G157" s="225">
        <v>81</v>
      </c>
      <c r="H157" s="227" t="s">
        <v>963</v>
      </c>
      <c r="I157" s="226">
        <v>43104.066064814811</v>
      </c>
      <c r="J157" s="225">
        <v>0</v>
      </c>
      <c r="K157" s="237" t="str">
        <f>IF(ISEVEN(B157),(B157-1)&amp;"/"&amp;B157,B157&amp;"/"&amp;(B157+1))</f>
        <v>4019/4020</v>
      </c>
      <c r="L157" s="245" t="str">
        <f>VLOOKUP(A157,'Trips&amp;Operators'!$C$1:$G$99911,5,FALSE)</f>
        <v>LOZA FIDEL</v>
      </c>
      <c r="M157" s="224">
        <f>I157-F157</f>
        <v>2.6307870364689734E-2</v>
      </c>
      <c r="N157" s="225">
        <f>24*60*SUM($M157:$M157)</f>
        <v>37.883333325153217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-03T23:50:08-0700',mode:absolute,to:'2018-01-04T02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23.295999999999999</v>
      </c>
      <c r="Z157" s="247">
        <f>RIGHT(H157,LEN(H157)-4)/10000</f>
        <v>2.29E-2</v>
      </c>
      <c r="AA157" s="247">
        <f>ABS(Z157-Y157)</f>
        <v>23.273099999999999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242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 &amp; 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/stypes="app*4019*20180104*"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28"/>
        <v>"%USERPROFILE%\Documents\GitHub\eaglep3\Utilities\RefineRTDCRunTimes.py" --tripid 242-03 --locoid 4019 --swversion DE.1.0.9.0 --startMP 204:232960 --initTime 2018-01-04T00:50:08 --startdatetime 2018-01-04T00:57:15 --delay 81 --endMP 204:229 --enddatetime 2018-01-04T01:35:08 --enforcementcount 0 &gt;&gt;%USERPROFILE%\Documents\GitHub\eaglep3-reporting\EC\2018-01-03-refined-times.txt</v>
      </c>
      <c r="AI157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{"issue":{"subject":"","project_id":79,"tracker_id":40,"status_id":1,"priority_id":2,"assigned_to_id":338,"start_date":"2018-01-04","description":"","custom_fields":[{"id":1,"name":"Subdivision","value":"EC"},{"id":4,"name":"Milepost","value":"0.0229"},{"id":17,"name":"Train ID","value":"242-03"},{"id":16,"name":"Locomotive ID","value":"4019"},{"id":130,"name":"Impact","value":""},{"id":150,"name":"Time of Event (Mountain Time)","value":"01:35:08"},{"id":151,"name":"Denver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30"/>
        <v>start /low /b %USERPROFILE%\Documents\GitHub\eaglep3\Utilities\DownloadLogsFromS3.py --loco 4019 --day 2018-01-04</v>
      </c>
      <c r="AN15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32"/>
        <v>https://d0f6bd738d7f1b3e5a7ca70fe4ff75f0.us-east-1.aws.found.io/app/kibana#/discover/Steve-Slow-Train-Analysis-(2080s-and-2083s)?_g=(refreshInterval:(display:Off,pause:!f,section:0,value:0),time:(from:'2018-01-03T23:50:08-0700',mode:absolute,to:'2018-01-04T02:35:08-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883</v>
      </c>
      <c r="B158" s="225">
        <v>4002</v>
      </c>
      <c r="C158" s="227" t="s">
        <v>192</v>
      </c>
      <c r="D158" s="227" t="s">
        <v>991</v>
      </c>
      <c r="E158" s="226">
        <v>43104.018865740742</v>
      </c>
      <c r="F158" s="226">
        <v>43104.021157407406</v>
      </c>
      <c r="G158" s="225">
        <v>51</v>
      </c>
      <c r="H158" s="227" t="s">
        <v>897</v>
      </c>
      <c r="I158" s="226">
        <v>43104.047777777778</v>
      </c>
      <c r="J158" s="225">
        <v>0</v>
      </c>
      <c r="K158" s="237" t="str">
        <f>IF(ISEVEN(B158),(B158-1)&amp;"/"&amp;B158,B158&amp;"/"&amp;(B158+1))</f>
        <v>4001/4002</v>
      </c>
      <c r="L158" s="245" t="str">
        <f>VLOOKUP(A158,'Trips&amp;Operators'!$C$1:$G$99911,5,FALSE)</f>
        <v>ANDERS STEVEN</v>
      </c>
      <c r="M158" s="224">
        <f>I158-F158</f>
        <v>2.662037037225673E-2</v>
      </c>
      <c r="N158" s="225">
        <f>24*60*SUM($M158:$M158)</f>
        <v>38.333333336049691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-03T23:27:10-0700',mode:absolute,to:'2018-01-04T02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5.1299999999999998E-2</v>
      </c>
      <c r="Z158" s="247">
        <f>RIGHT(H158,LEN(H158)-4)/10000</f>
        <v>23.328199999999999</v>
      </c>
      <c r="AA158" s="247">
        <f>ABS(Z158-Y158)</f>
        <v>23.276899999999998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243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 &amp; 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/stypes="app*4002*20180104*"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28"/>
        <v>"%USERPROFILE%\Documents\GitHub\eaglep3\Utilities\RefineRTDCRunTimes.py" --tripid 243-03 --locoid 4002 --swversion DE.1.0.9.0 --startMP 204:513 --initTime 2018-01-04T00:27:10 --startdatetime 2018-01-04T00:30:28 --delay 51 --endMP 204:233282 --enddatetime 2018-01-04T01:08:48 --enforcementcount 0 &gt;&gt;%USERPROFILE%\Documents\GitHub\eaglep3-reporting\EC\2018-01-03-refined-times.txt</v>
      </c>
      <c r="AI158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{"issue":{"subject":"","project_id":79,"tracker_id":40,"status_id":1,"priority_id":2,"assigned_to_id":338,"start_date":"2018-01-04","description":"","custom_fields":[{"id":1,"name":"Subdivision","value":"EC"},{"id":4,"name":"Milepost","value":"23.3282"},{"id":17,"name":"Train ID","value":"243-03"},{"id":16,"name":"Locomotive ID","value":"4002"},{"id":130,"name":"Impact","value":""},{"id":150,"name":"Time of Event (Mountain Time)","value":"01:08:48"},{"id":151,"name":"Denver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30"/>
        <v>start /low /b %USERPROFILE%\Documents\GitHub\eaglep3\Utilities\DownloadLogsFromS3.py --loco 4002 --day 2018-01-04</v>
      </c>
      <c r="AN15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32"/>
        <v>https://d0f6bd738d7f1b3e5a7ca70fe4ff75f0.us-east-1.aws.found.io/app/kibana#/discover/Steve-Slow-Train-Analysis-(2080s-and-2083s)?_g=(refreshInterval:(display:Off,pause:!f,section:0,value:0),time:(from:'2018-01-03T23:27:10-0700',mode:absolute,to:'2018-01-04T02:08:48-0700'))&amp;_a=(columns:!('Message%20ID',Summary),filters:!(),index:'emp_*',interval:auto,query:(query_string:(analyze_wildcard:!t,query:'%22rtdc.l.rtdc.4002%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29" t="s">
        <v>663</v>
      </c>
      <c r="B159" s="225">
        <v>4001</v>
      </c>
      <c r="C159" s="227" t="s">
        <v>192</v>
      </c>
      <c r="D159" s="227" t="s">
        <v>626</v>
      </c>
      <c r="E159" s="226">
        <v>43104.058634259258</v>
      </c>
      <c r="F159" s="226">
        <v>43104.060659722221</v>
      </c>
      <c r="G159" s="225">
        <v>58</v>
      </c>
      <c r="H159" s="227" t="s">
        <v>992</v>
      </c>
      <c r="I159" s="226">
        <v>43104.077928240738</v>
      </c>
      <c r="J159" s="225">
        <v>0</v>
      </c>
      <c r="K159" s="237" t="str">
        <f>IF(ISEVEN(B159),(B159-1)&amp;"/"&amp;B159,B159&amp;"/"&amp;(B159+1))</f>
        <v>4001/4002</v>
      </c>
      <c r="L159" s="245" t="str">
        <f>VLOOKUP(A159,'Trips&amp;Operators'!$C$1:$G$99911,5,FALSE)</f>
        <v>ANDERS STEVEN</v>
      </c>
      <c r="M159" s="224">
        <f>I159-F159</f>
        <v>1.7268518517084885E-2</v>
      </c>
      <c r="N159" s="225"/>
      <c r="O159" s="225"/>
      <c r="P159" s="225">
        <f>24*60*SUM($M159:$M159)</f>
        <v>24.866666664602235</v>
      </c>
      <c r="Q159" s="228"/>
      <c r="R159" s="242" t="s">
        <v>464</v>
      </c>
      <c r="S159" s="249">
        <f>1/IF(AG159="EC",12,1)*SUM(U159:U159+U160)</f>
        <v>0.75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3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-04T00:24:26-0700',mode:absolute,to:'2018-01-04T02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47" t="str">
        <f>IF(AA159&lt;VLOOKUP(AG159,Variables!$AC$3:$AD$8,2,FALSE),"Y","N")</f>
        <v>Y</v>
      </c>
      <c r="X159" s="247">
        <f>VALUE(LEFT(AD159,4))-VALUE(LEFT(AD158,4))</f>
        <v>1</v>
      </c>
      <c r="Y159" s="247">
        <f>RIGHT(D159,LEN(D159)-4)/10000</f>
        <v>23.293800000000001</v>
      </c>
      <c r="Z159" s="247">
        <v>6.3739999999999997</v>
      </c>
      <c r="AA159" s="247">
        <f>ABS(Z159-Y159)</f>
        <v>16.919800000000002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244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 &amp; 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/stypes="app*4001*20180104*" /stext=" 08:.+((SYSTEM_STATE.+slice.+state.+changed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28"/>
        <v>"%USERPROFILE%\Documents\GitHub\eaglep3\Utilities\RefineRTDCRunTimes.py" --tripid 244-03 --locoid 4001 --swversion DE.1.0.9.0 --startMP 204:232938 --initTime 2018-01-04T01:24:26 --startdatetime 2018-01-04T01:27:21 --delay 58 --endMP 204:375 --enddatetime 2018-01-04T01:52:13 --enforcementcount 0 &gt;&gt;%USERPROFILE%\Documents\GitHub\eaglep3-reporting\EC\2018-01-03-refined-times.txt</v>
      </c>
      <c r="AI159" s="238" t="str">
        <f t="shared" si="29"/>
        <v>echo {"issue":{"subject":"Wi-MAX data drop","project_id":79,"tracker_id":40,"status_id":1,"priority_id":2,"assigned_to_id":338,"start_date":"2018-01-04","description":"","custom_fields":[{"id":1,"name":"Subdivision","value":"EC"},{"id":4,"name":"Milepost","value":"6.374"},{"id":17,"name":"Train ID","value":"244-03"},{"id":16,"name":"Locomotive ID","value":"4001"},{"id":130,"name":"Impact","value":""},{"id":150,"name":"Time of Event (Mountain Time)","value":"01:52:13"},{"id":151,"name":"Denver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30"/>
        <v>start /low /b %USERPROFILE%\Documents\GitHub\eaglep3\Utilities\DownloadLogsFromS3.py --loco 4001 --day 2018-01-04</v>
      </c>
      <c r="AN159" s="241" t="str">
        <f t="shared" si="31"/>
        <v>echo {"issue":{"subject":"Wi-MAX data drop","project_id":30,"tracker_id":4,"status_id":1,"priority_id":1,"assigned_to_id":10,"start_date":"2018-01-04","description":"","custom_fields":[{"id":30,"name":"Category","value":"Issue"},{"id":3,"name":"Functional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32"/>
        <v>https://d0f6bd738d7f1b3e5a7ca70fe4ff75f0.us-east-1.aws.found.io/app/kibana#/discover/Steve-Slow-Train-Analysis-(2080s-and-2083s)?_g=(refreshInterval:(display:Off,pause:!f,section:0,value:0),time:(from:'2018-01-04T00:24:26-0700',mode:absolute,to:'2018-01-04T02:52:13-0700'))&amp;_a=(columns:!('Message%20ID',Summary),filters:!(),index:'emp_*',interval:auto,query:(query_string:(analyze_wildcard:!t,query:'%22rtdc.l.rtdc.4001%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663</v>
      </c>
      <c r="B160" s="225">
        <v>4001</v>
      </c>
      <c r="C160" s="227" t="s">
        <v>192</v>
      </c>
      <c r="D160" s="227" t="s">
        <v>626</v>
      </c>
      <c r="E160" s="226">
        <v>43104.058634259258</v>
      </c>
      <c r="F160" s="226">
        <v>43104.078773148147</v>
      </c>
      <c r="G160" s="225">
        <v>58</v>
      </c>
      <c r="H160" s="227" t="s">
        <v>992</v>
      </c>
      <c r="I160" s="226">
        <v>43104.092303240737</v>
      </c>
      <c r="J160" s="225">
        <v>0</v>
      </c>
      <c r="K160" s="237" t="str">
        <f>IF(ISEVEN(B160),(B160-1)&amp;"/"&amp;B160,B160&amp;"/"&amp;(B160+1))</f>
        <v>4001/4002</v>
      </c>
      <c r="L160" s="245" t="str">
        <f>VLOOKUP(A160,'Trips&amp;Operators'!$C$1:$G$99911,5,FALSE)</f>
        <v>ANDERS STEVEN</v>
      </c>
      <c r="M160" s="224">
        <f>I160-F160</f>
        <v>1.3530092590372078E-2</v>
      </c>
      <c r="N160" s="225"/>
      <c r="O160" s="225"/>
      <c r="P160" s="225"/>
      <c r="Q160" s="228"/>
      <c r="R160" s="242"/>
      <c r="S160" s="249"/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6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-04T00:24:26-0700',mode:absolute,to:'2018-01-04T03:12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247" t="str">
        <f>IF(AA160&lt;VLOOKUP(AG160,Variables!$AC$3:$AD$8,2,FALSE),"Y","N")</f>
        <v>Y</v>
      </c>
      <c r="X160" s="247">
        <f t="shared" ref="X160:X163" si="38">VALUE(LEFT(AD160,4))-VALUE(LEFT(AD159,4))</f>
        <v>0</v>
      </c>
      <c r="Y160" s="247">
        <v>5.7568999999999999</v>
      </c>
      <c r="Z160" s="247">
        <v>3.7499999999999999E-2</v>
      </c>
      <c r="AA160" s="247">
        <f>ABS(Z160-Y160)</f>
        <v>5.7194000000000003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244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 &amp; 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/stypes="app*4001*20180104*" /stext=" 09:.+((SYSTEM_STATE.+slice.+state.+changed )|(ment ac)|(multiple cpu faults)|(system.+state.+changed )|(\[timeout)|(PRM\|1\|D)|(kpr)|(kdp)|(train st.+moving)|(\|lc)|(penalty))"</v>
      </c>
      <c r="AG160" s="244" t="str">
        <f>DetSubdiv(A160)</f>
        <v>EC</v>
      </c>
      <c r="AH160" s="236" t="str">
        <f t="shared" ref="AH160" si="39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244-03 --locoid 4001 --swversion DE.1.0.9.0 --startMP 204:232938 --initTime 2018-01-04T01:24:26 --startdatetime 2018-01-04T01:53:26 --delay 58 --endMP 204:375 --enddatetime 2018-01-04T02:12:55 --enforcementcount 0 &gt;&gt;%USERPROFILE%\Documents\GitHub\eaglep3-reporting\EC\2018-01-03-refined-times.txt</v>
      </c>
      <c r="AI160" s="238" t="str">
        <f t="shared" ref="AI160" si="40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{"issue":{"subject":"","project_id":79,"tracker_id":40,"status_id":1,"priority_id":2,"assigned_to_id":338,"start_date":"2018-01-04","description":"","custom_fields":[{"id":1,"name":"Subdivision","value":"EC"},{"id":4,"name":"Milepost","value":"0.0375"},{"id":17,"name":"Train ID","value":"244-03"},{"id":16,"name":"Locomotive ID","value":"4001"},{"id":130,"name":"Impact","value":""},{"id":150,"name":"Time of Event (Mountain Time)","value":"02:12:55"},{"id":151,"name":"Denver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ref="AM160" si="41">"start /low /b "&amp;dls3logs&amp;" --loco "&amp;B160&amp;" --day "&amp;TEXT(F160,"YYYY-MM-DD")</f>
        <v>start /low /b %USERPROFILE%\Documents\GitHub\eaglep3\Utilities\DownloadLogsFromS3.py --loco 4001 --day 2018-01-04</v>
      </c>
      <c r="AN160" s="241" t="str">
        <f t="shared" ref="AN160" si="42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09:12:55"},{"id":29,"name":"Sharepoint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ref="AO160" si="43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-04T00:24:26-0700',mode:absolute,to:'2018-01-04T03:12:55-0700'))&amp;_a=(columns:!('Message%20ID',Summary),filters:!(),index:'emp_*',interval:auto,query:(query_string:(analyze_wildcard:!t,query:'%22rtdc.l.rtdc.4001%22')),sort:!(Time.ISO8601,asc))</v>
      </c>
    </row>
    <row r="161" spans="1:91" s="223" customFormat="1" x14ac:dyDescent="0.3">
      <c r="A161" s="229" t="s">
        <v>637</v>
      </c>
      <c r="B161" s="225">
        <v>4013</v>
      </c>
      <c r="C161" s="227" t="s">
        <v>192</v>
      </c>
      <c r="D161" s="227" t="s">
        <v>1047</v>
      </c>
      <c r="E161" s="226">
        <v>43103.214814814812</v>
      </c>
      <c r="F161" s="226">
        <v>43103.216238425928</v>
      </c>
      <c r="G161" s="225">
        <v>56</v>
      </c>
      <c r="H161" s="227" t="s">
        <v>1048</v>
      </c>
      <c r="I161" s="226">
        <v>43103.224953703706</v>
      </c>
      <c r="J161" s="225">
        <v>0</v>
      </c>
      <c r="K161" s="237" t="str">
        <f>IF(ISEVEN(B161),(B161-1)&amp;"/"&amp;B161,B161&amp;"/"&amp;(B161+1))</f>
        <v>4013/4014</v>
      </c>
      <c r="L161" s="245" t="str">
        <f>VLOOKUP(A161,'Trips&amp;Operators'!$C$1:$G$99911,5,FALSE)</f>
        <v>LAMAR NEKESHA</v>
      </c>
      <c r="M161" s="224">
        <f>I161-F161</f>
        <v>8.7152777778101154E-3</v>
      </c>
      <c r="N161" s="225">
        <f>24*60*SUM($M161:$M161)</f>
        <v>12.550000000046566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-03T04:09:20-0700',mode:absolute,to:'2018-01-03T06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247" t="str">
        <f>IF(AA161&lt;VLOOKUP(AG161,Variables!$AC$3:$AD$8,2,FALSE),"Y","N")</f>
        <v>Y</v>
      </c>
      <c r="X161" s="247">
        <f t="shared" si="38"/>
        <v>556</v>
      </c>
      <c r="Y161" s="247">
        <f>RIGHT(D161,LEN(D161)-4)/10000</f>
        <v>5.8639999999999999</v>
      </c>
      <c r="Z161" s="247">
        <f>RIGHT(H161,LEN(H161)-4)/10000</f>
        <v>0.46300000000000002</v>
      </c>
      <c r="AA161" s="247">
        <f>ABS(Z161-Y161)</f>
        <v>5.4009999999999998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800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/stypes="app*4013*20180103*" /stext=" 12:.+((SYSTEM_STATE.+slice.+state.+changed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28"/>
        <v>"%USERPROFILE%\Documents\GitHub\eaglep3\Utilities\RefineRTDCRunTimes.py" --tripid 800-03 --locoid 4013 --swversion DE.1.0.9.0 --startMP 300:58640 --initTime 2018-01-03T05:09:20 --startdatetime 2018-01-03T05:11:23 --delay 56 --endMP 204:4630 --enddatetime 2018-01-03T05:23:56 --enforcementcount 0 &gt;&gt;%USERPROFILE%\Documents\GitHub\eaglep3-reporting\EC\2018-01-03-refined-times.txt</v>
      </c>
      <c r="AI16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{"issue":{"subject":"","project_id":79,"tracker_id":40,"status_id":1,"priority_id":2,"assigned_to_id":338,"start_date":"2018-01-03","description":"","custom_fields":[{"id":1,"name":"Subdivision","value":"NW"},{"id":4,"name":"Milepost","value":"0.463"},{"id":17,"name":"Train ID","value":"800-03"},{"id":16,"name":"Locomotive ID","value":"4013"},{"id":130,"name":"Impact","value":""},{"id":150,"name":"Time of Event (Mountain Time)","value":"05:23:56"},{"id":151,"name":"Denver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30"/>
        <v>start /low /b %USERPROFILE%\Documents\GitHub\eaglep3\Utilities\DownloadLogsFromS3.py --loco 4013 --day 2018-01-03</v>
      </c>
      <c r="AN16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32"/>
        <v>https://d0f6bd738d7f1b3e5a7ca70fe4ff75f0.us-east-1.aws.found.io/app/kibana#/discover/Steve-Slow-Train-Analysis-(2080s-and-2083s)?_g=(refreshInterval:(display:Off,pause:!f,section:0,value:0),time:(from:'2018-01-03T04:09:20-0700',mode:absolute,to:'2018-01-03T06:23:56-0700'))&amp;_a=(columns:!('Message%20ID',Summary),filters:!(),index:'emp_*',interval:auto,query:(query_string:(analyze_wildcard:!t,query:'%22rtdc.l.rtdc.4013%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696</v>
      </c>
      <c r="B162" s="225">
        <v>4014</v>
      </c>
      <c r="C162" s="227" t="s">
        <v>192</v>
      </c>
      <c r="D162" s="227" t="s">
        <v>559</v>
      </c>
      <c r="E162" s="226">
        <v>43103.22923611111</v>
      </c>
      <c r="F162" s="226">
        <v>43103.235752314817</v>
      </c>
      <c r="G162" s="225">
        <v>114</v>
      </c>
      <c r="H162" s="227" t="s">
        <v>1049</v>
      </c>
      <c r="I162" s="226">
        <v>43103.244583333333</v>
      </c>
      <c r="J162" s="225">
        <v>0</v>
      </c>
      <c r="K162" s="237" t="str">
        <f>IF(ISEVEN(B162),(B162-1)&amp;"/"&amp;B162,B162&amp;"/"&amp;(B162+1))</f>
        <v>4013/4014</v>
      </c>
      <c r="L162" s="245" t="str">
        <f>VLOOKUP(A162,'Trips&amp;Operators'!$C$1:$G$99911,5,FALSE)</f>
        <v>LAMAR NEKESHA</v>
      </c>
      <c r="M162" s="224">
        <f>I162-F162</f>
        <v>8.8310185165028088E-3</v>
      </c>
      <c r="N162" s="225">
        <f>24*60*SUM($M162:$M162)</f>
        <v>12.716666663764045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-03T04:30:06-0700',mode:absolute,to:'2018-01-03T06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247" t="str">
        <f>IF(AA162&lt;VLOOKUP(AG162,Variables!$AC$3:$AD$8,2,FALSE),"Y","N")</f>
        <v>N</v>
      </c>
      <c r="X162" s="247">
        <f t="shared" si="38"/>
        <v>1</v>
      </c>
      <c r="Y162" s="247">
        <f>RIGHT(D162,LEN(D162)-4)/10000</f>
        <v>4.6199999999999998E-2</v>
      </c>
      <c r="Z162" s="247">
        <f>RIGHT(H162,LEN(H162)-4)/10000</f>
        <v>5.8959999999999999</v>
      </c>
      <c r="AA162" s="247">
        <f>ABS(Z162-Y162)</f>
        <v>5.8498000000000001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801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/stypes="app*4014*20180103*" /stext=" 12:.+((SYSTEM_STATE.+slice.+state.+changed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28"/>
        <v>"%USERPROFILE%\Documents\GitHub\eaglep3\Utilities\RefineRTDCRunTimes.py" --tripid 801-03 --locoid 4014 --swversion DE.1.0.9.0 --startMP 204:462 --initTime 2018-01-03T05:30:06 --startdatetime 2018-01-03T05:39:29 --delay 114 --endMP 300:58960 --enddatetime 2018-01-03T05:52:12 --enforcementcount 0 &gt;&gt;%USERPROFILE%\Documents\GitHub\eaglep3-reporting\EC\2018-01-03-refined-times.txt</v>
      </c>
      <c r="AI16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{"issue":{"subject":"","project_id":79,"tracker_id":40,"status_id":1,"priority_id":2,"assigned_to_id":338,"start_date":"2018-01-03","description":"","custom_fields":[{"id":1,"name":"Subdivision","value":"NW"},{"id":4,"name":"Milepost","value":"5.896"},{"id":17,"name":"Train ID","value":"801-03"},{"id":16,"name":"Locomotive ID","value":"4014"},{"id":130,"name":"Impact","value":""},{"id":150,"name":"Time of Event (Mountain Time)","value":"05:52:12"},{"id":151,"name":"Denver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30"/>
        <v>start /low /b %USERPROFILE%\Documents\GitHub\eaglep3\Utilities\DownloadLogsFromS3.py --loco 4014 --day 2018-01-03</v>
      </c>
      <c r="AN16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32"/>
        <v>https://d0f6bd738d7f1b3e5a7ca70fe4ff75f0.us-east-1.aws.found.io/app/kibana#/discover/Steve-Slow-Train-Analysis-(2080s-and-2083s)?_g=(refreshInterval:(display:Off,pause:!f,section:0,value:0),time:(from:'2018-01-03T04:30:06-0700',mode:absolute,to:'2018-01-03T06:52:12-0700'))&amp;_a=(columns:!('Message%20ID',Summary),filters:!(),index:'emp_*',interval:auto,query:(query_string:(analyze_wildcard:!t,query:'%22rtdc.l.rtdc.4014%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638</v>
      </c>
      <c r="B163" s="225">
        <v>4013</v>
      </c>
      <c r="C163" s="227" t="s">
        <v>192</v>
      </c>
      <c r="D163" s="227" t="s">
        <v>1050</v>
      </c>
      <c r="E163" s="226">
        <v>43103.246331018519</v>
      </c>
      <c r="F163" s="226">
        <v>43103.259074074071</v>
      </c>
      <c r="G163" s="225">
        <v>47</v>
      </c>
      <c r="H163" s="227" t="s">
        <v>482</v>
      </c>
      <c r="I163" s="226">
        <v>43103.267754629633</v>
      </c>
      <c r="J163" s="225">
        <v>0</v>
      </c>
      <c r="K163" s="237" t="str">
        <f>IF(ISEVEN(B163),(B163-1)&amp;"/"&amp;B163,B163&amp;"/"&amp;(B163+1))</f>
        <v>4013/4014</v>
      </c>
      <c r="L163" s="245" t="str">
        <f>VLOOKUP(A163,'Trips&amp;Operators'!$C$1:$G$99911,5,FALSE)</f>
        <v>LAMAR NEKESHA</v>
      </c>
      <c r="M163" s="224">
        <f>I163-F163</f>
        <v>8.6805555620230734E-3</v>
      </c>
      <c r="N163" s="225">
        <f>24*60*SUM($M163:$M163)</f>
        <v>12.500000009313226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-03T04:54:43-0700',mode:absolute,to:'2018-01-03T07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247" t="str">
        <f>IF(AA163&lt;VLOOKUP(AG163,Variables!$AC$3:$AD$8,2,FALSE),"Y","N")</f>
        <v>N</v>
      </c>
      <c r="X163" s="247">
        <f t="shared" si="38"/>
        <v>1</v>
      </c>
      <c r="Y163" s="247">
        <f>RIGHT(D163,LEN(D163)-4)/10000</f>
        <v>5.8648999999999996</v>
      </c>
      <c r="Z163" s="247">
        <f>RIGHT(H163,LEN(H163)-4)/10000</f>
        <v>2.0500000000000001E-2</v>
      </c>
      <c r="AA163" s="247">
        <f>ABS(Z163-Y163)</f>
        <v>5.8443999999999994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802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/stypes="app*4013*20180103*"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28"/>
        <v>"%USERPROFILE%\Documents\GitHub\eaglep3\Utilities\RefineRTDCRunTimes.py" --tripid 802-03 --locoid 4013 --swversion DE.1.0.9.0 --startMP 300:58649 --initTime 2018-01-03T05:54:43 --startdatetime 2018-01-03T06:13:04 --delay 47 --endMP 204:205 --enddatetime 2018-01-03T06:25:34 --enforcementcount 0 &gt;&gt;%USERPROFILE%\Documents\GitHub\eaglep3-reporting\EC\2018-01-03-refined-times.txt</v>
      </c>
      <c r="AI16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{"issue":{"subject":"","project_id":79,"tracker_id":40,"status_id":1,"priority_id":2,"assigned_to_id":338,"start_date":"2018-01-03","description":"","custom_fields":[{"id":1,"name":"Subdivision","value":"NW"},{"id":4,"name":"Milepost","value":"0.0205"},{"id":17,"name":"Train ID","value":"802-03"},{"id":16,"name":"Locomotive ID","value":"4013"},{"id":130,"name":"Impact","value":""},{"id":150,"name":"Time of Event (Mountain Time)","value":"06:25:34"},{"id":151,"name":"Denver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30"/>
        <v>start /low /b %USERPROFILE%\Documents\GitHub\eaglep3\Utilities\DownloadLogsFromS3.py --loco 4013 --day 2018-01-03</v>
      </c>
      <c r="AN163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32"/>
        <v>https://d0f6bd738d7f1b3e5a7ca70fe4ff75f0.us-east-1.aws.found.io/app/kibana#/discover/Steve-Slow-Train-Analysis-(2080s-and-2083s)?_g=(refreshInterval:(display:Off,pause:!f,section:0,value:0),time:(from:'2018-01-03T04:54:43-0700',mode:absolute,to:'2018-01-03T07:25:34-0700'))&amp;_a=(columns:!('Message%20ID',Summary),filters:!(),index:'emp_*',interval:auto,query:(query_string:(analyze_wildcard:!t,query:'%22rtdc.l.rtdc.4013%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705</v>
      </c>
      <c r="B164" s="225">
        <v>4064</v>
      </c>
      <c r="C164" s="227" t="s">
        <v>192</v>
      </c>
      <c r="D164" s="227" t="s">
        <v>559</v>
      </c>
      <c r="E164" s="226">
        <v>43103.249467592592</v>
      </c>
      <c r="F164" s="226">
        <v>43103.25644675926</v>
      </c>
      <c r="G164" s="225">
        <v>68</v>
      </c>
      <c r="H164" s="227" t="s">
        <v>1051</v>
      </c>
      <c r="I164" s="226">
        <v>43103.266122685185</v>
      </c>
      <c r="J164" s="225">
        <v>0</v>
      </c>
      <c r="K164" s="237" t="str">
        <f>IF(ISEVEN(B164),(B164-1)&amp;"/"&amp;B164,B164&amp;"/"&amp;(B164+1))</f>
        <v>4063/4064</v>
      </c>
      <c r="L164" s="245" t="str">
        <f>VLOOKUP(A164,'Trips&amp;Operators'!$C$1:$G$99911,5,FALSE)</f>
        <v>GEBRETEKLE DAGNEW</v>
      </c>
      <c r="M164" s="224">
        <f>I164-F164</f>
        <v>9.6759259249665774E-3</v>
      </c>
      <c r="N164" s="225">
        <f>24*60*SUM($M164:$M164)</f>
        <v>13.933333331951872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-03T04:59:14-0700',mode:absolute,to:'2018-01-03T07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4.6199999999999998E-2</v>
      </c>
      <c r="Z164" s="247">
        <f>RIGHT(H164,LEN(H164)-4)/10000</f>
        <v>5.8973000000000004</v>
      </c>
      <c r="AA164" s="247">
        <f>ABS(Z164-Y164)</f>
        <v>5.8511000000000006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803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/stypes="app*4064*20180103*"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28"/>
        <v>"%USERPROFILE%\Documents\GitHub\eaglep3\Utilities\RefineRTDCRunTimes.py" --tripid 803-03 --locoid 4064 --swversion DE.1.0.9.0 --startMP 204:462 --initTime 2018-01-03T05:59:14 --startdatetime 2018-01-03T06:09:17 --delay 68 --endMP 300:58973 --enddatetime 2018-01-03T06:23:13 --enforcementcount 0 &gt;&gt;%USERPROFILE%\Documents\GitHub\eaglep3-reporting\EC\2018-01-03-refined-times.txt</v>
      </c>
      <c r="AI16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ID","value":"803-03"},{"id":16,"name":"Locomotive ID","value":"4064"},{"id":130,"name":"Impact","value":""},{"id":150,"name":"Time of Event (Mountain Time)","value":"06:23:13"},{"id":151,"name":"Denver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30"/>
        <v>start /low /b %USERPROFILE%\Documents\GitHub\eaglep3\Utilities\DownloadLogsFromS3.py --loco 4064 --day 2018-01-03</v>
      </c>
      <c r="AN164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32"/>
        <v>https://d0f6bd738d7f1b3e5a7ca70fe4ff75f0.us-east-1.aws.found.io/app/kibana#/discover/Steve-Slow-Train-Analysis-(2080s-and-2083s)?_g=(refreshInterval:(display:Off,pause:!f,section:0,value:0),time:(from:'2018-01-03T04:59:14-0700',mode:absolute,to:'2018-01-03T07:23:13-0700'))&amp;_a=(columns:!('Message%20ID',Summary),filters:!(),index:'emp_*',interval:auto,query:(query_string:(analyze_wildcard:!t,query:'%22rtdc.l.rtdc.4064%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708</v>
      </c>
      <c r="B165" s="225">
        <v>4063</v>
      </c>
      <c r="C165" s="227" t="s">
        <v>192</v>
      </c>
      <c r="D165" s="227" t="s">
        <v>1050</v>
      </c>
      <c r="E165" s="226">
        <v>43103.267789351848</v>
      </c>
      <c r="F165" s="226">
        <v>43103.279814814814</v>
      </c>
      <c r="G165" s="225">
        <v>59</v>
      </c>
      <c r="H165" s="227" t="s">
        <v>1052</v>
      </c>
      <c r="I165" s="226">
        <v>43103.288124999999</v>
      </c>
      <c r="J165" s="225">
        <v>0</v>
      </c>
      <c r="K165" s="237" t="str">
        <f>IF(ISEVEN(B165),(B165-1)&amp;"/"&amp;B165,B165&amp;"/"&amp;(B165+1))</f>
        <v>4063/4064</v>
      </c>
      <c r="L165" s="245" t="str">
        <f>VLOOKUP(A165,'Trips&amp;Operators'!$C$1:$G$99911,5,FALSE)</f>
        <v>GEBRETEKLE DAGNEW</v>
      </c>
      <c r="M165" s="224">
        <f>I165-F165</f>
        <v>8.3101851851097308E-3</v>
      </c>
      <c r="N165" s="225">
        <f>24*60*SUM($M165:$M165)</f>
        <v>11.966666666558012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-03T05:25:37-0700',mode:absolute,to:'2018-01-03T07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5.8648999999999996</v>
      </c>
      <c r="Z165" s="247">
        <f>RIGHT(H165,LEN(H165)-4)/10000</f>
        <v>1.5100000000000001E-2</v>
      </c>
      <c r="AA165" s="247">
        <f>ABS(Z165-Y165)</f>
        <v>5.8497999999999992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804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/stypes="app*4063*20180103*" /stext=" 13:.+((SYSTEM_STATE.+slice.+state.+changed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28"/>
        <v>"%USERPROFILE%\Documents\GitHub\eaglep3\Utilities\RefineRTDCRunTimes.py" --tripid 804-03 --locoid 4063 --swversion DE.1.0.9.0 --startMP 300:58649 --initTime 2018-01-03T06:25:37 --startdatetime 2018-01-03T06:42:56 --delay 59 --endMP 204:151 --enddatetime 2018-01-03T06:54:54 --enforcementcount 0 &gt;&gt;%USERPROFILE%\Documents\GitHub\eaglep3-reporting\EC\2018-01-03-refined-times.txt</v>
      </c>
      <c r="AI16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{"issue":{"subject":"","project_id":79,"tracker_id":40,"status_id":1,"priority_id":2,"assigned_to_id":338,"start_date":"2018-01-03","description":"","custom_fields":[{"id":1,"name":"Subdivision","value":"NW"},{"id":4,"name":"Milepost","value":"0.0151"},{"id":17,"name":"Train ID","value":"804-03"},{"id":16,"name":"Locomotive ID","value":"4063"},{"id":130,"name":"Impact","value":""},{"id":150,"name":"Time of Event (Mountain Time)","value":"06:54:54"},{"id":151,"name":"Denver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30"/>
        <v>start /low /b %USERPROFILE%\Documents\GitHub\eaglep3\Utilities\DownloadLogsFromS3.py --loco 4063 --day 2018-01-03</v>
      </c>
      <c r="AN165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32"/>
        <v>https://d0f6bd738d7f1b3e5a7ca70fe4ff75f0.us-east-1.aws.found.io/app/kibana#/discover/Steve-Slow-Train-Analysis-(2080s-and-2083s)?_g=(refreshInterval:(display:Off,pause:!f,section:0,value:0),time:(from:'2018-01-03T05:25:37-0700',mode:absolute,to:'2018-01-03T07:54:54-0700'))&amp;_a=(columns:!('Message%20ID',Summary),filters:!(),index:'emp_*',interval:auto,query:(query_string:(analyze_wildcard:!t,query:'%22rtdc.l.rtdc.4063%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709</v>
      </c>
      <c r="B166" s="225">
        <v>4014</v>
      </c>
      <c r="C166" s="227" t="s">
        <v>192</v>
      </c>
      <c r="D166" s="227" t="s">
        <v>1053</v>
      </c>
      <c r="E166" s="226">
        <v>43103.271956018521</v>
      </c>
      <c r="F166" s="226">
        <v>43103.27784722222</v>
      </c>
      <c r="G166" s="225">
        <v>59</v>
      </c>
      <c r="H166" s="227" t="s">
        <v>1054</v>
      </c>
      <c r="I166" s="226">
        <v>43103.287349537037</v>
      </c>
      <c r="J166" s="225">
        <v>0</v>
      </c>
      <c r="K166" s="237" t="str">
        <f>IF(ISEVEN(B166),(B166-1)&amp;"/"&amp;B166,B166&amp;"/"&amp;(B166+1))</f>
        <v>4013/4014</v>
      </c>
      <c r="L166" s="245" t="str">
        <f>VLOOKUP(A166,'Trips&amp;Operators'!$C$1:$G$99911,5,FALSE)</f>
        <v>LAMAR NEKESHA</v>
      </c>
      <c r="M166" s="224">
        <f>I166-F166</f>
        <v>9.5023148169275373E-3</v>
      </c>
      <c r="N166" s="225">
        <f>24*60*SUM($M166:$M166)</f>
        <v>13.683333336375654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-03T05:31:37-0700',mode:absolute,to:'2018-01-03T07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4.9299999999999997E-2</v>
      </c>
      <c r="Z166" s="247">
        <f>RIGHT(H166,LEN(H166)-4)/10000</f>
        <v>5.8944000000000001</v>
      </c>
      <c r="AA166" s="247">
        <f>ABS(Z166-Y166)</f>
        <v>5.8451000000000004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805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/stypes="app*4014*20180103*" /stext=" 13:.+((SYSTEM_STATE.+slice.+state.+changed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28"/>
        <v>"%USERPROFILE%\Documents\GitHub\eaglep3\Utilities\RefineRTDCRunTimes.py" --tripid 805-03 --locoid 4014 --swversion DE.1.0.9.0 --startMP 204:493 --initTime 2018-01-03T06:31:37 --startdatetime 2018-01-03T06:40:06 --delay 59 --endMP 300:58944 --enddatetime 2018-01-03T06:53:47 --enforcementcount 0 &gt;&gt;%USERPROFILE%\Documents\GitHub\eaglep3-reporting\EC\2018-01-03-refined-times.txt</v>
      </c>
      <c r="AI16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{"issue":{"subject":"","project_id":79,"tracker_id":40,"status_id":1,"priority_id":2,"assigned_to_id":338,"start_date":"2018-01-03","description":"","custom_fields":[{"id":1,"name":"Subdivision","value":"NW"},{"id":4,"name":"Milepost","value":"5.8944"},{"id":17,"name":"Train ID","value":"805-03"},{"id":16,"name":"Locomotive ID","value":"4014"},{"id":130,"name":"Impact","value":""},{"id":150,"name":"Time of Event (Mountain Time)","value":"06:53:47"},{"id":151,"name":"Denver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30"/>
        <v>start /low /b %USERPROFILE%\Documents\GitHub\eaglep3\Utilities\DownloadLogsFromS3.py --loco 4014 --day 2018-01-03</v>
      </c>
      <c r="AN166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32"/>
        <v>https://d0f6bd738d7f1b3e5a7ca70fe4ff75f0.us-east-1.aws.found.io/app/kibana#/discover/Steve-Slow-Train-Analysis-(2080s-and-2083s)?_g=(refreshInterval:(display:Off,pause:!f,section:0,value:0),time:(from:'2018-01-03T05:31:37-0700',mode:absolute,to:'2018-01-03T07:53:47-0700'))&amp;_a=(columns:!('Message%20ID',Summary),filters:!(),index:'emp_*',interval:auto,query:(query_string:(analyze_wildcard:!t,query:'%22rtdc.l.rtdc.4014%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715</v>
      </c>
      <c r="B167" s="225">
        <v>4013</v>
      </c>
      <c r="C167" s="227" t="s">
        <v>192</v>
      </c>
      <c r="D167" s="227" t="s">
        <v>1047</v>
      </c>
      <c r="E167" s="226">
        <v>43103.288402777776</v>
      </c>
      <c r="F167" s="226">
        <v>43103.300752314812</v>
      </c>
      <c r="G167" s="225">
        <v>54</v>
      </c>
      <c r="H167" s="227" t="s">
        <v>1055</v>
      </c>
      <c r="I167" s="226">
        <v>43103.30945601852</v>
      </c>
      <c r="J167" s="225">
        <v>0</v>
      </c>
      <c r="K167" s="237" t="str">
        <f>IF(ISEVEN(B167),(B167-1)&amp;"/"&amp;B167,B167&amp;"/"&amp;(B167+1))</f>
        <v>4013/4014</v>
      </c>
      <c r="L167" s="245" t="str">
        <f>VLOOKUP(A167,'Trips&amp;Operators'!$C$1:$G$99911,5,FALSE)</f>
        <v>LAMAR NEKESHA</v>
      </c>
      <c r="M167" s="224">
        <f>I167-F167</f>
        <v>8.7037037083064206E-3</v>
      </c>
      <c r="N167" s="225">
        <f>24*60*SUM($M167:$M167)</f>
        <v>12.533333339961246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-03T05:55:18-0700',mode:absolute,to:'2018-01-03T08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5.8639999999999999</v>
      </c>
      <c r="Z167" s="247">
        <f>RIGHT(H167,LEN(H167)-4)/10000</f>
        <v>1.7299999999999999E-2</v>
      </c>
      <c r="AA167" s="247">
        <f>ABS(Z167-Y167)</f>
        <v>5.8467000000000002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806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/stypes="app*4013*20180103*"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28"/>
        <v>"%USERPROFILE%\Documents\GitHub\eaglep3\Utilities\RefineRTDCRunTimes.py" --tripid 806-03 --locoid 4013 --swversion DE.1.0.9.0 --startMP 300:58640 --initTime 2018-01-03T06:55:18 --startdatetime 2018-01-03T07:13:05 --delay 54 --endMP 204:173 --enddatetime 2018-01-03T07:25:37 --enforcementcount 0 &gt;&gt;%USERPROFILE%\Documents\GitHub\eaglep3-reporting\EC\2018-01-03-refined-times.txt</v>
      </c>
      <c r="AI16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{"issue":{"subject":"","project_id":79,"tracker_id":40,"status_id":1,"priority_id":2,"assigned_to_id":338,"start_date":"2018-01-03","description":"","custom_fields":[{"id":1,"name":"Subdivision","value":"NW"},{"id":4,"name":"Milepost","value":"0.0173"},{"id":17,"name":"Train ID","value":"806-03"},{"id":16,"name":"Locomotive ID","value":"4013"},{"id":130,"name":"Impact","value":""},{"id":150,"name":"Time of Event (Mountain Time)","value":"07:25:37"},{"id":151,"name":"Denver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30"/>
        <v>start /low /b %USERPROFILE%\Documents\GitHub\eaglep3\Utilities\DownloadLogsFromS3.py --loco 4013 --day 2018-01-03</v>
      </c>
      <c r="AN167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32"/>
        <v>https://d0f6bd738d7f1b3e5a7ca70fe4ff75f0.us-east-1.aws.found.io/app/kibana#/discover/Steve-Slow-Train-Analysis-(2080s-and-2083s)?_g=(refreshInterval:(display:Off,pause:!f,section:0,value:0),time:(from:'2018-01-03T05:55:18-0700',mode:absolute,to:'2018-01-03T08:25:37-0700'))&amp;_a=(columns:!('Message%20ID',Summary),filters:!(),index:'emp_*',interval:auto,query:(query_string:(analyze_wildcard:!t,query:'%22rtdc.l.rtdc.4013%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716</v>
      </c>
      <c r="B168" s="225">
        <v>4064</v>
      </c>
      <c r="C168" s="227" t="s">
        <v>192</v>
      </c>
      <c r="D168" s="227" t="s">
        <v>508</v>
      </c>
      <c r="E168" s="226">
        <v>43103.289861111109</v>
      </c>
      <c r="F168" s="226">
        <v>43103.298113425924</v>
      </c>
      <c r="G168" s="225">
        <v>67</v>
      </c>
      <c r="H168" s="227" t="s">
        <v>1051</v>
      </c>
      <c r="I168" s="226">
        <v>43103.308009259257</v>
      </c>
      <c r="J168" s="225">
        <v>0</v>
      </c>
      <c r="K168" s="237" t="str">
        <f>IF(ISEVEN(B168),(B168-1)&amp;"/"&amp;B168,B168&amp;"/"&amp;(B168+1))</f>
        <v>4063/4064</v>
      </c>
      <c r="L168" s="245" t="str">
        <f>VLOOKUP(A168,'Trips&amp;Operators'!$C$1:$G$99911,5,FALSE)</f>
        <v>GEBRETEKLE DAGNEW</v>
      </c>
      <c r="M168" s="224">
        <f>I168-F168</f>
        <v>9.8958333328482695E-3</v>
      </c>
      <c r="N168" s="225">
        <f>24*60*SUM($M168:$M168)</f>
        <v>14.249999999301508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-03T05:57:24-0700',mode:absolute,to:'2018-01-03T08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4.53E-2</v>
      </c>
      <c r="Z168" s="247">
        <f>RIGHT(H168,LEN(H168)-4)/10000</f>
        <v>5.8973000000000004</v>
      </c>
      <c r="AA168" s="247">
        <f>ABS(Z168-Y168)</f>
        <v>5.8520000000000003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807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/stypes="app*4064*20180103*" /stext=" 14:.+((SYSTEM_STATE.+slice.+state.+changed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28"/>
        <v>"%USERPROFILE%\Documents\GitHub\eaglep3\Utilities\RefineRTDCRunTimes.py" --tripid 807-03 --locoid 4064 --swversion DE.1.0.9.0 --startMP 204:453 --initTime 2018-01-03T06:57:24 --startdatetime 2018-01-03T07:09:17 --delay 67 --endMP 300:58973 --enddatetime 2018-01-03T07:23:32 --enforcementcount 0 &gt;&gt;%USERPROFILE%\Documents\GitHub\eaglep3-reporting\EC\2018-01-03-refined-times.txt</v>
      </c>
      <c r="AI16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ID","value":"807-03"},{"id":16,"name":"Locomotive ID","value":"4064"},{"id":130,"name":"Impact","value":""},{"id":150,"name":"Time of Event (Mountain Time)","value":"07:23:32"},{"id":151,"name":"Denver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30"/>
        <v>start /low /b %USERPROFILE%\Documents\GitHub\eaglep3\Utilities\DownloadLogsFromS3.py --loco 4064 --day 2018-01-03</v>
      </c>
      <c r="AN168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32"/>
        <v>https://d0f6bd738d7f1b3e5a7ca70fe4ff75f0.us-east-1.aws.found.io/app/kibana#/discover/Steve-Slow-Train-Analysis-(2080s-and-2083s)?_g=(refreshInterval:(display:Off,pause:!f,section:0,value:0),time:(from:'2018-01-03T05:57:24-0700',mode:absolute,to:'2018-01-03T08:23:32-0700'))&amp;_a=(columns:!('Message%20ID',Summary),filters:!(),index:'emp_*',interval:auto,query:(query_string:(analyze_wildcard:!t,query:'%22rtdc.l.rtdc.4064%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720</v>
      </c>
      <c r="B169" s="225">
        <v>4063</v>
      </c>
      <c r="C169" s="227" t="s">
        <v>192</v>
      </c>
      <c r="D169" s="227" t="s">
        <v>1056</v>
      </c>
      <c r="E169" s="226">
        <v>43103.30976851852</v>
      </c>
      <c r="F169" s="226">
        <v>43103.321655092594</v>
      </c>
      <c r="G169" s="225">
        <v>53</v>
      </c>
      <c r="H169" s="227" t="s">
        <v>499</v>
      </c>
      <c r="I169" s="226">
        <v>43103.329756944448</v>
      </c>
      <c r="J169" s="225">
        <v>0</v>
      </c>
      <c r="K169" s="237" t="str">
        <f>IF(ISEVEN(B169),(B169-1)&amp;"/"&amp;B169,B169&amp;"/"&amp;(B169+1))</f>
        <v>4063/4064</v>
      </c>
      <c r="L169" s="245" t="str">
        <f>VLOOKUP(A169,'Trips&amp;Operators'!$C$1:$G$99911,5,FALSE)</f>
        <v>GEBRETEKLE DAGNEW</v>
      </c>
      <c r="M169" s="224">
        <f>I169-F169</f>
        <v>8.1018518540076911E-3</v>
      </c>
      <c r="N169" s="225">
        <f>24*60*SUM($M169:$M169)</f>
        <v>11.666666669771075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-03T06:26:04-0700',mode:absolute,to:'2018-01-03T08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5.8653000000000004</v>
      </c>
      <c r="Z169" s="247">
        <f>RIGHT(H169,LEN(H169)-4)/10000</f>
        <v>1.6899999999999998E-2</v>
      </c>
      <c r="AA169" s="247">
        <f>ABS(Z169-Y169)</f>
        <v>5.8484000000000007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808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/stypes="app*4063*20180103*" /stext=" 14:.+((SYSTEM_STATE.+slice.+state.+changed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28"/>
        <v>"%USERPROFILE%\Documents\GitHub\eaglep3\Utilities\RefineRTDCRunTimes.py" --tripid 808-03 --locoid 4063 --swversion DE.1.0.9.0 --startMP 300:58653 --initTime 2018-01-03T07:26:04 --startdatetime 2018-01-03T07:43:11 --delay 53 --endMP 204:169 --enddatetime 2018-01-03T07:54:51 --enforcementcount 0 &gt;&gt;%USERPROFILE%\Documents\GitHub\eaglep3-reporting\EC\2018-01-03-refined-times.txt</v>
      </c>
      <c r="AI16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{"issue":{"subject":"","project_id":79,"tracker_id":40,"status_id":1,"priority_id":2,"assigned_to_id":338,"start_date":"2018-01-03","description":"","custom_fields":[{"id":1,"name":"Subdivision","value":"NW"},{"id":4,"name":"Milepost","value":"0.0169"},{"id":17,"name":"Train ID","value":"808-03"},{"id":16,"name":"Locomotive ID","value":"4063"},{"id":130,"name":"Impact","value":""},{"id":150,"name":"Time of Event (Mountain Time)","value":"07:54:51"},{"id":151,"name":"Denver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30"/>
        <v>start /low /b %USERPROFILE%\Documents\GitHub\eaglep3\Utilities\DownloadLogsFromS3.py --loco 4063 --day 2018-01-03</v>
      </c>
      <c r="AN169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32"/>
        <v>https://d0f6bd738d7f1b3e5a7ca70fe4ff75f0.us-east-1.aws.found.io/app/kibana#/discover/Steve-Slow-Train-Analysis-(2080s-and-2083s)?_g=(refreshInterval:(display:Off,pause:!f,section:0,value:0),time:(from:'2018-01-03T06:26:04-0700',mode:absolute,to:'2018-01-03T08:54:51-0700'))&amp;_a=(columns:!('Message%20ID',Summary),filters:!(),index:'emp_*',interval:auto,query:(query_string:(analyze_wildcard:!t,query:'%22rtdc.l.rtdc.4063%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642</v>
      </c>
      <c r="B170" s="225">
        <v>4014</v>
      </c>
      <c r="C170" s="227" t="s">
        <v>192</v>
      </c>
      <c r="D170" s="227" t="s">
        <v>893</v>
      </c>
      <c r="E170" s="226">
        <v>43103.317604166667</v>
      </c>
      <c r="F170" s="226">
        <v>43103.318935185183</v>
      </c>
      <c r="G170" s="225">
        <v>46</v>
      </c>
      <c r="H170" s="227" t="s">
        <v>1057</v>
      </c>
      <c r="I170" s="226">
        <v>43103.328518518516</v>
      </c>
      <c r="J170" s="225">
        <v>0</v>
      </c>
      <c r="K170" s="237" t="str">
        <f>IF(ISEVEN(B170),(B170-1)&amp;"/"&amp;B170,B170&amp;"/"&amp;(B170+1))</f>
        <v>4013/4014</v>
      </c>
      <c r="L170" s="245" t="str">
        <f>VLOOKUP(A170,'Trips&amp;Operators'!$C$1:$G$99911,5,FALSE)</f>
        <v>LAMAR NEKESHA</v>
      </c>
      <c r="M170" s="224">
        <f>I170-F170</f>
        <v>9.5833333325572312E-3</v>
      </c>
      <c r="N170" s="225">
        <f>24*60*SUM($M170:$M170)</f>
        <v>13.799999998882413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-03T06:37:21-0700',mode:absolute,to:'2018-01-03T08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4.7300000000000002E-2</v>
      </c>
      <c r="Z170" s="247">
        <f>RIGHT(H170,LEN(H170)-4)/10000</f>
        <v>5.8898999999999999</v>
      </c>
      <c r="AA170" s="247">
        <f>ABS(Z170-Y170)</f>
        <v>5.8426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809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/stypes="app*4014*20180103*" /stext=" 14:.+((SYSTEM_STATE.+slice.+state.+changed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28"/>
        <v>"%USERPROFILE%\Documents\GitHub\eaglep3\Utilities\RefineRTDCRunTimes.py" --tripid 809-03 --locoid 4014 --swversion DE.1.0.9.0 --startMP 204:473 --initTime 2018-01-03T07:37:21 --startdatetime 2018-01-03T07:39:16 --delay 46 --endMP 300:58899 --enddatetime 2018-01-03T07:53:04 --enforcementcount 0 &gt;&gt;%USERPROFILE%\Documents\GitHub\eaglep3-reporting\EC\2018-01-03-refined-times.txt</v>
      </c>
      <c r="AI170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{"issue":{"subject":"","project_id":79,"tracker_id":40,"status_id":1,"priority_id":2,"assigned_to_id":338,"start_date":"2018-01-03","description":"","custom_fields":[{"id":1,"name":"Subdivision","value":"NW"},{"id":4,"name":"Milepost","value":"5.8899"},{"id":17,"name":"Train ID","value":"809-03"},{"id":16,"name":"Locomotive ID","value":"4014"},{"id":130,"name":"Impact","value":""},{"id":150,"name":"Time of Event (Mountain Time)","value":"07:53:04"},{"id":151,"name":"Denver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30"/>
        <v>start /low /b %USERPROFILE%\Documents\GitHub\eaglep3\Utilities\DownloadLogsFromS3.py --loco 4014 --day 2018-01-03</v>
      </c>
      <c r="AN170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32"/>
        <v>https://d0f6bd738d7f1b3e5a7ca70fe4ff75f0.us-east-1.aws.found.io/app/kibana#/discover/Steve-Slow-Train-Analysis-(2080s-and-2083s)?_g=(refreshInterval:(display:Off,pause:!f,section:0,value:0),time:(from:'2018-01-03T06:37:21-0700',mode:absolute,to:'2018-01-03T08:53:04-0700'))&amp;_a=(columns:!('Message%20ID',Summary),filters:!(),index:'emp_*',interval:auto,query:(query_string:(analyze_wildcard:!t,query:'%22rtdc.l.rtdc.4014%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725</v>
      </c>
      <c r="B171" s="225">
        <v>4013</v>
      </c>
      <c r="C171" s="227" t="s">
        <v>192</v>
      </c>
      <c r="D171" s="227" t="s">
        <v>1058</v>
      </c>
      <c r="E171" s="226">
        <v>43103.329722222225</v>
      </c>
      <c r="F171" s="226">
        <v>43103.342581018522</v>
      </c>
      <c r="G171" s="225">
        <v>59</v>
      </c>
      <c r="H171" s="227" t="s">
        <v>1059</v>
      </c>
      <c r="I171" s="226">
        <v>43103.349861111114</v>
      </c>
      <c r="J171" s="225">
        <v>0</v>
      </c>
      <c r="K171" s="237" t="str">
        <f>IF(ISEVEN(B171),(B171-1)&amp;"/"&amp;B171,B171&amp;"/"&amp;(B171+1))</f>
        <v>4013/4014</v>
      </c>
      <c r="L171" s="245" t="str">
        <f>VLOOKUP(A171,'Trips&amp;Operators'!$C$1:$G$99911,5,FALSE)</f>
        <v>LAMAR NEKESHA</v>
      </c>
      <c r="M171" s="224">
        <f>I171-F171</f>
        <v>7.2800925918272696E-3</v>
      </c>
      <c r="N171" s="225">
        <f>24*60*SUM($M171:$M171)</f>
        <v>10.483333332231268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-03T06:54:48-0700',mode:absolute,to:'2018-01-03T09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247" t="str">
        <f>IF(AA171&lt;VLOOKUP(AG171,Variables!$AC$3:$AD$8,2,FALSE),"Y","N")</f>
        <v>Y</v>
      </c>
      <c r="X171" s="247">
        <f>VALUE(LEFT(AD171,4))-VALUE(LEFT(AD170,4))</f>
        <v>1</v>
      </c>
      <c r="Y171" s="247">
        <f>RIGHT(D171,LEN(D171)-4)/10000</f>
        <v>5.8586999999999998</v>
      </c>
      <c r="Z171" s="247">
        <f>RIGHT(H171,LEN(H171)-4)/10000</f>
        <v>0.46060000000000001</v>
      </c>
      <c r="AA171" s="247">
        <f>ABS(Z171-Y171)</f>
        <v>5.3980999999999995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810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/stypes="app*4013*20180103*" /stext=" 15:.+((SYSTEM_STATE.+slice.+state.+changed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28"/>
        <v>"%USERPROFILE%\Documents\GitHub\eaglep3\Utilities\RefineRTDCRunTimes.py" --tripid 810-03 --locoid 4013 --swversion DE.1.0.9.0 --startMP 300:58587 --initTime 2018-01-03T07:54:48 --startdatetime 2018-01-03T08:13:19 --delay 59 --endMP 204:4606 --enddatetime 2018-01-03T08:23:48 --enforcementcount 0 &gt;&gt;%USERPROFILE%\Documents\GitHub\eaglep3-reporting\EC\2018-01-03-refined-times.txt</v>
      </c>
      <c r="AI17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{"issue":{"subject":"","project_id":79,"tracker_id":40,"status_id":1,"priority_id":2,"assigned_to_id":338,"start_date":"2018-01-03","description":"","custom_fields":[{"id":1,"name":"Subdivision","value":"NW"},{"id":4,"name":"Milepost","value":"0.4606"},{"id":17,"name":"Train ID","value":"810-03"},{"id":16,"name":"Locomotive ID","value":"4013"},{"id":130,"name":"Impact","value":""},{"id":150,"name":"Time of Event (Mountain Time)","value":"08:23:48"},{"id":151,"name":"Denver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30"/>
        <v>start /low /b %USERPROFILE%\Documents\GitHub\eaglep3\Utilities\DownloadLogsFromS3.py --loco 4013 --day 2018-01-03</v>
      </c>
      <c r="AN17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32"/>
        <v>https://d0f6bd738d7f1b3e5a7ca70fe4ff75f0.us-east-1.aws.found.io/app/kibana#/discover/Steve-Slow-Train-Analysis-(2080s-and-2083s)?_g=(refreshInterval:(display:Off,pause:!f,section:0,value:0),time:(from:'2018-01-03T06:54:48-0700',mode:absolute,to:'2018-01-03T09:23:48-0700'))&amp;_a=(columns:!('Message%20ID',Summary),filters:!(),index:'emp_*',interval:auto,query:(query_string:(analyze_wildcard:!t,query:'%22rtdc.l.rtdc.4013%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726</v>
      </c>
      <c r="B172" s="225">
        <v>4064</v>
      </c>
      <c r="C172" s="227" t="s">
        <v>192</v>
      </c>
      <c r="D172" s="227" t="s">
        <v>1060</v>
      </c>
      <c r="E172" s="226">
        <v>43103.332395833335</v>
      </c>
      <c r="F172" s="226">
        <v>43103.339768518519</v>
      </c>
      <c r="G172" s="225">
        <v>55</v>
      </c>
      <c r="H172" s="227" t="s">
        <v>1061</v>
      </c>
      <c r="I172" s="226">
        <v>43103.349548611113</v>
      </c>
      <c r="J172" s="225">
        <v>0</v>
      </c>
      <c r="K172" s="237" t="str">
        <f>IF(ISEVEN(B172),(B172-1)&amp;"/"&amp;B172,B172&amp;"/"&amp;(B172+1))</f>
        <v>4063/4064</v>
      </c>
      <c r="L172" s="245" t="str">
        <f>VLOOKUP(A172,'Trips&amp;Operators'!$C$1:$G$99911,5,FALSE)</f>
        <v>GEBRETEKLE DAGNEW</v>
      </c>
      <c r="M172" s="224">
        <f>I172-F172</f>
        <v>9.7800925941555761E-3</v>
      </c>
      <c r="N172" s="225">
        <f>24*60*SUM($M172:$M172)</f>
        <v>14.08333333558403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-03T06:58:39-0700',mode:absolute,to:'2018-01-03T09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4.4600000000000001E-2</v>
      </c>
      <c r="Z172" s="247">
        <f>RIGHT(H172,LEN(H172)-4)/10000</f>
        <v>5.8975</v>
      </c>
      <c r="AA172" s="247">
        <f>ABS(Z172-Y172)</f>
        <v>5.8529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811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/stypes="app*4064*20180103*" /stext=" 15:.+((SYSTEM_STATE.+slice.+state.+changed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28"/>
        <v>"%USERPROFILE%\Documents\GitHub\eaglep3\Utilities\RefineRTDCRunTimes.py" --tripid 811-03 --locoid 4064 --swversion DE.1.0.9.0 --startMP 204:446 --initTime 2018-01-03T07:58:39 --startdatetime 2018-01-03T08:09:16 --delay 55 --endMP 300:58975 --enddatetime 2018-01-03T08:23:21 --enforcementcount 0 &gt;&gt;%USERPROFILE%\Documents\GitHub\eaglep3-reporting\EC\2018-01-03-refined-times.txt</v>
      </c>
      <c r="AI17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{"issue":{"subject":"","project_id":79,"tracker_id":40,"status_id":1,"priority_id":2,"assigned_to_id":338,"start_date":"2018-01-03","description":"","custom_fields":[{"id":1,"name":"Subdivision","value":"NW"},{"id":4,"name":"Milepost","value":"5.8975"},{"id":17,"name":"Train ID","value":"811-03"},{"id":16,"name":"Locomotive ID","value":"4064"},{"id":130,"name":"Impact","value":""},{"id":150,"name":"Time of Event (Mountain Time)","value":"08:23:21"},{"id":151,"name":"Denver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30"/>
        <v>start /low /b %USERPROFILE%\Documents\GitHub\eaglep3\Utilities\DownloadLogsFromS3.py --loco 4064 --day 2018-01-03</v>
      </c>
      <c r="AN17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32"/>
        <v>https://d0f6bd738d7f1b3e5a7ca70fe4ff75f0.us-east-1.aws.found.io/app/kibana#/discover/Steve-Slow-Train-Analysis-(2080s-and-2083s)?_g=(refreshInterval:(display:Off,pause:!f,section:0,value:0),time:(from:'2018-01-03T06:58:39-0700',mode:absolute,to:'2018-01-03T09:23:21-0700'))&amp;_a=(columns:!('Message%20ID',Summary),filters:!(),index:'emp_*',interval:auto,query:(query_string:(analyze_wildcard:!t,query:'%22rtdc.l.rtdc.4064%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733</v>
      </c>
      <c r="B173" s="225">
        <v>4063</v>
      </c>
      <c r="C173" s="227" t="s">
        <v>192</v>
      </c>
      <c r="D173" s="227" t="s">
        <v>1062</v>
      </c>
      <c r="E173" s="226">
        <v>43103.351342592592</v>
      </c>
      <c r="F173" s="226">
        <v>43103.362384259257</v>
      </c>
      <c r="G173" s="225">
        <v>55</v>
      </c>
      <c r="H173" s="227" t="s">
        <v>605</v>
      </c>
      <c r="I173" s="226">
        <v>43103.371423611112</v>
      </c>
      <c r="J173" s="225">
        <v>0</v>
      </c>
      <c r="K173" s="237" t="str">
        <f>IF(ISEVEN(B173),(B173-1)&amp;"/"&amp;B173,B173&amp;"/"&amp;(B173+1))</f>
        <v>4063/4064</v>
      </c>
      <c r="L173" s="245" t="str">
        <f>VLOOKUP(A173,'Trips&amp;Operators'!$C$1:$G$99911,5,FALSE)</f>
        <v>GEBRETEKLE DAGNEW</v>
      </c>
      <c r="M173" s="224">
        <f>I173-F173</f>
        <v>9.0393518548808061E-3</v>
      </c>
      <c r="N173" s="225">
        <f>24*60*SUM($M173:$M173)</f>
        <v>13.016666671028361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-03T07:25:56-0700',mode:absolute,to:'2018-01-03T09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5.8659999999999997</v>
      </c>
      <c r="Z173" s="247">
        <f>RIGHT(H173,LEN(H173)-4)/10000</f>
        <v>1.4800000000000001E-2</v>
      </c>
      <c r="AA173" s="247">
        <f>ABS(Z173-Y173)</f>
        <v>5.8511999999999995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812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/stypes="app*4063*20180103*" /stext=" 15:.+((SYSTEM_STATE.+slice.+state.+changed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28"/>
        <v>"%USERPROFILE%\Documents\GitHub\eaglep3\Utilities\RefineRTDCRunTimes.py" --tripid 812-03 --locoid 4063 --swversion DE.1.0.9.0 --startMP 300:58660 --initTime 2018-01-03T08:25:56 --startdatetime 2018-01-03T08:41:50 --delay 55 --endMP 204:148 --enddatetime 2018-01-03T08:54:51 --enforcementcount 0 &gt;&gt;%USERPROFILE%\Documents\GitHub\eaglep3-reporting\EC\2018-01-03-refined-times.txt</v>
      </c>
      <c r="AI17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{"issue":{"subject":"","project_id":79,"tracker_id":40,"status_id":1,"priority_id":2,"assigned_to_id":338,"start_date":"2018-01-03","description":"","custom_fields":[{"id":1,"name":"Subdivision","value":"NW"},{"id":4,"name":"Milepost","value":"0.0148"},{"id":17,"name":"Train ID","value":"812-03"},{"id":16,"name":"Locomotive ID","value":"4063"},{"id":130,"name":"Impact","value":""},{"id":150,"name":"Time of Event (Mountain Time)","value":"08:54:51"},{"id":151,"name":"Denver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30"/>
        <v>start /low /b %USERPROFILE%\Documents\GitHub\eaglep3\Utilities\DownloadLogsFromS3.py --loco 4063 --day 2018-01-03</v>
      </c>
      <c r="AN173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32"/>
        <v>https://d0f6bd738d7f1b3e5a7ca70fe4ff75f0.us-east-1.aws.found.io/app/kibana#/discover/Steve-Slow-Train-Analysis-(2080s-and-2083s)?_g=(refreshInterval:(display:Off,pause:!f,section:0,value:0),time:(from:'2018-01-03T07:25:56-0700',mode:absolute,to:'2018-01-03T09:54:51-0700'))&amp;_a=(columns:!('Message%20ID',Summary),filters:!(),index:'emp_*',interval:auto,query:(query_string:(analyze_wildcard:!t,query:'%22rtdc.l.rtdc.4063%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738</v>
      </c>
      <c r="B174" s="225">
        <v>4064</v>
      </c>
      <c r="C174" s="227" t="s">
        <v>192</v>
      </c>
      <c r="D174" s="227" t="s">
        <v>557</v>
      </c>
      <c r="E174" s="226">
        <v>43103.372766203705</v>
      </c>
      <c r="F174" s="226">
        <v>43103.381435185183</v>
      </c>
      <c r="G174" s="225">
        <v>48</v>
      </c>
      <c r="H174" s="227" t="s">
        <v>1063</v>
      </c>
      <c r="I174" s="226">
        <v>43103.390729166669</v>
      </c>
      <c r="J174" s="225">
        <v>0</v>
      </c>
      <c r="K174" s="237" t="str">
        <f>IF(ISEVEN(B174),(B174-1)&amp;"/"&amp;B174,B174&amp;"/"&amp;(B174+1))</f>
        <v>4063/4064</v>
      </c>
      <c r="L174" s="245" t="str">
        <f>VLOOKUP(A174,'Trips&amp;Operators'!$C$1:$G$99911,5,FALSE)</f>
        <v>GEBRETEKLE DAGNEW</v>
      </c>
      <c r="M174" s="224">
        <f>I174-F174</f>
        <v>9.2939814858254977E-3</v>
      </c>
      <c r="N174" s="225">
        <f>24*60*SUM($M174:$M174)</f>
        <v>13.383333339588717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-03T07:56:47-0700',mode:absolute,to:'2018-01-03T10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4.5100000000000001E-2</v>
      </c>
      <c r="Z174" s="247">
        <f>RIGHT(H174,LEN(H174)-4)/10000</f>
        <v>5.8967000000000001</v>
      </c>
      <c r="AA174" s="247">
        <f>ABS(Z174-Y174)</f>
        <v>5.8516000000000004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813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/stypes="app*4064*20180103*" /stext=" 16:.+((SYSTEM_STATE.+slice.+state.+changed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28"/>
        <v>"%USERPROFILE%\Documents\GitHub\eaglep3\Utilities\RefineRTDCRunTimes.py" --tripid 813-03 --locoid 4064 --swversion DE.1.0.9.0 --startMP 204:451 --initTime 2018-01-03T08:56:47 --startdatetime 2018-01-03T09:09:16 --delay 48 --endMP 300:58967 --enddatetime 2018-01-03T09:22:39 --enforcementcount 0 &gt;&gt;%USERPROFILE%\Documents\GitHub\eaglep3-reporting\EC\2018-01-03-refined-times.txt</v>
      </c>
      <c r="AI17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{"issue":{"subject":"","project_id":79,"tracker_id":40,"status_id":1,"priority_id":2,"assigned_to_id":338,"start_date":"2018-01-03","description":"","custom_fields":[{"id":1,"name":"Subdivision","value":"NW"},{"id":4,"name":"Milepost","value":"5.8967"},{"id":17,"name":"Train ID","value":"813-03"},{"id":16,"name":"Locomotive ID","value":"4064"},{"id":130,"name":"Impact","value":""},{"id":150,"name":"Time of Event (Mountain Time)","value":"09:22:39"},{"id":151,"name":"Denver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30"/>
        <v>start /low /b %USERPROFILE%\Documents\GitHub\eaglep3\Utilities\DownloadLogsFromS3.py --loco 4064 --day 2018-01-03</v>
      </c>
      <c r="AN174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32"/>
        <v>https://d0f6bd738d7f1b3e5a7ca70fe4ff75f0.us-east-1.aws.found.io/app/kibana#/discover/Steve-Slow-Train-Analysis-(2080s-and-2083s)?_g=(refreshInterval:(display:Off,pause:!f,section:0,value:0),time:(from:'2018-01-03T07:56:47-0700',mode:absolute,to:'2018-01-03T10:22:39-0700'))&amp;_a=(columns:!('Message%20ID',Summary),filters:!(),index:'emp_*',interval:auto,query:(query_string:(analyze_wildcard:!t,query:'%22rtdc.l.rtdc.4064%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743</v>
      </c>
      <c r="B175" s="225">
        <v>4063</v>
      </c>
      <c r="C175" s="227" t="s">
        <v>192</v>
      </c>
      <c r="D175" s="227" t="s">
        <v>1064</v>
      </c>
      <c r="E175" s="226">
        <v>43103.392523148148</v>
      </c>
      <c r="F175" s="226">
        <v>43103.404421296298</v>
      </c>
      <c r="G175" s="225">
        <v>54</v>
      </c>
      <c r="H175" s="227" t="s">
        <v>1052</v>
      </c>
      <c r="I175" s="226">
        <v>43103.412951388891</v>
      </c>
      <c r="J175" s="225">
        <v>0</v>
      </c>
      <c r="K175" s="237" t="str">
        <f>IF(ISEVEN(B175),(B175-1)&amp;"/"&amp;B175,B175&amp;"/"&amp;(B175+1))</f>
        <v>4063/4064</v>
      </c>
      <c r="L175" s="245" t="str">
        <f>VLOOKUP(A175,'Trips&amp;Operators'!$C$1:$G$99911,5,FALSE)</f>
        <v>GEBRETEKLE DAGNEW</v>
      </c>
      <c r="M175" s="224">
        <f>I175-F175</f>
        <v>8.5300925929914229E-3</v>
      </c>
      <c r="N175" s="225">
        <f>24*60*SUM($M175:$M175)</f>
        <v>12.283333333907649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-03T08:25:14-0700',mode:absolute,to:'2018-01-03T10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5.8663999999999996</v>
      </c>
      <c r="Z175" s="247">
        <f>RIGHT(H175,LEN(H175)-4)/10000</f>
        <v>1.5100000000000001E-2</v>
      </c>
      <c r="AA175" s="247">
        <f>ABS(Z175-Y175)</f>
        <v>5.8512999999999993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814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/stypes="app*4063*20180103*" /stext=" 16:.+((SYSTEM_STATE.+slice.+state.+changed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28"/>
        <v>"%USERPROFILE%\Documents\GitHub\eaglep3\Utilities\RefineRTDCRunTimes.py" --tripid 814-03 --locoid 4063 --swversion DE.1.0.9.0 --startMP 300:58664 --initTime 2018-01-03T09:25:14 --startdatetime 2018-01-03T09:42:22 --delay 54 --endMP 204:151 --enddatetime 2018-01-03T09:54:39 --enforcementcount 0 &gt;&gt;%USERPROFILE%\Documents\GitHub\eaglep3-reporting\EC\2018-01-03-refined-times.txt</v>
      </c>
      <c r="AI17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{"issue":{"subject":"","project_id":79,"tracker_id":40,"status_id":1,"priority_id":2,"assigned_to_id":338,"start_date":"2018-01-03","description":"","custom_fields":[{"id":1,"name":"Subdivision","value":"NW"},{"id":4,"name":"Milepost","value":"0.0151"},{"id":17,"name":"Train ID","value":"814-03"},{"id":16,"name":"Locomotive ID","value":"4063"},{"id":130,"name":"Impact","value":""},{"id":150,"name":"Time of Event (Mountain Time)","value":"09:54:39"},{"id":151,"name":"Denver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30"/>
        <v>start /low /b %USERPROFILE%\Documents\GitHub\eaglep3\Utilities\DownloadLogsFromS3.py --loco 4063 --day 2018-01-03</v>
      </c>
      <c r="AN175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32"/>
        <v>https://d0f6bd738d7f1b3e5a7ca70fe4ff75f0.us-east-1.aws.found.io/app/kibana#/discover/Steve-Slow-Train-Analysis-(2080s-and-2083s)?_g=(refreshInterval:(display:Off,pause:!f,section:0,value:0),time:(from:'2018-01-03T08:25:14-0700',mode:absolute,to:'2018-01-03T10:54:39-0700'))&amp;_a=(columns:!('Message%20ID',Summary),filters:!(),index:'emp_*',interval:auto,query:(query_string:(analyze_wildcard:!t,query:'%22rtdc.l.rtdc.4063%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750</v>
      </c>
      <c r="B176" s="225">
        <v>4064</v>
      </c>
      <c r="C176" s="227" t="s">
        <v>192</v>
      </c>
      <c r="D176" s="227" t="s">
        <v>508</v>
      </c>
      <c r="E176" s="226">
        <v>43103.414444444446</v>
      </c>
      <c r="F176" s="226">
        <v>43103.423101851855</v>
      </c>
      <c r="G176" s="225">
        <v>52</v>
      </c>
      <c r="H176" s="227" t="s">
        <v>1065</v>
      </c>
      <c r="I176" s="226">
        <v>43103.432384259257</v>
      </c>
      <c r="J176" s="225">
        <v>0</v>
      </c>
      <c r="K176" s="237" t="str">
        <f>IF(ISEVEN(B176),(B176-1)&amp;"/"&amp;B176,B176&amp;"/"&amp;(B176+1))</f>
        <v>4063/4064</v>
      </c>
      <c r="L176" s="245" t="str">
        <f>VLOOKUP(A176,'Trips&amp;Operators'!$C$1:$G$99911,5,FALSE)</f>
        <v>GEBRETEKLE DAGNEW</v>
      </c>
      <c r="M176" s="224">
        <f>I176-F176</f>
        <v>9.2824074017698877E-3</v>
      </c>
      <c r="N176" s="225">
        <f>24*60*SUM($M176:$M176)</f>
        <v>13.366666658548638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-03T08:56:48-0700',mode:absolute,to:'2018-01-03T11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4.53E-2</v>
      </c>
      <c r="Z176" s="247">
        <f>RIGHT(H176,LEN(H176)-4)/10000</f>
        <v>5.8968999999999996</v>
      </c>
      <c r="AA176" s="247">
        <f>ABS(Z176-Y176)</f>
        <v>5.8515999999999995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815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/stypes="app*4064*20180103*" /stext=" 17:.+((SYSTEM_STATE.+slice.+state.+changed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28"/>
        <v>"%USERPROFILE%\Documents\GitHub\eaglep3\Utilities\RefineRTDCRunTimes.py" --tripid 815-03 --locoid 4064 --swversion DE.1.0.9.0 --startMP 204:453 --initTime 2018-01-03T09:56:48 --startdatetime 2018-01-03T10:09:16 --delay 52 --endMP 300:58969 --enddatetime 2018-01-03T10:22:38 --enforcementcount 0 &gt;&gt;%USERPROFILE%\Documents\GitHub\eaglep3-reporting\EC\2018-01-03-refined-times.txt</v>
      </c>
      <c r="AI17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{"issue":{"subject":"","project_id":79,"tracker_id":40,"status_id":1,"priority_id":2,"assigned_to_id":338,"start_date":"2018-01-03","description":"","custom_fields":[{"id":1,"name":"Subdivision","value":"NW"},{"id":4,"name":"Milepost","value":"5.8969"},{"id":17,"name":"Train ID","value":"815-03"},{"id":16,"name":"Locomotive ID","value":"4064"},{"id":130,"name":"Impact","value":""},{"id":150,"name":"Time of Event (Mountain Time)","value":"10:22:38"},{"id":151,"name":"Denver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30"/>
        <v>start /low /b %USERPROFILE%\Documents\GitHub\eaglep3\Utilities\DownloadLogsFromS3.py --loco 4064 --day 2018-01-03</v>
      </c>
      <c r="AN176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32"/>
        <v>https://d0f6bd738d7f1b3e5a7ca70fe4ff75f0.us-east-1.aws.found.io/app/kibana#/discover/Steve-Slow-Train-Analysis-(2080s-and-2083s)?_g=(refreshInterval:(display:Off,pause:!f,section:0,value:0),time:(from:'2018-01-03T08:56:48-0700',mode:absolute,to:'2018-01-03T11:22:38-0700'))&amp;_a=(columns:!('Message%20ID',Summary),filters:!(),index:'emp_*',interval:auto,query:(query_string:(analyze_wildcard:!t,query:'%22rtdc.l.rtdc.4064%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754</v>
      </c>
      <c r="B177" s="225">
        <v>4063</v>
      </c>
      <c r="C177" s="227" t="s">
        <v>192</v>
      </c>
      <c r="D177" s="227" t="s">
        <v>1056</v>
      </c>
      <c r="E177" s="226">
        <v>43103.434247685182</v>
      </c>
      <c r="F177" s="226">
        <v>43103.446400462963</v>
      </c>
      <c r="G177" s="225">
        <v>54</v>
      </c>
      <c r="H177" s="227" t="s">
        <v>1066</v>
      </c>
      <c r="I177" s="226">
        <v>43103.454722222225</v>
      </c>
      <c r="J177" s="225">
        <v>0</v>
      </c>
      <c r="K177" s="237" t="str">
        <f>IF(ISEVEN(B177),(B177-1)&amp;"/"&amp;B177,B177&amp;"/"&amp;(B177+1))</f>
        <v>4063/4064</v>
      </c>
      <c r="L177" s="245" t="str">
        <f>VLOOKUP(A177,'Trips&amp;Operators'!$C$1:$G$99911,5,FALSE)</f>
        <v>GEBRETEKLE DAGNEW</v>
      </c>
      <c r="M177" s="224">
        <f>I177-F177</f>
        <v>8.3217592618893832E-3</v>
      </c>
      <c r="N177" s="225">
        <f>24*60*SUM($M177:$M177)</f>
        <v>11.983333337120712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-03T09:25:19-0700',mode:absolute,to:'2018-01-03T11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5.8653000000000004</v>
      </c>
      <c r="Z177" s="247">
        <f>RIGHT(H177,LEN(H177)-4)/10000</f>
        <v>1.5699999999999999E-2</v>
      </c>
      <c r="AA177" s="247">
        <f>ABS(Z177-Y177)</f>
        <v>5.8496000000000006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816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/stypes="app*4063*20180103*" /stext=" 17:.+((SYSTEM_STATE.+slice.+state.+changed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28"/>
        <v>"%USERPROFILE%\Documents\GitHub\eaglep3\Utilities\RefineRTDCRunTimes.py" --tripid 816-03 --locoid 4063 --swversion DE.1.0.9.0 --startMP 300:58653 --initTime 2018-01-03T10:25:19 --startdatetime 2018-01-03T10:42:49 --delay 54 --endMP 204:157 --enddatetime 2018-01-03T10:54:48 --enforcementcount 0 &gt;&gt;%USERPROFILE%\Documents\GitHub\eaglep3-reporting\EC\2018-01-03-refined-times.txt</v>
      </c>
      <c r="AI17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{"issue":{"subject":"","project_id":79,"tracker_id":40,"status_id":1,"priority_id":2,"assigned_to_id":338,"start_date":"2018-01-03","description":"","custom_fields":[{"id":1,"name":"Subdivision","value":"NW"},{"id":4,"name":"Milepost","value":"0.0157"},{"id":17,"name":"Train ID","value":"816-03"},{"id":16,"name":"Locomotive ID","value":"4063"},{"id":130,"name":"Impact","value":""},{"id":150,"name":"Time of Event (Mountain Time)","value":"10:54:48"},{"id":151,"name":"Denver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30"/>
        <v>start /low /b %USERPROFILE%\Documents\GitHub\eaglep3\Utilities\DownloadLogsFromS3.py --loco 4063 --day 2018-01-03</v>
      </c>
      <c r="AN177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32"/>
        <v>https://d0f6bd738d7f1b3e5a7ca70fe4ff75f0.us-east-1.aws.found.io/app/kibana#/discover/Steve-Slow-Train-Analysis-(2080s-and-2083s)?_g=(refreshInterval:(display:Off,pause:!f,section:0,value:0),time:(from:'2018-01-03T09:25:19-0700',mode:absolute,to:'2018-01-03T11:54:48-0700'))&amp;_a=(columns:!('Message%20ID',Summary),filters:!(),index:'emp_*',interval:auto,query:(query_string:(analyze_wildcard:!t,query:'%22rtdc.l.rtdc.4063%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760</v>
      </c>
      <c r="B178" s="225">
        <v>4064</v>
      </c>
      <c r="C178" s="227" t="s">
        <v>192</v>
      </c>
      <c r="D178" s="227" t="s">
        <v>1067</v>
      </c>
      <c r="E178" s="226">
        <v>43103.456423611111</v>
      </c>
      <c r="F178" s="226">
        <v>43103.464768518519</v>
      </c>
      <c r="G178" s="225">
        <v>50</v>
      </c>
      <c r="H178" s="227" t="s">
        <v>1051</v>
      </c>
      <c r="I178" s="226">
        <v>43103.474189814813</v>
      </c>
      <c r="J178" s="225">
        <v>0</v>
      </c>
      <c r="K178" s="237" t="str">
        <f>IF(ISEVEN(B178),(B178-1)&amp;"/"&amp;B178,B178&amp;"/"&amp;(B178+1))</f>
        <v>4063/4064</v>
      </c>
      <c r="L178" s="245" t="str">
        <f>VLOOKUP(A178,'Trips&amp;Operators'!$C$1:$G$99911,5,FALSE)</f>
        <v>GEBRETEKLE DAGNEW</v>
      </c>
      <c r="M178" s="224">
        <f>I178-F178</f>
        <v>9.4212962940218858E-3</v>
      </c>
      <c r="N178" s="225">
        <f>24*60*SUM($M178:$M178)</f>
        <v>13.566666663391516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-03T09:57:15-0700',mode:absolute,to:'2018-01-03T12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4.2599999999999999E-2</v>
      </c>
      <c r="Z178" s="247">
        <f>RIGHT(H178,LEN(H178)-4)/10000</f>
        <v>5.8973000000000004</v>
      </c>
      <c r="AA178" s="247">
        <f>ABS(Z178-Y178)</f>
        <v>5.8547000000000002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817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/stypes="app*4064*20180103*" /stext=" 18:.+((SYSTEM_STATE.+slice.+state.+changed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28"/>
        <v>"%USERPROFILE%\Documents\GitHub\eaglep3\Utilities\RefineRTDCRunTimes.py" --tripid 817-03 --locoid 4064 --swversion DE.1.0.9.0 --startMP 204:426 --initTime 2018-01-03T10:57:15 --startdatetime 2018-01-03T11:09:16 --delay 50 --endMP 300:58973 --enddatetime 2018-01-03T11:22:50 --enforcementcount 0 &gt;&gt;%USERPROFILE%\Documents\GitHub\eaglep3-reporting\EC\2018-01-03-refined-times.txt</v>
      </c>
      <c r="AI17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ID","value":"817-03"},{"id":16,"name":"Locomotive ID","value":"4064"},{"id":130,"name":"Impact","value":""},{"id":150,"name":"Time of Event (Mountain Time)","value":"11:22:50"},{"id":151,"name":"Denver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30"/>
        <v>start /low /b %USERPROFILE%\Documents\GitHub\eaglep3\Utilities\DownloadLogsFromS3.py --loco 4064 --day 2018-01-03</v>
      </c>
      <c r="AN178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32"/>
        <v>https://d0f6bd738d7f1b3e5a7ca70fe4ff75f0.us-east-1.aws.found.io/app/kibana#/discover/Steve-Slow-Train-Analysis-(2080s-and-2083s)?_g=(refreshInterval:(display:Off,pause:!f,section:0,value:0),time:(from:'2018-01-03T09:57:15-0700',mode:absolute,to:'2018-01-03T12:22:50-0700'))&amp;_a=(columns:!('Message%20ID',Summary),filters:!(),index:'emp_*',interval:auto,query:(query_string:(analyze_wildcard:!t,query:'%22rtdc.l.rtdc.4064%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766</v>
      </c>
      <c r="B179" s="225">
        <v>4063</v>
      </c>
      <c r="C179" s="227" t="s">
        <v>192</v>
      </c>
      <c r="D179" s="227" t="s">
        <v>1068</v>
      </c>
      <c r="E179" s="226">
        <v>43103.475706018522</v>
      </c>
      <c r="F179" s="226">
        <v>43103.487754629627</v>
      </c>
      <c r="G179" s="225">
        <v>68</v>
      </c>
      <c r="H179" s="227" t="s">
        <v>1069</v>
      </c>
      <c r="I179" s="226">
        <v>43103.496238425927</v>
      </c>
      <c r="J179" s="225">
        <v>0</v>
      </c>
      <c r="K179" s="237" t="str">
        <f>IF(ISEVEN(B179),(B179-1)&amp;"/"&amp;B179,B179&amp;"/"&amp;(B179+1))</f>
        <v>4063/4064</v>
      </c>
      <c r="L179" s="245" t="str">
        <f>VLOOKUP(A179,'Trips&amp;Operators'!$C$1:$G$99911,5,FALSE)</f>
        <v>GEBRETEKLE DAGNEW</v>
      </c>
      <c r="M179" s="224">
        <f>I179-F179</f>
        <v>8.4837963004247285E-3</v>
      </c>
      <c r="N179" s="225">
        <f>24*60*SUM($M179:$M179)</f>
        <v>12.216666672611609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-03T10:25:01-0700',mode:absolute,to:'2018-01-03T12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5.8647</v>
      </c>
      <c r="Z179" s="247">
        <f>RIGHT(H179,LEN(H179)-4)/10000</f>
        <v>1.6199999999999999E-2</v>
      </c>
      <c r="AA179" s="247">
        <f>ABS(Z179-Y179)</f>
        <v>5.8484999999999996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818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/stypes="app*4063*20180103*" /stext=" 18:.+((SYSTEM_STATE.+slice.+state.+changed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28"/>
        <v>"%USERPROFILE%\Documents\GitHub\eaglep3\Utilities\RefineRTDCRunTimes.py" --tripid 818-03 --locoid 4063 --swversion DE.1.0.9.0 --startMP 300:58647 --initTime 2018-01-03T11:25:01 --startdatetime 2018-01-03T11:42:22 --delay 68 --endMP 204:162 --enddatetime 2018-01-03T11:54:35 --enforcementcount 0 &gt;&gt;%USERPROFILE%\Documents\GitHub\eaglep3-reporting\EC\2018-01-03-refined-times.txt</v>
      </c>
      <c r="AI17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{"issue":{"subject":"","project_id":79,"tracker_id":40,"status_id":1,"priority_id":2,"assigned_to_id":338,"start_date":"2018-01-03","description":"","custom_fields":[{"id":1,"name":"Subdivision","value":"NW"},{"id":4,"name":"Milepost","value":"0.0162"},{"id":17,"name":"Train ID","value":"818-03"},{"id":16,"name":"Locomotive ID","value":"4063"},{"id":130,"name":"Impact","value":""},{"id":150,"name":"Time of Event (Mountain Time)","value":"11:54:35"},{"id":151,"name":"Denver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30"/>
        <v>start /low /b %USERPROFILE%\Documents\GitHub\eaglep3\Utilities\DownloadLogsFromS3.py --loco 4063 --day 2018-01-03</v>
      </c>
      <c r="AN179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32"/>
        <v>https://d0f6bd738d7f1b3e5a7ca70fe4ff75f0.us-east-1.aws.found.io/app/kibana#/discover/Steve-Slow-Train-Analysis-(2080s-and-2083s)?_g=(refreshInterval:(display:Off,pause:!f,section:0,value:0),time:(from:'2018-01-03T10:25:01-0700',mode:absolute,to:'2018-01-03T12:54:35-0700'))&amp;_a=(columns:!('Message%20ID',Summary),filters:!(),index:'emp_*',interval:auto,query:(query_string:(analyze_wildcard:!t,query:'%22rtdc.l.rtdc.4063%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770</v>
      </c>
      <c r="B180" s="225">
        <v>4064</v>
      </c>
      <c r="C180" s="227" t="s">
        <v>192</v>
      </c>
      <c r="D180" s="227" t="s">
        <v>557</v>
      </c>
      <c r="E180" s="226">
        <v>43103.49796296296</v>
      </c>
      <c r="F180" s="226">
        <v>43103.506631944445</v>
      </c>
      <c r="G180" s="225">
        <v>53</v>
      </c>
      <c r="H180" s="227" t="s">
        <v>1061</v>
      </c>
      <c r="I180" s="226">
        <v>43103.5158912037</v>
      </c>
      <c r="J180" s="225">
        <v>0</v>
      </c>
      <c r="K180" s="237" t="str">
        <f>IF(ISEVEN(B180),(B180-1)&amp;"/"&amp;B180,B180&amp;"/"&amp;(B180+1))</f>
        <v>4063/4064</v>
      </c>
      <c r="L180" s="245" t="str">
        <f>VLOOKUP(A180,'Trips&amp;Operators'!$C$1:$G$99911,5,FALSE)</f>
        <v>GEBRETEKLE DAGNEW</v>
      </c>
      <c r="M180" s="224">
        <f>I180-F180</f>
        <v>9.2592592554865405E-3</v>
      </c>
      <c r="N180" s="225">
        <f>24*60*SUM($M180:$M180)</f>
        <v>13.333333327900618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-03T10:57:04-0700',mode:absolute,to:'2018-01-03T13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4.5100000000000001E-2</v>
      </c>
      <c r="Z180" s="247">
        <f>RIGHT(H180,LEN(H180)-4)/10000</f>
        <v>5.8975</v>
      </c>
      <c r="AA180" s="247">
        <f>ABS(Z180-Y180)</f>
        <v>5.8524000000000003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819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/stypes="app*4064*20180103*" /stext=" 19:.+((SYSTEM_STATE.+slice.+state.+changed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28"/>
        <v>"%USERPROFILE%\Documents\GitHub\eaglep3\Utilities\RefineRTDCRunTimes.py" --tripid 819-03 --locoid 4064 --swversion DE.1.0.9.0 --startMP 204:451 --initTime 2018-01-03T11:57:04 --startdatetime 2018-01-03T12:09:33 --delay 53 --endMP 300:58975 --enddatetime 2018-01-03T12:22:53 --enforcementcount 0 &gt;&gt;%USERPROFILE%\Documents\GitHub\eaglep3-reporting\EC\2018-01-03-refined-times.txt</v>
      </c>
      <c r="AI180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{"issue":{"subject":"","project_id":79,"tracker_id":40,"status_id":1,"priority_id":2,"assigned_to_id":338,"start_date":"2018-01-03","description":"","custom_fields":[{"id":1,"name":"Subdivision","value":"NW"},{"id":4,"name":"Milepost","value":"5.8975"},{"id":17,"name":"Train ID","value":"819-03"},{"id":16,"name":"Locomotive ID","value":"4064"},{"id":130,"name":"Impact","value":""},{"id":150,"name":"Time of Event (Mountain Time)","value":"12:22:53"},{"id":151,"name":"Denver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30"/>
        <v>start /low /b %USERPROFILE%\Documents\GitHub\eaglep3\Utilities\DownloadLogsFromS3.py --loco 4064 --day 2018-01-03</v>
      </c>
      <c r="AN180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32"/>
        <v>https://d0f6bd738d7f1b3e5a7ca70fe4ff75f0.us-east-1.aws.found.io/app/kibana#/discover/Steve-Slow-Train-Analysis-(2080s-and-2083s)?_g=(refreshInterval:(display:Off,pause:!f,section:0,value:0),time:(from:'2018-01-03T10:57:04-0700',mode:absolute,to:'2018-01-03T13:22:53-0700'))&amp;_a=(columns:!('Message%20ID',Summary),filters:!(),index:'emp_*',interval:auto,query:(query_string:(analyze_wildcard:!t,query:'%22rtdc.l.rtdc.4064%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775</v>
      </c>
      <c r="B181" s="225">
        <v>4063</v>
      </c>
      <c r="C181" s="227" t="s">
        <v>192</v>
      </c>
      <c r="D181" s="227" t="s">
        <v>1070</v>
      </c>
      <c r="E181" s="226">
        <v>43103.51761574074</v>
      </c>
      <c r="F181" s="226">
        <v>43103.529675925929</v>
      </c>
      <c r="G181" s="225">
        <v>52</v>
      </c>
      <c r="H181" s="227" t="s">
        <v>1071</v>
      </c>
      <c r="I181" s="226">
        <v>43103.537743055553</v>
      </c>
      <c r="J181" s="225">
        <v>0</v>
      </c>
      <c r="K181" s="237" t="str">
        <f>IF(ISEVEN(B181),(B181-1)&amp;"/"&amp;B181,B181&amp;"/"&amp;(B181+1))</f>
        <v>4063/4064</v>
      </c>
      <c r="L181" s="245" t="str">
        <f>VLOOKUP(A181,'Trips&amp;Operators'!$C$1:$G$99911,5,FALSE)</f>
        <v>GEBRETEKLE DAGNEW</v>
      </c>
      <c r="M181" s="224">
        <f>I181-F181</f>
        <v>8.067129623668734E-3</v>
      </c>
      <c r="N181" s="225">
        <f>24*60*SUM($M181:$M181)</f>
        <v>11.616666658082977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-03T11:25:22-0700',mode:absolute,to:'2018-01-03T13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5.8655999999999997</v>
      </c>
      <c r="Z181" s="247">
        <f>RIGHT(H181,LEN(H181)-4)/10000</f>
        <v>1.8599999999999998E-2</v>
      </c>
      <c r="AA181" s="247">
        <f>ABS(Z181-Y181)</f>
        <v>5.8469999999999995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820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/stypes="app*4063*20180103*" /stext=" 19:.+((SYSTEM_STATE.+slice.+state.+changed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28"/>
        <v>"%USERPROFILE%\Documents\GitHub\eaglep3\Utilities\RefineRTDCRunTimes.py" --tripid 820-03 --locoid 4063 --swversion DE.1.0.9.0 --startMP 300:58656 --initTime 2018-01-03T12:25:22 --startdatetime 2018-01-03T12:42:44 --delay 52 --endMP 204:186 --enddatetime 2018-01-03T12:54:21 --enforcementcount 0 &gt;&gt;%USERPROFILE%\Documents\GitHub\eaglep3-reporting\EC\2018-01-03-refined-times.txt</v>
      </c>
      <c r="AI18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{"issue":{"subject":"","project_id":79,"tracker_id":40,"status_id":1,"priority_id":2,"assigned_to_id":338,"start_date":"2018-01-03","description":"","custom_fields":[{"id":1,"name":"Subdivision","value":"NW"},{"id":4,"name":"Milepost","value":"0.0186"},{"id":17,"name":"Train ID","value":"820-03"},{"id":16,"name":"Locomotive ID","value":"4063"},{"id":130,"name":"Impact","value":""},{"id":150,"name":"Time of Event (Mountain Time)","value":"12:54:21"},{"id":151,"name":"Denver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30"/>
        <v>start /low /b %USERPROFILE%\Documents\GitHub\eaglep3\Utilities\DownloadLogsFromS3.py --loco 4063 --day 2018-01-03</v>
      </c>
      <c r="AN18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32"/>
        <v>https://d0f6bd738d7f1b3e5a7ca70fe4ff75f0.us-east-1.aws.found.io/app/kibana#/discover/Steve-Slow-Train-Analysis-(2080s-and-2083s)?_g=(refreshInterval:(display:Off,pause:!f,section:0,value:0),time:(from:'2018-01-03T11:25:22-0700',mode:absolute,to:'2018-01-03T13:54:21-0700'))&amp;_a=(columns:!('Message%20ID',Summary),filters:!(),index:'emp_*',interval:auto,query:(query_string:(analyze_wildcard:!t,query:'%22rtdc.l.rtdc.4063%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783</v>
      </c>
      <c r="B182" s="225">
        <v>4064</v>
      </c>
      <c r="C182" s="227" t="s">
        <v>192</v>
      </c>
      <c r="D182" s="227" t="s">
        <v>559</v>
      </c>
      <c r="E182" s="226">
        <v>43103.542627314811</v>
      </c>
      <c r="F182" s="226">
        <v>43103.548125000001</v>
      </c>
      <c r="G182" s="225">
        <v>73</v>
      </c>
      <c r="H182" s="227" t="s">
        <v>1051</v>
      </c>
      <c r="I182" s="226">
        <v>43103.557812500003</v>
      </c>
      <c r="J182" s="225">
        <v>0</v>
      </c>
      <c r="K182" s="237" t="str">
        <f>IF(ISEVEN(B182),(B182-1)&amp;"/"&amp;B182,B182&amp;"/"&amp;(B182+1))</f>
        <v>4063/4064</v>
      </c>
      <c r="L182" s="245" t="str">
        <f>VLOOKUP(A182,'Trips&amp;Operators'!$C$1:$G$99911,5,FALSE)</f>
        <v>LEVERE CRAIG</v>
      </c>
      <c r="M182" s="224">
        <f>I182-F182</f>
        <v>9.6875000017462298E-3</v>
      </c>
      <c r="N182" s="225">
        <f>24*60*SUM($M182:$M182)</f>
        <v>13.950000002514571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-03T12:01:23-0700',mode:absolute,to:'2018-01-03T14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4.6199999999999998E-2</v>
      </c>
      <c r="Z182" s="247">
        <f>RIGHT(H182,LEN(H182)-4)/10000</f>
        <v>5.8973000000000004</v>
      </c>
      <c r="AA182" s="247">
        <f>ABS(Z182-Y182)</f>
        <v>5.8511000000000006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821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/stypes="app*4064*20180103*" /stext=" 20:.+((SYSTEM_STATE.+slice.+state.+changed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28"/>
        <v>"%USERPROFILE%\Documents\GitHub\eaglep3\Utilities\RefineRTDCRunTimes.py" --tripid 821-03 --locoid 4064 --swversion DE.1.0.9.0 --startMP 204:462 --initTime 2018-01-03T13:01:23 --startdatetime 2018-01-03T13:09:18 --delay 73 --endMP 300:58973 --enddatetime 2018-01-03T13:23:15 --enforcementcount 0 &gt;&gt;%USERPROFILE%\Documents\GitHub\eaglep3-reporting\EC\2018-01-03-refined-times.txt</v>
      </c>
      <c r="AI18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ID","value":"821-03"},{"id":16,"name":"Locomotive ID","value":"4064"},{"id":130,"name":"Impact","value":""},{"id":150,"name":"Time of Event (Mountain Time)","value":"13:23:15"},{"id":151,"name":"Denver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30"/>
        <v>start /low /b %USERPROFILE%\Documents\GitHub\eaglep3\Utilities\DownloadLogsFromS3.py --loco 4064 --day 2018-01-03</v>
      </c>
      <c r="AN18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32"/>
        <v>https://d0f6bd738d7f1b3e5a7ca70fe4ff75f0.us-east-1.aws.found.io/app/kibana#/discover/Steve-Slow-Train-Analysis-(2080s-and-2083s)?_g=(refreshInterval:(display:Off,pause:!f,section:0,value:0),time:(from:'2018-01-03T12:01:23-0700',mode:absolute,to:'2018-01-03T14:23:15-0700'))&amp;_a=(columns:!('Message%20ID',Summary),filters:!(),index:'emp_*',interval:auto,query:(query_string:(analyze_wildcard:!t,query:'%22rtdc.l.rtdc.4064%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787</v>
      </c>
      <c r="B183" s="225">
        <v>4063</v>
      </c>
      <c r="C183" s="227" t="s">
        <v>192</v>
      </c>
      <c r="D183" s="227" t="s">
        <v>1072</v>
      </c>
      <c r="E183" s="226">
        <v>43103.561111111114</v>
      </c>
      <c r="F183" s="226">
        <v>43103.571585648147</v>
      </c>
      <c r="G183" s="225">
        <v>63</v>
      </c>
      <c r="H183" s="227" t="s">
        <v>490</v>
      </c>
      <c r="I183" s="226">
        <v>43103.579907407409</v>
      </c>
      <c r="J183" s="225">
        <v>0</v>
      </c>
      <c r="K183" s="237" t="str">
        <f>IF(ISEVEN(B183),(B183-1)&amp;"/"&amp;B183,B183&amp;"/"&amp;(B183+1))</f>
        <v>4063/4064</v>
      </c>
      <c r="L183" s="245" t="str">
        <f>VLOOKUP(A183,'Trips&amp;Operators'!$C$1:$G$99911,5,FALSE)</f>
        <v>LEVERE CRAIG</v>
      </c>
      <c r="M183" s="224">
        <f>I183-F183</f>
        <v>8.3217592618893832E-3</v>
      </c>
      <c r="N183" s="225">
        <f>24*60*SUM($M183:$M183)</f>
        <v>11.983333337120712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-03T12:28:00-0700',mode:absolute,to:'2018-01-03T14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5.8651</v>
      </c>
      <c r="Z183" s="247">
        <f>RIGHT(H183,LEN(H183)-4)/10000</f>
        <v>1.5800000000000002E-2</v>
      </c>
      <c r="AA183" s="247">
        <f>ABS(Z183-Y183)</f>
        <v>5.8493000000000004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822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/stypes="app*4063*20180103*" /stext=" 20:.+((SYSTEM_STATE.+slice.+state.+changed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28"/>
        <v>"%USERPROFILE%\Documents\GitHub\eaglep3\Utilities\RefineRTDCRunTimes.py" --tripid 822-03 --locoid 4063 --swversion DE.1.0.9.0 --startMP 300:58651 --initTime 2018-01-03T13:28:00 --startdatetime 2018-01-03T13:43:05 --delay 63 --endMP 204:158 --enddatetime 2018-01-03T13:55:04 --enforcementcount 0 &gt;&gt;%USERPROFILE%\Documents\GitHub\eaglep3-reporting\EC\2018-01-03-refined-times.txt</v>
      </c>
      <c r="AI18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{"issue":{"subject":"","project_id":79,"tracker_id":40,"status_id":1,"priority_id":2,"assigned_to_id":338,"start_date":"2018-01-03","description":"","custom_fields":[{"id":1,"name":"Subdivision","value":"NW"},{"id":4,"name":"Milepost","value":"0.0158"},{"id":17,"name":"Train ID","value":"822-03"},{"id":16,"name":"Locomotive ID","value":"4063"},{"id":130,"name":"Impact","value":""},{"id":150,"name":"Time of Event (Mountain Time)","value":"13:55:04"},{"id":151,"name":"Denver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30"/>
        <v>start /low /b %USERPROFILE%\Documents\GitHub\eaglep3\Utilities\DownloadLogsFromS3.py --loco 4063 --day 2018-01-03</v>
      </c>
      <c r="AN183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32"/>
        <v>https://d0f6bd738d7f1b3e5a7ca70fe4ff75f0.us-east-1.aws.found.io/app/kibana#/discover/Steve-Slow-Train-Analysis-(2080s-and-2083s)?_g=(refreshInterval:(display:Off,pause:!f,section:0,value:0),time:(from:'2018-01-03T12:28:00-0700',mode:absolute,to:'2018-01-03T14:55:04-0700'))&amp;_a=(columns:!('Message%20ID',Summary),filters:!(),index:'emp_*',interval:auto,query:(query_string:(analyze_wildcard:!t,query:'%22rtdc.l.rtdc.4063%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793</v>
      </c>
      <c r="B184" s="225">
        <v>4064</v>
      </c>
      <c r="C184" s="227" t="s">
        <v>192</v>
      </c>
      <c r="D184" s="227" t="s">
        <v>586</v>
      </c>
      <c r="E184" s="226">
        <v>43103.585486111115</v>
      </c>
      <c r="F184" s="226">
        <v>43103.589849537035</v>
      </c>
      <c r="G184" s="225">
        <v>66</v>
      </c>
      <c r="H184" s="227" t="s">
        <v>1073</v>
      </c>
      <c r="I184" s="226">
        <v>43103.600023148145</v>
      </c>
      <c r="J184" s="225">
        <v>0</v>
      </c>
      <c r="K184" s="237" t="str">
        <f>IF(ISEVEN(B184),(B184-1)&amp;"/"&amp;B184,B184&amp;"/"&amp;(B184+1))</f>
        <v>4063/4064</v>
      </c>
      <c r="L184" s="245" t="str">
        <f>VLOOKUP(A184,'Trips&amp;Operators'!$C$1:$G$99911,5,FALSE)</f>
        <v>LEVERE CRAIG</v>
      </c>
      <c r="M184" s="224">
        <f>I184-F184</f>
        <v>1.0173611110076308E-2</v>
      </c>
      <c r="N184" s="225">
        <f>24*60*SUM($M184:$M184)</f>
        <v>14.649999998509884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-03T13:03:06-0700',mode:absolute,to:'2018-01-03T15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4.4400000000000002E-2</v>
      </c>
      <c r="Z184" s="247">
        <f>RIGHT(H184,LEN(H184)-4)/10000</f>
        <v>5.8954000000000004</v>
      </c>
      <c r="AA184" s="247">
        <f>ABS(Z184-Y184)</f>
        <v>5.851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823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/stypes="app*4064*20180103*" /stext=" 21:.+((SYSTEM_STATE.+slice.+state.+changed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28"/>
        <v>"%USERPROFILE%\Documents\GitHub\eaglep3\Utilities\RefineRTDCRunTimes.py" --tripid 823-03 --locoid 4064 --swversion DE.1.0.9.0 --startMP 204:444 --initTime 2018-01-03T14:03:06 --startdatetime 2018-01-03T14:09:23 --delay 66 --endMP 300:58954 --enddatetime 2018-01-03T14:24:02 --enforcementcount 0 &gt;&gt;%USERPROFILE%\Documents\GitHub\eaglep3-reporting\EC\2018-01-03-refined-times.txt</v>
      </c>
      <c r="AI18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{"issue":{"subject":"","project_id":79,"tracker_id":40,"status_id":1,"priority_id":2,"assigned_to_id":338,"start_date":"2018-01-03","description":"","custom_fields":[{"id":1,"name":"Subdivision","value":"NW"},{"id":4,"name":"Milepost","value":"5.8954"},{"id":17,"name":"Train ID","value":"823-03"},{"id":16,"name":"Locomotive ID","value":"4064"},{"id":130,"name":"Impact","value":""},{"id":150,"name":"Time of Event (Mountain Time)","value":"14:24:02"},{"id":151,"name":"Denver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30"/>
        <v>start /low /b %USERPROFILE%\Documents\GitHub\eaglep3\Utilities\DownloadLogsFromS3.py --loco 4064 --day 2018-01-03</v>
      </c>
      <c r="AN184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32"/>
        <v>https://d0f6bd738d7f1b3e5a7ca70fe4ff75f0.us-east-1.aws.found.io/app/kibana#/discover/Steve-Slow-Train-Analysis-(2080s-and-2083s)?_g=(refreshInterval:(display:Off,pause:!f,section:0,value:0),time:(from:'2018-01-03T13:03:06-0700',mode:absolute,to:'2018-01-03T15:24:02-0700'))&amp;_a=(columns:!('Message%20ID',Summary),filters:!(),index:'emp_*',interval:auto,query:(query_string:(analyze_wildcard:!t,query:'%22rtdc.l.rtdc.4064%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656</v>
      </c>
      <c r="B185" s="225">
        <v>4063</v>
      </c>
      <c r="C185" s="227" t="s">
        <v>192</v>
      </c>
      <c r="D185" s="227" t="s">
        <v>1050</v>
      </c>
      <c r="E185" s="226">
        <v>43103.600914351853</v>
      </c>
      <c r="F185" s="226">
        <v>43103.613252314812</v>
      </c>
      <c r="G185" s="225">
        <v>70</v>
      </c>
      <c r="H185" s="227" t="s">
        <v>605</v>
      </c>
      <c r="I185" s="226">
        <v>43103.62159722222</v>
      </c>
      <c r="J185" s="225">
        <v>0</v>
      </c>
      <c r="K185" s="237" t="str">
        <f>IF(ISEVEN(B185),(B185-1)&amp;"/"&amp;B185,B185&amp;"/"&amp;(B185+1))</f>
        <v>4063/4064</v>
      </c>
      <c r="L185" s="245" t="str">
        <f>VLOOKUP(A185,'Trips&amp;Operators'!$C$1:$G$99911,5,FALSE)</f>
        <v>LEVERE CRAIG</v>
      </c>
      <c r="M185" s="224">
        <f>I185-F185</f>
        <v>8.3449074081727304E-3</v>
      </c>
      <c r="N185" s="225">
        <f>24*60*SUM($M185:$M185)</f>
        <v>12.016666667768732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-03T13:25:19-0700',mode:absolute,to:'2018-01-03T15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5.8648999999999996</v>
      </c>
      <c r="Z185" s="247">
        <f>RIGHT(H185,LEN(H185)-4)/10000</f>
        <v>1.4800000000000001E-2</v>
      </c>
      <c r="AA185" s="247">
        <f>ABS(Z185-Y185)</f>
        <v>5.8500999999999994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824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/stypes="app*4063*20180103*" /stext=" 21:.+((SYSTEM_STATE.+slice.+state.+changed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28"/>
        <v>"%USERPROFILE%\Documents\GitHub\eaglep3\Utilities\RefineRTDCRunTimes.py" --tripid 824-03 --locoid 4063 --swversion DE.1.0.9.0 --startMP 300:58649 --initTime 2018-01-03T14:25:19 --startdatetime 2018-01-03T14:43:05 --delay 70 --endMP 204:148 --enddatetime 2018-01-03T14:55:06 --enforcementcount 0 &gt;&gt;%USERPROFILE%\Documents\GitHub\eaglep3-reporting\EC\2018-01-03-refined-times.txt</v>
      </c>
      <c r="AI18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{"issue":{"subject":"","project_id":79,"tracker_id":40,"status_id":1,"priority_id":2,"assigned_to_id":338,"start_date":"2018-01-03","description":"","custom_fields":[{"id":1,"name":"Subdivision","value":"NW"},{"id":4,"name":"Milepost","value":"0.0148"},{"id":17,"name":"Train ID","value":"824-03"},{"id":16,"name":"Locomotive ID","value":"4063"},{"id":130,"name":"Impact","value":""},{"id":150,"name":"Time of Event (Mountain Time)","value":"14:55:06"},{"id":151,"name":"Denver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30"/>
        <v>start /low /b %USERPROFILE%\Documents\GitHub\eaglep3\Utilities\DownloadLogsFromS3.py --loco 4063 --day 2018-01-03</v>
      </c>
      <c r="AN185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32"/>
        <v>https://d0f6bd738d7f1b3e5a7ca70fe4ff75f0.us-east-1.aws.found.io/app/kibana#/discover/Steve-Slow-Train-Analysis-(2080s-and-2083s)?_g=(refreshInterval:(display:Off,pause:!f,section:0,value:0),time:(from:'2018-01-03T13:25:19-0700',mode:absolute,to:'2018-01-03T15:55:06-0700'))&amp;_a=(columns:!('Message%20ID',Summary),filters:!(),index:'emp_*',interval:auto,query:(query_string:(analyze_wildcard:!t,query:'%22rtdc.l.rtdc.4063%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801</v>
      </c>
      <c r="B186" s="225">
        <v>4064</v>
      </c>
      <c r="C186" s="227" t="s">
        <v>192</v>
      </c>
      <c r="D186" s="227" t="s">
        <v>508</v>
      </c>
      <c r="E186" s="226">
        <v>43103.628622685188</v>
      </c>
      <c r="F186" s="226">
        <v>43103.631469907406</v>
      </c>
      <c r="G186" s="225">
        <v>71</v>
      </c>
      <c r="H186" s="227" t="s">
        <v>1074</v>
      </c>
      <c r="I186" s="226">
        <v>43103.641805555555</v>
      </c>
      <c r="J186" s="225">
        <v>0</v>
      </c>
      <c r="K186" s="237" t="str">
        <f>IF(ISEVEN(B186),(B186-1)&amp;"/"&amp;B186,B186&amp;"/"&amp;(B186+1))</f>
        <v>4063/4064</v>
      </c>
      <c r="L186" s="245" t="str">
        <f>VLOOKUP(A186,'Trips&amp;Operators'!$C$1:$G$99911,5,FALSE)</f>
        <v>LEVERE CRAIG</v>
      </c>
      <c r="M186" s="224">
        <f>I186-F186</f>
        <v>1.0335648148611654E-2</v>
      </c>
      <c r="N186" s="225">
        <f>24*60*SUM($M186:$M186)</f>
        <v>14.883333334000781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-03T14:05:13-0700',mode:absolute,to:'2018-01-03T16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4.53E-2</v>
      </c>
      <c r="Z186" s="247">
        <f>RIGHT(H186,LEN(H186)-4)/10000</f>
        <v>5.8952</v>
      </c>
      <c r="AA186" s="247">
        <f>ABS(Z186-Y186)</f>
        <v>5.8498999999999999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825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/stypes="app*4064*20180103*" /stext=" 22:.+((SYSTEM_STATE.+slice.+state.+changed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28"/>
        <v>"%USERPROFILE%\Documents\GitHub\eaglep3\Utilities\RefineRTDCRunTimes.py" --tripid 825-03 --locoid 4064 --swversion DE.1.0.9.0 --startMP 204:453 --initTime 2018-01-03T15:05:13 --startdatetime 2018-01-03T15:09:19 --delay 71 --endMP 300:58952 --enddatetime 2018-01-03T15:24:12 --enforcementcount 0 &gt;&gt;%USERPROFILE%\Documents\GitHub\eaglep3-reporting\EC\2018-01-03-refined-times.txt</v>
      </c>
      <c r="AI18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{"issue":{"subject":"","project_id":79,"tracker_id":40,"status_id":1,"priority_id":2,"assigned_to_id":338,"start_date":"2018-01-03","description":"","custom_fields":[{"id":1,"name":"Subdivision","value":"NW"},{"id":4,"name":"Milepost","value":"5.8952"},{"id":17,"name":"Train ID","value":"825-03"},{"id":16,"name":"Locomotive ID","value":"4064"},{"id":130,"name":"Impact","value":""},{"id":150,"name":"Time of Event (Mountain Time)","value":"15:24:12"},{"id":151,"name":"Denver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30"/>
        <v>start /low /b %USERPROFILE%\Documents\GitHub\eaglep3\Utilities\DownloadLogsFromS3.py --loco 4064 --day 2018-01-03</v>
      </c>
      <c r="AN186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32"/>
        <v>https://d0f6bd738d7f1b3e5a7ca70fe4ff75f0.us-east-1.aws.found.io/app/kibana#/discover/Steve-Slow-Train-Analysis-(2080s-and-2083s)?_g=(refreshInterval:(display:Off,pause:!f,section:0,value:0),time:(from:'2018-01-03T14:05:13-0700',mode:absolute,to:'2018-01-03T16:24:12-0700'))&amp;_a=(columns:!('Message%20ID',Summary),filters:!(),index:'emp_*',interval:auto,query:(query_string:(analyze_wildcard:!t,query:'%22rtdc.l.rtdc.4064%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806</v>
      </c>
      <c r="B187" s="225">
        <v>4063</v>
      </c>
      <c r="C187" s="227" t="s">
        <v>192</v>
      </c>
      <c r="D187" s="227" t="s">
        <v>1075</v>
      </c>
      <c r="E187" s="226">
        <v>43103.643437500003</v>
      </c>
      <c r="F187" s="226">
        <v>43103.654907407406</v>
      </c>
      <c r="G187" s="225">
        <v>68</v>
      </c>
      <c r="H187" s="227" t="s">
        <v>584</v>
      </c>
      <c r="I187" s="226">
        <v>43103.6640162037</v>
      </c>
      <c r="J187" s="225">
        <v>0</v>
      </c>
      <c r="K187" s="237" t="str">
        <f>IF(ISEVEN(B187),(B187-1)&amp;"/"&amp;B187,B187&amp;"/"&amp;(B187+1))</f>
        <v>4063/4064</v>
      </c>
      <c r="L187" s="245" t="str">
        <f>VLOOKUP(A187,'Trips&amp;Operators'!$C$1:$G$99911,5,FALSE)</f>
        <v>LEVERE CRAIG</v>
      </c>
      <c r="M187" s="224">
        <f>I187-F187</f>
        <v>9.1087962937308475E-3</v>
      </c>
      <c r="N187" s="225">
        <f>24*60*SUM($M187:$M187)</f>
        <v>13.11666666297242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-03T14:26:33-0700',mode:absolute,to:'2018-01-03T16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5.8640999999999996</v>
      </c>
      <c r="Z187" s="247">
        <f>RIGHT(H187,LEN(H187)-4)/10000</f>
        <v>1.38E-2</v>
      </c>
      <c r="AA187" s="247">
        <f>ABS(Z187-Y187)</f>
        <v>5.8502999999999998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826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/stypes="app*4063*20180103*" /stext=" 22:.+((SYSTEM_STATE.+slice.+state.+changed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28"/>
        <v>"%USERPROFILE%\Documents\GitHub\eaglep3\Utilities\RefineRTDCRunTimes.py" --tripid 826-03 --locoid 4063 --swversion DE.1.0.9.0 --startMP 300:58641 --initTime 2018-01-03T15:26:33 --startdatetime 2018-01-03T15:43:04 --delay 68 --endMP 204:138 --enddatetime 2018-01-03T15:56:11 --enforcementcount 0 &gt;&gt;%USERPROFILE%\Documents\GitHub\eaglep3-reporting\EC\2018-01-03-refined-times.txt</v>
      </c>
      <c r="AI18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{"issue":{"subject":"","project_id":79,"tracker_id":40,"status_id":1,"priority_id":2,"assigned_to_id":338,"start_date":"2018-01-03","description":"","custom_fields":[{"id":1,"name":"Subdivision","value":"NW"},{"id":4,"name":"Milepost","value":"0.0138"},{"id":17,"name":"Train ID","value":"826-03"},{"id":16,"name":"Locomotive ID","value":"4063"},{"id":130,"name":"Impact","value":""},{"id":150,"name":"Time of Event (Mountain Time)","value":"15:56:11"},{"id":151,"name":"Denver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30"/>
        <v>start /low /b %USERPROFILE%\Documents\GitHub\eaglep3\Utilities\DownloadLogsFromS3.py --loco 4063 --day 2018-01-03</v>
      </c>
      <c r="AN187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32"/>
        <v>https://d0f6bd738d7f1b3e5a7ca70fe4ff75f0.us-east-1.aws.found.io/app/kibana#/discover/Steve-Slow-Train-Analysis-(2080s-and-2083s)?_g=(refreshInterval:(display:Off,pause:!f,section:0,value:0),time:(from:'2018-01-03T14:26:33-0700',mode:absolute,to:'2018-01-03T16:56:11-0700'))&amp;_a=(columns:!('Message%20ID',Summary),filters:!(),index:'emp_*',interval:auto,query:(query_string:(analyze_wildcard:!t,query:'%22rtdc.l.rtdc.4063%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808</v>
      </c>
      <c r="B188" s="225">
        <v>4014</v>
      </c>
      <c r="C188" s="227" t="s">
        <v>192</v>
      </c>
      <c r="D188" s="227" t="s">
        <v>944</v>
      </c>
      <c r="E188" s="226">
        <v>43103.649317129632</v>
      </c>
      <c r="F188" s="226">
        <v>43103.652395833335</v>
      </c>
      <c r="G188" s="225">
        <v>68</v>
      </c>
      <c r="H188" s="227" t="s">
        <v>1076</v>
      </c>
      <c r="I188" s="226">
        <v>43103.662256944444</v>
      </c>
      <c r="J188" s="225">
        <v>0</v>
      </c>
      <c r="K188" s="237" t="str">
        <f>IF(ISEVEN(B188),(B188-1)&amp;"/"&amp;B188,B188&amp;"/"&amp;(B188+1))</f>
        <v>4013/4014</v>
      </c>
      <c r="L188" s="245" t="str">
        <f>VLOOKUP(A188,'Trips&amp;Operators'!$C$1:$G$99911,5,FALSE)</f>
        <v>STAMBAUGH JAMES</v>
      </c>
      <c r="M188" s="224">
        <f>I188-F188</f>
        <v>9.8611111097852699E-3</v>
      </c>
      <c r="N188" s="225">
        <f>24*60*SUM($M188:$M188)</f>
        <v>14.199999998090789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-03T14:35:01-0700',mode:absolute,to:'2018-01-03T16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4.3700000000000003E-2</v>
      </c>
      <c r="Z188" s="247">
        <f>RIGHT(H188,LEN(H188)-4)/10000</f>
        <v>5.9002999999999997</v>
      </c>
      <c r="AA188" s="247">
        <f>ABS(Z188-Y188)</f>
        <v>5.8565999999999994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827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/stypes="app*4014*20180103*" /stext=" 22:.+((SYSTEM_STATE.+slice.+state.+changed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28"/>
        <v>"%USERPROFILE%\Documents\GitHub\eaglep3\Utilities\RefineRTDCRunTimes.py" --tripid 827-03 --locoid 4014 --swversion DE.1.0.9.0 --startMP 204:437 --initTime 2018-01-03T15:35:01 --startdatetime 2018-01-03T15:39:27 --delay 68 --endMP 300:59003 --enddatetime 2018-01-03T15:53:39 --enforcementcount 0 &gt;&gt;%USERPROFILE%\Documents\GitHub\eaglep3-reporting\EC\2018-01-03-refined-times.txt</v>
      </c>
      <c r="AI18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{"issue":{"subject":"","project_id":79,"tracker_id":40,"status_id":1,"priority_id":2,"assigned_to_id":338,"start_date":"2018-01-03","description":"","custom_fields":[{"id":1,"name":"Subdivision","value":"NW"},{"id":4,"name":"Milepost","value":"5.9003"},{"id":17,"name":"Train ID","value":"827-03"},{"id":16,"name":"Locomotive ID","value":"4014"},{"id":130,"name":"Impact","value":""},{"id":150,"name":"Time of Event (Mountain Time)","value":"15:53:39"},{"id":151,"name":"Denver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30"/>
        <v>start /low /b %USERPROFILE%\Documents\GitHub\eaglep3\Utilities\DownloadLogsFromS3.py --loco 4014 --day 2018-01-03</v>
      </c>
      <c r="AN188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32"/>
        <v>https://d0f6bd738d7f1b3e5a7ca70fe4ff75f0.us-east-1.aws.found.io/app/kibana#/discover/Steve-Slow-Train-Analysis-(2080s-and-2083s)?_g=(refreshInterval:(display:Off,pause:!f,section:0,value:0),time:(from:'2018-01-03T14:35:01-0700',mode:absolute,to:'2018-01-03T16:53:39-0700'))&amp;_a=(columns:!('Message%20ID',Summary),filters:!(),index:'emp_*',interval:auto,query:(query_string:(analyze_wildcard:!t,query:'%22rtdc.l.rtdc.4014%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811</v>
      </c>
      <c r="B189" s="225">
        <v>4013</v>
      </c>
      <c r="C189" s="227" t="s">
        <v>192</v>
      </c>
      <c r="D189" s="227" t="s">
        <v>1077</v>
      </c>
      <c r="E189" s="226">
        <v>43103.663865740738</v>
      </c>
      <c r="F189" s="226">
        <v>43103.675798611112</v>
      </c>
      <c r="G189" s="225">
        <v>56</v>
      </c>
      <c r="H189" s="227" t="s">
        <v>490</v>
      </c>
      <c r="I189" s="226">
        <v>43103.684560185182</v>
      </c>
      <c r="J189" s="225">
        <v>0</v>
      </c>
      <c r="K189" s="237" t="str">
        <f>IF(ISEVEN(B189),(B189-1)&amp;"/"&amp;B189,B189&amp;"/"&amp;(B189+1))</f>
        <v>4013/4014</v>
      </c>
      <c r="L189" s="245" t="str">
        <f>VLOOKUP(A189,'Trips&amp;Operators'!$C$1:$G$99911,5,FALSE)</f>
        <v>STAMBAUGH JAMES</v>
      </c>
      <c r="M189" s="224">
        <f>I189-F189</f>
        <v>8.7615740703768097E-3</v>
      </c>
      <c r="N189" s="225">
        <f>24*60*SUM($M189:$M189)</f>
        <v>12.616666661342606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-03T14:55:58-0700',mode:absolute,to:'2018-01-03T17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5.8692000000000002</v>
      </c>
      <c r="Z189" s="247">
        <f>RIGHT(H189,LEN(H189)-4)/10000</f>
        <v>1.5800000000000002E-2</v>
      </c>
      <c r="AA189" s="247">
        <f>ABS(Z189-Y189)</f>
        <v>5.8534000000000006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828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/stypes="app*4013*20180103*" /stext=" 23:.+((SYSTEM_STATE.+slice.+state.+changed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28"/>
        <v>"%USERPROFILE%\Documents\GitHub\eaglep3\Utilities\RefineRTDCRunTimes.py" --tripid 828-03 --locoid 4013 --swversion DE.1.0.9.0 --startMP 300:58692 --initTime 2018-01-03T15:55:58 --startdatetime 2018-01-03T16:13:09 --delay 56 --endMP 204:158 --enddatetime 2018-01-03T16:25:46 --enforcementcount 0 &gt;&gt;%USERPROFILE%\Documents\GitHub\eaglep3-reporting\EC\2018-01-03-refined-times.txt</v>
      </c>
      <c r="AI18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{"issue":{"subject":"","project_id":79,"tracker_id":40,"status_id":1,"priority_id":2,"assigned_to_id":338,"start_date":"2018-01-03","description":"","custom_fields":[{"id":1,"name":"Subdivision","value":"NW"},{"id":4,"name":"Milepost","value":"0.0158"},{"id":17,"name":"Train ID","value":"828-03"},{"id":16,"name":"Locomotive ID","value":"4013"},{"id":130,"name":"Impact","value":""},{"id":150,"name":"Time of Event (Mountain Time)","value":"16:25:46"},{"id":151,"name":"Denver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30"/>
        <v>start /low /b %USERPROFILE%\Documents\GitHub\eaglep3\Utilities\DownloadLogsFromS3.py --loco 4013 --day 2018-01-03</v>
      </c>
      <c r="AN189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32"/>
        <v>https://d0f6bd738d7f1b3e5a7ca70fe4ff75f0.us-east-1.aws.found.io/app/kibana#/discover/Steve-Slow-Train-Analysis-(2080s-and-2083s)?_g=(refreshInterval:(display:Off,pause:!f,section:0,value:0),time:(from:'2018-01-03T14:55:58-0700',mode:absolute,to:'2018-01-03T17:25:46-0700'))&amp;_a=(columns:!('Message%20ID',Summary),filters:!(),index:'emp_*',interval:auto,query:(query_string:(analyze_wildcard:!t,query:'%22rtdc.l.rtdc.4013%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813</v>
      </c>
      <c r="B190" s="225">
        <v>4064</v>
      </c>
      <c r="C190" s="227" t="s">
        <v>192</v>
      </c>
      <c r="D190" s="227" t="s">
        <v>557</v>
      </c>
      <c r="E190" s="226">
        <v>43103.670520833337</v>
      </c>
      <c r="F190" s="226">
        <v>43103.714756944442</v>
      </c>
      <c r="G190" s="225">
        <v>64</v>
      </c>
      <c r="H190" s="227" t="s">
        <v>557</v>
      </c>
      <c r="I190" s="226">
        <v>43103.725428240738</v>
      </c>
      <c r="J190" s="225">
        <v>0</v>
      </c>
      <c r="K190" s="237" t="str">
        <f>IF(ISEVEN(B190),(B190-1)&amp;"/"&amp;B190,B190&amp;"/"&amp;(B190+1))</f>
        <v>4063/4064</v>
      </c>
      <c r="L190" s="245" t="str">
        <f>VLOOKUP(A190,'Trips&amp;Operators'!$C$1:$G$99911,5,FALSE)</f>
        <v>LEVERE CRAIG</v>
      </c>
      <c r="M190" s="224">
        <f>I190-F190</f>
        <v>1.0671296295186039E-2</v>
      </c>
      <c r="N190" s="225"/>
      <c r="O190" s="225"/>
      <c r="P190" s="225">
        <f>24*60*SUM($M190:$M190)</f>
        <v>15.366666665067896</v>
      </c>
      <c r="Q190" s="228"/>
      <c r="R190" s="242" t="s">
        <v>1121</v>
      </c>
      <c r="S190" s="249">
        <f>1/IF(AG190="EC",12,1)*SUM(U190:U190)</f>
        <v>0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-03T15:05:33-0700',mode:absolute,to:'2018-01-03T18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247" t="str">
        <f>IF(AA190&lt;VLOOKUP(AG190,Variables!$AC$3:$AD$8,2,FALSE),"Y","N")</f>
        <v>Y</v>
      </c>
      <c r="X190" s="247">
        <f>VALUE(LEFT(AD190,4))-VALUE(LEFT(AD189,4))</f>
        <v>1</v>
      </c>
      <c r="Y190" s="247">
        <f>RIGHT(D190,LEN(D190)-4)/10000</f>
        <v>4.5100000000000001E-2</v>
      </c>
      <c r="Z190" s="247">
        <f>RIGHT(H190,LEN(H190)-4)/10000</f>
        <v>4.5100000000000001E-2</v>
      </c>
      <c r="AA190" s="247">
        <f>ABS(Z190-Y190)</f>
        <v>0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829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/stypes="app*4064*20180104*" /stext=" 00:.+((SYSTEM_STATE.+slice.+state.+changed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28"/>
        <v>"%USERPROFILE%\Documents\GitHub\eaglep3\Utilities\RefineRTDCRunTimes.py" --tripid 829-03 --locoid 4064 --swversion DE.1.0.9.0 --startMP 204:451 --initTime 2018-01-03T16:05:33 --startdatetime 2018-01-03T17:09:15 --delay 64 --endMP 204:451 --enddatetime 2018-01-03T17:24:37 --enforcementcount 0 &gt;&gt;%USERPROFILE%\Documents\GitHub\eaglep3-reporting\EC\2018-01-03-refined-times.txt</v>
      </c>
      <c r="AI190" s="238" t="str">
        <f t="shared" si="29"/>
        <v>echo {"issue":{"subject":"Onboard en route failure during init at DUS","project_id":79,"tracker_id":40,"status_id":1,"priority_id":2,"assigned_to_id":338,"start_date":"2018-01-03","description":"","custom_fields":[{"id":1,"name":"Subdivision","value":"NW"},{"id":4,"name":"Milepost","value":"0.0451"},{"id":17,"name":"Train ID","value":"829-03"},{"id":16,"name":"Locomotive ID","value":"4064"},{"id":130,"name":"Impact","value":""},{"id":150,"name":"Time of Event (Mountain Time)","value":"17:24:37"},{"id":151,"name":"Denver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30"/>
        <v>start /low /b %USERPROFILE%\Documents\GitHub\eaglep3\Utilities\DownloadLogsFromS3.py --loco 4064 --day 2018-01-03</v>
      </c>
      <c r="AN190" s="241" t="str">
        <f t="shared" si="31"/>
        <v>echo {"issue":{"subject":"Onboard en route failure during init at DUS","project_id":30,"tracker_id":4,"status_id":1,"priority_id":1,"assigned_to_id":10,"start_date":"2018-01-04","description":"","custom_fields":[{"id":30,"name":"Category","value":"Issue"},{"id":3,"name":"Functional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32"/>
        <v>https://d0f6bd738d7f1b3e5a7ca70fe4ff75f0.us-east-1.aws.found.io/app/kibana#/discover/Steve-Slow-Train-Analysis-(2080s-and-2083s)?_g=(refreshInterval:(display:Off,pause:!f,section:0,value:0),time:(from:'2018-01-03T15:05:33-0700',mode:absolute,to:'2018-01-03T18:24:37-0700'))&amp;_a=(columns:!('Message%20ID',Summary),filters:!(),index:'emp_*',interval:auto,query:(query_string:(analyze_wildcard:!t,query:'%22rtdc.l.rtdc.4064%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658</v>
      </c>
      <c r="B191" s="225">
        <v>4063</v>
      </c>
      <c r="C191" s="227" t="s">
        <v>192</v>
      </c>
      <c r="D191" s="227" t="s">
        <v>1078</v>
      </c>
      <c r="E191" s="226">
        <v>43103.693738425929</v>
      </c>
      <c r="F191" s="226">
        <v>43103.696655092594</v>
      </c>
      <c r="G191" s="225">
        <v>76</v>
      </c>
      <c r="H191" s="227" t="s">
        <v>1079</v>
      </c>
      <c r="I191" s="226">
        <v>43103.704097222224</v>
      </c>
      <c r="J191" s="225">
        <v>0</v>
      </c>
      <c r="K191" s="237" t="str">
        <f>IF(ISEVEN(B191),(B191-1)&amp;"/"&amp;B191,B191&amp;"/"&amp;(B191+1))</f>
        <v>4063/4064</v>
      </c>
      <c r="L191" s="245" t="str">
        <f>VLOOKUP(A191,'Trips&amp;Operators'!$C$1:$G$99911,5,FALSE)</f>
        <v>LEVERE CRAIG</v>
      </c>
      <c r="M191" s="224">
        <f>I191-F191</f>
        <v>7.442129630362615E-3</v>
      </c>
      <c r="N191" s="225">
        <f>24*60*SUM($M191:$M191)</f>
        <v>10.716666667722166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-03T15:38:59-0700',mode:absolute,to:'2018-01-03T17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247" t="str">
        <f>IF(AA191&lt;VLOOKUP(AG191,Variables!$AC$3:$AD$8,2,FALSE),"Y","N")</f>
        <v>Y</v>
      </c>
      <c r="X191" s="247">
        <f>VALUE(LEFT(AD191,4))-VALUE(LEFT(AD190,4))</f>
        <v>1</v>
      </c>
      <c r="Y191" s="247">
        <f>RIGHT(D191,LEN(D191)-4)/10000</f>
        <v>5.8643000000000001</v>
      </c>
      <c r="Z191" s="247">
        <f>RIGHT(H191,LEN(H191)-4)/10000</f>
        <v>0.45800000000000002</v>
      </c>
      <c r="AA191" s="247">
        <f>ABS(Z191-Y191)</f>
        <v>5.4062999999999999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830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/stypes="app*4063*20180103*" /stext=" 23:.+((SYSTEM_STATE.+slice.+state.+changed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28"/>
        <v>"%USERPROFILE%\Documents\GitHub\eaglep3\Utilities\RefineRTDCRunTimes.py" --tripid 830-03 --locoid 4063 --swversion DE.1.0.9.0 --startMP 300:58643 --initTime 2018-01-03T16:38:59 --startdatetime 2018-01-03T16:43:11 --delay 76 --endMP 204:4580 --enddatetime 2018-01-03T16:53:54 --enforcementcount 0 &gt;&gt;%USERPROFILE%\Documents\GitHub\eaglep3-reporting\EC\2018-01-03-refined-times.txt</v>
      </c>
      <c r="AI19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{"issue":{"subject":"","project_id":79,"tracker_id":40,"status_id":1,"priority_id":2,"assigned_to_id":338,"start_date":"2018-01-03","description":"","custom_fields":[{"id":1,"name":"Subdivision","value":"NW"},{"id":4,"name":"Milepost","value":"0.458"},{"id":17,"name":"Train ID","value":"830-03"},{"id":16,"name":"Locomotive ID","value":"4063"},{"id":130,"name":"Impact","value":""},{"id":150,"name":"Time of Event (Mountain Time)","value":"16:53:54"},{"id":151,"name":"Denver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30"/>
        <v>start /low /b %USERPROFILE%\Documents\GitHub\eaglep3\Utilities\DownloadLogsFromS3.py --loco 4063 --day 2018-01-03</v>
      </c>
      <c r="AN19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32"/>
        <v>https://d0f6bd738d7f1b3e5a7ca70fe4ff75f0.us-east-1.aws.found.io/app/kibana#/discover/Steve-Slow-Train-Analysis-(2080s-and-2083s)?_g=(refreshInterval:(display:Off,pause:!f,section:0,value:0),time:(from:'2018-01-03T15:38:59-0700',mode:absolute,to:'2018-01-03T17:53:54-0700'))&amp;_a=(columns:!('Message%20ID',Summary),filters:!(),index:'emp_*',interval:auto,query:(query_string:(analyze_wildcard:!t,query:'%22rtdc.l.rtdc.4063%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817</v>
      </c>
      <c r="B192" s="225">
        <v>4014</v>
      </c>
      <c r="C192" s="227" t="s">
        <v>192</v>
      </c>
      <c r="D192" s="227" t="s">
        <v>1080</v>
      </c>
      <c r="E192" s="226">
        <v>43103.685798611114</v>
      </c>
      <c r="F192" s="226">
        <v>43103.694155092591</v>
      </c>
      <c r="G192" s="225">
        <v>57</v>
      </c>
      <c r="H192" s="227" t="s">
        <v>604</v>
      </c>
      <c r="I192" s="226">
        <v>43103.703761574077</v>
      </c>
      <c r="J192" s="225">
        <v>0</v>
      </c>
      <c r="K192" s="237" t="str">
        <f>IF(ISEVEN(B192),(B192-1)&amp;"/"&amp;B192,B192&amp;"/"&amp;(B192+1))</f>
        <v>4013/4014</v>
      </c>
      <c r="L192" s="245" t="str">
        <f>VLOOKUP(A192,'Trips&amp;Operators'!$C$1:$G$99911,5,FALSE)</f>
        <v>STAMBAUGH JAMES</v>
      </c>
      <c r="M192" s="224">
        <f>I192-F192</f>
        <v>9.606481486116536E-3</v>
      </c>
      <c r="N192" s="225">
        <f>24*60*SUM($M192:$M192)</f>
        <v>13.833333340007812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-03T15:27:33-0700',mode:absolute,to:'2018-01-03T17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4.7E-2</v>
      </c>
      <c r="Z192" s="247">
        <f>RIGHT(H192,LEN(H192)-4)/10000</f>
        <v>5.8930999999999996</v>
      </c>
      <c r="AA192" s="247">
        <f>ABS(Z192-Y192)</f>
        <v>5.8460999999999999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831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/stypes="app*4014*20180103*" /stext=" 23:.+((SYSTEM_STATE.+slice.+state.+changed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28"/>
        <v>"%USERPROFILE%\Documents\GitHub\eaglep3\Utilities\RefineRTDCRunTimes.py" --tripid 831-03 --locoid 4014 --swversion DE.1.0.9.0 --startMP 204:470 --initTime 2018-01-03T16:27:33 --startdatetime 2018-01-03T16:39:35 --delay 57 --endMP 300:58931 --enddatetime 2018-01-03T16:53:25 --enforcementcount 0 &gt;&gt;%USERPROFILE%\Documents\GitHub\eaglep3-reporting\EC\2018-01-03-refined-times.txt</v>
      </c>
      <c r="AI19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{"issue":{"subject":"","project_id":79,"tracker_id":40,"status_id":1,"priority_id":2,"assigned_to_id":338,"start_date":"2018-01-03","description":"","custom_fields":[{"id":1,"name":"Subdivision","value":"NW"},{"id":4,"name":"Milepost","value":"5.8931"},{"id":17,"name":"Train ID","value":"831-03"},{"id":16,"name":"Locomotive ID","value":"4014"},{"id":130,"name":"Impact","value":""},{"id":150,"name":"Time of Event (Mountain Time)","value":"16:53:25"},{"id":151,"name":"Denver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30"/>
        <v>start /low /b %USERPROFILE%\Documents\GitHub\eaglep3\Utilities\DownloadLogsFromS3.py --loco 4014 --day 2018-01-03</v>
      </c>
      <c r="AN19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32"/>
        <v>https://d0f6bd738d7f1b3e5a7ca70fe4ff75f0.us-east-1.aws.found.io/app/kibana#/discover/Steve-Slow-Train-Analysis-(2080s-and-2083s)?_g=(refreshInterval:(display:Off,pause:!f,section:0,value:0),time:(from:'2018-01-03T15:27:33-0700',mode:absolute,to:'2018-01-03T17:53:25-0700'))&amp;_a=(columns:!('Message%20ID',Summary),filters:!(),index:'emp_*',interval:auto,query:(query_string:(analyze_wildcard:!t,query:'%22rtdc.l.rtdc.4014%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824</v>
      </c>
      <c r="B193" s="225">
        <v>4013</v>
      </c>
      <c r="C193" s="227" t="s">
        <v>192</v>
      </c>
      <c r="D193" s="227" t="s">
        <v>602</v>
      </c>
      <c r="E193" s="226">
        <v>43103.704965277779</v>
      </c>
      <c r="F193" s="226">
        <v>43103.716435185182</v>
      </c>
      <c r="G193" s="225">
        <v>91</v>
      </c>
      <c r="H193" s="227" t="s">
        <v>490</v>
      </c>
      <c r="I193" s="226">
        <v>43103.725972222222</v>
      </c>
      <c r="J193" s="225">
        <v>0</v>
      </c>
      <c r="K193" s="237" t="str">
        <f>IF(ISEVEN(B193),(B193-1)&amp;"/"&amp;B193,B193&amp;"/"&amp;(B193+1))</f>
        <v>4013/4014</v>
      </c>
      <c r="L193" s="245" t="str">
        <f>VLOOKUP(A193,'Trips&amp;Operators'!$C$1:$G$99911,5,FALSE)</f>
        <v>STAMBAUGH JAMES</v>
      </c>
      <c r="M193" s="224">
        <f>I193-F193</f>
        <v>9.5370370399905369E-3</v>
      </c>
      <c r="N193" s="225">
        <f>24*60*SUM($M193:$M193)</f>
        <v>13.733333337586373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-03T15:55:09-0700',mode:absolute,to:'2018-01-03T18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5.8619000000000003</v>
      </c>
      <c r="Z193" s="247">
        <f>RIGHT(H193,LEN(H193)-4)/10000</f>
        <v>1.5800000000000002E-2</v>
      </c>
      <c r="AA193" s="247">
        <f>ABS(Z193-Y193)</f>
        <v>5.8461000000000007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832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/stypes="app*4013*20180104*" /stext=" 00:.+((SYSTEM_STATE.+slice.+state.+changed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28"/>
        <v>"%USERPROFILE%\Documents\GitHub\eaglep3\Utilities\RefineRTDCRunTimes.py" --tripid 832-03 --locoid 4013 --swversion DE.1.0.9.0 --startMP 300:58619 --initTime 2018-01-03T16:55:09 --startdatetime 2018-01-03T17:11:40 --delay 91 --endMP 204:158 --enddatetime 2018-01-03T17:25:24 --enforcementcount 0 &gt;&gt;%USERPROFILE%\Documents\GitHub\eaglep3-reporting\EC\2018-01-03-refined-times.txt</v>
      </c>
      <c r="AI19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{"issue":{"subject":"","project_id":79,"tracker_id":40,"status_id":1,"priority_id":2,"assigned_to_id":338,"start_date":"2018-01-03","description":"","custom_fields":[{"id":1,"name":"Subdivision","value":"NW"},{"id":4,"name":"Milepost","value":"0.0158"},{"id":17,"name":"Train ID","value":"832-03"},{"id":16,"name":"Locomotive ID","value":"4013"},{"id":130,"name":"Impact","value":""},{"id":150,"name":"Time of Event (Mountain Time)","value":"17:25:24"},{"id":151,"name":"Denver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30"/>
        <v>start /low /b %USERPROFILE%\Documents\GitHub\eaglep3\Utilities\DownloadLogsFromS3.py --loco 4013 --day 2018-01-03</v>
      </c>
      <c r="AN193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32"/>
        <v>https://d0f6bd738d7f1b3e5a7ca70fe4ff75f0.us-east-1.aws.found.io/app/kibana#/discover/Steve-Slow-Train-Analysis-(2080s-and-2083s)?_g=(refreshInterval:(display:Off,pause:!f,section:0,value:0),time:(from:'2018-01-03T15:55:09-0700',mode:absolute,to:'2018-01-03T18:25:24-0700'))&amp;_a=(columns:!('Message%20ID',Summary),filters:!(),index:'emp_*',interval:auto,query:(query_string:(analyze_wildcard:!t,query:'%22rtdc.l.rtdc.4013%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827</v>
      </c>
      <c r="B194" s="225">
        <v>4064</v>
      </c>
      <c r="C194" s="227" t="s">
        <v>192</v>
      </c>
      <c r="D194" s="227" t="s">
        <v>603</v>
      </c>
      <c r="E194" s="226">
        <v>43103.711099537039</v>
      </c>
      <c r="F194" s="226">
        <v>43103.714756944442</v>
      </c>
      <c r="G194" s="225">
        <v>100</v>
      </c>
      <c r="H194" s="227" t="s">
        <v>1081</v>
      </c>
      <c r="I194" s="226">
        <v>43103.725428240738</v>
      </c>
      <c r="J194" s="225">
        <v>0</v>
      </c>
      <c r="K194" s="237" t="str">
        <f>IF(ISEVEN(B194),(B194-1)&amp;"/"&amp;B194,B194&amp;"/"&amp;(B194+1))</f>
        <v>4063/4064</v>
      </c>
      <c r="L194" s="245" t="str">
        <f>VLOOKUP(A194,'Trips&amp;Operators'!$C$1:$G$99911,5,FALSE)</f>
        <v>LORI SANTOS</v>
      </c>
      <c r="M194" s="224">
        <f>I194-F194</f>
        <v>1.0671296295186039E-2</v>
      </c>
      <c r="N194" s="225">
        <f>24*60*SUM($M194:$M194)</f>
        <v>15.366666665067896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-03T16:03:59-0700',mode:absolute,to:'2018-01-03T18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4.3900000000000002E-2</v>
      </c>
      <c r="Z194" s="247">
        <f>RIGHT(H194,LEN(H194)-4)/10000</f>
        <v>5.8948</v>
      </c>
      <c r="AA194" s="247">
        <f>ABS(Z194-Y194)</f>
        <v>5.8509000000000002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833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/stypes="app*4064*20180104*" /stext=" 00:.+((SYSTEM_STATE.+slice.+state.+changed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28"/>
        <v>"%USERPROFILE%\Documents\GitHub\eaglep3\Utilities\RefineRTDCRunTimes.py" --tripid 833-03 --locoid 4064 --swversion DE.1.0.9.0 --startMP 204:439 --initTime 2018-01-03T17:03:59 --startdatetime 2018-01-03T17:09:15 --delay 100 --endMP 300:58948 --enddatetime 2018-01-03T17:24:37 --enforcementcount 0 &gt;&gt;%USERPROFILE%\Documents\GitHub\eaglep3-reporting\EC\2018-01-03-refined-times.txt</v>
      </c>
      <c r="AI19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{"issue":{"subject":"","project_id":79,"tracker_id":40,"status_id":1,"priority_id":2,"assigned_to_id":338,"start_date":"2018-01-03","description":"","custom_fields":[{"id":1,"name":"Subdivision","value":"NW"},{"id":4,"name":"Milepost","value":"5.8948"},{"id":17,"name":"Train ID","value":"833-03"},{"id":16,"name":"Locomotive ID","value":"4064"},{"id":130,"name":"Impact","value":""},{"id":150,"name":"Time of Event (Mountain Time)","value":"17:24:37"},{"id":151,"name":"Denver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30"/>
        <v>start /low /b %USERPROFILE%\Documents\GitHub\eaglep3\Utilities\DownloadLogsFromS3.py --loco 4064 --day 2018-01-03</v>
      </c>
      <c r="AN194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32"/>
        <v>https://d0f6bd738d7f1b3e5a7ca70fe4ff75f0.us-east-1.aws.found.io/app/kibana#/discover/Steve-Slow-Train-Analysis-(2080s-and-2083s)?_g=(refreshInterval:(display:Off,pause:!f,section:0,value:0),time:(from:'2018-01-03T16:03:59-0700',mode:absolute,to:'2018-01-03T18:24:37-0700'))&amp;_a=(columns:!('Message%20ID',Summary),filters:!(),index:'emp_*',interval:auto,query:(query_string:(analyze_wildcard:!t,query:'%22rtdc.l.rtdc.4064%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833</v>
      </c>
      <c r="B195" s="225">
        <v>4063</v>
      </c>
      <c r="C195" s="227" t="s">
        <v>192</v>
      </c>
      <c r="D195" s="227" t="s">
        <v>609</v>
      </c>
      <c r="E195" s="226">
        <v>43103.727476851855</v>
      </c>
      <c r="F195" s="226">
        <v>43103.737118055556</v>
      </c>
      <c r="G195" s="225">
        <v>71</v>
      </c>
      <c r="H195" s="227" t="s">
        <v>1082</v>
      </c>
      <c r="I195" s="226">
        <v>43103.747569444444</v>
      </c>
      <c r="J195" s="225">
        <v>0</v>
      </c>
      <c r="K195" s="237" t="str">
        <f>IF(ISEVEN(B195),(B195-1)&amp;"/"&amp;B195,B195&amp;"/"&amp;(B195+1))</f>
        <v>4063/4064</v>
      </c>
      <c r="L195" s="245" t="str">
        <f>VLOOKUP(A195,'Trips&amp;Operators'!$C$1:$G$99911,5,FALSE)</f>
        <v>LORI SANTOS</v>
      </c>
      <c r="M195" s="224">
        <f>I195-F195</f>
        <v>1.0451388887304347E-2</v>
      </c>
      <c r="N195" s="225">
        <f>24*60*SUM($M195:$M195)</f>
        <v>15.04999999771826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-03T16:27:34-0700',mode:absolute,to:'2018-01-03T18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5.8630000000000004</v>
      </c>
      <c r="Z195" s="247">
        <f>RIGHT(H195,LEN(H195)-4)/10000</f>
        <v>1.4200000000000001E-2</v>
      </c>
      <c r="AA195" s="247">
        <f>ABS(Z195-Y195)</f>
        <v>5.8488000000000007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834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/stypes="app*4063*20180104*" /stext=" 00:.+((SYSTEM_STATE.+slice.+state.+changed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28"/>
        <v>"%USERPROFILE%\Documents\GitHub\eaglep3\Utilities\RefineRTDCRunTimes.py" --tripid 834-03 --locoid 4063 --swversion DE.1.0.9.0 --startMP 300:58630 --initTime 2018-01-03T17:27:34 --startdatetime 2018-01-03T17:41:27 --delay 71 --endMP 204:142 --enddatetime 2018-01-03T17:56:30 --enforcementcount 0 &gt;&gt;%USERPROFILE%\Documents\GitHub\eaglep3-reporting\EC\2018-01-03-refined-times.txt</v>
      </c>
      <c r="AI19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{"issue":{"subject":"","project_id":79,"tracker_id":40,"status_id":1,"priority_id":2,"assigned_to_id":338,"start_date":"2018-01-03","description":"","custom_fields":[{"id":1,"name":"Subdivision","value":"NW"},{"id":4,"name":"Milepost","value":"0.0142"},{"id":17,"name":"Train ID","value":"834-03"},{"id":16,"name":"Locomotive ID","value":"4063"},{"id":130,"name":"Impact","value":""},{"id":150,"name":"Time of Event (Mountain Time)","value":"17:56:30"},{"id":151,"name":"Denver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30"/>
        <v>start /low /b %USERPROFILE%\Documents\GitHub\eaglep3\Utilities\DownloadLogsFromS3.py --loco 4063 --day 2018-01-03</v>
      </c>
      <c r="AN19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32"/>
        <v>https://d0f6bd738d7f1b3e5a7ca70fe4ff75f0.us-east-1.aws.found.io/app/kibana#/discover/Steve-Slow-Train-Analysis-(2080s-and-2083s)?_g=(refreshInterval:(display:Off,pause:!f,section:0,value:0),time:(from:'2018-01-03T16:27:34-0700',mode:absolute,to:'2018-01-03T18:56:30-0700'))&amp;_a=(columns:!('Message%20ID',Summary),filters:!(),index:'emp_*',interval:auto,query:(query_string:(analyze_wildcard:!t,query:'%22rtdc.l.rtdc.4063%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832</v>
      </c>
      <c r="B196" s="225">
        <v>4014</v>
      </c>
      <c r="C196" s="227" t="s">
        <v>192</v>
      </c>
      <c r="D196" s="227" t="s">
        <v>508</v>
      </c>
      <c r="E196" s="226">
        <v>43103.72760416667</v>
      </c>
      <c r="F196" s="226">
        <v>43103.735763888886</v>
      </c>
      <c r="G196" s="225">
        <v>55</v>
      </c>
      <c r="H196" s="227" t="s">
        <v>1083</v>
      </c>
      <c r="I196" s="226">
        <v>43103.745416666665</v>
      </c>
      <c r="J196" s="225">
        <v>0</v>
      </c>
      <c r="K196" s="237" t="str">
        <f>IF(ISEVEN(B196),(B196-1)&amp;"/"&amp;B196,B196&amp;"/"&amp;(B196+1))</f>
        <v>4013/4014</v>
      </c>
      <c r="L196" s="245" t="str">
        <f>VLOOKUP(A196,'Trips&amp;Operators'!$C$1:$G$99911,5,FALSE)</f>
        <v>STAMBAUGH JAMES</v>
      </c>
      <c r="M196" s="224">
        <f>I196-F196</f>
        <v>9.6527777786832303E-3</v>
      </c>
      <c r="N196" s="225">
        <f>24*60*SUM($M196:$M196)</f>
        <v>13.900000001303852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-03T16:27:45-0700',mode:absolute,to:'2018-01-03T18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4.53E-2</v>
      </c>
      <c r="Z196" s="247">
        <f>RIGHT(H196,LEN(H196)-4)/10000</f>
        <v>5.8963000000000001</v>
      </c>
      <c r="AA196" s="247">
        <f>ABS(Z196-Y196)</f>
        <v>5.851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835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/stypes="app*4014*20180104*" /stext=" 00:.+((SYSTEM_STATE.+slice.+state.+changed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28"/>
        <v>"%USERPROFILE%\Documents\GitHub\eaglep3\Utilities\RefineRTDCRunTimes.py" --tripid 835-03 --locoid 4014 --swversion DE.1.0.9.0 --startMP 204:453 --initTime 2018-01-03T17:27:45 --startdatetime 2018-01-03T17:39:30 --delay 55 --endMP 300:58963 --enddatetime 2018-01-03T17:53:24 --enforcementcount 0 &gt;&gt;%USERPROFILE%\Documents\GitHub\eaglep3-reporting\EC\2018-01-03-refined-times.txt</v>
      </c>
      <c r="AI19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{"issue":{"subject":"","project_id":79,"tracker_id":40,"status_id":1,"priority_id":2,"assigned_to_id":338,"start_date":"2018-01-03","description":"","custom_fields":[{"id":1,"name":"Subdivision","value":"NW"},{"id":4,"name":"Milepost","value":"5.8963"},{"id":17,"name":"Train ID","value":"835-03"},{"id":16,"name":"Locomotive ID","value":"4014"},{"id":130,"name":"Impact","value":""},{"id":150,"name":"Time of Event (Mountain Time)","value":"17:53:24"},{"id":151,"name":"Denver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30"/>
        <v>start /low /b %USERPROFILE%\Documents\GitHub\eaglep3\Utilities\DownloadLogsFromS3.py --loco 4014 --day 2018-01-03</v>
      </c>
      <c r="AN19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32"/>
        <v>https://d0f6bd738d7f1b3e5a7ca70fe4ff75f0.us-east-1.aws.found.io/app/kibana#/discover/Steve-Slow-Train-Analysis-(2080s-and-2083s)?_g=(refreshInterval:(display:Off,pause:!f,section:0,value:0),time:(from:'2018-01-03T16:27:45-0700',mode:absolute,to:'2018-01-03T18:53:24-0700'))&amp;_a=(columns:!('Message%20ID',Summary),filters:!(),index:'emp_*',interval:auto,query:(query_string:(analyze_wildcard:!t,query:'%22rtdc.l.rtdc.4014%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839</v>
      </c>
      <c r="B197" s="225">
        <v>4013</v>
      </c>
      <c r="C197" s="227" t="s">
        <v>192</v>
      </c>
      <c r="D197" s="227" t="s">
        <v>1068</v>
      </c>
      <c r="E197" s="226">
        <v>43103.746249999997</v>
      </c>
      <c r="F197" s="226">
        <v>43103.759155092594</v>
      </c>
      <c r="G197" s="225">
        <v>56</v>
      </c>
      <c r="H197" s="227" t="s">
        <v>1084</v>
      </c>
      <c r="I197" s="226">
        <v>43103.767650462964</v>
      </c>
      <c r="J197" s="225">
        <v>0</v>
      </c>
      <c r="K197" s="237" t="str">
        <f>IF(ISEVEN(B197),(B197-1)&amp;"/"&amp;B197,B197&amp;"/"&amp;(B197+1))</f>
        <v>4013/4014</v>
      </c>
      <c r="L197" s="245" t="str">
        <f>VLOOKUP(A197,'Trips&amp;Operators'!$C$1:$G$99911,5,FALSE)</f>
        <v>STAMBAUGH JAMES</v>
      </c>
      <c r="M197" s="224">
        <f>I197-F197</f>
        <v>8.4953703699284233E-3</v>
      </c>
      <c r="N197" s="225">
        <f>24*60*SUM($M197:$M197)</f>
        <v>12.23333333269693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-03T16:54:36-0700',mode:absolute,to:'2018-01-03T19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5.8647</v>
      </c>
      <c r="Z197" s="247">
        <f>RIGHT(H197,LEN(H197)-4)/10000</f>
        <v>1.3100000000000001E-2</v>
      </c>
      <c r="AA197" s="247">
        <f>ABS(Z197-Y197)</f>
        <v>5.8516000000000004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836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/stypes="app*4013*20180104*"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28"/>
        <v>"%USERPROFILE%\Documents\GitHub\eaglep3\Utilities\RefineRTDCRunTimes.py" --tripid 836-03 --locoid 4013 --swversion DE.1.0.9.0 --startMP 300:58647 --initTime 2018-01-03T17:54:36 --startdatetime 2018-01-03T18:13:11 --delay 56 --endMP 204:131 --enddatetime 2018-01-03T18:25:25 --enforcementcount 0 &gt;&gt;%USERPROFILE%\Documents\GitHub\eaglep3-reporting\EC\2018-01-03-refined-times.txt</v>
      </c>
      <c r="AI19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{"issue":{"subject":"","project_id":79,"tracker_id":40,"status_id":1,"priority_id":2,"assigned_to_id":338,"start_date":"2018-01-03","description":"","custom_fields":[{"id":1,"name":"Subdivision","value":"NW"},{"id":4,"name":"Milepost","value":"0.0131"},{"id":17,"name":"Train ID","value":"836-03"},{"id":16,"name":"Locomotive ID","value":"4013"},{"id":130,"name":"Impact","value":""},{"id":150,"name":"Time of Event (Mountain Time)","value":"18:25:25"},{"id":151,"name":"Denver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30"/>
        <v>start /low /b %USERPROFILE%\Documents\GitHub\eaglep3\Utilities\DownloadLogsFromS3.py --loco 4013 --day 2018-01-03</v>
      </c>
      <c r="AN19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32"/>
        <v>https://d0f6bd738d7f1b3e5a7ca70fe4ff75f0.us-east-1.aws.found.io/app/kibana#/discover/Steve-Slow-Train-Analysis-(2080s-and-2083s)?_g=(refreshInterval:(display:Off,pause:!f,section:0,value:0),time:(from:'2018-01-03T16:54:36-0700',mode:absolute,to:'2018-01-03T19:25:25-0700'))&amp;_a=(columns:!('Message%20ID',Summary),filters:!(),index:'emp_*',interval:auto,query:(query_string:(analyze_wildcard:!t,query:'%22rtdc.l.rtdc.4013%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841</v>
      </c>
      <c r="B198" s="225">
        <v>4064</v>
      </c>
      <c r="C198" s="227" t="s">
        <v>192</v>
      </c>
      <c r="D198" s="227" t="s">
        <v>1085</v>
      </c>
      <c r="E198" s="226">
        <v>43103.750127314815</v>
      </c>
      <c r="F198" s="226">
        <v>43103.756585648145</v>
      </c>
      <c r="G198" s="225">
        <v>71</v>
      </c>
      <c r="H198" s="227" t="s">
        <v>1086</v>
      </c>
      <c r="I198" s="226">
        <v>43103.767337962963</v>
      </c>
      <c r="J198" s="225">
        <v>0</v>
      </c>
      <c r="K198" s="237" t="str">
        <f>IF(ISEVEN(B198),(B198-1)&amp;"/"&amp;B198,B198&amp;"/"&amp;(B198+1))</f>
        <v>4063/4064</v>
      </c>
      <c r="L198" s="245" t="str">
        <f>VLOOKUP(A198,'Trips&amp;Operators'!$C$1:$G$99911,5,FALSE)</f>
        <v>LEVERE CRAIG</v>
      </c>
      <c r="M198" s="224">
        <f>I198-F198</f>
        <v>1.0752314818091691E-2</v>
      </c>
      <c r="N198" s="225">
        <f>24*60*SUM($M198:$M198)</f>
        <v>15.483333338052034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-03T17:00:11-0700',mode:absolute,to:'2018-01-03T19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8" s="247" t="str">
        <f>IF(AA198&lt;VLOOKUP(AG198,Variables!$AC$3:$AD$8,2,FALSE),"Y","N")</f>
        <v>N</v>
      </c>
      <c r="X198" s="247">
        <f>VALUE(LEFT(AD198,4))-VALUE(LEFT(AD197,4))</f>
        <v>1</v>
      </c>
      <c r="Y198" s="247">
        <f>RIGHT(D198,LEN(D198)-4)/10000</f>
        <v>4.6800000000000001E-2</v>
      </c>
      <c r="Z198" s="247">
        <f>RIGHT(H198,LEN(H198)-4)/10000</f>
        <v>5.8945999999999996</v>
      </c>
      <c r="AA198" s="247">
        <f>ABS(Z198-Y198)</f>
        <v>5.8477999999999994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837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/stypes="app*4064*20180104*" /stext=" 01:.+((SYSTEM_STATE.+slice.+state.+changed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28"/>
        <v>"%USERPROFILE%\Documents\GitHub\eaglep3\Utilities\RefineRTDCRunTimes.py" --tripid 837-03 --locoid 4064 --swversion DE.1.0.9.0 --startMP 204:468 --initTime 2018-01-03T18:00:11 --startdatetime 2018-01-03T18:09:29 --delay 71 --endMP 300:58946 --enddatetime 2018-01-03T18:24:58 --enforcementcount 0 &gt;&gt;%USERPROFILE%\Documents\GitHub\eaglep3-reporting\EC\2018-01-03-refined-times.txt</v>
      </c>
      <c r="AI19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{"issue":{"subject":"","project_id":79,"tracker_id":40,"status_id":1,"priority_id":2,"assigned_to_id":338,"start_date":"2018-01-03","description":"","custom_fields":[{"id":1,"name":"Subdivision","value":"NW"},{"id":4,"name":"Milepost","value":"5.8946"},{"id":17,"name":"Train ID","value":"837-03"},{"id":16,"name":"Locomotive ID","value":"4064"},{"id":130,"name":"Impact","value":""},{"id":150,"name":"Time of Event (Mountain Time)","value":"18:24:58"},{"id":151,"name":"Denver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30"/>
        <v>start /low /b %USERPROFILE%\Documents\GitHub\eaglep3\Utilities\DownloadLogsFromS3.py --loco 4064 --day 2018-01-03</v>
      </c>
      <c r="AN19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32"/>
        <v>https://d0f6bd738d7f1b3e5a7ca70fe4ff75f0.us-east-1.aws.found.io/app/kibana#/discover/Steve-Slow-Train-Analysis-(2080s-and-2083s)?_g=(refreshInterval:(display:Off,pause:!f,section:0,value:0),time:(from:'2018-01-03T17:00:11-0700',mode:absolute,to:'2018-01-03T19:24:58-0700'))&amp;_a=(columns:!('Message%20ID',Summary),filters:!(),index:'emp_*',interval:auto,query:(query_string:(analyze_wildcard:!t,query:'%22rtdc.l.rtdc.4064%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845</v>
      </c>
      <c r="B199" s="225">
        <v>4063</v>
      </c>
      <c r="C199" s="227" t="s">
        <v>192</v>
      </c>
      <c r="D199" s="227" t="s">
        <v>609</v>
      </c>
      <c r="E199" s="226">
        <v>43103.768414351849</v>
      </c>
      <c r="F199" s="226">
        <v>43103.779942129629</v>
      </c>
      <c r="G199" s="225">
        <v>74</v>
      </c>
      <c r="H199" s="227" t="s">
        <v>1087</v>
      </c>
      <c r="I199" s="226">
        <v>43103.788900462961</v>
      </c>
      <c r="J199" s="225">
        <v>0</v>
      </c>
      <c r="K199" s="237" t="str">
        <f>IF(ISEVEN(B199),(B199-1)&amp;"/"&amp;B199,B199&amp;"/"&amp;(B199+1))</f>
        <v>4063/4064</v>
      </c>
      <c r="L199" s="245" t="str">
        <f>VLOOKUP(A199,'Trips&amp;Operators'!$C$1:$G$99911,5,FALSE)</f>
        <v>LEVERE CRAIG</v>
      </c>
      <c r="M199" s="224">
        <f>I199-F199</f>
        <v>8.9583333319751546E-3</v>
      </c>
      <c r="N199" s="225">
        <f>24*60*SUM($M199:$M199)</f>
        <v>12.899999998044223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-03T17:26:31-0700',mode:absolute,to:'2018-01-03T19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9" s="247" t="str">
        <f>IF(AA199&lt;VLOOKUP(AG199,Variables!$AC$3:$AD$8,2,FALSE),"Y","N")</f>
        <v>N</v>
      </c>
      <c r="X199" s="247">
        <f>VALUE(LEFT(AD199,4))-VALUE(LEFT(AD198,4))</f>
        <v>1</v>
      </c>
      <c r="Y199" s="247">
        <f>RIGHT(D199,LEN(D199)-4)/10000</f>
        <v>5.8630000000000004</v>
      </c>
      <c r="Z199" s="247">
        <f>RIGHT(H199,LEN(H199)-4)/10000</f>
        <v>1.8200000000000001E-2</v>
      </c>
      <c r="AA199" s="247">
        <f>ABS(Z199-Y199)</f>
        <v>5.8448000000000002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838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/stypes="app*4063*20180104*" /stext=" 01:.+((SYSTEM_STATE.+slice.+state.+changed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28"/>
        <v>"%USERPROFILE%\Documents\GitHub\eaglep3\Utilities\RefineRTDCRunTimes.py" --tripid 838-03 --locoid 4063 --swversion DE.1.0.9.0 --startMP 300:58630 --initTime 2018-01-03T18:26:31 --startdatetime 2018-01-03T18:43:07 --delay 74 --endMP 204:182 --enddatetime 2018-01-03T18:56:01 --enforcementcount 0 &gt;&gt;%USERPROFILE%\Documents\GitHub\eaglep3-reporting\EC\2018-01-03-refined-times.txt</v>
      </c>
      <c r="AI19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{"issue":{"subject":"","project_id":79,"tracker_id":40,"status_id":1,"priority_id":2,"assigned_to_id":338,"start_date":"2018-01-03","description":"","custom_fields":[{"id":1,"name":"Subdivision","value":"NW"},{"id":4,"name":"Milepost","value":"0.0182"},{"id":17,"name":"Train ID","value":"838-03"},{"id":16,"name":"Locomotive ID","value":"4063"},{"id":130,"name":"Impact","value":""},{"id":150,"name":"Time of Event (Mountain Time)","value":"18:56:01"},{"id":151,"name":"Denver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30"/>
        <v>start /low /b %USERPROFILE%\Documents\GitHub\eaglep3\Utilities\DownloadLogsFromS3.py --loco 4063 --day 2018-01-03</v>
      </c>
      <c r="AN199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32"/>
        <v>https://d0f6bd738d7f1b3e5a7ca70fe4ff75f0.us-east-1.aws.found.io/app/kibana#/discover/Steve-Slow-Train-Analysis-(2080s-and-2083s)?_g=(refreshInterval:(display:Off,pause:!f,section:0,value:0),time:(from:'2018-01-03T17:26:31-0700',mode:absolute,to:'2018-01-03T19:56:01-0700'))&amp;_a=(columns:!('Message%20ID',Summary),filters:!(),index:'emp_*',interval:auto,query:(query_string:(analyze_wildcard:!t,query:'%22rtdc.l.rtdc.4063%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847</v>
      </c>
      <c r="B200" s="225">
        <v>4014</v>
      </c>
      <c r="C200" s="227" t="s">
        <v>192</v>
      </c>
      <c r="D200" s="227" t="s">
        <v>944</v>
      </c>
      <c r="E200" s="226">
        <v>43103.769861111112</v>
      </c>
      <c r="F200" s="226">
        <v>43103.777754629627</v>
      </c>
      <c r="G200" s="225">
        <v>61</v>
      </c>
      <c r="H200" s="227" t="s">
        <v>606</v>
      </c>
      <c r="I200" s="226">
        <v>43103.787499999999</v>
      </c>
      <c r="J200" s="225">
        <v>0</v>
      </c>
      <c r="K200" s="237" t="str">
        <f>IF(ISEVEN(B200),(B200-1)&amp;"/"&amp;B200,B200&amp;"/"&amp;(B200+1))</f>
        <v>4013/4014</v>
      </c>
      <c r="L200" s="245" t="str">
        <f>VLOOKUP(A200,'Trips&amp;Operators'!$C$1:$G$99911,5,FALSE)</f>
        <v>STAMBAUGH JAMES</v>
      </c>
      <c r="M200" s="224">
        <f>I200-F200</f>
        <v>9.7453703710925765E-3</v>
      </c>
      <c r="N200" s="225">
        <f>24*60*SUM($M200:$M200)</f>
        <v>14.03333333437331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-03T17:28:36-0700',mode:absolute,to:'2018-01-03T19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4.3700000000000003E-2</v>
      </c>
      <c r="Z200" s="247">
        <f>RIGHT(H200,LEN(H200)-4)/10000</f>
        <v>5.8939000000000004</v>
      </c>
      <c r="AA200" s="247">
        <f>ABS(Z200-Y200)</f>
        <v>5.8502000000000001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839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/stypes="app*4014*20180104*" /stext=" 01:.+((SYSTEM_STATE.+slice.+state.+changed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28"/>
        <v>"%USERPROFILE%\Documents\GitHub\eaglep3\Utilities\RefineRTDCRunTimes.py" --tripid 839-03 --locoid 4014 --swversion DE.1.0.9.0 --startMP 204:437 --initTime 2018-01-03T18:28:36 --startdatetime 2018-01-03T18:39:58 --delay 61 --endMP 300:58939 --enddatetime 2018-01-03T18:54:00 --enforcementcount 0 &gt;&gt;%USERPROFILE%\Documents\GitHub\eaglep3-reporting\EC\2018-01-03-refined-times.txt</v>
      </c>
      <c r="AI200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{"issue":{"subject":"","project_id":79,"tracker_id":40,"status_id":1,"priority_id":2,"assigned_to_id":338,"start_date":"2018-01-03","description":"","custom_fields":[{"id":1,"name":"Subdivision","value":"NW"},{"id":4,"name":"Milepost","value":"5.8939"},{"id":17,"name":"Train ID","value":"839-03"},{"id":16,"name":"Locomotive ID","value":"4014"},{"id":130,"name":"Impact","value":""},{"id":150,"name":"Time of Event (Mountain Time)","value":"18:54:00"},{"id":151,"name":"Denver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30"/>
        <v>start /low /b %USERPROFILE%\Documents\GitHub\eaglep3\Utilities\DownloadLogsFromS3.py --loco 4014 --day 2018-01-03</v>
      </c>
      <c r="AN200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32"/>
        <v>https://d0f6bd738d7f1b3e5a7ca70fe4ff75f0.us-east-1.aws.found.io/app/kibana#/discover/Steve-Slow-Train-Analysis-(2080s-and-2083s)?_g=(refreshInterval:(display:Off,pause:!f,section:0,value:0),time:(from:'2018-01-03T17:28:36-0700',mode:absolute,to:'2018-01-03T19:54:00-0700'))&amp;_a=(columns:!('Message%20ID',Summary),filters:!(),index:'emp_*',interval:auto,query:(query_string:(analyze_wildcard:!t,query:'%22rtdc.l.rtdc.4014%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856</v>
      </c>
      <c r="B201" s="225">
        <v>4063</v>
      </c>
      <c r="C201" s="227" t="s">
        <v>192</v>
      </c>
      <c r="D201" s="227" t="s">
        <v>1088</v>
      </c>
      <c r="E201" s="226">
        <v>43103.809479166666</v>
      </c>
      <c r="F201" s="226">
        <v>43103.821597222224</v>
      </c>
      <c r="G201" s="225">
        <v>87</v>
      </c>
      <c r="H201" s="227" t="s">
        <v>1089</v>
      </c>
      <c r="I201" s="226">
        <v>43103.830706018518</v>
      </c>
      <c r="J201" s="225">
        <v>0</v>
      </c>
      <c r="K201" s="237" t="str">
        <f>IF(ISEVEN(B201),(B201-1)&amp;"/"&amp;B201,B201&amp;"/"&amp;(B201+1))</f>
        <v>4063/4064</v>
      </c>
      <c r="L201" s="245" t="str">
        <f>VLOOKUP(A201,'Trips&amp;Operators'!$C$1:$G$99911,5,FALSE)</f>
        <v>LEVERE CRAIG</v>
      </c>
      <c r="M201" s="224">
        <f>I201-F201</f>
        <v>9.1087962937308475E-3</v>
      </c>
      <c r="N201" s="225">
        <f>24*60*SUM($M201:$M201)</f>
        <v>13.11666666297242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-03T18:25:39-0700',mode:absolute,to:'2018-01-03T20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5.8638000000000003</v>
      </c>
      <c r="Z201" s="247">
        <f>RIGHT(H201,LEN(H201)-4)/10000</f>
        <v>1.6400000000000001E-2</v>
      </c>
      <c r="AA201" s="247">
        <f>ABS(Z201-Y201)</f>
        <v>5.8474000000000004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840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/stypes="app*4063*20180104*"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28"/>
        <v>"%USERPROFILE%\Documents\GitHub\eaglep3\Utilities\RefineRTDCRunTimes.py" --tripid 840-03 --locoid 4063 --swversion DE.1.0.9.0 --startMP 300:58638 --initTime 2018-01-03T19:25:39 --startdatetime 2018-01-03T19:43:06 --delay 87 --endMP 204:164 --enddatetime 2018-01-03T19:56:13 --enforcementcount 0 &gt;&gt;%USERPROFILE%\Documents\GitHub\eaglep3-reporting\EC\2018-01-03-refined-times.txt</v>
      </c>
      <c r="AI20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{"issue":{"subject":"","project_id":79,"tracker_id":40,"status_id":1,"priority_id":2,"assigned_to_id":338,"start_date":"2018-01-03","description":"","custom_fields":[{"id":1,"name":"Subdivision","value":"NW"},{"id":4,"name":"Milepost","value":"0.0164"},{"id":17,"name":"Train ID","value":"840-03"},{"id":16,"name":"Locomotive ID","value":"4063"},{"id":130,"name":"Impact","value":""},{"id":150,"name":"Time of Event (Mountain Time)","value":"19:56:13"},{"id":151,"name":"Denver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30"/>
        <v>start /low /b %USERPROFILE%\Documents\GitHub\eaglep3\Utilities\DownloadLogsFromS3.py --loco 4063 --day 2018-01-03</v>
      </c>
      <c r="AN201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32"/>
        <v>https://d0f6bd738d7f1b3e5a7ca70fe4ff75f0.us-east-1.aws.found.io/app/kibana#/discover/Steve-Slow-Train-Analysis-(2080s-and-2083s)?_g=(refreshInterval:(display:Off,pause:!f,section:0,value:0),time:(from:'2018-01-03T18:25:39-0700',mode:absolute,to:'2018-01-03T20:56:13-0700'))&amp;_a=(columns:!('Message%20ID',Summary),filters:!(),index:'emp_*',interval:auto,query:(query_string:(analyze_wildcard:!t,query:'%22rtdc.l.rtdc.4063%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852</v>
      </c>
      <c r="B202" s="225">
        <v>4064</v>
      </c>
      <c r="C202" s="227" t="s">
        <v>192</v>
      </c>
      <c r="D202" s="227" t="s">
        <v>539</v>
      </c>
      <c r="E202" s="226">
        <v>43103.794328703705</v>
      </c>
      <c r="F202" s="226">
        <v>43103.798333333332</v>
      </c>
      <c r="G202" s="225">
        <v>78</v>
      </c>
      <c r="H202" s="227" t="s">
        <v>1049</v>
      </c>
      <c r="I202" s="226">
        <v>43103.808645833335</v>
      </c>
      <c r="J202" s="225">
        <v>0</v>
      </c>
      <c r="K202" s="237" t="str">
        <f>IF(ISEVEN(B202),(B202-1)&amp;"/"&amp;B202,B202&amp;"/"&amp;(B202+1))</f>
        <v>4063/4064</v>
      </c>
      <c r="L202" s="245" t="str">
        <f>VLOOKUP(A202,'Trips&amp;Operators'!$C$1:$G$99911,5,FALSE)</f>
        <v>LEVERE CRAIG</v>
      </c>
      <c r="M202" s="224">
        <f>I202-F202</f>
        <v>1.0312500002328306E-2</v>
      </c>
      <c r="N202" s="225">
        <f>24*60*SUM($M202:$M202)</f>
        <v>14.850000003352761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-03T18:03:50-0700',mode:absolute,to:'2018-01-03T20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4.7500000000000001E-2</v>
      </c>
      <c r="Z202" s="247">
        <f>RIGHT(H202,LEN(H202)-4)/10000</f>
        <v>5.8959999999999999</v>
      </c>
      <c r="AA202" s="247">
        <f>ABS(Z202-Y202)</f>
        <v>5.8484999999999996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841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/stypes="app*4064*20180104*" /stext=" 02:.+((SYSTEM_STATE.+slice.+state.+changed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28"/>
        <v>"%USERPROFILE%\Documents\GitHub\eaglep3\Utilities\RefineRTDCRunTimes.py" --tripid 841-03 --locoid 4064 --swversion DE.1.0.9.0 --startMP 204:475 --initTime 2018-01-03T19:03:50 --startdatetime 2018-01-03T19:09:36 --delay 78 --endMP 300:58960 --enddatetime 2018-01-03T19:24:27 --enforcementcount 0 &gt;&gt;%USERPROFILE%\Documents\GitHub\eaglep3-reporting\EC\2018-01-03-refined-times.txt</v>
      </c>
      <c r="AI20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{"issue":{"subject":"","project_id":79,"tracker_id":40,"status_id":1,"priority_id":2,"assigned_to_id":338,"start_date":"2018-01-03","description":"","custom_fields":[{"id":1,"name":"Subdivision","value":"NW"},{"id":4,"name":"Milepost","value":"5.896"},{"id":17,"name":"Train ID","value":"841-03"},{"id":16,"name":"Locomotive ID","value":"4064"},{"id":130,"name":"Impact","value":""},{"id":150,"name":"Time of Event (Mountain Time)","value":"19:24:27"},{"id":151,"name":"Denver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30"/>
        <v>start /low /b %USERPROFILE%\Documents\GitHub\eaglep3\Utilities\DownloadLogsFromS3.py --loco 4064 --day 2018-01-03</v>
      </c>
      <c r="AN202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32"/>
        <v>https://d0f6bd738d7f1b3e5a7ca70fe4ff75f0.us-east-1.aws.found.io/app/kibana#/discover/Steve-Slow-Train-Analysis-(2080s-and-2083s)?_g=(refreshInterval:(display:Off,pause:!f,section:0,value:0),time:(from:'2018-01-03T18:03:50-0700',mode:absolute,to:'2018-01-03T20:24:27-0700'))&amp;_a=(columns:!('Message%20ID',Summary),filters:!(),index:'emp_*',interval:auto,query:(query_string:(analyze_wildcard:!t,query:'%22rtdc.l.rtdc.4064%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864</v>
      </c>
      <c r="B203" s="225">
        <v>4063</v>
      </c>
      <c r="C203" s="227" t="s">
        <v>192</v>
      </c>
      <c r="D203" s="227" t="s">
        <v>1090</v>
      </c>
      <c r="E203" s="226">
        <v>43103.852175925924</v>
      </c>
      <c r="F203" s="226">
        <v>43103.863252314812</v>
      </c>
      <c r="G203" s="225">
        <v>58</v>
      </c>
      <c r="H203" s="227" t="s">
        <v>1091</v>
      </c>
      <c r="I203" s="226">
        <v>43103.872083333335</v>
      </c>
      <c r="J203" s="225">
        <v>0</v>
      </c>
      <c r="K203" s="237" t="str">
        <f>IF(ISEVEN(B203),(B203-1)&amp;"/"&amp;B203,B203&amp;"/"&amp;(B203+1))</f>
        <v>4063/4064</v>
      </c>
      <c r="L203" s="245" t="str">
        <f>VLOOKUP(A203,'Trips&amp;Operators'!$C$1:$G$99911,5,FALSE)</f>
        <v>LEVERE CRAIG</v>
      </c>
      <c r="M203" s="224">
        <f>I203-F203</f>
        <v>8.8310185237787664E-3</v>
      </c>
      <c r="N203" s="225">
        <f>24*60*SUM($M203:$M203)</f>
        <v>12.716666674241424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-03T19:27:08-0700',mode:absolute,to:'2018-01-03T21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5.8632</v>
      </c>
      <c r="Z203" s="247">
        <f>RIGHT(H203,LEN(H203)-4)/10000</f>
        <v>1.5299999999999999E-2</v>
      </c>
      <c r="AA203" s="247">
        <f>ABS(Z203-Y203)</f>
        <v>5.8479000000000001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842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/stypes="app*4063*20180104*" /stext=" 03:.+((SYSTEM_STATE.+slice.+state.+changed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28"/>
        <v>"%USERPROFILE%\Documents\GitHub\eaglep3\Utilities\RefineRTDCRunTimes.py" --tripid 842-03 --locoid 4063 --swversion DE.1.0.9.0 --startMP 300:58632 --initTime 2018-01-03T20:27:08 --startdatetime 2018-01-03T20:43:05 --delay 58 --endMP 204:153 --enddatetime 2018-01-03T20:55:48 --enforcementcount 0 &gt;&gt;%USERPROFILE%\Documents\GitHub\eaglep3-reporting\EC\2018-01-03-refined-times.txt</v>
      </c>
      <c r="AI20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{"issue":{"subject":"","project_id":79,"tracker_id":40,"status_id":1,"priority_id":2,"assigned_to_id":338,"start_date":"2018-01-03","description":"","custom_fields":[{"id":1,"name":"Subdivision","value":"NW"},{"id":4,"name":"Milepost","value":"0.0153"},{"id":17,"name":"Train ID","value":"842-03"},{"id":16,"name":"Locomotive ID","value":"4063"},{"id":130,"name":"Impact","value":""},{"id":150,"name":"Time of Event (Mountain Time)","value":"20:55:48"},{"id":151,"name":"Denver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30"/>
        <v>start /low /b %USERPROFILE%\Documents\GitHub\eaglep3\Utilities\DownloadLogsFromS3.py --loco 4063 --day 2018-01-03</v>
      </c>
      <c r="AN203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32"/>
        <v>https://d0f6bd738d7f1b3e5a7ca70fe4ff75f0.us-east-1.aws.found.io/app/kibana#/discover/Steve-Slow-Train-Analysis-(2080s-and-2083s)?_g=(refreshInterval:(display:Off,pause:!f,section:0,value:0),time:(from:'2018-01-03T19:27:08-0700',mode:absolute,to:'2018-01-03T21:55:48-0700'))&amp;_a=(columns:!('Message%20ID',Summary),filters:!(),index:'emp_*',interval:auto,query:(query_string:(analyze_wildcard:!t,query:'%22rtdc.l.rtdc.4063%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861</v>
      </c>
      <c r="B204" s="225">
        <v>4064</v>
      </c>
      <c r="C204" s="227" t="s">
        <v>192</v>
      </c>
      <c r="D204" s="227" t="s">
        <v>1092</v>
      </c>
      <c r="E204" s="226">
        <v>43103.834641203706</v>
      </c>
      <c r="F204" s="226">
        <v>43103.839895833335</v>
      </c>
      <c r="G204" s="225">
        <v>63</v>
      </c>
      <c r="H204" s="227" t="s">
        <v>1049</v>
      </c>
      <c r="I204" s="226">
        <v>43103.850092592591</v>
      </c>
      <c r="J204" s="225">
        <v>0</v>
      </c>
      <c r="K204" s="237" t="str">
        <f>IF(ISEVEN(B204),(B204-1)&amp;"/"&amp;B204,B204&amp;"/"&amp;(B204+1))</f>
        <v>4063/4064</v>
      </c>
      <c r="L204" s="245" t="str">
        <f>VLOOKUP(A204,'Trips&amp;Operators'!$C$1:$G$99911,5,FALSE)</f>
        <v>LEVERE CRAIG</v>
      </c>
      <c r="M204" s="224">
        <f>I204-F204</f>
        <v>1.0196759256359655E-2</v>
      </c>
      <c r="N204" s="225">
        <f>24*60*SUM($M204:$M204)</f>
        <v>14.683333329157904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-03T19:01:53-0700',mode:absolute,to:'2018-01-03T21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4.48E-2</v>
      </c>
      <c r="Z204" s="247">
        <f>RIGHT(H204,LEN(H204)-4)/10000</f>
        <v>5.8959999999999999</v>
      </c>
      <c r="AA204" s="247">
        <f>ABS(Z204-Y204)</f>
        <v>5.8511999999999995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843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/stypes="app*4064*20180104*" /stext=" 03:.+((SYSTEM_STATE.+slice.+state.+changed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28"/>
        <v>"%USERPROFILE%\Documents\GitHub\eaglep3\Utilities\RefineRTDCRunTimes.py" --tripid 843-03 --locoid 4064 --swversion DE.1.0.9.0 --startMP 204:448 --initTime 2018-01-03T20:01:53 --startdatetime 2018-01-03T20:09:27 --delay 63 --endMP 300:58960 --enddatetime 2018-01-03T20:24:08 --enforcementcount 0 &gt;&gt;%USERPROFILE%\Documents\GitHub\eaglep3-reporting\EC\2018-01-03-refined-times.txt</v>
      </c>
      <c r="AI20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{"issue":{"subject":"","project_id":79,"tracker_id":40,"status_id":1,"priority_id":2,"assigned_to_id":338,"start_date":"2018-01-03","description":"","custom_fields":[{"id":1,"name":"Subdivision","value":"NW"},{"id":4,"name":"Milepost","value":"5.896"},{"id":17,"name":"Train ID","value":"843-03"},{"id":16,"name":"Locomotive ID","value":"4064"},{"id":130,"name":"Impact","value":""},{"id":150,"name":"Time of Event (Mountain Time)","value":"20:24:08"},{"id":151,"name":"Denver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30"/>
        <v>start /low /b %USERPROFILE%\Documents\GitHub\eaglep3\Utilities\DownloadLogsFromS3.py --loco 4064 --day 2018-01-03</v>
      </c>
      <c r="AN204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32"/>
        <v>https://d0f6bd738d7f1b3e5a7ca70fe4ff75f0.us-east-1.aws.found.io/app/kibana#/discover/Steve-Slow-Train-Analysis-(2080s-and-2083s)?_g=(refreshInterval:(display:Off,pause:!f,section:0,value:0),time:(from:'2018-01-03T19:01:53-0700',mode:absolute,to:'2018-01-03T21:24:08-0700'))&amp;_a=(columns:!('Message%20ID',Summary),filters:!(),index:'emp_*',interval:auto,query:(query_string:(analyze_wildcard:!t,query:'%22rtdc.l.rtdc.4064%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869</v>
      </c>
      <c r="B205" s="225">
        <v>4063</v>
      </c>
      <c r="C205" s="227" t="s">
        <v>192</v>
      </c>
      <c r="D205" s="227" t="s">
        <v>1093</v>
      </c>
      <c r="E205" s="226">
        <v>43103.892488425925</v>
      </c>
      <c r="F205" s="226">
        <v>43103.904861111114</v>
      </c>
      <c r="G205" s="225">
        <v>117</v>
      </c>
      <c r="H205" s="227" t="s">
        <v>610</v>
      </c>
      <c r="I205" s="226">
        <v>43103.912523148145</v>
      </c>
      <c r="J205" s="225">
        <v>0</v>
      </c>
      <c r="K205" s="237" t="str">
        <f>IF(ISEVEN(B205),(B205-1)&amp;"/"&amp;B205,B205&amp;"/"&amp;(B205+1))</f>
        <v>4063/4064</v>
      </c>
      <c r="L205" s="245" t="str">
        <f>VLOOKUP(A205,'Trips&amp;Operators'!$C$1:$G$99911,5,FALSE)</f>
        <v>STAMBAUGH JAMES</v>
      </c>
      <c r="M205" s="224">
        <f>I205-F205</f>
        <v>7.6620370309683494E-3</v>
      </c>
      <c r="N205" s="225">
        <f>24*60*SUM($M205:$M205)</f>
        <v>11.033333324594423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-03T20:25:11-0700',mode:absolute,to:'2018-01-03T22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5" s="247" t="str">
        <f>IF(AA205&lt;VLOOKUP(AG205,Variables!$AC$3:$AD$8,2,FALSE),"Y","N")</f>
        <v>N</v>
      </c>
      <c r="X205" s="247">
        <f>VALUE(LEFT(AD205,4))-VALUE(LEFT(AD204,4))</f>
        <v>1</v>
      </c>
      <c r="Y205" s="247">
        <f>RIGHT(D205,LEN(D205)-4)/10000</f>
        <v>5.8634000000000004</v>
      </c>
      <c r="Z205" s="247">
        <f>RIGHT(H205,LEN(H205)-4)/10000</f>
        <v>1.3299999999999999E-2</v>
      </c>
      <c r="AA205" s="247">
        <f>ABS(Z205-Y205)</f>
        <v>5.8501000000000003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844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/stypes="app*4063*20180104*" /stext=" 04:.+((SYSTEM_STATE.+slice.+state.+changed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28"/>
        <v>"%USERPROFILE%\Documents\GitHub\eaglep3\Utilities\RefineRTDCRunTimes.py" --tripid 844-03 --locoid 4063 --swversion DE.1.0.9.0 --startMP 300:58634 --initTime 2018-01-03T21:25:11 --startdatetime 2018-01-03T21:43:00 --delay 117 --endMP 204:133 --enddatetime 2018-01-03T21:54:02 --enforcementcount 0 &gt;&gt;%USERPROFILE%\Documents\GitHub\eaglep3-reporting\EC\2018-01-03-refined-times.txt</v>
      </c>
      <c r="AI20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{"issue":{"subject":"","project_id":79,"tracker_id":40,"status_id":1,"priority_id":2,"assigned_to_id":338,"start_date":"2018-01-03","description":"","custom_fields":[{"id":1,"name":"Subdivision","value":"NW"},{"id":4,"name":"Milepost","value":"0.0133"},{"id":17,"name":"Train ID","value":"844-03"},{"id":16,"name":"Locomotive ID","value":"4063"},{"id":130,"name":"Impact","value":""},{"id":150,"name":"Time of Event (Mountain Time)","value":"21:54:02"},{"id":151,"name":"Denver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30"/>
        <v>start /low /b %USERPROFILE%\Documents\GitHub\eaglep3\Utilities\DownloadLogsFromS3.py --loco 4063 --day 2018-01-03</v>
      </c>
      <c r="AN20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32"/>
        <v>https://d0f6bd738d7f1b3e5a7ca70fe4ff75f0.us-east-1.aws.found.io/app/kibana#/discover/Steve-Slow-Train-Analysis-(2080s-and-2083s)?_g=(refreshInterval:(display:Off,pause:!f,section:0,value:0),time:(from:'2018-01-03T20:25:11-0700',mode:absolute,to:'2018-01-03T22:54:02-0700'))&amp;_a=(columns:!('Message%20ID',Summary),filters:!(),index:'emp_*',interval:auto,query:(query_string:(analyze_wildcard:!t,query:'%22rtdc.l.rtdc.4063%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866</v>
      </c>
      <c r="B206" s="225">
        <v>4064</v>
      </c>
      <c r="C206" s="227" t="s">
        <v>192</v>
      </c>
      <c r="D206" s="227" t="s">
        <v>912</v>
      </c>
      <c r="E206" s="226">
        <v>43103.878437500003</v>
      </c>
      <c r="F206" s="226">
        <v>43103.881712962961</v>
      </c>
      <c r="G206" s="225">
        <v>58</v>
      </c>
      <c r="H206" s="227" t="s">
        <v>1094</v>
      </c>
      <c r="I206" s="226">
        <v>43103.890613425923</v>
      </c>
      <c r="J206" s="225">
        <v>0</v>
      </c>
      <c r="K206" s="237" t="str">
        <f>IF(ISEVEN(B206),(B206-1)&amp;"/"&amp;B206,B206&amp;"/"&amp;(B206+1))</f>
        <v>4063/4064</v>
      </c>
      <c r="L206" s="245" t="str">
        <f>VLOOKUP(A206,'Trips&amp;Operators'!$C$1:$G$99911,5,FALSE)</f>
        <v>STAMBAUGH JAMES</v>
      </c>
      <c r="M206" s="224">
        <f>I206-F206</f>
        <v>8.9004629626288079E-3</v>
      </c>
      <c r="N206" s="225">
        <f>24*60*SUM($M206:$M206)</f>
        <v>12.816666666185483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-03T20:04:57-0700',mode:absolute,to:'2018-01-03T22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247" t="str">
        <f>IF(AA206&lt;VLOOKUP(AG206,Variables!$AC$3:$AD$8,2,FALSE),"Y","N")</f>
        <v>N</v>
      </c>
      <c r="X206" s="247">
        <f>VALUE(LEFT(AD206,4))-VALUE(LEFT(AD205,4))</f>
        <v>1</v>
      </c>
      <c r="Y206" s="247">
        <f>RIGHT(D206,LEN(D206)-4)/10000</f>
        <v>4.5699999999999998E-2</v>
      </c>
      <c r="Z206" s="247">
        <f>RIGHT(H206,LEN(H206)-4)/10000</f>
        <v>5.8949999999999996</v>
      </c>
      <c r="AA206" s="247">
        <f>ABS(Z206-Y206)</f>
        <v>5.8492999999999995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845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/stypes="app*4064*20180104*" /stext=" 04:.+((SYSTEM_STATE.+slice.+state.+changed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si="28"/>
        <v>"%USERPROFILE%\Documents\GitHub\eaglep3\Utilities\RefineRTDCRunTimes.py" --tripid 845-03 --locoid 4064 --swversion DE.1.0.9.0 --startMP 204:457 --initTime 2018-01-03T21:04:57 --startdatetime 2018-01-03T21:09:40 --delay 58 --endMP 300:58950 --enddatetime 2018-01-03T21:22:29 --enforcementcount 0 &gt;&gt;%USERPROFILE%\Documents\GitHub\eaglep3-reporting\EC\2018-01-03-refined-times.txt</v>
      </c>
      <c r="AI20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{"issue":{"subject":"","project_id":79,"tracker_id":40,"status_id":1,"priority_id":2,"assigned_to_id":338,"start_date":"2018-01-03","description":"","custom_fields":[{"id":1,"name":"Subdivision","value":"NW"},{"id":4,"name":"Milepost","value":"5.895"},{"id":17,"name":"Train ID","value":"845-03"},{"id":16,"name":"Locomotive ID","value":"4064"},{"id":130,"name":"Impact","value":""},{"id":150,"name":"Time of Event (Mountain Time)","value":"21:22:29"},{"id":151,"name":"Denver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30"/>
        <v>start /low /b %USERPROFILE%\Documents\GitHub\eaglep3\Utilities\DownloadLogsFromS3.py --loco 4064 --day 2018-01-03</v>
      </c>
      <c r="AN20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32"/>
        <v>https://d0f6bd738d7f1b3e5a7ca70fe4ff75f0.us-east-1.aws.found.io/app/kibana#/discover/Steve-Slow-Train-Analysis-(2080s-and-2083s)?_g=(refreshInterval:(display:Off,pause:!f,section:0,value:0),time:(from:'2018-01-03T20:04:57-0700',mode:absolute,to:'2018-01-03T22:22:29-0700'))&amp;_a=(columns:!('Message%20ID',Summary),filters:!(),index:'emp_*',interval:auto,query:(query_string:(analyze_wildcard:!t,query:'%22rtdc.l.rtdc.4064%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873</v>
      </c>
      <c r="B207" s="225">
        <v>4063</v>
      </c>
      <c r="C207" s="227" t="s">
        <v>192</v>
      </c>
      <c r="D207" s="227" t="s">
        <v>1095</v>
      </c>
      <c r="E207" s="226">
        <v>43103.933981481481</v>
      </c>
      <c r="F207" s="226">
        <v>43103.945613425924</v>
      </c>
      <c r="G207" s="225">
        <v>52</v>
      </c>
      <c r="H207" s="227" t="s">
        <v>584</v>
      </c>
      <c r="I207" s="226">
        <v>43103.954293981478</v>
      </c>
      <c r="J207" s="225">
        <v>0</v>
      </c>
      <c r="K207" s="237" t="str">
        <f>IF(ISEVEN(B207),(B207-1)&amp;"/"&amp;B207,B207&amp;"/"&amp;(B207+1))</f>
        <v>4063/4064</v>
      </c>
      <c r="L207" s="245" t="str">
        <f>VLOOKUP(A207,'Trips&amp;Operators'!$C$1:$G$99911,5,FALSE)</f>
        <v>STAMBAUGH JAMES</v>
      </c>
      <c r="M207" s="224">
        <f>I207-F207</f>
        <v>8.6805555547471158E-3</v>
      </c>
      <c r="N207" s="225">
        <f>24*60*SUM($M207:$M207)</f>
        <v>12.499999998835847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-03T21:24:56-0700',mode:absolute,to:'2018-01-03T23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7" s="247" t="str">
        <f>IF(AA207&lt;VLOOKUP(AG207,Variables!$AC$3:$AD$8,2,FALSE),"Y","N")</f>
        <v>N</v>
      </c>
      <c r="X207" s="247">
        <f>VALUE(LEFT(AD207,4))-VALUE(LEFT(AD206,4))</f>
        <v>1</v>
      </c>
      <c r="Y207" s="247">
        <f>RIGHT(D207,LEN(D207)-4)/10000</f>
        <v>5.87</v>
      </c>
      <c r="Z207" s="247">
        <f>RIGHT(H207,LEN(H207)-4)/10000</f>
        <v>1.38E-2</v>
      </c>
      <c r="AA207" s="247">
        <f>ABS(Z207-Y207)</f>
        <v>5.8562000000000003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846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/stypes="app*4063*20180104*" /stext=" 05:.+((SYSTEM_STATE.+slice.+state.+changed )|(ment ac)|(multiple cpu faults)|(system.+state.+changed )|(\[timeout)|(PRM\|1\|D)|(kpr)|(kdp)|(train st.+moving)|(\|lc)|(penalty))"</v>
      </c>
      <c r="AG207" s="244" t="str">
        <f>DetSubdiv(A207)</f>
        <v>NW</v>
      </c>
      <c r="AH207" s="236" t="str">
        <f t="shared" si="28"/>
        <v>"%USERPROFILE%\Documents\GitHub\eaglep3\Utilities\RefineRTDCRunTimes.py" --tripid 846-03 --locoid 4063 --swversion DE.1.0.9.0 --startMP 300:58700 --initTime 2018-01-03T22:24:56 --startdatetime 2018-01-03T22:41:41 --delay 52 --endMP 204:138 --enddatetime 2018-01-03T22:54:11 --enforcementcount 0 &gt;&gt;%USERPROFILE%\Documents\GitHub\eaglep3-reporting\EC\2018-01-03-refined-times.txt</v>
      </c>
      <c r="AI20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{"issue":{"subject":"","project_id":79,"tracker_id":40,"status_id":1,"priority_id":2,"assigned_to_id":338,"start_date":"2018-01-03","description":"","custom_fields":[{"id":1,"name":"Subdivision","value":"NW"},{"id":4,"name":"Milepost","value":"0.0138"},{"id":17,"name":"Train ID","value":"846-03"},{"id":16,"name":"Locomotive ID","value":"4063"},{"id":130,"name":"Impact","value":""},{"id":150,"name":"Time of Event (Mountain Time)","value":"22:54:11"},{"id":151,"name":"Denver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30"/>
        <v>start /low /b %USERPROFILE%\Documents\GitHub\eaglep3\Utilities\DownloadLogsFromS3.py --loco 4063 --day 2018-01-03</v>
      </c>
      <c r="AN20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2"/>
        <v>https://d0f6bd738d7f1b3e5a7ca70fe4ff75f0.us-east-1.aws.found.io/app/kibana#/discover/Steve-Slow-Train-Analysis-(2080s-and-2083s)?_g=(refreshInterval:(display:Off,pause:!f,section:0,value:0),time:(from:'2018-01-03T21:24:56-0700',mode:absolute,to:'2018-01-03T23:54:11-0700'))&amp;_a=(columns:!('Message%20ID',Summary),filters:!(),index:'emp_*',interval:auto,query:(query_string:(analyze_wildcard:!t,query:'%22rtdc.l.rtdc.4063%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661</v>
      </c>
      <c r="B208" s="225">
        <v>4064</v>
      </c>
      <c r="C208" s="227" t="s">
        <v>192</v>
      </c>
      <c r="D208" s="227" t="s">
        <v>1067</v>
      </c>
      <c r="E208" s="226">
        <v>43103.917824074073</v>
      </c>
      <c r="F208" s="226">
        <v>43103.923217592594</v>
      </c>
      <c r="G208" s="225">
        <v>71</v>
      </c>
      <c r="H208" s="227" t="s">
        <v>1096</v>
      </c>
      <c r="I208" s="226">
        <v>43103.932141203702</v>
      </c>
      <c r="J208" s="225">
        <v>0</v>
      </c>
      <c r="K208" s="237" t="str">
        <f>IF(ISEVEN(B208),(B208-1)&amp;"/"&amp;B208,B208&amp;"/"&amp;(B208+1))</f>
        <v>4063/4064</v>
      </c>
      <c r="L208" s="245" t="str">
        <f>VLOOKUP(A208,'Trips&amp;Operators'!$C$1:$G$99911,5,FALSE)</f>
        <v>STAMBAUGH JAMES</v>
      </c>
      <c r="M208" s="224">
        <f>I208-F208</f>
        <v>8.923611108912155E-3</v>
      </c>
      <c r="N208" s="225">
        <f>24*60*SUM($M208:$M208)</f>
        <v>12.849999996833503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-03T21:01:40-0700',mode:absolute,to:'2018-01-03T23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247" t="str">
        <f>IF(AA208&lt;VLOOKUP(AG208,Variables!$AC$3:$AD$8,2,FALSE),"Y","N")</f>
        <v>N</v>
      </c>
      <c r="X208" s="247">
        <f>VALUE(LEFT(AD208,4))-VALUE(LEFT(AD207,4))</f>
        <v>1</v>
      </c>
      <c r="Y208" s="247">
        <f>RIGHT(D208,LEN(D208)-4)/10000</f>
        <v>4.2599999999999999E-2</v>
      </c>
      <c r="Z208" s="247">
        <f>RIGHT(H208,LEN(H208)-4)/10000</f>
        <v>5.9009999999999998</v>
      </c>
      <c r="AA208" s="247">
        <f>ABS(Z208-Y208)</f>
        <v>5.8583999999999996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847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/stypes="app*4064*20180104*" /stext=" 05:.+((SYSTEM_STATE.+slice.+state.+changed )|(ment ac)|(multiple cpu faults)|(system.+state.+changed )|(\[timeout)|(PRM\|1\|D)|(kpr)|(kdp)|(train st.+moving)|(\|lc)|(penalty))"</v>
      </c>
      <c r="AG208" s="244" t="str">
        <f>DetSubdiv(A208)</f>
        <v>NW</v>
      </c>
      <c r="AH208" s="236" t="str">
        <f t="shared" si="28"/>
        <v>"%USERPROFILE%\Documents\GitHub\eaglep3\Utilities\RefineRTDCRunTimes.py" --tripid 847-03 --locoid 4064 --swversion DE.1.0.9.0 --startMP 204:426 --initTime 2018-01-03T22:01:40 --startdatetime 2018-01-03T22:09:26 --delay 71 --endMP 300:59010 --enddatetime 2018-01-03T22:22:17 --enforcementcount 0 &gt;&gt;%USERPROFILE%\Documents\GitHub\eaglep3-reporting\EC\2018-01-03-refined-times.txt</v>
      </c>
      <c r="AI20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{"issue":{"subject":"","project_id":79,"tracker_id":40,"status_id":1,"priority_id":2,"assigned_to_id":338,"start_date":"2018-01-03","description":"","custom_fields":[{"id":1,"name":"Subdivision","value":"NW"},{"id":4,"name":"Milepost","value":"5.901"},{"id":17,"name":"Train ID","value":"847-03"},{"id":16,"name":"Locomotive ID","value":"4064"},{"id":130,"name":"Impact","value":""},{"id":150,"name":"Time of Event (Mountain Time)","value":"22:22:17"},{"id":151,"name":"Denver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30"/>
        <v>start /low /b %USERPROFILE%\Documents\GitHub\eaglep3\Utilities\DownloadLogsFromS3.py --loco 4064 --day 2018-01-03</v>
      </c>
      <c r="AN20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32"/>
        <v>https://d0f6bd738d7f1b3e5a7ca70fe4ff75f0.us-east-1.aws.found.io/app/kibana#/discover/Steve-Slow-Train-Analysis-(2080s-and-2083s)?_g=(refreshInterval:(display:Off,pause:!f,section:0,value:0),time:(from:'2018-01-03T21:01:40-0700',mode:absolute,to:'2018-01-03T23:22:17-0700'))&amp;_a=(columns:!('Message%20ID',Summary),filters:!(),index:'emp_*',interval:auto,query:(query_string:(analyze_wildcard:!t,query:'%22rtdc.l.rtdc.4064%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877</v>
      </c>
      <c r="B209" s="225">
        <v>4064</v>
      </c>
      <c r="C209" s="227" t="s">
        <v>192</v>
      </c>
      <c r="D209" s="227" t="s">
        <v>603</v>
      </c>
      <c r="E209" s="226">
        <v>43103.955243055556</v>
      </c>
      <c r="F209" s="226">
        <v>43103.964756944442</v>
      </c>
      <c r="G209" s="225">
        <v>58</v>
      </c>
      <c r="H209" s="227" t="s">
        <v>1097</v>
      </c>
      <c r="I209" s="226">
        <v>43103.974027777775</v>
      </c>
      <c r="J209" s="225">
        <v>0</v>
      </c>
      <c r="K209" s="237" t="str">
        <f>IF(ISEVEN(B209),(B209-1)&amp;"/"&amp;B209,B209&amp;"/"&amp;(B209+1))</f>
        <v>4063/4064</v>
      </c>
      <c r="L209" s="245" t="str">
        <f>VLOOKUP(A209,'Trips&amp;Operators'!$C$1:$G$99911,5,FALSE)</f>
        <v>STAMBAUGH JAMES</v>
      </c>
      <c r="M209" s="224">
        <f>I209-F209</f>
        <v>9.2708333322661929E-3</v>
      </c>
      <c r="N209" s="225">
        <f>24*60*SUM($M209:$M209)</f>
        <v>13.349999998463318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-03T21:55:33-0700',mode:absolute,to:'2018-01-04T00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247" t="str">
        <f>IF(AA209&lt;VLOOKUP(AG209,Variables!$AC$3:$AD$8,2,FALSE),"Y","N")</f>
        <v>N</v>
      </c>
      <c r="X209" s="247">
        <f>VALUE(LEFT(AD209,4))-VALUE(LEFT(AD208,4))</f>
        <v>2</v>
      </c>
      <c r="Y209" s="247">
        <f>RIGHT(D209,LEN(D209)-4)/10000</f>
        <v>4.3900000000000002E-2</v>
      </c>
      <c r="Z209" s="247">
        <f>RIGHT(H209,LEN(H209)-4)/10000</f>
        <v>5.8921999999999999</v>
      </c>
      <c r="AA209" s="247">
        <f>ABS(Z209-Y209)</f>
        <v>5.8483000000000001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849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/stypes="app*4064*20180104*" /stext=" 06:.+((SYSTEM_STATE.+slice.+state.+changed )|(ment ac)|(multiple cpu faults)|(system.+state.+changed )|(\[timeout)|(PRM\|1\|D)|(kpr)|(kdp)|(train st.+moving)|(\|lc)|(penalty))"</v>
      </c>
      <c r="AG209" s="244" t="str">
        <f>DetSubdiv(A209)</f>
        <v>NW</v>
      </c>
      <c r="AH209" s="236" t="str">
        <f t="shared" ref="AH209:AH251" si="44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849-03 --locoid 4064 --swversion DE.1.0.9.0 --startMP 204:439 --initTime 2018-01-03T22:55:33 --startdatetime 2018-01-03T23:09:15 --delay 58 --endMP 300:58922 --enddatetime 2018-01-03T23:22:36 --enforcementcount 0 &gt;&gt;%USERPROFILE%\Documents\GitHub\eaglep3-reporting\EC\2018-01-03-refined-times.txt</v>
      </c>
      <c r="AI209" s="238" t="str">
        <f t="shared" ref="AI209:AI251" si="45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{"issue":{"subject":"","project_id":79,"tracker_id":40,"status_id":1,"priority_id":2,"assigned_to_id":338,"start_date":"2018-01-03","description":"","custom_fields":[{"id":1,"name":"Subdivision","value":"NW"},{"id":4,"name":"Milepost","value":"5.8922"},{"id":17,"name":"Train ID","value":"849-03"},{"id":16,"name":"Locomotive ID","value":"4064"},{"id":130,"name":"Impact","value":""},{"id":150,"name":"Time of Event (Mountain Time)","value":"23:22:36"},{"id":151,"name":"Denver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ref="AM209:AM251" si="46">"start /low /b "&amp;dls3logs&amp;" --loco "&amp;B209&amp;" --day "&amp;TEXT(F209,"YYYY-MM-DD")</f>
        <v>start /low /b %USERPROFILE%\Documents\GitHub\eaglep3\Utilities\DownloadLogsFromS3.py --loco 4064 --day 2018-01-03</v>
      </c>
      <c r="AN209" s="241" t="str">
        <f t="shared" ref="AN209:AN251" si="47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ref="AO209:AO251" si="48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-03T21:55:33-0700',mode:absolute,to:'2018-01-04T00:22:36-0700'))&amp;_a=(columns:!('Message%20ID',Summary),filters:!(),index:'emp_*',interval:auto,query:(query_string:(analyze_wildcard:!t,query:'%22rtdc.l.rtdc.4064%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671</v>
      </c>
      <c r="B210" s="225">
        <v>4019</v>
      </c>
      <c r="C210" s="227" t="s">
        <v>192</v>
      </c>
      <c r="D210" s="227" t="s">
        <v>993</v>
      </c>
      <c r="E210" s="226">
        <v>43103.120057870372</v>
      </c>
      <c r="F210" s="226">
        <v>43103.122557870367</v>
      </c>
      <c r="G210" s="225">
        <v>90</v>
      </c>
      <c r="H210" s="227" t="s">
        <v>509</v>
      </c>
      <c r="I210" s="226">
        <v>43103.128136574072</v>
      </c>
      <c r="J210" s="225">
        <v>0</v>
      </c>
      <c r="K210" s="237" t="str">
        <f>IF(ISEVEN(B210),(B210-1)&amp;"/"&amp;B210,B210&amp;"/"&amp;(B210+1))</f>
        <v>4019/4020</v>
      </c>
      <c r="L210" s="245" t="str">
        <f>VLOOKUP(A210,'Trips&amp;Operators'!$C$1:$G$99911,5,FALSE)</f>
        <v>LONG FULLER</v>
      </c>
      <c r="M210" s="224">
        <f>I210-F210</f>
        <v>5.5787037053960375E-3</v>
      </c>
      <c r="N210" s="225">
        <f>24*60*SUM($M210:$M210)</f>
        <v>8.0333333357702941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-03T01:52:53-0700',mode:absolute,to:'2018-01-03T04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-549</v>
      </c>
      <c r="Y210" s="247">
        <f>RIGHT(D210,LEN(D210)-4)/10000</f>
        <v>2.3548</v>
      </c>
      <c r="Z210" s="247">
        <f>RIGHT(H210,LEN(H210)-4)/10000</f>
        <v>2.1399999999999999E-2</v>
      </c>
      <c r="AA210" s="247">
        <f>ABS(Z210-Y210)</f>
        <v>2.3334000000000001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300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/stypes="app*4019*20180103*" /stext=" 10:.+((SYSTEM_STATE.+slice.+state.+changed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44"/>
        <v>"%USERPROFILE%\Documents\GitHub\eaglep3\Utilities\RefineRTDCRunTimes.py" --tripid 300-03 --locoid 4019 --swversion DE.1.0.9.0 --startMP 300:23548 --initTime 2018-01-03T02:52:53 --startdatetime 2018-01-03T02:56:29 --delay 90 --endMP 204:214 --enddatetime 2018-01-03T03:04:31 --enforcementcount 0 &gt;&gt;%USERPROFILE%\Documents\GitHub\eaglep3-reporting\EC\2018-01-03-refined-times.txt</v>
      </c>
      <c r="AI210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{"issue":{"subject":"","project_id":79,"tracker_id":40,"status_id":1,"priority_id":2,"assigned_to_id":338,"start_date":"2018-01-03","description":"","custom_fields":[{"id":1,"name":"Subdivision","value":"Other"},{"id":4,"name":"Milepost","value":"0.0214"},{"id":17,"name":"Train ID","value":"300-03"},{"id":16,"name":"Locomotive ID","value":"4019"},{"id":130,"name":"Impact","value":""},{"id":150,"name":"Time of Event (Mountain Time)","value":"03:04:31"},{"id":151,"name":"Denver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si="46"/>
        <v>start /low /b %USERPROFILE%\Documents\GitHub\eaglep3\Utilities\DownloadLogsFromS3.py --loco 4019 --day 2018-01-03</v>
      </c>
      <c r="AN21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48"/>
        <v>https://d0f6bd738d7f1b3e5a7ca70fe4ff75f0.us-east-1.aws.found.io/app/kibana#/discover/Steve-Slow-Train-Analysis-(2080s-and-2083s)?_g=(refreshInterval:(display:Off,pause:!f,section:0,value:0),time:(from:'2018-01-03T01:52:53-0700',mode:absolute,to:'2018-01-03T04:04:31-0700'))&amp;_a=(columns:!('Message%20ID',Summary),filters:!(),index:'emp_*',interval:auto,query:(query_string:(analyze_wildcard:!t,query:'%22rtdc.l.rtdc.4019%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848</v>
      </c>
      <c r="B211" s="225">
        <v>4060</v>
      </c>
      <c r="C211" s="227" t="s">
        <v>192</v>
      </c>
      <c r="D211" s="227" t="s">
        <v>964</v>
      </c>
      <c r="E211" s="226">
        <v>43103.77621527778</v>
      </c>
      <c r="F211" s="226">
        <v>43103.779814814814</v>
      </c>
      <c r="G211" s="225">
        <v>67</v>
      </c>
      <c r="H211" s="227" t="s">
        <v>567</v>
      </c>
      <c r="I211" s="226">
        <v>43103.786932870367</v>
      </c>
      <c r="J211" s="225">
        <v>0</v>
      </c>
      <c r="K211" s="237" t="str">
        <f>IF(ISEVEN(B211),(B211-1)&amp;"/"&amp;B211,B211&amp;"/"&amp;(B211+1))</f>
        <v>4059/4060</v>
      </c>
      <c r="L211" s="245" t="str">
        <f>VLOOKUP(A211,'Trips&amp;Operators'!$C$1:$G$99911,5,FALSE)</f>
        <v>GUZMAN DANNY</v>
      </c>
      <c r="M211" s="224">
        <f>I211-F211</f>
        <v>7.1180555532919243E-3</v>
      </c>
      <c r="N211" s="225">
        <f>24*60*SUM($M211:$M211)</f>
        <v>10.249999996740371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-03T17:37:45-0700',mode:absolute,to:'2018-01-03T19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5.6000000000000001E-2</v>
      </c>
      <c r="Z211" s="247">
        <f>RIGHT(H211,LEN(H211)-4)/10000</f>
        <v>2.3300999999999998</v>
      </c>
      <c r="AA211" s="247">
        <f>ABS(Z211-Y211)</f>
        <v>2.2740999999999998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/stypes="app*4060*20180104*" /stext=" 01:.+((SYSTEM_STATE.+slice.+state.+changed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44"/>
        <v>"%USERPROFILE%\Documents\GitHub\eaglep3\Utilities\RefineRTDCRunTimes.py" --tripid 301-03 --locoid 4060 --swversion DE.1.0.9.0 --startMP 204:560 --initTime 2018-01-03T18:37:45 --startdatetime 2018-01-03T18:42:56 --delay 67 --endMP 300:23301 --enddatetime 2018-01-03T18:53:11 --enforcementcount 0 &gt;&gt;%USERPROFILE%\Documents\GitHub\eaglep3-reporting\EC\2018-01-03-refined-times.txt</v>
      </c>
      <c r="AI211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{"issue":{"subject":"","project_id":79,"tracker_id":40,"status_id":1,"priority_id":2,"assigned_to_id":338,"start_date":"2018-01-03","description":"","custom_fields":[{"id":1,"name":"Subdivision","value":"Other"},{"id":4,"name":"Milepost","value":"2.3301"},{"id":17,"name":"Train ID","value":"301-03"},{"id":16,"name":"Locomotive ID","value":"4060"},{"id":130,"name":"Impact","value":""},{"id":150,"name":"Time of Event (Mountain Time)","value":"18:53:11"},{"id":151,"name":"Denver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46"/>
        <v>start /low /b %USERPROFILE%\Documents\GitHub\eaglep3\Utilities\DownloadLogsFromS3.py --loco 4060 --day 2018-01-03</v>
      </c>
      <c r="AN21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48"/>
        <v>https://d0f6bd738d7f1b3e5a7ca70fe4ff75f0.us-east-1.aws.found.io/app/kibana#/discover/Steve-Slow-Train-Analysis-(2080s-and-2083s)?_g=(refreshInterval:(display:Off,pause:!f,section:0,value:0),time:(from:'2018-01-03T17:37:45-0700',mode:absolute,to:'2018-01-03T19:53:11-0700'))&amp;_a=(columns:!('Message%20ID',Summary),filters:!(),index:'emp_*',interval:auto,query:(query_string:(analyze_wildcard:!t,query:'%22rtdc.l.rtdc.4060%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675</v>
      </c>
      <c r="B212" s="225">
        <v>4049</v>
      </c>
      <c r="C212" s="227" t="s">
        <v>192</v>
      </c>
      <c r="D212" s="227" t="s">
        <v>994</v>
      </c>
      <c r="E212" s="226">
        <v>43103.139270833337</v>
      </c>
      <c r="F212" s="226">
        <v>43103.142500000002</v>
      </c>
      <c r="G212" s="225">
        <v>82</v>
      </c>
      <c r="H212" s="227" t="s">
        <v>534</v>
      </c>
      <c r="I212" s="226">
        <v>43103.1484375</v>
      </c>
      <c r="J212" s="225">
        <v>0</v>
      </c>
      <c r="K212" s="237" t="str">
        <f>IF(ISEVEN(B212),(B212-1)&amp;"/"&amp;B212,B212&amp;"/"&amp;(B212+1))</f>
        <v>4049/4050</v>
      </c>
      <c r="L212" s="245" t="str">
        <f>VLOOKUP(A212,'Trips&amp;Operators'!$C$1:$G$99911,5,FALSE)</f>
        <v>THOMPSON LESTER</v>
      </c>
      <c r="M212" s="224">
        <f>I212-F212</f>
        <v>5.9374999982537702E-3</v>
      </c>
      <c r="N212" s="225">
        <f>24*60*SUM($M212:$M212)</f>
        <v>8.549999997485429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-03T02:20:33-0700',mode:absolute,to:'2018-01-03T04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2.3412999999999999</v>
      </c>
      <c r="Z212" s="247">
        <f>RIGHT(H212,LEN(H212)-4)/10000</f>
        <v>1.4999999999999999E-2</v>
      </c>
      <c r="AA212" s="247">
        <f>ABS(Z212-Y212)</f>
        <v>2.3262999999999998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302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/stypes="app*4049*20180103*"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44"/>
        <v>"%USERPROFILE%\Documents\GitHub\eaglep3\Utilities\RefineRTDCRunTimes.py" --tripid 302-03 --locoid 4049 --swversion DE.1.0.9.0 --startMP 300:23413 --initTime 2018-01-03T03:20:33 --startdatetime 2018-01-03T03:25:12 --delay 82 --endMP 204:150 --enddatetime 2018-01-03T03:33:45 --enforcementcount 0 &gt;&gt;%USERPROFILE%\Documents\GitHub\eaglep3-reporting\EC\2018-01-03-refined-times.txt</v>
      </c>
      <c r="AI212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{"issue":{"subject":"","project_id":79,"tracker_id":40,"status_id":1,"priority_id":2,"assigned_to_id":338,"start_date":"2018-01-03","description":"","custom_fields":[{"id":1,"name":"Subdivision","value":"Other"},{"id":4,"name":"Milepost","value":"0.015"},{"id":17,"name":"Train ID","value":"302-03"},{"id":16,"name":"Locomotive ID","value":"4049"},{"id":130,"name":"Impact","value":""},{"id":150,"name":"Time of Event (Mountain Time)","value":"03:33:45"},{"id":151,"name":"Denver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46"/>
        <v>start /low /b %USERPROFILE%\Documents\GitHub\eaglep3\Utilities\DownloadLogsFromS3.py --loco 4049 --day 2018-01-03</v>
      </c>
      <c r="AN212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48"/>
        <v>https://d0f6bd738d7f1b3e5a7ca70fe4ff75f0.us-east-1.aws.found.io/app/kibana#/discover/Steve-Slow-Train-Analysis-(2080s-and-2083s)?_g=(refreshInterval:(display:Off,pause:!f,section:0,value:0),time:(from:'2018-01-03T02:20:33-0700',mode:absolute,to:'2018-01-03T04:33:45-0700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853</v>
      </c>
      <c r="B213" s="225">
        <v>4030</v>
      </c>
      <c r="C213" s="227" t="s">
        <v>192</v>
      </c>
      <c r="D213" s="227" t="s">
        <v>549</v>
      </c>
      <c r="E213" s="226">
        <v>43103.797974537039</v>
      </c>
      <c r="F213" s="226">
        <v>43103.799803240741</v>
      </c>
      <c r="G213" s="225">
        <v>52</v>
      </c>
      <c r="H213" s="227" t="s">
        <v>995</v>
      </c>
      <c r="I213" s="226">
        <v>43103.808854166666</v>
      </c>
      <c r="J213" s="225">
        <v>0</v>
      </c>
      <c r="K213" s="237" t="str">
        <f>IF(ISEVEN(B213),(B213-1)&amp;"/"&amp;B213,B213&amp;"/"&amp;(B213+1))</f>
        <v>4029/4030</v>
      </c>
      <c r="L213" s="245" t="str">
        <f>VLOOKUP(A213,'Trips&amp;Operators'!$C$1:$G$99911,5,FALSE)</f>
        <v>KILLION DAVID</v>
      </c>
      <c r="M213" s="224">
        <f>I213-F213</f>
        <v>9.0509259243845008E-3</v>
      </c>
      <c r="N213" s="225">
        <f>24*60*SUM($M213:$M213)</f>
        <v>13.033333331113681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-03T18:09:05-0700',mode:absolute,to:'2018-01-03T20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4.9799999999999997E-2</v>
      </c>
      <c r="Z213" s="247">
        <f>RIGHT(H213,LEN(H213)-4)/10000</f>
        <v>2.3306</v>
      </c>
      <c r="AA213" s="247">
        <f>ABS(Z213-Y213)</f>
        <v>2.2808000000000002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303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/stypes="app*4030*20180104*" /stext=" 02:.+((SYSTEM_STATE.+slice.+state.+changed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44"/>
        <v>"%USERPROFILE%\Documents\GitHub\eaglep3\Utilities\RefineRTDCRunTimes.py" --tripid 303-03 --locoid 4030 --swversion DE.1.0.9.0 --startMP 204:498 --initTime 2018-01-03T19:09:05 --startdatetime 2018-01-03T19:11:43 --delay 52 --endMP 300:23306 --enddatetime 2018-01-03T19:24:45 --enforcementcount 0 &gt;&gt;%USERPROFILE%\Documents\GitHub\eaglep3-reporting\EC\2018-01-03-refined-times.txt</v>
      </c>
      <c r="AI213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{"issue":{"subject":"","project_id":79,"tracker_id":40,"status_id":1,"priority_id":2,"assigned_to_id":338,"start_date":"2018-01-03","description":"","custom_fields":[{"id":1,"name":"Subdivision","value":"Other"},{"id":4,"name":"Milepost","value":"2.3306"},{"id":17,"name":"Train ID","value":"303-03"},{"id":16,"name":"Locomotive ID","value":"4030"},{"id":130,"name":"Impact","value":""},{"id":150,"name":"Time of Event (Mountain Time)","value":"19:24:45"},{"id":151,"name":"Denver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46"/>
        <v>start /low /b %USERPROFILE%\Documents\GitHub\eaglep3\Utilities\DownloadLogsFromS3.py --loco 4030 --day 2018-01-03</v>
      </c>
      <c r="AN213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48"/>
        <v>https://d0f6bd738d7f1b3e5a7ca70fe4ff75f0.us-east-1.aws.found.io/app/kibana#/discover/Steve-Slow-Train-Analysis-(2080s-and-2083s)?_g=(refreshInterval:(display:Off,pause:!f,section:0,value:0),time:(from:'2018-01-03T18:09:05-0700',mode:absolute,to:'2018-01-03T20:24:45-0700'))&amp;_a=(columns:!('Message%20ID',Summary),filters:!(),index:'emp_*',interval:auto,query:(query_string:(analyze_wildcard:!t,query:'%22rtdc.l.rtdc.4030%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678</v>
      </c>
      <c r="B214" s="225">
        <v>4001</v>
      </c>
      <c r="C214" s="227" t="s">
        <v>192</v>
      </c>
      <c r="D214" s="227" t="s">
        <v>996</v>
      </c>
      <c r="E214" s="226">
        <v>43103.159537037034</v>
      </c>
      <c r="F214" s="226">
        <v>43103.163194444445</v>
      </c>
      <c r="G214" s="225">
        <v>80</v>
      </c>
      <c r="H214" s="227" t="s">
        <v>530</v>
      </c>
      <c r="I214" s="226">
        <v>43103.168819444443</v>
      </c>
      <c r="J214" s="225">
        <v>0</v>
      </c>
      <c r="K214" s="237" t="str">
        <f>IF(ISEVEN(B214),(B214-1)&amp;"/"&amp;B214,B214&amp;"/"&amp;(B214+1))</f>
        <v>4001/4002</v>
      </c>
      <c r="L214" s="245" t="str">
        <f>VLOOKUP(A214,'Trips&amp;Operators'!$C$1:$G$99911,5,FALSE)</f>
        <v>PAGE MARCUS</v>
      </c>
      <c r="M214" s="224">
        <f>I214-F214</f>
        <v>5.6249999979627319E-3</v>
      </c>
      <c r="N214" s="225">
        <f>24*60*SUM($M214:$M214)</f>
        <v>8.0999999970663339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-03T02:49:44-0700',mode:absolute,to:'2018-01-03T05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2.3773</v>
      </c>
      <c r="Z214" s="247">
        <f>RIGHT(H214,LEN(H214)-4)/10000</f>
        <v>1.54E-2</v>
      </c>
      <c r="AA214" s="247">
        <f>ABS(Z214-Y214)</f>
        <v>2.3618999999999999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304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/stypes="app*4001*20180103*" /stext=" 11:.+((SYSTEM_STATE.+slice.+state.+changed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44"/>
        <v>"%USERPROFILE%\Documents\GitHub\eaglep3\Utilities\RefineRTDCRunTimes.py" --tripid 304-03 --locoid 4001 --swversion DE.1.0.9.0 --startMP 300:23773 --initTime 2018-01-03T03:49:44 --startdatetime 2018-01-03T03:55:00 --delay 80 --endMP 204:154 --enddatetime 2018-01-03T04:03:06 --enforcementcount 0 &gt;&gt;%USERPROFILE%\Documents\GitHub\eaglep3-reporting\EC\2018-01-03-refined-times.txt</v>
      </c>
      <c r="AI214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{"issue":{"subject":"","project_id":79,"tracker_id":40,"status_id":1,"priority_id":2,"assigned_to_id":338,"start_date":"2018-01-03","description":"","custom_fields":[{"id":1,"name":"Subdivision","value":"Other"},{"id":4,"name":"Milepost","value":"0.0154"},{"id":17,"name":"Train ID","value":"304-03"},{"id":16,"name":"Locomotive ID","value":"4001"},{"id":130,"name":"Impact","value":""},{"id":150,"name":"Time of Event (Mountain Time)","value":"04:03:06"},{"id":151,"name":"Denver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46"/>
        <v>start /low /b %USERPROFILE%\Documents\GitHub\eaglep3\Utilities\DownloadLogsFromS3.py --loco 4001 --day 2018-01-03</v>
      </c>
      <c r="AN21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48"/>
        <v>https://d0f6bd738d7f1b3e5a7ca70fe4ff75f0.us-east-1.aws.found.io/app/kibana#/discover/Steve-Slow-Train-Analysis-(2080s-and-2083s)?_g=(refreshInterval:(display:Off,pause:!f,section:0,value:0),time:(from:'2018-01-03T02:49:44-0700',mode:absolute,to:'2018-01-03T05:03:06-0700'))&amp;_a=(columns:!('Message%20ID',Summary),filters:!(),index:'emp_*',interval:auto,query:(query_string:(analyze_wildcard:!t,query:'%22rtdc.l.rtdc.4001%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858</v>
      </c>
      <c r="B215" s="225">
        <v>4062</v>
      </c>
      <c r="C215" s="227" t="s">
        <v>192</v>
      </c>
      <c r="D215" s="227" t="s">
        <v>531</v>
      </c>
      <c r="E215" s="226">
        <v>43103.820844907408</v>
      </c>
      <c r="F215" s="226">
        <v>43103.821967592594</v>
      </c>
      <c r="G215" s="225">
        <v>48</v>
      </c>
      <c r="H215" s="227" t="s">
        <v>997</v>
      </c>
      <c r="I215" s="226">
        <v>43103.827824074076</v>
      </c>
      <c r="J215" s="225">
        <v>0</v>
      </c>
      <c r="K215" s="237" t="str">
        <f>IF(ISEVEN(B215),(B215-1)&amp;"/"&amp;B215,B215&amp;"/"&amp;(B215+1))</f>
        <v>4061/4062</v>
      </c>
      <c r="L215" s="245" t="str">
        <f>VLOOKUP(A215,'Trips&amp;Operators'!$C$1:$G$99911,5,FALSE)</f>
        <v>HOLCOMB KAMDEN</v>
      </c>
      <c r="M215" s="224">
        <f>I215-F215</f>
        <v>5.8564814826240763E-3</v>
      </c>
      <c r="N215" s="225">
        <f>24*60*SUM($M215:$M215)</f>
        <v>8.4333333349786699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-03T18:42:01-0700',mode:absolute,to:'2018-01-03T20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5.2900000000000003E-2</v>
      </c>
      <c r="Z215" s="247">
        <f>RIGHT(H215,LEN(H215)-4)/10000</f>
        <v>2.3315999999999999</v>
      </c>
      <c r="AA215" s="247">
        <f>ABS(Z215-Y215)</f>
        <v>2.2786999999999997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305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/stypes="app*4062*20180104*" /stext=" 02:.+((SYSTEM_STATE.+slice.+state.+changed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44"/>
        <v>"%USERPROFILE%\Documents\GitHub\eaglep3\Utilities\RefineRTDCRunTimes.py" --tripid 305-03 --locoid 4062 --swversion DE.1.0.9.0 --startMP 204:529 --initTime 2018-01-03T19:42:01 --startdatetime 2018-01-03T19:43:38 --delay 48 --endMP 300:23316 --enddatetime 2018-01-03T19:52:04 --enforcementcount 0 &gt;&gt;%USERPROFILE%\Documents\GitHub\eaglep3-reporting\EC\2018-01-03-refined-times.txt</v>
      </c>
      <c r="AI215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{"issue":{"subject":"","project_id":79,"tracker_id":40,"status_id":1,"priority_id":2,"assigned_to_id":338,"start_date":"2018-01-03","description":"","custom_fields":[{"id":1,"name":"Subdivision","value":"Other"},{"id":4,"name":"Milepost","value":"2.3316"},{"id":17,"name":"Train ID","value":"305-03"},{"id":16,"name":"Locomotive ID","value":"4062"},{"id":130,"name":"Impact","value":""},{"id":150,"name":"Time of Event (Mountain Time)","value":"19:52:04"},{"id":151,"name":"Denver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46"/>
        <v>start /low /b %USERPROFILE%\Documents\GitHub\eaglep3\Utilities\DownloadLogsFromS3.py --loco 4062 --day 2018-01-03</v>
      </c>
      <c r="AN215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48"/>
        <v>https://d0f6bd738d7f1b3e5a7ca70fe4ff75f0.us-east-1.aws.found.io/app/kibana#/discover/Steve-Slow-Train-Analysis-(2080s-and-2083s)?_g=(refreshInterval:(display:Off,pause:!f,section:0,value:0),time:(from:'2018-01-03T18:42:01-0700',mode:absolute,to:'2018-01-03T20:52:04-0700'))&amp;_a=(columns:!('Message%20ID',Summary),filters:!(),index:'emp_*',interval:auto,query:(query_string:(analyze_wildcard:!t,query:'%22rtdc.l.rtdc.4062%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682</v>
      </c>
      <c r="B216" s="225">
        <v>4003</v>
      </c>
      <c r="C216" s="227" t="s">
        <v>192</v>
      </c>
      <c r="D216" s="227" t="s">
        <v>998</v>
      </c>
      <c r="E216" s="226">
        <v>43103.171539351853</v>
      </c>
      <c r="F216" s="226">
        <v>43103.175844907404</v>
      </c>
      <c r="G216" s="225">
        <v>98</v>
      </c>
      <c r="H216" s="227" t="s">
        <v>983</v>
      </c>
      <c r="I216" s="226">
        <v>43103.181759259256</v>
      </c>
      <c r="J216" s="225">
        <v>0</v>
      </c>
      <c r="K216" s="237" t="str">
        <f>IF(ISEVEN(B216),(B216-1)&amp;"/"&amp;B216,B216&amp;"/"&amp;(B216+1))</f>
        <v>4003/4004</v>
      </c>
      <c r="L216" s="245" t="str">
        <f>VLOOKUP(A216,'Trips&amp;Operators'!$C$1:$G$99911,5,FALSE)</f>
        <v>DAVIDSON DAVID</v>
      </c>
      <c r="M216" s="224">
        <f>I216-F216</f>
        <v>5.914351851970423E-3</v>
      </c>
      <c r="N216" s="225">
        <f>24*60*SUM($M216:$M216)</f>
        <v>8.5166666668374091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-03T03:07:01-0700',mode:absolute,to:'2018-01-03T05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2.3336000000000001</v>
      </c>
      <c r="Z216" s="247">
        <f>RIGHT(H216,LEN(H216)-4)/10000</f>
        <v>2.3599999999999999E-2</v>
      </c>
      <c r="AA216" s="247">
        <f>ABS(Z216-Y216)</f>
        <v>2.31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306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/stypes="app*4003*20180103*" /stext=" 11:.+((SYSTEM_STATE.+slice.+state.+changed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44"/>
        <v>"%USERPROFILE%\Documents\GitHub\eaglep3\Utilities\RefineRTDCRunTimes.py" --tripid 306-03 --locoid 4003 --swversion DE.1.0.9.0 --startMP 300:23336 --initTime 2018-01-03T04:07:01 --startdatetime 2018-01-03T04:13:13 --delay 98 --endMP 204:236 --enddatetime 2018-01-03T04:21:44 --enforcementcount 0 &gt;&gt;%USERPROFILE%\Documents\GitHub\eaglep3-reporting\EC\2018-01-03-refined-times.txt</v>
      </c>
      <c r="AI216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{"issue":{"subject":"","project_id":79,"tracker_id":40,"status_id":1,"priority_id":2,"assigned_to_id":338,"start_date":"2018-01-03","description":"","custom_fields":[{"id":1,"name":"Subdivision","value":"Other"},{"id":4,"name":"Milepost","value":"0.0236"},{"id":17,"name":"Train ID","value":"306-03"},{"id":16,"name":"Locomotive ID","value":"4003"},{"id":130,"name":"Impact","value":""},{"id":150,"name":"Time of Event (Mountain Time)","value":"04:21:44"},{"id":151,"name":"Denver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46"/>
        <v>start /low /b %USERPROFILE%\Documents\GitHub\eaglep3\Utilities\DownloadLogsFromS3.py --loco 4003 --day 2018-01-03</v>
      </c>
      <c r="AN216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48"/>
        <v>https://d0f6bd738d7f1b3e5a7ca70fe4ff75f0.us-east-1.aws.found.io/app/kibana#/discover/Steve-Slow-Train-Analysis-(2080s-and-2083s)?_g=(refreshInterval:(display:Off,pause:!f,section:0,value:0),time:(from:'2018-01-03T03:07:01-0700',mode:absolute,to:'2018-01-03T05:21:44-0700'))&amp;_a=(columns:!('Message%20ID',Summary),filters:!(),index:'emp_*',interval:auto,query:(query_string:(analyze_wildcard:!t,query:'%22rtdc.l.rtdc.4003%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886</v>
      </c>
      <c r="B217" s="225">
        <v>4050</v>
      </c>
      <c r="C217" s="227" t="s">
        <v>192</v>
      </c>
      <c r="D217" s="227" t="s">
        <v>972</v>
      </c>
      <c r="E217" s="226">
        <v>43104.045428240737</v>
      </c>
      <c r="F217" s="226">
        <v>43104.046747685185</v>
      </c>
      <c r="G217" s="225">
        <v>69</v>
      </c>
      <c r="H217" s="227" t="s">
        <v>632</v>
      </c>
      <c r="I217" s="226">
        <v>43104.052951388891</v>
      </c>
      <c r="J217" s="225">
        <v>0</v>
      </c>
      <c r="K217" s="237" t="str">
        <f>IF(ISEVEN(B217),(B217-1)&amp;"/"&amp;B217,B217&amp;"/"&amp;(B217+1))</f>
        <v>4049/4050</v>
      </c>
      <c r="L217" s="245" t="str">
        <f>VLOOKUP(A217,'Trips&amp;Operators'!$C$1:$G$99911,5,FALSE)</f>
        <v>RESPASS AARON</v>
      </c>
      <c r="M217" s="224">
        <f>I217-F217</f>
        <v>6.2037037059781142E-3</v>
      </c>
      <c r="N217" s="225">
        <f>24*60*SUM($M217:$M217)</f>
        <v>8.9333333366084844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-04T00:05:25-0700',mode:absolute,to:'2018-01-04T02:16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5.4600000000000003E-2</v>
      </c>
      <c r="Z217" s="247">
        <f>RIGHT(H217,LEN(H217)-4)/10000</f>
        <v>2.3296999999999999</v>
      </c>
      <c r="AA217" s="247">
        <f>ABS(Z217-Y217)</f>
        <v>2.2750999999999997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307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 &amp; 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/stypes="app*4050*20180104*" /stext=" 08:.+((SYSTEM_STATE.+slice.+state.+changed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44"/>
        <v>"%USERPROFILE%\Documents\GitHub\eaglep3\Utilities\RefineRTDCRunTimes.py" --tripid 307-03 --locoid 4050 --swversion DE.1.0.9.0 --startMP 204:546 --initTime 2018-01-04T01:05:25 --startdatetime 2018-01-04T01:07:19 --delay 69 --endMP 300:23297 --enddatetime 2018-01-04T01:16:15 --enforcementcount 0 &gt;&gt;%USERPROFILE%\Documents\GitHub\eaglep3-reporting\EC\2018-01-03-refined-times.txt</v>
      </c>
      <c r="AI217" s="238" t="str">
        <f t="shared" si="45"/>
        <v>echo {"issue":{"subject":"","project_id":79,"tracker_id":40,"status_id":1,"priority_id":2,"assigned_to_id":338,"start_date":"2018-01-04","description":"","custom_fields":[{"id":1,"name":"Subdivision","value":"Other"},{"id":4,"name":"Milepost","value":"2.3297"},{"id":17,"name":"Train ID","value":"307-03"},{"id":16,"name":"Locomotive ID","value":"4050"},{"id":130,"name":"Impact","value":""},{"id":150,"name":"Time of Event (Mountain Time)","value":"01:16:15"},{"id":151,"name":"Denver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46"/>
        <v>start /low /b %USERPROFILE%\Documents\GitHub\eaglep3\Utilities\DownloadLogsFromS3.py --loco 4050 --day 2018-01-04</v>
      </c>
      <c r="AN217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08:16:15"},{"id":29,"name":"Sharepoint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48"/>
        <v>https://d0f6bd738d7f1b3e5a7ca70fe4ff75f0.us-east-1.aws.found.io/app/kibana#/discover/Steve-Slow-Train-Analysis-(2080s-and-2083s)?_g=(refreshInterval:(display:Off,pause:!f,section:0,value:0),time:(from:'2018-01-04T00:05:25-0700',mode:absolute,to:'2018-01-04T02:16:15-0700'))&amp;_a=(columns:!('Message%20ID',Summary),filters:!(),index:'emp_*',interval:auto,query:(query_string:(analyze_wildcard:!t,query:'%22rtdc.l.rtdc.4050%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683</v>
      </c>
      <c r="B218" s="225">
        <v>4059</v>
      </c>
      <c r="C218" s="227" t="s">
        <v>192</v>
      </c>
      <c r="D218" s="227" t="s">
        <v>999</v>
      </c>
      <c r="E218" s="226">
        <v>43103.179629629631</v>
      </c>
      <c r="F218" s="226">
        <v>43103.183379629627</v>
      </c>
      <c r="G218" s="225">
        <v>121</v>
      </c>
      <c r="H218" s="227" t="s">
        <v>482</v>
      </c>
      <c r="I218" s="226">
        <v>43103.190810185188</v>
      </c>
      <c r="J218" s="225">
        <v>0</v>
      </c>
      <c r="K218" s="237" t="str">
        <f>IF(ISEVEN(B218),(B218-1)&amp;"/"&amp;B218,B218&amp;"/"&amp;(B218+1))</f>
        <v>4059/4060</v>
      </c>
      <c r="L218" s="245" t="str">
        <f>VLOOKUP(A218,'Trips&amp;Operators'!$C$1:$G$99911,5,FALSE)</f>
        <v>LOPES KIMBERLY</v>
      </c>
      <c r="M218" s="224">
        <f>I218-F218</f>
        <v>7.4305555608589202E-3</v>
      </c>
      <c r="N218" s="225">
        <f>24*60*SUM($M218:$M218)</f>
        <v>10.700000007636845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-03T03:18:40-0700',mode:absolute,to:'2018-01-03T05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2.3443999999999998</v>
      </c>
      <c r="Z218" s="247">
        <f>RIGHT(H218,LEN(H218)-4)/10000</f>
        <v>2.0500000000000001E-2</v>
      </c>
      <c r="AA218" s="247">
        <f>ABS(Z218-Y218)</f>
        <v>2.3238999999999996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308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/stypes="app*4059*20180103*" /stext=" 11:.+((SYSTEM_STATE.+slice.+state.+changed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44"/>
        <v>"%USERPROFILE%\Documents\GitHub\eaglep3\Utilities\RefineRTDCRunTimes.py" --tripid 308-03 --locoid 4059 --swversion DE.1.0.9.0 --startMP 300:23444 --initTime 2018-01-03T04:18:40 --startdatetime 2018-01-03T04:24:04 --delay 121 --endMP 204:205 --enddatetime 2018-01-03T04:34:46 --enforcementcount 0 &gt;&gt;%USERPROFILE%\Documents\GitHub\eaglep3-reporting\EC\2018-01-03-refined-times.txt</v>
      </c>
      <c r="AI218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{"issue":{"subject":"","project_id":79,"tracker_id":40,"status_id":1,"priority_id":2,"assigned_to_id":338,"start_date":"2018-01-03","description":"","custom_fields":[{"id":1,"name":"Subdivision","value":"Other"},{"id":4,"name":"Milepost","value":"0.0205"},{"id":17,"name":"Train ID","value":"308-03"},{"id":16,"name":"Locomotive ID","value":"4059"},{"id":130,"name":"Impact","value":""},{"id":150,"name":"Time of Event (Mountain Time)","value":"04:34:46"},{"id":151,"name":"Denver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46"/>
        <v>start /low /b %USERPROFILE%\Documents\GitHub\eaglep3\Utilities\DownloadLogsFromS3.py --loco 4059 --day 2018-01-03</v>
      </c>
      <c r="AN21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48"/>
        <v>https://d0f6bd738d7f1b3e5a7ca70fe4ff75f0.us-east-1.aws.found.io/app/kibana#/discover/Steve-Slow-Train-Analysis-(2080s-and-2083s)?_g=(refreshInterval:(display:Off,pause:!f,section:0,value:0),time:(from:'2018-01-03T03:18:40-0700',mode:absolute,to:'2018-01-03T05:34:46-0700'))&amp;_a=(columns:!('Message%20ID',Summary),filters:!(),index:'emp_*',interval:auto,query:(query_string:(analyze_wildcard:!t,query:'%22rtdc.l.rtdc.4059%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686</v>
      </c>
      <c r="B219" s="225">
        <v>4029</v>
      </c>
      <c r="C219" s="227" t="s">
        <v>192</v>
      </c>
      <c r="D219" s="227" t="s">
        <v>1000</v>
      </c>
      <c r="E219" s="226">
        <v>43103.197951388887</v>
      </c>
      <c r="F219" s="226">
        <v>43103.200370370374</v>
      </c>
      <c r="G219" s="225">
        <v>65</v>
      </c>
      <c r="H219" s="227" t="s">
        <v>1001</v>
      </c>
      <c r="I219" s="226">
        <v>43103.206643518519</v>
      </c>
      <c r="J219" s="225">
        <v>0</v>
      </c>
      <c r="K219" s="237" t="str">
        <f>IF(ISEVEN(B219),(B219-1)&amp;"/"&amp;B219,B219&amp;"/"&amp;(B219+1))</f>
        <v>4029/4030</v>
      </c>
      <c r="L219" s="245" t="str">
        <f>VLOOKUP(A219,'Trips&amp;Operators'!$C$1:$G$99911,5,FALSE)</f>
        <v>YANAI IAN</v>
      </c>
      <c r="M219" s="224">
        <f>I219-F219</f>
        <v>6.2731481448281556E-3</v>
      </c>
      <c r="N219" s="225">
        <f>24*60*SUM($M219:$M219)</f>
        <v>9.0333333285525441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-03T03:45:03-0700',mode:absolute,to:'2018-01-03T05:57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2</v>
      </c>
      <c r="Y219" s="247">
        <f>RIGHT(D219,LEN(D219)-4)/10000</f>
        <v>2.3765999999999998</v>
      </c>
      <c r="Z219" s="247">
        <f>RIGHT(H219,LEN(H219)-4)/10000</f>
        <v>2.5399999999999999E-2</v>
      </c>
      <c r="AA219" s="247">
        <f>ABS(Z219-Y219)</f>
        <v>2.3512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310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/stypes="app*4029*20180103*" /stext=" 11:.+((SYSTEM_STATE.+slice.+state.+changed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44"/>
        <v>"%USERPROFILE%\Documents\GitHub\eaglep3\Utilities\RefineRTDCRunTimes.py" --tripid 310-03 --locoid 4029 --swversion DE.1.0.9.0 --startMP 300:23766 --initTime 2018-01-03T04:45:03 --startdatetime 2018-01-03T04:48:32 --delay 65 --endMP 204:254 --enddatetime 2018-01-03T04:57:34 --enforcementcount 0 &gt;&gt;%USERPROFILE%\Documents\GitHub\eaglep3-reporting\EC\2018-01-03-refined-times.txt</v>
      </c>
      <c r="AI219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{"issue":{"subject":"","project_id":79,"tracker_id":40,"status_id":1,"priority_id":2,"assigned_to_id":338,"start_date":"2018-01-03","description":"","custom_fields":[{"id":1,"name":"Subdivision","value":"Other"},{"id":4,"name":"Milepost","value":"0.0254"},{"id":17,"name":"Train ID","value":"310-03"},{"id":16,"name":"Locomotive ID","value":"4029"},{"id":130,"name":"Impact","value":""},{"id":150,"name":"Time of Event (Mountain Time)","value":"04:57:34"},{"id":151,"name":"Denver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46"/>
        <v>start /low /b %USERPROFILE%\Documents\GitHub\eaglep3\Utilities\DownloadLogsFromS3.py --loco 4029 --day 2018-01-03</v>
      </c>
      <c r="AN21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48"/>
        <v>https://d0f6bd738d7f1b3e5a7ca70fe4ff75f0.us-east-1.aws.found.io/app/kibana#/discover/Steve-Slow-Train-Analysis-(2080s-and-2083s)?_g=(refreshInterval:(display:Off,pause:!f,section:0,value:0),time:(from:'2018-01-03T03:45:03-0700',mode:absolute,to:'2018-01-03T05:57:34-0700'))&amp;_a=(columns:!('Message%20ID',Summary),filters:!(),index:'emp_*',interval:auto,query:(query_string:(analyze_wildcard:!t,query:'%22rtdc.l.rtdc.4029%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692</v>
      </c>
      <c r="B220" s="225">
        <v>4061</v>
      </c>
      <c r="C220" s="227" t="s">
        <v>192</v>
      </c>
      <c r="D220" s="227" t="s">
        <v>1002</v>
      </c>
      <c r="E220" s="226">
        <v>43103.218194444446</v>
      </c>
      <c r="F220" s="226">
        <v>43103.22142361111</v>
      </c>
      <c r="G220" s="225">
        <v>62</v>
      </c>
      <c r="H220" s="227" t="s">
        <v>582</v>
      </c>
      <c r="I220" s="226">
        <v>43103.22865740741</v>
      </c>
      <c r="J220" s="225">
        <v>0</v>
      </c>
      <c r="K220" s="237" t="str">
        <f>IF(ISEVEN(B220),(B220-1)&amp;"/"&amp;B220,B220&amp;"/"&amp;(B220+1))</f>
        <v>4061/4062</v>
      </c>
      <c r="L220" s="245" t="str">
        <f>VLOOKUP(A220,'Trips&amp;Operators'!$C$1:$G$99911,5,FALSE)</f>
        <v>HUFFSMITH MONTY</v>
      </c>
      <c r="M220" s="224">
        <f>I220-F220</f>
        <v>7.2337962992605753E-3</v>
      </c>
      <c r="N220" s="225">
        <f>24*60*SUM($M220:$M220)</f>
        <v>10.416666670935228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-03T04:14:12-0700',mode:absolute,to:'2018-01-03T06:29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2</v>
      </c>
      <c r="Y220" s="247">
        <f>RIGHT(D220,LEN(D220)-4)/10000</f>
        <v>2.3519000000000001</v>
      </c>
      <c r="Z220" s="247">
        <f>RIGHT(H220,LEN(H220)-4)/10000</f>
        <v>1.3599999999999999E-2</v>
      </c>
      <c r="AA220" s="247">
        <f>ABS(Z220-Y220)</f>
        <v>2.3383000000000003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312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/stypes="app*4061*20180103*" /stext=" 12:.+((SYSTEM_STATE.+slice.+state.+changed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44"/>
        <v>"%USERPROFILE%\Documents\GitHub\eaglep3\Utilities\RefineRTDCRunTimes.py" --tripid 312-03 --locoid 4061 --swversion DE.1.0.9.0 --startMP 300:23519 --initTime 2018-01-03T05:14:12 --startdatetime 2018-01-03T05:18:51 --delay 62 --endMP 204:136 --enddatetime 2018-01-03T05:29:16 --enforcementcount 0 &gt;&gt;%USERPROFILE%\Documents\GitHub\eaglep3-reporting\EC\2018-01-03-refined-times.txt</v>
      </c>
      <c r="AI220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{"issue":{"subject":"","project_id":79,"tracker_id":40,"status_id":1,"priority_id":2,"assigned_to_id":338,"start_date":"2018-01-03","description":"","custom_fields":[{"id":1,"name":"Subdivision","value":"Other"},{"id":4,"name":"Milepost","value":"0.0136"},{"id":17,"name":"Train ID","value":"312-03"},{"id":16,"name":"Locomotive ID","value":"4061"},{"id":130,"name":"Impact","value":""},{"id":150,"name":"Time of Event (Mountain Time)","value":"05:29:16"},{"id":151,"name":"Denver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46"/>
        <v>start /low /b %USERPROFILE%\Documents\GitHub\eaglep3\Utilities\DownloadLogsFromS3.py --loco 4061 --day 2018-01-03</v>
      </c>
      <c r="AN22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48"/>
        <v>https://d0f6bd738d7f1b3e5a7ca70fe4ff75f0.us-east-1.aws.found.io/app/kibana#/discover/Steve-Slow-Train-Analysis-(2080s-and-2083s)?_g=(refreshInterval:(display:Off,pause:!f,section:0,value:0),time:(from:'2018-01-03T04:14:12-0700',mode:absolute,to:'2018-01-03T06:29:16-0700'))&amp;_a=(columns:!('Message%20ID',Summary),filters:!(),index:'emp_*',interval:auto,query:(query_string:(analyze_wildcard:!t,query:'%22rtdc.l.rtdc.4061%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884</v>
      </c>
      <c r="B221" s="225">
        <v>4042</v>
      </c>
      <c r="C221" s="227" t="s">
        <v>192</v>
      </c>
      <c r="D221" s="227" t="s">
        <v>627</v>
      </c>
      <c r="E221" s="226">
        <v>43104.028993055559</v>
      </c>
      <c r="F221" s="226">
        <v>43104.03230324074</v>
      </c>
      <c r="G221" s="225">
        <v>72</v>
      </c>
      <c r="H221" s="227" t="s">
        <v>1003</v>
      </c>
      <c r="I221" s="226">
        <v>43104.043865740743</v>
      </c>
      <c r="J221" s="225">
        <v>0</v>
      </c>
      <c r="K221" s="237" t="str">
        <f>IF(ISEVEN(B221),(B221-1)&amp;"/"&amp;B221,B221&amp;"/"&amp;(B221+1))</f>
        <v>4041/4042</v>
      </c>
      <c r="L221" s="245" t="str">
        <f>VLOOKUP(A221,'Trips&amp;Operators'!$C$1:$G$99911,5,FALSE)</f>
        <v>NICHOLSON WESLEY</v>
      </c>
      <c r="M221" s="224">
        <f>I221-F221</f>
        <v>1.156250000349246E-2</v>
      </c>
      <c r="N221" s="225">
        <f>24*60*SUM($M221:$M221)</f>
        <v>16.650000005029142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-03T23:41:45-0700',mode:absolute,to:'2018-01-04T02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5.5100000000000003E-2</v>
      </c>
      <c r="Z221" s="247">
        <f>RIGHT(H221,LEN(H221)-4)/10000</f>
        <v>2.331</v>
      </c>
      <c r="AA221" s="247">
        <f>ABS(Z221-Y221)</f>
        <v>2.2759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313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 &amp; aws s3 cp s3://rtdc.mdm.uploadarchive.raw/RTDC4042/ "%USERPROFILE%\AppData\Local\Temp\OnboardLogs"\RTDC4042\2018-01-05 --exclude "*" --recursive --include "*20180105*" &amp; "%USERPROFILE%\Documents\GitHub\mrs-test-scripts\Headless Mode &amp; Sideloading\WalkAndUnGZ.bat" "%USERPROFILE%\AppData\Local\Temp\OnboardLogs"\RTDC4042\2018-01-05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/stypes="app*4042*20180104*" /stext=" 08:.+((SYSTEM_STATE.+slice.+state.+changed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44"/>
        <v>"%USERPROFILE%\Documents\GitHub\eaglep3\Utilities\RefineRTDCRunTimes.py" --tripid 313-03 --locoid 4042 --swversion DE.1.0.9.0 --startMP 204:551 --initTime 2018-01-04T00:41:45 --startdatetime 2018-01-04T00:46:31 --delay 72 --endMP 300:23310 --enddatetime 2018-01-04T01:03:10 --enforcementcount 0 &gt;&gt;%USERPROFILE%\Documents\GitHub\eaglep3-reporting\EC\2018-01-03-refined-times.txt</v>
      </c>
      <c r="AI221" s="238" t="str">
        <f t="shared" si="45"/>
        <v>echo {"issue":{"subject":"","project_id":79,"tracker_id":40,"status_id":1,"priority_id":2,"assigned_to_id":338,"start_date":"2018-01-04","description":"","custom_fields":[{"id":1,"name":"Subdivision","value":"Other"},{"id":4,"name":"Milepost","value":"2.331"},{"id":17,"name":"Train ID","value":"313-03"},{"id":16,"name":"Locomotive ID","value":"4042"},{"id":130,"name":"Impact","value":""},{"id":150,"name":"Time of Event (Mountain Time)","value":"01:03:10"},{"id":151,"name":"Denver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46"/>
        <v>start /low /b %USERPROFILE%\Documents\GitHub\eaglep3\Utilities\DownloadLogsFromS3.py --loco 4042 --day 2018-01-04</v>
      </c>
      <c r="AN22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48"/>
        <v>https://d0f6bd738d7f1b3e5a7ca70fe4ff75f0.us-east-1.aws.found.io/app/kibana#/discover/Steve-Slow-Train-Analysis-(2080s-and-2083s)?_g=(refreshInterval:(display:Off,pause:!f,section:0,value:0),time:(from:'2018-01-03T23:41:45-0700',mode:absolute,to:'2018-01-04T02:03:10-0700'))&amp;_a=(columns:!('Message%20ID',Summary),filters:!(),index:'emp_*',interval:auto,query:(query_string:(analyze_wildcard:!t,query:'%22rtdc.l.rtdc.4042%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687</v>
      </c>
      <c r="B222" s="225">
        <v>4014</v>
      </c>
      <c r="C222" s="227" t="s">
        <v>192</v>
      </c>
      <c r="D222" s="227" t="s">
        <v>1098</v>
      </c>
      <c r="E222" s="226">
        <v>43103.202847222223</v>
      </c>
      <c r="F222" s="226">
        <v>43103.208715277775</v>
      </c>
      <c r="G222" s="225">
        <v>178</v>
      </c>
      <c r="H222" s="227" t="s">
        <v>1073</v>
      </c>
      <c r="I222" s="226">
        <v>43103.213449074072</v>
      </c>
      <c r="J222" s="225">
        <v>0</v>
      </c>
      <c r="K222" s="237" t="str">
        <f>IF(ISEVEN(B222),(B222-1)&amp;"/"&amp;B222,B222&amp;"/"&amp;(B222+1))</f>
        <v>4013/4014</v>
      </c>
      <c r="L222" s="245" t="str">
        <f>VLOOKUP(A222,'Trips&amp;Operators'!$C$1:$G$99911,5,FALSE)</f>
        <v>LAMAR NEKESHA</v>
      </c>
      <c r="M222" s="224">
        <f>I222-F222</f>
        <v>4.7337962969322689E-3</v>
      </c>
      <c r="N222" s="225">
        <f>24*60*SUM($M222:$M222)</f>
        <v>6.8166666675824672</v>
      </c>
      <c r="O222" s="225"/>
      <c r="P222" s="225"/>
      <c r="Q222" s="228"/>
      <c r="R222" s="242"/>
      <c r="S222" s="249">
        <f>1/IF(AG222="EC",12,1)*SUM(U222:U222)</f>
        <v>0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-03T03:52:06-0700',mode:absolute,to:'2018-01-03T06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588</v>
      </c>
      <c r="Y222" s="247">
        <f>RIGHT(D222,LEN(D222)-4)/10000</f>
        <v>3.0110000000000001</v>
      </c>
      <c r="Z222" s="247">
        <f>RIGHT(H222,LEN(H222)-4)/10000</f>
        <v>5.8954000000000004</v>
      </c>
      <c r="AA222" s="247">
        <f>ABS(Z222-Y222)</f>
        <v>2.8844000000000003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901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/stypes="app*4014*20180103*" /stext=" 12:.+((SYSTEM_STATE.+slice.+state.+changed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44"/>
        <v>"%USERPROFILE%\Documents\GitHub\eaglep3\Utilities\RefineRTDCRunTimes.py" --tripid 901-03 --locoid 4014 --swversion DE.1.0.9.0 --startMP 300:30110 --initTime 2018-01-03T04:52:06 --startdatetime 2018-01-03T05:00:33 --delay 178 --endMP 300:58954 --enddatetime 2018-01-03T05:07:22 --enforcementcount 0 &gt;&gt;%USERPROFILE%\Documents\GitHub\eaglep3-reporting\EC\2018-01-03-refined-times.txt</v>
      </c>
      <c r="AI222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{"issue":{"subject":"","project_id":79,"tracker_id":40,"status_id":1,"priority_id":2,"assigned_to_id":338,"start_date":"2018-01-03","description":"","custom_fields":[{"id":1,"name":"Subdivision","value":"Other"},{"id":4,"name":"Milepost","value":"5.8954"},{"id":17,"name":"Train ID","value":"901-03"},{"id":16,"name":"Locomotive ID","value":"4014"},{"id":130,"name":"Impact","value":""},{"id":150,"name":"Time of Event (Mountain Time)","value":"05:07:22"},{"id":151,"name":"Denver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46"/>
        <v>start /low /b %USERPROFILE%\Documents\GitHub\eaglep3\Utilities\DownloadLogsFromS3.py --loco 4014 --day 2018-01-03</v>
      </c>
      <c r="AN222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48"/>
        <v>https://d0f6bd738d7f1b3e5a7ca70fe4ff75f0.us-east-1.aws.found.io/app/kibana#/discover/Steve-Slow-Train-Analysis-(2080s-and-2083s)?_g=(refreshInterval:(display:Off,pause:!f,section:0,value:0),time:(from:'2018-01-03T03:52:06-0700',mode:absolute,to:'2018-01-03T06:07:22-0700'))&amp;_a=(columns:!('Message%20ID',Summary),filters:!(),index:'emp_*',interval:auto,query:(query_string:(analyze_wildcard:!t,query:'%22rtdc.l.rtdc.4014%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9" t="s">
        <v>699</v>
      </c>
      <c r="B223" s="225">
        <v>4063</v>
      </c>
      <c r="C223" s="227" t="s">
        <v>192</v>
      </c>
      <c r="D223" s="227" t="s">
        <v>1099</v>
      </c>
      <c r="E223" s="226">
        <v>43103.236331018517</v>
      </c>
      <c r="F223" s="226">
        <v>43103.240868055553</v>
      </c>
      <c r="G223" s="225">
        <v>121</v>
      </c>
      <c r="H223" s="227" t="s">
        <v>584</v>
      </c>
      <c r="I223" s="226">
        <v>43103.246666666666</v>
      </c>
      <c r="J223" s="225">
        <v>0</v>
      </c>
      <c r="K223" s="237" t="str">
        <f>IF(ISEVEN(B223),(B223-1)&amp;"/"&amp;B223,B223&amp;"/"&amp;(B223+1))</f>
        <v>4063/4064</v>
      </c>
      <c r="L223" s="245" t="str">
        <f>VLOOKUP(A223,'Trips&amp;Operators'!$C$1:$G$99911,5,FALSE)</f>
        <v>GEBRETEKLE DAGNEW</v>
      </c>
      <c r="M223" s="224">
        <f>I223-F223</f>
        <v>5.7986111132777296E-3</v>
      </c>
      <c r="N223" s="225">
        <f>24*60*SUM($M223:$M223)</f>
        <v>8.3500000031199306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2018-01-03T04:40:19-0700',mode:absolute,to:'2018-01-03T06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1</v>
      </c>
      <c r="Y223" s="247">
        <f>RIGHT(D223,LEN(D223)-4)/10000</f>
        <v>2.3384999999999998</v>
      </c>
      <c r="Z223" s="247">
        <f>RIGHT(H223,LEN(H223)-4)/10000</f>
        <v>1.38E-2</v>
      </c>
      <c r="AA223" s="247">
        <f>ABS(Z223-Y223)</f>
        <v>2.3247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902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/stypes="app*4063*20180103*" /stext=" 12:.+((SYSTEM_STATE.+slice.+state.+changed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44"/>
        <v>"%USERPROFILE%\Documents\GitHub\eaglep3\Utilities\RefineRTDCRunTimes.py" --tripid 902-03 --locoid 4063 --swversion DE.1.0.9.0 --startMP 300:23385 --initTime 2018-01-03T05:40:19 --startdatetime 2018-01-03T05:46:51 --delay 121 --endMP 204:138 --enddatetime 2018-01-03T05:55:12 --enforcementcount 0 &gt;&gt;%USERPROFILE%\Documents\GitHub\eaglep3-reporting\EC\2018-01-03-refined-times.txt</v>
      </c>
      <c r="AI223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{"issue":{"subject":"","project_id":79,"tracker_id":40,"status_id":1,"priority_id":2,"assigned_to_id":338,"start_date":"2018-01-03","description":"","custom_fields":[{"id":1,"name":"Subdivision","value":"Other"},{"id":4,"name":"Milepost","value":"0.0138"},{"id":17,"name":"Train ID","value":"902-03"},{"id":16,"name":"Locomotive ID","value":"4063"},{"id":130,"name":"Impact","value":""},{"id":150,"name":"Time of Event (Mountain Time)","value":"05:55:12"},{"id":151,"name":"Denver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46"/>
        <v>start /low /b %USERPROFILE%\Documents\GitHub\eaglep3\Utilities\DownloadLogsFromS3.py --loco 4063 --day 2018-01-03</v>
      </c>
      <c r="AN223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48"/>
        <v>https://d0f6bd738d7f1b3e5a7ca70fe4ff75f0.us-east-1.aws.found.io/app/kibana#/discover/Steve-Slow-Train-Analysis-(2080s-and-2083s)?_g=(refreshInterval:(display:Off,pause:!f,section:0,value:0),time:(from:'2018-01-03T04:40:19-0700',mode:absolute,to:'2018-01-03T06:55:12-0700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734</v>
      </c>
      <c r="B224" s="225">
        <v>4014</v>
      </c>
      <c r="C224" s="227" t="s">
        <v>192</v>
      </c>
      <c r="D224" s="227" t="s">
        <v>508</v>
      </c>
      <c r="E224" s="226">
        <v>43103.353761574072</v>
      </c>
      <c r="F224" s="226">
        <v>43103.354780092595</v>
      </c>
      <c r="G224" s="225">
        <v>51</v>
      </c>
      <c r="H224" s="227" t="s">
        <v>1100</v>
      </c>
      <c r="I224" s="226">
        <v>43103.360150462962</v>
      </c>
      <c r="J224" s="225">
        <v>0</v>
      </c>
      <c r="K224" s="237" t="str">
        <f>IF(ISEVEN(B224),(B224-1)&amp;"/"&amp;B224,B224&amp;"/"&amp;(B224+1))</f>
        <v>4013/4014</v>
      </c>
      <c r="L224" s="245" t="str">
        <f>VLOOKUP(A224,'Trips&amp;Operators'!$C$1:$G$99911,5,FALSE)</f>
        <v>LAMAR NEKESHA</v>
      </c>
      <c r="M224" s="224">
        <f>I224-F224</f>
        <v>5.3703703670180403E-3</v>
      </c>
      <c r="N224" s="225">
        <f>24*60*SUM($M224:$M224)</f>
        <v>7.733333328505978</v>
      </c>
      <c r="O224" s="225"/>
      <c r="P224" s="225"/>
      <c r="Q224" s="228"/>
      <c r="R224" s="242"/>
      <c r="S224" s="249">
        <f>1/IF(AG224="EC",12,1)*SUM(U224:U224)</f>
        <v>1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2018-01-03T07:29:25-0700',mode:absolute,to:'2018-01-03T09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1</v>
      </c>
      <c r="Y224" s="247">
        <f>RIGHT(D224,LEN(D224)-4)/10000</f>
        <v>4.53E-2</v>
      </c>
      <c r="Z224" s="247">
        <f>RIGHT(H224,LEN(H224)-4)/10000</f>
        <v>2.4207000000000001</v>
      </c>
      <c r="AA224" s="247">
        <f>ABS(Z224-Y224)</f>
        <v>2.3754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903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/stypes="app*4014*20180103*" /stext=" 15:.+((SYSTEM_STATE.+slice.+state.+changed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44"/>
        <v>"%USERPROFILE%\Documents\GitHub\eaglep3\Utilities\RefineRTDCRunTimes.py" --tripid 903-03 --locoid 4014 --swversion DE.1.0.9.0 --startMP 204:453 --initTime 2018-01-03T08:29:25 --startdatetime 2018-01-03T08:30:53 --delay 51 --endMP 300:24207 --enddatetime 2018-01-03T08:38:37 --enforcementcount 0 &gt;&gt;%USERPROFILE%\Documents\GitHub\eaglep3-reporting\EC\2018-01-03-refined-times.txt</v>
      </c>
      <c r="AI224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{"issue":{"subject":"","project_id":79,"tracker_id":40,"status_id":1,"priority_id":2,"assigned_to_id":338,"start_date":"2018-01-03","description":"","custom_fields":[{"id":1,"name":"Subdivision","value":"Other"},{"id":4,"name":"Milepost","value":"2.4207"},{"id":17,"name":"Train ID","value":"903-03"},{"id":16,"name":"Locomotive ID","value":"4014"},{"id":130,"name":"Impact","value":""},{"id":150,"name":"Time of Event (Mountain Time)","value":"08:38:37"},{"id":151,"name":"Denver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46"/>
        <v>start /low /b %USERPROFILE%\Documents\GitHub\eaglep3\Utilities\DownloadLogsFromS3.py --loco 4014 --day 2018-01-03</v>
      </c>
      <c r="AN22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48"/>
        <v>https://d0f6bd738d7f1b3e5a7ca70fe4ff75f0.us-east-1.aws.found.io/app/kibana#/discover/Steve-Slow-Train-Analysis-(2080s-and-2083s)?_g=(refreshInterval:(display:Off,pause:!f,section:0,value:0),time:(from:'2018-01-03T07:29:25-0700',mode:absolute,to:'2018-01-03T09:38:37-0700'))&amp;_a=(columns:!('Message%20ID',Summary),filters:!(),index:'emp_*',interval:auto,query:(query_string:(analyze_wildcard:!t,query:'%22rtdc.l.rtdc.4014%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29" t="s">
        <v>803</v>
      </c>
      <c r="B225" s="225">
        <v>4013</v>
      </c>
      <c r="C225" s="227" t="s">
        <v>192</v>
      </c>
      <c r="D225" s="227" t="s">
        <v>1101</v>
      </c>
      <c r="E225" s="226">
        <v>43103.635231481479</v>
      </c>
      <c r="F225" s="226">
        <v>43103.639421296299</v>
      </c>
      <c r="G225" s="225">
        <v>159</v>
      </c>
      <c r="H225" s="227" t="s">
        <v>1102</v>
      </c>
      <c r="I225" s="226">
        <v>43103.644143518519</v>
      </c>
      <c r="J225" s="225">
        <v>0</v>
      </c>
      <c r="K225" s="237" t="str">
        <f>IF(ISEVEN(B225),(B225-1)&amp;"/"&amp;B225,B225&amp;"/"&amp;(B225+1))</f>
        <v>4013/4014</v>
      </c>
      <c r="L225" s="245" t="str">
        <f>VLOOKUP(A225,'Trips&amp;Operators'!$C$1:$G$99911,5,FALSE)</f>
        <v>STAMBAUGH JAMES</v>
      </c>
      <c r="M225" s="224">
        <f>I225-F225</f>
        <v>4.7222222201526165E-3</v>
      </c>
      <c r="N225" s="225">
        <f>24*60*SUM($M225:$M225)</f>
        <v>6.7999999970197678</v>
      </c>
      <c r="O225" s="225"/>
      <c r="P225" s="225"/>
      <c r="Q225" s="228"/>
      <c r="R225" s="242"/>
      <c r="S225" s="249">
        <f>1/IF(AG225="EC",12,1)*SUM(U225:U225)</f>
        <v>1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2018-01-03T14:14:44-0700',mode:absolute,to:'2018-01-03T16:27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1</v>
      </c>
      <c r="Y225" s="247">
        <f>RIGHT(D225,LEN(D225)-4)/10000</f>
        <v>2.3233000000000001</v>
      </c>
      <c r="Z225" s="247">
        <f>RIGHT(H225,LEN(H225)-4)/10000</f>
        <v>1.4E-2</v>
      </c>
      <c r="AA225" s="247">
        <f>ABS(Z225-Y225)</f>
        <v>2.3093000000000004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904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/stypes="app*4013*20180103*" /stext=" 22:.+((SYSTEM_STATE.+slice.+state.+changed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44"/>
        <v>"%USERPROFILE%\Documents\GitHub\eaglep3\Utilities\RefineRTDCRunTimes.py" --tripid 904-03 --locoid 4013 --swversion DE.1.0.9.0 --startMP 300:23233 --initTime 2018-01-03T15:14:44 --startdatetime 2018-01-03T15:20:46 --delay 159 --endMP 204:140 --enddatetime 2018-01-03T15:27:34 --enforcementcount 0 &gt;&gt;%USERPROFILE%\Documents\GitHub\eaglep3-reporting\EC\2018-01-03-refined-times.txt</v>
      </c>
      <c r="AI225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{"issue":{"subject":"","project_id":79,"tracker_id":40,"status_id":1,"priority_id":2,"assigned_to_id":338,"start_date":"2018-01-03","description":"","custom_fields":[{"id":1,"name":"Subdivision","value":"Other"},{"id":4,"name":"Milepost","value":"0.014"},{"id":17,"name":"Train ID","value":"904-03"},{"id":16,"name":"Locomotive ID","value":"4013"},{"id":130,"name":"Impact","value":""},{"id":150,"name":"Time of Event (Mountain Time)","value":"15:27:34"},{"id":151,"name":"Denver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46"/>
        <v>start /low /b %USERPROFILE%\Documents\GitHub\eaglep3\Utilities\DownloadLogsFromS3.py --loco 4013 --day 2018-01-03</v>
      </c>
      <c r="AN225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48"/>
        <v>https://d0f6bd738d7f1b3e5a7ca70fe4ff75f0.us-east-1.aws.found.io/app/kibana#/discover/Steve-Slow-Train-Analysis-(2080s-and-2083s)?_g=(refreshInterval:(display:Off,pause:!f,section:0,value:0),time:(from:'2018-01-03T14:14:44-0700',mode:absolute,to:'2018-01-03T16:27:34-0700'))&amp;_a=(columns:!('Message%20ID',Summary),filters:!(),index:'emp_*',interval:auto,query:(query_string:(analyze_wildcard:!t,query:'%22rtdc.l.rtdc.4013%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9" t="s">
        <v>850</v>
      </c>
      <c r="B226" s="225">
        <v>4013</v>
      </c>
      <c r="C226" s="227" t="s">
        <v>192</v>
      </c>
      <c r="D226" s="227" t="s">
        <v>1103</v>
      </c>
      <c r="E226" s="226">
        <v>43103.788356481484</v>
      </c>
      <c r="F226" s="226">
        <v>43103.789675925924</v>
      </c>
      <c r="G226" s="225">
        <v>68</v>
      </c>
      <c r="H226" s="227" t="s">
        <v>614</v>
      </c>
      <c r="I226" s="226">
        <v>43103.795543981483</v>
      </c>
      <c r="J226" s="225">
        <v>0</v>
      </c>
      <c r="K226" s="237" t="str">
        <f>IF(ISEVEN(B226),(B226-1)&amp;"/"&amp;B226,B226&amp;"/"&amp;(B226+1))</f>
        <v>4013/4014</v>
      </c>
      <c r="L226" s="245" t="str">
        <f>VLOOKUP(A226,'Trips&amp;Operators'!$C$1:$G$99911,5,FALSE)</f>
        <v>STAMBAUGH JAMES</v>
      </c>
      <c r="M226" s="224">
        <f>I226-F226</f>
        <v>5.8680555594037287E-3</v>
      </c>
      <c r="N226" s="225">
        <f>24*60*SUM($M226:$M226)</f>
        <v>8.4500000055413693</v>
      </c>
      <c r="O226" s="225"/>
      <c r="P226" s="225"/>
      <c r="Q226" s="228"/>
      <c r="R226" s="242"/>
      <c r="S226" s="249">
        <f>1/IF(AG226="EC",12,1)*SUM(U226:U226)</f>
        <v>0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2018-01-03T17:55:14-0700',mode:absolute,to:'2018-01-03T20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2</v>
      </c>
      <c r="Y226" s="247">
        <f>RIGHT(D226,LEN(D226)-4)/10000</f>
        <v>5.8623000000000003</v>
      </c>
      <c r="Z226" s="247">
        <f>RIGHT(H226,LEN(H226)-4)/10000</f>
        <v>2.8774000000000002</v>
      </c>
      <c r="AA226" s="247">
        <f>ABS(Z226-Y226)</f>
        <v>2.9849000000000001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906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/stypes="app*4013*20180104*" /stext=" 02:.+((SYSTEM_STATE.+slice.+state.+changed )|(ment ac)|(multiple cpu faults)|(system.+state.+changed )|(\[timeout)|(PRM\|1\|D)|(kpr)|(kdp)|(train st.+moving)|(\|lc)|(penalty))"</v>
      </c>
      <c r="AG226" s="244" t="str">
        <f>DetSubdiv(A226)</f>
        <v>Other</v>
      </c>
      <c r="AH226" s="236" t="str">
        <f t="shared" si="44"/>
        <v>"%USERPROFILE%\Documents\GitHub\eaglep3\Utilities\RefineRTDCRunTimes.py" --tripid 906-03 --locoid 4013 --swversion DE.1.0.9.0 --startMP 300:58623 --initTime 2018-01-03T18:55:14 --startdatetime 2018-01-03T18:57:08 --delay 68 --endMP 300:28774 --enddatetime 2018-01-03T19:05:35 --enforcementcount 0 &gt;&gt;%USERPROFILE%\Documents\GitHub\eaglep3-reporting\EC\2018-01-03-refined-times.txt</v>
      </c>
      <c r="AI226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{"issue":{"subject":"","project_id":79,"tracker_id":40,"status_id":1,"priority_id":2,"assigned_to_id":338,"start_date":"2018-01-03","description":"","custom_fields":[{"id":1,"name":"Subdivision","value":"Other"},{"id":4,"name":"Milepost","value":"2.8774"},{"id":17,"name":"Train ID","value":"906-03"},{"id":16,"name":"Locomotive ID","value":"4013"},{"id":130,"name":"Impact","value":""},{"id":150,"name":"Time of Event (Mountain Time)","value":"19:05:35"},{"id":151,"name":"Denver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46"/>
        <v>start /low /b %USERPROFILE%\Documents\GitHub\eaglep3\Utilities\DownloadLogsFromS3.py --loco 4013 --day 2018-01-03</v>
      </c>
      <c r="AN226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48"/>
        <v>https://d0f6bd738d7f1b3e5a7ca70fe4ff75f0.us-east-1.aws.found.io/app/kibana#/discover/Steve-Slow-Train-Analysis-(2080s-and-2083s)?_g=(refreshInterval:(display:Off,pause:!f,section:0,value:0),time:(from:'2018-01-03T17:55:14-0700',mode:absolute,to:'2018-01-03T20:05:35-0700'))&amp;_a=(columns:!('Message%20ID',Summary),filters:!(),index:'emp_*',interval:auto,query:(query_string:(analyze_wildcard:!t,query:'%22rtdc.l.rtdc.4013%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 s="229" t="s">
        <v>879</v>
      </c>
      <c r="B227" s="225">
        <v>4063</v>
      </c>
      <c r="C227" s="227" t="s">
        <v>192</v>
      </c>
      <c r="D227" s="227" t="s">
        <v>601</v>
      </c>
      <c r="E227" s="226">
        <v>43103.974814814814</v>
      </c>
      <c r="F227" s="226">
        <v>43103.976134259261</v>
      </c>
      <c r="G227" s="225">
        <v>56</v>
      </c>
      <c r="H227" s="227" t="s">
        <v>1104</v>
      </c>
      <c r="I227" s="226">
        <v>43103.982048611113</v>
      </c>
      <c r="J227" s="225">
        <v>0</v>
      </c>
      <c r="K227" s="237" t="str">
        <f>IF(ISEVEN(B227),(B227-1)&amp;"/"&amp;B227,B227&amp;"/"&amp;(B227+1))</f>
        <v>4063/4064</v>
      </c>
      <c r="L227" s="245" t="str">
        <f>VLOOKUP(A227,'Trips&amp;Operators'!$C$1:$G$99911,5,FALSE)</f>
        <v>STAMBAUGH JAMES</v>
      </c>
      <c r="M227" s="224">
        <f>I227-F227</f>
        <v>5.914351851970423E-3</v>
      </c>
      <c r="N227" s="225">
        <f>24*60*SUM($M227:$M227)</f>
        <v>8.5166666668374091</v>
      </c>
      <c r="O227" s="225"/>
      <c r="P227" s="225"/>
      <c r="Q227" s="228"/>
      <c r="R227" s="242"/>
      <c r="S227" s="249">
        <f>1/IF(AG227="EC",12,1)*SUM(U227:U227)</f>
        <v>0</v>
      </c>
      <c r="T227" s="242" t="str">
        <f>IF(ISEVEN(LEFT(AD227,4)),"Southbound","NorthBound")</f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2018-01-03T22:23:44-0700',mode:absolute,to:'2018-01-04T00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2</v>
      </c>
      <c r="Y227" s="247">
        <f>RIGHT(D227,LEN(D227)-4)/10000</f>
        <v>5.8611000000000004</v>
      </c>
      <c r="Z227" s="247">
        <f>RIGHT(H227,LEN(H227)-4)/10000</f>
        <v>2.8784000000000001</v>
      </c>
      <c r="AA227" s="247">
        <f>ABS(Z227-Y227)</f>
        <v>2.9827000000000004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908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/stypes="app*4063*20180104*" /stext=" 06:.+((SYSTEM_STATE.+slice.+state.+changed )|(ment ac)|(multiple cpu faults)|(system.+state.+changed )|(\[timeout)|(PRM\|1\|D)|(kpr)|(kdp)|(train st.+moving)|(\|lc)|(penalty))"</v>
      </c>
      <c r="AG227" s="244" t="str">
        <f>DetSubdiv(A227)</f>
        <v>Other</v>
      </c>
      <c r="AH227" s="236" t="str">
        <f t="shared" si="44"/>
        <v>"%USERPROFILE%\Documents\GitHub\eaglep3\Utilities\RefineRTDCRunTimes.py" --tripid 908-03 --locoid 4063 --swversion DE.1.0.9.0 --startMP 300:58611 --initTime 2018-01-03T23:23:44 --startdatetime 2018-01-03T23:25:38 --delay 56 --endMP 300:28784 --enddatetime 2018-01-03T23:34:09 --enforcementcount 0 &gt;&gt;%USERPROFILE%\Documents\GitHub\eaglep3-reporting\EC\2018-01-03-refined-times.txt</v>
      </c>
      <c r="AI227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{"issue":{"subject":"","project_id":79,"tracker_id":40,"status_id":1,"priority_id":2,"assigned_to_id":338,"start_date":"2018-01-03","description":"","custom_fields":[{"id":1,"name":"Subdivision","value":"Other"},{"id":4,"name":"Milepost","value":"2.8784"},{"id":17,"name":"Train ID","value":"908-03"},{"id":16,"name":"Locomotive ID","value":"4063"},{"id":130,"name":"Impact","value":""},{"id":150,"name":"Time of Event (Mountain Time)","value":"23:34:09"},{"id":151,"name":"Denver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46"/>
        <v>start /low /b %USERPROFILE%\Documents\GitHub\eaglep3\Utilities\DownloadLogsFromS3.py --loco 4063 --day 2018-01-03</v>
      </c>
      <c r="AN227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48"/>
        <v>https://d0f6bd738d7f1b3e5a7ca70fe4ff75f0.us-east-1.aws.found.io/app/kibana#/discover/Steve-Slow-Train-Analysis-(2080s-and-2083s)?_g=(refreshInterval:(display:Off,pause:!f,section:0,value:0),time:(from:'2018-01-03T22:23:44-0700',mode:absolute,to:'2018-01-04T00:34:09-0700'))&amp;_a=(columns:!('Message%20ID',Summary),filters:!(),index:'emp_*',interval:auto,query:(query_string:(analyze_wildcard:!t,query:'%22rtdc.l.rtdc.4063%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9" t="s">
        <v>672</v>
      </c>
      <c r="B228" s="225">
        <v>4020</v>
      </c>
      <c r="C228" s="227" t="s">
        <v>192</v>
      </c>
      <c r="D228" s="227" t="s">
        <v>940</v>
      </c>
      <c r="E228" s="226">
        <v>43103.129467592589</v>
      </c>
      <c r="F228" s="226">
        <v>43103.137106481481</v>
      </c>
      <c r="G228" s="225">
        <v>71</v>
      </c>
      <c r="H228" s="227" t="s">
        <v>1004</v>
      </c>
      <c r="I228" s="226">
        <v>43103.138449074075</v>
      </c>
      <c r="J228" s="225">
        <v>0</v>
      </c>
      <c r="K228" s="237" t="str">
        <f>IF(ISEVEN(B228),(B228-1)&amp;"/"&amp;B228,B228&amp;"/"&amp;(B228+1))</f>
        <v>4019/4020</v>
      </c>
      <c r="L228" s="245" t="str">
        <f>VLOOKUP(A228,'Trips&amp;Operators'!$C$1:$G$99911,5,FALSE)</f>
        <v>SPECTOR MICHAEL</v>
      </c>
      <c r="M228" s="224">
        <f>I228-F228</f>
        <v>1.3425925935734995E-3</v>
      </c>
      <c r="N228" s="225">
        <f>24*60*SUM($M228:$M228)</f>
        <v>1.9333333347458392</v>
      </c>
      <c r="O228" s="225"/>
      <c r="P228" s="225"/>
      <c r="Q228" s="228"/>
      <c r="R228" s="242"/>
      <c r="S228" s="249">
        <f>1/IF(AG228="EC",12,1)*SUM(U228:U228)</f>
        <v>0</v>
      </c>
      <c r="T228" s="242" t="str">
        <f>IF(ISEVEN(LEFT(AD228,4)),"Southbound","NorthBound")</f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2018-01-03T02:06:26-0700',mode:absolute,to:'2018-01-03T04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-857</v>
      </c>
      <c r="Y228" s="247">
        <f>RIGHT(D228,LEN(D228)-4)/10000</f>
        <v>5.04E-2</v>
      </c>
      <c r="Z228" s="247">
        <f>RIGHT(H228,LEN(H228)-4)/10000</f>
        <v>0.35539999999999999</v>
      </c>
      <c r="AA228" s="247">
        <f>ABS(Z228-Y228)</f>
        <v>0.30499999999999999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51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/stypes="app*4020*20180103*" /stext=" 10:.+((SYSTEM_STATE.+slice.+state.+changed )|(ment ac)|(multiple cpu faults)|(system.+state.+changed )|(\[timeout)|(PRM\|1\|D)|(kpr)|(kdp)|(train st.+moving)|(\|lc)|(penalty))"</v>
      </c>
      <c r="AG228" s="244" t="str">
        <f>DetSubdiv(A228)</f>
        <v>Shuttle/Test</v>
      </c>
      <c r="AH228" s="236" t="str">
        <f t="shared" si="44"/>
        <v>"%USERPROFILE%\Documents\GitHub\eaglep3\Utilities\RefineRTDCRunTimes.py" --tripid 51-03 --locoid 4020 --swversion DE.1.0.9.0 --startMP 204:504 --initTime 2018-01-03T03:06:26 --startdatetime 2018-01-03T03:17:26 --delay 71 --endMP 204:3554 --enddatetime 2018-01-03T03:19:22 --enforcementcount 0 &gt;&gt;%USERPROFILE%\Documents\GitHub\eaglep3-reporting\EC\2018-01-03-refined-times.txt</v>
      </c>
      <c r="AI228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0.3554"},{"id":17,"name":"Train ID","value":"51-03"},{"id":16,"name":"Locomotive ID","value":"4020"},{"id":130,"name":"Impact","value":""},{"id":150,"name":"Time of Event (Mountain Time)","value":"03:19:22"},{"id":151,"name":"Denver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46"/>
        <v>start /low /b %USERPROFILE%\Documents\GitHub\eaglep3\Utilities\DownloadLogsFromS3.py --loco 4020 --day 2018-01-03</v>
      </c>
      <c r="AN22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48"/>
        <v>https://d0f6bd738d7f1b3e5a7ca70fe4ff75f0.us-east-1.aws.found.io/app/kibana#/discover/Steve-Slow-Train-Analysis-(2080s-and-2083s)?_g=(refreshInterval:(display:Off,pause:!f,section:0,value:0),time:(from:'2018-01-03T02:06:26-0700',mode:absolute,to:'2018-01-03T04:19:22-0700'))&amp;_a=(columns:!('Message%20ID',Summary),filters:!(),index:'emp_*',interval:auto,query:(query_string:(analyze_wildcard:!t,query:'%22rtdc.l.rtdc.4020%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9" t="s">
        <v>672</v>
      </c>
      <c r="B229" s="225">
        <v>4020</v>
      </c>
      <c r="C229" s="227" t="s">
        <v>192</v>
      </c>
      <c r="D229" s="227" t="s">
        <v>1005</v>
      </c>
      <c r="E229" s="226">
        <v>43103.447500000002</v>
      </c>
      <c r="F229" s="226">
        <v>43103.454027777778</v>
      </c>
      <c r="G229" s="225">
        <v>58</v>
      </c>
      <c r="H229" s="227" t="s">
        <v>1006</v>
      </c>
      <c r="I229" s="226">
        <v>43103.455034722225</v>
      </c>
      <c r="J229" s="225">
        <v>0</v>
      </c>
      <c r="K229" s="237" t="str">
        <f>IF(ISEVEN(B229),(B229-1)&amp;"/"&amp;B229,B229&amp;"/"&amp;(B229+1))</f>
        <v>4019/4020</v>
      </c>
      <c r="L229" s="245" t="str">
        <f>VLOOKUP(A229,'Trips&amp;Operators'!$C$1:$G$99911,5,FALSE)</f>
        <v>SPECTOR MICHAEL</v>
      </c>
      <c r="M229" s="224">
        <f>I229-F229</f>
        <v>1.006944446999114E-3</v>
      </c>
      <c r="N229" s="225">
        <f>24*60*SUM($M229:$M229)</f>
        <v>1.4500000036787242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2018-01-03T09:44:24-0700',mode:absolute,to:'2018-01-03T11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0</v>
      </c>
      <c r="Y229" s="247">
        <f>RIGHT(D229,LEN(D229)-4)/10000</f>
        <v>0.1492</v>
      </c>
      <c r="Z229" s="247">
        <f>RIGHT(H229,LEN(H229)-4)/10000</f>
        <v>0.3276</v>
      </c>
      <c r="AA229" s="247">
        <f>ABS(Z229-Y229)</f>
        <v>0.1784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51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/stypes="app*4020*20180103*" /stext=" 17:.+((SYSTEM_STATE.+slice.+state.+changed )|(ment ac)|(multiple cpu faults)|(system.+state.+changed )|(\[timeout)|(PRM\|1\|D)|(kpr)|(kdp)|(train st.+moving)|(\|lc)|(penalty))"</v>
      </c>
      <c r="AG229" s="244" t="str">
        <f>DetSubdiv(A229)</f>
        <v>Shuttle/Test</v>
      </c>
      <c r="AH229" s="236" t="str">
        <f t="shared" si="44"/>
        <v>"%USERPROFILE%\Documents\GitHub\eaglep3\Utilities\RefineRTDCRunTimes.py" --tripid 51-03 --locoid 4020 --swversion DE.1.0.9.0 --startMP 204:1492 --initTime 2018-01-03T10:44:24 --startdatetime 2018-01-03T10:53:48 --delay 58 --endMP 204:3276 --enddatetime 2018-01-03T10:55:15 --enforcementcount 0 &gt;&gt;%USERPROFILE%\Documents\GitHub\eaglep3-reporting\EC\2018-01-03-refined-times.txt</v>
      </c>
      <c r="AI229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0.3276"},{"id":17,"name":"Train ID","value":"51-03"},{"id":16,"name":"Locomotive ID","value":"4020"},{"id":130,"name":"Impact","value":""},{"id":150,"name":"Time of Event (Mountain Time)","value":"10:55:15"},{"id":151,"name":"Denver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46"/>
        <v>start /low /b %USERPROFILE%\Documents\GitHub\eaglep3\Utilities\DownloadLogsFromS3.py --loco 4020 --day 2018-01-03</v>
      </c>
      <c r="AN22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48"/>
        <v>https://d0f6bd738d7f1b3e5a7ca70fe4ff75f0.us-east-1.aws.found.io/app/kibana#/discover/Steve-Slow-Train-Analysis-(2080s-and-2083s)?_g=(refreshInterval:(display:Off,pause:!f,section:0,value:0),time:(from:'2018-01-03T09:44:24-0700',mode:absolute,to:'2018-01-03T11:55:15-0700'))&amp;_a=(columns:!('Message%20ID',Summary),filters:!(),index:'emp_*',interval:auto,query:(query_string:(analyze_wildcard:!t,query:'%22rtdc.l.rtdc.4020%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229" t="s">
        <v>672</v>
      </c>
      <c r="B230" s="225">
        <v>4019</v>
      </c>
      <c r="C230" s="227" t="s">
        <v>192</v>
      </c>
      <c r="D230" s="227" t="s">
        <v>1007</v>
      </c>
      <c r="E230" s="226">
        <v>43103.4528125</v>
      </c>
      <c r="F230" s="226">
        <v>43103.454027777778</v>
      </c>
      <c r="G230" s="225">
        <v>48</v>
      </c>
      <c r="H230" s="227" t="s">
        <v>584</v>
      </c>
      <c r="I230" s="226">
        <v>43103.455034722225</v>
      </c>
      <c r="J230" s="225">
        <v>0</v>
      </c>
      <c r="K230" s="237" t="str">
        <f>IF(ISEVEN(B230),(B230-1)&amp;"/"&amp;B230,B230&amp;"/"&amp;(B230+1))</f>
        <v>4019/4020</v>
      </c>
      <c r="L230" s="245" t="str">
        <f>VLOOKUP(A230,'Trips&amp;Operators'!$C$1:$G$99911,5,FALSE)</f>
        <v>SPECTOR MICHAEL</v>
      </c>
      <c r="M230" s="224">
        <f>I230-F230</f>
        <v>1.006944446999114E-3</v>
      </c>
      <c r="N230" s="225">
        <f>24*60*SUM($M230:$M230)</f>
        <v>1.4500000036787242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2018-01-03T09:52:03-0700',mode:absolute,to:'2018-01-03T11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0</v>
      </c>
      <c r="Y230" s="247">
        <f>RIGHT(D230,LEN(D230)-4)/10000</f>
        <v>0.29389999999999999</v>
      </c>
      <c r="Z230" s="247">
        <f>RIGHT(H230,LEN(H230)-4)/10000</f>
        <v>1.38E-2</v>
      </c>
      <c r="AA230" s="247">
        <f>ABS(Z230-Y230)</f>
        <v>0.28010000000000002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51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/stypes="app*4019*20180103*" /stext=" 17:.+((SYSTEM_STATE.+slice.+state.+changed )|(ment ac)|(multiple cpu faults)|(system.+state.+changed )|(\[timeout)|(PRM\|1\|D)|(kpr)|(kdp)|(train st.+moving)|(\|lc)|(penalty))"</v>
      </c>
      <c r="AG230" s="244" t="str">
        <f>DetSubdiv(A230)</f>
        <v>Shuttle/Test</v>
      </c>
      <c r="AH230" s="236" t="str">
        <f t="shared" si="44"/>
        <v>"%USERPROFILE%\Documents\GitHub\eaglep3\Utilities\RefineRTDCRunTimes.py" --tripid 51-03 --locoid 4019 --swversion DE.1.0.9.0 --startMP 204:2939 --initTime 2018-01-03T10:52:03 --startdatetime 2018-01-03T10:53:48 --delay 48 --endMP 204:138 --enddatetime 2018-01-03T10:55:15 --enforcementcount 0 &gt;&gt;%USERPROFILE%\Documents\GitHub\eaglep3-reporting\EC\2018-01-03-refined-times.txt</v>
      </c>
      <c r="AI230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0.0138"},{"id":17,"name":"Train ID","value":"51-03"},{"id":16,"name":"Locomotive ID","value":"4019"},{"id":130,"name":"Impact","value":""},{"id":150,"name":"Time of Event (Mountain Time)","value":"10:55:15"},{"id":151,"name":"Denver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46"/>
        <v>start /low /b %USERPROFILE%\Documents\GitHub\eaglep3\Utilities\DownloadLogsFromS3.py --loco 4019 --day 2018-01-03</v>
      </c>
      <c r="AN23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48"/>
        <v>https://d0f6bd738d7f1b3e5a7ca70fe4ff75f0.us-east-1.aws.found.io/app/kibana#/discover/Steve-Slow-Train-Analysis-(2080s-and-2083s)?_g=(refreshInterval:(display:Off,pause:!f,section:0,value:0),time:(from:'2018-01-03T09:52:03-0700',mode:absolute,to:'2018-01-03T11:55:15-0700'))&amp;_a=(columns:!('Message%20ID',Summary),filters:!(),index:'emp_*',interval:auto,query:(query_string:(analyze_wildcard:!t,query:'%22rtdc.l.rtdc.4019%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 s="229" t="s">
        <v>674</v>
      </c>
      <c r="B231" s="225">
        <v>4019</v>
      </c>
      <c r="C231" s="227" t="s">
        <v>192</v>
      </c>
      <c r="D231" s="227" t="s">
        <v>1008</v>
      </c>
      <c r="E231" s="226">
        <v>43103.139432870368</v>
      </c>
      <c r="F231" s="226">
        <v>43103.141712962963</v>
      </c>
      <c r="G231" s="225">
        <v>66</v>
      </c>
      <c r="H231" s="227" t="s">
        <v>1009</v>
      </c>
      <c r="I231" s="226">
        <v>43103.142685185187</v>
      </c>
      <c r="J231" s="225">
        <v>0</v>
      </c>
      <c r="K231" s="237" t="str">
        <f>IF(ISEVEN(B231),(B231-1)&amp;"/"&amp;B231,B231&amp;"/"&amp;(B231+1))</f>
        <v>4019/4020</v>
      </c>
      <c r="L231" s="245" t="str">
        <f>VLOOKUP(A231,'Trips&amp;Operators'!$C$1:$G$99911,5,FALSE)</f>
        <v>SPECTOR MICHAEL</v>
      </c>
      <c r="M231" s="224">
        <f>I231-F231</f>
        <v>9.7222222393611446E-4</v>
      </c>
      <c r="N231" s="225">
        <f>24*60*SUM($M231:$M231)</f>
        <v>1.4000000024680048</v>
      </c>
      <c r="O231" s="225"/>
      <c r="P231" s="225"/>
      <c r="Q231" s="228"/>
      <c r="R231" s="242"/>
      <c r="S231" s="249">
        <f>1/IF(AG231="EC",12,1)*SUM(U231:U231)</f>
        <v>0</v>
      </c>
      <c r="T231" s="242" t="str">
        <f>IF(ISEVEN(LEFT(AD231,4)),"Southbound","NorthBound")</f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2018-01-03T02:20:47-0700',mode:absolute,to:'2018-01-03T04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1</v>
      </c>
      <c r="Y231" s="247">
        <f>RIGHT(D231,LEN(D231)-4)/10000</f>
        <v>0.32069999999999999</v>
      </c>
      <c r="Z231" s="247">
        <f>RIGHT(H231,LEN(H231)-4)/10000</f>
        <v>0.1169</v>
      </c>
      <c r="AA231" s="247">
        <f>ABS(Z231-Y231)</f>
        <v>0.20379999999999998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52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/stypes="app*4019*20180103*" /stext=" 10:.+((SYSTEM_STATE.+slice.+state.+changed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44"/>
        <v>"%USERPROFILE%\Documents\GitHub\eaglep3\Utilities\RefineRTDCRunTimes.py" --tripid 52-03 --locoid 4019 --swversion DE.1.0.9.0 --startMP 204:3207 --initTime 2018-01-03T03:20:47 --startdatetime 2018-01-03T03:24:04 --delay 66 --endMP 204:1169 --enddatetime 2018-01-03T03:25:28 --enforcementcount 0 &gt;&gt;%USERPROFILE%\Documents\GitHub\eaglep3-reporting\EC\2018-01-03-refined-times.txt</v>
      </c>
      <c r="AI231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0.1169"},{"id":17,"name":"Train ID","value":"52-03"},{"id":16,"name":"Locomotive ID","value":"4019"},{"id":130,"name":"Impact","value":""},{"id":150,"name":"Time of Event (Mountain Time)","value":"03:25:28"},{"id":151,"name":"Denver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1"/>
      <c r="AL231" s="231"/>
      <c r="AM231" s="240" t="str">
        <f t="shared" si="46"/>
        <v>start /low /b %USERPROFILE%\Documents\GitHub\eaglep3\Utilities\DownloadLogsFromS3.py --loco 4019 --day 2018-01-03</v>
      </c>
      <c r="AN231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48"/>
        <v>https://d0f6bd738d7f1b3e5a7ca70fe4ff75f0.us-east-1.aws.found.io/app/kibana#/discover/Steve-Slow-Train-Analysis-(2080s-and-2083s)?_g=(refreshInterval:(display:Off,pause:!f,section:0,value:0),time:(from:'2018-01-03T02:20:47-0700',mode:absolute,to:'2018-01-03T04:25:28-0700'))&amp;_a=(columns:!('Message%20ID',Summary),filters:!(),index:'emp_*',interval:auto,query:(query_string:(analyze_wildcard:!t,query:'%22rtdc.l.rtdc.4019%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9" t="s">
        <v>838</v>
      </c>
      <c r="B232" s="225">
        <v>4053</v>
      </c>
      <c r="C232" s="227" t="s">
        <v>192</v>
      </c>
      <c r="D232" s="227" t="s">
        <v>1010</v>
      </c>
      <c r="E232" s="226">
        <v>43103.739155092589</v>
      </c>
      <c r="F232" s="226">
        <v>43103.744386574072</v>
      </c>
      <c r="G232" s="225">
        <v>79</v>
      </c>
      <c r="H232" s="227" t="s">
        <v>1011</v>
      </c>
      <c r="I232" s="226">
        <v>43103.749050925922</v>
      </c>
      <c r="J232" s="225">
        <v>0</v>
      </c>
      <c r="K232" s="237" t="str">
        <f>IF(ISEVEN(B232),(B232-1)&amp;"/"&amp;B232,B232&amp;"/"&amp;(B232+1))</f>
        <v>4053/4054</v>
      </c>
      <c r="L232" s="245" t="str">
        <f>VLOOKUP(A232,'Trips&amp;Operators'!$C$1:$G$99911,5,FALSE)</f>
        <v>ANDREA WILLIAMS</v>
      </c>
      <c r="M232" s="224">
        <f>I232-F232</f>
        <v>4.6643518508062698E-3</v>
      </c>
      <c r="N232" s="225">
        <f>24*60*SUM($M232:$M232)</f>
        <v>6.7166666651610285</v>
      </c>
      <c r="O232" s="225"/>
      <c r="P232" s="225"/>
      <c r="Q232" s="228"/>
      <c r="R232" s="242"/>
      <c r="S232" s="249">
        <f>1/IF(AG232="EC",12,1)*SUM(U232:U232)</f>
        <v>1</v>
      </c>
      <c r="T232" s="242" t="str">
        <f>IF(ISEVEN(LEFT(AD232,4)),"Southbound","NorthBound")</f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2018-01-03T16:44:23-0700',mode:absolute,to:'2018-01-03T18:58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14</v>
      </c>
      <c r="Y232" s="247">
        <f>RIGHT(D232,LEN(D232)-4)/10000</f>
        <v>2.3792</v>
      </c>
      <c r="Z232" s="247">
        <f>RIGHT(H232,LEN(H232)-4)/10000</f>
        <v>0.16350000000000001</v>
      </c>
      <c r="AA232" s="247">
        <f>ABS(Z232-Y232)</f>
        <v>2.2157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66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 &amp; aws s3 cp s3://rtdc.mdm.uploadarchive.raw/RTDC4053/ "%USERPROFILE%\AppData\Local\Temp\OnboardLogs"\RTDC4053\2018-01-04 --exclude "*" --recursive --include "*20180104*" &amp; "%USERPROFILE%\Documents\GitHub\mrs-test-scripts\Headless Mode &amp; Sideloading\WalkAndUnGZ.bat" "%USERPROFILE%\AppData\Local\Temp\OnboardLogs"\RTDC4053\2018-01-04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/stypes="app*4053*20180104*" /stext=" 00:.+((SYSTEM_STATE.+slice.+state.+changed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44"/>
        <v>"%USERPROFILE%\Documents\GitHub\eaglep3\Utilities\RefineRTDCRunTimes.py" --tripid 66-03 --locoid 4053 --swversion DE.1.0.9.0 --startMP 300:23792 --initTime 2018-01-03T17:44:23 --startdatetime 2018-01-03T17:51:55 --delay 79 --endMP 204:1635 --enddatetime 2018-01-03T17:58:38 --enforcementcount 0 &gt;&gt;%USERPROFILE%\Documents\GitHub\eaglep3-reporting\EC\2018-01-03-refined-times.txt</v>
      </c>
      <c r="AI232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0.1635"},{"id":17,"name":"Train ID","value":"66-03"},{"id":16,"name":"Locomotive ID","value":"4053"},{"id":130,"name":"Impact","value":""},{"id":150,"name":"Time of Event (Mountain Time)","value":"17:58:38"},{"id":151,"name":"Denver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46"/>
        <v>start /low /b %USERPROFILE%\Documents\GitHub\eaglep3\Utilities\DownloadLogsFromS3.py --loco 4053 --day 2018-01-03</v>
      </c>
      <c r="AN232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48"/>
        <v>https://d0f6bd738d7f1b3e5a7ca70fe4ff75f0.us-east-1.aws.found.io/app/kibana#/discover/Steve-Slow-Train-Analysis-(2080s-and-2083s)?_g=(refreshInterval:(display:Off,pause:!f,section:0,value:0),time:(from:'2018-01-03T16:44:23-0700',mode:absolute,to:'2018-01-03T18:58:38-0700'))&amp;_a=(columns:!('Message%20ID',Summary),filters:!(),index:'emp_*',interval:auto,query:(query_string:(analyze_wildcard:!t,query:'%22rtdc.l.rtdc.4053%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 s="229" t="s">
        <v>650</v>
      </c>
      <c r="B233" s="225">
        <v>4026</v>
      </c>
      <c r="C233" s="227" t="s">
        <v>192</v>
      </c>
      <c r="D233" s="227" t="s">
        <v>1012</v>
      </c>
      <c r="E233" s="226">
        <v>43103.350497685184</v>
      </c>
      <c r="F233" s="226">
        <v>43103.355532407404</v>
      </c>
      <c r="G233" s="225">
        <v>124</v>
      </c>
      <c r="H233" s="227" t="s">
        <v>1013</v>
      </c>
      <c r="I233" s="226">
        <v>43103.357083333336</v>
      </c>
      <c r="J233" s="225">
        <v>0</v>
      </c>
      <c r="K233" s="237" t="str">
        <f>IF(ISEVEN(B233),(B233-1)&amp;"/"&amp;B233,B233&amp;"/"&amp;(B233+1))</f>
        <v>4025/4026</v>
      </c>
      <c r="L233" s="245" t="str">
        <f>VLOOKUP(A233,'Trips&amp;Operators'!$C$1:$G$99911,5,FALSE)</f>
        <v>BROWN JACOB</v>
      </c>
      <c r="M233" s="224">
        <f>I233-F233</f>
        <v>1.5509259319514968E-3</v>
      </c>
      <c r="N233" s="225">
        <f>24*60*SUM($M233:$M233)</f>
        <v>2.2333333420101553</v>
      </c>
      <c r="O233" s="225"/>
      <c r="P233" s="225"/>
      <c r="Q233" s="228"/>
      <c r="R233" s="242"/>
      <c r="S233" s="249">
        <f>1/IF(AG233="EC",12,1)*SUM(U233:U233)</f>
        <v>0</v>
      </c>
      <c r="T233" s="242" t="str">
        <f>IF(ISEVEN(LEFT(AD233,4)),"Southbound","NorthBound")</f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2018-01-03T07:24:43-0700',mode:absolute,to:'2018-01-03T09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1</v>
      </c>
      <c r="Y233" s="247">
        <f>RIGHT(D233,LEN(D233)-4)/10000</f>
        <v>3.0095999999999998</v>
      </c>
      <c r="Z233" s="247">
        <f>RIGHT(H233,LEN(H233)-4)/10000</f>
        <v>3.3117000000000001</v>
      </c>
      <c r="AA233" s="247">
        <f>ABS(Z233-Y233)</f>
        <v>0.30210000000000026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67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/stypes="app*4026*20180103*" /stext=" 15:.+((SYSTEM_STATE.+slice.+state.+changed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44"/>
        <v>"%USERPROFILE%\Documents\GitHub\eaglep3\Utilities\RefineRTDCRunTimes.py" --tripid 67-03 --locoid 4026 --swversion DE.1.0.9.0 --startMP 300:30096 --initTime 2018-01-03T08:24:43 --startdatetime 2018-01-03T08:31:58 --delay 124 --endMP 300:33117 --enddatetime 2018-01-03T08:34:12 --enforcementcount 0 &gt;&gt;%USERPROFILE%\Documents\GitHub\eaglep3-reporting\EC\2018-01-03-refined-times.txt</v>
      </c>
      <c r="AI233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3.3117"},{"id":17,"name":"Train ID","value":"67-03"},{"id":16,"name":"Locomotive ID","value":"4026"},{"id":130,"name":"Impact","value":""},{"id":150,"name":"Time of Event (Mountain Time)","value":"08:34:12"},{"id":151,"name":"Denver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1"/>
      <c r="AL233" s="231"/>
      <c r="AM233" s="240" t="str">
        <f t="shared" si="46"/>
        <v>start /low /b %USERPROFILE%\Documents\GitHub\eaglep3\Utilities\DownloadLogsFromS3.py --loco 4026 --day 2018-01-03</v>
      </c>
      <c r="AN233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48"/>
        <v>https://d0f6bd738d7f1b3e5a7ca70fe4ff75f0.us-east-1.aws.found.io/app/kibana#/discover/Steve-Slow-Train-Analysis-(2080s-and-2083s)?_g=(refreshInterval:(display:Off,pause:!f,section:0,value:0),time:(from:'2018-01-03T07:24:43-0700',mode:absolute,to:'2018-01-03T09:34:12-0700'))&amp;_a=(columns:!('Message%20ID',Summary),filters:!(),index:'emp_*',interval:auto,query:(query_string:(analyze_wildcard:!t,query:'%22rtdc.l.rtdc.4026%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229" t="s">
        <v>650</v>
      </c>
      <c r="B234" s="225">
        <v>4026</v>
      </c>
      <c r="C234" s="227" t="s">
        <v>192</v>
      </c>
      <c r="D234" s="227" t="s">
        <v>1014</v>
      </c>
      <c r="E234" s="226">
        <v>43103.431805555556</v>
      </c>
      <c r="F234" s="226">
        <v>43103.440416666665</v>
      </c>
      <c r="G234" s="225">
        <v>401</v>
      </c>
      <c r="H234" s="227" t="s">
        <v>1015</v>
      </c>
      <c r="I234" s="226">
        <v>43103.459756944445</v>
      </c>
      <c r="J234" s="225">
        <v>0</v>
      </c>
      <c r="K234" s="237" t="str">
        <f>IF(ISEVEN(B234),(B234-1)&amp;"/"&amp;B234,B234&amp;"/"&amp;(B234+1))</f>
        <v>4025/4026</v>
      </c>
      <c r="L234" s="245" t="str">
        <f>VLOOKUP(A234,'Trips&amp;Operators'!$C$1:$G$99911,5,FALSE)</f>
        <v>BROWN JACOB</v>
      </c>
      <c r="M234" s="224">
        <f>I234-F234</f>
        <v>1.934027778042946E-2</v>
      </c>
      <c r="N234" s="225">
        <f>24*60*SUM($M234:$M234)</f>
        <v>27.850000003818423</v>
      </c>
      <c r="O234" s="225"/>
      <c r="P234" s="225"/>
      <c r="Q234" s="228"/>
      <c r="R234" s="242"/>
      <c r="S234" s="249">
        <f>1/IF(AG234="EC",12,1)*SUM(U234:U234)</f>
        <v>0</v>
      </c>
      <c r="T234" s="242" t="str">
        <f>IF(ISEVEN(LEFT(AD234,4)),"Southbound","NorthBound")</f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2018-01-03T09:21:48-0700',mode:absolute,to:'2018-01-03T12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247" t="str">
        <f>IF(AA234&lt;VLOOKUP(AG234,Variables!$AC$3:$AD$8,2,FALSE),"Y","N")</f>
        <v>Y</v>
      </c>
      <c r="X234" s="247">
        <f>VALUE(LEFT(AD234,4))-VALUE(LEFT(AD233,4))</f>
        <v>0</v>
      </c>
      <c r="Y234" s="247">
        <f>RIGHT(D234,LEN(D234)-4)/10000</f>
        <v>3.7978999999999998</v>
      </c>
      <c r="Z234" s="247">
        <f>RIGHT(H234,LEN(H234)-4)/10000</f>
        <v>11.257999999999999</v>
      </c>
      <c r="AA234" s="247">
        <f>ABS(Z234-Y234)</f>
        <v>7.4600999999999988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>VALUE(LEFT(A234,LEN(A234)-3))</f>
        <v>67</v>
      </c>
      <c r="AE234" s="23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/stypes="app*4026*20180103*" /stext=" 18:.+((SYSTEM_STATE.+slice.+state.+changed )|(ment ac)|(multiple cpu faults)|(system.+state.+changed )|(\[timeout)|(PRM\|1\|D)|(kpr)|(kdp)|(train st.+moving)|(\|lc)|(penalty))"</v>
      </c>
      <c r="AG234" s="244" t="str">
        <f>DetSubdiv(A234)</f>
        <v>Shuttle/Test</v>
      </c>
      <c r="AH234" s="236" t="str">
        <f t="shared" si="44"/>
        <v>"%USERPROFILE%\Documents\GitHub\eaglep3\Utilities\RefineRTDCRunTimes.py" --tripid 67-03 --locoid 4026 --swversion DE.1.0.9.0 --startMP 300:37979 --initTime 2018-01-03T10:21:48 --startdatetime 2018-01-03T10:34:12 --delay 401 --endMP 300:112580 --enddatetime 2018-01-03T11:02:03 --enforcementcount 0 &gt;&gt;%USERPROFILE%\Documents\GitHub\eaglep3-reporting\EC\2018-01-03-refined-times.txt</v>
      </c>
      <c r="AI234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11.258"},{"id":17,"name":"Train ID","value":"67-03"},{"id":16,"name":"Locomotive ID","value":"4026"},{"id":130,"name":"Impact","value":""},{"id":150,"name":"Time of Event (Mountain Time)","value":"11:02:03"},{"id":151,"name":"Denver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46"/>
        <v>start /low /b %USERPROFILE%\Documents\GitHub\eaglep3\Utilities\DownloadLogsFromS3.py --loco 4026 --day 2018-01-03</v>
      </c>
      <c r="AN23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48"/>
        <v>https://d0f6bd738d7f1b3e5a7ca70fe4ff75f0.us-east-1.aws.found.io/app/kibana#/discover/Steve-Slow-Train-Analysis-(2080s-and-2083s)?_g=(refreshInterval:(display:Off,pause:!f,section:0,value:0),time:(from:'2018-01-03T09:21:48-0700',mode:absolute,to:'2018-01-03T12:02:03-0700'))&amp;_a=(columns:!('Message%20ID',Summary),filters:!(),index:'emp_*',interval:auto,query:(query_string:(analyze_wildcard:!t,query:'%22rtdc.l.rtdc.4026%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3">
      <c r="A235" s="229" t="s">
        <v>650</v>
      </c>
      <c r="B235" s="225">
        <v>4026</v>
      </c>
      <c r="C235" s="227" t="s">
        <v>192</v>
      </c>
      <c r="D235" s="227" t="s">
        <v>1016</v>
      </c>
      <c r="E235" s="226">
        <v>43103.583483796298</v>
      </c>
      <c r="F235" s="226">
        <v>43103.591689814813</v>
      </c>
      <c r="G235" s="225">
        <v>162</v>
      </c>
      <c r="H235" s="227" t="s">
        <v>1017</v>
      </c>
      <c r="I235" s="226">
        <v>43103.610995370371</v>
      </c>
      <c r="J235" s="225">
        <v>0</v>
      </c>
      <c r="K235" s="237" t="str">
        <f>IF(ISEVEN(B235),(B235-1)&amp;"/"&amp;B235,B235&amp;"/"&amp;(B235+1))</f>
        <v>4025/4026</v>
      </c>
      <c r="L235" s="245" t="str">
        <f>VLOOKUP(A235,'Trips&amp;Operators'!$C$1:$G$99911,5,FALSE)</f>
        <v>BROWN JACOB</v>
      </c>
      <c r="M235" s="224">
        <f>I235-F235</f>
        <v>1.9305555557366461E-2</v>
      </c>
      <c r="N235" s="225">
        <f>24*60*SUM($M235:$M235)</f>
        <v>27.800000002607703</v>
      </c>
      <c r="O235" s="225"/>
      <c r="P235" s="225"/>
      <c r="Q235" s="228"/>
      <c r="R235" s="242"/>
      <c r="S235" s="249">
        <f>1/IF(AG235="EC",12,1)*SUM(U235:U235)</f>
        <v>1</v>
      </c>
      <c r="T235" s="242" t="str">
        <f>IF(ISEVEN(LEFT(AD235,4)),"Southbound","NorthBound")</f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8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2018-01-03T13:00:13-0700',mode:absolute,to:'2018-01-03T15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247" t="str">
        <f>IF(AA235&lt;VLOOKUP(AG235,Variables!$AC$3:$AD$8,2,FALSE),"Y","N")</f>
        <v>Y</v>
      </c>
      <c r="X235" s="247">
        <f>VALUE(LEFT(AD235,4))-VALUE(LEFT(AD234,4))</f>
        <v>0</v>
      </c>
      <c r="Y235" s="247">
        <f>RIGHT(D235,LEN(D235)-4)/10000</f>
        <v>9.6500000000000002E-2</v>
      </c>
      <c r="Z235" s="247">
        <f>RIGHT(H235,LEN(H235)-4)/10000</f>
        <v>11.256500000000001</v>
      </c>
      <c r="AA235" s="247">
        <f>ABS(Z235-Y235)</f>
        <v>11.16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>VALUE(LEFT(A235,LEN(A235)-3))</f>
        <v>67</v>
      </c>
      <c r="AE235" s="23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/stypes="app*4026*20180103*" /stext=" 21:.+((SYSTEM_STATE.+slice.+state.+changed )|(ment ac)|(multiple cpu faults)|(system.+state.+changed )|(\[timeout)|(PRM\|1\|D)|(kpr)|(kdp)|(train st.+moving)|(\|lc)|(penalty))"</v>
      </c>
      <c r="AG235" s="244" t="str">
        <f>DetSubdiv(A235)</f>
        <v>Shuttle/Test</v>
      </c>
      <c r="AH235" s="236" t="str">
        <f t="shared" si="44"/>
        <v>"%USERPROFILE%\Documents\GitHub\eaglep3\Utilities\RefineRTDCRunTimes.py" --tripid 67-03 --locoid 4026 --swversion DE.1.0.9.0 --startMP 204:965 --initTime 2018-01-03T14:00:13 --startdatetime 2018-01-03T14:12:02 --delay 162 --endMP 300:112565 --enddatetime 2018-01-03T14:39:50 --enforcementcount 0 &gt;&gt;%USERPROFILE%\Documents\GitHub\eaglep3-reporting\EC\2018-01-03-refined-times.txt</v>
      </c>
      <c r="AI235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11.2565"},{"id":17,"name":"Train ID","value":"67-03"},{"id":16,"name":"Locomotive ID","value":"4026"},{"id":130,"name":"Impact","value":""},{"id":150,"name":"Time of Event (Mountain Time)","value":"14:39:50"},{"id":151,"name":"Denver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1"/>
      <c r="AL235" s="231"/>
      <c r="AM235" s="240" t="str">
        <f t="shared" si="46"/>
        <v>start /low /b %USERPROFILE%\Documents\GitHub\eaglep3\Utilities\DownloadLogsFromS3.py --loco 4026 --day 2018-01-03</v>
      </c>
      <c r="AN235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48"/>
        <v>https://d0f6bd738d7f1b3e5a7ca70fe4ff75f0.us-east-1.aws.found.io/app/kibana#/discover/Steve-Slow-Train-Analysis-(2080s-and-2083s)?_g=(refreshInterval:(display:Off,pause:!f,section:0,value:0),time:(from:'2018-01-03T13:00:13-0700',mode:absolute,to:'2018-01-03T15:39:50-0700'))&amp;_a=(columns:!('Message%20ID',Summary),filters:!(),index:'emp_*',interval:auto,query:(query_string:(analyze_wildcard:!t,query:'%22rtdc.l.rtdc.4026%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229" t="s">
        <v>650</v>
      </c>
      <c r="B236" s="225">
        <v>4026</v>
      </c>
      <c r="C236" s="227" t="s">
        <v>192</v>
      </c>
      <c r="D236" s="227" t="s">
        <v>1018</v>
      </c>
      <c r="E236" s="226">
        <v>43103.688587962963</v>
      </c>
      <c r="F236" s="226">
        <v>43103.690370370372</v>
      </c>
      <c r="G236" s="225">
        <v>82</v>
      </c>
      <c r="H236" s="227" t="s">
        <v>1019</v>
      </c>
      <c r="I236" s="226">
        <v>43103.708773148152</v>
      </c>
      <c r="J236" s="225">
        <v>0</v>
      </c>
      <c r="K236" s="237" t="str">
        <f>IF(ISEVEN(B236),(B236-1)&amp;"/"&amp;B236,B236&amp;"/"&amp;(B236+1))</f>
        <v>4025/4026</v>
      </c>
      <c r="L236" s="245" t="str">
        <f>VLOOKUP(A236,'Trips&amp;Operators'!$C$1:$G$99911,5,FALSE)</f>
        <v>BROWN JACOB</v>
      </c>
      <c r="M236" s="224">
        <f>I236-F236</f>
        <v>1.8402777779556345E-2</v>
      </c>
      <c r="N236" s="225">
        <f>24*60*SUM($M236:$M236)</f>
        <v>26.500000002561137</v>
      </c>
      <c r="O236" s="225"/>
      <c r="P236" s="225"/>
      <c r="Q236" s="228"/>
      <c r="R236" s="242"/>
      <c r="S236" s="249">
        <f>1/IF(AG236="EC",12,1)*SUM(U236:U236)</f>
        <v>1</v>
      </c>
      <c r="T236" s="242" t="str">
        <f>IF(ISEVEN(LEFT(AD236,4)),"Southbound","NorthBound")</f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8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2018-01-03T15:31:34-0700',mode:absolute,to:'2018-01-03T18:00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6" s="247" t="str">
        <f>IF(AA236&lt;VLOOKUP(AG236,Variables!$AC$3:$AD$8,2,FALSE),"Y","N")</f>
        <v>Y</v>
      </c>
      <c r="X236" s="247">
        <f>VALUE(LEFT(AD236,4))-VALUE(LEFT(AD235,4))</f>
        <v>0</v>
      </c>
      <c r="Y236" s="247">
        <f>RIGHT(D236,LEN(D236)-4)/10000</f>
        <v>0.1065</v>
      </c>
      <c r="Z236" s="247">
        <f>RIGHT(H236,LEN(H236)-4)/10000</f>
        <v>11.253299999999999</v>
      </c>
      <c r="AA236" s="247">
        <f>ABS(Z236-Y236)</f>
        <v>11.146799999999999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>VALUE(LEFT(A236,LEN(A236)-3))</f>
        <v>67</v>
      </c>
      <c r="AE236" s="23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/stypes="app*4026*20180104*" /stext=" 00:.+((SYSTEM_STATE.+slice.+state.+changed )|(ment ac)|(multiple cpu faults)|(system.+state.+changed )|(\[timeout)|(PRM\|1\|D)|(kpr)|(kdp)|(train st.+moving)|(\|lc)|(penalty))"</v>
      </c>
      <c r="AG236" s="244" t="str">
        <f>DetSubdiv(A236)</f>
        <v>Shuttle/Test</v>
      </c>
      <c r="AH236" s="236" t="str">
        <f t="shared" si="44"/>
        <v>"%USERPROFILE%\Documents\GitHub\eaglep3\Utilities\RefineRTDCRunTimes.py" --tripid 67-03 --locoid 4026 --swversion DE.1.0.9.0 --startMP 204:1065 --initTime 2018-01-03T16:31:34 --startdatetime 2018-01-03T16:34:08 --delay 82 --endMP 300:112533 --enddatetime 2018-01-03T17:00:38 --enforcementcount 0 &gt;&gt;%USERPROFILE%\Documents\GitHub\eaglep3-reporting\EC\2018-01-03-refined-times.txt</v>
      </c>
      <c r="AI236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11.2533"},{"id":17,"name":"Train ID","value":"67-03"},{"id":16,"name":"Locomotive ID","value":"4026"},{"id":130,"name":"Impact","value":""},{"id":150,"name":"Time of Event (Mountain Time)","value":"17:00:38"},{"id":151,"name":"Denver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3"/>
      <c r="AK236" s="231"/>
      <c r="AL236" s="231"/>
      <c r="AM236" s="240" t="str">
        <f t="shared" si="46"/>
        <v>start /low /b %USERPROFILE%\Documents\GitHub\eaglep3\Utilities\DownloadLogsFromS3.py --loco 4026 --day 2018-01-03</v>
      </c>
      <c r="AN236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48"/>
        <v>https://d0f6bd738d7f1b3e5a7ca70fe4ff75f0.us-east-1.aws.found.io/app/kibana#/discover/Steve-Slow-Train-Analysis-(2080s-and-2083s)?_g=(refreshInterval:(display:Off,pause:!f,section:0,value:0),time:(from:'2018-01-03T15:31:34-0700',mode:absolute,to:'2018-01-03T18:00:38-0700'))&amp;_a=(columns:!('Message%20ID',Summary),filters:!(),index:'emp_*',interval:auto,query:(query_string:(analyze_wildcard:!t,query:'%22rtdc.l.rtdc.4026%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29" t="s">
        <v>644</v>
      </c>
      <c r="B237" s="225">
        <v>4025</v>
      </c>
      <c r="C237" s="227" t="s">
        <v>192</v>
      </c>
      <c r="D237" s="227" t="s">
        <v>1020</v>
      </c>
      <c r="E237" s="226">
        <v>43103.372256944444</v>
      </c>
      <c r="F237" s="226">
        <v>43103.379756944443</v>
      </c>
      <c r="G237" s="225">
        <v>90</v>
      </c>
      <c r="H237" s="227" t="s">
        <v>1021</v>
      </c>
      <c r="I237" s="226">
        <v>43103.39099537037</v>
      </c>
      <c r="J237" s="225">
        <v>0</v>
      </c>
      <c r="K237" s="237" t="str">
        <f>IF(ISEVEN(B237),(B237-1)&amp;"/"&amp;B237,B237&amp;"/"&amp;(B237+1))</f>
        <v>4025/4026</v>
      </c>
      <c r="L237" s="245" t="str">
        <f>VLOOKUP(A237,'Trips&amp;Operators'!$C$1:$G$99911,5,FALSE)</f>
        <v>BROWN JACOB</v>
      </c>
      <c r="M237" s="224">
        <f>I237-F237</f>
        <v>1.1238425926421769E-2</v>
      </c>
      <c r="N237" s="225">
        <f>24*60*SUM($M237:$M237)</f>
        <v>16.183333334047347</v>
      </c>
      <c r="O237" s="225"/>
      <c r="P237" s="225"/>
      <c r="Q237" s="228"/>
      <c r="R237" s="242"/>
      <c r="S237" s="249">
        <f>1/IF(AG237="EC",12,1)*SUM(U237:U237)</f>
        <v>0</v>
      </c>
      <c r="T237" s="242" t="str">
        <f>IF(ISEVEN(LEFT(AD237,4)),"Southbound","NorthBound")</f>
        <v>Southbound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2018-01-03T07:56:03-0700',mode:absolute,to:'2018-01-03T10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247" t="str">
        <f>IF(AA237&lt;VLOOKUP(AG237,Variables!$AC$3:$AD$8,2,FALSE),"Y","N")</f>
        <v>Y</v>
      </c>
      <c r="X237" s="247">
        <f>VALUE(LEFT(AD237,4))-VALUE(LEFT(AD236,4))</f>
        <v>1</v>
      </c>
      <c r="Y237" s="247">
        <f>RIGHT(D237,LEN(D237)-4)/10000</f>
        <v>11.226599999999999</v>
      </c>
      <c r="Z237" s="247">
        <f>RIGHT(H237,LEN(H237)-4)/10000</f>
        <v>3.7772999999999999</v>
      </c>
      <c r="AA237" s="247">
        <f>ABS(Z237-Y237)</f>
        <v>7.4492999999999991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>VALUE(LEFT(A237,LEN(A237)-3))</f>
        <v>68</v>
      </c>
      <c r="AE237" s="23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/stypes="app*4025*20180103*" /stext=" 16:.+((SYSTEM_STATE.+slice.+state.+changed )|(ment ac)|(multiple cpu faults)|(system.+state.+changed )|(\[timeout)|(PRM\|1\|D)|(kpr)|(kdp)|(train st.+moving)|(\|lc)|(penalty))"</v>
      </c>
      <c r="AG237" s="244" t="str">
        <f>DetSubdiv(A237)</f>
        <v>Shuttle/Test</v>
      </c>
      <c r="AH237" s="236" t="str">
        <f t="shared" si="44"/>
        <v>"%USERPROFILE%\Documents\GitHub\eaglep3\Utilities\RefineRTDCRunTimes.py" --tripid 68-03 --locoid 4025 --swversion DE.1.0.9.0 --startMP 300:112266 --initTime 2018-01-03T08:56:03 --startdatetime 2018-01-03T09:06:51 --delay 90 --endMP 300:37773 --enddatetime 2018-01-03T09:23:02 --enforcementcount 0 &gt;&gt;%USERPROFILE%\Documents\GitHub\eaglep3-reporting\EC\2018-01-03-refined-times.txt</v>
      </c>
      <c r="AI237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3.7773"},{"id":17,"name":"Train ID","value":"68-03"},{"id":16,"name":"Locomotive ID","value":"4025"},{"id":130,"name":"Impact","value":""},{"id":150,"name":"Time of Event (Mountain Time)","value":"09:23:02"},{"id":151,"name":"Denver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46"/>
        <v>start /low /b %USERPROFILE%\Documents\GitHub\eaglep3\Utilities\DownloadLogsFromS3.py --loco 4025 --day 2018-01-03</v>
      </c>
      <c r="AN237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48"/>
        <v>https://d0f6bd738d7f1b3e5a7ca70fe4ff75f0.us-east-1.aws.found.io/app/kibana#/discover/Steve-Slow-Train-Analysis-(2080s-and-2083s)?_g=(refreshInterval:(display:Off,pause:!f,section:0,value:0),time:(from:'2018-01-03T07:56:03-0700',mode:absolute,to:'2018-01-03T10:23:02-0700'))&amp;_a=(columns:!('Message%20ID',Summary),filters:!(),index:'emp_*',interval:auto,query:(query_string:(analyze_wildcard:!t,query:'%22rtdc.l.rtdc.4025%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644</v>
      </c>
      <c r="B238" s="225">
        <v>4025</v>
      </c>
      <c r="C238" s="227" t="s">
        <v>192</v>
      </c>
      <c r="D238" s="227" t="s">
        <v>1022</v>
      </c>
      <c r="E238" s="226">
        <v>43103.572210648148</v>
      </c>
      <c r="F238" s="226">
        <v>43103.574108796296</v>
      </c>
      <c r="G238" s="225">
        <v>83</v>
      </c>
      <c r="H238" s="227" t="s">
        <v>1023</v>
      </c>
      <c r="I238" s="226">
        <v>43103.581041666665</v>
      </c>
      <c r="J238" s="225">
        <v>0</v>
      </c>
      <c r="K238" s="237" t="str">
        <f>IF(ISEVEN(B238),(B238-1)&amp;"/"&amp;B238,B238&amp;"/"&amp;(B238+1))</f>
        <v>4025/4026</v>
      </c>
      <c r="L238" s="245" t="str">
        <f>VLOOKUP(A238,'Trips&amp;Operators'!$C$1:$G$99911,5,FALSE)</f>
        <v>BROWN JACOB</v>
      </c>
      <c r="M238" s="224">
        <f>I238-F238</f>
        <v>6.9328703684732318E-3</v>
      </c>
      <c r="N238" s="225">
        <f>24*60*SUM($M238:$M238)</f>
        <v>9.9833333306014538</v>
      </c>
      <c r="O238" s="225"/>
      <c r="P238" s="225"/>
      <c r="Q238" s="228"/>
      <c r="R238" s="242"/>
      <c r="S238" s="249">
        <f>1/IF(AG238="EC",12,1)*SUM(U238:U238)</f>
        <v>1</v>
      </c>
      <c r="T238" s="242" t="str">
        <f>IF(ISEVEN(LEFT(AD238,4)),"Southbound","NorthBound")</f>
        <v>Southbound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8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2018-01-03T12:43:59-0700',mode:absolute,to:'2018-01-03T14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8" s="247" t="str">
        <f>IF(AA238&lt;VLOOKUP(AG238,Variables!$AC$3:$AD$8,2,FALSE),"Y","N")</f>
        <v>Y</v>
      </c>
      <c r="X238" s="247">
        <f>VALUE(LEFT(AD238,4))-VALUE(LEFT(AD237,4))</f>
        <v>0</v>
      </c>
      <c r="Y238" s="247">
        <f>RIGHT(D238,LEN(D238)-4)/10000</f>
        <v>3.9214000000000002</v>
      </c>
      <c r="Z238" s="247">
        <f>RIGHT(H238,LEN(H238)-4)/10000</f>
        <v>6.8199999999999997E-2</v>
      </c>
      <c r="AA238" s="247">
        <f>ABS(Z238-Y238)</f>
        <v>3.8532000000000002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>VALUE(LEFT(A238,LEN(A238)-3))</f>
        <v>68</v>
      </c>
      <c r="AE238" s="23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38" s="23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/stypes="app*4025*20180103*" /stext=" 20:.+((SYSTEM_STATE.+slice.+state.+changed )|(ment ac)|(multiple cpu faults)|(system.+state.+changed )|(\[timeout)|(PRM\|1\|D)|(kpr)|(kdp)|(train st.+moving)|(\|lc)|(penalty))"</v>
      </c>
      <c r="AG238" s="244" t="str">
        <f>DetSubdiv(A238)</f>
        <v>Shuttle/Test</v>
      </c>
      <c r="AH238" s="236" t="str">
        <f t="shared" si="44"/>
        <v>"%USERPROFILE%\Documents\GitHub\eaglep3\Utilities\RefineRTDCRunTimes.py" --tripid 68-03 --locoid 4025 --swversion DE.1.0.9.0 --startMP 300:39214 --initTime 2018-01-03T13:43:59 --startdatetime 2018-01-03T13:46:43 --delay 83 --endMP 204:682 --enddatetime 2018-01-03T13:56:42 --enforcementcount 0 &gt;&gt;%USERPROFILE%\Documents\GitHub\eaglep3-reporting\EC\2018-01-03-refined-times.txt</v>
      </c>
      <c r="AI238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0.0682"},{"id":17,"name":"Train ID","value":"68-03"},{"id":16,"name":"Locomotive ID","value":"4025"},{"id":130,"name":"Impact","value":""},{"id":150,"name":"Time of Event (Mountain Time)","value":"13:56:42"},{"id":151,"name":"Denver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46"/>
        <v>start /low /b %USERPROFILE%\Documents\GitHub\eaglep3\Utilities\DownloadLogsFromS3.py --loco 4025 --day 2018-01-03</v>
      </c>
      <c r="AN23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48"/>
        <v>https://d0f6bd738d7f1b3e5a7ca70fe4ff75f0.us-east-1.aws.found.io/app/kibana#/discover/Steve-Slow-Train-Analysis-(2080s-and-2083s)?_g=(refreshInterval:(display:Off,pause:!f,section:0,value:0),time:(from:'2018-01-03T12:43:59-0700',mode:absolute,to:'2018-01-03T14:56:42-0700'))&amp;_a=(columns:!('Message%20ID',Summary),filters:!(),index:'emp_*',interval:auto,query:(query_string:(analyze_wildcard:!t,query:'%22rtdc.l.rtdc.4025%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29" t="s">
        <v>644</v>
      </c>
      <c r="B239" s="225">
        <v>4025</v>
      </c>
      <c r="C239" s="227" t="s">
        <v>192</v>
      </c>
      <c r="D239" s="227" t="s">
        <v>1024</v>
      </c>
      <c r="E239" s="226">
        <v>43103.460995370369</v>
      </c>
      <c r="F239" s="226">
        <v>43103.477650462963</v>
      </c>
      <c r="G239" s="225">
        <v>101</v>
      </c>
      <c r="H239" s="227" t="s">
        <v>1025</v>
      </c>
      <c r="I239" s="226">
        <v>43103.492407407408</v>
      </c>
      <c r="J239" s="225">
        <v>0</v>
      </c>
      <c r="K239" s="237" t="str">
        <f>IF(ISEVEN(B239),(B239-1)&amp;"/"&amp;B239,B239&amp;"/"&amp;(B239+1))</f>
        <v>4025/4026</v>
      </c>
      <c r="L239" s="245" t="str">
        <f>VLOOKUP(A239,'Trips&amp;Operators'!$C$1:$G$99911,5,FALSE)</f>
        <v>BROWN JACOB</v>
      </c>
      <c r="M239" s="224">
        <f>I239-F239</f>
        <v>1.4756944445252884E-2</v>
      </c>
      <c r="N239" s="225">
        <f>24*60*SUM($M239:$M239)</f>
        <v>21.250000001164153</v>
      </c>
      <c r="O239" s="225"/>
      <c r="P239" s="225"/>
      <c r="Q239" s="228"/>
      <c r="R239" s="242"/>
      <c r="S239" s="249">
        <f>1/IF(AG239="EC",12,1)*SUM(U239:U239)</f>
        <v>0</v>
      </c>
      <c r="T239" s="242" t="str">
        <f>IF(ISEVEN(LEFT(AD239,4)),"Southbound","NorthBound")</f>
        <v>Southbound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2018-01-03T10:03:50-0700',mode:absolute,to:'2018-01-03T12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9" s="247" t="str">
        <f>IF(AA239&lt;VLOOKUP(AG239,Variables!$AC$3:$AD$8,2,FALSE),"Y","N")</f>
        <v>Y</v>
      </c>
      <c r="X239" s="247">
        <f>VALUE(LEFT(AD239,4))-VALUE(LEFT(AD238,4))</f>
        <v>0</v>
      </c>
      <c r="Y239" s="247">
        <f>RIGHT(D239,LEN(D239)-4)/10000</f>
        <v>11.2264</v>
      </c>
      <c r="Z239" s="247">
        <f>RIGHT(H239,LEN(H239)-4)/10000</f>
        <v>3.7709000000000001</v>
      </c>
      <c r="AA239" s="247">
        <f>ABS(Z239-Y239)</f>
        <v>7.4554999999999998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>VALUE(LEFT(A239,LEN(A239)-3))</f>
        <v>68</v>
      </c>
      <c r="AE239" s="23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39" s="23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/stypes="app*4025*20180103*" /stext=" 18:.+((SYSTEM_STATE.+slice.+state.+changed )|(ment ac)|(multiple cpu faults)|(system.+state.+changed )|(\[timeout)|(PRM\|1\|D)|(kpr)|(kdp)|(train st.+moving)|(\|lc)|(penalty))"</v>
      </c>
      <c r="AG239" s="244" t="str">
        <f>DetSubdiv(A239)</f>
        <v>Shuttle/Test</v>
      </c>
      <c r="AH239" s="236" t="str">
        <f t="shared" si="44"/>
        <v>"%USERPROFILE%\Documents\GitHub\eaglep3\Utilities\RefineRTDCRunTimes.py" --tripid 68-03 --locoid 4025 --swversion DE.1.0.9.0 --startMP 300:112264 --initTime 2018-01-03T11:03:50 --startdatetime 2018-01-03T11:27:49 --delay 101 --endMP 300:37709 --enddatetime 2018-01-03T11:49:04 --enforcementcount 0 &gt;&gt;%USERPROFILE%\Documents\GitHub\eaglep3-reporting\EC\2018-01-03-refined-times.txt</v>
      </c>
      <c r="AI239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3.7709"},{"id":17,"name":"Train ID","value":"68-03"},{"id":16,"name":"Locomotive ID","value":"4025"},{"id":130,"name":"Impact","value":""},{"id":150,"name":"Time of Event (Mountain Time)","value":"11:49:04"},{"id":151,"name":"Denver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3"/>
      <c r="AK239" s="231"/>
      <c r="AL239" s="231"/>
      <c r="AM239" s="240" t="str">
        <f t="shared" si="46"/>
        <v>start /low /b %USERPROFILE%\Documents\GitHub\eaglep3\Utilities\DownloadLogsFromS3.py --loco 4025 --day 2018-01-03</v>
      </c>
      <c r="AN23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48"/>
        <v>https://d0f6bd738d7f1b3e5a7ca70fe4ff75f0.us-east-1.aws.found.io/app/kibana#/discover/Steve-Slow-Train-Analysis-(2080s-and-2083s)?_g=(refreshInterval:(display:Off,pause:!f,section:0,value:0),time:(from:'2018-01-03T10:03:50-0700',mode:absolute,to:'2018-01-03T12:49:04-0700'))&amp;_a=(columns:!('Message%20ID',Summary),filters:!(),index:'emp_*',interval:auto,query:(query_string:(analyze_wildcard:!t,query:'%22rtdc.l.rtdc.4025%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 s="229" t="s">
        <v>644</v>
      </c>
      <c r="B240" s="225">
        <v>4025</v>
      </c>
      <c r="C240" s="227" t="s">
        <v>192</v>
      </c>
      <c r="D240" s="227" t="s">
        <v>1026</v>
      </c>
      <c r="E240" s="226">
        <v>43103.61210648148</v>
      </c>
      <c r="F240" s="226">
        <v>43103.613657407404</v>
      </c>
      <c r="G240" s="225">
        <v>61</v>
      </c>
      <c r="H240" s="227" t="s">
        <v>1027</v>
      </c>
      <c r="I240" s="226">
        <v>43103.635127314818</v>
      </c>
      <c r="J240" s="225">
        <v>0</v>
      </c>
      <c r="K240" s="237" t="str">
        <f>IF(ISEVEN(B240),(B240-1)&amp;"/"&amp;B240,B240&amp;"/"&amp;(B240+1))</f>
        <v>4025/4026</v>
      </c>
      <c r="L240" s="245" t="str">
        <f>VLOOKUP(A240,'Trips&amp;Operators'!$C$1:$G$99911,5,FALSE)</f>
        <v>BROWN JACOB</v>
      </c>
      <c r="M240" s="224">
        <f>I240-F240</f>
        <v>2.1469907413120382E-2</v>
      </c>
      <c r="N240" s="225">
        <f>24*60*SUM($M240:$M240)</f>
        <v>30.916666674893349</v>
      </c>
      <c r="O240" s="225"/>
      <c r="P240" s="225"/>
      <c r="Q240" s="228"/>
      <c r="R240" s="242"/>
      <c r="S240" s="249">
        <f>1/IF(AG240="EC",12,1)*SUM(U240:U240)</f>
        <v>1</v>
      </c>
      <c r="T240" s="242" t="str">
        <f>IF(ISEVEN(LEFT(AD240,4)),"Southbound","NorthBound")</f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48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2018-01-03T13:41:26-0700',mode:absolute,to:'2018-01-03T16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0" s="247" t="str">
        <f>IF(AA240&lt;VLOOKUP(AG240,Variables!$AC$3:$AD$8,2,FALSE),"Y","N")</f>
        <v>Y</v>
      </c>
      <c r="X240" s="247">
        <f>VALUE(LEFT(AD240,4))-VALUE(LEFT(AD239,4))</f>
        <v>0</v>
      </c>
      <c r="Y240" s="247">
        <f>RIGHT(D240,LEN(D240)-4)/10000</f>
        <v>11.2249</v>
      </c>
      <c r="Z240" s="247">
        <f>RIGHT(H240,LEN(H240)-4)/10000</f>
        <v>7.3099999999999998E-2</v>
      </c>
      <c r="AA240" s="247">
        <f>ABS(Z240-Y240)</f>
        <v>11.1518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>VALUE(LEFT(A240,LEN(A240)-3))</f>
        <v>68</v>
      </c>
      <c r="AE240" s="23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0" s="23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/stypes="app*4025*20180103*" /stext=" 22:.+((SYSTEM_STATE.+slice.+state.+changed )|(ment ac)|(multiple cpu faults)|(system.+state.+changed )|(\[timeout)|(PRM\|1\|D)|(kpr)|(kdp)|(train st.+moving)|(\|lc)|(penalty))"</v>
      </c>
      <c r="AG240" s="244" t="str">
        <f>DetSubdiv(A240)</f>
        <v>Shuttle/Test</v>
      </c>
      <c r="AH240" s="236" t="str">
        <f t="shared" si="44"/>
        <v>"%USERPROFILE%\Documents\GitHub\eaglep3\Utilities\RefineRTDCRunTimes.py" --tripid 68-03 --locoid 4025 --swversion DE.1.0.9.0 --startMP 300:112249 --initTime 2018-01-03T14:41:26 --startdatetime 2018-01-03T14:43:40 --delay 61 --endMP 204:731 --enddatetime 2018-01-03T15:14:35 --enforcementcount 0 &gt;&gt;%USERPROFILE%\Documents\GitHub\eaglep3-reporting\EC\2018-01-03-refined-times.txt</v>
      </c>
      <c r="AI240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0.0731"},{"id":17,"name":"Train ID","value":"68-03"},{"id":16,"name":"Locomotive ID","value":"4025"},{"id":130,"name":"Impact","value":""},{"id":150,"name":"Time of Event (Mountain Time)","value":"15:14:35"},{"id":151,"name":"Denver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1"/>
      <c r="AL240" s="231"/>
      <c r="AM240" s="240" t="str">
        <f t="shared" si="46"/>
        <v>start /low /b %USERPROFILE%\Documents\GitHub\eaglep3\Utilities\DownloadLogsFromS3.py --loco 4025 --day 2018-01-03</v>
      </c>
      <c r="AN24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22:14:35"},{"id":29,"name":"Sharepoint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48"/>
        <v>https://d0f6bd738d7f1b3e5a7ca70fe4ff75f0.us-east-1.aws.found.io/app/kibana#/discover/Steve-Slow-Train-Analysis-(2080s-and-2083s)?_g=(refreshInterval:(display:Off,pause:!f,section:0,value:0),time:(from:'2018-01-03T13:41:26-0700',mode:absolute,to:'2018-01-03T16:14:35-0700'))&amp;_a=(columns:!('Message%20ID',Summary),filters:!(),index:'emp_*',interval:auto,query:(query_string:(analyze_wildcard:!t,query:'%22rtdc.l.rtdc.4025%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29" t="s">
        <v>644</v>
      </c>
      <c r="B241" s="225">
        <v>4025</v>
      </c>
      <c r="C241" s="227" t="s">
        <v>192</v>
      </c>
      <c r="D241" s="227" t="s">
        <v>1028</v>
      </c>
      <c r="E241" s="226">
        <v>43103.710300925923</v>
      </c>
      <c r="F241" s="226">
        <v>43103.712129629632</v>
      </c>
      <c r="G241" s="225">
        <v>83</v>
      </c>
      <c r="H241" s="227" t="s">
        <v>1029</v>
      </c>
      <c r="I241" s="226">
        <v>43103.731620370374</v>
      </c>
      <c r="J241" s="225">
        <v>0</v>
      </c>
      <c r="K241" s="237" t="str">
        <f>IF(ISEVEN(B241),(B241-1)&amp;"/"&amp;B241,B241&amp;"/"&amp;(B241+1))</f>
        <v>4025/4026</v>
      </c>
      <c r="L241" s="245" t="str">
        <f>VLOOKUP(A241,'Trips&amp;Operators'!$C$1:$G$99911,5,FALSE)</f>
        <v>BROWN JACOB</v>
      </c>
      <c r="M241" s="224">
        <f>I241-F241</f>
        <v>1.9490740742185153E-2</v>
      </c>
      <c r="N241" s="225">
        <f>24*60*SUM($M241:$M241)</f>
        <v>28.06666666874662</v>
      </c>
      <c r="O241" s="225"/>
      <c r="P241" s="225"/>
      <c r="Q241" s="228"/>
      <c r="R241" s="242"/>
      <c r="S241" s="249">
        <f>1/IF(AG241="EC",12,1)*SUM(U241:U241)</f>
        <v>1</v>
      </c>
      <c r="T241" s="242" t="str">
        <f>IF(ISEVEN(LEFT(AD241,4)),"Southbound","NorthBound")</f>
        <v>Southbound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8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2018-01-03T16:02:50-0700',mode:absolute,to:'2018-01-03T18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1" s="247" t="str">
        <f>IF(AA241&lt;VLOOKUP(AG241,Variables!$AC$3:$AD$8,2,FALSE),"Y","N")</f>
        <v>Y</v>
      </c>
      <c r="X241" s="247">
        <f>VALUE(LEFT(AD241,4))-VALUE(LEFT(AD240,4))</f>
        <v>0</v>
      </c>
      <c r="Y241" s="247">
        <f>RIGHT(D241,LEN(D241)-4)/10000</f>
        <v>11.2211</v>
      </c>
      <c r="Z241" s="247">
        <f>RIGHT(H241,LEN(H241)-4)/10000</f>
        <v>7.85E-2</v>
      </c>
      <c r="AA241" s="247">
        <f>ABS(Z241-Y241)</f>
        <v>11.1426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>VALUE(LEFT(A241,LEN(A241)-3))</f>
        <v>68</v>
      </c>
      <c r="AE241" s="23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1" s="23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/stypes="app*4025*20180104*" /stext=" 00:.+((SYSTEM_STATE.+slice.+state.+changed )|(ment ac)|(multiple cpu faults)|(system.+state.+changed )|(\[timeout)|(PRM\|1\|D)|(kpr)|(kdp)|(train st.+moving)|(\|lc)|(penalty))"</v>
      </c>
      <c r="AG241" s="244" t="str">
        <f>DetSubdiv(A241)</f>
        <v>Shuttle/Test</v>
      </c>
      <c r="AH241" s="236" t="str">
        <f t="shared" si="44"/>
        <v>"%USERPROFILE%\Documents\GitHub\eaglep3\Utilities\RefineRTDCRunTimes.py" --tripid 68-03 --locoid 4025 --swversion DE.1.0.9.0 --startMP 300:112211 --initTime 2018-01-03T17:02:50 --startdatetime 2018-01-03T17:05:28 --delay 83 --endMP 204:785 --enddatetime 2018-01-03T17:33:32 --enforcementcount 0 &gt;&gt;%USERPROFILE%\Documents\GitHub\eaglep3-reporting\EC\2018-01-03-refined-times.txt</v>
      </c>
      <c r="AI241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0.0785"},{"id":17,"name":"Train ID","value":"68-03"},{"id":16,"name":"Locomotive ID","value":"4025"},{"id":130,"name":"Impact","value":""},{"id":150,"name":"Time of Event (Mountain Time)","value":"17:33:32"},{"id":151,"name":"Denver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46"/>
        <v>start /low /b %USERPROFILE%\Documents\GitHub\eaglep3\Utilities\DownloadLogsFromS3.py --loco 4025 --day 2018-01-03</v>
      </c>
      <c r="AN24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48"/>
        <v>https://d0f6bd738d7f1b3e5a7ca70fe4ff75f0.us-east-1.aws.found.io/app/kibana#/discover/Steve-Slow-Train-Analysis-(2080s-and-2083s)?_g=(refreshInterval:(display:Off,pause:!f,section:0,value:0),time:(from:'2018-01-03T16:02:50-0700',mode:absolute,to:'2018-01-03T18:33:32-0700'))&amp;_a=(columns:!('Message%20ID',Summary),filters:!(),index:'emp_*',interval:auto,query:(query_string:(analyze_wildcard:!t,query:'%22rtdc.l.rtdc.4025%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3" customFormat="1" x14ac:dyDescent="0.3">
      <c r="A242" s="229" t="s">
        <v>645</v>
      </c>
      <c r="B242" s="225">
        <v>4026</v>
      </c>
      <c r="C242" s="227" t="s">
        <v>192</v>
      </c>
      <c r="D242" s="227" t="s">
        <v>1030</v>
      </c>
      <c r="E242" s="226">
        <v>43103.392951388887</v>
      </c>
      <c r="F242" s="226">
        <v>43103.395208333335</v>
      </c>
      <c r="G242" s="225">
        <v>84</v>
      </c>
      <c r="H242" s="227" t="s">
        <v>1031</v>
      </c>
      <c r="I242" s="226">
        <v>43103.407835648148</v>
      </c>
      <c r="J242" s="225">
        <v>0</v>
      </c>
      <c r="K242" s="237" t="str">
        <f>IF(ISEVEN(B242),(B242-1)&amp;"/"&amp;B242,B242&amp;"/"&amp;(B242+1))</f>
        <v>4025/4026</v>
      </c>
      <c r="L242" s="245" t="str">
        <f>VLOOKUP(A242,'Trips&amp;Operators'!$C$1:$G$99911,5,FALSE)</f>
        <v>FORTUNATO FRANK</v>
      </c>
      <c r="M242" s="224">
        <f>I242-F242</f>
        <v>1.2627314812561963E-2</v>
      </c>
      <c r="N242" s="225">
        <f>24*60*SUM($M242:$M242)</f>
        <v>18.183333330089226</v>
      </c>
      <c r="O242" s="225"/>
      <c r="P242" s="225"/>
      <c r="Q242" s="228"/>
      <c r="R242" s="242"/>
      <c r="S242" s="249">
        <f>1/IF(AG242="EC",12,1)*SUM(U242:U242)</f>
        <v>0</v>
      </c>
      <c r="T242" s="242" t="str">
        <f>IF(ISEVEN(LEFT(AD242,4)),"Southbound","NorthBound")</f>
        <v>NorthBound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2018-01-03T08:25:51-0700',mode:absolute,to:'2018-01-03T10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2" s="247" t="str">
        <f>IF(AA242&lt;VLOOKUP(AG242,Variables!$AC$3:$AD$8,2,FALSE),"Y","N")</f>
        <v>Y</v>
      </c>
      <c r="X242" s="247">
        <f>VALUE(LEFT(AD242,4))-VALUE(LEFT(AD241,4))</f>
        <v>3</v>
      </c>
      <c r="Y242" s="247">
        <f>RIGHT(D242,LEN(D242)-4)/10000</f>
        <v>3.8094000000000001</v>
      </c>
      <c r="Z242" s="247">
        <f>RIGHT(H242,LEN(H242)-4)/10000</f>
        <v>11.251099999999999</v>
      </c>
      <c r="AA242" s="247">
        <f>ABS(Z242-Y242)</f>
        <v>7.4416999999999991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>VALUE(LEFT(A242,LEN(A242)-3))</f>
        <v>71</v>
      </c>
      <c r="AE242" s="23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2" s="23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/stypes="app*4026*20180103*" /stext=" 16:.+((SYSTEM_STATE.+slice.+state.+changed )|(ment ac)|(multiple cpu faults)|(system.+state.+changed )|(\[timeout)|(PRM\|1\|D)|(kpr)|(kdp)|(train st.+moving)|(\|lc)|(penalty))"</v>
      </c>
      <c r="AG242" s="244" t="str">
        <f>DetSubdiv(A242)</f>
        <v>Shuttle/Test</v>
      </c>
      <c r="AH242" s="236" t="str">
        <f t="shared" si="44"/>
        <v>"%USERPROFILE%\Documents\GitHub\eaglep3\Utilities\RefineRTDCRunTimes.py" --tripid 71-03 --locoid 4026 --swversion DE.1.0.9.0 --startMP 300:38094 --initTime 2018-01-03T09:25:51 --startdatetime 2018-01-03T09:29:06 --delay 84 --endMP 300:112511 --enddatetime 2018-01-03T09:47:17 --enforcementcount 0 &gt;&gt;%USERPROFILE%\Documents\GitHub\eaglep3-reporting\EC\2018-01-03-refined-times.txt</v>
      </c>
      <c r="AI242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11.2511"},{"id":17,"name":"Train ID","value":"71-03"},{"id":16,"name":"Locomotive ID","value":"4026"},{"id":130,"name":"Impact","value":""},{"id":150,"name":"Time of Event (Mountain Time)","value":"09:47:17"},{"id":151,"name":"Denver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231"/>
      <c r="AL242" s="231"/>
      <c r="AM242" s="240" t="str">
        <f t="shared" si="46"/>
        <v>start /low /b %USERPROFILE%\Documents\GitHub\eaglep3\Utilities\DownloadLogsFromS3.py --loco 4026 --day 2018-01-03</v>
      </c>
      <c r="AN242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16:47:17"},{"id":29,"name":"Sharepoint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48"/>
        <v>https://d0f6bd738d7f1b3e5a7ca70fe4ff75f0.us-east-1.aws.found.io/app/kibana#/discover/Steve-Slow-Train-Analysis-(2080s-and-2083s)?_g=(refreshInterval:(display:Off,pause:!f,section:0,value:0),time:(from:'2018-01-03T08:25:51-0700',mode:absolute,to:'2018-01-03T10:47:17-0700'))&amp;_a=(columns:!('Message%20ID',Summary),filters:!(),index:'emp_*',interval:auto,query:(query_string:(analyze_wildcard:!t,query:'%22rtdc.l.rtdc.4026%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229" t="s">
        <v>645</v>
      </c>
      <c r="B243" s="225">
        <v>4026</v>
      </c>
      <c r="C243" s="227" t="s">
        <v>192</v>
      </c>
      <c r="D243" s="227" t="s">
        <v>1032</v>
      </c>
      <c r="E243" s="226">
        <v>43103.637326388889</v>
      </c>
      <c r="F243" s="226">
        <v>43103.642962962964</v>
      </c>
      <c r="G243" s="225">
        <v>331</v>
      </c>
      <c r="H243" s="227" t="s">
        <v>1033</v>
      </c>
      <c r="I243" s="226">
        <v>43103.661828703705</v>
      </c>
      <c r="J243" s="225">
        <v>0</v>
      </c>
      <c r="K243" s="237" t="str">
        <f>IF(ISEVEN(B243),(B243-1)&amp;"/"&amp;B243,B243&amp;"/"&amp;(B243+1))</f>
        <v>4025/4026</v>
      </c>
      <c r="L243" s="245" t="str">
        <f>VLOOKUP(A243,'Trips&amp;Operators'!$C$1:$G$99911,5,FALSE)</f>
        <v>FORTUNATO FRANK</v>
      </c>
      <c r="M243" s="224">
        <f>I243-F243</f>
        <v>1.8865740741603076E-2</v>
      </c>
      <c r="N243" s="225">
        <f>24*60*SUM($M243:$M243)</f>
        <v>27.16666666790843</v>
      </c>
      <c r="O243" s="225"/>
      <c r="P243" s="225"/>
      <c r="Q243" s="228"/>
      <c r="R243" s="242"/>
      <c r="S243" s="249">
        <f>1/IF(AG243="EC",12,1)*SUM(U243:U243)</f>
        <v>1</v>
      </c>
      <c r="T243" s="242" t="str">
        <f>IF(ISEVEN(LEFT(AD243,4)),"Southbound","NorthBound")</f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8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2018-01-03T14:17:45-0700',mode:absolute,to:'2018-01-03T16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3" s="247" t="str">
        <f>IF(AA243&lt;VLOOKUP(AG243,Variables!$AC$3:$AD$8,2,FALSE),"Y","N")</f>
        <v>Y</v>
      </c>
      <c r="X243" s="247">
        <f>VALUE(LEFT(AD243,4))-VALUE(LEFT(AD242,4))</f>
        <v>0</v>
      </c>
      <c r="Y243" s="247">
        <f>RIGHT(D243,LEN(D243)-4)/10000</f>
        <v>0.1245</v>
      </c>
      <c r="Z243" s="247">
        <f>RIGHT(H243,LEN(H243)-4)/10000</f>
        <v>11.2477</v>
      </c>
      <c r="AA243" s="247">
        <f>ABS(Z243-Y243)</f>
        <v>11.123200000000001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>VALUE(LEFT(A243,LEN(A243)-3))</f>
        <v>71</v>
      </c>
      <c r="AE243" s="23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3" s="23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/stypes="app*4026*20180103*" /stext=" 22:.+((SYSTEM_STATE.+slice.+state.+changed )|(ment ac)|(multiple cpu faults)|(system.+state.+changed )|(\[timeout)|(PRM\|1\|D)|(kpr)|(kdp)|(train st.+moving)|(\|lc)|(penalty))"</v>
      </c>
      <c r="AG243" s="244" t="str">
        <f>DetSubdiv(A243)</f>
        <v>Shuttle/Test</v>
      </c>
      <c r="AH243" s="236" t="str">
        <f t="shared" si="44"/>
        <v>"%USERPROFILE%\Documents\GitHub\eaglep3\Utilities\RefineRTDCRunTimes.py" --tripid 71-03 --locoid 4026 --swversion DE.1.0.9.0 --startMP 204:1245 --initTime 2018-01-03T15:17:45 --startdatetime 2018-01-03T15:25:52 --delay 331 --endMP 300:112477 --enddatetime 2018-01-03T15:53:02 --enforcementcount 0 &gt;&gt;%USERPROFILE%\Documents\GitHub\eaglep3-reporting\EC\2018-01-03-refined-times.txt</v>
      </c>
      <c r="AI243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11.2477"},{"id":17,"name":"Train ID","value":"71-03"},{"id":16,"name":"Locomotive ID","value":"4026"},{"id":130,"name":"Impact","value":""},{"id":150,"name":"Time of Event (Mountain Time)","value":"15:53:02"},{"id":151,"name":"Denver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3"/>
      <c r="AK243" s="231"/>
      <c r="AL243" s="231"/>
      <c r="AM243" s="240" t="str">
        <f t="shared" si="46"/>
        <v>start /low /b %USERPROFILE%\Documents\GitHub\eaglep3\Utilities\DownloadLogsFromS3.py --loco 4026 --day 2018-01-03</v>
      </c>
      <c r="AN243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48"/>
        <v>https://d0f6bd738d7f1b3e5a7ca70fe4ff75f0.us-east-1.aws.found.io/app/kibana#/discover/Steve-Slow-Train-Analysis-(2080s-and-2083s)?_g=(refreshInterval:(display:Off,pause:!f,section:0,value:0),time:(from:'2018-01-03T14:17:45-0700',mode:absolute,to:'2018-01-03T16:53:02-0700'))&amp;_a=(columns:!('Message%20ID',Summary),filters:!(),index:'emp_*',interval:auto,query:(query_string:(analyze_wildcard:!t,query:'%22rtdc.l.rtdc.4026%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229" t="s">
        <v>645</v>
      </c>
      <c r="B244" s="225">
        <v>4026</v>
      </c>
      <c r="C244" s="227" t="s">
        <v>192</v>
      </c>
      <c r="D244" s="227" t="s">
        <v>1034</v>
      </c>
      <c r="E244" s="226">
        <v>43103.493831018517</v>
      </c>
      <c r="F244" s="226">
        <v>43103.497141203705</v>
      </c>
      <c r="G244" s="225">
        <v>66</v>
      </c>
      <c r="H244" s="227" t="s">
        <v>1035</v>
      </c>
      <c r="I244" s="226">
        <v>43103.508252314816</v>
      </c>
      <c r="J244" s="225">
        <v>0</v>
      </c>
      <c r="K244" s="237" t="str">
        <f>IF(ISEVEN(B244),(B244-1)&amp;"/"&amp;B244,B244&amp;"/"&amp;(B244+1))</f>
        <v>4025/4026</v>
      </c>
      <c r="L244" s="245" t="str">
        <f>VLOOKUP(A244,'Trips&amp;Operators'!$C$1:$G$99911,5,FALSE)</f>
        <v>FORTUNATO FRANK</v>
      </c>
      <c r="M244" s="224">
        <f>I244-F244</f>
        <v>1.1111111110949423E-2</v>
      </c>
      <c r="N244" s="225">
        <f>24*60*SUM($M244:$M244)</f>
        <v>15.999999999767169</v>
      </c>
      <c r="O244" s="225"/>
      <c r="P244" s="225"/>
      <c r="Q244" s="228"/>
      <c r="R244" s="242"/>
      <c r="S244" s="249">
        <f>1/IF(AG244="EC",12,1)*SUM(U244:U244)</f>
        <v>0</v>
      </c>
      <c r="T244" s="242" t="str">
        <f>IF(ISEVEN(LEFT(AD244,4)),"Southbound","NorthBound")</f>
        <v>NorthBound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2018-01-03T10:51:07-0700',mode:absolute,to:'2018-01-03T13:11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4" s="247" t="str">
        <f>IF(AA244&lt;VLOOKUP(AG244,Variables!$AC$3:$AD$8,2,FALSE),"Y","N")</f>
        <v>Y</v>
      </c>
      <c r="X244" s="247">
        <f>VALUE(LEFT(AD244,4))-VALUE(LEFT(AD243,4))</f>
        <v>0</v>
      </c>
      <c r="Y244" s="247">
        <f>RIGHT(D244,LEN(D244)-4)/10000</f>
        <v>3.7993999999999999</v>
      </c>
      <c r="Z244" s="247">
        <f>RIGHT(H244,LEN(H244)-4)/10000</f>
        <v>11.2576</v>
      </c>
      <c r="AA244" s="247">
        <f>ABS(Z244-Y244)</f>
        <v>7.4581999999999997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>VALUE(LEFT(A244,LEN(A244)-3))</f>
        <v>71</v>
      </c>
      <c r="AE244" s="23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4" s="23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/stypes="app*4026*20180103*" /stext=" 19:.+((SYSTEM_STATE.+slice.+state.+changed )|(ment ac)|(multiple cpu faults)|(system.+state.+changed )|(\[timeout)|(PRM\|1\|D)|(kpr)|(kdp)|(train st.+moving)|(\|lc)|(penalty))"</v>
      </c>
      <c r="AG244" s="244" t="str">
        <f>DetSubdiv(A244)</f>
        <v>Shuttle/Test</v>
      </c>
      <c r="AH244" s="236" t="str">
        <f t="shared" si="44"/>
        <v>"%USERPROFILE%\Documents\GitHub\eaglep3\Utilities\RefineRTDCRunTimes.py" --tripid 71-03 --locoid 4026 --swversion DE.1.0.9.0 --startMP 300:37994 --initTime 2018-01-03T11:51:07 --startdatetime 2018-01-03T11:55:53 --delay 66 --endMP 300:112576 --enddatetime 2018-01-03T12:11:53 --enforcementcount 0 &gt;&gt;%USERPROFILE%\Documents\GitHub\eaglep3-reporting\EC\2018-01-03-refined-times.txt</v>
      </c>
      <c r="AI244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11.2576"},{"id":17,"name":"Train ID","value":"71-03"},{"id":16,"name":"Locomotive ID","value":"4026"},{"id":130,"name":"Impact","value":""},{"id":150,"name":"Time of Event (Mountain Time)","value":"12:11:53"},{"id":151,"name":"Denver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46"/>
        <v>start /low /b %USERPROFILE%\Documents\GitHub\eaglep3\Utilities\DownloadLogsFromS3.py --loco 4026 --day 2018-01-03</v>
      </c>
      <c r="AN24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19:11:53"},{"id":29,"name":"Sharepoint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48"/>
        <v>https://d0f6bd738d7f1b3e5a7ca70fe4ff75f0.us-east-1.aws.found.io/app/kibana#/discover/Steve-Slow-Train-Analysis-(2080s-and-2083s)?_g=(refreshInterval:(display:Off,pause:!f,section:0,value:0),time:(from:'2018-01-03T10:51:07-0700',mode:absolute,to:'2018-01-03T13:11:53-0700'))&amp;_a=(columns:!('Message%20ID',Summary),filters:!(),index:'emp_*',interval:auto,query:(query_string:(analyze_wildcard:!t,query:'%22rtdc.l.rtdc.4026%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29" t="s">
        <v>645</v>
      </c>
      <c r="B245" s="225">
        <v>4026</v>
      </c>
      <c r="C245" s="227" t="s">
        <v>192</v>
      </c>
      <c r="D245" s="227" t="s">
        <v>1036</v>
      </c>
      <c r="E245" s="226">
        <v>43103.732719907406</v>
      </c>
      <c r="F245" s="226">
        <v>43103.737835648149</v>
      </c>
      <c r="G245" s="225">
        <v>79</v>
      </c>
      <c r="H245" s="227" t="s">
        <v>1037</v>
      </c>
      <c r="I245" s="226">
        <v>43103.745057870372</v>
      </c>
      <c r="J245" s="225">
        <v>0</v>
      </c>
      <c r="K245" s="237" t="str">
        <f>IF(ISEVEN(B245),(B245-1)&amp;"/"&amp;B245,B245&amp;"/"&amp;(B245+1))</f>
        <v>4025/4026</v>
      </c>
      <c r="L245" s="245" t="str">
        <f>VLOOKUP(A245,'Trips&amp;Operators'!$C$1:$G$99911,5,FALSE)</f>
        <v>FORTUNATO FRANK</v>
      </c>
      <c r="M245" s="224">
        <f>I245-F245</f>
        <v>7.2222222224809229E-3</v>
      </c>
      <c r="N245" s="225">
        <f>24*60*SUM($M245:$M245)</f>
        <v>10.400000000372529</v>
      </c>
      <c r="O245" s="225"/>
      <c r="P245" s="225"/>
      <c r="Q245" s="228"/>
      <c r="R245" s="242"/>
      <c r="S245" s="249">
        <f>1/IF(AG245="EC",12,1)*SUM(U245:U245)</f>
        <v>1</v>
      </c>
      <c r="T245" s="242" t="str">
        <f>IF(ISEVEN(LEFT(AD245,4)),"Southbound","NorthBound")</f>
        <v>NorthBound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8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2018-01-03T16:35:07-0700',mode:absolute,to:'2018-01-03T18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5" s="247" t="str">
        <f>IF(AA245&lt;VLOOKUP(AG245,Variables!$AC$3:$AD$8,2,FALSE),"Y","N")</f>
        <v>Y</v>
      </c>
      <c r="X245" s="247">
        <f>VALUE(LEFT(AD245,4))-VALUE(LEFT(AD244,4))</f>
        <v>0</v>
      </c>
      <c r="Y245" s="247">
        <f>RIGHT(D245,LEN(D245)-4)/10000</f>
        <v>0.1105</v>
      </c>
      <c r="Z245" s="247">
        <f>RIGHT(H245,LEN(H245)-4)/10000</f>
        <v>2.3283999999999998</v>
      </c>
      <c r="AA245" s="247">
        <f>ABS(Z245-Y245)</f>
        <v>2.2178999999999998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>VALUE(LEFT(A245,LEN(A245)-3))</f>
        <v>71</v>
      </c>
      <c r="AE245" s="23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5" s="23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/stypes="app*4026*20180104*" /stext=" 00:.+((SYSTEM_STATE.+slice.+state.+changed )|(ment ac)|(multiple cpu faults)|(system.+state.+changed )|(\[timeout)|(PRM\|1\|D)|(kpr)|(kdp)|(train st.+moving)|(\|lc)|(penalty))"</v>
      </c>
      <c r="AG245" s="244" t="str">
        <f>DetSubdiv(A245)</f>
        <v>Shuttle/Test</v>
      </c>
      <c r="AH245" s="236" t="str">
        <f t="shared" si="44"/>
        <v>"%USERPROFILE%\Documents\GitHub\eaglep3\Utilities\RefineRTDCRunTimes.py" --tripid 71-03 --locoid 4026 --swversion DE.1.0.9.0 --startMP 204:1105 --initTime 2018-01-03T17:35:07 --startdatetime 2018-01-03T17:42:29 --delay 79 --endMP 300:23284 --enddatetime 2018-01-03T17:52:53 --enforcementcount 0 &gt;&gt;%USERPROFILE%\Documents\GitHub\eaglep3-reporting\EC\2018-01-03-refined-times.txt</v>
      </c>
      <c r="AI245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2.3284"},{"id":17,"name":"Train ID","value":"71-03"},{"id":16,"name":"Locomotive ID","value":"4026"},{"id":130,"name":"Impact","value":""},{"id":150,"name":"Time of Event (Mountain Time)","value":"17:52:53"},{"id":151,"name":"Denver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3"/>
      <c r="AK245" s="231"/>
      <c r="AL245" s="231"/>
      <c r="AM245" s="240" t="str">
        <f t="shared" si="46"/>
        <v>start /low /b %USERPROFILE%\Documents\GitHub\eaglep3\Utilities\DownloadLogsFromS3.py --loco 4026 --day 2018-01-03</v>
      </c>
      <c r="AN245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48"/>
        <v>https://d0f6bd738d7f1b3e5a7ca70fe4ff75f0.us-east-1.aws.found.io/app/kibana#/discover/Steve-Slow-Train-Analysis-(2080s-and-2083s)?_g=(refreshInterval:(display:Off,pause:!f,section:0,value:0),time:(from:'2018-01-03T16:35:07-0700',mode:absolute,to:'2018-01-03T18:52:53-0700'))&amp;_a=(columns:!('Message%20ID',Summary),filters:!(),index:'emp_*',interval:auto,query:(query_string:(analyze_wildcard:!t,query:'%22rtdc.l.rtdc.4026%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229" t="s">
        <v>646</v>
      </c>
      <c r="B246" s="225">
        <v>4025</v>
      </c>
      <c r="C246" s="227" t="s">
        <v>192</v>
      </c>
      <c r="D246" s="227" t="s">
        <v>1038</v>
      </c>
      <c r="E246" s="226">
        <v>43103.409305555557</v>
      </c>
      <c r="F246" s="226">
        <v>43103.413900462961</v>
      </c>
      <c r="G246" s="225">
        <v>91</v>
      </c>
      <c r="H246" s="227" t="s">
        <v>1039</v>
      </c>
      <c r="I246" s="226">
        <v>43103.430312500001</v>
      </c>
      <c r="J246" s="225">
        <v>0</v>
      </c>
      <c r="K246" s="237" t="str">
        <f>IF(ISEVEN(B246),(B246-1)&amp;"/"&amp;B246,B246&amp;"/"&amp;(B246+1))</f>
        <v>4025/4026</v>
      </c>
      <c r="L246" s="245" t="str">
        <f>VLOOKUP(A246,'Trips&amp;Operators'!$C$1:$G$99911,5,FALSE)</f>
        <v>FORTUNATO FRANK</v>
      </c>
      <c r="M246" s="224">
        <f>I246-F246</f>
        <v>1.6412037039117422E-2</v>
      </c>
      <c r="N246" s="225">
        <f>24*60*SUM($M246:$M246)</f>
        <v>23.633333336329088</v>
      </c>
      <c r="O246" s="225"/>
      <c r="P246" s="225"/>
      <c r="Q246" s="228"/>
      <c r="R246" s="242"/>
      <c r="S246" s="249">
        <f>1/IF(AG246="EC",12,1)*SUM(U246:U246)</f>
        <v>0</v>
      </c>
      <c r="T246" s="242" t="str">
        <f>IF(ISEVEN(LEFT(AD246,4)),"Southbound","NorthBound")</f>
        <v>Southbound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8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6" s="247" t="str">
        <f>IF(AA246&lt;VLOOKUP(AG246,Variables!$AC$3:$AD$8,2,FALSE),"Y","N")</f>
        <v>Y</v>
      </c>
      <c r="X246" s="247">
        <f>VALUE(LEFT(AD246,4))-VALUE(LEFT(AD245,4))</f>
        <v>1</v>
      </c>
      <c r="Y246" s="247">
        <f>RIGHT(D246,LEN(D246)-4)/10000</f>
        <v>11.2195</v>
      </c>
      <c r="Z246" s="247">
        <f>RIGHT(H246,LEN(H246)-4)/10000</f>
        <v>3.7658</v>
      </c>
      <c r="AA246" s="247">
        <f>ABS(Z246-Y246)</f>
        <v>7.4536999999999995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>VALUE(LEFT(A246,LEN(A246)-3))</f>
        <v>72</v>
      </c>
      <c r="AE246" s="23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6" s="23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/stypes="app*4025*20180103*" /stext=" 17:.+((SYSTEM_STATE.+slice.+state.+changed )|(ment ac)|(multiple cpu faults)|(system.+state.+changed )|(\[timeout)|(PRM\|1\|D)|(kpr)|(kdp)|(train st.+moving)|(\|lc)|(penalty))"</v>
      </c>
      <c r="AG246" s="244" t="str">
        <f>DetSubdiv(A246)</f>
        <v>Shuttle/Test</v>
      </c>
      <c r="AH246" s="236" t="str">
        <f t="shared" si="44"/>
        <v>"%USERPROFILE%\Documents\GitHub\eaglep3\Utilities\RefineRTDCRunTimes.py" --tripid 72-03 --locoid 4025 --swversion DE.1.0.9.0 --startMP 300:112195 --initTime 2018-01-03T09:49:24 --startdatetime 2018-01-03T09:56:01 --delay 91 --endMP 300:37658 --enddatetime 2018-01-03T10:19:39 --enforcementcount 0 &gt;&gt;%USERPROFILE%\Documents\GitHub\eaglep3-reporting\EC\2018-01-03-refined-times.txt</v>
      </c>
      <c r="AI246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3.7658"},{"id":17,"name":"Train ID","value":"72-03"},{"id":16,"name":"Locomotive ID","value":"4025"},{"id":130,"name":"Impact","value":""},{"id":150,"name":"Time of Event (Mountain Time)","value":"10:19:39"},{"id":151,"name":"Denver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3"/>
      <c r="AK246" s="231"/>
      <c r="AL246" s="231"/>
      <c r="AM246" s="240" t="str">
        <f t="shared" si="46"/>
        <v>start /low /b %USERPROFILE%\Documents\GitHub\eaglep3\Utilities\DownloadLogsFromS3.py --loco 4025 --day 2018-01-03</v>
      </c>
      <c r="AN246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48"/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Message%20ID',Summary),filters:!(),index:'emp_*',interval:auto,query:(query_string:(analyze_wildcard:!t,query:'%22rtdc.l.rtdc.4025%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229" t="s">
        <v>646</v>
      </c>
      <c r="B247" s="225">
        <v>4025</v>
      </c>
      <c r="C247" s="227" t="s">
        <v>192</v>
      </c>
      <c r="D247" s="227" t="s">
        <v>1040</v>
      </c>
      <c r="E247" s="226">
        <v>43103.509594907409</v>
      </c>
      <c r="F247" s="226">
        <v>43103.554166666669</v>
      </c>
      <c r="G247" s="225">
        <v>69</v>
      </c>
      <c r="H247" s="227" t="s">
        <v>1041</v>
      </c>
      <c r="I247" s="226">
        <v>43103.563344907408</v>
      </c>
      <c r="J247" s="225">
        <v>0</v>
      </c>
      <c r="K247" s="237" t="str">
        <f>IF(ISEVEN(B247),(B247-1)&amp;"/"&amp;B247,B247&amp;"/"&amp;(B247+1))</f>
        <v>4025/4026</v>
      </c>
      <c r="L247" s="245" t="str">
        <f>VLOOKUP(A247,'Trips&amp;Operators'!$C$1:$G$99911,5,FALSE)</f>
        <v>FORTUNATO FRANK</v>
      </c>
      <c r="M247" s="224">
        <f>I247-F247</f>
        <v>9.1782407398568466E-3</v>
      </c>
      <c r="N247" s="225">
        <f>24*60*SUM($M247:$M247)</f>
        <v>13.216666665393859</v>
      </c>
      <c r="O247" s="225"/>
      <c r="P247" s="225"/>
      <c r="Q247" s="228"/>
      <c r="R247" s="242"/>
      <c r="S247" s="249">
        <f>1/IF(AG247="EC",12,1)*SUM(U247:U247)</f>
        <v>0</v>
      </c>
      <c r="T247" s="242" t="str">
        <f>IF(ISEVEN(LEFT(AD247,4)),"Southbound","NorthBound")</f>
        <v>Southbound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2018-01-03T11:13:49-0700',mode:absolute,to:'2018-01-03T14:31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7" s="247" t="str">
        <f>IF(AA247&lt;VLOOKUP(AG247,Variables!$AC$3:$AD$8,2,FALSE),"Y","N")</f>
        <v>Y</v>
      </c>
      <c r="X247" s="247">
        <f>VALUE(LEFT(AD247,4))-VALUE(LEFT(AD246,4))</f>
        <v>0</v>
      </c>
      <c r="Y247" s="247">
        <f>RIGHT(D247,LEN(D247)-4)/10000</f>
        <v>11.2258</v>
      </c>
      <c r="Z247" s="247">
        <f>RIGHT(H247,LEN(H247)-4)/10000</f>
        <v>3.7734000000000001</v>
      </c>
      <c r="AA247" s="247">
        <f>ABS(Z247-Y247)</f>
        <v>7.452399999999999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>VALUE(LEFT(A247,LEN(A247)-3))</f>
        <v>72</v>
      </c>
      <c r="AE247" s="23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7" s="23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/stypes="app*4025*20180103*" /stext=" 20:.+((SYSTEM_STATE.+slice.+state.+changed )|(ment ac)|(multiple cpu faults)|(system.+state.+changed )|(\[timeout)|(PRM\|1\|D)|(kpr)|(kdp)|(train st.+moving)|(\|lc)|(penalty))"</v>
      </c>
      <c r="AG247" s="244" t="str">
        <f>DetSubdiv(A247)</f>
        <v>Shuttle/Test</v>
      </c>
      <c r="AH247" s="236" t="str">
        <f t="shared" si="44"/>
        <v>"%USERPROFILE%\Documents\GitHub\eaglep3\Utilities\RefineRTDCRunTimes.py" --tripid 72-03 --locoid 4025 --swversion DE.1.0.9.0 --startMP 300:112258 --initTime 2018-01-03T12:13:49 --startdatetime 2018-01-03T13:18:00 --delay 69 --endMP 300:37734 --enddatetime 2018-01-03T13:31:13 --enforcementcount 0 &gt;&gt;%USERPROFILE%\Documents\GitHub\eaglep3-reporting\EC\2018-01-03-refined-times.txt</v>
      </c>
      <c r="AI247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3.7734"},{"id":17,"name":"Train ID","value":"72-03"},{"id":16,"name":"Locomotive ID","value":"4025"},{"id":130,"name":"Impact","value":""},{"id":150,"name":"Time of Event (Mountain Time)","value":"13:31:13"},{"id":151,"name":"Denver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3"/>
      <c r="AK247" s="231"/>
      <c r="AL247" s="231"/>
      <c r="AM247" s="240" t="str">
        <f t="shared" si="46"/>
        <v>start /low /b %USERPROFILE%\Documents\GitHub\eaglep3\Utilities\DownloadLogsFromS3.py --loco 4025 --day 2018-01-03</v>
      </c>
      <c r="AN247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48"/>
        <v>https://d0f6bd738d7f1b3e5a7ca70fe4ff75f0.us-east-1.aws.found.io/app/kibana#/discover/Steve-Slow-Train-Analysis-(2080s-and-2083s)?_g=(refreshInterval:(display:Off,pause:!f,section:0,value:0),time:(from:'2018-01-03T11:13:49-0700',mode:absolute,to:'2018-01-03T14:31:13-0700'))&amp;_a=(columns:!('Message%20ID',Summary),filters:!(),index:'emp_*',interval:auto,query:(query_string:(analyze_wildcard:!t,query:'%22rtdc.l.rtdc.4025%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229" t="s">
        <v>646</v>
      </c>
      <c r="B248" s="225">
        <v>4025</v>
      </c>
      <c r="C248" s="227" t="s">
        <v>192</v>
      </c>
      <c r="D248" s="227" t="s">
        <v>1042</v>
      </c>
      <c r="E248" s="226">
        <v>43103.662476851852</v>
      </c>
      <c r="F248" s="226">
        <v>43103.664351851854</v>
      </c>
      <c r="G248" s="225">
        <v>82</v>
      </c>
      <c r="H248" s="227" t="s">
        <v>1043</v>
      </c>
      <c r="I248" s="226">
        <v>43103.687581018516</v>
      </c>
      <c r="J248" s="225">
        <v>0</v>
      </c>
      <c r="K248" s="237" t="str">
        <f>IF(ISEVEN(B248),(B248-1)&amp;"/"&amp;B248,B248&amp;"/"&amp;(B248+1))</f>
        <v>4025/4026</v>
      </c>
      <c r="L248" s="245" t="str">
        <f>VLOOKUP(A248,'Trips&amp;Operators'!$C$1:$G$99911,5,FALSE)</f>
        <v>FORTUNATO FRANK</v>
      </c>
      <c r="M248" s="224">
        <f>I248-F248</f>
        <v>2.3229166661622003E-2</v>
      </c>
      <c r="N248" s="225">
        <f>24*60*SUM($M248:$M248)</f>
        <v>33.449999992735684</v>
      </c>
      <c r="O248" s="225"/>
      <c r="P248" s="225"/>
      <c r="Q248" s="228"/>
      <c r="R248" s="242"/>
      <c r="S248" s="249">
        <f>1/IF(AG248="EC",12,1)*SUM(U248:U248)</f>
        <v>1</v>
      </c>
      <c r="T248" s="242" t="str">
        <f>IF(ISEVEN(LEFT(AD248,4)),"Southbound","NorthBound")</f>
        <v>Southbound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48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2018-01-03T14:53:58-0700',mode:absolute,to:'2018-01-03T17:30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8" s="247" t="str">
        <f>IF(AA248&lt;VLOOKUP(AG248,Variables!$AC$3:$AD$8,2,FALSE),"Y","N")</f>
        <v>Y</v>
      </c>
      <c r="X248" s="247">
        <f>VALUE(LEFT(AD248,4))-VALUE(LEFT(AD247,4))</f>
        <v>0</v>
      </c>
      <c r="Y248" s="247">
        <f>RIGHT(D248,LEN(D248)-4)/10000</f>
        <v>11.222200000000001</v>
      </c>
      <c r="Z248" s="247">
        <f>RIGHT(H248,LEN(H248)-4)/10000</f>
        <v>7.7499999999999999E-2</v>
      </c>
      <c r="AA248" s="247">
        <f>ABS(Z248-Y248)</f>
        <v>11.1447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>VALUE(LEFT(A248,LEN(A248)-3))</f>
        <v>72</v>
      </c>
      <c r="AE248" s="23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8" s="23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/stypes="app*4025*20180103*" /stext=" 23:.+((SYSTEM_STATE.+slice.+state.+changed )|(ment ac)|(multiple cpu faults)|(system.+state.+changed )|(\[timeout)|(PRM\|1\|D)|(kpr)|(kdp)|(train st.+moving)|(\|lc)|(penalty))"</v>
      </c>
      <c r="AG248" s="244" t="str">
        <f>DetSubdiv(A248)</f>
        <v>Shuttle/Test</v>
      </c>
      <c r="AH248" s="236" t="str">
        <f t="shared" si="44"/>
        <v>"%USERPROFILE%\Documents\GitHub\eaglep3\Utilities\RefineRTDCRunTimes.py" --tripid 72-03 --locoid 4025 --swversion DE.1.0.9.0 --startMP 300:112222 --initTime 2018-01-03T15:53:58 --startdatetime 2018-01-03T15:56:40 --delay 82 --endMP 204:775 --enddatetime 2018-01-03T16:30:07 --enforcementcount 0 &gt;&gt;%USERPROFILE%\Documents\GitHub\eaglep3-reporting\EC\2018-01-03-refined-times.txt</v>
      </c>
      <c r="AI248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0.0775"},{"id":17,"name":"Train ID","value":"72-03"},{"id":16,"name":"Locomotive ID","value":"4025"},{"id":130,"name":"Impact","value":""},{"id":150,"name":"Time of Event (Mountain Time)","value":"16:30:07"},{"id":151,"name":"Denver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3"/>
      <c r="AK248" s="231"/>
      <c r="AL248" s="231"/>
      <c r="AM248" s="240" t="str">
        <f t="shared" si="46"/>
        <v>start /low /b %USERPROFILE%\Documents\GitHub\eaglep3\Utilities\DownloadLogsFromS3.py --loco 4025 --day 2018-01-03</v>
      </c>
      <c r="AN24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23:30:07"},{"id":29,"name":"Sharepoint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48"/>
        <v>https://d0f6bd738d7f1b3e5a7ca70fe4ff75f0.us-east-1.aws.found.io/app/kibana#/discover/Steve-Slow-Train-Analysis-(2080s-and-2083s)?_g=(refreshInterval:(display:Off,pause:!f,section:0,value:0),time:(from:'2018-01-03T14:53:58-0700',mode:absolute,to:'2018-01-03T17:30:07-0700'))&amp;_a=(columns:!('Message%20ID',Summary),filters:!(),index:'emp_*',interval:auto,query:(query_string:(analyze_wildcard:!t,query:'%22rtdc.l.rtdc.4025%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229" t="s">
        <v>646</v>
      </c>
      <c r="B249" s="225">
        <v>4025</v>
      </c>
      <c r="C249" s="227" t="s">
        <v>192</v>
      </c>
      <c r="D249" s="227" t="s">
        <v>1044</v>
      </c>
      <c r="E249" s="226">
        <v>43103.551655092589</v>
      </c>
      <c r="F249" s="226">
        <v>43103.554166666669</v>
      </c>
      <c r="G249" s="225">
        <v>53</v>
      </c>
      <c r="H249" s="227" t="s">
        <v>1045</v>
      </c>
      <c r="I249" s="226">
        <v>43103.563344907408</v>
      </c>
      <c r="J249" s="225">
        <v>0</v>
      </c>
      <c r="K249" s="237" t="str">
        <f>IF(ISEVEN(B249),(B249-1)&amp;"/"&amp;B249,B249&amp;"/"&amp;(B249+1))</f>
        <v>4025/4026</v>
      </c>
      <c r="L249" s="245" t="str">
        <f>VLOOKUP(A249,'Trips&amp;Operators'!$C$1:$G$99911,5,FALSE)</f>
        <v>FORTUNATO FRANK</v>
      </c>
      <c r="M249" s="224">
        <f>I249-F249</f>
        <v>9.1782407398568466E-3</v>
      </c>
      <c r="N249" s="225">
        <f>24*60*SUM($M249:$M249)</f>
        <v>13.216666665393859</v>
      </c>
      <c r="O249" s="225"/>
      <c r="P249" s="225"/>
      <c r="Q249" s="228"/>
      <c r="R249" s="242"/>
      <c r="S249" s="249">
        <f>1/IF(AG249="EC",12,1)*SUM(U249:U249)</f>
        <v>0</v>
      </c>
      <c r="T249" s="242" t="str">
        <f>IF(ISEVEN(LEFT(AD249,4)),"Southbound","NorthBound")</f>
        <v>Southbound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48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2018-01-03T12:14:23-0700',mode:absolute,to:'2018-01-03T14:31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9" s="247" t="str">
        <f>IF(AA249&lt;VLOOKUP(AG249,Variables!$AC$3:$AD$8,2,FALSE),"Y","N")</f>
        <v>Y</v>
      </c>
      <c r="X249" s="247">
        <f>VALUE(LEFT(AD249,4))-VALUE(LEFT(AD248,4))</f>
        <v>0</v>
      </c>
      <c r="Y249" s="247">
        <f>RIGHT(D249,LEN(D249)-4)/10000</f>
        <v>11.2254</v>
      </c>
      <c r="Z249" s="247">
        <f>RIGHT(H249,LEN(H249)-4)/10000</f>
        <v>3.9207999999999998</v>
      </c>
      <c r="AA249" s="247">
        <f>ABS(Z249-Y249)</f>
        <v>7.3046000000000006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>VALUE(LEFT(A249,LEN(A249)-3))</f>
        <v>72</v>
      </c>
      <c r="AE249" s="23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9" s="23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/stypes="app*4025*20180103*" /stext=" 20:.+((SYSTEM_STATE.+slice.+state.+changed )|(ment ac)|(multiple cpu faults)|(system.+state.+changed )|(\[timeout)|(PRM\|1\|D)|(kpr)|(kdp)|(train st.+moving)|(\|lc)|(penalty))"</v>
      </c>
      <c r="AG249" s="244" t="str">
        <f>DetSubdiv(A249)</f>
        <v>Shuttle/Test</v>
      </c>
      <c r="AH249" s="236" t="str">
        <f t="shared" si="44"/>
        <v>"%USERPROFILE%\Documents\GitHub\eaglep3\Utilities\RefineRTDCRunTimes.py" --tripid 72-03 --locoid 4025 --swversion DE.1.0.9.0 --startMP 300:112254 --initTime 2018-01-03T13:14:23 --startdatetime 2018-01-03T13:18:00 --delay 53 --endMP 300:39208 --enddatetime 2018-01-03T13:31:13 --enforcementcount 0 &gt;&gt;%USERPROFILE%\Documents\GitHub\eaglep3-reporting\EC\2018-01-03-refined-times.txt</v>
      </c>
      <c r="AI249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3.9208"},{"id":17,"name":"Train ID","value":"72-03"},{"id":16,"name":"Locomotive ID","value":"4025"},{"id":130,"name":"Impact","value":""},{"id":150,"name":"Time of Event (Mountain Time)","value":"13:31:13"},{"id":151,"name":"Denver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3"/>
      <c r="AK249" s="231"/>
      <c r="AL249" s="231"/>
      <c r="AM249" s="240" t="str">
        <f t="shared" si="46"/>
        <v>start /low /b %USERPROFILE%\Documents\GitHub\eaglep3\Utilities\DownloadLogsFromS3.py --loco 4025 --day 2018-01-03</v>
      </c>
      <c r="AN24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48"/>
        <v>https://d0f6bd738d7f1b3e5a7ca70fe4ff75f0.us-east-1.aws.found.io/app/kibana#/discover/Steve-Slow-Train-Analysis-(2080s-and-2083s)?_g=(refreshInterval:(display:Off,pause:!f,section:0,value:0),time:(from:'2018-01-03T12:14:23-0700',mode:absolute,to:'2018-01-03T14:31:13-0700'))&amp;_a=(columns:!('Message%20ID',Summary),filters:!(),index:'emp_*',interval:auto,query:(query_string:(analyze_wildcard:!t,query:'%22rtdc.l.rtdc.4025%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229" t="s">
        <v>820</v>
      </c>
      <c r="B250" s="225">
        <v>4004</v>
      </c>
      <c r="C250" s="227" t="s">
        <v>192</v>
      </c>
      <c r="D250" s="227" t="s">
        <v>608</v>
      </c>
      <c r="E250" s="226">
        <v>43103.702650462961</v>
      </c>
      <c r="F250" s="226">
        <v>43103.705891203703</v>
      </c>
      <c r="G250" s="225">
        <v>126</v>
      </c>
      <c r="H250" s="227" t="s">
        <v>523</v>
      </c>
      <c r="I250" s="226">
        <v>43103.712916666664</v>
      </c>
      <c r="J250" s="225">
        <v>0</v>
      </c>
      <c r="K250" s="237" t="str">
        <f>IF(ISEVEN(B250),(B250-1)&amp;"/"&amp;B250,B250&amp;"/"&amp;(B250+1))</f>
        <v>4003/4004</v>
      </c>
      <c r="L250" s="245" t="str">
        <f>VLOOKUP(A250,'Trips&amp;Operators'!$C$1:$G$99911,5,FALSE)</f>
        <v>DE LA ROSA ALEX</v>
      </c>
      <c r="M250" s="224">
        <f>I250-F250</f>
        <v>7.025462960882578E-3</v>
      </c>
      <c r="N250" s="225">
        <f>24*60*SUM($M250:$M250)</f>
        <v>10.116666663670912</v>
      </c>
      <c r="O250" s="225"/>
      <c r="P250" s="225"/>
      <c r="Q250" s="228"/>
      <c r="R250" s="242"/>
      <c r="S250" s="249">
        <f>1/IF(AG250="EC",12,1)*SUM(U250:U250)</f>
        <v>1</v>
      </c>
      <c r="T250" s="242" t="str">
        <f>IF(ISEVEN(LEFT(AD250,4)),"Southbound","NorthBound")</f>
        <v>NorthBound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48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2018-01-03T15:51:49-0700',mode:absolute,to:'2018-01-03T18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0" s="247" t="str">
        <f>IF(AA250&lt;VLOOKUP(AG250,Variables!$AC$3:$AD$8,2,FALSE),"Y","N")</f>
        <v>Y</v>
      </c>
      <c r="X250" s="247">
        <f>VALUE(LEFT(AD250,4))-VALUE(LEFT(AD249,4))</f>
        <v>3</v>
      </c>
      <c r="Y250" s="247">
        <f>RIGHT(D250,LEN(D250)-4)/10000</f>
        <v>4.9500000000000002E-2</v>
      </c>
      <c r="Z250" s="247">
        <f>RIGHT(H250,LEN(H250)-4)/10000</f>
        <v>2.3304</v>
      </c>
      <c r="AA250" s="247">
        <f>ABS(Z250-Y250)</f>
        <v>2.2808999999999999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>VALUE(LEFT(A250,LEN(A250)-3))</f>
        <v>75</v>
      </c>
      <c r="AE250" s="23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250" s="23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/stypes="app*4004*20180104*" /stext=" 00:.+((SYSTEM_STATE.+slice.+state.+changed )|(ment ac)|(multiple cpu faults)|(system.+state.+changed )|(\[timeout)|(PRM\|1\|D)|(kpr)|(kdp)|(train st.+moving)|(\|lc)|(penalty))"</v>
      </c>
      <c r="AG250" s="244" t="str">
        <f>DetSubdiv(A250)</f>
        <v>Shuttle/Test</v>
      </c>
      <c r="AH250" s="236" t="str">
        <f t="shared" si="44"/>
        <v>"%USERPROFILE%\Documents\GitHub\eaglep3\Utilities\RefineRTDCRunTimes.py" --tripid 75-03 --locoid 4004 --swversion DE.1.0.9.0 --startMP 204:495 --initTime 2018-01-03T16:51:49 --startdatetime 2018-01-03T16:56:29 --delay 126 --endMP 300:23304 --enddatetime 2018-01-03T17:06:36 --enforcementcount 0 &gt;&gt;%USERPROFILE%\Documents\GitHub\eaglep3-reporting\EC\2018-01-03-refined-times.txt</v>
      </c>
      <c r="AI250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2.3304"},{"id":17,"name":"Train ID","value":"75-03"},{"id":16,"name":"Locomotive ID","value":"4004"},{"id":130,"name":"Impact","value":""},{"id":150,"name":"Time of Event (Mountain Time)","value":"17:06:36"},{"id":151,"name":"Denver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3"/>
      <c r="AK250" s="231"/>
      <c r="AL250" s="231"/>
      <c r="AM250" s="240" t="str">
        <f t="shared" si="46"/>
        <v>start /low /b %USERPROFILE%\Documents\GitHub\eaglep3\Utilities\DownloadLogsFromS3.py --loco 4004 --day 2018-01-03</v>
      </c>
      <c r="AN250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48"/>
        <v>https://d0f6bd738d7f1b3e5a7ca70fe4ff75f0.us-east-1.aws.found.io/app/kibana#/discover/Steve-Slow-Train-Analysis-(2080s-and-2083s)?_g=(refreshInterval:(display:Off,pause:!f,section:0,value:0),time:(from:'2018-01-03T15:51:49-0700',mode:absolute,to:'2018-01-03T18:06:36-0700'))&amp;_a=(columns:!('Message%20ID',Summary),filters:!(),index:'emp_*',interval:auto,query:(query_string:(analyze_wildcard:!t,query:'%22rtdc.l.rtdc.4004%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229" t="s">
        <v>829</v>
      </c>
      <c r="B251" s="225">
        <v>4010</v>
      </c>
      <c r="C251" s="227" t="s">
        <v>192</v>
      </c>
      <c r="D251" s="227" t="s">
        <v>1046</v>
      </c>
      <c r="E251" s="226">
        <v>43103.721643518518</v>
      </c>
      <c r="F251" s="226">
        <v>43103.726145833331</v>
      </c>
      <c r="G251" s="225">
        <v>217</v>
      </c>
      <c r="H251" s="227" t="s">
        <v>633</v>
      </c>
      <c r="I251" s="226">
        <v>43103.732534722221</v>
      </c>
      <c r="J251" s="225">
        <v>0</v>
      </c>
      <c r="K251" s="237" t="str">
        <f>IF(ISEVEN(B251),(B251-1)&amp;"/"&amp;B251,B251&amp;"/"&amp;(B251+1))</f>
        <v>4009/4010</v>
      </c>
      <c r="L251" s="245" t="str">
        <f>VLOOKUP(A251,'Trips&amp;Operators'!$C$1:$G$99911,5,FALSE)</f>
        <v>MOSES BRADLEY</v>
      </c>
      <c r="M251" s="224">
        <f>I251-F251</f>
        <v>6.3888888907968067E-3</v>
      </c>
      <c r="N251" s="225">
        <f>24*60*SUM($M251:$M251)</f>
        <v>9.2000000027474016</v>
      </c>
      <c r="O251" s="225"/>
      <c r="P251" s="225"/>
      <c r="Q251" s="228"/>
      <c r="R251" s="242"/>
      <c r="S251" s="249">
        <f>1/IF(AG251="EC",12,1)*SUM(U251:U251)</f>
        <v>0</v>
      </c>
      <c r="T251" s="242" t="str">
        <f>IF(ISEVEN(LEFT(AD251,4)),"Southbound","NorthBound")</f>
        <v>Southbound</v>
      </c>
      <c r="U251" s="246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48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2018-01-03T16:19:10-0700',mode:absolute,to:'2018-01-03T18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1" s="247" t="str">
        <f>IF(AA251&lt;VLOOKUP(AG251,Variables!$AC$3:$AD$8,2,FALSE),"Y","N")</f>
        <v>Y</v>
      </c>
      <c r="X251" s="247">
        <f>VALUE(LEFT(AD251,4))-VALUE(LEFT(AD250,4))</f>
        <v>1</v>
      </c>
      <c r="Y251" s="247">
        <f>RIGHT(D251,LEN(D251)-4)/10000</f>
        <v>0.115</v>
      </c>
      <c r="Z251" s="247">
        <f>RIGHT(H251,LEN(H251)-4)/10000</f>
        <v>2.3346</v>
      </c>
      <c r="AA251" s="247">
        <f>ABS(Z251-Y251)</f>
        <v>2.2195999999999998</v>
      </c>
      <c r="AB251" s="233" t="e">
        <f>VLOOKUP(A251,Enforcements!$C$7:$K$9,8,0)</f>
        <v>#N/A</v>
      </c>
      <c r="AC251" s="232" t="e">
        <f>VLOOKUP(A251,Enforcements!$C$7:$E$9,3,0)</f>
        <v>#N/A</v>
      </c>
      <c r="AD251" s="243">
        <f>VALUE(LEFT(A251,LEN(A251)-3))</f>
        <v>76</v>
      </c>
      <c r="AE251" s="23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s3://rtdc.mdm.uploadarchive.raw/RTDC4010/ "%USERPROFILE%\AppData\Local\Temp\OnboardLogs"\RTDC4010\2018-01-03 --exclude "*" --recursive --include "*20180103*" &amp; "%USERPROFILE%\Documents\GitHub\mrs-test-scripts\Headless Mode &amp; Sideloading\WalkAndUnGZ.bat" "%USERPROFILE%\AppData\Local\Temp\OnboardLogs"\RTDC4010\2018-01-03 &amp; 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</v>
      </c>
      <c r="AF251" s="23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/stypes="app*4010*20180104*" /stext=" 00:.+((SYSTEM_STATE.+slice.+state.+changed )|(ment ac)|(multiple cpu faults)|(system.+state.+changed )|(\[timeout)|(PRM\|1\|D)|(kpr)|(kdp)|(train st.+moving)|(\|lc)|(penalty))"</v>
      </c>
      <c r="AG251" s="244" t="str">
        <f>DetSubdiv(A251)</f>
        <v>Shuttle/Test</v>
      </c>
      <c r="AH251" s="236" t="str">
        <f t="shared" si="44"/>
        <v>"%USERPROFILE%\Documents\GitHub\eaglep3\Utilities\RefineRTDCRunTimes.py" --tripid 76-03 --locoid 4010 --swversion DE.1.0.9.0 --startMP 204:1150 --initTime 2018-01-03T17:19:10 --startdatetime 2018-01-03T17:25:39 --delay 217 --endMP 300:23346 --enddatetime 2018-01-03T17:34:51 --enforcementcount 0 &gt;&gt;%USERPROFILE%\Documents\GitHub\eaglep3-reporting\EC\2018-01-03-refined-times.txt</v>
      </c>
      <c r="AI251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2.3346"},{"id":17,"name":"Train ID","value":"76-03"},{"id":16,"name":"Locomotive ID","value":"4010"},{"id":130,"name":"Impact","value":""},{"id":150,"name":"Time of Event (Mountain Time)","value":"17:34:51"},{"id":151,"name":"Denver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1" s="223"/>
      <c r="AK251" s="231"/>
      <c r="AL251" s="231"/>
      <c r="AM251" s="240" t="str">
        <f t="shared" si="46"/>
        <v>start /low /b %USERPROFILE%\Documents\GitHub\eaglep3\Utilities\DownloadLogsFromS3.py --loco 4010 --day 2018-01-03</v>
      </c>
      <c r="AN25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230" t="str">
        <f t="shared" si="48"/>
        <v>https://d0f6bd738d7f1b3e5a7ca70fe4ff75f0.us-east-1.aws.found.io/app/kibana#/discover/Steve-Slow-Train-Analysis-(2080s-and-2083s)?_g=(refreshInterval:(display:Off,pause:!f,section:0,value:0),time:(from:'2018-01-03T16:19:10-0700',mode:absolute,to:'2018-01-03T18:34:51-0700'))&amp;_a=(columns:!('Message%20ID',Summary),filters:!(),index:'emp_*',interval:auto,query:(query_string:(analyze_wildcard:!t,query:'%22rtdc.l.rtdc.4010%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23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23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s="20" customFormat="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s="20" customFormat="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4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</sheetData>
  <autoFilter ref="A12:AG551">
    <sortState ref="A13:AG551">
      <sortCondition ref="AG13:AG251"/>
      <sortCondition ref="AD13:AD251"/>
    </sortState>
  </autoFilter>
  <sortState ref="A13:AN456">
    <sortCondition ref="AG13:AG456"/>
    <sortCondition ref="AD13:AD456"/>
  </sortState>
  <mergeCells count="1">
    <mergeCell ref="A11:P11"/>
  </mergeCells>
  <conditionalFormatting sqref="W11:W12 W557:X1048576 W13:X251">
    <cfRule type="cellIs" dxfId="10" priority="479" operator="equal">
      <formula>"Y"</formula>
    </cfRule>
  </conditionalFormatting>
  <conditionalFormatting sqref="X557:X1048576 X13:X251">
    <cfRule type="cellIs" dxfId="9" priority="462" operator="greaterThan">
      <formula>1</formula>
    </cfRule>
  </conditionalFormatting>
  <conditionalFormatting sqref="X557:X1048576 X12:X251">
    <cfRule type="cellIs" dxfId="8" priority="459" operator="equal">
      <formula>0</formula>
    </cfRule>
  </conditionalFormatting>
  <conditionalFormatting sqref="A13:S251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opLeftCell="A2" zoomScaleNormal="100" workbookViewId="0">
      <selection activeCell="P12" sqref="P1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COUNTIF($O$7:$O$125,"=Y")</f>
        <v>10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COUNTA($O$7:$O$125)-O2</f>
        <v>14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- 2018-01-03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43103.590370370373</v>
      </c>
      <c r="B7" s="30" t="s">
        <v>385</v>
      </c>
      <c r="C7" s="30" t="s">
        <v>654</v>
      </c>
      <c r="D7" s="30" t="s">
        <v>49</v>
      </c>
      <c r="E7" s="30" t="s">
        <v>183</v>
      </c>
      <c r="F7" s="42">
        <v>240</v>
      </c>
      <c r="G7" s="42">
        <v>379</v>
      </c>
      <c r="H7" s="42">
        <v>35719</v>
      </c>
      <c r="I7" s="42">
        <v>34552</v>
      </c>
      <c r="J7" s="30" t="s">
        <v>184</v>
      </c>
      <c r="K7" s="42">
        <v>33257</v>
      </c>
      <c r="L7" s="131" t="s">
        <v>51</v>
      </c>
      <c r="M7" s="132">
        <f>CONVERT((I7-K7)/10000,"mi","ft")*IF(L7="Increasing Mileposts (1)",-1,1)</f>
        <v>683.76</v>
      </c>
      <c r="N7" s="133" t="str">
        <f>VLOOKUP(C7,'Trips&amp;Operators'!$C$1:$G$99911,5,FALSE)</f>
        <v>HOLCOMB KAMDEN</v>
      </c>
      <c r="O7" s="175" t="s">
        <v>178</v>
      </c>
      <c r="P7" s="239" t="s">
        <v>485</v>
      </c>
      <c r="Q7" s="30"/>
      <c r="R7" s="81" t="str">
        <f>VLOOKUP(C7,'Train Runs'!$A$13:$AE$10210,31,0)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S7" s="84" t="str">
        <f>VLOOKUP(C7,'Train Runs'!$A$13:$AE$10210,22,0)</f>
        <v>https://d0f6bd738d7f1b3e5a7ca70fe4ff75f0.us-east-1.aws.found.io/app/kibana#/discover/Steve-Slow-Train-Analysis-(2080s-and-2083s)?_g=(refreshInterval:(display:Off,pause:!f,section:0,value:0),time:(from:'2018-01-03T12:35:45-0700',mode:absolute,to:'2018-01-03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/stypes="*4061*201801032*" /stext=" 21:.+((SYSTEM_STATE.+slice.+state.+changed )|(ment ac)|(multiple cpu faults)|(system.+state.+changed )|(\[timeout)|(PRM\|1\|D)|(kpr)|(kdp)|(train st.+moving)|(\|lc)|(penalty))"</v>
      </c>
      <c r="U7" s="9" t="str">
        <f>MID(B7,13,4)</f>
        <v>4061</v>
      </c>
      <c r="V7" s="31">
        <f>A7-utc_offset/24</f>
        <v>43103.882037037038</v>
      </c>
      <c r="W7" s="45" t="str">
        <f>DetSubdiv(C7)</f>
        <v>EC</v>
      </c>
      <c r="X7" s="22">
        <f>VALUE(LEFT(C7,LEN(C7)-3))</f>
        <v>174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Arrival","project_id":79,"tracker_id":40,"status_id":1,"priority_id":2,"assigned_to_id":338,"start_date":"2018-01-03","description":"","custom_fields":[{"id":1,"name":"Subdivision","value":"EC"},{"id":4,"name":"Milepost","value":"3.3257"},{"id":17,"name":"Train ID","value":"174-03"},{"id":16,"name":"Locomotive ID","value":"4061"},{"id":130,"name":"Impact","value":""},{"id":150,"name":"Time of Event (Mountain Time)","value":"14:10:08"},{"id":151,"name":"Denver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/c/Users/stu/AppData/Local/Temp/OnboardLogs/RTDC4061 --include="*4061*201801032*"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"%USERPROFILE%\AppData\Local\Temp\OnboardLogs"\RTDC4061\*4061*201801032* &gt;&gt; 2018-01-03-SliceDisagreementCheck.txt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4061 --day 2018-01-03</v>
      </c>
    </row>
    <row r="8" spans="1:32" s="1" customFormat="1" x14ac:dyDescent="0.3">
      <c r="A8" s="31">
        <v>43103.215428240743</v>
      </c>
      <c r="B8" s="30" t="s">
        <v>443</v>
      </c>
      <c r="C8" s="30" t="s">
        <v>636</v>
      </c>
      <c r="D8" s="30" t="s">
        <v>49</v>
      </c>
      <c r="E8" s="30" t="s">
        <v>183</v>
      </c>
      <c r="F8" s="42">
        <v>420</v>
      </c>
      <c r="G8" s="42">
        <v>494</v>
      </c>
      <c r="H8" s="42">
        <v>54144</v>
      </c>
      <c r="I8" s="42">
        <v>52365</v>
      </c>
      <c r="J8" s="30" t="s">
        <v>184</v>
      </c>
      <c r="K8" s="42">
        <v>53277</v>
      </c>
      <c r="L8" s="131" t="s">
        <v>51</v>
      </c>
      <c r="M8" s="132">
        <f>CONVERT((I8-K8)/10000,"mi","ft")*IF(L8="Increasing Mileposts (1)",-1,1)</f>
        <v>-481.536</v>
      </c>
      <c r="N8" s="133" t="str">
        <f>VLOOKUP(C8,'Trips&amp;Operators'!$C$1:$G$99911,5,FALSE)</f>
        <v>THOMPSON LESTER</v>
      </c>
      <c r="O8" s="175" t="s">
        <v>178</v>
      </c>
      <c r="P8" s="239" t="s">
        <v>485</v>
      </c>
      <c r="Q8" s="30"/>
      <c r="R8" s="81" t="str">
        <f>VLOOKUP(C8,'Train Runs'!$A$13:$AE$10210,31,0)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S8" s="84" t="str">
        <f>VLOOKUP(C8,'Train Runs'!$A$13:$AE$10210,22,0)</f>
        <v>https://d0f6bd738d7f1b3e5a7ca70fe4ff75f0.us-east-1.aws.found.io/app/kibana#/discover/Steve-Slow-Train-Analysis-(2080s-and-2083s)?_g=(refreshInterval:(display:Off,pause:!f,section:0,value:0),time:(from:'2018-01-03T03:40:01-0700',mode:absolute,to:'2018-01-03T06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/stypes="*4049*201801031*" /stext=" 12:.+((SYSTEM_STATE.+slice.+state.+changed )|(ment ac)|(multiple cpu faults)|(system.+state.+changed )|(\[timeout)|(PRM\|1\|D)|(kpr)|(kdp)|(train st.+moving)|(\|lc)|(penalty))"</v>
      </c>
      <c r="U8" s="9" t="str">
        <f>MID(B8,13,4)</f>
        <v>4049</v>
      </c>
      <c r="V8" s="31">
        <f>A8-utc_offset/24</f>
        <v>43103.507094907407</v>
      </c>
      <c r="W8" s="45" t="str">
        <f>DetSubdiv(C8)</f>
        <v>EC</v>
      </c>
      <c r="X8" s="228">
        <f>VALUE(LEFT(C8,LEN(C8)-3))</f>
        <v>104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Arrival","project_id":79,"tracker_id":40,"status_id":1,"priority_id":2,"assigned_to_id":338,"start_date":"2018-01-03","description":"","custom_fields":[{"id":1,"name":"Subdivision","value":"EC"},{"id":4,"name":"Milepost","value":"5.3277"},{"id":17,"name":"Train ID","value":"104-03"},{"id":16,"name":"Locomotive ID","value":"4049"},{"id":130,"name":"Impact","value":""},{"id":150,"name":"Time of Event (Mountain Time)","value":"05:10:13"},{"id":151,"name":"Denver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/c/Users/stu/AppData/Local/Temp/OnboardLogs/RTDC4049 --include="*4049*201801031*"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"%USERPROFILE%\AppData\Local\Temp\OnboardLogs"\RTDC4049\*4049*201801031* &gt;&gt; 2018-01-03-SliceDisagreementCheck.txt</v>
      </c>
      <c r="AE8" s="144" t="str">
        <f t="shared" ref="AE8:AE30" si="1">"start /low /b "&amp;dls3logs&amp;" --loco "&amp;U8&amp;" --day "&amp;TEXT(V8,"YYYY-MM-DD")</f>
        <v>start /low /b %USERPROFILE%\Documents\GitHub\eaglep3\Utilities\DownloadLogsFromS3.py --loco 4049 --day 2018-01-03</v>
      </c>
    </row>
    <row r="9" spans="1:32" s="1" customFormat="1" x14ac:dyDescent="0.3">
      <c r="A9" s="31">
        <v>43103.505497685182</v>
      </c>
      <c r="B9" s="30" t="s">
        <v>443</v>
      </c>
      <c r="C9" s="30" t="s">
        <v>651</v>
      </c>
      <c r="D9" s="30" t="s">
        <v>49</v>
      </c>
      <c r="E9" s="30" t="s">
        <v>183</v>
      </c>
      <c r="F9" s="42">
        <v>0</v>
      </c>
      <c r="G9" s="42">
        <v>343</v>
      </c>
      <c r="H9" s="42">
        <v>58541</v>
      </c>
      <c r="I9" s="42">
        <v>57860</v>
      </c>
      <c r="J9" s="30" t="s">
        <v>184</v>
      </c>
      <c r="K9" s="42">
        <v>58301</v>
      </c>
      <c r="L9" s="131" t="s">
        <v>51</v>
      </c>
      <c r="M9" s="132">
        <f>CONVERT((I9-K9)/10000,"mi","ft")*IF(L9="Increasing Mileposts (1)",-1,1)</f>
        <v>-232.84800000000001</v>
      </c>
      <c r="N9" s="133" t="str">
        <f>VLOOKUP(C9,'Trips&amp;Operators'!$C$1:$G$99911,5,FALSE)</f>
        <v>DAVIS MICHAEL</v>
      </c>
      <c r="O9" s="175" t="s">
        <v>178</v>
      </c>
      <c r="P9" s="239" t="s">
        <v>485</v>
      </c>
      <c r="Q9" s="30"/>
      <c r="R9" s="81" t="str">
        <f>VLOOKUP(C9,'Train Runs'!$A$13:$AE$10210,31,0)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S9" s="84" t="str">
        <f>VLOOKUP(C9,'Train Runs'!$A$13:$AE$10210,22,0)</f>
        <v>https://d0f6bd738d7f1b3e5a7ca70fe4ff75f0.us-east-1.aws.found.io/app/kibana#/discover/Steve-Slow-Train-Analysis-(2080s-and-2083s)?_g=(refreshInterval:(display:Off,pause:!f,section:0,value:0),time:(from:'2018-01-03T10:39:05-0700',mode:absolute,to:'2018-01-03T13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/stypes="*4049*201801031*" /stext=" 19:.+((SYSTEM_STATE.+slice.+state.+changed )|(ment ac)|(multiple cpu faults)|(system.+state.+changed )|(\[timeout)|(PRM\|1\|D)|(kpr)|(kdp)|(train st.+moving)|(\|lc)|(penalty))"</v>
      </c>
      <c r="U9" s="9" t="str">
        <f>MID(B9,13,4)</f>
        <v>4049</v>
      </c>
      <c r="V9" s="31">
        <f>A9-utc_offset/24</f>
        <v>43103.797164351847</v>
      </c>
      <c r="W9" s="45" t="str">
        <f>DetSubdiv(C9)</f>
        <v>EC</v>
      </c>
      <c r="X9" s="228">
        <f>VALUE(LEFT(C9,LEN(C9)-3))</f>
        <v>158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Arrival","project_id":79,"tracker_id":40,"status_id":1,"priority_id":2,"assigned_to_id":338,"start_date":"2018-01-03","description":"","custom_fields":[{"id":1,"name":"Subdivision","value":"EC"},{"id":4,"name":"Milepost","value":"5.8301"},{"id":17,"name":"Train ID","value":"158-03"},{"id":16,"name":"Locomotive ID","value":"4049"},{"id":130,"name":"Impact","value":""},{"id":150,"name":"Time of Event (Mountain Time)","value":"12:07:55"},{"id":151,"name":"Denver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/c/Users/stu/AppData/Local/Temp/OnboardLogs/RTDC4049 --include="*4049*201801031*"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"%USERPROFILE%\AppData\Local\Temp\OnboardLogs"\RTDC4049\*4049*201801031* &gt;&gt; 2018-01-03-SliceDisagreementCheck.txt</v>
      </c>
      <c r="AE9" s="144" t="str">
        <f t="shared" si="1"/>
        <v>start /low /b %USERPROFILE%\Documents\GitHub\eaglep3\Utilities\DownloadLogsFromS3.py --loco 4049 --day 2018-01-03</v>
      </c>
    </row>
    <row r="10" spans="1:32" x14ac:dyDescent="0.3">
      <c r="A10" s="31">
        <v>43104.034444444442</v>
      </c>
      <c r="B10" s="30" t="s">
        <v>443</v>
      </c>
      <c r="C10" s="30" t="s">
        <v>662</v>
      </c>
      <c r="D10" s="30" t="s">
        <v>49</v>
      </c>
      <c r="E10" s="30" t="s">
        <v>183</v>
      </c>
      <c r="F10" s="42">
        <v>130</v>
      </c>
      <c r="G10" s="42">
        <v>180</v>
      </c>
      <c r="H10" s="42">
        <v>63993</v>
      </c>
      <c r="I10" s="42">
        <v>63673</v>
      </c>
      <c r="J10" s="30" t="s">
        <v>184</v>
      </c>
      <c r="K10" s="42">
        <v>63309</v>
      </c>
      <c r="L10" s="131" t="s">
        <v>51</v>
      </c>
      <c r="M10" s="132">
        <f>CONVERT((I10-K10)/10000,"mi","ft")*IF(L10="Increasing Mileposts (1)",-1,1)</f>
        <v>192.19200000000001</v>
      </c>
      <c r="N10" s="133" t="str">
        <f>VLOOKUP(C10,'Trips&amp;Operators'!$C$1:$G$99911,5,FALSE)</f>
        <v>RESPASS AARON</v>
      </c>
      <c r="O10" s="175" t="s">
        <v>178</v>
      </c>
      <c r="P10" s="239" t="s">
        <v>485</v>
      </c>
      <c r="Q10" s="30"/>
      <c r="R10" s="81" t="str">
        <f>VLOOKUP(C10,'Train Runs'!$A$13:$AE$10210,31,0)</f>
        <v>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 &amp; 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</v>
      </c>
      <c r="S10" s="84" t="str">
        <f>VLOOKUP(C10,'Train Runs'!$A$13:$AE$10210,22,0)</f>
        <v>https://d0f6bd738d7f1b3e5a7ca70fe4ff75f0.us-east-1.aws.found.io/app/kibana#/discover/Steve-Slow-Train-Analysis-(2080s-and-2083s)?_g=(refreshInterval:(display:Off,pause:!f,section:0,value:0),time:(from:'2018-01-03T23:24:15-0700',mode:absolute,to:'2018-01-04T02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/stypes="*4049*201801040*" /stext=" 07:.+((SYSTEM_STATE.+slice.+state.+changed )|(ment ac)|(multiple cpu faults)|(system.+state.+changed )|(\[timeout)|(PRM\|1\|D)|(kpr)|(kdp)|(train st.+moving)|(\|lc)|(penalty))"</v>
      </c>
      <c r="U10" s="9" t="str">
        <f>MID(B10,13,4)</f>
        <v>4049</v>
      </c>
      <c r="V10" s="31">
        <f>A10-utc_offset/24</f>
        <v>43104.326111111106</v>
      </c>
      <c r="W10" s="45" t="str">
        <f>DetSubdiv(C10)</f>
        <v>EC</v>
      </c>
      <c r="X10" s="228">
        <f>VALUE(LEFT(C10,LEN(C10)-3))</f>
        <v>240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Arrival","project_id":79,"tracker_id":40,"status_id":1,"priority_id":2,"assigned_to_id":338,"start_date":"2018-01-04","description":"","custom_fields":[{"id":1,"name":"Subdivision","value":"EC"},{"id":4,"name":"Milepost","value":"6.3309"},{"id":17,"name":"Train ID","value":"240-03"},{"id":16,"name":"Locomotive ID","value":"4049"},{"id":130,"name":"Impact","value":""},{"id":150,"name":"Time of Event (Mountain Time)","value":"00:49:36"},{"id":151,"name":"Denver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/c/Users/stu/AppData/Local/Temp/OnboardLogs/RTDC4049 --include="*4049*201801040*"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"%USERPROFILE%\AppData\Local\Temp\OnboardLogs"\RTDC4049\*4049*201801040* &gt;&gt; 2018-01-03-SliceDisagreementCheck.txt</v>
      </c>
      <c r="AE10" s="144" t="str">
        <f t="shared" si="1"/>
        <v>start /low /b %USERPROFILE%\Documents\GitHub\eaglep3\Utilities\DownloadLogsFromS3.py --loco 4049 --day 2018-01-04</v>
      </c>
      <c r="AF10" s="1"/>
    </row>
    <row r="11" spans="1:32" x14ac:dyDescent="0.3">
      <c r="A11" s="31">
        <v>43103.425821759258</v>
      </c>
      <c r="B11" s="30" t="s">
        <v>386</v>
      </c>
      <c r="C11" s="30" t="s">
        <v>647</v>
      </c>
      <c r="D11" s="30" t="s">
        <v>49</v>
      </c>
      <c r="E11" s="30" t="s">
        <v>190</v>
      </c>
      <c r="F11" s="42">
        <v>300</v>
      </c>
      <c r="G11" s="42">
        <v>496</v>
      </c>
      <c r="H11" s="42">
        <v>24827</v>
      </c>
      <c r="I11" s="42">
        <v>23467</v>
      </c>
      <c r="J11" s="30" t="s">
        <v>191</v>
      </c>
      <c r="K11" s="42">
        <v>21848</v>
      </c>
      <c r="L11" s="131" t="s">
        <v>51</v>
      </c>
      <c r="M11" s="132">
        <f>CONVERT((I11-K11)/10000,"mi","ft")*IF(L11="Increasing Mileposts (1)",-1,1)</f>
        <v>854.83199999999999</v>
      </c>
      <c r="N11" s="133" t="str">
        <f>VLOOKUP(C11,'Trips&amp;Operators'!$C$1:$G$99911,5,FALSE)</f>
        <v>YANAI IAN</v>
      </c>
      <c r="O11" s="175" t="s">
        <v>178</v>
      </c>
      <c r="P11" s="239"/>
      <c r="Q11" s="30"/>
      <c r="R11" s="81" t="str">
        <f>VLOOKUP(C11,'Train Runs'!$A$13:$AE$10210,31,0)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S11" s="84" t="str">
        <f>VLOOKUP(C11,'Train Runs'!$A$13:$AE$10210,22,0)</f>
        <v>https://d0f6bd738d7f1b3e5a7ca70fe4ff75f0.us-east-1.aws.found.io/app/kibana#/discover/Steve-Slow-Train-Analysis-(2080s-and-2083s)?_g=(refreshInterval:(display:Off,pause:!f,section:0,value:0),time:(from:'2018-01-03T08:21:43-0700',mode:absolute,to:'2018-01-03T11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/stypes="*4029*201801031*" /stext=" 17:.+((SYSTEM_STATE.+slice.+state.+changed )|(ment ac)|(multiple cpu faults)|(system.+state.+changed )|(\[timeout)|(PRM\|1\|D)|(kpr)|(kdp)|(train st.+moving)|(\|lc)|(penalty))"</v>
      </c>
      <c r="U11" s="9" t="str">
        <f>MID(B11,13,4)</f>
        <v>4029</v>
      </c>
      <c r="V11" s="31">
        <f>A11-utc_offset/24</f>
        <v>43103.717488425922</v>
      </c>
      <c r="W11" s="45" t="str">
        <f>DetSubdiv(C11)</f>
        <v>EC</v>
      </c>
      <c r="X11" s="228">
        <f>VALUE(LEFT(C11,LEN(C11)-3))</f>
        <v>142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{"issue":{"subject":"","project_id":79,"tracker_id":40,"status_id":1,"priority_id":2,"assigned_to_id":338,"start_date":"2018-01-03","description":"","custom_fields":[{"id":1,"name":"Subdivision","value":"EC"},{"id":4,"name":"Milepost","value":"2.1848"},{"id":17,"name":"Train ID","value":"142-03"},{"id":16,"name":"Locomotive ID","value":"4029"},{"id":130,"name":"Impact","value":""},{"id":150,"name":"Time of Event (Mountain Time)","value":"10:13:11"},{"id":151,"name":"Denver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/c/Users/stu/AppData/Local/Temp/OnboardLogs/RTDC4029 --include="*4029*201801031*"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"%USERPROFILE%\AppData\Local\Temp\OnboardLogs"\RTDC4029\*4029*201801031* &gt;&gt; 2018-01-03-SliceDisagreementCheck.txt</v>
      </c>
      <c r="AE11" s="144" t="str">
        <f t="shared" si="1"/>
        <v>start /low /b %USERPROFILE%\Documents\GitHub\eaglep3\Utilities\DownloadLogsFromS3.py --loco 4029 --day 2018-01-03</v>
      </c>
      <c r="AF11" s="1"/>
    </row>
    <row r="12" spans="1:32" x14ac:dyDescent="0.3">
      <c r="A12" s="31">
        <v>43103.531655092593</v>
      </c>
      <c r="B12" s="30" t="s">
        <v>652</v>
      </c>
      <c r="C12" s="30" t="s">
        <v>653</v>
      </c>
      <c r="D12" s="30" t="s">
        <v>49</v>
      </c>
      <c r="E12" s="30" t="s">
        <v>190</v>
      </c>
      <c r="F12" s="42">
        <v>400</v>
      </c>
      <c r="G12" s="42">
        <v>548</v>
      </c>
      <c r="H12" s="42">
        <v>122962</v>
      </c>
      <c r="I12" s="42">
        <v>121102</v>
      </c>
      <c r="J12" s="30" t="s">
        <v>191</v>
      </c>
      <c r="K12" s="42">
        <v>119716</v>
      </c>
      <c r="L12" s="131" t="s">
        <v>51</v>
      </c>
      <c r="M12" s="132">
        <f>CONVERT((I12-K12)/10000,"mi","ft")*IF(L12="Increasing Mileposts (1)",-1,1)</f>
        <v>731.80799999999999</v>
      </c>
      <c r="N12" s="133" t="str">
        <f>VLOOKUP(C12,'Trips&amp;Operators'!$C$1:$G$99911,5,FALSE)</f>
        <v>STEWART MICHAEL</v>
      </c>
      <c r="O12" s="175" t="s">
        <v>178</v>
      </c>
      <c r="P12" s="239"/>
      <c r="Q12" s="30"/>
      <c r="R12" s="81" t="str">
        <f>VLOOKUP(C12,'Train Runs'!$A$13:$AE$10210,31,0)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S12" s="84" t="str">
        <f>VLOOKUP(C12,'Train Runs'!$A$13:$AE$10210,22,0)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/stypes="*4003*201801031*" /stext=" 19:.+((SYSTEM_STATE.+slice.+state.+changed )|(ment ac)|(multiple cpu faults)|(system.+state.+changed )|(\[timeout)|(PRM\|1\|D)|(kpr)|(kdp)|(train st.+moving)|(\|lc)|(penalty))"</v>
      </c>
      <c r="U12" s="9" t="str">
        <f>MID(B12,13,4)</f>
        <v>4003</v>
      </c>
      <c r="V12" s="31">
        <f>A12-utc_offset/24</f>
        <v>43103.823321759257</v>
      </c>
      <c r="W12" s="45" t="str">
        <f>DetSubdiv(C12)</f>
        <v>EC</v>
      </c>
      <c r="X12" s="228">
        <f>VALUE(LEFT(C12,LEN(C12)-3))</f>
        <v>164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{"issue":{"subject":"","project_id":79,"tracker_id":40,"status_id":1,"priority_id":2,"assigned_to_id":338,"start_date":"2018-01-03","description":"","custom_fields":[{"id":1,"name":"Subdivision","value":"EC"},{"id":4,"name":"Milepost","value":"11.9716"},{"id":17,"name":"Train ID","value":"164-03"},{"id":16,"name":"Locomotive ID","value":"4003"},{"id":130,"name":"Impact","value":""},{"id":150,"name":"Time of Event (Mountain Time)","value":"12:45:35"},{"id":151,"name":"Denver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/c/Users/stu/AppData/Local/Temp/OnboardLogs/RTDC4003 --include="*4003*201801031*"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"%USERPROFILE%\AppData\Local\Temp\OnboardLogs"\RTDC4003\*4003*201801031* &gt;&gt; 2018-01-03-SliceDisagreementCheck.txt</v>
      </c>
      <c r="AE12" s="144" t="str">
        <f t="shared" si="1"/>
        <v>start /low /b %USERPROFILE%\Documents\GitHub\eaglep3\Utilities\DownloadLogsFromS3.py --loco 4003 --day 2018-01-03</v>
      </c>
      <c r="AF12" s="1"/>
    </row>
    <row r="13" spans="1:32" x14ac:dyDescent="0.3">
      <c r="A13" s="31">
        <v>43103.525081018517</v>
      </c>
      <c r="B13" s="30" t="s">
        <v>652</v>
      </c>
      <c r="C13" s="30" t="s">
        <v>653</v>
      </c>
      <c r="D13" s="30" t="s">
        <v>95</v>
      </c>
      <c r="E13" s="30" t="s">
        <v>190</v>
      </c>
      <c r="F13" s="42">
        <v>600</v>
      </c>
      <c r="G13" s="42">
        <v>650</v>
      </c>
      <c r="H13" s="42">
        <v>184343</v>
      </c>
      <c r="I13" s="42">
        <v>181365</v>
      </c>
      <c r="J13" s="30" t="s">
        <v>191</v>
      </c>
      <c r="K13" s="42">
        <v>190834</v>
      </c>
      <c r="L13" s="131" t="s">
        <v>51</v>
      </c>
      <c r="M13" s="132">
        <f>CONVERT((I13-K13)/10000,"mi","ft")*IF(L13="Increasing Mileposts (1)",-1,1)</f>
        <v>-4999.6319999999996</v>
      </c>
      <c r="N13" s="133" t="str">
        <f>VLOOKUP(C13,'Trips&amp;Operators'!$C$1:$G$99911,5,FALSE)</f>
        <v>STEWART MICHAEL</v>
      </c>
      <c r="O13" s="175" t="s">
        <v>178</v>
      </c>
      <c r="P13" s="239"/>
      <c r="Q13" s="30"/>
      <c r="R13" s="81" t="str">
        <f>VLOOKUP(C13,'Train Runs'!$A$13:$AE$10210,31,0)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S13" s="84" t="str">
        <f>VLOOKUP(C13,'Train Runs'!$A$13:$AE$10210,22,0)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/stypes="*4003*201801031*" /stext=" 19:.+((SYSTEM_STATE.+slice.+state.+changed )|(ment ac)|(multiple cpu faults)|(system.+state.+changed )|(\[timeout)|(PRM\|1\|D)|(kpr)|(kdp)|(train st.+moving)|(\|lc)|(penalty))"</v>
      </c>
      <c r="U13" s="9" t="str">
        <f>MID(B13,13,4)</f>
        <v>4003</v>
      </c>
      <c r="V13" s="31">
        <f>A13-utc_offset/24</f>
        <v>43103.816747685181</v>
      </c>
      <c r="W13" s="45" t="str">
        <f>DetSubdiv(C13)</f>
        <v>EC</v>
      </c>
      <c r="X13" s="228">
        <f>VALUE(LEFT(C13,LEN(C13)-3))</f>
        <v>164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{"issue":{"subject":"","project_id":79,"tracker_id":40,"status_id":1,"priority_id":2,"assigned_to_id":338,"start_date":"2018-01-03","description":"","custom_fields":[{"id":1,"name":"Subdivision","value":"EC"},{"id":4,"name":"Milepost","value":"19.0834"},{"id":17,"name":"Train ID","value":"164-03"},{"id":16,"name":"Locomotive ID","value":"4003"},{"id":130,"name":"Impact","value":""},{"id":150,"name":"Time of Event (Mountain Time)","value":"12:36:07"},{"id":151,"name":"Denver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/c/Users/stu/AppData/Local/Temp/OnboardLogs/RTDC4003 --include="*4003*201801031*"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"%USERPROFILE%\AppData\Local\Temp\OnboardLogs"\RTDC4003\*4003*201801031* &gt;&gt; 2018-01-03-SliceDisagreementCheck.txt</v>
      </c>
      <c r="AE13" s="144" t="str">
        <f t="shared" si="1"/>
        <v>start /low /b %USERPROFILE%\Documents\GitHub\eaglep3\Utilities\DownloadLogsFromS3.py --loco 4003 --day 2018-01-03</v>
      </c>
      <c r="AF13" s="1"/>
    </row>
    <row r="14" spans="1:32" x14ac:dyDescent="0.3">
      <c r="A14" s="31">
        <v>43103.773715277777</v>
      </c>
      <c r="B14" s="30" t="s">
        <v>383</v>
      </c>
      <c r="C14" s="30" t="s">
        <v>659</v>
      </c>
      <c r="D14" s="30" t="s">
        <v>95</v>
      </c>
      <c r="E14" s="30" t="s">
        <v>190</v>
      </c>
      <c r="F14" s="42">
        <v>350</v>
      </c>
      <c r="G14" s="42">
        <v>400</v>
      </c>
      <c r="H14" s="42">
        <v>229200</v>
      </c>
      <c r="I14" s="42">
        <v>230221</v>
      </c>
      <c r="J14" s="30" t="s">
        <v>191</v>
      </c>
      <c r="K14" s="42">
        <v>224581</v>
      </c>
      <c r="L14" s="131" t="s">
        <v>50</v>
      </c>
      <c r="M14" s="132">
        <f>CONVERT((I14-K14)/10000,"mi","ft")*IF(L14="Increasing Mileposts (1)",-1,1)</f>
        <v>-2977.92</v>
      </c>
      <c r="N14" s="133" t="str">
        <f>VLOOKUP(C14,'Trips&amp;Operators'!$C$1:$G$99911,5,FALSE)</f>
        <v>HOLCOMB KAMDEN</v>
      </c>
      <c r="O14" s="175" t="s">
        <v>178</v>
      </c>
      <c r="P14" s="239"/>
      <c r="Q14" s="30"/>
      <c r="R14" s="81" t="str">
        <f>VLOOKUP(C14,'Train Runs'!$A$13:$AE$10210,31,0)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S14" s="84" t="str">
        <f>VLOOKUP(C14,'Train Runs'!$A$13:$AE$10210,22,0)</f>
        <v>https://d0f6bd738d7f1b3e5a7ca70fe4ff75f0.us-east-1.aws.found.io/app/kibana#/discover/Steve-Slow-Train-Analysis-(2080s-and-2083s)?_g=(refreshInterval:(display:Off,pause:!f,section:0,value:0),time:(from:'2018-01-03T16:54:52-0700',mode:absolute,to:'2018-01-03T19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/stypes="*4062*201801040*" /stext=" 01:.+((SYSTEM_STATE.+slice.+state.+changed )|(ment ac)|(multiple cpu faults)|(system.+state.+changed )|(\[timeout)|(PRM\|1\|D)|(kpr)|(kdp)|(train st.+moving)|(\|lc)|(penalty))"</v>
      </c>
      <c r="U14" s="9" t="str">
        <f>MID(B14,13,4)</f>
        <v>4062</v>
      </c>
      <c r="V14" s="31">
        <f>A14-utc_offset/24</f>
        <v>43104.065381944441</v>
      </c>
      <c r="W14" s="45" t="str">
        <f>DetSubdiv(C14)</f>
        <v>EC</v>
      </c>
      <c r="X14" s="228">
        <f>VALUE(LEFT(C14,LEN(C14)-3))</f>
        <v>215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{"issue":{"subject":"","project_id":79,"tracker_id":40,"status_id":1,"priority_id":2,"assigned_to_id":338,"start_date":"2018-01-03","description":"","custom_fields":[{"id":1,"name":"Subdivision","value":"EC"},{"id":4,"name":"Milepost","value":"22.4581"},{"id":17,"name":"Train ID","value":"215-03"},{"id":16,"name":"Locomotive ID","value":"4062"},{"id":130,"name":"Impact","value":""},{"id":150,"name":"Time of Event (Mountain Time)","value":"18:34:09"},{"id":151,"name":"Denver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/c/Users/stu/AppData/Local/Temp/OnboardLogs/RTDC4062 --include="*4062*201801040*"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"%USERPROFILE%\AppData\Local\Temp\OnboardLogs"\RTDC4062\*4062*201801040* &gt;&gt; 2018-01-03-SliceDisagreementCheck.txt</v>
      </c>
      <c r="AE14" s="144" t="str">
        <f t="shared" si="1"/>
        <v>start /low /b %USERPROFILE%\Documents\GitHub\eaglep3\Utilities\DownloadLogsFromS3.py --loco 4062 --day 2018-01-04</v>
      </c>
      <c r="AF14" s="1"/>
    </row>
    <row r="15" spans="1:32" x14ac:dyDescent="0.3">
      <c r="A15" s="31">
        <v>43103.884363425925</v>
      </c>
      <c r="B15" s="30" t="s">
        <v>446</v>
      </c>
      <c r="C15" s="30" t="s">
        <v>660</v>
      </c>
      <c r="D15" s="30" t="s">
        <v>49</v>
      </c>
      <c r="E15" s="30" t="s">
        <v>354</v>
      </c>
      <c r="F15" s="42">
        <v>0</v>
      </c>
      <c r="G15" s="42">
        <v>527</v>
      </c>
      <c r="H15" s="42">
        <v>60361</v>
      </c>
      <c r="I15" s="42">
        <v>62453</v>
      </c>
      <c r="J15" s="30" t="s">
        <v>355</v>
      </c>
      <c r="K15" s="42">
        <v>63995</v>
      </c>
      <c r="L15" s="131" t="s">
        <v>50</v>
      </c>
      <c r="M15" s="132">
        <f>CONVERT((I15-K15)/10000,"mi","ft")*IF(L15="Increasing Mileposts (1)",-1,1)</f>
        <v>814.17600000000004</v>
      </c>
      <c r="N15" s="133" t="str">
        <f>VLOOKUP(C15,'Trips&amp;Operators'!$C$1:$G$99911,5,FALSE)</f>
        <v>NICHOLSON WESLEY</v>
      </c>
      <c r="O15" s="175" t="s">
        <v>348</v>
      </c>
      <c r="P15" s="239" t="s">
        <v>464</v>
      </c>
      <c r="Q15" s="30"/>
      <c r="R15" s="81" t="str">
        <f>VLOOKUP(C15,'Train Runs'!$A$13:$AE$10210,31,0)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S15" s="84" t="str">
        <f>VLOOKUP(C15,'Train Runs'!$A$13:$AE$10210,22,0)</f>
        <v>https://d0f6bd738d7f1b3e5a7ca70fe4ff75f0.us-east-1.aws.found.io/app/kibana#/discover/Steve-Slow-Train-Analysis-(2080s-and-2083s)?_g=(refreshInterval:(display:Off,pause:!f,section:0,value:0),time:(from:'2018-01-03T19:39:35-0700',mode:absolute,to:'2018-01-03T22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/stypes="*4042*201801040*" /stext=" 04:.+((SYSTEM_STATE.+slice.+state.+changed )|(ment ac)|(multiple cpu faults)|(system.+state.+changed )|(\[timeout)|(PRM\|1\|D)|(kpr)|(kdp)|(train st.+moving)|(\|lc)|(penalty))"</v>
      </c>
      <c r="U15" s="9" t="str">
        <f>MID(B15,13,4)</f>
        <v>4042</v>
      </c>
      <c r="V15" s="31">
        <f>A15-utc_offset/24</f>
        <v>43104.176030092589</v>
      </c>
      <c r="W15" s="45" t="str">
        <f>DetSubdiv(C15)</f>
        <v>EC</v>
      </c>
      <c r="X15" s="228">
        <f>VALUE(LEFT(C15,LEN(C15)-3))</f>
        <v>229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drop","project_id":79,"tracker_id":40,"status_id":1,"priority_id":2,"assigned_to_id":338,"start_date":"2018-01-03","description":"","custom_fields":[{"id":1,"name":"Subdivision","value":"EC"},{"id":4,"name":"Milepost","value":"6.3995"},{"id":17,"name":"Train ID","value":"229-03"},{"id":16,"name":"Locomotive ID","value":"4042"},{"id":130,"name":"Impact","value":""},{"id":150,"name":"Time of Event (Mountain Time)","value":"21:13:29"},{"id":151,"name":"Denver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/c/Users/stu/AppData/Local/Temp/OnboardLogs/RTDC4042 --include="*4042*201801040*"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"%USERPROFILE%\AppData\Local\Temp\OnboardLogs"\RTDC4042\*4042*201801040* &gt;&gt; 2018-01-03-SliceDisagreementCheck.txt</v>
      </c>
      <c r="AE15" s="144" t="str">
        <f t="shared" si="1"/>
        <v>start /low /b %USERPROFILE%\Documents\GitHub\eaglep3\Utilities\DownloadLogsFromS3.py --loco 4042 --day 2018-01-04</v>
      </c>
      <c r="AF15" s="1"/>
    </row>
    <row r="16" spans="1:32" x14ac:dyDescent="0.3">
      <c r="A16" s="31">
        <v>43103.272013888891</v>
      </c>
      <c r="B16" s="30" t="s">
        <v>527</v>
      </c>
      <c r="C16" s="30" t="s">
        <v>641</v>
      </c>
      <c r="D16" s="30" t="s">
        <v>49</v>
      </c>
      <c r="E16" s="30" t="s">
        <v>354</v>
      </c>
      <c r="F16" s="42">
        <v>0</v>
      </c>
      <c r="G16" s="42">
        <v>692</v>
      </c>
      <c r="H16" s="42">
        <v>80203</v>
      </c>
      <c r="I16" s="42">
        <v>82870</v>
      </c>
      <c r="J16" s="30" t="s">
        <v>355</v>
      </c>
      <c r="K16" s="42">
        <v>81738</v>
      </c>
      <c r="L16" s="131" t="s">
        <v>50</v>
      </c>
      <c r="M16" s="132">
        <f>CONVERT((I16-K16)/10000,"mi","ft")*IF(L16="Increasing Mileposts (1)",-1,1)</f>
        <v>-597.69600000000003</v>
      </c>
      <c r="N16" s="133" t="str">
        <f>VLOOKUP(C16,'Trips&amp;Operators'!$C$1:$G$99911,5,FALSE)</f>
        <v>DAVIDSON DAVID</v>
      </c>
      <c r="O16" s="175" t="s">
        <v>348</v>
      </c>
      <c r="P16" s="239" t="s">
        <v>464</v>
      </c>
      <c r="Q16" s="30"/>
      <c r="R16" s="81" t="str">
        <f>VLOOKUP(C16,'Train Runs'!$A$13:$AE$10210,31,0)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S16" s="84" t="str">
        <f>VLOOKUP(C16,'Train Runs'!$A$13:$AE$10210,22,0)</f>
        <v>https://d0f6bd738d7f1b3e5a7ca70fe4ff75f0.us-east-1.aws.found.io/app/kibana#/discover/Steve-Slow-Train-Analysis-(2080s-and-2083s)?_g=(refreshInterval:(display:Off,pause:!f,section:0,value:0),time:(from:'2018-01-03T05:08:42-0700',mode:absolute,to:'2018-01-03T07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/stypes="*4004*201801031*" /stext=" 13:.+((SYSTEM_STATE.+slice.+state.+changed )|(ment ac)|(multiple cpu faults)|(system.+state.+changed )|(\[timeout)|(PRM\|1\|D)|(kpr)|(kdp)|(train st.+moving)|(\|lc)|(penalty))"</v>
      </c>
      <c r="U16" s="9" t="str">
        <f>MID(B16,13,4)</f>
        <v>4004</v>
      </c>
      <c r="V16" s="31">
        <f>A16-utc_offset/24</f>
        <v>43103.563680555555</v>
      </c>
      <c r="W16" s="45" t="str">
        <f>DetSubdiv(C16)</f>
        <v>EC</v>
      </c>
      <c r="X16" s="228">
        <f>VALUE(LEFT(C16,LEN(C16)-3))</f>
        <v>121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drop","project_id":79,"tracker_id":40,"status_id":1,"priority_id":2,"assigned_to_id":338,"start_date":"2018-01-03","description":"","custom_fields":[{"id":1,"name":"Subdivision","value":"EC"},{"id":4,"name":"Milepost","value":"8.1738"},{"id":17,"name":"Train ID","value":"121-03"},{"id":16,"name":"Locomotive ID","value":"4004"},{"id":130,"name":"Impact","value":""},{"id":150,"name":"Time of Event (Mountain Time)","value":"06:31:42"},{"id":151,"name":"Denver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/c/Users/stu/AppData/Local/Temp/OnboardLogs/RTDC4004 --include="*4004*201801031*"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"%USERPROFILE%\AppData\Local\Temp\OnboardLogs"\RTDC4004\*4004*201801031* &gt;&gt; 2018-01-03-SliceDisagreementCheck.txt</v>
      </c>
      <c r="AE16" s="144" t="str">
        <f t="shared" si="1"/>
        <v>start /low /b %USERPROFILE%\Documents\GitHub\eaglep3\Utilities\DownloadLogsFromS3.py --loco 4004 --day 2018-01-03</v>
      </c>
      <c r="AF16" s="1"/>
    </row>
    <row r="17" spans="1:32" x14ac:dyDescent="0.3">
      <c r="A17" s="31">
        <v>43103.442685185182</v>
      </c>
      <c r="B17" s="30" t="s">
        <v>648</v>
      </c>
      <c r="C17" s="30" t="s">
        <v>649</v>
      </c>
      <c r="D17" s="30" t="s">
        <v>49</v>
      </c>
      <c r="E17" s="30" t="s">
        <v>354</v>
      </c>
      <c r="F17" s="42">
        <v>0</v>
      </c>
      <c r="G17" s="42">
        <v>141</v>
      </c>
      <c r="H17" s="42">
        <v>175988</v>
      </c>
      <c r="I17" s="42">
        <v>175726</v>
      </c>
      <c r="J17" s="30" t="s">
        <v>355</v>
      </c>
      <c r="K17" s="42">
        <v>175398</v>
      </c>
      <c r="L17" s="131" t="s">
        <v>51</v>
      </c>
      <c r="M17" s="132">
        <f>CONVERT((I17-K17)/10000,"mi","ft")*IF(L17="Increasing Mileposts (1)",-1,1)</f>
        <v>173.18400000000003</v>
      </c>
      <c r="N17" s="133" t="str">
        <f>VLOOKUP(C17,'Trips&amp;Operators'!$C$1:$G$99911,5,FALSE)</f>
        <v>PAGE MARCUS</v>
      </c>
      <c r="O17" s="175" t="s">
        <v>348</v>
      </c>
      <c r="P17" s="239" t="s">
        <v>464</v>
      </c>
      <c r="Q17" s="30"/>
      <c r="R17" s="81" t="str">
        <f>VLOOKUP(C17,'Train Runs'!$A$13:$AE$10210,31,0)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S17" s="84" t="str">
        <f>VLOOKUP(C17,'Train Runs'!$A$13:$AE$10210,22,0)</f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/stypes="*4001*201801031*" /stext=" 17:.+((SYSTEM_STATE.+slice.+state.+changed )|(ment ac)|(multiple cpu faults)|(system.+state.+changed )|(\[timeout)|(PRM\|1\|D)|(kpr)|(kdp)|(train st.+moving)|(\|lc)|(penalty))"</v>
      </c>
      <c r="U17" s="9" t="str">
        <f>MID(B17,13,4)</f>
        <v>4001</v>
      </c>
      <c r="V17" s="31">
        <f>A17-utc_offset/24</f>
        <v>43103.734351851846</v>
      </c>
      <c r="W17" s="45" t="str">
        <f>DetSubdiv(C17)</f>
        <v>EC</v>
      </c>
      <c r="X17" s="228">
        <f>VALUE(LEFT(C17,LEN(C17)-3))</f>
        <v>148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drop","project_id":79,"tracker_id":40,"status_id":1,"priority_id":2,"assigned_to_id":338,"start_date":"2018-01-03","description":"","custom_fields":[{"id":1,"name":"Subdivision","value":"EC"},{"id":4,"name":"Milepost","value":"17.5398"},{"id":17,"name":"Train ID","value":"148-03"},{"id":16,"name":"Locomotive ID","value":"4001"},{"id":130,"name":"Impact","value":""},{"id":150,"name":"Time of Event (Mountain Time)","value":"10:37:28"},{"id":151,"name":"Denver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/c/Users/stu/AppData/Local/Temp/OnboardLogs/RTDC4001 --include="*4001*201801031*"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"%USERPROFILE%\AppData\Local\Temp\OnboardLogs"\RTDC4001\*4001*201801031* &gt;&gt; 2018-01-03-SliceDisagreementCheck.txt</v>
      </c>
      <c r="AE17" s="144" t="str">
        <f t="shared" si="1"/>
        <v>start /low /b %USERPROFILE%\Documents\GitHub\eaglep3\Utilities\DownloadLogsFromS3.py --loco 4001 --day 2018-01-03</v>
      </c>
      <c r="AF17" s="1"/>
    </row>
    <row r="18" spans="1:32" x14ac:dyDescent="0.3">
      <c r="A18" s="31">
        <v>43103.440046296295</v>
      </c>
      <c r="B18" s="30" t="s">
        <v>648</v>
      </c>
      <c r="C18" s="30" t="s">
        <v>649</v>
      </c>
      <c r="D18" s="30" t="s">
        <v>49</v>
      </c>
      <c r="E18" s="30" t="s">
        <v>354</v>
      </c>
      <c r="F18" s="42">
        <v>0</v>
      </c>
      <c r="G18" s="42">
        <v>593</v>
      </c>
      <c r="H18" s="42">
        <v>186450</v>
      </c>
      <c r="I18" s="42">
        <v>184428</v>
      </c>
      <c r="J18" s="30" t="s">
        <v>355</v>
      </c>
      <c r="K18" s="42">
        <v>182920</v>
      </c>
      <c r="L18" s="131" t="s">
        <v>51</v>
      </c>
      <c r="M18" s="132">
        <f>CONVERT((I18-K18)/10000,"mi","ft")*IF(L18="Increasing Mileposts (1)",-1,1)</f>
        <v>796.22400000000005</v>
      </c>
      <c r="N18" s="133" t="str">
        <f>VLOOKUP(C18,'Trips&amp;Operators'!$C$1:$G$99911,5,FALSE)</f>
        <v>PAGE MARCUS</v>
      </c>
      <c r="O18" s="175" t="s">
        <v>348</v>
      </c>
      <c r="P18" s="239" t="s">
        <v>464</v>
      </c>
      <c r="Q18" s="30"/>
      <c r="R18" s="81" t="str">
        <f>VLOOKUP(C18,'Train Runs'!$A$13:$AE$10210,31,0)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S18" s="84" t="str">
        <f>VLOOKUP(C18,'Train Runs'!$A$13:$AE$10210,22,0)</f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/stypes="*4001*201801031*" /stext=" 17:.+((SYSTEM_STATE.+slice.+state.+changed )|(ment ac)|(multiple cpu faults)|(system.+state.+changed )|(\[timeout)|(PRM\|1\|D)|(kpr)|(kdp)|(train st.+moving)|(\|lc)|(penalty))"</v>
      </c>
      <c r="U18" s="9" t="str">
        <f>MID(B18,13,4)</f>
        <v>4001</v>
      </c>
      <c r="V18" s="31">
        <f>A18-utc_offset/24</f>
        <v>43103.731712962959</v>
      </c>
      <c r="W18" s="45" t="str">
        <f>DetSubdiv(C18)</f>
        <v>EC</v>
      </c>
      <c r="X18" s="228">
        <f>VALUE(LEFT(C18,LEN(C18)-3))</f>
        <v>148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drop","project_id":79,"tracker_id":40,"status_id":1,"priority_id":2,"assigned_to_id":338,"start_date":"2018-01-03","description":"","custom_fields":[{"id":1,"name":"Subdivision","value":"EC"},{"id":4,"name":"Milepost","value":"18.292"},{"id":17,"name":"Train ID","value":"148-03"},{"id":16,"name":"Locomotive ID","value":"4001"},{"id":130,"name":"Impact","value":""},{"id":150,"name":"Time of Event (Mountain Time)","value":"10:33:40"},{"id":151,"name":"Denver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/c/Users/stu/AppData/Local/Temp/OnboardLogs/RTDC4001 --include="*4001*201801031*"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"%USERPROFILE%\AppData\Local\Temp\OnboardLogs"\RTDC4001\*4001*201801031* &gt;&gt; 2018-01-03-SliceDisagreementCheck.txt</v>
      </c>
      <c r="AE18" s="144" t="str">
        <f t="shared" si="1"/>
        <v>start /low /b %USERPROFILE%\Documents\GitHub\eaglep3\Utilities\DownloadLogsFromS3.py --loco 4001 --day 2018-01-03</v>
      </c>
      <c r="AF18" s="1"/>
    </row>
    <row r="19" spans="1:32" x14ac:dyDescent="0.3">
      <c r="A19" s="31">
        <v>43103.66128472222</v>
      </c>
      <c r="B19" s="30" t="s">
        <v>443</v>
      </c>
      <c r="C19" s="30" t="s">
        <v>657</v>
      </c>
      <c r="D19" s="30" t="s">
        <v>95</v>
      </c>
      <c r="E19" s="30" t="s">
        <v>511</v>
      </c>
      <c r="F19" s="42">
        <v>0</v>
      </c>
      <c r="G19" s="42">
        <v>154</v>
      </c>
      <c r="H19" s="42">
        <v>3463</v>
      </c>
      <c r="I19" s="42">
        <v>3179</v>
      </c>
      <c r="J19" s="30" t="s">
        <v>512</v>
      </c>
      <c r="K19" s="42">
        <v>3549</v>
      </c>
      <c r="L19" s="131" t="s">
        <v>51</v>
      </c>
      <c r="M19" s="132">
        <f>CONVERT((I19-K19)/10000,"mi","ft")*IF(L19="Increasing Mileposts (1)",-1,1)</f>
        <v>-195.36</v>
      </c>
      <c r="N19" s="133" t="str">
        <f>VLOOKUP(C19,'Trips&amp;Operators'!$C$1:$G$99911,5,FALSE)</f>
        <v>DAVIS MICHAEL</v>
      </c>
      <c r="O19" s="175" t="s">
        <v>348</v>
      </c>
      <c r="P19" s="239" t="s">
        <v>464</v>
      </c>
      <c r="Q19" s="30"/>
      <c r="R19" s="81" t="str">
        <f>VLOOKUP(C19,'Train Runs'!$A$13:$AE$10210,31,0)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S19" s="84" t="str">
        <f>VLOOKUP(C19,'Train Runs'!$A$13:$AE$10210,22,0)</f>
        <v>https://d0f6bd738d7f1b3e5a7ca70fe4ff75f0.us-east-1.aws.found.io/app/kibana#/discover/Steve-Slow-Train-Analysis-(2080s-and-2083s)?_g=(refreshInterval:(display:Off,pause:!f,section:0,value:0),time:(from:'2018-01-03T14:09:43-0700',mode:absolute,to:'2018-01-03T16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/stypes="*4049*201801032*" /stext=" 22:.+((SYSTEM_STATE.+slice.+state.+changed )|(ment ac)|(multiple cpu faults)|(system.+state.+changed )|(\[timeout)|(PRM\|1\|D)|(kpr)|(kdp)|(train st.+moving)|(\|lc)|(penalty))"</v>
      </c>
      <c r="U19" s="9" t="str">
        <f>MID(B19,13,4)</f>
        <v>4049</v>
      </c>
      <c r="V19" s="31">
        <f>A19-utc_offset/24</f>
        <v>43103.952951388885</v>
      </c>
      <c r="W19" s="45" t="str">
        <f>DetSubdiv(C19)</f>
        <v>EC</v>
      </c>
      <c r="X19" s="228">
        <f>VALUE(LEFT(C19,LEN(C19)-3))</f>
        <v>186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drop","project_id":79,"tracker_id":40,"status_id":1,"priority_id":2,"assigned_to_id":338,"start_date":"2018-01-03","description":"","custom_fields":[{"id":1,"name":"Subdivision","value":"EC"},{"id":4,"name":"Milepost","value":"0.3549"},{"id":17,"name":"Train ID","value":"186-03"},{"id":16,"name":"Locomotive ID","value":"4049"},{"id":130,"name":"Impact","value":""},{"id":150,"name":"Time of Event (Mountain Time)","value":"15:52:15"},{"id":151,"name":"Denver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/c/Users/stu/AppData/Local/Temp/OnboardLogs/RTDC4049 --include="*4049*201801032*"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"%USERPROFILE%\AppData\Local\Temp\OnboardLogs"\RTDC4049\*4049*201801032* &gt;&gt; 2018-01-03-SliceDisagreementCheck.txt</v>
      </c>
      <c r="AE19" s="144" t="str">
        <f t="shared" si="1"/>
        <v>start /low /b %USERPROFILE%\Documents\GitHub\eaglep3\Utilities\DownloadLogsFromS3.py --loco 4049 --day 2018-01-03</v>
      </c>
      <c r="AF19" s="1"/>
    </row>
    <row r="20" spans="1:32" x14ac:dyDescent="0.3">
      <c r="A20" s="31">
        <v>43104.077928240738</v>
      </c>
      <c r="B20" s="30" t="s">
        <v>648</v>
      </c>
      <c r="C20" s="30" t="s">
        <v>663</v>
      </c>
      <c r="D20" s="30" t="s">
        <v>49</v>
      </c>
      <c r="E20" s="30" t="s">
        <v>511</v>
      </c>
      <c r="F20" s="42">
        <v>0</v>
      </c>
      <c r="G20" s="42">
        <v>246</v>
      </c>
      <c r="H20" s="42">
        <v>58297</v>
      </c>
      <c r="I20" s="42">
        <v>0</v>
      </c>
      <c r="J20" s="30" t="s">
        <v>512</v>
      </c>
      <c r="K20" s="42">
        <v>57801</v>
      </c>
      <c r="L20" s="131" t="s">
        <v>51</v>
      </c>
      <c r="M20" s="132">
        <f>CONVERT((I20-K20)/10000,"mi","ft")*IF(L20="Increasing Mileposts (1)",-1,1)</f>
        <v>-30518.928</v>
      </c>
      <c r="N20" s="133" t="str">
        <f>VLOOKUP(C20,'Trips&amp;Operators'!$C$1:$G$99911,5,FALSE)</f>
        <v>ANDERS STEVEN</v>
      </c>
      <c r="O20" s="175" t="s">
        <v>348</v>
      </c>
      <c r="P20" s="239" t="s">
        <v>464</v>
      </c>
      <c r="Q20" s="30"/>
      <c r="R20" s="81" t="str">
        <f>VLOOKUP(C20,'Train Runs'!$A$13:$AE$10210,31,0)</f>
        <v>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 &amp; 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</v>
      </c>
      <c r="S20" s="84" t="str">
        <f>VLOOKUP(C20,'Train Runs'!$A$13:$AE$10210,22,0)</f>
        <v>https://d0f6bd738d7f1b3e5a7ca70fe4ff75f0.us-east-1.aws.found.io/app/kibana#/discover/Steve-Slow-Train-Analysis-(2080s-and-2083s)?_g=(refreshInterval:(display:Off,pause:!f,section:0,value:0),time:(from:'2018-01-04T00:24:26-0700',mode:absolute,to:'2018-01-04T02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/stypes="*4001*201801040*" /stext=" 08:.+((SYSTEM_STATE.+slice.+state.+changed )|(ment ac)|(multiple cpu faults)|(system.+state.+changed )|(\[timeout)|(PRM\|1\|D)|(kpr)|(kdp)|(train st.+moving)|(\|lc)|(penalty))"</v>
      </c>
      <c r="U20" s="9" t="str">
        <f>MID(B20,13,4)</f>
        <v>4001</v>
      </c>
      <c r="V20" s="31">
        <f>A20-utc_offset/24</f>
        <v>43104.369594907403</v>
      </c>
      <c r="W20" s="45" t="str">
        <f>DetSubdiv(C20)</f>
        <v>EC</v>
      </c>
      <c r="X20" s="228">
        <f>VALUE(LEFT(C20,LEN(C20)-3))</f>
        <v>244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drop","project_id":79,"tracker_id":40,"status_id":1,"priority_id":2,"assigned_to_id":338,"start_date":"2018-01-04","description":"","custom_fields":[{"id":1,"name":"Subdivision","value":"EC"},{"id":4,"name":"Milepost","value":"5.7801"},{"id":17,"name":"Train ID","value":"244-03"},{"id":16,"name":"Locomotive ID","value":"4001"},{"id":130,"name":"Impact","value":""},{"id":150,"name":"Time of Event (Mountain Time)","value":"01:52:13"},{"id":151,"name":"Denver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/c/Users/stu/AppData/Local/Temp/OnboardLogs/RTDC4001 --include="*4001*201801040*"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"%USERPROFILE%\AppData\Local\Temp\OnboardLogs"\RTDC4001\*4001*201801040* &gt;&gt; 2018-01-03-SliceDisagreementCheck.txt</v>
      </c>
      <c r="AE20" s="144" t="str">
        <f t="shared" si="1"/>
        <v>start /low /b %USERPROFILE%\Documents\GitHub\eaglep3\Utilities\DownloadLogsFromS3.py --loco 4001 --day 2018-01-04</v>
      </c>
      <c r="AF20" s="1"/>
    </row>
    <row r="21" spans="1:32" x14ac:dyDescent="0.3">
      <c r="A21" s="31">
        <v>43103.192141203705</v>
      </c>
      <c r="B21" s="30" t="s">
        <v>634</v>
      </c>
      <c r="C21" s="30" t="s">
        <v>635</v>
      </c>
      <c r="D21" s="30" t="s">
        <v>49</v>
      </c>
      <c r="E21" s="30" t="s">
        <v>511</v>
      </c>
      <c r="F21" s="42">
        <v>0</v>
      </c>
      <c r="G21" s="42">
        <v>609</v>
      </c>
      <c r="H21" s="42">
        <v>123098</v>
      </c>
      <c r="I21" s="42">
        <v>125892</v>
      </c>
      <c r="J21" s="30" t="s">
        <v>512</v>
      </c>
      <c r="K21" s="42">
        <v>126678</v>
      </c>
      <c r="L21" s="131" t="s">
        <v>50</v>
      </c>
      <c r="M21" s="132">
        <f>CONVERT((I21-K21)/10000,"mi","ft")*IF(L21="Increasing Mileposts (1)",-1,1)</f>
        <v>415.00799999999998</v>
      </c>
      <c r="N21" s="133" t="str">
        <f>VLOOKUP(C21,'Trips&amp;Operators'!$C$1:$G$99911,5,FALSE)</f>
        <v>PAGE MARCUS</v>
      </c>
      <c r="O21" s="175" t="s">
        <v>348</v>
      </c>
      <c r="P21" s="239" t="s">
        <v>464</v>
      </c>
      <c r="Q21" s="30"/>
      <c r="R21" s="81" t="str">
        <f>VLOOKUP(C21,'Train Runs'!$A$13:$AE$10210,31,0)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S21" s="84" t="str">
        <f>VLOOKUP(C21,'Train Runs'!$A$13:$AE$10210,22,0)</f>
        <v>https://d0f6bd738d7f1b3e5a7ca70fe4ff75f0.us-east-1.aws.found.io/app/kibana#/discover/Steve-Slow-Train-Analysis-(2080s-and-2083s)?_g=(refreshInterval:(display:Off,pause:!f,section:0,value:0),time:(from:'2018-01-03T03:06:00-0700',mode:absolute,to:'2018-01-03T05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/stypes="*4002*201801031*" /stext=" 11:.+((SYSTEM_STATE.+slice.+state.+changed )|(ment ac)|(multiple cpu faults)|(system.+state.+changed )|(\[timeout)|(PRM\|1\|D)|(kpr)|(kdp)|(train st.+moving)|(\|lc)|(penalty))"</v>
      </c>
      <c r="U21" s="9" t="str">
        <f>MID(B21,13,4)</f>
        <v>4002</v>
      </c>
      <c r="V21" s="31">
        <f>A21-utc_offset/24</f>
        <v>43103.483807870369</v>
      </c>
      <c r="W21" s="45" t="str">
        <f>DetSubdiv(C21)</f>
        <v>EC</v>
      </c>
      <c r="X21" s="228">
        <f>VALUE(LEFT(C21,LEN(C21)-3))</f>
        <v>105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drop","project_id":79,"tracker_id":40,"status_id":1,"priority_id":2,"assigned_to_id":338,"start_date":"2018-01-03","description":"","custom_fields":[{"id":1,"name":"Subdivision","value":"EC"},{"id":4,"name":"Milepost","value":"12.6678"},{"id":17,"name":"Train ID","value":"105-03"},{"id":16,"name":"Locomotive ID","value":"4002"},{"id":130,"name":"Impact","value":""},{"id":150,"name":"Time of Event (Mountain Time)","value":"04:36:41"},{"id":151,"name":"Denver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/c/Users/stu/AppData/Local/Temp/OnboardLogs/RTDC4002 --include="*4002*201801031*"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"%USERPROFILE%\AppData\Local\Temp\OnboardLogs"\RTDC4002\*4002*201801031* &gt;&gt; 2018-01-03-SliceDisagreementCheck.txt</v>
      </c>
      <c r="AE21" s="144" t="str">
        <f t="shared" si="1"/>
        <v>start /low /b %USERPROFILE%\Documents\GitHub\eaglep3\Utilities\DownloadLogsFromS3.py --loco 4002 --day 2018-01-03</v>
      </c>
      <c r="AF21" s="1"/>
    </row>
    <row r="22" spans="1:32" x14ac:dyDescent="0.3">
      <c r="A22" s="31">
        <v>43103.618668981479</v>
      </c>
      <c r="B22" s="30" t="s">
        <v>652</v>
      </c>
      <c r="C22" s="30" t="s">
        <v>655</v>
      </c>
      <c r="D22" s="30" t="s">
        <v>49</v>
      </c>
      <c r="E22" s="30" t="s">
        <v>639</v>
      </c>
      <c r="F22" s="42">
        <v>0</v>
      </c>
      <c r="G22" s="42">
        <v>158</v>
      </c>
      <c r="H22" s="42">
        <v>648</v>
      </c>
      <c r="I22" s="42">
        <v>440</v>
      </c>
      <c r="J22" s="30" t="s">
        <v>640</v>
      </c>
      <c r="K22" s="42">
        <v>1</v>
      </c>
      <c r="L22" s="131" t="s">
        <v>51</v>
      </c>
      <c r="M22" s="132">
        <f>CONVERT((I22-K22)/10000,"mi","ft")*IF(L22="Increasing Mileposts (1)",-1,1)</f>
        <v>231.792</v>
      </c>
      <c r="N22" s="133" t="str">
        <f>VLOOKUP(C22,'Trips&amp;Operators'!$C$1:$G$99911,5,FALSE)</f>
        <v>STEWART MICHAEL</v>
      </c>
      <c r="O22" s="175" t="s">
        <v>178</v>
      </c>
      <c r="P22" s="239"/>
      <c r="Q22" s="30"/>
      <c r="R22" s="81" t="str">
        <f>VLOOKUP(C22,'Train Runs'!$A$13:$AE$10210,31,0)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S22" s="84" t="str">
        <f>VLOOKUP(C22,'Train Runs'!$A$13:$AE$10210,22,0)</f>
        <v>https://d0f6bd738d7f1b3e5a7ca70fe4ff75f0.us-east-1.aws.found.io/app/kibana#/discover/Steve-Slow-Train-Analysis-(2080s-and-2083s)?_g=(refreshInterval:(display:Off,pause:!f,section:0,value:0),time:(from:'2018-01-03T13:05:32-0700',mode:absolute,to:'2018-01-03T15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/stypes="*4003*201801032*" /stext=" 21:.+((SYSTEM_STATE.+slice.+state.+changed )|(ment ac)|(multiple cpu faults)|(system.+state.+changed )|(\[timeout)|(PRM\|1\|D)|(kpr)|(kdp)|(train st.+moving)|(\|lc)|(penalty))"</v>
      </c>
      <c r="U22" s="9" t="str">
        <f>MID(B22,13,4)</f>
        <v>4003</v>
      </c>
      <c r="V22" s="31">
        <f>A22-utc_offset/24</f>
        <v>43103.910335648143</v>
      </c>
      <c r="W22" s="45" t="str">
        <f>DetSubdiv(C22)</f>
        <v>EC</v>
      </c>
      <c r="X22" s="228">
        <f>VALUE(LEFT(C22,LEN(C22)-3))</f>
        <v>178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{"issue":{"subject":"","project_id":79,"tracker_id":40,"status_id":1,"priority_id":2,"assigned_to_id":338,"start_date":"2018-01-03","description":"","custom_fields":[{"id":1,"name":"Subdivision","value":"EC"},{"id":4,"name":"Milepost","value":"0.0001"},{"id":17,"name":"Train ID","value":"178-03"},{"id":16,"name":"Locomotive ID","value":"4003"},{"id":130,"name":"Impact","value":""},{"id":150,"name":"Time of Event (Mountain Time)","value":"14:50:53"},{"id":151,"name":"Denver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/c/Users/stu/AppData/Local/Temp/OnboardLogs/RTDC4003 --include="*4003*201801032*"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"%USERPROFILE%\AppData\Local\Temp\OnboardLogs"\RTDC4003\*4003*201801032* &gt;&gt; 2018-01-03-SliceDisagreementCheck.txt</v>
      </c>
      <c r="AE22" s="144" t="str">
        <f t="shared" si="1"/>
        <v>start /low /b %USERPROFILE%\Documents\GitHub\eaglep3\Utilities\DownloadLogsFromS3.py --loco 4003 --day 2018-01-03</v>
      </c>
      <c r="AF22" s="1"/>
    </row>
    <row r="23" spans="1:32" x14ac:dyDescent="0.3">
      <c r="A23" s="31">
        <v>43103.224965277775</v>
      </c>
      <c r="B23" s="30" t="s">
        <v>570</v>
      </c>
      <c r="C23" s="30" t="s">
        <v>637</v>
      </c>
      <c r="D23" s="30" t="s">
        <v>49</v>
      </c>
      <c r="E23" s="30" t="s">
        <v>354</v>
      </c>
      <c r="F23" s="42">
        <v>0</v>
      </c>
      <c r="G23" s="42">
        <v>54</v>
      </c>
      <c r="H23" s="42">
        <v>4815</v>
      </c>
      <c r="I23" s="42">
        <v>4740</v>
      </c>
      <c r="J23" s="30" t="s">
        <v>355</v>
      </c>
      <c r="K23" s="42">
        <v>4798</v>
      </c>
      <c r="L23" s="131" t="s">
        <v>51</v>
      </c>
      <c r="M23" s="132">
        <f>CONVERT((I23-K23)/10000,"mi","ft")*IF(L23="Increasing Mileposts (1)",-1,1)</f>
        <v>-30.623999999999999</v>
      </c>
      <c r="N23" s="133" t="str">
        <f>VLOOKUP(C23,'Trips&amp;Operators'!$C$1:$G$99911,5,FALSE)</f>
        <v>LAMAR NEKESHA</v>
      </c>
      <c r="O23" s="175" t="s">
        <v>348</v>
      </c>
      <c r="P23" s="239" t="s">
        <v>1125</v>
      </c>
      <c r="Q23" s="30"/>
      <c r="R23" s="81" t="str">
        <f>VLOOKUP(C23,'Train Runs'!$A$13:$AE$10210,31,0)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S23" s="84" t="str">
        <f>VLOOKUP(C23,'Train Runs'!$A$13:$AE$10210,22,0)</f>
        <v>https://d0f6bd738d7f1b3e5a7ca70fe4ff75f0.us-east-1.aws.found.io/app/kibana#/discover/Steve-Slow-Train-Analysis-(2080s-and-2083s)?_g=(refreshInterval:(display:Off,pause:!f,section:0,value:0),time:(from:'2018-01-03T04:09:20-0700',mode:absolute,to:'2018-01-03T06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/stypes="*4013*201801031*" /stext=" 12:.+((SYSTEM_STATE.+slice.+state.+changed )|(ment ac)|(multiple cpu faults)|(system.+state.+changed )|(\[timeout)|(PRM\|1\|D)|(kpr)|(kdp)|(train st.+moving)|(\|lc)|(penalty))"</v>
      </c>
      <c r="U23" s="9" t="str">
        <f>MID(B23,13,4)</f>
        <v>4013</v>
      </c>
      <c r="V23" s="31">
        <f>A23-utc_offset/24</f>
        <v>43103.51663194444</v>
      </c>
      <c r="W23" s="45" t="str">
        <f>DetSubdiv(C23)</f>
        <v>NW</v>
      </c>
      <c r="X23" s="228">
        <f>VALUE(LEFT(C23,LEN(C23)-3))</f>
        <v>800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overpass","project_id":79,"tracker_id":40,"status_id":1,"priority_id":2,"assigned_to_id":338,"start_date":"2018-01-03","description":"","custom_fields":[{"id":1,"name":"Subdivision","value":"NW"},{"id":4,"name":"Milepost","value":"0.4798"},{"id":17,"name":"Train ID","value":"800-03"},{"id":16,"name":"Locomotive ID","value":"4013"},{"id":130,"name":"Impact","value":""},{"id":150,"name":"Time of Event (Mountain Time)","value":"05:23:57"},{"id":151,"name":"Denver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/c/Users/stu/AppData/Local/Temp/OnboardLogs/RTDC4013 --include="*4013*201801031*"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"%USERPROFILE%\AppData\Local\Temp\OnboardLogs"\RTDC4013\*4013*201801031* &gt;&gt; 2018-01-03-SliceDisagreementCheck.txt</v>
      </c>
      <c r="AE23" s="144" t="str">
        <f t="shared" si="1"/>
        <v>start /low /b %USERPROFILE%\Documents\GitHub\eaglep3\Utilities\DownloadLogsFromS3.py --loco 4013 --day 2018-01-03</v>
      </c>
      <c r="AF23" s="1"/>
    </row>
    <row r="24" spans="1:32" s="223" customFormat="1" x14ac:dyDescent="0.3">
      <c r="A24" s="31">
        <v>43103.349780092591</v>
      </c>
      <c r="B24" s="30" t="s">
        <v>570</v>
      </c>
      <c r="C24" s="30" t="s">
        <v>725</v>
      </c>
      <c r="D24" s="30" t="s">
        <v>49</v>
      </c>
      <c r="E24" s="30" t="s">
        <v>354</v>
      </c>
      <c r="F24" s="42">
        <v>0</v>
      </c>
      <c r="G24" s="42">
        <v>74</v>
      </c>
      <c r="H24" s="42">
        <v>4776</v>
      </c>
      <c r="I24" s="42">
        <v>4686</v>
      </c>
      <c r="J24" s="30"/>
      <c r="K24" s="42">
        <v>4798</v>
      </c>
      <c r="L24" s="131" t="s">
        <v>51</v>
      </c>
      <c r="M24" s="132">
        <f>CONVERT((I24-K24)/10000,"mi","ft")*IF(L24="Increasing Mileposts (1)",-1,1)</f>
        <v>-59.136000000000003</v>
      </c>
      <c r="N24" s="133" t="str">
        <f>VLOOKUP(C24,'Trips&amp;Operators'!$C$1:$G$99911,5,FALSE)</f>
        <v>LAMAR NEKESHA</v>
      </c>
      <c r="O24" s="175" t="s">
        <v>348</v>
      </c>
      <c r="P24" s="239" t="s">
        <v>1125</v>
      </c>
      <c r="Q24" s="30"/>
      <c r="R24" s="81"/>
      <c r="S24" s="84"/>
      <c r="T24" s="86"/>
      <c r="U24" s="9"/>
      <c r="V24" s="31"/>
      <c r="W24" s="45"/>
      <c r="X24" s="228"/>
      <c r="Y24" s="238"/>
      <c r="Z24" s="158"/>
      <c r="AA24" s="231"/>
      <c r="AB24" s="231"/>
      <c r="AC24" s="115"/>
      <c r="AD24" s="1"/>
      <c r="AE24" s="144"/>
      <c r="AF24" s="1"/>
    </row>
    <row r="25" spans="1:32" x14ac:dyDescent="0.3">
      <c r="A25" s="31">
        <v>43103.704097222224</v>
      </c>
      <c r="B25" s="30" t="s">
        <v>569</v>
      </c>
      <c r="C25" s="30" t="s">
        <v>658</v>
      </c>
      <c r="D25" s="30" t="s">
        <v>49</v>
      </c>
      <c r="E25" s="30" t="s">
        <v>354</v>
      </c>
      <c r="F25" s="42">
        <v>0</v>
      </c>
      <c r="G25" s="42">
        <v>86</v>
      </c>
      <c r="H25" s="42">
        <v>4841</v>
      </c>
      <c r="I25" s="42">
        <v>4705</v>
      </c>
      <c r="J25" s="30" t="s">
        <v>355</v>
      </c>
      <c r="K25" s="42">
        <v>4798</v>
      </c>
      <c r="L25" s="131" t="s">
        <v>51</v>
      </c>
      <c r="M25" s="132">
        <f>CONVERT((I25-K25)/10000,"mi","ft")*IF(L25="Increasing Mileposts (1)",-1,1)</f>
        <v>-49.103999999999999</v>
      </c>
      <c r="N25" s="133" t="str">
        <f>VLOOKUP(C25,'Trips&amp;Operators'!$C$1:$G$99911,5,FALSE)</f>
        <v>LEVERE CRAIG</v>
      </c>
      <c r="O25" s="175" t="s">
        <v>348</v>
      </c>
      <c r="P25" s="239" t="s">
        <v>1125</v>
      </c>
      <c r="Q25" s="30"/>
      <c r="R25" s="81" t="str">
        <f>VLOOKUP(C25,'Train Runs'!$A$13:$AE$10210,31,0)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S25" s="84" t="str">
        <f>VLOOKUP(C25,'Train Runs'!$A$13:$AE$10210,22,0)</f>
        <v>https://d0f6bd738d7f1b3e5a7ca70fe4ff75f0.us-east-1.aws.found.io/app/kibana#/discover/Steve-Slow-Train-Analysis-(2080s-and-2083s)?_g=(refreshInterval:(display:Off,pause:!f,section:0,value:0),time:(from:'2018-01-03T15:38:59-0700',mode:absolute,to:'2018-01-03T17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/stypes="*4063*201801032*" /stext=" 23:.+((SYSTEM_STATE.+slice.+state.+changed )|(ment ac)|(multiple cpu faults)|(system.+state.+changed )|(\[timeout)|(PRM\|1\|D)|(kpr)|(kdp)|(train st.+moving)|(\|lc)|(penalty))"</v>
      </c>
      <c r="U25" s="9" t="str">
        <f>MID(B25,13,4)</f>
        <v>4063</v>
      </c>
      <c r="V25" s="31">
        <f>A25-utc_offset/24</f>
        <v>43103.995763888888</v>
      </c>
      <c r="W25" s="45" t="str">
        <f>DetSubdiv(C25)</f>
        <v>NW</v>
      </c>
      <c r="X25" s="228">
        <f>VALUE(LEFT(C25,LEN(C25)-3))</f>
        <v>830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overpass","project_id":79,"tracker_id":40,"status_id":1,"priority_id":2,"assigned_to_id":338,"start_date":"2018-01-03","description":"","custom_fields":[{"id":1,"name":"Subdivision","value":"NW"},{"id":4,"name":"Milepost","value":"0.4798"},{"id":17,"name":"Train ID","value":"830-03"},{"id":16,"name":"Locomotive ID","value":"4063"},{"id":130,"name":"Impact","value":""},{"id":150,"name":"Time of Event (Mountain Time)","value":"16:53:54"},{"id":151,"name":"Denver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/c/Users/stu/AppData/Local/Temp/OnboardLogs/RTDC4063 --include="*4063*201801032*"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"%USERPROFILE%\AppData\Local\Temp\OnboardLogs"\RTDC4063\*4063*201801032* &gt;&gt; 2018-01-03-SliceDisagreementCheck.txt</v>
      </c>
      <c r="AE25" s="144" t="str">
        <f t="shared" si="1"/>
        <v>start /low /b %USERPROFILE%\Documents\GitHub\eaglep3\Utilities\DownloadLogsFromS3.py --loco 4063 --day 2018-01-03</v>
      </c>
      <c r="AF25" s="1"/>
    </row>
    <row r="26" spans="1:32" x14ac:dyDescent="0.3">
      <c r="A26" s="31">
        <v>43103.419710648152</v>
      </c>
      <c r="B26" s="30" t="s">
        <v>543</v>
      </c>
      <c r="C26" s="30" t="s">
        <v>646</v>
      </c>
      <c r="D26" s="30" t="s">
        <v>95</v>
      </c>
      <c r="E26" s="30" t="s">
        <v>183</v>
      </c>
      <c r="F26" s="42">
        <v>0</v>
      </c>
      <c r="G26" s="42">
        <v>95</v>
      </c>
      <c r="H26" s="42">
        <v>80459</v>
      </c>
      <c r="I26" s="42">
        <v>80339</v>
      </c>
      <c r="J26" s="30" t="s">
        <v>184</v>
      </c>
      <c r="K26" s="42">
        <v>80485</v>
      </c>
      <c r="L26" s="131" t="s">
        <v>51</v>
      </c>
      <c r="M26" s="132">
        <f>CONVERT((I26-K26)/10000,"mi","ft")*IF(L26="Increasing Mileposts (1)",-1,1)</f>
        <v>-77.087999999999994</v>
      </c>
      <c r="N26" s="133" t="str">
        <f>VLOOKUP(C26,'Trips&amp;Operators'!$C$1:$G$99911,5,FALSE)</f>
        <v>FORTUNATO FRANK</v>
      </c>
      <c r="O26" s="175" t="s">
        <v>178</v>
      </c>
      <c r="P26" s="239"/>
      <c r="Q26" s="30"/>
      <c r="R26" s="81" t="str">
        <f>VLOOKUP(C26,'Train Runs'!$A$13:$AE$10210,31,0)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S26" s="84" t="str">
        <f>VLOOKUP(C26,'Train Runs'!$A$13:$AE$10210,22,0)</f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/stypes="*4025*201801031*" /stext=" 17:.+((SYSTEM_STATE.+slice.+state.+changed )|(ment ac)|(multiple cpu faults)|(system.+state.+changed )|(\[timeout)|(PRM\|1\|D)|(kpr)|(kdp)|(train st.+moving)|(\|lc)|(penalty))"</v>
      </c>
      <c r="U26" s="9" t="str">
        <f>MID(B26,13,4)</f>
        <v>4025</v>
      </c>
      <c r="V26" s="31">
        <f>A26-utc_offset/24</f>
        <v>43103.711377314816</v>
      </c>
      <c r="W26" s="45" t="str">
        <f>DetSubdiv(C26)</f>
        <v>Shuttle/Test</v>
      </c>
      <c r="X26" s="228">
        <f>VALUE(LEFT(C26,LEN(C26)-3))</f>
        <v>72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8.0485"},{"id":17,"name":"Train ID","value":"72-03"},{"id":16,"name":"Locomotive ID","value":"4025"},{"id":130,"name":"Impact","value":""},{"id":150,"name":"Time of Event (Mountain Time)","value":"10:04:23"},{"id":151,"name":"Denver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/c/Users/stu/AppData/Local/Temp/OnboardLogs/RTDC4025 --include="*4025*201801031*"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"%USERPROFILE%\AppData\Local\Temp\OnboardLogs"\RTDC4025\*4025*201801031* &gt;&gt; 2018-01-03-SliceDisagreementCheck.txt</v>
      </c>
      <c r="AE26" s="144" t="str">
        <f t="shared" si="1"/>
        <v>start /low /b %USERPROFILE%\Documents\GitHub\eaglep3\Utilities\DownloadLogsFromS3.py --loco 4025 --day 2018-01-03</v>
      </c>
      <c r="AF26" s="1"/>
    </row>
    <row r="27" spans="1:32" x14ac:dyDescent="0.3">
      <c r="A27" s="31">
        <v>43103.682916666665</v>
      </c>
      <c r="B27" s="30" t="s">
        <v>543</v>
      </c>
      <c r="C27" s="30" t="s">
        <v>646</v>
      </c>
      <c r="D27" s="30" t="s">
        <v>95</v>
      </c>
      <c r="E27" s="30" t="s">
        <v>190</v>
      </c>
      <c r="F27" s="42">
        <v>300</v>
      </c>
      <c r="G27" s="42">
        <v>352</v>
      </c>
      <c r="H27" s="42">
        <v>21329</v>
      </c>
      <c r="I27" s="42">
        <v>20579</v>
      </c>
      <c r="J27" s="30" t="s">
        <v>191</v>
      </c>
      <c r="K27" s="42">
        <v>23491</v>
      </c>
      <c r="L27" s="131" t="s">
        <v>51</v>
      </c>
      <c r="M27" s="132">
        <f>CONVERT((I27-K27)/10000,"mi","ft")*IF(L27="Increasing Mileposts (1)",-1,1)</f>
        <v>-1537.5360000000001</v>
      </c>
      <c r="N27" s="133" t="str">
        <f>VLOOKUP(C27,'Trips&amp;Operators'!$C$1:$G$99911,5,FALSE)</f>
        <v>FORTUNATO FRANK</v>
      </c>
      <c r="O27" s="175" t="s">
        <v>178</v>
      </c>
      <c r="P27" s="239"/>
      <c r="Q27" s="30"/>
      <c r="R27" s="81" t="str">
        <f>VLOOKUP(C27,'Train Runs'!$A$13:$AE$10210,31,0)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S27" s="84" t="str">
        <f>VLOOKUP(C27,'Train Runs'!$A$13:$AE$10210,22,0)</f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/stypes="*4025*201801032*" /stext=" 23:.+((SYSTEM_STATE.+slice.+state.+changed )|(ment ac)|(multiple cpu faults)|(system.+state.+changed )|(\[timeout)|(PRM\|1\|D)|(kpr)|(kdp)|(train st.+moving)|(\|lc)|(penalty))"</v>
      </c>
      <c r="U27" s="9" t="str">
        <f>MID(B27,13,4)</f>
        <v>4025</v>
      </c>
      <c r="V27" s="31">
        <f>A27-utc_offset/24</f>
        <v>43103.974583333329</v>
      </c>
      <c r="W27" s="45" t="str">
        <f>DetSubdiv(C27)</f>
        <v>Shuttle/Test</v>
      </c>
      <c r="X27" s="228">
        <f>VALUE(LEFT(C27,LEN(C27)-3))</f>
        <v>72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2.3491"},{"id":17,"name":"Train ID","value":"72-03"},{"id":16,"name":"Locomotive ID","value":"4025"},{"id":130,"name":"Impact","value":""},{"id":150,"name":"Time of Event (Mountain Time)","value":"16:23:24"},{"id":151,"name":"Denver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/c/Users/stu/AppData/Local/Temp/OnboardLogs/RTDC4025 --include="*4025*201801032*"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"%USERPROFILE%\AppData\Local\Temp\OnboardLogs"\RTDC4025\*4025*201801032* &gt;&gt; 2018-01-03-SliceDisagreementCheck.txt</v>
      </c>
      <c r="AE27" s="144" t="str">
        <f t="shared" si="1"/>
        <v>start /low /b %USERPROFILE%\Documents\GitHub\eaglep3\Utilities\DownloadLogsFromS3.py --loco 4025 --day 2018-01-03</v>
      </c>
      <c r="AF27" s="1"/>
    </row>
    <row r="28" spans="1:32" x14ac:dyDescent="0.3">
      <c r="A28" s="31">
        <v>43103.385000000002</v>
      </c>
      <c r="B28" s="30" t="s">
        <v>543</v>
      </c>
      <c r="C28" s="30" t="s">
        <v>644</v>
      </c>
      <c r="D28" s="30" t="s">
        <v>49</v>
      </c>
      <c r="E28" s="30" t="s">
        <v>190</v>
      </c>
      <c r="F28" s="42">
        <v>300</v>
      </c>
      <c r="G28" s="42">
        <v>351</v>
      </c>
      <c r="H28" s="42">
        <v>81541</v>
      </c>
      <c r="I28" s="42">
        <v>79288</v>
      </c>
      <c r="J28" s="30" t="s">
        <v>191</v>
      </c>
      <c r="K28" s="42">
        <v>80701</v>
      </c>
      <c r="L28" s="131" t="s">
        <v>51</v>
      </c>
      <c r="M28" s="132">
        <f>CONVERT((I28-K28)/10000,"mi","ft")*IF(L28="Increasing Mileposts (1)",-1,1)</f>
        <v>-746.06399999999996</v>
      </c>
      <c r="N28" s="133" t="str">
        <f>VLOOKUP(C28,'Trips&amp;Operators'!$C$1:$G$99911,5,FALSE)</f>
        <v>BROWN JACOB</v>
      </c>
      <c r="O28" s="175" t="s">
        <v>178</v>
      </c>
      <c r="P28" s="239"/>
      <c r="Q28" s="30"/>
      <c r="R28" s="81" t="str">
        <f>VLOOKUP(C28,'Train Runs'!$A$13:$AE$10210,31,0)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S28" s="84" t="str">
        <f>VLOOKUP(C28,'Train Runs'!$A$13:$AE$10210,22,0)</f>
        <v>https://d0f6bd738d7f1b3e5a7ca70fe4ff75f0.us-east-1.aws.found.io/app/kibana#/discover/Steve-Slow-Train-Analysis-(2080s-and-2083s)?_g=(refreshInterval:(display:Off,pause:!f,section:0,value:0),time:(from:'2018-01-03T07:56:03-0700',mode:absolute,to:'2018-01-03T10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/stypes="*4025*201801031*" /stext=" 16:.+((SYSTEM_STATE.+slice.+state.+changed )|(ment ac)|(multiple cpu faults)|(system.+state.+changed )|(\[timeout)|(PRM\|1\|D)|(kpr)|(kdp)|(train st.+moving)|(\|lc)|(penalty))"</v>
      </c>
      <c r="U28" s="9" t="str">
        <f>MID(B28,13,4)</f>
        <v>4025</v>
      </c>
      <c r="V28" s="31">
        <f>A28-utc_offset/24</f>
        <v>43103.676666666666</v>
      </c>
      <c r="W28" s="45" t="str">
        <f>DetSubdiv(C28)</f>
        <v>Shuttle/Test</v>
      </c>
      <c r="X28" s="228">
        <f>VALUE(LEFT(C28,LEN(C28)-3))</f>
        <v>68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8.0701"},{"id":17,"name":"Train ID","value":"68-03"},{"id":16,"name":"Locomotive ID","value":"4025"},{"id":130,"name":"Impact","value":""},{"id":150,"name":"Time of Event (Mountain Time)","value":"09:14:24"},{"id":151,"name":"Denver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/c/Users/stu/AppData/Local/Temp/OnboardLogs/RTDC4025 --include="*4025*201801031*"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"%USERPROFILE%\AppData\Local\Temp\OnboardLogs"\RTDC4025\*4025*201801031* &gt;&gt; 2018-01-03-SliceDisagreementCheck.txt</v>
      </c>
      <c r="AE28" s="144" t="str">
        <f t="shared" si="1"/>
        <v>start /low /b %USERPROFILE%\Documents\GitHub\eaglep3\Utilities\DownloadLogsFromS3.py --loco 4025 --day 2018-01-03</v>
      </c>
      <c r="AF28" s="1"/>
    </row>
    <row r="29" spans="1:32" x14ac:dyDescent="0.3">
      <c r="A29" s="31">
        <v>43103.506168981483</v>
      </c>
      <c r="B29" s="30" t="s">
        <v>542</v>
      </c>
      <c r="C29" s="30" t="s">
        <v>645</v>
      </c>
      <c r="D29" s="30" t="s">
        <v>49</v>
      </c>
      <c r="E29" s="30" t="s">
        <v>190</v>
      </c>
      <c r="F29" s="42">
        <v>150</v>
      </c>
      <c r="G29" s="42">
        <v>297</v>
      </c>
      <c r="H29" s="42">
        <v>108527</v>
      </c>
      <c r="I29" s="42">
        <v>109254</v>
      </c>
      <c r="J29" s="30" t="s">
        <v>191</v>
      </c>
      <c r="K29" s="42">
        <v>109686</v>
      </c>
      <c r="L29" s="131" t="s">
        <v>50</v>
      </c>
      <c r="M29" s="132">
        <f>CONVERT((I29-K29)/10000,"mi","ft")*IF(L29="Increasing Mileposts (1)",-1,1)</f>
        <v>228.096</v>
      </c>
      <c r="N29" s="133" t="str">
        <f>VLOOKUP(C29,'Trips&amp;Operators'!$C$1:$G$99911,5,FALSE)</f>
        <v>FORTUNATO FRANK</v>
      </c>
      <c r="O29" s="175" t="s">
        <v>178</v>
      </c>
      <c r="P29" s="239"/>
      <c r="Q29" s="30"/>
      <c r="R29" s="81" t="str">
        <f>VLOOKUP(C29,'Train Runs'!$A$13:$AE$10210,31,0)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S29" s="84" t="str">
        <f>VLOOKUP(C29,'Train Runs'!$A$13:$AE$10210,22,0)</f>
        <v>https://d0f6bd738d7f1b3e5a7ca70fe4ff75f0.us-east-1.aws.found.io/app/kibana#/discover/Steve-Slow-Train-Analysis-(2080s-and-2083s)?_g=(refreshInterval:(display:Off,pause:!f,section:0,value:0),time:(from:'2018-01-03T08:25:51-0700',mode:absolute,to:'2018-01-03T10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/stypes="*4026*201801031*" /stext=" 19:.+((SYSTEM_STATE.+slice.+state.+changed )|(ment ac)|(multiple cpu faults)|(system.+state.+changed )|(\[timeout)|(PRM\|1\|D)|(kpr)|(kdp)|(train st.+moving)|(\|lc)|(penalty))"</v>
      </c>
      <c r="U29" s="9" t="str">
        <f>MID(B29,13,4)</f>
        <v>4026</v>
      </c>
      <c r="V29" s="31">
        <f>A29-utc_offset/24</f>
        <v>43103.797835648147</v>
      </c>
      <c r="W29" s="45" t="str">
        <f>DetSubdiv(C29)</f>
        <v>Shuttle/Test</v>
      </c>
      <c r="X29" s="228">
        <f>VALUE(LEFT(C29,LEN(C29)-3))</f>
        <v>71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10.9686"},{"id":17,"name":"Train ID","value":"71-03"},{"id":16,"name":"Locomotive ID","value":"4026"},{"id":130,"name":"Impact","value":""},{"id":150,"name":"Time of Event (Mountain Time)","value":"12:08:53"},{"id":151,"name":"Denver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/c/Users/stu/AppData/Local/Temp/OnboardLogs/RTDC4026 --include="*4026*201801031*"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"%USERPROFILE%\AppData\Local\Temp\OnboardLogs"\RTDC4026\*4026*201801031* &gt;&gt; 2018-01-03-SliceDisagreementCheck.txt</v>
      </c>
      <c r="AE29" s="144" t="str">
        <f t="shared" si="1"/>
        <v>start /low /b %USERPROFILE%\Documents\GitHub\eaglep3\Utilities\DownloadLogsFromS3.py --loco 4026 --day 2018-01-03</v>
      </c>
      <c r="AF29" s="1"/>
    </row>
    <row r="30" spans="1:32" x14ac:dyDescent="0.3">
      <c r="A30" s="31">
        <v>43103.707013888888</v>
      </c>
      <c r="B30" s="30" t="s">
        <v>542</v>
      </c>
      <c r="C30" s="30" t="s">
        <v>650</v>
      </c>
      <c r="D30" s="30" t="s">
        <v>49</v>
      </c>
      <c r="E30" s="30" t="s">
        <v>190</v>
      </c>
      <c r="F30" s="42">
        <v>150</v>
      </c>
      <c r="G30" s="42">
        <v>230</v>
      </c>
      <c r="H30" s="42">
        <v>109126</v>
      </c>
      <c r="I30" s="42">
        <v>109448</v>
      </c>
      <c r="J30" s="30" t="s">
        <v>191</v>
      </c>
      <c r="K30" s="42">
        <v>109686</v>
      </c>
      <c r="L30" s="131" t="s">
        <v>50</v>
      </c>
      <c r="M30" s="132">
        <f>CONVERT((I30-K30)/10000,"mi","ft")*IF(L30="Increasing Mileposts (1)",-1,1)</f>
        <v>125.664</v>
      </c>
      <c r="N30" s="133" t="str">
        <f>VLOOKUP(C30,'Trips&amp;Operators'!$C$1:$G$99911,5,FALSE)</f>
        <v>BROWN JACOB</v>
      </c>
      <c r="O30" s="175" t="s">
        <v>178</v>
      </c>
      <c r="P30" s="239"/>
      <c r="Q30" s="30"/>
      <c r="R30" s="81" t="str">
        <f>VLOOKUP(C30,'Train Runs'!$A$13:$AE$10210,31,0)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S30" s="84" t="str">
        <f>VLOOKUP(C30,'Train Runs'!$A$13:$AE$10210,22,0)</f>
        <v>https://d0f6bd738d7f1b3e5a7ca70fe4ff75f0.us-east-1.aws.found.io/app/kibana#/discover/Steve-Slow-Train-Analysis-(2080s-and-2083s)?_g=(refreshInterval:(display:Off,pause:!f,section:0,value:0),time:(from:'2018-01-03T07:24:43-0700',mode:absolute,to:'2018-01-03T09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/stypes="*4026*201801032*" /stext=" 23:.+((SYSTEM_STATE.+slice.+state.+changed )|(ment ac)|(multiple cpu faults)|(system.+state.+changed )|(\[timeout)|(PRM\|1\|D)|(kpr)|(kdp)|(train st.+moving)|(\|lc)|(penalty))"</v>
      </c>
      <c r="U30" s="9" t="str">
        <f>MID(B30,13,4)</f>
        <v>4026</v>
      </c>
      <c r="V30" s="31">
        <f>A30-utc_offset/24</f>
        <v>43103.998680555553</v>
      </c>
      <c r="W30" s="45" t="str">
        <f>DetSubdiv(C30)</f>
        <v>Shuttle/Test</v>
      </c>
      <c r="X30" s="228">
        <f>VALUE(LEFT(C30,LEN(C30)-3))</f>
        <v>67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10.9686"},{"id":17,"name":"Train ID","value":"67-03"},{"id":16,"name":"Locomotive ID","value":"4026"},{"id":130,"name":"Impact","value":""},{"id":150,"name":"Time of Event (Mountain Time)","value":"16:58:06"},{"id":151,"name":"Denver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/c/Users/stu/AppData/Local/Temp/OnboardLogs/RTDC4026 --include="*4026*201801032*"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"%USERPROFILE%\AppData\Local\Temp\OnboardLogs"\RTDC4026\*4026*201801032* &gt;&gt; 2018-01-03-SliceDisagreementCheck.txt</v>
      </c>
      <c r="AE30" s="144" t="str">
        <f t="shared" si="1"/>
        <v>start /low /b %USERPROFILE%\Documents\GitHub\eaglep3\Utilities\DownloadLogsFromS3.py --loco 4026 --day 2018-01-03</v>
      </c>
      <c r="AF30" s="1"/>
    </row>
  </sheetData>
  <autoFilter ref="A6:AC15">
    <sortState ref="A7:AC30">
      <sortCondition ref="W7:W30"/>
      <sortCondition ref="E7:E30"/>
      <sortCondition ref="K7:K30"/>
      <sortCondition ref="F7:F30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4" sqref="E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2018-01-03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192</v>
      </c>
      <c r="B3" s="42" t="str">
        <f>A3&amp;"-"&amp;IF(DAY(Variables!$A$2)&lt;10,0,"")&amp;DAY(Variables!$A$2)</f>
        <v>192-03</v>
      </c>
      <c r="C3" s="134"/>
      <c r="D3" s="152" t="e">
        <f>VLOOKUP(B3,'Trips&amp;Operators'!$C$1:$H$1072,6,FALSE)</f>
        <v>#N/A</v>
      </c>
      <c r="E3" s="30" t="s">
        <v>1126</v>
      </c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-03%22)),sort:!(Time.ISO8601,asc))</v>
      </c>
      <c r="J3" s="30" t="str">
        <f>VLOOKUP(B3,'Train Runs'!$A$13:$A$100207,1,FALSE)</f>
        <v>192-03</v>
      </c>
    </row>
    <row r="4" spans="1:10" x14ac:dyDescent="0.3">
      <c r="A4" s="197"/>
      <c r="B4" s="42" t="str">
        <f>A4&amp;"-"&amp;IF(DAY(Variables!$A$2)&lt;10,0,"")&amp;DAY(Variables!$A$2)</f>
        <v>-03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Runs'!$A$13:$A$100207,1,FALSE)</f>
        <v>#N/A</v>
      </c>
    </row>
    <row r="5" spans="1:10" x14ac:dyDescent="0.3">
      <c r="A5" s="197"/>
      <c r="B5" s="42" t="str">
        <f>A5&amp;"-"&amp;IF(DAY(Variables!$A$2)&lt;10,0,"")&amp;DAY(Variables!$A$2)</f>
        <v>-03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Runs'!$A$13:$A$100207,1,FALSE)</f>
        <v>#N/A</v>
      </c>
    </row>
    <row r="6" spans="1:10" x14ac:dyDescent="0.3">
      <c r="A6" s="197"/>
      <c r="B6" s="42" t="str">
        <f>A6&amp;"-"&amp;IF(DAY(Variables!$A$2)&lt;10,0,"")&amp;DAY(Variables!$A$2)</f>
        <v>-03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Runs'!$A$13:$A$100207,1,FALSE)</f>
        <v>#N/A</v>
      </c>
    </row>
    <row r="7" spans="1:10" x14ac:dyDescent="0.3">
      <c r="A7" s="197"/>
      <c r="B7" s="42" t="str">
        <f>A7&amp;"-"&amp;IF(DAY(Variables!$A$2)&lt;10,0,"")&amp;DAY(Variables!$A$2)</f>
        <v>-03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Runs'!$A$13:$A$100207,1,FALSE)</f>
        <v>#N/A</v>
      </c>
    </row>
    <row r="8" spans="1:10" x14ac:dyDescent="0.3">
      <c r="A8" s="197"/>
      <c r="B8" s="42" t="str">
        <f>A8&amp;"-"&amp;IF(DAY(Variables!$A$2)&lt;10,0,"")&amp;DAY(Variables!$A$2)</f>
        <v>-03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Runs'!$A$13:$A$100207,1,FALSE)</f>
        <v>#N/A</v>
      </c>
    </row>
    <row r="9" spans="1:10" x14ac:dyDescent="0.3">
      <c r="A9" s="197"/>
      <c r="B9" s="42" t="str">
        <f>A9&amp;"-"&amp;IF(DAY(Variables!$A$2)&lt;10,0,"")&amp;DAY(Variables!$A$2)</f>
        <v>-03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Runs'!$A$13:$A$100207,1,FALSE)</f>
        <v>#N/A</v>
      </c>
    </row>
    <row r="10" spans="1:10" x14ac:dyDescent="0.3">
      <c r="A10" s="197"/>
      <c r="B10" s="42" t="str">
        <f>A10&amp;"-"&amp;IF(DAY(Variables!$A$2)&lt;10,0,"")&amp;DAY(Variables!$A$2)</f>
        <v>-03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Runs'!$A$13:$A$100207,1,FALSE)</f>
        <v>#N/A</v>
      </c>
    </row>
    <row r="11" spans="1:10" x14ac:dyDescent="0.3">
      <c r="A11" s="197"/>
      <c r="B11" s="42" t="str">
        <f>A11&amp;"-"&amp;IF(DAY(Variables!$A$2)&lt;10,0,"")&amp;DAY(Variables!$A$2)</f>
        <v>-03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Runs'!$A$13:$A$100207,1,FALSE)</f>
        <v>#N/A</v>
      </c>
    </row>
    <row r="12" spans="1:10" x14ac:dyDescent="0.3">
      <c r="A12" s="197"/>
      <c r="B12" s="42" t="str">
        <f>A12&amp;"-"&amp;IF(DAY(Variables!$A$2)&lt;10,0,"")&amp;DAY(Variables!$A$2)</f>
        <v>-03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Runs'!$A$13:$A$100207,1,FALSE)</f>
        <v>#N/A</v>
      </c>
    </row>
    <row r="13" spans="1:10" x14ac:dyDescent="0.3">
      <c r="A13" s="197"/>
      <c r="B13" s="42" t="str">
        <f>A13&amp;"-"&amp;IF(DAY(Variables!$A$2)&lt;10,0,"")&amp;DAY(Variables!$A$2)</f>
        <v>-03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Runs'!$A$13:$A$100207,1,FALSE)</f>
        <v>#N/A</v>
      </c>
    </row>
    <row r="14" spans="1:10" x14ac:dyDescent="0.3">
      <c r="A14" s="197"/>
      <c r="B14" s="42" t="str">
        <f>A14&amp;"-"&amp;IF(DAY(Variables!$A$2)&lt;10,0,"")&amp;DAY(Variables!$A$2)</f>
        <v>-03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Runs'!$A$13:$A$100207,1,FALSE)</f>
        <v>#N/A</v>
      </c>
    </row>
    <row r="15" spans="1:10" x14ac:dyDescent="0.3">
      <c r="A15" s="197"/>
      <c r="B15" s="42" t="str">
        <f>A15&amp;"-"&amp;IF(DAY(Variables!$A$2)&lt;10,0,"")&amp;DAY(Variables!$A$2)</f>
        <v>-03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Runs'!$A$13:$A$100207,1,FALSE)</f>
        <v>#N/A</v>
      </c>
    </row>
    <row r="16" spans="1:10" x14ac:dyDescent="0.3">
      <c r="A16" s="197"/>
      <c r="B16" s="42" t="str">
        <f>A16&amp;"-"&amp;IF(DAY(Variables!$A$2)&lt;10,0,"")&amp;DAY(Variables!$A$2)</f>
        <v>-03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Runs'!$A$13:$A$100207,1,FALSE)</f>
        <v>#N/A</v>
      </c>
    </row>
    <row r="17" spans="1:10" x14ac:dyDescent="0.3">
      <c r="A17" s="197"/>
      <c r="B17" s="42" t="str">
        <f>A17&amp;"-"&amp;IF(DAY(Variables!$A$2)&lt;10,0,"")&amp;DAY(Variables!$A$2)</f>
        <v>-03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Runs'!$A$13:$A$100207,1,FALSE)</f>
        <v>#N/A</v>
      </c>
    </row>
    <row r="18" spans="1:10" x14ac:dyDescent="0.3">
      <c r="A18" s="197"/>
      <c r="B18" s="42" t="str">
        <f>A18&amp;"-"&amp;IF(DAY(Variables!$A$2)&lt;10,0,"")&amp;DAY(Variables!$A$2)</f>
        <v>-03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Runs'!$A$13:$A$100207,1,FALSE)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4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43103.035324074073</v>
      </c>
      <c r="B2" s="20" t="s">
        <v>525</v>
      </c>
      <c r="C2" s="20" t="s">
        <v>664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4033</v>
      </c>
    </row>
    <row r="3" spans="1:8" x14ac:dyDescent="0.3">
      <c r="A3" s="8">
        <v>43103.047152777777</v>
      </c>
      <c r="B3" s="20" t="s">
        <v>665</v>
      </c>
      <c r="C3" s="20" t="s">
        <v>666</v>
      </c>
      <c r="D3" s="137">
        <v>3810000</v>
      </c>
      <c r="E3" s="20" t="s">
        <v>577</v>
      </c>
      <c r="F3" s="20" t="s">
        <v>578</v>
      </c>
      <c r="G3" s="8" t="str">
        <f t="shared" ref="G3:G66" si="0">E3&amp;" "&amp;F3</f>
        <v>LORI SANTOS</v>
      </c>
      <c r="H3" s="20" t="str">
        <f t="shared" ref="H3:H66" si="1">MID(B3,13,4)</f>
        <v>4040</v>
      </c>
    </row>
    <row r="4" spans="1:8" x14ac:dyDescent="0.3">
      <c r="A4" s="8">
        <v>43103.051099537035</v>
      </c>
      <c r="B4" s="20" t="s">
        <v>362</v>
      </c>
      <c r="C4" s="20" t="s">
        <v>667</v>
      </c>
      <c r="D4" s="137">
        <v>3310000</v>
      </c>
      <c r="E4" s="20" t="s">
        <v>477</v>
      </c>
      <c r="F4" s="20" t="s">
        <v>478</v>
      </c>
      <c r="G4" s="8" t="str">
        <f t="shared" si="0"/>
        <v>ANDERS STEVEN</v>
      </c>
      <c r="H4" s="20" t="str">
        <f t="shared" si="1"/>
        <v>4017</v>
      </c>
    </row>
    <row r="5" spans="1:8" x14ac:dyDescent="0.3">
      <c r="A5" s="8">
        <v>43103.069930555554</v>
      </c>
      <c r="B5" s="20" t="s">
        <v>668</v>
      </c>
      <c r="C5" s="20" t="s">
        <v>669</v>
      </c>
      <c r="D5" s="137">
        <v>3320000</v>
      </c>
      <c r="E5" s="20" t="s">
        <v>363</v>
      </c>
      <c r="F5" s="20" t="s">
        <v>364</v>
      </c>
      <c r="G5" s="8" t="str">
        <f t="shared" si="0"/>
        <v>NICHOLSON WESLEY</v>
      </c>
      <c r="H5" s="20" t="str">
        <f t="shared" si="1"/>
        <v>4034</v>
      </c>
    </row>
    <row r="6" spans="1:8" x14ac:dyDescent="0.3">
      <c r="A6" s="8">
        <v>43103.089155092595</v>
      </c>
      <c r="B6" s="20" t="s">
        <v>360</v>
      </c>
      <c r="C6" s="20" t="s">
        <v>670</v>
      </c>
      <c r="D6" s="137">
        <v>3310000</v>
      </c>
      <c r="E6" s="20" t="s">
        <v>477</v>
      </c>
      <c r="F6" s="20" t="s">
        <v>478</v>
      </c>
      <c r="G6" s="8" t="str">
        <f t="shared" si="0"/>
        <v>ANDERS STEVEN</v>
      </c>
      <c r="H6" s="20" t="str">
        <f t="shared" si="1"/>
        <v>4018</v>
      </c>
    </row>
    <row r="7" spans="1:8" x14ac:dyDescent="0.3">
      <c r="A7" s="8">
        <v>43103.119131944448</v>
      </c>
      <c r="B7" s="20" t="s">
        <v>501</v>
      </c>
      <c r="C7" s="20" t="s">
        <v>671</v>
      </c>
      <c r="D7" s="137">
        <v>3840000</v>
      </c>
      <c r="E7" s="20" t="s">
        <v>571</v>
      </c>
      <c r="F7" s="20" t="s">
        <v>572</v>
      </c>
      <c r="G7" s="8" t="str">
        <f t="shared" si="0"/>
        <v>LONG FULLER</v>
      </c>
      <c r="H7" s="20" t="str">
        <f t="shared" si="1"/>
        <v>4019</v>
      </c>
    </row>
    <row r="8" spans="1:8" x14ac:dyDescent="0.3">
      <c r="A8" s="8">
        <v>43103.120891203704</v>
      </c>
      <c r="B8" s="20" t="s">
        <v>501</v>
      </c>
      <c r="C8" s="20" t="s">
        <v>671</v>
      </c>
      <c r="D8" s="137">
        <v>3840000</v>
      </c>
      <c r="E8" s="20" t="s">
        <v>571</v>
      </c>
      <c r="F8" s="20" t="s">
        <v>572</v>
      </c>
      <c r="G8" s="8" t="str">
        <f t="shared" si="0"/>
        <v>LONG FULLER</v>
      </c>
      <c r="H8" s="20" t="str">
        <f t="shared" si="1"/>
        <v>4019</v>
      </c>
    </row>
    <row r="9" spans="1:8" ht="15" thickBot="1" x14ac:dyDescent="0.35">
      <c r="A9" s="24">
        <v>43103.129976851851</v>
      </c>
      <c r="B9" s="20" t="s">
        <v>502</v>
      </c>
      <c r="C9" s="20" t="s">
        <v>672</v>
      </c>
      <c r="D9" s="137">
        <v>1090000</v>
      </c>
      <c r="E9" s="20" t="s">
        <v>500</v>
      </c>
      <c r="F9" s="20" t="s">
        <v>352</v>
      </c>
      <c r="G9" s="8" t="str">
        <f t="shared" si="0"/>
        <v>SPECTOR MICHAEL</v>
      </c>
      <c r="H9" s="20" t="str">
        <f t="shared" si="1"/>
        <v>4020</v>
      </c>
    </row>
    <row r="10" spans="1:8" x14ac:dyDescent="0.3">
      <c r="A10" s="8">
        <v>43103.131203703706</v>
      </c>
      <c r="B10" s="20" t="s">
        <v>446</v>
      </c>
      <c r="C10" s="20" t="s">
        <v>673</v>
      </c>
      <c r="D10" s="137">
        <v>3840000</v>
      </c>
      <c r="E10" s="20" t="s">
        <v>571</v>
      </c>
      <c r="F10" s="20" t="s">
        <v>572</v>
      </c>
      <c r="G10" s="8" t="str">
        <f t="shared" si="0"/>
        <v>LONG FULLER</v>
      </c>
      <c r="H10" s="20" t="str">
        <f t="shared" si="1"/>
        <v>4042</v>
      </c>
    </row>
    <row r="11" spans="1:8" x14ac:dyDescent="0.3">
      <c r="A11" s="8">
        <v>43103.139907407407</v>
      </c>
      <c r="B11" s="20" t="s">
        <v>501</v>
      </c>
      <c r="C11" s="20" t="s">
        <v>674</v>
      </c>
      <c r="D11" s="137">
        <v>1090000</v>
      </c>
      <c r="E11" s="20" t="s">
        <v>500</v>
      </c>
      <c r="F11" s="20" t="s">
        <v>352</v>
      </c>
      <c r="G11" s="8" t="str">
        <f t="shared" si="0"/>
        <v>SPECTOR MICHAEL</v>
      </c>
      <c r="H11" s="20" t="str">
        <f t="shared" si="1"/>
        <v>4019</v>
      </c>
    </row>
    <row r="12" spans="1:8" x14ac:dyDescent="0.3">
      <c r="A12" s="8">
        <v>43103.139976851853</v>
      </c>
      <c r="B12" s="20" t="s">
        <v>443</v>
      </c>
      <c r="C12" s="20" t="s">
        <v>675</v>
      </c>
      <c r="D12" s="137">
        <v>3120000</v>
      </c>
      <c r="E12" s="20" t="s">
        <v>369</v>
      </c>
      <c r="F12" s="20" t="s">
        <v>676</v>
      </c>
      <c r="G12" s="8" t="str">
        <f t="shared" si="0"/>
        <v>THOMPSON LESTER</v>
      </c>
      <c r="H12" s="20" t="str">
        <f t="shared" si="1"/>
        <v>4049</v>
      </c>
    </row>
    <row r="13" spans="1:8" x14ac:dyDescent="0.3">
      <c r="A13" s="8">
        <v>43103.151076388887</v>
      </c>
      <c r="B13" s="20" t="s">
        <v>444</v>
      </c>
      <c r="C13" s="20" t="s">
        <v>677</v>
      </c>
      <c r="D13" s="137">
        <v>3120000</v>
      </c>
      <c r="E13" s="20" t="s">
        <v>369</v>
      </c>
      <c r="F13" s="20" t="s">
        <v>676</v>
      </c>
      <c r="G13" s="8" t="str">
        <f t="shared" si="0"/>
        <v>THOMPSON LESTER</v>
      </c>
      <c r="H13" s="20" t="str">
        <f t="shared" si="1"/>
        <v>4050</v>
      </c>
    </row>
    <row r="14" spans="1:8" x14ac:dyDescent="0.3">
      <c r="A14" s="8">
        <v>43103.160231481481</v>
      </c>
      <c r="B14" s="20" t="s">
        <v>648</v>
      </c>
      <c r="C14" s="20" t="s">
        <v>678</v>
      </c>
      <c r="D14" s="137">
        <v>3260000</v>
      </c>
      <c r="E14" s="20" t="s">
        <v>679</v>
      </c>
      <c r="F14" s="20" t="s">
        <v>680</v>
      </c>
      <c r="G14" s="8" t="str">
        <f t="shared" si="0"/>
        <v>PAGE MARCUS</v>
      </c>
      <c r="H14" s="20" t="str">
        <f t="shared" si="1"/>
        <v>4001</v>
      </c>
    </row>
    <row r="15" spans="1:8" x14ac:dyDescent="0.3">
      <c r="A15" s="8">
        <v>43103.167141203703</v>
      </c>
      <c r="B15" s="20" t="s">
        <v>524</v>
      </c>
      <c r="C15" s="20" t="s">
        <v>681</v>
      </c>
      <c r="D15" s="137">
        <v>3840000</v>
      </c>
      <c r="E15" s="20" t="s">
        <v>571</v>
      </c>
      <c r="F15" s="20" t="s">
        <v>572</v>
      </c>
      <c r="G15" s="8" t="str">
        <f t="shared" si="0"/>
        <v>LONG FULLER</v>
      </c>
      <c r="H15" s="20" t="str">
        <f t="shared" si="1"/>
        <v>4041</v>
      </c>
    </row>
    <row r="16" spans="1:8" x14ac:dyDescent="0.3">
      <c r="A16" s="8">
        <v>43103.171782407408</v>
      </c>
      <c r="B16" s="20" t="s">
        <v>634</v>
      </c>
      <c r="C16" s="20" t="s">
        <v>635</v>
      </c>
      <c r="D16" s="137">
        <v>3260000</v>
      </c>
      <c r="E16" s="20" t="s">
        <v>679</v>
      </c>
      <c r="F16" s="20" t="s">
        <v>680</v>
      </c>
      <c r="G16" s="8" t="str">
        <f t="shared" si="0"/>
        <v>PAGE MARCUS</v>
      </c>
      <c r="H16" s="20" t="str">
        <f t="shared" si="1"/>
        <v>4002</v>
      </c>
    </row>
    <row r="17" spans="1:8" x14ac:dyDescent="0.3">
      <c r="A17" s="8">
        <v>43103.172453703701</v>
      </c>
      <c r="B17" s="20" t="s">
        <v>652</v>
      </c>
      <c r="C17" s="20" t="s">
        <v>682</v>
      </c>
      <c r="D17" s="137">
        <v>2600000</v>
      </c>
      <c r="E17" s="20" t="s">
        <v>503</v>
      </c>
      <c r="F17" s="20" t="s">
        <v>493</v>
      </c>
      <c r="G17" s="8" t="str">
        <f t="shared" si="0"/>
        <v>DAVIDSON DAVID</v>
      </c>
      <c r="H17" s="20" t="str">
        <f t="shared" si="1"/>
        <v>4003</v>
      </c>
    </row>
    <row r="18" spans="1:8" x14ac:dyDescent="0.3">
      <c r="A18" s="8">
        <v>43103.180486111109</v>
      </c>
      <c r="B18" s="20" t="s">
        <v>390</v>
      </c>
      <c r="C18" s="20" t="s">
        <v>683</v>
      </c>
      <c r="D18" s="137">
        <v>2440000</v>
      </c>
      <c r="E18" s="20" t="s">
        <v>450</v>
      </c>
      <c r="F18" s="20" t="s">
        <v>451</v>
      </c>
      <c r="G18" s="8" t="str">
        <f t="shared" si="0"/>
        <v>LOPES KIMBERLY</v>
      </c>
      <c r="H18" s="20" t="str">
        <f t="shared" si="1"/>
        <v>4059</v>
      </c>
    </row>
    <row r="19" spans="1:8" x14ac:dyDescent="0.3">
      <c r="A19" s="8">
        <v>43103.184236111112</v>
      </c>
      <c r="B19" s="20" t="s">
        <v>527</v>
      </c>
      <c r="C19" s="20" t="s">
        <v>684</v>
      </c>
      <c r="D19" s="137">
        <v>2600000</v>
      </c>
      <c r="E19" s="20" t="s">
        <v>503</v>
      </c>
      <c r="F19" s="20" t="s">
        <v>493</v>
      </c>
      <c r="G19" s="8" t="str">
        <f t="shared" si="0"/>
        <v>DAVIDSON DAVID</v>
      </c>
      <c r="H19" s="20" t="str">
        <f t="shared" si="1"/>
        <v>4004</v>
      </c>
    </row>
    <row r="20" spans="1:8" x14ac:dyDescent="0.3">
      <c r="A20" s="8">
        <v>43103.193344907406</v>
      </c>
      <c r="B20" s="20" t="s">
        <v>357</v>
      </c>
      <c r="C20" s="20" t="s">
        <v>685</v>
      </c>
      <c r="D20" s="137">
        <v>2440000</v>
      </c>
      <c r="E20" s="20" t="s">
        <v>450</v>
      </c>
      <c r="F20" s="20" t="s">
        <v>451</v>
      </c>
      <c r="G20" s="8" t="str">
        <f t="shared" si="0"/>
        <v>LOPES KIMBERLY</v>
      </c>
      <c r="H20" s="20" t="str">
        <f t="shared" si="1"/>
        <v>4060</v>
      </c>
    </row>
    <row r="21" spans="1:8" x14ac:dyDescent="0.3">
      <c r="A21" s="8">
        <v>43103.194872685184</v>
      </c>
      <c r="B21" s="20" t="s">
        <v>443</v>
      </c>
      <c r="C21" s="20" t="s">
        <v>636</v>
      </c>
      <c r="D21" s="137">
        <v>3120000</v>
      </c>
      <c r="E21" s="20" t="s">
        <v>369</v>
      </c>
      <c r="F21" s="20" t="s">
        <v>676</v>
      </c>
      <c r="G21" s="8" t="str">
        <f t="shared" si="0"/>
        <v>THOMPSON LESTER</v>
      </c>
      <c r="H21" s="20" t="str">
        <f t="shared" si="1"/>
        <v>4049</v>
      </c>
    </row>
    <row r="22" spans="1:8" x14ac:dyDescent="0.3">
      <c r="A22" s="26">
        <v>43103.198472222219</v>
      </c>
      <c r="B22" s="20" t="s">
        <v>386</v>
      </c>
      <c r="C22" s="20" t="s">
        <v>686</v>
      </c>
      <c r="D22" s="137">
        <v>1230000</v>
      </c>
      <c r="E22" s="20" t="s">
        <v>573</v>
      </c>
      <c r="F22" s="20" t="s">
        <v>574</v>
      </c>
      <c r="G22" s="8" t="str">
        <f t="shared" si="0"/>
        <v>YANAI IAN</v>
      </c>
      <c r="H22" s="20" t="str">
        <f t="shared" si="1"/>
        <v>4029</v>
      </c>
    </row>
    <row r="23" spans="1:8" x14ac:dyDescent="0.3">
      <c r="A23" s="8">
        <v>43103.203946759262</v>
      </c>
      <c r="B23" s="20" t="s">
        <v>513</v>
      </c>
      <c r="C23" s="20" t="s">
        <v>687</v>
      </c>
      <c r="D23" s="137">
        <v>3090000</v>
      </c>
      <c r="E23" s="20" t="s">
        <v>514</v>
      </c>
      <c r="F23" s="20" t="s">
        <v>515</v>
      </c>
      <c r="G23" s="8" t="str">
        <f t="shared" si="0"/>
        <v>LAMAR NEKESHA</v>
      </c>
      <c r="H23" s="20" t="str">
        <f t="shared" si="1"/>
        <v>4014</v>
      </c>
    </row>
    <row r="24" spans="1:8" x14ac:dyDescent="0.3">
      <c r="A24" s="8">
        <v>43103.205208333333</v>
      </c>
      <c r="B24" s="20" t="s">
        <v>446</v>
      </c>
      <c r="C24" s="20" t="s">
        <v>688</v>
      </c>
      <c r="D24" s="137">
        <v>3840000</v>
      </c>
      <c r="E24" s="20" t="s">
        <v>571</v>
      </c>
      <c r="F24" s="20" t="s">
        <v>572</v>
      </c>
      <c r="G24" s="8" t="str">
        <f t="shared" si="0"/>
        <v>LONG FULLER</v>
      </c>
      <c r="H24" s="20" t="str">
        <f t="shared" si="1"/>
        <v>4042</v>
      </c>
    </row>
    <row r="25" spans="1:8" x14ac:dyDescent="0.3">
      <c r="A25" s="8">
        <v>43103.208078703705</v>
      </c>
      <c r="B25" s="20" t="s">
        <v>392</v>
      </c>
      <c r="C25" s="20" t="s">
        <v>689</v>
      </c>
      <c r="D25" s="137">
        <v>1230000</v>
      </c>
      <c r="E25" s="20" t="s">
        <v>573</v>
      </c>
      <c r="F25" s="20" t="s">
        <v>574</v>
      </c>
      <c r="G25" s="8" t="str">
        <f t="shared" si="0"/>
        <v>YANAI IAN</v>
      </c>
      <c r="H25" s="20" t="str">
        <f t="shared" si="1"/>
        <v>4030</v>
      </c>
    </row>
    <row r="26" spans="1:8" x14ac:dyDescent="0.3">
      <c r="A26" s="8">
        <v>43103.211261574077</v>
      </c>
      <c r="B26" s="20" t="s">
        <v>648</v>
      </c>
      <c r="C26" s="20" t="s">
        <v>690</v>
      </c>
      <c r="D26" s="137">
        <v>3260000</v>
      </c>
      <c r="E26" s="20" t="s">
        <v>679</v>
      </c>
      <c r="F26" s="20" t="s">
        <v>680</v>
      </c>
      <c r="G26" s="8" t="str">
        <f t="shared" si="0"/>
        <v>PAGE MARCUS</v>
      </c>
      <c r="H26" s="20" t="str">
        <f t="shared" si="1"/>
        <v>4001</v>
      </c>
    </row>
    <row r="27" spans="1:8" x14ac:dyDescent="0.3">
      <c r="A27" s="8">
        <v>43103.215266203704</v>
      </c>
      <c r="B27" s="20" t="s">
        <v>570</v>
      </c>
      <c r="C27" s="20" t="s">
        <v>637</v>
      </c>
      <c r="D27" s="137">
        <v>3090000</v>
      </c>
      <c r="E27" s="20" t="s">
        <v>514</v>
      </c>
      <c r="F27" s="20" t="s">
        <v>515</v>
      </c>
      <c r="G27" s="8" t="str">
        <f t="shared" si="0"/>
        <v>LAMAR NEKESHA</v>
      </c>
      <c r="H27" s="20" t="str">
        <f t="shared" si="1"/>
        <v>4013</v>
      </c>
    </row>
    <row r="28" spans="1:8" x14ac:dyDescent="0.3">
      <c r="A28" s="8">
        <v>43103.218553240738</v>
      </c>
      <c r="B28" s="20" t="s">
        <v>652</v>
      </c>
      <c r="C28" s="20" t="s">
        <v>691</v>
      </c>
      <c r="D28" s="137">
        <v>2600000</v>
      </c>
      <c r="E28" s="20" t="s">
        <v>503</v>
      </c>
      <c r="F28" s="20" t="s">
        <v>493</v>
      </c>
      <c r="G28" s="8" t="str">
        <f t="shared" si="0"/>
        <v>DAVIDSON DAVID</v>
      </c>
      <c r="H28" s="20" t="str">
        <f t="shared" si="1"/>
        <v>4003</v>
      </c>
    </row>
    <row r="29" spans="1:8" x14ac:dyDescent="0.3">
      <c r="A29" s="8">
        <v>43103.218668981484</v>
      </c>
      <c r="B29" s="20" t="s">
        <v>385</v>
      </c>
      <c r="C29" s="20" t="s">
        <v>692</v>
      </c>
      <c r="D29" s="137">
        <v>3180000</v>
      </c>
      <c r="E29" s="20" t="s">
        <v>693</v>
      </c>
      <c r="F29" s="20" t="s">
        <v>694</v>
      </c>
      <c r="G29" s="8" t="str">
        <f t="shared" si="0"/>
        <v>HUFFSMITH MONTY</v>
      </c>
      <c r="H29" s="20" t="str">
        <f t="shared" si="1"/>
        <v>4061</v>
      </c>
    </row>
    <row r="30" spans="1:8" x14ac:dyDescent="0.3">
      <c r="A30" s="8">
        <v>43103.228090277778</v>
      </c>
      <c r="B30" s="20" t="s">
        <v>444</v>
      </c>
      <c r="C30" s="20" t="s">
        <v>695</v>
      </c>
      <c r="D30" s="137">
        <v>3120000</v>
      </c>
      <c r="E30" s="20" t="s">
        <v>369</v>
      </c>
      <c r="F30" s="20" t="s">
        <v>676</v>
      </c>
      <c r="G30" s="8" t="str">
        <f t="shared" si="0"/>
        <v>THOMPSON LESTER</v>
      </c>
      <c r="H30" s="20" t="str">
        <f t="shared" si="1"/>
        <v>4050</v>
      </c>
    </row>
    <row r="31" spans="1:8" x14ac:dyDescent="0.3">
      <c r="A31" s="8">
        <v>43103.230324074073</v>
      </c>
      <c r="B31" s="20" t="s">
        <v>513</v>
      </c>
      <c r="C31" s="20" t="s">
        <v>696</v>
      </c>
      <c r="D31" s="137">
        <v>3090000</v>
      </c>
      <c r="E31" s="20" t="s">
        <v>514</v>
      </c>
      <c r="F31" s="20" t="s">
        <v>515</v>
      </c>
      <c r="G31" s="8" t="str">
        <f t="shared" si="0"/>
        <v>LAMAR NEKESHA</v>
      </c>
      <c r="H31" s="20" t="str">
        <f t="shared" si="1"/>
        <v>4014</v>
      </c>
    </row>
    <row r="32" spans="1:8" x14ac:dyDescent="0.3">
      <c r="A32" s="8">
        <v>43103.231574074074</v>
      </c>
      <c r="B32" s="20" t="s">
        <v>383</v>
      </c>
      <c r="C32" s="20" t="s">
        <v>697</v>
      </c>
      <c r="D32" s="137">
        <v>3180000</v>
      </c>
      <c r="E32" s="20" t="s">
        <v>693</v>
      </c>
      <c r="F32" s="20" t="s">
        <v>694</v>
      </c>
      <c r="G32" s="8" t="str">
        <f t="shared" si="0"/>
        <v>HUFFSMITH MONTY</v>
      </c>
      <c r="H32" s="20" t="str">
        <f t="shared" si="1"/>
        <v>4062</v>
      </c>
    </row>
    <row r="33" spans="1:8" x14ac:dyDescent="0.3">
      <c r="A33" s="8">
        <v>43103.233356481483</v>
      </c>
      <c r="B33" s="20" t="s">
        <v>390</v>
      </c>
      <c r="C33" s="20" t="s">
        <v>698</v>
      </c>
      <c r="D33" s="137">
        <v>2440000</v>
      </c>
      <c r="E33" s="20" t="s">
        <v>450</v>
      </c>
      <c r="F33" s="20" t="s">
        <v>451</v>
      </c>
      <c r="G33" s="8" t="str">
        <f t="shared" si="0"/>
        <v>LOPES KIMBERLY</v>
      </c>
      <c r="H33" s="20" t="str">
        <f t="shared" si="1"/>
        <v>4059</v>
      </c>
    </row>
    <row r="34" spans="1:8" x14ac:dyDescent="0.3">
      <c r="A34" s="8">
        <v>43103.237488425926</v>
      </c>
      <c r="B34" s="20" t="s">
        <v>569</v>
      </c>
      <c r="C34" s="20" t="s">
        <v>699</v>
      </c>
      <c r="D34" s="137">
        <v>1100000</v>
      </c>
      <c r="E34" s="20" t="s">
        <v>700</v>
      </c>
      <c r="F34" s="20" t="s">
        <v>701</v>
      </c>
      <c r="G34" s="8" t="str">
        <f t="shared" si="0"/>
        <v>GEBRETEKLE DAGNEW</v>
      </c>
      <c r="H34" s="20" t="str">
        <f t="shared" si="1"/>
        <v>4063</v>
      </c>
    </row>
    <row r="35" spans="1:8" x14ac:dyDescent="0.3">
      <c r="A35" s="8">
        <v>43103.2424537037</v>
      </c>
      <c r="B35" s="20" t="s">
        <v>524</v>
      </c>
      <c r="C35" s="20" t="s">
        <v>702</v>
      </c>
      <c r="D35" s="137">
        <v>3840000</v>
      </c>
      <c r="E35" s="20" t="s">
        <v>571</v>
      </c>
      <c r="F35" s="20" t="s">
        <v>572</v>
      </c>
      <c r="G35" s="8" t="str">
        <f t="shared" si="0"/>
        <v>LONG FULLER</v>
      </c>
      <c r="H35" s="20" t="str">
        <f t="shared" si="1"/>
        <v>4041</v>
      </c>
    </row>
    <row r="36" spans="1:8" x14ac:dyDescent="0.3">
      <c r="A36" s="8">
        <v>43103.244618055556</v>
      </c>
      <c r="B36" s="20" t="s">
        <v>634</v>
      </c>
      <c r="C36" s="20" t="s">
        <v>703</v>
      </c>
      <c r="D36" s="137">
        <v>3260000</v>
      </c>
      <c r="E36" s="20" t="s">
        <v>679</v>
      </c>
      <c r="F36" s="20" t="s">
        <v>680</v>
      </c>
      <c r="G36" s="8" t="str">
        <f t="shared" si="0"/>
        <v>PAGE MARCUS</v>
      </c>
      <c r="H36" s="20" t="str">
        <f t="shared" si="1"/>
        <v>4002</v>
      </c>
    </row>
    <row r="37" spans="1:8" x14ac:dyDescent="0.3">
      <c r="A37" s="8">
        <v>43103.245787037034</v>
      </c>
      <c r="B37" s="20" t="s">
        <v>386</v>
      </c>
      <c r="C37" s="20" t="s">
        <v>704</v>
      </c>
      <c r="D37" s="137">
        <v>1230000</v>
      </c>
      <c r="E37" s="20" t="s">
        <v>573</v>
      </c>
      <c r="F37" s="20" t="s">
        <v>574</v>
      </c>
      <c r="G37" s="8" t="str">
        <f t="shared" si="0"/>
        <v>YANAI IAN</v>
      </c>
      <c r="H37" s="20" t="str">
        <f t="shared" si="1"/>
        <v>4029</v>
      </c>
    </row>
    <row r="38" spans="1:8" x14ac:dyDescent="0.3">
      <c r="A38" s="8">
        <v>43103.246666666666</v>
      </c>
      <c r="B38" s="20" t="s">
        <v>570</v>
      </c>
      <c r="C38" s="20" t="s">
        <v>638</v>
      </c>
      <c r="D38" s="137">
        <v>3090000</v>
      </c>
      <c r="E38" s="20" t="s">
        <v>514</v>
      </c>
      <c r="F38" s="20" t="s">
        <v>515</v>
      </c>
      <c r="G38" s="8" t="str">
        <f t="shared" si="0"/>
        <v>LAMAR NEKESHA</v>
      </c>
      <c r="H38" s="20" t="str">
        <f t="shared" si="1"/>
        <v>4013</v>
      </c>
    </row>
    <row r="39" spans="1:8" x14ac:dyDescent="0.3">
      <c r="A39" s="8">
        <v>43103.249930555554</v>
      </c>
      <c r="B39" s="20" t="s">
        <v>526</v>
      </c>
      <c r="C39" s="20" t="s">
        <v>705</v>
      </c>
      <c r="D39" s="137">
        <v>1100000</v>
      </c>
      <c r="E39" s="20" t="s">
        <v>700</v>
      </c>
      <c r="F39" s="20" t="s">
        <v>701</v>
      </c>
      <c r="G39" s="8" t="str">
        <f t="shared" si="0"/>
        <v>GEBRETEKLE DAGNEW</v>
      </c>
      <c r="H39" s="20" t="str">
        <f t="shared" si="1"/>
        <v>4064</v>
      </c>
    </row>
    <row r="40" spans="1:8" x14ac:dyDescent="0.3">
      <c r="A40" s="8">
        <v>43103.256562499999</v>
      </c>
      <c r="B40" s="25" t="s">
        <v>527</v>
      </c>
      <c r="C40" s="20" t="s">
        <v>641</v>
      </c>
      <c r="D40" s="137">
        <v>2600000</v>
      </c>
      <c r="E40" s="20" t="s">
        <v>503</v>
      </c>
      <c r="F40" s="20" t="s">
        <v>493</v>
      </c>
      <c r="G40" s="8" t="str">
        <f t="shared" si="0"/>
        <v>DAVIDSON DAVID</v>
      </c>
      <c r="H40" s="20" t="str">
        <f t="shared" si="1"/>
        <v>4004</v>
      </c>
    </row>
    <row r="41" spans="1:8" x14ac:dyDescent="0.3">
      <c r="A41" s="8">
        <v>43103.257476851853</v>
      </c>
      <c r="B41" s="20" t="s">
        <v>386</v>
      </c>
      <c r="C41" s="20" t="s">
        <v>704</v>
      </c>
      <c r="D41" s="137">
        <v>1230000</v>
      </c>
      <c r="E41" s="20" t="s">
        <v>573</v>
      </c>
      <c r="F41" s="20" t="s">
        <v>574</v>
      </c>
      <c r="G41" s="8" t="str">
        <f t="shared" si="0"/>
        <v>YANAI IAN</v>
      </c>
      <c r="H41" s="20" t="str">
        <f t="shared" si="1"/>
        <v>4029</v>
      </c>
    </row>
    <row r="42" spans="1:8" x14ac:dyDescent="0.3">
      <c r="A42" s="8">
        <v>43103.265127314815</v>
      </c>
      <c r="B42" s="20" t="s">
        <v>357</v>
      </c>
      <c r="C42" s="20" t="s">
        <v>706</v>
      </c>
      <c r="D42" s="137">
        <v>2440000</v>
      </c>
      <c r="E42" s="20" t="s">
        <v>450</v>
      </c>
      <c r="F42" s="20" t="s">
        <v>451</v>
      </c>
      <c r="G42" s="8" t="str">
        <f t="shared" si="0"/>
        <v>LOPES KIMBERLY</v>
      </c>
      <c r="H42" s="20" t="str">
        <f t="shared" si="1"/>
        <v>4060</v>
      </c>
    </row>
    <row r="43" spans="1:8" x14ac:dyDescent="0.3">
      <c r="A43" s="8">
        <v>43103.267511574071</v>
      </c>
      <c r="B43" s="20" t="s">
        <v>443</v>
      </c>
      <c r="C43" s="20" t="s">
        <v>707</v>
      </c>
      <c r="D43" s="137">
        <v>3120000</v>
      </c>
      <c r="E43" s="20" t="s">
        <v>369</v>
      </c>
      <c r="F43" s="20" t="s">
        <v>676</v>
      </c>
      <c r="G43" s="8" t="str">
        <f t="shared" si="0"/>
        <v>THOMPSON LESTER</v>
      </c>
      <c r="H43" s="20" t="str">
        <f t="shared" si="1"/>
        <v>4049</v>
      </c>
    </row>
    <row r="44" spans="1:8" x14ac:dyDescent="0.3">
      <c r="A44" s="8">
        <v>43103.268240740741</v>
      </c>
      <c r="B44" s="20" t="s">
        <v>569</v>
      </c>
      <c r="C44" s="20" t="s">
        <v>708</v>
      </c>
      <c r="D44" s="137">
        <v>1100000</v>
      </c>
      <c r="E44" s="20" t="s">
        <v>700</v>
      </c>
      <c r="F44" s="20" t="s">
        <v>701</v>
      </c>
      <c r="G44" s="8" t="str">
        <f t="shared" si="0"/>
        <v>GEBRETEKLE DAGNEW</v>
      </c>
      <c r="H44" s="20" t="str">
        <f t="shared" si="1"/>
        <v>4063</v>
      </c>
    </row>
    <row r="45" spans="1:8" x14ac:dyDescent="0.3">
      <c r="A45" s="8">
        <v>43103.27238425926</v>
      </c>
      <c r="B45" s="20" t="s">
        <v>513</v>
      </c>
      <c r="C45" s="20" t="s">
        <v>709</v>
      </c>
      <c r="D45" s="137">
        <v>3090000</v>
      </c>
      <c r="E45" s="20" t="s">
        <v>514</v>
      </c>
      <c r="F45" s="20" t="s">
        <v>515</v>
      </c>
      <c r="G45" s="8" t="str">
        <f t="shared" si="0"/>
        <v>LAMAR NEKESHA</v>
      </c>
      <c r="H45" s="20" t="str">
        <f t="shared" si="1"/>
        <v>4014</v>
      </c>
    </row>
    <row r="46" spans="1:8" x14ac:dyDescent="0.3">
      <c r="A46" s="8">
        <v>43103.276053240741</v>
      </c>
      <c r="B46" s="20" t="s">
        <v>385</v>
      </c>
      <c r="C46" s="20" t="s">
        <v>710</v>
      </c>
      <c r="D46" s="137">
        <v>3180000</v>
      </c>
      <c r="E46" s="20" t="s">
        <v>693</v>
      </c>
      <c r="F46" s="20" t="s">
        <v>694</v>
      </c>
      <c r="G46" s="8" t="str">
        <f t="shared" si="0"/>
        <v>HUFFSMITH MONTY</v>
      </c>
      <c r="H46" s="20" t="str">
        <f t="shared" si="1"/>
        <v>4061</v>
      </c>
    </row>
    <row r="47" spans="1:8" x14ac:dyDescent="0.3">
      <c r="A47" s="8">
        <v>43103.276875000003</v>
      </c>
      <c r="B47" s="20" t="s">
        <v>446</v>
      </c>
      <c r="C47" s="20" t="s">
        <v>711</v>
      </c>
      <c r="D47" s="137">
        <v>3840000</v>
      </c>
      <c r="E47" s="20" t="s">
        <v>571</v>
      </c>
      <c r="F47" s="20" t="s">
        <v>572</v>
      </c>
      <c r="G47" s="8" t="str">
        <f t="shared" si="0"/>
        <v>LONG FULLER</v>
      </c>
      <c r="H47" s="20" t="str">
        <f t="shared" si="1"/>
        <v>4042</v>
      </c>
    </row>
    <row r="48" spans="1:8" x14ac:dyDescent="0.3">
      <c r="A48" s="8">
        <v>43103.276967592596</v>
      </c>
      <c r="B48" s="20" t="s">
        <v>648</v>
      </c>
      <c r="C48" s="20" t="s">
        <v>712</v>
      </c>
      <c r="D48" s="137">
        <v>3260000</v>
      </c>
      <c r="E48" s="20" t="s">
        <v>679</v>
      </c>
      <c r="F48" s="20" t="s">
        <v>680</v>
      </c>
      <c r="G48" s="8" t="str">
        <f t="shared" si="0"/>
        <v>PAGE MARCUS</v>
      </c>
      <c r="H48" s="20" t="str">
        <f t="shared" si="1"/>
        <v>4001</v>
      </c>
    </row>
    <row r="49" spans="1:8" x14ac:dyDescent="0.3">
      <c r="A49" s="8">
        <v>43103.286851851852</v>
      </c>
      <c r="B49" s="20" t="s">
        <v>392</v>
      </c>
      <c r="C49" s="20" t="s">
        <v>704</v>
      </c>
      <c r="D49" s="137">
        <v>1230000</v>
      </c>
      <c r="E49" s="20" t="s">
        <v>573</v>
      </c>
      <c r="F49" s="20" t="s">
        <v>574</v>
      </c>
      <c r="G49" s="8" t="str">
        <f t="shared" si="0"/>
        <v>YANAI IAN</v>
      </c>
      <c r="H49" s="20" t="str">
        <f t="shared" si="1"/>
        <v>4030</v>
      </c>
    </row>
    <row r="50" spans="1:8" x14ac:dyDescent="0.3">
      <c r="A50" s="8">
        <v>43103.287604166668</v>
      </c>
      <c r="B50" s="20" t="s">
        <v>392</v>
      </c>
      <c r="C50" s="20" t="s">
        <v>713</v>
      </c>
      <c r="D50" s="137">
        <v>1230000</v>
      </c>
      <c r="E50" s="20" t="s">
        <v>573</v>
      </c>
      <c r="F50" s="20" t="s">
        <v>574</v>
      </c>
      <c r="G50" s="8" t="str">
        <f t="shared" si="0"/>
        <v>YANAI IAN</v>
      </c>
      <c r="H50" s="20" t="str">
        <f t="shared" si="1"/>
        <v>4030</v>
      </c>
    </row>
    <row r="51" spans="1:8" x14ac:dyDescent="0.3">
      <c r="A51" s="8">
        <v>43103.288726851853</v>
      </c>
      <c r="B51" s="20" t="s">
        <v>652</v>
      </c>
      <c r="C51" s="20" t="s">
        <v>714</v>
      </c>
      <c r="D51" s="137">
        <v>2600000</v>
      </c>
      <c r="E51" s="20" t="s">
        <v>503</v>
      </c>
      <c r="F51" s="20" t="s">
        <v>493</v>
      </c>
      <c r="G51" s="8" t="str">
        <f t="shared" si="0"/>
        <v>DAVIDSON DAVID</v>
      </c>
      <c r="H51" s="20" t="str">
        <f t="shared" si="1"/>
        <v>4003</v>
      </c>
    </row>
    <row r="52" spans="1:8" x14ac:dyDescent="0.3">
      <c r="A52" s="8">
        <v>43103.288819444446</v>
      </c>
      <c r="B52" s="20" t="s">
        <v>570</v>
      </c>
      <c r="C52" s="20" t="s">
        <v>715</v>
      </c>
      <c r="D52" s="137">
        <v>3090000</v>
      </c>
      <c r="E52" s="20" t="s">
        <v>514</v>
      </c>
      <c r="F52" s="20" t="s">
        <v>515</v>
      </c>
      <c r="G52" s="8" t="str">
        <f t="shared" si="0"/>
        <v>LAMAR NEKESHA</v>
      </c>
      <c r="H52" s="20" t="str">
        <f t="shared" si="1"/>
        <v>4013</v>
      </c>
    </row>
    <row r="53" spans="1:8" x14ac:dyDescent="0.3">
      <c r="A53" s="8">
        <v>43103.290312500001</v>
      </c>
      <c r="B53" s="20" t="s">
        <v>526</v>
      </c>
      <c r="C53" s="20" t="s">
        <v>716</v>
      </c>
      <c r="D53" s="137">
        <v>1100000</v>
      </c>
      <c r="E53" s="20" t="s">
        <v>700</v>
      </c>
      <c r="F53" s="20" t="s">
        <v>701</v>
      </c>
      <c r="G53" s="8" t="str">
        <f t="shared" si="0"/>
        <v>GEBRETEKLE DAGNEW</v>
      </c>
      <c r="H53" s="20" t="str">
        <f t="shared" si="1"/>
        <v>4064</v>
      </c>
    </row>
    <row r="54" spans="1:8" x14ac:dyDescent="0.3">
      <c r="A54" s="8">
        <v>43103.301087962966</v>
      </c>
      <c r="B54" s="20" t="s">
        <v>444</v>
      </c>
      <c r="C54" s="20" t="s">
        <v>717</v>
      </c>
      <c r="D54" s="137">
        <v>3120000</v>
      </c>
      <c r="E54" s="20" t="s">
        <v>369</v>
      </c>
      <c r="F54" s="20" t="s">
        <v>676</v>
      </c>
      <c r="G54" s="8" t="str">
        <f t="shared" si="0"/>
        <v>THOMPSON LESTER</v>
      </c>
      <c r="H54" s="20" t="str">
        <f t="shared" si="1"/>
        <v>4050</v>
      </c>
    </row>
    <row r="55" spans="1:8" x14ac:dyDescent="0.3">
      <c r="A55" s="8">
        <v>43103.305347222224</v>
      </c>
      <c r="B55" s="20" t="s">
        <v>390</v>
      </c>
      <c r="C55" s="20" t="s">
        <v>718</v>
      </c>
      <c r="D55" s="137">
        <v>2440000</v>
      </c>
      <c r="E55" s="20" t="s">
        <v>450</v>
      </c>
      <c r="F55" s="20" t="s">
        <v>451</v>
      </c>
      <c r="G55" s="8" t="str">
        <f t="shared" si="0"/>
        <v>LOPES KIMBERLY</v>
      </c>
      <c r="H55" s="20" t="str">
        <f t="shared" si="1"/>
        <v>4059</v>
      </c>
    </row>
    <row r="56" spans="1:8" x14ac:dyDescent="0.3">
      <c r="A56" s="8">
        <v>43103.309537037036</v>
      </c>
      <c r="B56" s="20" t="s">
        <v>383</v>
      </c>
      <c r="C56" s="20" t="s">
        <v>719</v>
      </c>
      <c r="D56" s="137">
        <v>3180000</v>
      </c>
      <c r="E56" s="20" t="s">
        <v>693</v>
      </c>
      <c r="F56" s="20" t="s">
        <v>694</v>
      </c>
      <c r="G56" s="8" t="str">
        <f t="shared" si="0"/>
        <v>HUFFSMITH MONTY</v>
      </c>
      <c r="H56" s="20" t="str">
        <f t="shared" si="1"/>
        <v>4062</v>
      </c>
    </row>
    <row r="57" spans="1:8" x14ac:dyDescent="0.3">
      <c r="A57" s="8">
        <v>43103.310115740744</v>
      </c>
      <c r="B57" s="20" t="s">
        <v>569</v>
      </c>
      <c r="C57" s="20" t="s">
        <v>720</v>
      </c>
      <c r="D57" s="137">
        <v>1100000</v>
      </c>
      <c r="E57" s="20" t="s">
        <v>700</v>
      </c>
      <c r="F57" s="20" t="s">
        <v>701</v>
      </c>
      <c r="G57" s="8" t="str">
        <f t="shared" si="0"/>
        <v>GEBRETEKLE DAGNEW</v>
      </c>
      <c r="H57" s="20" t="str">
        <f t="shared" si="1"/>
        <v>4063</v>
      </c>
    </row>
    <row r="58" spans="1:8" x14ac:dyDescent="0.3">
      <c r="A58" s="8">
        <v>43103.314004629632</v>
      </c>
      <c r="B58" s="20" t="s">
        <v>524</v>
      </c>
      <c r="C58" s="20" t="s">
        <v>721</v>
      </c>
      <c r="D58" s="137">
        <v>3840000</v>
      </c>
      <c r="E58" s="20" t="s">
        <v>571</v>
      </c>
      <c r="F58" s="20" t="s">
        <v>572</v>
      </c>
      <c r="G58" s="8" t="str">
        <f t="shared" si="0"/>
        <v>LONG FULLER</v>
      </c>
      <c r="H58" s="20" t="str">
        <f t="shared" si="1"/>
        <v>4041</v>
      </c>
    </row>
    <row r="59" spans="1:8" x14ac:dyDescent="0.3">
      <c r="A59" s="8">
        <v>43103.317916666667</v>
      </c>
      <c r="B59" s="20" t="s">
        <v>513</v>
      </c>
      <c r="C59" s="20" t="s">
        <v>642</v>
      </c>
      <c r="D59" s="137">
        <v>3090000</v>
      </c>
      <c r="E59" s="20" t="s">
        <v>514</v>
      </c>
      <c r="F59" s="20" t="s">
        <v>515</v>
      </c>
      <c r="G59" s="8" t="str">
        <f t="shared" si="0"/>
        <v>LAMAR NEKESHA</v>
      </c>
      <c r="H59" s="20" t="str">
        <f t="shared" si="1"/>
        <v>4014</v>
      </c>
    </row>
    <row r="60" spans="1:8" x14ac:dyDescent="0.3">
      <c r="A60" s="8">
        <v>43103.318518518521</v>
      </c>
      <c r="B60" s="20" t="s">
        <v>386</v>
      </c>
      <c r="C60" s="20" t="s">
        <v>722</v>
      </c>
      <c r="D60" s="137">
        <v>1230000</v>
      </c>
      <c r="E60" s="20" t="s">
        <v>573</v>
      </c>
      <c r="F60" s="20" t="s">
        <v>574</v>
      </c>
      <c r="G60" s="8" t="str">
        <f t="shared" si="0"/>
        <v>YANAI IAN</v>
      </c>
      <c r="H60" s="20" t="str">
        <f t="shared" si="1"/>
        <v>4029</v>
      </c>
    </row>
    <row r="61" spans="1:8" x14ac:dyDescent="0.3">
      <c r="A61" s="8">
        <v>43103.318668981483</v>
      </c>
      <c r="B61" s="20" t="s">
        <v>634</v>
      </c>
      <c r="C61" s="20" t="s">
        <v>723</v>
      </c>
      <c r="D61" s="137">
        <v>3260000</v>
      </c>
      <c r="E61" s="20" t="s">
        <v>679</v>
      </c>
      <c r="F61" s="20" t="s">
        <v>680</v>
      </c>
      <c r="G61" s="8" t="str">
        <f t="shared" si="0"/>
        <v>PAGE MARCUS</v>
      </c>
      <c r="H61" s="20" t="str">
        <f t="shared" si="1"/>
        <v>4002</v>
      </c>
    </row>
    <row r="62" spans="1:8" x14ac:dyDescent="0.3">
      <c r="A62" s="8">
        <v>43103.329293981478</v>
      </c>
      <c r="B62" s="20" t="s">
        <v>527</v>
      </c>
      <c r="C62" s="20" t="s">
        <v>724</v>
      </c>
      <c r="D62" s="137">
        <v>2600000</v>
      </c>
      <c r="E62" s="20" t="s">
        <v>503</v>
      </c>
      <c r="F62" s="20" t="s">
        <v>493</v>
      </c>
      <c r="G62" s="8" t="str">
        <f t="shared" si="0"/>
        <v>DAVIDSON DAVID</v>
      </c>
      <c r="H62" s="20" t="str">
        <f t="shared" si="1"/>
        <v>4004</v>
      </c>
    </row>
    <row r="63" spans="1:8" x14ac:dyDescent="0.3">
      <c r="A63" s="8">
        <v>43103.330208333333</v>
      </c>
      <c r="B63" s="20" t="s">
        <v>570</v>
      </c>
      <c r="C63" s="20" t="s">
        <v>725</v>
      </c>
      <c r="D63" s="137">
        <v>3090000</v>
      </c>
      <c r="E63" s="20" t="s">
        <v>514</v>
      </c>
      <c r="F63" s="20" t="s">
        <v>515</v>
      </c>
      <c r="G63" s="8" t="str">
        <f t="shared" si="0"/>
        <v>LAMAR NEKESHA</v>
      </c>
      <c r="H63" s="20" t="str">
        <f t="shared" si="1"/>
        <v>4013</v>
      </c>
    </row>
    <row r="64" spans="1:8" x14ac:dyDescent="0.3">
      <c r="A64" s="26">
        <v>43103.332743055558</v>
      </c>
      <c r="B64" s="20" t="s">
        <v>526</v>
      </c>
      <c r="C64" s="20" t="s">
        <v>726</v>
      </c>
      <c r="D64" s="137">
        <v>1100000</v>
      </c>
      <c r="E64" s="20" t="s">
        <v>700</v>
      </c>
      <c r="F64" s="20" t="s">
        <v>701</v>
      </c>
      <c r="G64" s="8" t="str">
        <f t="shared" si="0"/>
        <v>GEBRETEKLE DAGNEW</v>
      </c>
      <c r="H64" s="20" t="str">
        <f t="shared" si="1"/>
        <v>4064</v>
      </c>
    </row>
    <row r="65" spans="1:8" x14ac:dyDescent="0.3">
      <c r="A65" s="8">
        <v>43103.337858796294</v>
      </c>
      <c r="B65" s="20" t="s">
        <v>357</v>
      </c>
      <c r="C65" s="20" t="s">
        <v>727</v>
      </c>
      <c r="D65" s="137">
        <v>2440000</v>
      </c>
      <c r="E65" s="20" t="s">
        <v>450</v>
      </c>
      <c r="F65" s="20" t="s">
        <v>451</v>
      </c>
      <c r="G65" s="8" t="str">
        <f t="shared" si="0"/>
        <v>LOPES KIMBERLY</v>
      </c>
      <c r="H65" s="20" t="str">
        <f t="shared" si="1"/>
        <v>4060</v>
      </c>
    </row>
    <row r="66" spans="1:8" x14ac:dyDescent="0.3">
      <c r="A66" s="8">
        <v>43103.340324074074</v>
      </c>
      <c r="B66" s="20" t="s">
        <v>385</v>
      </c>
      <c r="C66" s="20" t="s">
        <v>728</v>
      </c>
      <c r="D66" s="137">
        <v>3180000</v>
      </c>
      <c r="E66" s="20" t="s">
        <v>693</v>
      </c>
      <c r="F66" s="20" t="s">
        <v>694</v>
      </c>
      <c r="G66" s="8" t="str">
        <f t="shared" si="0"/>
        <v>HUFFSMITH MONTY</v>
      </c>
      <c r="H66" s="20" t="str">
        <f t="shared" si="1"/>
        <v>4061</v>
      </c>
    </row>
    <row r="67" spans="1:8" x14ac:dyDescent="0.3">
      <c r="A67" s="8">
        <v>43103.340416666666</v>
      </c>
      <c r="B67" s="20" t="s">
        <v>443</v>
      </c>
      <c r="C67" s="20" t="s">
        <v>729</v>
      </c>
      <c r="D67" s="137">
        <v>3120000</v>
      </c>
      <c r="E67" s="20" t="s">
        <v>369</v>
      </c>
      <c r="F67" s="20" t="s">
        <v>676</v>
      </c>
      <c r="G67" s="8" t="str">
        <f t="shared" ref="G67:G130" si="2">E67&amp;" "&amp;F67</f>
        <v>THOMPSON LESTER</v>
      </c>
      <c r="H67" s="20" t="str">
        <f t="shared" ref="H67:H130" si="3">MID(B67,13,4)</f>
        <v>4049</v>
      </c>
    </row>
    <row r="68" spans="1:8" x14ac:dyDescent="0.3">
      <c r="A68" s="8">
        <v>43103.348611111112</v>
      </c>
      <c r="B68" s="20" t="s">
        <v>648</v>
      </c>
      <c r="C68" s="20" t="s">
        <v>730</v>
      </c>
      <c r="D68" s="137">
        <v>3260000</v>
      </c>
      <c r="E68" s="20" t="s">
        <v>679</v>
      </c>
      <c r="F68" s="20" t="s">
        <v>680</v>
      </c>
      <c r="G68" s="8" t="str">
        <f t="shared" si="2"/>
        <v>PAGE MARCUS</v>
      </c>
      <c r="H68" s="20" t="str">
        <f t="shared" si="3"/>
        <v>4001</v>
      </c>
    </row>
    <row r="69" spans="1:8" x14ac:dyDescent="0.3">
      <c r="A69" s="8">
        <v>43103.350590277776</v>
      </c>
      <c r="B69" s="20" t="s">
        <v>446</v>
      </c>
      <c r="C69" s="20" t="s">
        <v>643</v>
      </c>
      <c r="D69" s="137">
        <v>3840000</v>
      </c>
      <c r="E69" s="20" t="s">
        <v>571</v>
      </c>
      <c r="F69" s="20" t="s">
        <v>572</v>
      </c>
      <c r="G69" s="8" t="str">
        <f t="shared" si="2"/>
        <v>LONG FULLER</v>
      </c>
      <c r="H69" s="20" t="str">
        <f t="shared" si="3"/>
        <v>4042</v>
      </c>
    </row>
    <row r="70" spans="1:8" x14ac:dyDescent="0.3">
      <c r="A70" s="8">
        <v>43103.351666666669</v>
      </c>
      <c r="B70" s="20" t="s">
        <v>542</v>
      </c>
      <c r="C70" s="20" t="s">
        <v>650</v>
      </c>
      <c r="D70" s="137">
        <v>2270000</v>
      </c>
      <c r="E70" s="20" t="s">
        <v>731</v>
      </c>
      <c r="F70" s="20" t="s">
        <v>732</v>
      </c>
      <c r="G70" s="8" t="str">
        <f t="shared" si="2"/>
        <v>BROWN JACOB</v>
      </c>
      <c r="H70" s="20" t="str">
        <f t="shared" si="3"/>
        <v>4026</v>
      </c>
    </row>
    <row r="71" spans="1:8" x14ac:dyDescent="0.3">
      <c r="A71" s="8">
        <v>43103.351724537039</v>
      </c>
      <c r="B71" s="20" t="s">
        <v>569</v>
      </c>
      <c r="C71" s="20" t="s">
        <v>733</v>
      </c>
      <c r="D71" s="137">
        <v>1100000</v>
      </c>
      <c r="E71" s="20" t="s">
        <v>700</v>
      </c>
      <c r="F71" s="20" t="s">
        <v>701</v>
      </c>
      <c r="G71" s="8" t="str">
        <f t="shared" si="2"/>
        <v>GEBRETEKLE DAGNEW</v>
      </c>
      <c r="H71" s="20" t="str">
        <f t="shared" si="3"/>
        <v>4063</v>
      </c>
    </row>
    <row r="72" spans="1:8" x14ac:dyDescent="0.3">
      <c r="A72" s="8">
        <v>43103.354143518518</v>
      </c>
      <c r="B72" s="20" t="s">
        <v>513</v>
      </c>
      <c r="C72" s="20" t="s">
        <v>734</v>
      </c>
      <c r="D72" s="137">
        <v>3090000</v>
      </c>
      <c r="E72" s="20" t="s">
        <v>514</v>
      </c>
      <c r="F72" s="20" t="s">
        <v>515</v>
      </c>
      <c r="G72" s="8" t="str">
        <f t="shared" si="2"/>
        <v>LAMAR NEKESHA</v>
      </c>
      <c r="H72" s="20" t="str">
        <f t="shared" si="3"/>
        <v>4014</v>
      </c>
    </row>
    <row r="73" spans="1:8" x14ac:dyDescent="0.3">
      <c r="A73" s="8">
        <v>43103.360081018516</v>
      </c>
      <c r="B73" s="20" t="s">
        <v>392</v>
      </c>
      <c r="C73" s="20" t="s">
        <v>735</v>
      </c>
      <c r="D73" s="137">
        <v>1230000</v>
      </c>
      <c r="E73" s="20" t="s">
        <v>573</v>
      </c>
      <c r="F73" s="20" t="s">
        <v>574</v>
      </c>
      <c r="G73" s="8" t="str">
        <f t="shared" si="2"/>
        <v>YANAI IAN</v>
      </c>
      <c r="H73" s="20" t="str">
        <f t="shared" si="3"/>
        <v>4030</v>
      </c>
    </row>
    <row r="74" spans="1:8" x14ac:dyDescent="0.3">
      <c r="A74" s="8">
        <v>43103.360555555555</v>
      </c>
      <c r="B74" s="20" t="s">
        <v>652</v>
      </c>
      <c r="C74" s="20" t="s">
        <v>736</v>
      </c>
      <c r="D74" s="137">
        <v>2600000</v>
      </c>
      <c r="E74" s="20" t="s">
        <v>503</v>
      </c>
      <c r="F74" s="20" t="s">
        <v>493</v>
      </c>
      <c r="G74" s="8" t="str">
        <f t="shared" si="2"/>
        <v>DAVIDSON DAVID</v>
      </c>
      <c r="H74" s="20" t="str">
        <f t="shared" si="3"/>
        <v>4003</v>
      </c>
    </row>
    <row r="75" spans="1:8" x14ac:dyDescent="0.3">
      <c r="A75" s="8">
        <v>43103.369432870371</v>
      </c>
      <c r="B75" s="20" t="s">
        <v>390</v>
      </c>
      <c r="C75" s="20" t="s">
        <v>737</v>
      </c>
      <c r="D75" s="137">
        <v>2440000</v>
      </c>
      <c r="E75" s="20" t="s">
        <v>450</v>
      </c>
      <c r="F75" s="20" t="s">
        <v>451</v>
      </c>
      <c r="G75" s="8" t="str">
        <f t="shared" si="2"/>
        <v>LOPES KIMBERLY</v>
      </c>
      <c r="H75" s="20" t="str">
        <f t="shared" si="3"/>
        <v>4059</v>
      </c>
    </row>
    <row r="76" spans="1:8" x14ac:dyDescent="0.3">
      <c r="A76" s="8">
        <v>43103.372997685183</v>
      </c>
      <c r="B76" s="20" t="s">
        <v>543</v>
      </c>
      <c r="C76" s="20" t="s">
        <v>644</v>
      </c>
      <c r="D76" s="137">
        <v>2270000</v>
      </c>
      <c r="E76" s="20" t="s">
        <v>731</v>
      </c>
      <c r="F76" s="20" t="s">
        <v>732</v>
      </c>
      <c r="G76" s="8" t="str">
        <f t="shared" si="2"/>
        <v>BROWN JACOB</v>
      </c>
      <c r="H76" s="20" t="str">
        <f t="shared" si="3"/>
        <v>4025</v>
      </c>
    </row>
    <row r="77" spans="1:8" x14ac:dyDescent="0.3">
      <c r="A77" s="8">
        <v>43103.373113425929</v>
      </c>
      <c r="B77" s="20" t="s">
        <v>526</v>
      </c>
      <c r="C77" s="20" t="s">
        <v>738</v>
      </c>
      <c r="D77" s="137">
        <v>1100000</v>
      </c>
      <c r="E77" s="20" t="s">
        <v>700</v>
      </c>
      <c r="F77" s="20" t="s">
        <v>701</v>
      </c>
      <c r="G77" s="8" t="str">
        <f t="shared" si="2"/>
        <v>GEBRETEKLE DAGNEW</v>
      </c>
      <c r="H77" s="20" t="str">
        <f t="shared" si="3"/>
        <v>4064</v>
      </c>
    </row>
    <row r="78" spans="1:8" x14ac:dyDescent="0.3">
      <c r="A78" s="8">
        <v>43103.373761574076</v>
      </c>
      <c r="B78" s="20" t="s">
        <v>444</v>
      </c>
      <c r="C78" s="20" t="s">
        <v>739</v>
      </c>
      <c r="D78" s="137">
        <v>3120000</v>
      </c>
      <c r="E78" s="20" t="s">
        <v>369</v>
      </c>
      <c r="F78" s="20" t="s">
        <v>676</v>
      </c>
      <c r="G78" s="8" t="str">
        <f t="shared" si="2"/>
        <v>THOMPSON LESTER</v>
      </c>
      <c r="H78" s="20" t="str">
        <f t="shared" si="3"/>
        <v>4050</v>
      </c>
    </row>
    <row r="79" spans="1:8" x14ac:dyDescent="0.3">
      <c r="A79" s="8">
        <v>43103.380856481483</v>
      </c>
      <c r="B79" s="20" t="s">
        <v>383</v>
      </c>
      <c r="C79" s="20" t="s">
        <v>740</v>
      </c>
      <c r="D79" s="137">
        <v>3180000</v>
      </c>
      <c r="E79" s="20" t="s">
        <v>693</v>
      </c>
      <c r="F79" s="20" t="s">
        <v>694</v>
      </c>
      <c r="G79" s="8" t="str">
        <f t="shared" si="2"/>
        <v>HUFFSMITH MONTY</v>
      </c>
      <c r="H79" s="20" t="str">
        <f t="shared" si="3"/>
        <v>4062</v>
      </c>
    </row>
    <row r="80" spans="1:8" x14ac:dyDescent="0.3">
      <c r="A80" s="8">
        <v>43103.387094907404</v>
      </c>
      <c r="B80" s="20" t="s">
        <v>524</v>
      </c>
      <c r="C80" s="20" t="s">
        <v>741</v>
      </c>
      <c r="D80" s="137">
        <v>3840000</v>
      </c>
      <c r="E80" s="20" t="s">
        <v>571</v>
      </c>
      <c r="F80" s="20" t="s">
        <v>572</v>
      </c>
      <c r="G80" s="8" t="str">
        <f t="shared" si="2"/>
        <v>LONG FULLER</v>
      </c>
      <c r="H80" s="20" t="str">
        <f t="shared" si="3"/>
        <v>4041</v>
      </c>
    </row>
    <row r="81" spans="1:8" x14ac:dyDescent="0.3">
      <c r="A81" s="8">
        <v>43103.390474537038</v>
      </c>
      <c r="B81" s="20" t="s">
        <v>386</v>
      </c>
      <c r="C81" s="20" t="s">
        <v>647</v>
      </c>
      <c r="D81" s="137">
        <v>1230000</v>
      </c>
      <c r="E81" s="20" t="s">
        <v>573</v>
      </c>
      <c r="F81" s="20" t="s">
        <v>574</v>
      </c>
      <c r="G81" s="8" t="str">
        <f t="shared" si="2"/>
        <v>YANAI IAN</v>
      </c>
      <c r="H81" s="20" t="str">
        <f t="shared" si="3"/>
        <v>4029</v>
      </c>
    </row>
    <row r="82" spans="1:8" x14ac:dyDescent="0.3">
      <c r="A82" s="8">
        <v>43103.391932870371</v>
      </c>
      <c r="B82" s="20" t="s">
        <v>634</v>
      </c>
      <c r="C82" s="20" t="s">
        <v>742</v>
      </c>
      <c r="D82" s="137">
        <v>3260000</v>
      </c>
      <c r="E82" s="20" t="s">
        <v>679</v>
      </c>
      <c r="F82" s="20" t="s">
        <v>680</v>
      </c>
      <c r="G82" s="8" t="str">
        <f t="shared" si="2"/>
        <v>PAGE MARCUS</v>
      </c>
      <c r="H82" s="20" t="str">
        <f t="shared" si="3"/>
        <v>4002</v>
      </c>
    </row>
    <row r="83" spans="1:8" x14ac:dyDescent="0.3">
      <c r="A83" s="8">
        <v>43103.392916666664</v>
      </c>
      <c r="B83" s="20" t="s">
        <v>569</v>
      </c>
      <c r="C83" s="20" t="s">
        <v>743</v>
      </c>
      <c r="D83" s="137">
        <v>1100000</v>
      </c>
      <c r="E83" s="20" t="s">
        <v>700</v>
      </c>
      <c r="F83" s="20" t="s">
        <v>701</v>
      </c>
      <c r="G83" s="8" t="str">
        <f t="shared" si="2"/>
        <v>GEBRETEKLE DAGNEW</v>
      </c>
      <c r="H83" s="20" t="str">
        <f t="shared" si="3"/>
        <v>4063</v>
      </c>
    </row>
    <row r="84" spans="1:8" x14ac:dyDescent="0.3">
      <c r="A84" s="8">
        <v>43103.39371527778</v>
      </c>
      <c r="B84" s="20" t="s">
        <v>542</v>
      </c>
      <c r="C84" s="20" t="s">
        <v>645</v>
      </c>
      <c r="D84" s="137">
        <v>3000000</v>
      </c>
      <c r="E84" s="20" t="s">
        <v>744</v>
      </c>
      <c r="F84" s="20" t="s">
        <v>745</v>
      </c>
      <c r="G84" s="8" t="str">
        <f t="shared" si="2"/>
        <v>FORTUNATO FRANK</v>
      </c>
      <c r="H84" s="20" t="str">
        <f t="shared" si="3"/>
        <v>4026</v>
      </c>
    </row>
    <row r="85" spans="1:8" x14ac:dyDescent="0.3">
      <c r="A85" s="8">
        <v>43103.401932870373</v>
      </c>
      <c r="B85" s="20" t="s">
        <v>527</v>
      </c>
      <c r="C85" s="20" t="s">
        <v>746</v>
      </c>
      <c r="D85" s="137">
        <v>2600000</v>
      </c>
      <c r="E85" s="20" t="s">
        <v>503</v>
      </c>
      <c r="F85" s="20" t="s">
        <v>493</v>
      </c>
      <c r="G85" s="8" t="str">
        <f t="shared" si="2"/>
        <v>DAVIDSON DAVID</v>
      </c>
      <c r="H85" s="20" t="str">
        <f t="shared" si="3"/>
        <v>4004</v>
      </c>
    </row>
    <row r="86" spans="1:8" x14ac:dyDescent="0.3">
      <c r="A86" s="8">
        <v>43103.410138888888</v>
      </c>
      <c r="B86" s="20" t="s">
        <v>543</v>
      </c>
      <c r="C86" s="20" t="s">
        <v>646</v>
      </c>
      <c r="D86" s="137">
        <v>3000000</v>
      </c>
      <c r="E86" s="20" t="s">
        <v>744</v>
      </c>
      <c r="F86" s="20" t="s">
        <v>745</v>
      </c>
      <c r="G86" s="8" t="str">
        <f t="shared" si="2"/>
        <v>FORTUNATO FRANK</v>
      </c>
      <c r="H86" s="20" t="str">
        <f t="shared" si="3"/>
        <v>4025</v>
      </c>
    </row>
    <row r="87" spans="1:8" x14ac:dyDescent="0.3">
      <c r="A87" s="8">
        <v>43103.410219907404</v>
      </c>
      <c r="B87" s="20" t="s">
        <v>357</v>
      </c>
      <c r="C87" s="20" t="s">
        <v>747</v>
      </c>
      <c r="D87" s="137">
        <v>2440000</v>
      </c>
      <c r="E87" s="20" t="s">
        <v>450</v>
      </c>
      <c r="F87" s="20" t="s">
        <v>451</v>
      </c>
      <c r="G87" s="8" t="str">
        <f t="shared" si="2"/>
        <v>LOPES KIMBERLY</v>
      </c>
      <c r="H87" s="20" t="str">
        <f t="shared" si="3"/>
        <v>4060</v>
      </c>
    </row>
    <row r="88" spans="1:8" x14ac:dyDescent="0.3">
      <c r="A88" s="8">
        <v>43103.41265046296</v>
      </c>
      <c r="B88" s="20" t="s">
        <v>385</v>
      </c>
      <c r="C88" s="20" t="s">
        <v>748</v>
      </c>
      <c r="D88" s="137">
        <v>3180000</v>
      </c>
      <c r="E88" s="20" t="s">
        <v>693</v>
      </c>
      <c r="F88" s="20" t="s">
        <v>694</v>
      </c>
      <c r="G88" s="8" t="str">
        <f t="shared" si="2"/>
        <v>HUFFSMITH MONTY</v>
      </c>
      <c r="H88" s="20" t="str">
        <f t="shared" si="3"/>
        <v>4061</v>
      </c>
    </row>
    <row r="89" spans="1:8" x14ac:dyDescent="0.3">
      <c r="A89" s="8">
        <v>43103.413564814815</v>
      </c>
      <c r="B89" s="20" t="s">
        <v>443</v>
      </c>
      <c r="C89" s="20" t="s">
        <v>749</v>
      </c>
      <c r="D89" s="137">
        <v>3120000</v>
      </c>
      <c r="E89" s="20" t="s">
        <v>369</v>
      </c>
      <c r="F89" s="20" t="s">
        <v>676</v>
      </c>
      <c r="G89" s="8" t="str">
        <f t="shared" si="2"/>
        <v>THOMPSON LESTER</v>
      </c>
      <c r="H89" s="20" t="str">
        <f t="shared" si="3"/>
        <v>4049</v>
      </c>
    </row>
    <row r="90" spans="1:8" x14ac:dyDescent="0.3">
      <c r="A90" s="8">
        <v>43103.414826388886</v>
      </c>
      <c r="B90" s="20" t="s">
        <v>526</v>
      </c>
      <c r="C90" s="20" t="s">
        <v>750</v>
      </c>
      <c r="D90" s="137">
        <v>1100000</v>
      </c>
      <c r="E90" s="20" t="s">
        <v>700</v>
      </c>
      <c r="F90" s="20" t="s">
        <v>701</v>
      </c>
      <c r="G90" s="8" t="str">
        <f t="shared" si="2"/>
        <v>GEBRETEKLE DAGNEW</v>
      </c>
      <c r="H90" s="20" t="str">
        <f t="shared" si="3"/>
        <v>4064</v>
      </c>
    </row>
    <row r="91" spans="1:8" x14ac:dyDescent="0.3">
      <c r="A91" s="8">
        <v>43103.422662037039</v>
      </c>
      <c r="B91" s="20" t="s">
        <v>446</v>
      </c>
      <c r="C91" s="20" t="s">
        <v>751</v>
      </c>
      <c r="D91" s="137">
        <v>3090000</v>
      </c>
      <c r="E91" s="20" t="s">
        <v>514</v>
      </c>
      <c r="F91" s="20" t="s">
        <v>515</v>
      </c>
      <c r="G91" s="8" t="str">
        <f t="shared" si="2"/>
        <v>LAMAR NEKESHA</v>
      </c>
      <c r="H91" s="20" t="str">
        <f t="shared" si="3"/>
        <v>4042</v>
      </c>
    </row>
    <row r="92" spans="1:8" x14ac:dyDescent="0.3">
      <c r="A92" s="8">
        <v>43103.423576388886</v>
      </c>
      <c r="B92" s="20" t="s">
        <v>648</v>
      </c>
      <c r="C92" s="20" t="s">
        <v>649</v>
      </c>
      <c r="D92" s="137">
        <v>3260000</v>
      </c>
      <c r="E92" s="20" t="s">
        <v>679</v>
      </c>
      <c r="F92" s="20" t="s">
        <v>680</v>
      </c>
      <c r="G92" s="8" t="str">
        <f t="shared" si="2"/>
        <v>PAGE MARCUS</v>
      </c>
      <c r="H92" s="20" t="str">
        <f t="shared" si="3"/>
        <v>4001</v>
      </c>
    </row>
    <row r="93" spans="1:8" x14ac:dyDescent="0.3">
      <c r="A93" s="8">
        <v>43103.433171296296</v>
      </c>
      <c r="B93" s="20" t="s">
        <v>542</v>
      </c>
      <c r="C93" s="20" t="s">
        <v>650</v>
      </c>
      <c r="D93" s="137">
        <v>2270000</v>
      </c>
      <c r="E93" s="20" t="s">
        <v>731</v>
      </c>
      <c r="F93" s="20" t="s">
        <v>732</v>
      </c>
      <c r="G93" s="8" t="str">
        <f t="shared" si="2"/>
        <v>BROWN JACOB</v>
      </c>
      <c r="H93" s="20" t="str">
        <f t="shared" si="3"/>
        <v>4026</v>
      </c>
    </row>
    <row r="94" spans="1:8" x14ac:dyDescent="0.3">
      <c r="A94" s="8">
        <v>43103.433842592596</v>
      </c>
      <c r="B94" s="20" t="s">
        <v>652</v>
      </c>
      <c r="C94" s="20" t="s">
        <v>752</v>
      </c>
      <c r="D94" s="137">
        <v>2600000</v>
      </c>
      <c r="E94" s="20" t="s">
        <v>503</v>
      </c>
      <c r="F94" s="20" t="s">
        <v>493</v>
      </c>
      <c r="G94" s="8" t="str">
        <f t="shared" si="2"/>
        <v>DAVIDSON DAVID</v>
      </c>
      <c r="H94" s="20" t="str">
        <f t="shared" si="3"/>
        <v>4003</v>
      </c>
    </row>
    <row r="95" spans="1:8" x14ac:dyDescent="0.3">
      <c r="A95" s="8">
        <v>43103.434606481482</v>
      </c>
      <c r="B95" s="20" t="s">
        <v>392</v>
      </c>
      <c r="C95" s="20" t="s">
        <v>753</v>
      </c>
      <c r="D95" s="137">
        <v>1230000</v>
      </c>
      <c r="E95" s="20" t="s">
        <v>573</v>
      </c>
      <c r="F95" s="20" t="s">
        <v>574</v>
      </c>
      <c r="G95" s="8" t="str">
        <f t="shared" si="2"/>
        <v>YANAI IAN</v>
      </c>
      <c r="H95" s="20" t="str">
        <f t="shared" si="3"/>
        <v>4030</v>
      </c>
    </row>
    <row r="96" spans="1:8" x14ac:dyDescent="0.3">
      <c r="A96" s="8">
        <v>43103.434618055559</v>
      </c>
      <c r="B96" s="20" t="s">
        <v>569</v>
      </c>
      <c r="C96" s="20" t="s">
        <v>754</v>
      </c>
      <c r="D96" s="137">
        <v>1100000</v>
      </c>
      <c r="E96" s="20" t="s">
        <v>700</v>
      </c>
      <c r="F96" s="20" t="s">
        <v>701</v>
      </c>
      <c r="G96" s="8" t="str">
        <f t="shared" si="2"/>
        <v>GEBRETEKLE DAGNEW</v>
      </c>
      <c r="H96" s="20" t="str">
        <f t="shared" si="3"/>
        <v>4063</v>
      </c>
    </row>
    <row r="97" spans="1:8" x14ac:dyDescent="0.3">
      <c r="A97" s="8">
        <v>43103.445300925923</v>
      </c>
      <c r="B97" s="20" t="s">
        <v>648</v>
      </c>
      <c r="C97" s="20" t="s">
        <v>649</v>
      </c>
      <c r="D97" s="137">
        <v>3260000</v>
      </c>
      <c r="E97" s="20" t="s">
        <v>679</v>
      </c>
      <c r="F97" s="20" t="s">
        <v>680</v>
      </c>
      <c r="G97" s="8" t="str">
        <f t="shared" si="2"/>
        <v>PAGE MARCUS</v>
      </c>
      <c r="H97" s="20" t="str">
        <f t="shared" si="3"/>
        <v>4001</v>
      </c>
    </row>
    <row r="98" spans="1:8" x14ac:dyDescent="0.3">
      <c r="A98" s="8">
        <v>43103.445520833331</v>
      </c>
      <c r="B98" s="20" t="s">
        <v>444</v>
      </c>
      <c r="C98" s="20" t="s">
        <v>755</v>
      </c>
      <c r="D98" s="137">
        <v>920000</v>
      </c>
      <c r="E98" s="20" t="s">
        <v>528</v>
      </c>
      <c r="F98" s="20" t="s">
        <v>352</v>
      </c>
      <c r="G98" s="8" t="str">
        <f t="shared" si="2"/>
        <v>DAVIS MICHAEL</v>
      </c>
      <c r="H98" s="20" t="str">
        <f t="shared" si="3"/>
        <v>4050</v>
      </c>
    </row>
    <row r="99" spans="1:8" x14ac:dyDescent="0.3">
      <c r="A99" s="8">
        <v>43103.447893518518</v>
      </c>
      <c r="B99" s="20" t="s">
        <v>502</v>
      </c>
      <c r="C99" s="20" t="s">
        <v>672</v>
      </c>
      <c r="D99" s="137">
        <v>1810000</v>
      </c>
      <c r="E99" s="20" t="s">
        <v>756</v>
      </c>
      <c r="F99" s="20" t="s">
        <v>395</v>
      </c>
      <c r="G99" s="8" t="str">
        <f t="shared" si="2"/>
        <v>NEWELL JAMES</v>
      </c>
      <c r="H99" s="20" t="str">
        <f t="shared" si="3"/>
        <v>4020</v>
      </c>
    </row>
    <row r="100" spans="1:8" x14ac:dyDescent="0.3">
      <c r="A100" s="8">
        <v>43103.453159722223</v>
      </c>
      <c r="B100" s="20" t="s">
        <v>501</v>
      </c>
      <c r="C100" s="20" t="s">
        <v>672</v>
      </c>
      <c r="D100" s="137">
        <v>1810000</v>
      </c>
      <c r="E100" s="20" t="s">
        <v>756</v>
      </c>
      <c r="F100" s="20" t="s">
        <v>395</v>
      </c>
      <c r="G100" s="8" t="str">
        <f t="shared" si="2"/>
        <v>NEWELL JAMES</v>
      </c>
      <c r="H100" s="20" t="str">
        <f t="shared" si="3"/>
        <v>4019</v>
      </c>
    </row>
    <row r="101" spans="1:8" x14ac:dyDescent="0.3">
      <c r="A101" s="8">
        <v>43103.453657407408</v>
      </c>
      <c r="B101" s="20" t="s">
        <v>390</v>
      </c>
      <c r="C101" s="20" t="s">
        <v>757</v>
      </c>
      <c r="D101" s="137">
        <v>2440000</v>
      </c>
      <c r="E101" s="20" t="s">
        <v>450</v>
      </c>
      <c r="F101" s="20" t="s">
        <v>451</v>
      </c>
      <c r="G101" s="8" t="str">
        <f t="shared" si="2"/>
        <v>LOPES KIMBERLY</v>
      </c>
      <c r="H101" s="20" t="str">
        <f t="shared" si="3"/>
        <v>4059</v>
      </c>
    </row>
    <row r="102" spans="1:8" x14ac:dyDescent="0.3">
      <c r="A102" s="8">
        <v>43103.454074074078</v>
      </c>
      <c r="B102" s="20" t="s">
        <v>383</v>
      </c>
      <c r="C102" s="20" t="s">
        <v>758</v>
      </c>
      <c r="D102" s="137">
        <v>3180000</v>
      </c>
      <c r="E102" s="20" t="s">
        <v>693</v>
      </c>
      <c r="F102" s="20" t="s">
        <v>694</v>
      </c>
      <c r="G102" s="8" t="str">
        <f t="shared" si="2"/>
        <v>HUFFSMITH MONTY</v>
      </c>
      <c r="H102" s="20" t="str">
        <f t="shared" si="3"/>
        <v>4062</v>
      </c>
    </row>
    <row r="103" spans="1:8" x14ac:dyDescent="0.3">
      <c r="A103" s="8">
        <v>43103.455659722225</v>
      </c>
      <c r="B103" s="20" t="s">
        <v>524</v>
      </c>
      <c r="C103" s="20" t="s">
        <v>759</v>
      </c>
      <c r="D103" s="137">
        <v>3090000</v>
      </c>
      <c r="E103" s="20" t="s">
        <v>514</v>
      </c>
      <c r="F103" s="20" t="s">
        <v>515</v>
      </c>
      <c r="G103" s="8" t="str">
        <f t="shared" si="2"/>
        <v>LAMAR NEKESHA</v>
      </c>
      <c r="H103" s="20" t="str">
        <f t="shared" si="3"/>
        <v>4041</v>
      </c>
    </row>
    <row r="104" spans="1:8" x14ac:dyDescent="0.3">
      <c r="A104" s="8">
        <v>43103.456782407404</v>
      </c>
      <c r="B104" s="20" t="s">
        <v>526</v>
      </c>
      <c r="C104" s="20" t="s">
        <v>760</v>
      </c>
      <c r="D104" s="137">
        <v>1100000</v>
      </c>
      <c r="E104" s="20" t="s">
        <v>700</v>
      </c>
      <c r="F104" s="20" t="s">
        <v>701</v>
      </c>
      <c r="G104" s="8" t="str">
        <f t="shared" si="2"/>
        <v>GEBRETEKLE DAGNEW</v>
      </c>
      <c r="H104" s="20" t="str">
        <f t="shared" si="3"/>
        <v>4064</v>
      </c>
    </row>
    <row r="105" spans="1:8" x14ac:dyDescent="0.3">
      <c r="A105" s="8">
        <v>43103.461689814816</v>
      </c>
      <c r="B105" s="20" t="s">
        <v>543</v>
      </c>
      <c r="C105" s="20" t="s">
        <v>644</v>
      </c>
      <c r="D105" s="137">
        <v>2270000</v>
      </c>
      <c r="E105" s="20" t="s">
        <v>731</v>
      </c>
      <c r="F105" s="20" t="s">
        <v>732</v>
      </c>
      <c r="G105" s="8" t="str">
        <f t="shared" si="2"/>
        <v>BROWN JACOB</v>
      </c>
      <c r="H105" s="20" t="str">
        <f t="shared" si="3"/>
        <v>4025</v>
      </c>
    </row>
    <row r="106" spans="1:8" x14ac:dyDescent="0.3">
      <c r="A106" s="8">
        <v>43103.464837962965</v>
      </c>
      <c r="B106" s="20" t="s">
        <v>386</v>
      </c>
      <c r="C106" s="20" t="s">
        <v>761</v>
      </c>
      <c r="D106" s="137">
        <v>1230000</v>
      </c>
      <c r="E106" s="20" t="s">
        <v>573</v>
      </c>
      <c r="F106" s="20" t="s">
        <v>574</v>
      </c>
      <c r="G106" s="8" t="str">
        <f t="shared" si="2"/>
        <v>YANAI IAN</v>
      </c>
      <c r="H106" s="20" t="str">
        <f t="shared" si="3"/>
        <v>4029</v>
      </c>
    </row>
    <row r="107" spans="1:8" x14ac:dyDescent="0.3">
      <c r="A107" s="8">
        <v>43103.466446759259</v>
      </c>
      <c r="B107" s="20" t="s">
        <v>502</v>
      </c>
      <c r="C107" s="20" t="s">
        <v>762</v>
      </c>
      <c r="D107" s="137">
        <v>1770000</v>
      </c>
      <c r="E107" s="20" t="s">
        <v>763</v>
      </c>
      <c r="F107" s="20" t="s">
        <v>764</v>
      </c>
      <c r="G107" s="8" t="str">
        <f t="shared" si="2"/>
        <v>BRUDER RICHARD</v>
      </c>
      <c r="H107" s="20" t="str">
        <f t="shared" si="3"/>
        <v>4020</v>
      </c>
    </row>
    <row r="108" spans="1:8" x14ac:dyDescent="0.3">
      <c r="A108" s="8">
        <v>43103.476134259261</v>
      </c>
      <c r="B108" s="20" t="s">
        <v>527</v>
      </c>
      <c r="C108" s="20" t="s">
        <v>765</v>
      </c>
      <c r="D108" s="137">
        <v>880000</v>
      </c>
      <c r="E108" s="20" t="s">
        <v>544</v>
      </c>
      <c r="F108" s="20" t="s">
        <v>352</v>
      </c>
      <c r="G108" s="8" t="str">
        <f t="shared" si="2"/>
        <v>STEWART MICHAEL</v>
      </c>
      <c r="H108" s="20" t="str">
        <f t="shared" si="3"/>
        <v>4004</v>
      </c>
    </row>
    <row r="109" spans="1:8" x14ac:dyDescent="0.3">
      <c r="A109" s="8">
        <v>43103.47625</v>
      </c>
      <c r="B109" s="20" t="s">
        <v>569</v>
      </c>
      <c r="C109" s="20" t="s">
        <v>766</v>
      </c>
      <c r="D109" s="137">
        <v>1100000</v>
      </c>
      <c r="E109" s="20" t="s">
        <v>700</v>
      </c>
      <c r="F109" s="20" t="s">
        <v>701</v>
      </c>
      <c r="G109" s="8" t="str">
        <f t="shared" si="2"/>
        <v>GEBRETEKLE DAGNEW</v>
      </c>
      <c r="H109" s="20" t="str">
        <f t="shared" si="3"/>
        <v>4063</v>
      </c>
    </row>
    <row r="110" spans="1:8" x14ac:dyDescent="0.3">
      <c r="A110" s="8">
        <v>43103.485266203701</v>
      </c>
      <c r="B110" s="20" t="s">
        <v>357</v>
      </c>
      <c r="C110" s="20" t="s">
        <v>767</v>
      </c>
      <c r="D110" s="137">
        <v>2970000</v>
      </c>
      <c r="E110" s="20" t="s">
        <v>374</v>
      </c>
      <c r="F110" s="20" t="s">
        <v>375</v>
      </c>
      <c r="G110" s="8" t="str">
        <f t="shared" si="2"/>
        <v>GUZMAN DANNY</v>
      </c>
      <c r="H110" s="20" t="str">
        <f t="shared" si="3"/>
        <v>4060</v>
      </c>
    </row>
    <row r="111" spans="1:8" x14ac:dyDescent="0.3">
      <c r="A111" s="8">
        <v>43103.486342592594</v>
      </c>
      <c r="B111" s="20" t="s">
        <v>443</v>
      </c>
      <c r="C111" s="20" t="s">
        <v>651</v>
      </c>
      <c r="D111" s="137">
        <v>920000</v>
      </c>
      <c r="E111" s="20" t="s">
        <v>528</v>
      </c>
      <c r="F111" s="20" t="s">
        <v>352</v>
      </c>
      <c r="G111" s="8" t="str">
        <f t="shared" si="2"/>
        <v>DAVIS MICHAEL</v>
      </c>
      <c r="H111" s="20" t="str">
        <f t="shared" si="3"/>
        <v>4049</v>
      </c>
    </row>
    <row r="112" spans="1:8" x14ac:dyDescent="0.3">
      <c r="A112" s="8">
        <v>43103.487835648149</v>
      </c>
      <c r="B112" s="20" t="s">
        <v>385</v>
      </c>
      <c r="C112" s="20" t="s">
        <v>768</v>
      </c>
      <c r="D112" s="137">
        <v>3180000</v>
      </c>
      <c r="E112" s="20" t="s">
        <v>693</v>
      </c>
      <c r="F112" s="20" t="s">
        <v>694</v>
      </c>
      <c r="G112" s="8" t="str">
        <f t="shared" si="2"/>
        <v>HUFFSMITH MONTY</v>
      </c>
      <c r="H112" s="20" t="str">
        <f t="shared" si="3"/>
        <v>4061</v>
      </c>
    </row>
    <row r="113" spans="1:8" x14ac:dyDescent="0.3">
      <c r="A113" s="8">
        <v>43103.494386574072</v>
      </c>
      <c r="B113" s="20" t="s">
        <v>542</v>
      </c>
      <c r="C113" s="20" t="s">
        <v>645</v>
      </c>
      <c r="D113" s="137">
        <v>3000000</v>
      </c>
      <c r="E113" s="20" t="s">
        <v>744</v>
      </c>
      <c r="F113" s="20" t="s">
        <v>745</v>
      </c>
      <c r="G113" s="8" t="str">
        <f t="shared" si="2"/>
        <v>FORTUNATO FRANK</v>
      </c>
      <c r="H113" s="20" t="str">
        <f t="shared" si="3"/>
        <v>4026</v>
      </c>
    </row>
    <row r="114" spans="1:8" x14ac:dyDescent="0.3">
      <c r="A114" s="8">
        <v>43103.49664351852</v>
      </c>
      <c r="B114" s="20" t="s">
        <v>446</v>
      </c>
      <c r="C114" s="20" t="s">
        <v>769</v>
      </c>
      <c r="D114" s="137">
        <v>1300000</v>
      </c>
      <c r="E114" s="20" t="s">
        <v>358</v>
      </c>
      <c r="F114" s="20" t="s">
        <v>359</v>
      </c>
      <c r="G114" s="8" t="str">
        <f t="shared" si="2"/>
        <v>LEVIN SCOTT</v>
      </c>
      <c r="H114" s="20" t="str">
        <f t="shared" si="3"/>
        <v>4042</v>
      </c>
    </row>
    <row r="115" spans="1:8" x14ac:dyDescent="0.3">
      <c r="A115" s="8">
        <v>43103.498356481483</v>
      </c>
      <c r="B115" s="20" t="s">
        <v>526</v>
      </c>
      <c r="C115" s="20" t="s">
        <v>770</v>
      </c>
      <c r="D115" s="137">
        <v>1100000</v>
      </c>
      <c r="E115" s="20" t="s">
        <v>700</v>
      </c>
      <c r="F115" s="20" t="s">
        <v>701</v>
      </c>
      <c r="G115" s="8" t="str">
        <f t="shared" si="2"/>
        <v>GEBRETEKLE DAGNEW</v>
      </c>
      <c r="H115" s="20" t="str">
        <f t="shared" si="3"/>
        <v>4064</v>
      </c>
    </row>
    <row r="116" spans="1:8" x14ac:dyDescent="0.3">
      <c r="A116" s="8">
        <v>43103.504756944443</v>
      </c>
      <c r="B116" s="20" t="s">
        <v>446</v>
      </c>
      <c r="C116" s="20" t="s">
        <v>769</v>
      </c>
      <c r="D116" s="137">
        <v>1300000</v>
      </c>
      <c r="E116" s="20" t="s">
        <v>358</v>
      </c>
      <c r="F116" s="20" t="s">
        <v>359</v>
      </c>
      <c r="G116" s="8" t="str">
        <f t="shared" si="2"/>
        <v>LEVIN SCOTT</v>
      </c>
      <c r="H116" s="20" t="str">
        <f t="shared" si="3"/>
        <v>4042</v>
      </c>
    </row>
    <row r="117" spans="1:8" x14ac:dyDescent="0.3">
      <c r="A117" s="8">
        <v>43103.506365740737</v>
      </c>
      <c r="B117" s="20" t="s">
        <v>392</v>
      </c>
      <c r="C117" s="20" t="s">
        <v>771</v>
      </c>
      <c r="D117" s="137">
        <v>2030000</v>
      </c>
      <c r="E117" s="20" t="s">
        <v>772</v>
      </c>
      <c r="F117" s="20" t="s">
        <v>493</v>
      </c>
      <c r="G117" s="8" t="str">
        <f t="shared" si="2"/>
        <v>KILLION DAVID</v>
      </c>
      <c r="H117" s="20" t="str">
        <f t="shared" si="3"/>
        <v>4030</v>
      </c>
    </row>
    <row r="118" spans="1:8" x14ac:dyDescent="0.3">
      <c r="A118" s="8">
        <v>43103.506747685184</v>
      </c>
      <c r="B118" s="20" t="s">
        <v>501</v>
      </c>
      <c r="C118" s="20" t="s">
        <v>773</v>
      </c>
      <c r="D118" s="137">
        <v>1770000</v>
      </c>
      <c r="E118" s="20" t="s">
        <v>763</v>
      </c>
      <c r="F118" s="20" t="s">
        <v>764</v>
      </c>
      <c r="G118" s="8" t="str">
        <f t="shared" si="2"/>
        <v>BRUDER RICHARD</v>
      </c>
      <c r="H118" s="20" t="str">
        <f t="shared" si="3"/>
        <v>4019</v>
      </c>
    </row>
    <row r="119" spans="1:8" x14ac:dyDescent="0.3">
      <c r="A119" s="8">
        <v>43103.510185185187</v>
      </c>
      <c r="B119" s="20" t="s">
        <v>543</v>
      </c>
      <c r="C119" s="20" t="s">
        <v>646</v>
      </c>
      <c r="D119" s="137">
        <v>3000000</v>
      </c>
      <c r="E119" s="20" t="s">
        <v>744</v>
      </c>
      <c r="F119" s="20" t="s">
        <v>745</v>
      </c>
      <c r="G119" s="8" t="str">
        <f t="shared" si="2"/>
        <v>FORTUNATO FRANK</v>
      </c>
      <c r="H119" s="20" t="str">
        <f t="shared" si="3"/>
        <v>4025</v>
      </c>
    </row>
    <row r="120" spans="1:8" x14ac:dyDescent="0.3">
      <c r="A120" s="8">
        <v>43103.516493055555</v>
      </c>
      <c r="B120" s="20" t="s">
        <v>390</v>
      </c>
      <c r="C120" s="20" t="s">
        <v>774</v>
      </c>
      <c r="D120" s="137">
        <v>2970000</v>
      </c>
      <c r="E120" s="20" t="s">
        <v>374</v>
      </c>
      <c r="F120" s="20" t="s">
        <v>375</v>
      </c>
      <c r="G120" s="8" t="str">
        <f t="shared" si="2"/>
        <v>GUZMAN DANNY</v>
      </c>
      <c r="H120" s="20" t="str">
        <f t="shared" si="3"/>
        <v>4059</v>
      </c>
    </row>
    <row r="121" spans="1:8" x14ac:dyDescent="0.3">
      <c r="A121" s="8">
        <v>43103.516770833332</v>
      </c>
      <c r="B121" s="20" t="s">
        <v>652</v>
      </c>
      <c r="C121" s="20" t="s">
        <v>653</v>
      </c>
      <c r="D121" s="137">
        <v>880000</v>
      </c>
      <c r="E121" s="20" t="s">
        <v>544</v>
      </c>
      <c r="F121" s="20" t="s">
        <v>352</v>
      </c>
      <c r="G121" s="8" t="str">
        <f t="shared" si="2"/>
        <v>STEWART MICHAEL</v>
      </c>
      <c r="H121" s="20" t="str">
        <f t="shared" si="3"/>
        <v>4003</v>
      </c>
    </row>
    <row r="122" spans="1:8" x14ac:dyDescent="0.3">
      <c r="A122" s="8">
        <v>43103.51798611111</v>
      </c>
      <c r="B122" s="25" t="s">
        <v>569</v>
      </c>
      <c r="C122" s="20" t="s">
        <v>775</v>
      </c>
      <c r="D122" s="137">
        <v>1100000</v>
      </c>
      <c r="E122" s="20" t="s">
        <v>700</v>
      </c>
      <c r="F122" s="20" t="s">
        <v>701</v>
      </c>
      <c r="G122" s="8" t="str">
        <f t="shared" si="2"/>
        <v>GEBRETEKLE DAGNEW</v>
      </c>
      <c r="H122" s="20" t="str">
        <f t="shared" si="3"/>
        <v>4063</v>
      </c>
    </row>
    <row r="123" spans="1:8" x14ac:dyDescent="0.3">
      <c r="A123" s="8">
        <v>43103.519884259258</v>
      </c>
      <c r="B123" s="20" t="s">
        <v>444</v>
      </c>
      <c r="C123" s="20" t="s">
        <v>776</v>
      </c>
      <c r="D123" s="137">
        <v>920000</v>
      </c>
      <c r="E123" s="20" t="s">
        <v>528</v>
      </c>
      <c r="F123" s="20" t="s">
        <v>352</v>
      </c>
      <c r="G123" s="8" t="str">
        <f t="shared" si="2"/>
        <v>DAVIS MICHAEL</v>
      </c>
      <c r="H123" s="20" t="str">
        <f t="shared" si="3"/>
        <v>4050</v>
      </c>
    </row>
    <row r="124" spans="1:8" x14ac:dyDescent="0.3">
      <c r="A124" s="8">
        <v>43103.527638888889</v>
      </c>
      <c r="B124" s="20" t="s">
        <v>383</v>
      </c>
      <c r="C124" s="20" t="s">
        <v>777</v>
      </c>
      <c r="D124" s="137">
        <v>2420000</v>
      </c>
      <c r="E124" s="20" t="s">
        <v>778</v>
      </c>
      <c r="F124" s="20" t="s">
        <v>779</v>
      </c>
      <c r="G124" s="8" t="str">
        <f t="shared" si="2"/>
        <v>HOLCOMB KAMDEN</v>
      </c>
      <c r="H124" s="20" t="str">
        <f t="shared" si="3"/>
        <v>4062</v>
      </c>
    </row>
    <row r="125" spans="1:8" x14ac:dyDescent="0.3">
      <c r="A125" s="8">
        <v>43103.532638888886</v>
      </c>
      <c r="B125" s="20" t="s">
        <v>524</v>
      </c>
      <c r="C125" s="20" t="s">
        <v>780</v>
      </c>
      <c r="D125" s="137">
        <v>1300000</v>
      </c>
      <c r="E125" s="20" t="s">
        <v>358</v>
      </c>
      <c r="F125" s="20" t="s">
        <v>359</v>
      </c>
      <c r="G125" s="8" t="str">
        <f t="shared" si="2"/>
        <v>LEVIN SCOTT</v>
      </c>
      <c r="H125" s="20" t="str">
        <f t="shared" si="3"/>
        <v>4041</v>
      </c>
    </row>
    <row r="126" spans="1:8" x14ac:dyDescent="0.3">
      <c r="A126" s="8">
        <v>43103.534513888888</v>
      </c>
      <c r="B126" s="20" t="s">
        <v>542</v>
      </c>
      <c r="C126" s="20" t="s">
        <v>650</v>
      </c>
      <c r="D126" s="137">
        <v>2270000</v>
      </c>
      <c r="E126" s="20" t="s">
        <v>731</v>
      </c>
      <c r="F126" s="20" t="s">
        <v>732</v>
      </c>
      <c r="G126" s="8" t="str">
        <f t="shared" si="2"/>
        <v>BROWN JACOB</v>
      </c>
      <c r="H126" s="20" t="str">
        <f t="shared" si="3"/>
        <v>4026</v>
      </c>
    </row>
    <row r="127" spans="1:8" x14ac:dyDescent="0.3">
      <c r="A127" s="8">
        <v>43103.539537037039</v>
      </c>
      <c r="B127" s="20" t="s">
        <v>502</v>
      </c>
      <c r="C127" s="20" t="s">
        <v>781</v>
      </c>
      <c r="D127" s="137">
        <v>1770000</v>
      </c>
      <c r="E127" s="20" t="s">
        <v>763</v>
      </c>
      <c r="F127" s="20" t="s">
        <v>764</v>
      </c>
      <c r="G127" s="8" t="str">
        <f t="shared" si="2"/>
        <v>BRUDER RICHARD</v>
      </c>
      <c r="H127" s="20" t="str">
        <f t="shared" si="3"/>
        <v>4020</v>
      </c>
    </row>
    <row r="128" spans="1:8" x14ac:dyDescent="0.3">
      <c r="A128" s="8">
        <v>43103.541678240741</v>
      </c>
      <c r="B128" s="20" t="s">
        <v>386</v>
      </c>
      <c r="C128" s="20" t="s">
        <v>782</v>
      </c>
      <c r="D128" s="137">
        <v>2030000</v>
      </c>
      <c r="E128" s="20" t="s">
        <v>772</v>
      </c>
      <c r="F128" s="20" t="s">
        <v>493</v>
      </c>
      <c r="G128" s="8" t="str">
        <f t="shared" si="2"/>
        <v>KILLION DAVID</v>
      </c>
      <c r="H128" s="20" t="str">
        <f t="shared" si="3"/>
        <v>4029</v>
      </c>
    </row>
    <row r="129" spans="1:8" x14ac:dyDescent="0.3">
      <c r="A129" s="8">
        <v>43103.543263888889</v>
      </c>
      <c r="B129" s="20" t="s">
        <v>526</v>
      </c>
      <c r="C129" s="20" t="s">
        <v>783</v>
      </c>
      <c r="D129" s="137">
        <v>1180000</v>
      </c>
      <c r="E129" s="20" t="s">
        <v>575</v>
      </c>
      <c r="F129" s="20" t="s">
        <v>576</v>
      </c>
      <c r="G129" s="8" t="str">
        <f t="shared" si="2"/>
        <v>LEVERE CRAIG</v>
      </c>
      <c r="H129" s="20" t="str">
        <f t="shared" si="3"/>
        <v>4064</v>
      </c>
    </row>
    <row r="130" spans="1:8" x14ac:dyDescent="0.3">
      <c r="A130" s="8">
        <v>43103.550902777781</v>
      </c>
      <c r="B130" s="20" t="s">
        <v>527</v>
      </c>
      <c r="C130" s="20" t="s">
        <v>784</v>
      </c>
      <c r="D130" s="137">
        <v>880000</v>
      </c>
      <c r="E130" s="20" t="s">
        <v>544</v>
      </c>
      <c r="F130" s="20" t="s">
        <v>352</v>
      </c>
      <c r="G130" s="8" t="str">
        <f t="shared" si="2"/>
        <v>STEWART MICHAEL</v>
      </c>
      <c r="H130" s="20" t="str">
        <f t="shared" si="3"/>
        <v>4004</v>
      </c>
    </row>
    <row r="131" spans="1:8" x14ac:dyDescent="0.3">
      <c r="A131" s="8">
        <v>43103.552060185182</v>
      </c>
      <c r="B131" s="20" t="s">
        <v>543</v>
      </c>
      <c r="C131" s="20" t="s">
        <v>646</v>
      </c>
      <c r="D131" s="137">
        <v>3000000</v>
      </c>
      <c r="E131" s="20" t="s">
        <v>744</v>
      </c>
      <c r="F131" s="20" t="s">
        <v>745</v>
      </c>
      <c r="G131" s="8" t="str">
        <f t="shared" ref="G131:G194" si="4">E131&amp;" "&amp;F131</f>
        <v>FORTUNATO FRANK</v>
      </c>
      <c r="H131" s="20" t="str">
        <f t="shared" ref="H131:H194" si="5">MID(B131,13,4)</f>
        <v>4025</v>
      </c>
    </row>
    <row r="132" spans="1:8" x14ac:dyDescent="0.3">
      <c r="A132" s="8">
        <v>43103.558391203704</v>
      </c>
      <c r="B132" s="20" t="s">
        <v>357</v>
      </c>
      <c r="C132" s="20" t="s">
        <v>785</v>
      </c>
      <c r="D132" s="137">
        <v>2970000</v>
      </c>
      <c r="E132" s="20" t="s">
        <v>374</v>
      </c>
      <c r="F132" s="20" t="s">
        <v>375</v>
      </c>
      <c r="G132" s="8" t="str">
        <f t="shared" si="4"/>
        <v>GUZMAN DANNY</v>
      </c>
      <c r="H132" s="20" t="str">
        <f t="shared" si="5"/>
        <v>4060</v>
      </c>
    </row>
    <row r="133" spans="1:8" x14ac:dyDescent="0.3">
      <c r="A133" s="8">
        <v>43103.559016203704</v>
      </c>
      <c r="B133" s="20" t="s">
        <v>443</v>
      </c>
      <c r="C133" s="20" t="s">
        <v>786</v>
      </c>
      <c r="D133" s="137">
        <v>920000</v>
      </c>
      <c r="E133" s="20" t="s">
        <v>528</v>
      </c>
      <c r="F133" s="20" t="s">
        <v>352</v>
      </c>
      <c r="G133" s="8" t="str">
        <f t="shared" si="4"/>
        <v>DAVIS MICHAEL</v>
      </c>
      <c r="H133" s="20" t="str">
        <f t="shared" si="5"/>
        <v>4049</v>
      </c>
    </row>
    <row r="134" spans="1:8" x14ac:dyDescent="0.3">
      <c r="A134" s="8">
        <v>43103.561620370368</v>
      </c>
      <c r="B134" s="20" t="s">
        <v>569</v>
      </c>
      <c r="C134" s="20" t="s">
        <v>787</v>
      </c>
      <c r="D134" s="137">
        <v>1180000</v>
      </c>
      <c r="E134" s="20" t="s">
        <v>575</v>
      </c>
      <c r="F134" s="20" t="s">
        <v>576</v>
      </c>
      <c r="G134" s="8" t="str">
        <f t="shared" si="4"/>
        <v>LEVERE CRAIG</v>
      </c>
      <c r="H134" s="20" t="str">
        <f t="shared" si="5"/>
        <v>4063</v>
      </c>
    </row>
    <row r="135" spans="1:8" x14ac:dyDescent="0.3">
      <c r="A135" s="8">
        <v>43103.567083333335</v>
      </c>
      <c r="B135" s="20" t="s">
        <v>385</v>
      </c>
      <c r="C135" s="20" t="s">
        <v>654</v>
      </c>
      <c r="D135" s="137">
        <v>2420000</v>
      </c>
      <c r="E135" s="20" t="s">
        <v>778</v>
      </c>
      <c r="F135" s="20" t="s">
        <v>779</v>
      </c>
      <c r="G135" s="8" t="str">
        <f t="shared" si="4"/>
        <v>HOLCOMB KAMDEN</v>
      </c>
      <c r="H135" s="20" t="str">
        <f t="shared" si="5"/>
        <v>4061</v>
      </c>
    </row>
    <row r="136" spans="1:8" x14ac:dyDescent="0.3">
      <c r="A136" s="8">
        <v>43103.570335648146</v>
      </c>
      <c r="B136" s="20" t="s">
        <v>446</v>
      </c>
      <c r="C136" s="20" t="s">
        <v>788</v>
      </c>
      <c r="D136" s="137">
        <v>1300000</v>
      </c>
      <c r="E136" s="20" t="s">
        <v>358</v>
      </c>
      <c r="F136" s="20" t="s">
        <v>359</v>
      </c>
      <c r="G136" s="8" t="str">
        <f t="shared" si="4"/>
        <v>LEVIN SCOTT</v>
      </c>
      <c r="H136" s="20" t="str">
        <f t="shared" si="5"/>
        <v>4042</v>
      </c>
    </row>
    <row r="137" spans="1:8" x14ac:dyDescent="0.3">
      <c r="A137" s="8">
        <v>43103.572812500002</v>
      </c>
      <c r="B137" s="20" t="s">
        <v>543</v>
      </c>
      <c r="C137" s="20" t="s">
        <v>644</v>
      </c>
      <c r="D137" s="137">
        <v>3130000</v>
      </c>
      <c r="E137" s="20" t="s">
        <v>789</v>
      </c>
      <c r="F137" s="20" t="s">
        <v>790</v>
      </c>
      <c r="G137" s="8" t="str">
        <f t="shared" si="4"/>
        <v>ZEWDU DEREJE</v>
      </c>
      <c r="H137" s="20" t="str">
        <f t="shared" si="5"/>
        <v>4025</v>
      </c>
    </row>
    <row r="138" spans="1:8" x14ac:dyDescent="0.3">
      <c r="A138" s="8">
        <v>43103.577141203707</v>
      </c>
      <c r="B138" s="20" t="s">
        <v>501</v>
      </c>
      <c r="C138" s="20" t="s">
        <v>791</v>
      </c>
      <c r="D138" s="137">
        <v>1770000</v>
      </c>
      <c r="E138" s="20" t="s">
        <v>763</v>
      </c>
      <c r="F138" s="20" t="s">
        <v>764</v>
      </c>
      <c r="G138" s="8" t="str">
        <f t="shared" si="4"/>
        <v>BRUDER RICHARD</v>
      </c>
      <c r="H138" s="20" t="str">
        <f t="shared" si="5"/>
        <v>4019</v>
      </c>
    </row>
    <row r="139" spans="1:8" x14ac:dyDescent="0.3">
      <c r="A139" s="8">
        <v>43103.580833333333</v>
      </c>
      <c r="B139" s="20" t="s">
        <v>392</v>
      </c>
      <c r="C139" s="20" t="s">
        <v>792</v>
      </c>
      <c r="D139" s="137">
        <v>2040000</v>
      </c>
      <c r="E139" s="20" t="s">
        <v>396</v>
      </c>
      <c r="F139" s="20" t="s">
        <v>397</v>
      </c>
      <c r="G139" s="8" t="str">
        <f t="shared" si="4"/>
        <v>MOSES BRADLEY</v>
      </c>
      <c r="H139" s="20" t="str">
        <f t="shared" si="5"/>
        <v>4030</v>
      </c>
    </row>
    <row r="140" spans="1:8" x14ac:dyDescent="0.3">
      <c r="A140" s="8">
        <v>43103.585081018522</v>
      </c>
      <c r="B140" s="20" t="s">
        <v>542</v>
      </c>
      <c r="C140" s="20" t="s">
        <v>650</v>
      </c>
      <c r="D140" s="137">
        <v>3130000</v>
      </c>
      <c r="E140" s="20" t="s">
        <v>789</v>
      </c>
      <c r="F140" s="20" t="s">
        <v>790</v>
      </c>
      <c r="G140" s="8" t="str">
        <f t="shared" si="4"/>
        <v>ZEWDU DEREJE</v>
      </c>
      <c r="H140" s="20" t="str">
        <f t="shared" si="5"/>
        <v>4026</v>
      </c>
    </row>
    <row r="141" spans="1:8" x14ac:dyDescent="0.3">
      <c r="A141" s="8">
        <v>43103.586006944446</v>
      </c>
      <c r="B141" s="20" t="s">
        <v>526</v>
      </c>
      <c r="C141" s="20" t="s">
        <v>793</v>
      </c>
      <c r="D141" s="137">
        <v>1180000</v>
      </c>
      <c r="E141" s="20" t="s">
        <v>575</v>
      </c>
      <c r="F141" s="20" t="s">
        <v>576</v>
      </c>
      <c r="G141" s="8" t="str">
        <f t="shared" si="4"/>
        <v>LEVERE CRAIG</v>
      </c>
      <c r="H141" s="20" t="str">
        <f t="shared" si="5"/>
        <v>4064</v>
      </c>
    </row>
    <row r="142" spans="1:8" x14ac:dyDescent="0.3">
      <c r="A142" s="8">
        <v>43103.587638888886</v>
      </c>
      <c r="B142" s="20" t="s">
        <v>652</v>
      </c>
      <c r="C142" s="20" t="s">
        <v>655</v>
      </c>
      <c r="D142" s="137">
        <v>880000</v>
      </c>
      <c r="E142" s="20" t="s">
        <v>544</v>
      </c>
      <c r="F142" s="20" t="s">
        <v>352</v>
      </c>
      <c r="G142" s="8" t="str">
        <f t="shared" si="4"/>
        <v>STEWART MICHAEL</v>
      </c>
      <c r="H142" s="20" t="str">
        <f t="shared" si="5"/>
        <v>4003</v>
      </c>
    </row>
    <row r="143" spans="1:8" x14ac:dyDescent="0.3">
      <c r="A143" s="8">
        <v>43103.589490740742</v>
      </c>
      <c r="B143" s="20" t="s">
        <v>390</v>
      </c>
      <c r="C143" s="20" t="s">
        <v>794</v>
      </c>
      <c r="D143" s="137">
        <v>2970000</v>
      </c>
      <c r="E143" s="20" t="s">
        <v>374</v>
      </c>
      <c r="F143" s="20" t="s">
        <v>375</v>
      </c>
      <c r="G143" s="8" t="str">
        <f t="shared" si="4"/>
        <v>GUZMAN DANNY</v>
      </c>
      <c r="H143" s="20" t="str">
        <f t="shared" si="5"/>
        <v>4059</v>
      </c>
    </row>
    <row r="144" spans="1:8" x14ac:dyDescent="0.3">
      <c r="A144" s="8">
        <v>43103.592118055552</v>
      </c>
      <c r="B144" s="20" t="s">
        <v>444</v>
      </c>
      <c r="C144" s="20" t="s">
        <v>795</v>
      </c>
      <c r="D144" s="137">
        <v>920000</v>
      </c>
      <c r="E144" s="20" t="s">
        <v>528</v>
      </c>
      <c r="F144" s="20" t="s">
        <v>352</v>
      </c>
      <c r="G144" s="8" t="str">
        <f t="shared" si="4"/>
        <v>DAVIS MICHAEL</v>
      </c>
      <c r="H144" s="20" t="str">
        <f t="shared" si="5"/>
        <v>4050</v>
      </c>
    </row>
    <row r="145" spans="1:8" x14ac:dyDescent="0.3">
      <c r="A145" s="8">
        <v>43103.601504629631</v>
      </c>
      <c r="B145" s="20" t="s">
        <v>569</v>
      </c>
      <c r="C145" s="20" t="s">
        <v>656</v>
      </c>
      <c r="D145" s="137">
        <v>1180000</v>
      </c>
      <c r="E145" s="20" t="s">
        <v>575</v>
      </c>
      <c r="F145" s="20" t="s">
        <v>576</v>
      </c>
      <c r="G145" s="8" t="str">
        <f t="shared" si="4"/>
        <v>LEVERE CRAIG</v>
      </c>
      <c r="H145" s="20" t="str">
        <f t="shared" si="5"/>
        <v>4063</v>
      </c>
    </row>
    <row r="146" spans="1:8" x14ac:dyDescent="0.3">
      <c r="A146" s="8">
        <v>43103.6016087963</v>
      </c>
      <c r="B146" s="20" t="s">
        <v>383</v>
      </c>
      <c r="C146" s="20" t="s">
        <v>796</v>
      </c>
      <c r="D146" s="137">
        <v>2420000</v>
      </c>
      <c r="E146" s="20" t="s">
        <v>778</v>
      </c>
      <c r="F146" s="20" t="s">
        <v>779</v>
      </c>
      <c r="G146" s="8" t="str">
        <f t="shared" si="4"/>
        <v>HOLCOMB KAMDEN</v>
      </c>
      <c r="H146" s="20" t="str">
        <f t="shared" si="5"/>
        <v>4062</v>
      </c>
    </row>
    <row r="147" spans="1:8" x14ac:dyDescent="0.3">
      <c r="A147" s="8">
        <v>43103.602280092593</v>
      </c>
      <c r="B147" s="20" t="s">
        <v>524</v>
      </c>
      <c r="C147" s="20" t="s">
        <v>797</v>
      </c>
      <c r="D147" s="137">
        <v>1300000</v>
      </c>
      <c r="E147" s="20" t="s">
        <v>358</v>
      </c>
      <c r="F147" s="20" t="s">
        <v>359</v>
      </c>
      <c r="G147" s="8" t="str">
        <f t="shared" si="4"/>
        <v>LEVIN SCOTT</v>
      </c>
      <c r="H147" s="20" t="str">
        <f t="shared" si="5"/>
        <v>4041</v>
      </c>
    </row>
    <row r="148" spans="1:8" x14ac:dyDescent="0.3">
      <c r="A148" s="8">
        <v>43103.61246527778</v>
      </c>
      <c r="B148" s="20" t="s">
        <v>502</v>
      </c>
      <c r="C148" s="20" t="s">
        <v>798</v>
      </c>
      <c r="D148" s="137">
        <v>3810000</v>
      </c>
      <c r="E148" s="20" t="s">
        <v>577</v>
      </c>
      <c r="F148" s="20" t="s">
        <v>578</v>
      </c>
      <c r="G148" s="8" t="str">
        <f t="shared" si="4"/>
        <v>LORI SANTOS</v>
      </c>
      <c r="H148" s="20" t="str">
        <f t="shared" si="5"/>
        <v>4020</v>
      </c>
    </row>
    <row r="149" spans="1:8" x14ac:dyDescent="0.3">
      <c r="A149" s="8">
        <v>43103.612604166665</v>
      </c>
      <c r="B149" s="20" t="s">
        <v>543</v>
      </c>
      <c r="C149" s="20" t="s">
        <v>644</v>
      </c>
      <c r="D149" s="137">
        <v>3130000</v>
      </c>
      <c r="E149" s="20" t="s">
        <v>789</v>
      </c>
      <c r="F149" s="20" t="s">
        <v>790</v>
      </c>
      <c r="G149" s="8" t="str">
        <f t="shared" si="4"/>
        <v>ZEWDU DEREJE</v>
      </c>
      <c r="H149" s="20" t="str">
        <f t="shared" si="5"/>
        <v>4025</v>
      </c>
    </row>
    <row r="150" spans="1:8" x14ac:dyDescent="0.3">
      <c r="A150" s="8">
        <v>43103.620983796296</v>
      </c>
      <c r="B150" s="20" t="s">
        <v>386</v>
      </c>
      <c r="C150" s="20" t="s">
        <v>799</v>
      </c>
      <c r="D150" s="137">
        <v>2040000</v>
      </c>
      <c r="E150" s="20" t="s">
        <v>396</v>
      </c>
      <c r="F150" s="20" t="s">
        <v>397</v>
      </c>
      <c r="G150" s="8" t="str">
        <f t="shared" si="4"/>
        <v>MOSES BRADLEY</v>
      </c>
      <c r="H150" s="20" t="str">
        <f t="shared" si="5"/>
        <v>4029</v>
      </c>
    </row>
    <row r="151" spans="1:8" x14ac:dyDescent="0.3">
      <c r="A151" s="8">
        <v>43103.622812499998</v>
      </c>
      <c r="B151" s="20" t="s">
        <v>527</v>
      </c>
      <c r="C151" s="20" t="s">
        <v>800</v>
      </c>
      <c r="D151" s="137">
        <v>880000</v>
      </c>
      <c r="E151" s="20" t="s">
        <v>544</v>
      </c>
      <c r="F151" s="20" t="s">
        <v>352</v>
      </c>
      <c r="G151" s="8" t="str">
        <f t="shared" si="4"/>
        <v>STEWART MICHAEL</v>
      </c>
      <c r="H151" s="20" t="str">
        <f t="shared" si="5"/>
        <v>4004</v>
      </c>
    </row>
    <row r="152" spans="1:8" x14ac:dyDescent="0.3">
      <c r="A152" s="8">
        <v>43103.629212962966</v>
      </c>
      <c r="B152" s="20" t="s">
        <v>526</v>
      </c>
      <c r="C152" s="20" t="s">
        <v>801</v>
      </c>
      <c r="D152" s="137">
        <v>1180000</v>
      </c>
      <c r="E152" s="20" t="s">
        <v>575</v>
      </c>
      <c r="F152" s="20" t="s">
        <v>576</v>
      </c>
      <c r="G152" s="8" t="str">
        <f t="shared" si="4"/>
        <v>LEVERE CRAIG</v>
      </c>
      <c r="H152" s="20" t="str">
        <f t="shared" si="5"/>
        <v>4064</v>
      </c>
    </row>
    <row r="153" spans="1:8" x14ac:dyDescent="0.3">
      <c r="A153" s="8">
        <v>43103.632164351853</v>
      </c>
      <c r="B153" s="20" t="s">
        <v>357</v>
      </c>
      <c r="C153" s="20" t="s">
        <v>802</v>
      </c>
      <c r="D153" s="137">
        <v>2970000</v>
      </c>
      <c r="E153" s="20" t="s">
        <v>374</v>
      </c>
      <c r="F153" s="20" t="s">
        <v>375</v>
      </c>
      <c r="G153" s="8" t="str">
        <f t="shared" si="4"/>
        <v>GUZMAN DANNY</v>
      </c>
      <c r="H153" s="20" t="str">
        <f t="shared" si="5"/>
        <v>4060</v>
      </c>
    </row>
    <row r="154" spans="1:8" x14ac:dyDescent="0.3">
      <c r="A154" s="8">
        <v>43103.632349537038</v>
      </c>
      <c r="B154" s="20" t="s">
        <v>443</v>
      </c>
      <c r="C154" s="20" t="s">
        <v>657</v>
      </c>
      <c r="D154" s="137">
        <v>920000</v>
      </c>
      <c r="E154" s="20" t="s">
        <v>528</v>
      </c>
      <c r="F154" s="20" t="s">
        <v>352</v>
      </c>
      <c r="G154" s="8" t="str">
        <f t="shared" si="4"/>
        <v>DAVIS MICHAEL</v>
      </c>
      <c r="H154" s="20" t="str">
        <f t="shared" si="5"/>
        <v>4049</v>
      </c>
    </row>
    <row r="155" spans="1:8" x14ac:dyDescent="0.3">
      <c r="A155" s="8">
        <v>43103.636863425927</v>
      </c>
      <c r="B155" s="20" t="s">
        <v>570</v>
      </c>
      <c r="C155" s="20" t="s">
        <v>803</v>
      </c>
      <c r="D155" s="137">
        <v>2000000</v>
      </c>
      <c r="E155" s="20" t="s">
        <v>394</v>
      </c>
      <c r="F155" s="20" t="s">
        <v>395</v>
      </c>
      <c r="G155" s="8" t="str">
        <f t="shared" si="4"/>
        <v>STAMBAUGH JAMES</v>
      </c>
      <c r="H155" s="20" t="str">
        <f t="shared" si="5"/>
        <v>4013</v>
      </c>
    </row>
    <row r="156" spans="1:8" x14ac:dyDescent="0.3">
      <c r="A156" s="8">
        <v>43103.638807870368</v>
      </c>
      <c r="B156" s="20" t="s">
        <v>385</v>
      </c>
      <c r="C156" s="20" t="s">
        <v>804</v>
      </c>
      <c r="D156" s="137">
        <v>2420000</v>
      </c>
      <c r="E156" s="20" t="s">
        <v>778</v>
      </c>
      <c r="F156" s="20" t="s">
        <v>779</v>
      </c>
      <c r="G156" s="8" t="str">
        <f t="shared" si="4"/>
        <v>HOLCOMB KAMDEN</v>
      </c>
      <c r="H156" s="20" t="str">
        <f t="shared" si="5"/>
        <v>4061</v>
      </c>
    </row>
    <row r="157" spans="1:8" x14ac:dyDescent="0.3">
      <c r="A157" s="8">
        <v>43103.6409375</v>
      </c>
      <c r="B157" s="20" t="s">
        <v>542</v>
      </c>
      <c r="C157" s="20" t="s">
        <v>645</v>
      </c>
      <c r="D157" s="137">
        <v>2610000</v>
      </c>
      <c r="E157" s="20" t="s">
        <v>380</v>
      </c>
      <c r="F157" s="20" t="s">
        <v>381</v>
      </c>
      <c r="G157" s="8" t="str">
        <f t="shared" si="4"/>
        <v>MAGEE KENYA</v>
      </c>
      <c r="H157" s="20" t="str">
        <f t="shared" si="5"/>
        <v>4026</v>
      </c>
    </row>
    <row r="158" spans="1:8" x14ac:dyDescent="0.3">
      <c r="A158" s="8">
        <v>43103.641296296293</v>
      </c>
      <c r="B158" s="20" t="s">
        <v>446</v>
      </c>
      <c r="C158" s="20" t="s">
        <v>805</v>
      </c>
      <c r="D158" s="137">
        <v>1300000</v>
      </c>
      <c r="E158" s="20" t="s">
        <v>358</v>
      </c>
      <c r="F158" s="20" t="s">
        <v>359</v>
      </c>
      <c r="G158" s="8" t="str">
        <f t="shared" si="4"/>
        <v>LEVIN SCOTT</v>
      </c>
      <c r="H158" s="20" t="str">
        <f t="shared" si="5"/>
        <v>4042</v>
      </c>
    </row>
    <row r="159" spans="1:8" x14ac:dyDescent="0.3">
      <c r="A159" s="8">
        <v>43103.643993055557</v>
      </c>
      <c r="B159" s="20" t="s">
        <v>569</v>
      </c>
      <c r="C159" s="20" t="s">
        <v>806</v>
      </c>
      <c r="D159" s="137">
        <v>1180000</v>
      </c>
      <c r="E159" s="20" t="s">
        <v>575</v>
      </c>
      <c r="F159" s="20" t="s">
        <v>576</v>
      </c>
      <c r="G159" s="8" t="str">
        <f t="shared" si="4"/>
        <v>LEVERE CRAIG</v>
      </c>
      <c r="H159" s="20" t="str">
        <f t="shared" si="5"/>
        <v>4063</v>
      </c>
    </row>
    <row r="160" spans="1:8" x14ac:dyDescent="0.3">
      <c r="A160" s="8">
        <v>43103.646817129629</v>
      </c>
      <c r="B160" s="20" t="s">
        <v>501</v>
      </c>
      <c r="C160" s="20" t="s">
        <v>807</v>
      </c>
      <c r="D160" s="137">
        <v>3810000</v>
      </c>
      <c r="E160" s="20" t="s">
        <v>577</v>
      </c>
      <c r="F160" s="20" t="s">
        <v>578</v>
      </c>
      <c r="G160" s="8" t="str">
        <f t="shared" si="4"/>
        <v>LORI SANTOS</v>
      </c>
      <c r="H160" s="20" t="str">
        <f t="shared" si="5"/>
        <v>4019</v>
      </c>
    </row>
    <row r="161" spans="1:8" x14ac:dyDescent="0.3">
      <c r="A161" s="8">
        <v>43103.649895833332</v>
      </c>
      <c r="B161" s="20" t="s">
        <v>513</v>
      </c>
      <c r="C161" s="20" t="s">
        <v>808</v>
      </c>
      <c r="D161" s="137">
        <v>2000000</v>
      </c>
      <c r="E161" s="20" t="s">
        <v>394</v>
      </c>
      <c r="F161" s="20" t="s">
        <v>395</v>
      </c>
      <c r="G161" s="8" t="str">
        <f t="shared" si="4"/>
        <v>STAMBAUGH JAMES</v>
      </c>
      <c r="H161" s="20" t="str">
        <f t="shared" si="5"/>
        <v>4014</v>
      </c>
    </row>
    <row r="162" spans="1:8" x14ac:dyDescent="0.3">
      <c r="A162" s="8">
        <v>43103.65115740741</v>
      </c>
      <c r="B162" s="20" t="s">
        <v>392</v>
      </c>
      <c r="C162" s="20" t="s">
        <v>809</v>
      </c>
      <c r="D162" s="137">
        <v>2030000</v>
      </c>
      <c r="E162" s="20" t="s">
        <v>772</v>
      </c>
      <c r="F162" s="20" t="s">
        <v>493</v>
      </c>
      <c r="G162" s="8" t="str">
        <f t="shared" si="4"/>
        <v>KILLION DAVID</v>
      </c>
      <c r="H162" s="20" t="str">
        <f t="shared" si="5"/>
        <v>4030</v>
      </c>
    </row>
    <row r="163" spans="1:8" x14ac:dyDescent="0.3">
      <c r="A163" s="8">
        <v>43103.661932870367</v>
      </c>
      <c r="B163" s="20" t="s">
        <v>390</v>
      </c>
      <c r="C163" s="20" t="s">
        <v>810</v>
      </c>
      <c r="D163" s="137">
        <v>2970000</v>
      </c>
      <c r="E163" s="20" t="s">
        <v>374</v>
      </c>
      <c r="F163" s="20" t="s">
        <v>375</v>
      </c>
      <c r="G163" s="8" t="str">
        <f t="shared" si="4"/>
        <v>GUZMAN DANNY</v>
      </c>
      <c r="H163" s="20" t="str">
        <f t="shared" si="5"/>
        <v>4059</v>
      </c>
    </row>
    <row r="164" spans="1:8" x14ac:dyDescent="0.3">
      <c r="A164" s="8">
        <v>43103.663194444445</v>
      </c>
      <c r="B164" s="20" t="s">
        <v>543</v>
      </c>
      <c r="C164" s="20" t="s">
        <v>646</v>
      </c>
      <c r="D164" s="137">
        <v>2610000</v>
      </c>
      <c r="E164" s="20" t="s">
        <v>380</v>
      </c>
      <c r="F164" s="20" t="s">
        <v>381</v>
      </c>
      <c r="G164" s="8" t="str">
        <f t="shared" si="4"/>
        <v>MAGEE KENYA</v>
      </c>
      <c r="H164" s="20" t="str">
        <f t="shared" si="5"/>
        <v>4025</v>
      </c>
    </row>
    <row r="165" spans="1:8" x14ac:dyDescent="0.3">
      <c r="A165" s="8">
        <v>43103.664236111108</v>
      </c>
      <c r="B165" s="20" t="s">
        <v>570</v>
      </c>
      <c r="C165" s="20" t="s">
        <v>811</v>
      </c>
      <c r="D165" s="137">
        <v>2000000</v>
      </c>
      <c r="E165" s="20" t="s">
        <v>394</v>
      </c>
      <c r="F165" s="20" t="s">
        <v>395</v>
      </c>
      <c r="G165" s="8" t="str">
        <f t="shared" si="4"/>
        <v>STAMBAUGH JAMES</v>
      </c>
      <c r="H165" s="20" t="str">
        <f t="shared" si="5"/>
        <v>4013</v>
      </c>
    </row>
    <row r="166" spans="1:8" x14ac:dyDescent="0.3">
      <c r="A166" s="8">
        <v>43103.665682870371</v>
      </c>
      <c r="B166" s="20" t="s">
        <v>444</v>
      </c>
      <c r="C166" s="20" t="s">
        <v>812</v>
      </c>
      <c r="D166" s="137">
        <v>920000</v>
      </c>
      <c r="E166" s="20" t="s">
        <v>528</v>
      </c>
      <c r="F166" s="20" t="s">
        <v>352</v>
      </c>
      <c r="G166" s="8" t="str">
        <f t="shared" si="4"/>
        <v>DAVIS MICHAEL</v>
      </c>
      <c r="H166" s="20" t="str">
        <f t="shared" si="5"/>
        <v>4050</v>
      </c>
    </row>
    <row r="167" spans="1:8" x14ac:dyDescent="0.3">
      <c r="A167" s="8">
        <v>43103.671030092592</v>
      </c>
      <c r="B167" s="20" t="s">
        <v>526</v>
      </c>
      <c r="C167" s="20" t="s">
        <v>813</v>
      </c>
      <c r="D167" s="137">
        <v>1180000</v>
      </c>
      <c r="E167" s="20" t="s">
        <v>575</v>
      </c>
      <c r="F167" s="20" t="s">
        <v>576</v>
      </c>
      <c r="G167" s="8" t="str">
        <f t="shared" si="4"/>
        <v>LEVERE CRAIG</v>
      </c>
      <c r="H167" s="20" t="str">
        <f t="shared" si="5"/>
        <v>4064</v>
      </c>
    </row>
    <row r="168" spans="1:8" x14ac:dyDescent="0.3">
      <c r="A168" s="8">
        <v>43103.674409722225</v>
      </c>
      <c r="B168" s="20" t="s">
        <v>383</v>
      </c>
      <c r="C168" s="20" t="s">
        <v>814</v>
      </c>
      <c r="D168" s="137">
        <v>2540000</v>
      </c>
      <c r="E168" s="20" t="s">
        <v>452</v>
      </c>
      <c r="F168" s="20" t="s">
        <v>453</v>
      </c>
      <c r="G168" s="8" t="str">
        <f t="shared" si="4"/>
        <v>MCREYNOLDS KYLE</v>
      </c>
      <c r="H168" s="20" t="str">
        <f t="shared" si="5"/>
        <v>4062</v>
      </c>
    </row>
    <row r="169" spans="1:8" x14ac:dyDescent="0.3">
      <c r="A169" s="8">
        <v>43103.676215277781</v>
      </c>
      <c r="B169" s="20" t="s">
        <v>524</v>
      </c>
      <c r="C169" s="20" t="s">
        <v>815</v>
      </c>
      <c r="D169" s="137">
        <v>1300000</v>
      </c>
      <c r="E169" s="20" t="s">
        <v>358</v>
      </c>
      <c r="F169" s="20" t="s">
        <v>359</v>
      </c>
      <c r="G169" s="8" t="str">
        <f t="shared" si="4"/>
        <v>LEVIN SCOTT</v>
      </c>
      <c r="H169" s="20" t="str">
        <f t="shared" si="5"/>
        <v>4041</v>
      </c>
    </row>
    <row r="170" spans="1:8" x14ac:dyDescent="0.3">
      <c r="A170" s="8">
        <v>43103.684398148151</v>
      </c>
      <c r="B170" s="20" t="s">
        <v>502</v>
      </c>
      <c r="C170" s="20" t="s">
        <v>816</v>
      </c>
      <c r="D170" s="137">
        <v>1770000</v>
      </c>
      <c r="E170" s="20" t="s">
        <v>763</v>
      </c>
      <c r="F170" s="20" t="s">
        <v>764</v>
      </c>
      <c r="G170" s="8" t="str">
        <f t="shared" si="4"/>
        <v>BRUDER RICHARD</v>
      </c>
      <c r="H170" s="20" t="str">
        <f t="shared" si="5"/>
        <v>4020</v>
      </c>
    </row>
    <row r="171" spans="1:8" x14ac:dyDescent="0.3">
      <c r="A171" s="8">
        <v>43103.686238425929</v>
      </c>
      <c r="B171" s="20" t="s">
        <v>513</v>
      </c>
      <c r="C171" s="20" t="s">
        <v>817</v>
      </c>
      <c r="D171" s="137">
        <v>2000000</v>
      </c>
      <c r="E171" s="20" t="s">
        <v>394</v>
      </c>
      <c r="F171" s="20" t="s">
        <v>395</v>
      </c>
      <c r="G171" s="8" t="str">
        <f t="shared" si="4"/>
        <v>STAMBAUGH JAMES</v>
      </c>
      <c r="H171" s="20" t="str">
        <f t="shared" si="5"/>
        <v>4014</v>
      </c>
    </row>
    <row r="172" spans="1:8" x14ac:dyDescent="0.3">
      <c r="A172" s="8">
        <v>43103.686354166668</v>
      </c>
      <c r="B172" s="20" t="s">
        <v>386</v>
      </c>
      <c r="C172" s="20" t="s">
        <v>818</v>
      </c>
      <c r="D172" s="137">
        <v>2030000</v>
      </c>
      <c r="E172" s="20" t="s">
        <v>772</v>
      </c>
      <c r="F172" s="20" t="s">
        <v>493</v>
      </c>
      <c r="G172" s="8" t="str">
        <f t="shared" si="4"/>
        <v>KILLION DAVID</v>
      </c>
      <c r="H172" s="20" t="str">
        <f t="shared" si="5"/>
        <v>4029</v>
      </c>
    </row>
    <row r="173" spans="1:8" x14ac:dyDescent="0.3">
      <c r="A173" s="8">
        <v>43103.689317129632</v>
      </c>
      <c r="B173" s="20" t="s">
        <v>542</v>
      </c>
      <c r="C173" s="20" t="s">
        <v>650</v>
      </c>
      <c r="D173" s="137">
        <v>3130000</v>
      </c>
      <c r="E173" s="20" t="s">
        <v>789</v>
      </c>
      <c r="F173" s="20" t="s">
        <v>790</v>
      </c>
      <c r="G173" s="8" t="str">
        <f t="shared" si="4"/>
        <v>ZEWDU DEREJE</v>
      </c>
      <c r="H173" s="20" t="str">
        <f t="shared" si="5"/>
        <v>4026</v>
      </c>
    </row>
    <row r="174" spans="1:8" x14ac:dyDescent="0.3">
      <c r="A174" s="8">
        <v>43103.694374999999</v>
      </c>
      <c r="B174" s="20" t="s">
        <v>569</v>
      </c>
      <c r="C174" s="20" t="s">
        <v>658</v>
      </c>
      <c r="D174" s="137">
        <v>1180000</v>
      </c>
      <c r="E174" s="20" t="s">
        <v>575</v>
      </c>
      <c r="F174" s="20" t="s">
        <v>576</v>
      </c>
      <c r="G174" s="8" t="str">
        <f t="shared" si="4"/>
        <v>LEVERE CRAIG</v>
      </c>
      <c r="H174" s="20" t="str">
        <f t="shared" si="5"/>
        <v>4063</v>
      </c>
    </row>
    <row r="175" spans="1:8" x14ac:dyDescent="0.3">
      <c r="A175" s="8">
        <v>43103.694641203707</v>
      </c>
      <c r="B175" s="20" t="s">
        <v>634</v>
      </c>
      <c r="C175" s="20" t="s">
        <v>819</v>
      </c>
      <c r="D175" s="137">
        <v>880000</v>
      </c>
      <c r="E175" s="20" t="s">
        <v>544</v>
      </c>
      <c r="F175" s="20" t="s">
        <v>352</v>
      </c>
      <c r="G175" s="8" t="str">
        <f t="shared" si="4"/>
        <v>STEWART MICHAEL</v>
      </c>
      <c r="H175" s="20" t="str">
        <f t="shared" si="5"/>
        <v>4002</v>
      </c>
    </row>
    <row r="176" spans="1:8" x14ac:dyDescent="0.3">
      <c r="A176" s="8">
        <v>43103.703750000001</v>
      </c>
      <c r="B176" s="20" t="s">
        <v>527</v>
      </c>
      <c r="C176" s="20" t="s">
        <v>820</v>
      </c>
      <c r="D176" s="137">
        <v>1780000</v>
      </c>
      <c r="E176" s="20" t="s">
        <v>821</v>
      </c>
      <c r="F176" s="20" t="s">
        <v>822</v>
      </c>
      <c r="G176" s="8" t="str">
        <f t="shared" si="4"/>
        <v>DE LA ROSA ALEX</v>
      </c>
      <c r="H176" s="20" t="str">
        <f t="shared" si="5"/>
        <v>4004</v>
      </c>
    </row>
    <row r="177" spans="1:8" x14ac:dyDescent="0.3">
      <c r="A177" s="8">
        <v>43103.705000000002</v>
      </c>
      <c r="B177" s="20" t="s">
        <v>443</v>
      </c>
      <c r="C177" s="20" t="s">
        <v>823</v>
      </c>
      <c r="D177" s="137">
        <v>920000</v>
      </c>
      <c r="E177" s="20" t="s">
        <v>528</v>
      </c>
      <c r="F177" s="20" t="s">
        <v>352</v>
      </c>
      <c r="G177" s="8" t="str">
        <f t="shared" si="4"/>
        <v>DAVIS MICHAEL</v>
      </c>
      <c r="H177" s="20" t="str">
        <f t="shared" si="5"/>
        <v>4049</v>
      </c>
    </row>
    <row r="178" spans="1:8" x14ac:dyDescent="0.3">
      <c r="A178" s="8">
        <v>43103.705694444441</v>
      </c>
      <c r="B178" s="20" t="s">
        <v>570</v>
      </c>
      <c r="C178" s="20" t="s">
        <v>824</v>
      </c>
      <c r="D178" s="137">
        <v>2000000</v>
      </c>
      <c r="E178" s="20" t="s">
        <v>394</v>
      </c>
      <c r="F178" s="20" t="s">
        <v>395</v>
      </c>
      <c r="G178" s="8" t="str">
        <f t="shared" si="4"/>
        <v>STAMBAUGH JAMES</v>
      </c>
      <c r="H178" s="20" t="str">
        <f t="shared" si="5"/>
        <v>4013</v>
      </c>
    </row>
    <row r="179" spans="1:8" x14ac:dyDescent="0.3">
      <c r="A179" s="8">
        <v>43103.706076388888</v>
      </c>
      <c r="B179" s="20" t="s">
        <v>357</v>
      </c>
      <c r="C179" s="20" t="s">
        <v>825</v>
      </c>
      <c r="D179" s="137">
        <v>2970000</v>
      </c>
      <c r="E179" s="20" t="s">
        <v>374</v>
      </c>
      <c r="F179" s="20" t="s">
        <v>375</v>
      </c>
      <c r="G179" s="8" t="str">
        <f t="shared" si="4"/>
        <v>GUZMAN DANNY</v>
      </c>
      <c r="H179" s="20" t="str">
        <f t="shared" si="5"/>
        <v>4060</v>
      </c>
    </row>
    <row r="180" spans="1:8" x14ac:dyDescent="0.3">
      <c r="A180" s="8">
        <v>43103.710555555554</v>
      </c>
      <c r="B180" s="20" t="s">
        <v>385</v>
      </c>
      <c r="C180" s="20" t="s">
        <v>826</v>
      </c>
      <c r="D180" s="137">
        <v>2540000</v>
      </c>
      <c r="E180" s="20" t="s">
        <v>452</v>
      </c>
      <c r="F180" s="20" t="s">
        <v>453</v>
      </c>
      <c r="G180" s="8" t="str">
        <f t="shared" si="4"/>
        <v>MCREYNOLDS KYLE</v>
      </c>
      <c r="H180" s="20" t="str">
        <f t="shared" si="5"/>
        <v>4061</v>
      </c>
    </row>
    <row r="181" spans="1:8" x14ac:dyDescent="0.3">
      <c r="A181" s="8">
        <v>43103.711030092592</v>
      </c>
      <c r="B181" s="20" t="s">
        <v>543</v>
      </c>
      <c r="C181" s="20" t="s">
        <v>644</v>
      </c>
      <c r="D181" s="137">
        <v>3130000</v>
      </c>
      <c r="E181" s="20" t="s">
        <v>789</v>
      </c>
      <c r="F181" s="20" t="s">
        <v>790</v>
      </c>
      <c r="G181" s="8" t="str">
        <f t="shared" si="4"/>
        <v>ZEWDU DEREJE</v>
      </c>
      <c r="H181" s="20" t="str">
        <f t="shared" si="5"/>
        <v>4025</v>
      </c>
    </row>
    <row r="182" spans="1:8" x14ac:dyDescent="0.3">
      <c r="A182" s="8">
        <v>43103.712037037039</v>
      </c>
      <c r="B182" s="20" t="s">
        <v>526</v>
      </c>
      <c r="C182" s="20" t="s">
        <v>827</v>
      </c>
      <c r="D182" s="137">
        <v>3810000</v>
      </c>
      <c r="E182" s="20" t="s">
        <v>577</v>
      </c>
      <c r="F182" s="20" t="s">
        <v>578</v>
      </c>
      <c r="G182" s="8" t="str">
        <f t="shared" si="4"/>
        <v>LORI SANTOS</v>
      </c>
      <c r="H182" s="20" t="str">
        <f t="shared" si="5"/>
        <v>4064</v>
      </c>
    </row>
    <row r="183" spans="1:8" x14ac:dyDescent="0.3">
      <c r="A183" s="8">
        <v>43103.716273148151</v>
      </c>
      <c r="B183" s="20" t="s">
        <v>446</v>
      </c>
      <c r="C183" s="20" t="s">
        <v>828</v>
      </c>
      <c r="D183" s="137">
        <v>1300000</v>
      </c>
      <c r="E183" s="20" t="s">
        <v>358</v>
      </c>
      <c r="F183" s="20" t="s">
        <v>359</v>
      </c>
      <c r="G183" s="8" t="str">
        <f t="shared" si="4"/>
        <v>LEVIN SCOTT</v>
      </c>
      <c r="H183" s="20" t="str">
        <f t="shared" si="5"/>
        <v>4042</v>
      </c>
    </row>
    <row r="184" spans="1:8" x14ac:dyDescent="0.3">
      <c r="A184" s="8">
        <v>43103.723738425928</v>
      </c>
      <c r="B184" s="20" t="s">
        <v>442</v>
      </c>
      <c r="C184" s="20" t="s">
        <v>829</v>
      </c>
      <c r="D184" s="137">
        <v>2040000</v>
      </c>
      <c r="E184" s="20" t="s">
        <v>396</v>
      </c>
      <c r="F184" s="20" t="s">
        <v>397</v>
      </c>
      <c r="G184" s="8" t="str">
        <f t="shared" si="4"/>
        <v>MOSES BRADLEY</v>
      </c>
      <c r="H184" s="20" t="str">
        <f t="shared" si="5"/>
        <v>4010</v>
      </c>
    </row>
    <row r="185" spans="1:8" x14ac:dyDescent="0.3">
      <c r="A185" s="8">
        <v>43103.724791666667</v>
      </c>
      <c r="B185" s="20" t="s">
        <v>501</v>
      </c>
      <c r="C185" s="20" t="s">
        <v>830</v>
      </c>
      <c r="D185" s="137">
        <v>1770000</v>
      </c>
      <c r="E185" s="20" t="s">
        <v>763</v>
      </c>
      <c r="F185" s="20" t="s">
        <v>764</v>
      </c>
      <c r="G185" s="8" t="str">
        <f t="shared" si="4"/>
        <v>BRUDER RICHARD</v>
      </c>
      <c r="H185" s="20" t="str">
        <f t="shared" si="5"/>
        <v>4019</v>
      </c>
    </row>
    <row r="186" spans="1:8" x14ac:dyDescent="0.3">
      <c r="A186" s="8">
        <v>43103.724895833337</v>
      </c>
      <c r="B186" s="20" t="s">
        <v>392</v>
      </c>
      <c r="C186" s="20" t="s">
        <v>831</v>
      </c>
      <c r="D186" s="137">
        <v>2030000</v>
      </c>
      <c r="E186" s="20" t="s">
        <v>772</v>
      </c>
      <c r="F186" s="20" t="s">
        <v>493</v>
      </c>
      <c r="G186" s="8" t="str">
        <f t="shared" si="4"/>
        <v>KILLION DAVID</v>
      </c>
      <c r="H186" s="20" t="str">
        <f t="shared" si="5"/>
        <v>4030</v>
      </c>
    </row>
    <row r="187" spans="1:8" x14ac:dyDescent="0.3">
      <c r="A187" s="8">
        <v>43103.728032407409</v>
      </c>
      <c r="B187" s="20" t="s">
        <v>513</v>
      </c>
      <c r="C187" s="20" t="s">
        <v>832</v>
      </c>
      <c r="D187" s="137">
        <v>2000000</v>
      </c>
      <c r="E187" s="20" t="s">
        <v>394</v>
      </c>
      <c r="F187" s="20" t="s">
        <v>395</v>
      </c>
      <c r="G187" s="8" t="str">
        <f t="shared" si="4"/>
        <v>STAMBAUGH JAMES</v>
      </c>
      <c r="H187" s="20" t="str">
        <f t="shared" si="5"/>
        <v>4014</v>
      </c>
    </row>
    <row r="188" spans="1:8" x14ac:dyDescent="0.3">
      <c r="A188" s="8">
        <v>43103.728055555555</v>
      </c>
      <c r="B188" s="20" t="s">
        <v>569</v>
      </c>
      <c r="C188" s="20" t="s">
        <v>833</v>
      </c>
      <c r="D188" s="137">
        <v>3810000</v>
      </c>
      <c r="E188" s="20" t="s">
        <v>577</v>
      </c>
      <c r="F188" s="20" t="s">
        <v>578</v>
      </c>
      <c r="G188" s="8" t="str">
        <f t="shared" si="4"/>
        <v>LORI SANTOS</v>
      </c>
      <c r="H188" s="20" t="str">
        <f t="shared" si="5"/>
        <v>4063</v>
      </c>
    </row>
    <row r="189" spans="1:8" x14ac:dyDescent="0.3">
      <c r="A189" s="8">
        <v>43103.733425925922</v>
      </c>
      <c r="B189" s="20" t="s">
        <v>542</v>
      </c>
      <c r="C189" s="20" t="s">
        <v>645</v>
      </c>
      <c r="D189" s="137">
        <v>2610000</v>
      </c>
      <c r="E189" s="20" t="s">
        <v>380</v>
      </c>
      <c r="F189" s="20" t="s">
        <v>381</v>
      </c>
      <c r="G189" s="8" t="str">
        <f t="shared" si="4"/>
        <v>MAGEE KENYA</v>
      </c>
      <c r="H189" s="20" t="str">
        <f t="shared" si="5"/>
        <v>4026</v>
      </c>
    </row>
    <row r="190" spans="1:8" x14ac:dyDescent="0.3">
      <c r="A190" s="8">
        <v>43103.735393518517</v>
      </c>
      <c r="B190" s="20" t="s">
        <v>648</v>
      </c>
      <c r="C190" s="20" t="s">
        <v>834</v>
      </c>
      <c r="D190" s="137">
        <v>880000</v>
      </c>
      <c r="E190" s="20" t="s">
        <v>544</v>
      </c>
      <c r="F190" s="20" t="s">
        <v>352</v>
      </c>
      <c r="G190" s="8" t="str">
        <f t="shared" si="4"/>
        <v>STEWART MICHAEL</v>
      </c>
      <c r="H190" s="20" t="str">
        <f t="shared" si="5"/>
        <v>4001</v>
      </c>
    </row>
    <row r="191" spans="1:8" x14ac:dyDescent="0.3">
      <c r="A191" s="8">
        <v>43103.737453703703</v>
      </c>
      <c r="B191" s="20" t="s">
        <v>444</v>
      </c>
      <c r="C191" s="20" t="s">
        <v>835</v>
      </c>
      <c r="D191" s="137">
        <v>3220000</v>
      </c>
      <c r="E191" s="20" t="s">
        <v>378</v>
      </c>
      <c r="F191" s="20" t="s">
        <v>379</v>
      </c>
      <c r="G191" s="8" t="str">
        <f t="shared" si="4"/>
        <v>RESPASS AARON</v>
      </c>
      <c r="H191" s="20" t="str">
        <f t="shared" si="5"/>
        <v>4050</v>
      </c>
    </row>
    <row r="192" spans="1:8" x14ac:dyDescent="0.3">
      <c r="A192" s="8">
        <v>43103.737870370373</v>
      </c>
      <c r="B192" s="20" t="s">
        <v>390</v>
      </c>
      <c r="C192" s="20" t="s">
        <v>836</v>
      </c>
      <c r="D192" s="137">
        <v>2970000</v>
      </c>
      <c r="E192" s="20" t="s">
        <v>374</v>
      </c>
      <c r="F192" s="20" t="s">
        <v>375</v>
      </c>
      <c r="G192" s="8" t="str">
        <f t="shared" si="4"/>
        <v>GUZMAN DANNY</v>
      </c>
      <c r="H192" s="20" t="str">
        <f t="shared" si="5"/>
        <v>4059</v>
      </c>
    </row>
    <row r="193" spans="1:8" x14ac:dyDescent="0.3">
      <c r="A193" s="8">
        <v>43103.737974537034</v>
      </c>
      <c r="B193" s="20" t="s">
        <v>837</v>
      </c>
      <c r="C193" s="20" t="s">
        <v>838</v>
      </c>
      <c r="D193" s="137">
        <v>3670000</v>
      </c>
      <c r="E193" s="20" t="s">
        <v>382</v>
      </c>
      <c r="F193" s="20" t="s">
        <v>368</v>
      </c>
      <c r="G193" s="8" t="str">
        <f t="shared" si="4"/>
        <v>ANDREA WILLIAMS</v>
      </c>
      <c r="H193" s="20" t="str">
        <f t="shared" si="5"/>
        <v>4053</v>
      </c>
    </row>
    <row r="194" spans="1:8" x14ac:dyDescent="0.3">
      <c r="A194" s="8">
        <v>43103.739733796298</v>
      </c>
      <c r="B194" s="20" t="s">
        <v>837</v>
      </c>
      <c r="C194" s="20" t="s">
        <v>838</v>
      </c>
      <c r="D194" s="137">
        <v>3670000</v>
      </c>
      <c r="E194" s="20" t="s">
        <v>382</v>
      </c>
      <c r="F194" s="20" t="s">
        <v>368</v>
      </c>
      <c r="G194" s="8" t="str">
        <f t="shared" si="4"/>
        <v>ANDREA WILLIAMS</v>
      </c>
      <c r="H194" s="20" t="str">
        <f t="shared" si="5"/>
        <v>4053</v>
      </c>
    </row>
    <row r="195" spans="1:8" x14ac:dyDescent="0.3">
      <c r="A195" s="8">
        <v>43103.746678240743</v>
      </c>
      <c r="B195" s="20" t="s">
        <v>570</v>
      </c>
      <c r="C195" s="20" t="s">
        <v>839</v>
      </c>
      <c r="D195" s="137">
        <v>2000000</v>
      </c>
      <c r="E195" s="20" t="s">
        <v>394</v>
      </c>
      <c r="F195" s="20" t="s">
        <v>395</v>
      </c>
      <c r="G195" s="8" t="str">
        <f t="shared" ref="G195:G258" si="6">E195&amp;" "&amp;F195</f>
        <v>STAMBAUGH JAMES</v>
      </c>
      <c r="H195" s="20" t="str">
        <f t="shared" ref="H195:H258" si="7">MID(B195,13,4)</f>
        <v>4013</v>
      </c>
    </row>
    <row r="196" spans="1:8" x14ac:dyDescent="0.3">
      <c r="A196" s="8">
        <v>43103.74690972222</v>
      </c>
      <c r="B196" s="20" t="s">
        <v>383</v>
      </c>
      <c r="C196" s="20" t="s">
        <v>659</v>
      </c>
      <c r="D196" s="137">
        <v>2420000</v>
      </c>
      <c r="E196" s="20" t="s">
        <v>778</v>
      </c>
      <c r="F196" s="20" t="s">
        <v>779</v>
      </c>
      <c r="G196" s="8" t="str">
        <f t="shared" si="6"/>
        <v>HOLCOMB KAMDEN</v>
      </c>
      <c r="H196" s="20" t="str">
        <f t="shared" si="7"/>
        <v>4062</v>
      </c>
    </row>
    <row r="197" spans="1:8" x14ac:dyDescent="0.3">
      <c r="A197" s="8">
        <v>43103.749178240738</v>
      </c>
      <c r="B197" s="20" t="s">
        <v>524</v>
      </c>
      <c r="C197" s="20" t="s">
        <v>840</v>
      </c>
      <c r="D197" s="137">
        <v>1300000</v>
      </c>
      <c r="E197" s="20" t="s">
        <v>358</v>
      </c>
      <c r="F197" s="20" t="s">
        <v>359</v>
      </c>
      <c r="G197" s="8" t="str">
        <f t="shared" si="6"/>
        <v>LEVIN SCOTT</v>
      </c>
      <c r="H197" s="20" t="str">
        <f t="shared" si="7"/>
        <v>4041</v>
      </c>
    </row>
    <row r="198" spans="1:8" x14ac:dyDescent="0.3">
      <c r="A198" s="8">
        <v>43103.750717592593</v>
      </c>
      <c r="B198" s="20" t="s">
        <v>526</v>
      </c>
      <c r="C198" s="20" t="s">
        <v>841</v>
      </c>
      <c r="D198" s="137">
        <v>1180000</v>
      </c>
      <c r="E198" s="20" t="s">
        <v>575</v>
      </c>
      <c r="F198" s="20" t="s">
        <v>576</v>
      </c>
      <c r="G198" s="8" t="str">
        <f t="shared" si="6"/>
        <v>LEVERE CRAIG</v>
      </c>
      <c r="H198" s="20" t="str">
        <f t="shared" si="7"/>
        <v>4064</v>
      </c>
    </row>
    <row r="199" spans="1:8" x14ac:dyDescent="0.3">
      <c r="A199" s="8">
        <v>43103.757928240739</v>
      </c>
      <c r="B199" s="20" t="s">
        <v>502</v>
      </c>
      <c r="C199" s="20" t="s">
        <v>842</v>
      </c>
      <c r="D199" s="137">
        <v>890000</v>
      </c>
      <c r="E199" s="20" t="s">
        <v>344</v>
      </c>
      <c r="F199" s="20" t="s">
        <v>345</v>
      </c>
      <c r="G199" s="8" t="str">
        <f t="shared" si="6"/>
        <v>LOZA FIDEL</v>
      </c>
      <c r="H199" s="20" t="str">
        <f t="shared" si="7"/>
        <v>4020</v>
      </c>
    </row>
    <row r="200" spans="1:8" x14ac:dyDescent="0.3">
      <c r="A200" s="8">
        <v>43103.759722222225</v>
      </c>
      <c r="B200" s="20" t="s">
        <v>386</v>
      </c>
      <c r="C200" s="20" t="s">
        <v>843</v>
      </c>
      <c r="D200" s="137">
        <v>2030000</v>
      </c>
      <c r="E200" s="20" t="s">
        <v>772</v>
      </c>
      <c r="F200" s="20" t="s">
        <v>493</v>
      </c>
      <c r="G200" s="8" t="str">
        <f t="shared" si="6"/>
        <v>KILLION DAVID</v>
      </c>
      <c r="H200" s="20" t="str">
        <f t="shared" si="7"/>
        <v>4029</v>
      </c>
    </row>
    <row r="201" spans="1:8" x14ac:dyDescent="0.3">
      <c r="A201" s="8">
        <v>43103.768495370372</v>
      </c>
      <c r="B201" s="20" t="s">
        <v>443</v>
      </c>
      <c r="C201" s="20" t="s">
        <v>844</v>
      </c>
      <c r="D201" s="137">
        <v>3220000</v>
      </c>
      <c r="E201" s="20" t="s">
        <v>378</v>
      </c>
      <c r="F201" s="20" t="s">
        <v>379</v>
      </c>
      <c r="G201" s="8" t="str">
        <f t="shared" si="6"/>
        <v>RESPASS AARON</v>
      </c>
      <c r="H201" s="20" t="str">
        <f t="shared" si="7"/>
        <v>4049</v>
      </c>
    </row>
    <row r="202" spans="1:8" x14ac:dyDescent="0.3">
      <c r="A202" s="26">
        <v>43103.769016203703</v>
      </c>
      <c r="B202" s="20" t="s">
        <v>569</v>
      </c>
      <c r="C202" s="20" t="s">
        <v>845</v>
      </c>
      <c r="D202" s="137">
        <v>1180000</v>
      </c>
      <c r="E202" s="20" t="s">
        <v>575</v>
      </c>
      <c r="F202" s="20" t="s">
        <v>576</v>
      </c>
      <c r="G202" s="8" t="str">
        <f t="shared" si="6"/>
        <v>LEVERE CRAIG</v>
      </c>
      <c r="H202" s="20" t="str">
        <f t="shared" si="7"/>
        <v>4063</v>
      </c>
    </row>
    <row r="203" spans="1:8" x14ac:dyDescent="0.3">
      <c r="A203" s="8">
        <v>43103.769120370373</v>
      </c>
      <c r="B203" s="20" t="s">
        <v>634</v>
      </c>
      <c r="C203" s="20" t="s">
        <v>846</v>
      </c>
      <c r="D203" s="137">
        <v>3310000</v>
      </c>
      <c r="E203" s="20" t="s">
        <v>477</v>
      </c>
      <c r="F203" s="20" t="s">
        <v>478</v>
      </c>
      <c r="G203" s="8" t="str">
        <f t="shared" si="6"/>
        <v>ANDERS STEVEN</v>
      </c>
      <c r="H203" s="20" t="str">
        <f t="shared" si="7"/>
        <v>4002</v>
      </c>
    </row>
    <row r="204" spans="1:8" x14ac:dyDescent="0.3">
      <c r="A204" s="8">
        <v>43103.77034722222</v>
      </c>
      <c r="B204" s="20" t="s">
        <v>513</v>
      </c>
      <c r="C204" s="20" t="s">
        <v>847</v>
      </c>
      <c r="D204" s="137">
        <v>2000000</v>
      </c>
      <c r="E204" s="20" t="s">
        <v>394</v>
      </c>
      <c r="F204" s="20" t="s">
        <v>395</v>
      </c>
      <c r="G204" s="8" t="str">
        <f t="shared" si="6"/>
        <v>STAMBAUGH JAMES</v>
      </c>
      <c r="H204" s="20" t="str">
        <f t="shared" si="7"/>
        <v>4014</v>
      </c>
    </row>
    <row r="205" spans="1:8" x14ac:dyDescent="0.3">
      <c r="A205" s="8">
        <v>43103.776770833334</v>
      </c>
      <c r="B205" s="20" t="s">
        <v>357</v>
      </c>
      <c r="C205" s="20" t="s">
        <v>848</v>
      </c>
      <c r="D205" s="137">
        <v>2970000</v>
      </c>
      <c r="E205" s="20" t="s">
        <v>374</v>
      </c>
      <c r="F205" s="20" t="s">
        <v>375</v>
      </c>
      <c r="G205" s="8" t="str">
        <f t="shared" si="6"/>
        <v>GUZMAN DANNY</v>
      </c>
      <c r="H205" s="20" t="str">
        <f t="shared" si="7"/>
        <v>4060</v>
      </c>
    </row>
    <row r="206" spans="1:8" x14ac:dyDescent="0.3">
      <c r="A206" s="8">
        <v>43103.787824074076</v>
      </c>
      <c r="B206" s="20" t="s">
        <v>385</v>
      </c>
      <c r="C206" s="20" t="s">
        <v>849</v>
      </c>
      <c r="D206" s="137">
        <v>2420000</v>
      </c>
      <c r="E206" s="20" t="s">
        <v>778</v>
      </c>
      <c r="F206" s="20" t="s">
        <v>779</v>
      </c>
      <c r="G206" s="8" t="str">
        <f t="shared" si="6"/>
        <v>HOLCOMB KAMDEN</v>
      </c>
      <c r="H206" s="20" t="str">
        <f t="shared" si="7"/>
        <v>4061</v>
      </c>
    </row>
    <row r="207" spans="1:8" x14ac:dyDescent="0.3">
      <c r="A207" s="8">
        <v>43103.788831018515</v>
      </c>
      <c r="B207" s="20" t="s">
        <v>570</v>
      </c>
      <c r="C207" s="20" t="s">
        <v>850</v>
      </c>
      <c r="D207" s="137">
        <v>2000000</v>
      </c>
      <c r="E207" s="20" t="s">
        <v>394</v>
      </c>
      <c r="F207" s="20" t="s">
        <v>395</v>
      </c>
      <c r="G207" s="8" t="str">
        <f t="shared" si="6"/>
        <v>STAMBAUGH JAMES</v>
      </c>
      <c r="H207" s="20" t="str">
        <f t="shared" si="7"/>
        <v>4013</v>
      </c>
    </row>
    <row r="208" spans="1:8" x14ac:dyDescent="0.3">
      <c r="A208" s="8">
        <v>43103.792280092595</v>
      </c>
      <c r="B208" s="20" t="s">
        <v>446</v>
      </c>
      <c r="C208" s="20" t="s">
        <v>851</v>
      </c>
      <c r="D208" s="137">
        <v>3320000</v>
      </c>
      <c r="E208" s="20" t="s">
        <v>363</v>
      </c>
      <c r="F208" s="20" t="s">
        <v>364</v>
      </c>
      <c r="G208" s="8" t="str">
        <f t="shared" si="6"/>
        <v>NICHOLSON WESLEY</v>
      </c>
      <c r="H208" s="20" t="str">
        <f t="shared" si="7"/>
        <v>4042</v>
      </c>
    </row>
    <row r="209" spans="1:8" x14ac:dyDescent="0.3">
      <c r="A209" s="8">
        <v>43103.794999999998</v>
      </c>
      <c r="B209" s="20" t="s">
        <v>526</v>
      </c>
      <c r="C209" s="20" t="s">
        <v>852</v>
      </c>
      <c r="D209" s="137">
        <v>1180000</v>
      </c>
      <c r="E209" s="20" t="s">
        <v>575</v>
      </c>
      <c r="F209" s="20" t="s">
        <v>576</v>
      </c>
      <c r="G209" s="8" t="str">
        <f t="shared" si="6"/>
        <v>LEVERE CRAIG</v>
      </c>
      <c r="H209" s="20" t="str">
        <f t="shared" si="7"/>
        <v>4064</v>
      </c>
    </row>
    <row r="210" spans="1:8" x14ac:dyDescent="0.3">
      <c r="A210" s="8">
        <v>43103.798356481479</v>
      </c>
      <c r="B210" s="20" t="s">
        <v>392</v>
      </c>
      <c r="C210" s="20" t="s">
        <v>853</v>
      </c>
      <c r="D210" s="137">
        <v>2030000</v>
      </c>
      <c r="E210" s="20" t="s">
        <v>772</v>
      </c>
      <c r="F210" s="20" t="s">
        <v>493</v>
      </c>
      <c r="G210" s="8" t="str">
        <f t="shared" si="6"/>
        <v>KILLION DAVID</v>
      </c>
      <c r="H210" s="20" t="str">
        <f t="shared" si="7"/>
        <v>4030</v>
      </c>
    </row>
    <row r="211" spans="1:8" x14ac:dyDescent="0.3">
      <c r="A211" s="8">
        <v>43103.799375000002</v>
      </c>
      <c r="B211" s="20" t="s">
        <v>501</v>
      </c>
      <c r="C211" s="20" t="s">
        <v>854</v>
      </c>
      <c r="D211" s="137">
        <v>890000</v>
      </c>
      <c r="E211" s="20" t="s">
        <v>344</v>
      </c>
      <c r="F211" s="20" t="s">
        <v>345</v>
      </c>
      <c r="G211" s="8" t="str">
        <f t="shared" si="6"/>
        <v>LOZA FIDEL</v>
      </c>
      <c r="H211" s="20" t="str">
        <f t="shared" si="7"/>
        <v>4019</v>
      </c>
    </row>
    <row r="212" spans="1:8" x14ac:dyDescent="0.3">
      <c r="A212" s="8">
        <v>43103.800173611111</v>
      </c>
      <c r="B212" s="20" t="s">
        <v>648</v>
      </c>
      <c r="C212" s="20" t="s">
        <v>855</v>
      </c>
      <c r="D212" s="137">
        <v>3310000</v>
      </c>
      <c r="E212" s="20" t="s">
        <v>477</v>
      </c>
      <c r="F212" s="20" t="s">
        <v>478</v>
      </c>
      <c r="G212" s="8" t="str">
        <f t="shared" si="6"/>
        <v>ANDERS STEVEN</v>
      </c>
      <c r="H212" s="20" t="str">
        <f t="shared" si="7"/>
        <v>4001</v>
      </c>
    </row>
    <row r="213" spans="1:8" x14ac:dyDescent="0.3">
      <c r="A213" s="8">
        <v>43103.801932870374</v>
      </c>
      <c r="B213" s="20" t="s">
        <v>385</v>
      </c>
      <c r="C213" s="20" t="s">
        <v>849</v>
      </c>
      <c r="D213" s="137">
        <v>2420000</v>
      </c>
      <c r="E213" s="20" t="s">
        <v>778</v>
      </c>
      <c r="F213" s="20" t="s">
        <v>779</v>
      </c>
      <c r="G213" s="8" t="str">
        <f t="shared" si="6"/>
        <v>HOLCOMB KAMDEN</v>
      </c>
      <c r="H213" s="20" t="str">
        <f t="shared" si="7"/>
        <v>4061</v>
      </c>
    </row>
    <row r="214" spans="1:8" x14ac:dyDescent="0.3">
      <c r="A214" s="8">
        <v>43103.810162037036</v>
      </c>
      <c r="B214" s="20" t="s">
        <v>569</v>
      </c>
      <c r="C214" s="20" t="s">
        <v>856</v>
      </c>
      <c r="D214" s="137">
        <v>1180000</v>
      </c>
      <c r="E214" s="20" t="s">
        <v>575</v>
      </c>
      <c r="F214" s="20" t="s">
        <v>576</v>
      </c>
      <c r="G214" s="8" t="str">
        <f t="shared" si="6"/>
        <v>LEVERE CRAIG</v>
      </c>
      <c r="H214" s="20" t="str">
        <f t="shared" si="7"/>
        <v>4063</v>
      </c>
    </row>
    <row r="215" spans="1:8" x14ac:dyDescent="0.3">
      <c r="A215" s="8">
        <v>43103.811597222222</v>
      </c>
      <c r="B215" s="20" t="s">
        <v>444</v>
      </c>
      <c r="C215" s="20" t="s">
        <v>857</v>
      </c>
      <c r="D215" s="137">
        <v>3220000</v>
      </c>
      <c r="E215" s="20" t="s">
        <v>378</v>
      </c>
      <c r="F215" s="20" t="s">
        <v>379</v>
      </c>
      <c r="G215" s="8" t="str">
        <f t="shared" si="6"/>
        <v>RESPASS AARON</v>
      </c>
      <c r="H215" s="20" t="str">
        <f t="shared" si="7"/>
        <v>4050</v>
      </c>
    </row>
    <row r="216" spans="1:8" x14ac:dyDescent="0.3">
      <c r="A216" s="8">
        <v>43103.821192129632</v>
      </c>
      <c r="B216" s="20" t="s">
        <v>383</v>
      </c>
      <c r="C216" s="20" t="s">
        <v>858</v>
      </c>
      <c r="D216" s="137">
        <v>2420000</v>
      </c>
      <c r="E216" s="20" t="s">
        <v>778</v>
      </c>
      <c r="F216" s="20" t="s">
        <v>779</v>
      </c>
      <c r="G216" s="8" t="str">
        <f t="shared" si="6"/>
        <v>HOLCOMB KAMDEN</v>
      </c>
      <c r="H216" s="20" t="str">
        <f t="shared" si="7"/>
        <v>4062</v>
      </c>
    </row>
    <row r="217" spans="1:8" x14ac:dyDescent="0.3">
      <c r="A217" s="8">
        <v>43103.824745370373</v>
      </c>
      <c r="B217" s="20" t="s">
        <v>524</v>
      </c>
      <c r="C217" s="20" t="s">
        <v>859</v>
      </c>
      <c r="D217" s="137">
        <v>3320000</v>
      </c>
      <c r="E217" s="20" t="s">
        <v>363</v>
      </c>
      <c r="F217" s="20" t="s">
        <v>364</v>
      </c>
      <c r="G217" s="8" t="str">
        <f t="shared" si="6"/>
        <v>NICHOLSON WESLEY</v>
      </c>
      <c r="H217" s="20" t="str">
        <f t="shared" si="7"/>
        <v>4041</v>
      </c>
    </row>
    <row r="218" spans="1:8" x14ac:dyDescent="0.3">
      <c r="A218" s="8">
        <v>43103.830231481479</v>
      </c>
      <c r="B218" s="20" t="s">
        <v>502</v>
      </c>
      <c r="C218" s="20" t="s">
        <v>860</v>
      </c>
      <c r="D218" s="137">
        <v>890000</v>
      </c>
      <c r="E218" s="20" t="s">
        <v>344</v>
      </c>
      <c r="F218" s="20" t="s">
        <v>345</v>
      </c>
      <c r="G218" s="8" t="str">
        <f t="shared" si="6"/>
        <v>LOZA FIDEL</v>
      </c>
      <c r="H218" s="20" t="str">
        <f t="shared" si="7"/>
        <v>4020</v>
      </c>
    </row>
    <row r="219" spans="1:8" x14ac:dyDescent="0.3">
      <c r="A219" s="8">
        <v>43103.835138888891</v>
      </c>
      <c r="B219" s="20" t="s">
        <v>526</v>
      </c>
      <c r="C219" s="20" t="s">
        <v>861</v>
      </c>
      <c r="D219" s="137">
        <v>1180000</v>
      </c>
      <c r="E219" s="20" t="s">
        <v>575</v>
      </c>
      <c r="F219" s="20" t="s">
        <v>576</v>
      </c>
      <c r="G219" s="8" t="str">
        <f t="shared" si="6"/>
        <v>LEVERE CRAIG</v>
      </c>
      <c r="H219" s="20" t="str">
        <f t="shared" si="7"/>
        <v>4064</v>
      </c>
    </row>
    <row r="220" spans="1:8" x14ac:dyDescent="0.3">
      <c r="A220" s="8">
        <v>43103.850034722222</v>
      </c>
      <c r="B220" s="20" t="s">
        <v>443</v>
      </c>
      <c r="C220" s="20" t="s">
        <v>862</v>
      </c>
      <c r="D220" s="137">
        <v>3220000</v>
      </c>
      <c r="E220" s="20" t="s">
        <v>378</v>
      </c>
      <c r="F220" s="20" t="s">
        <v>379</v>
      </c>
      <c r="G220" s="8" t="str">
        <f t="shared" si="6"/>
        <v>RESPASS AARON</v>
      </c>
      <c r="H220" s="20" t="str">
        <f t="shared" si="7"/>
        <v>4049</v>
      </c>
    </row>
    <row r="221" spans="1:8" x14ac:dyDescent="0.3">
      <c r="A221" s="8">
        <v>43103.851365740738</v>
      </c>
      <c r="B221" s="20" t="s">
        <v>634</v>
      </c>
      <c r="C221" s="20" t="s">
        <v>863</v>
      </c>
      <c r="D221" s="137">
        <v>3310000</v>
      </c>
      <c r="E221" s="20" t="s">
        <v>477</v>
      </c>
      <c r="F221" s="20" t="s">
        <v>478</v>
      </c>
      <c r="G221" s="8" t="str">
        <f t="shared" si="6"/>
        <v>ANDERS STEVEN</v>
      </c>
      <c r="H221" s="20" t="str">
        <f t="shared" si="7"/>
        <v>4002</v>
      </c>
    </row>
    <row r="222" spans="1:8" x14ac:dyDescent="0.3">
      <c r="A222" s="8">
        <v>43103.85260416667</v>
      </c>
      <c r="B222" s="20" t="s">
        <v>569</v>
      </c>
      <c r="C222" s="20" t="s">
        <v>864</v>
      </c>
      <c r="D222" s="137">
        <v>1180000</v>
      </c>
      <c r="E222" s="20" t="s">
        <v>575</v>
      </c>
      <c r="F222" s="20" t="s">
        <v>576</v>
      </c>
      <c r="G222" s="8" t="str">
        <f t="shared" si="6"/>
        <v>LEVERE CRAIG</v>
      </c>
      <c r="H222" s="20" t="str">
        <f t="shared" si="7"/>
        <v>4063</v>
      </c>
    </row>
    <row r="223" spans="1:8" x14ac:dyDescent="0.3">
      <c r="A223" s="8">
        <v>43103.861504629633</v>
      </c>
      <c r="B223" s="20" t="s">
        <v>446</v>
      </c>
      <c r="C223" s="20" t="s">
        <v>660</v>
      </c>
      <c r="D223" s="137">
        <v>3320000</v>
      </c>
      <c r="E223" s="20" t="s">
        <v>363</v>
      </c>
      <c r="F223" s="20" t="s">
        <v>364</v>
      </c>
      <c r="G223" s="8" t="str">
        <f t="shared" si="6"/>
        <v>NICHOLSON WESLEY</v>
      </c>
      <c r="H223" s="20" t="str">
        <f t="shared" si="7"/>
        <v>4042</v>
      </c>
    </row>
    <row r="224" spans="1:8" x14ac:dyDescent="0.3">
      <c r="A224" s="8">
        <v>43103.871458333335</v>
      </c>
      <c r="B224" t="s">
        <v>501</v>
      </c>
      <c r="C224" t="s">
        <v>865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4019</v>
      </c>
    </row>
    <row r="225" spans="1:8" x14ac:dyDescent="0.3">
      <c r="A225" s="8">
        <v>43103.878888888888</v>
      </c>
      <c r="B225" t="s">
        <v>526</v>
      </c>
      <c r="C225" t="s">
        <v>866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4064</v>
      </c>
    </row>
    <row r="226" spans="1:8" x14ac:dyDescent="0.3">
      <c r="A226" s="8">
        <v>43103.891296296293</v>
      </c>
      <c r="B226" t="s">
        <v>648</v>
      </c>
      <c r="C226" t="s">
        <v>867</v>
      </c>
      <c r="D226" s="137">
        <v>3310000</v>
      </c>
      <c r="E226" t="s">
        <v>477</v>
      </c>
      <c r="F226" s="20" t="s">
        <v>478</v>
      </c>
      <c r="G226" s="8" t="str">
        <f t="shared" si="6"/>
        <v>ANDERS STEVEN</v>
      </c>
      <c r="H226" s="20" t="str">
        <f t="shared" si="7"/>
        <v>4001</v>
      </c>
    </row>
    <row r="227" spans="1:8" x14ac:dyDescent="0.3">
      <c r="A227" s="8">
        <v>43103.891435185185</v>
      </c>
      <c r="B227" t="s">
        <v>444</v>
      </c>
      <c r="C227" t="s">
        <v>868</v>
      </c>
      <c r="D227" s="137">
        <v>3220000</v>
      </c>
      <c r="E227" t="s">
        <v>378</v>
      </c>
      <c r="F227" s="20" t="s">
        <v>379</v>
      </c>
      <c r="G227" s="8" t="str">
        <f t="shared" si="6"/>
        <v>RESPASS AARON</v>
      </c>
      <c r="H227" s="20" t="str">
        <f t="shared" si="7"/>
        <v>4050</v>
      </c>
    </row>
    <row r="228" spans="1:8" x14ac:dyDescent="0.3">
      <c r="A228" s="8">
        <v>43103.893333333333</v>
      </c>
      <c r="B228" t="s">
        <v>569</v>
      </c>
      <c r="C228" t="s">
        <v>869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4063</v>
      </c>
    </row>
    <row r="229" spans="1:8" x14ac:dyDescent="0.3">
      <c r="A229" s="8">
        <v>43103.902384259258</v>
      </c>
      <c r="B229" t="s">
        <v>502</v>
      </c>
      <c r="C229" t="s">
        <v>870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4020</v>
      </c>
    </row>
    <row r="230" spans="1:8" x14ac:dyDescent="0.3">
      <c r="A230" s="8">
        <v>43103.914305555554</v>
      </c>
      <c r="B230" t="s">
        <v>524</v>
      </c>
      <c r="C230" t="s">
        <v>871</v>
      </c>
      <c r="D230" s="137">
        <v>3320000</v>
      </c>
      <c r="E230" t="s">
        <v>363</v>
      </c>
      <c r="F230" s="20" t="s">
        <v>364</v>
      </c>
      <c r="G230" s="8" t="str">
        <f t="shared" si="6"/>
        <v>NICHOLSON WESLEY</v>
      </c>
      <c r="H230" s="20" t="str">
        <f t="shared" si="7"/>
        <v>4041</v>
      </c>
    </row>
    <row r="231" spans="1:8" x14ac:dyDescent="0.3">
      <c r="A231" s="8">
        <v>43103.918379629627</v>
      </c>
      <c r="B231" t="s">
        <v>526</v>
      </c>
      <c r="C231" t="s">
        <v>661</v>
      </c>
      <c r="D231" s="137">
        <v>2000000</v>
      </c>
      <c r="E231" t="s">
        <v>394</v>
      </c>
      <c r="F231" s="20" t="s">
        <v>395</v>
      </c>
      <c r="G231" s="8" t="str">
        <f t="shared" si="6"/>
        <v>STAMBAUGH JAMES</v>
      </c>
      <c r="H231" s="20" t="str">
        <f t="shared" si="7"/>
        <v>4064</v>
      </c>
    </row>
    <row r="232" spans="1:8" x14ac:dyDescent="0.3">
      <c r="A232" s="8">
        <v>43103.933229166665</v>
      </c>
      <c r="B232" t="s">
        <v>443</v>
      </c>
      <c r="C232" t="s">
        <v>872</v>
      </c>
      <c r="D232" s="137">
        <v>3220000</v>
      </c>
      <c r="E232" t="s">
        <v>378</v>
      </c>
      <c r="F232" s="20" t="s">
        <v>379</v>
      </c>
      <c r="G232" s="8" t="str">
        <f t="shared" si="6"/>
        <v>RESPASS AARON</v>
      </c>
      <c r="H232" s="20" t="str">
        <f t="shared" si="7"/>
        <v>4049</v>
      </c>
    </row>
    <row r="233" spans="1:8" x14ac:dyDescent="0.3">
      <c r="A233" s="8">
        <v>43103.934351851851</v>
      </c>
      <c r="B233" t="s">
        <v>569</v>
      </c>
      <c r="C233" t="s">
        <v>873</v>
      </c>
      <c r="D233" s="137">
        <v>2000000</v>
      </c>
      <c r="E233" t="s">
        <v>394</v>
      </c>
      <c r="F233" s="20" t="s">
        <v>395</v>
      </c>
      <c r="G233" s="8" t="str">
        <f t="shared" si="6"/>
        <v>STAMBAUGH JAMES</v>
      </c>
      <c r="H233" s="20" t="str">
        <f t="shared" si="7"/>
        <v>4063</v>
      </c>
    </row>
    <row r="234" spans="1:8" x14ac:dyDescent="0.3">
      <c r="A234" s="8">
        <v>43103.935243055559</v>
      </c>
      <c r="B234" t="s">
        <v>634</v>
      </c>
      <c r="C234" t="s">
        <v>874</v>
      </c>
      <c r="D234" s="137">
        <v>3310000</v>
      </c>
      <c r="E234" t="s">
        <v>477</v>
      </c>
      <c r="F234" s="20" t="s">
        <v>478</v>
      </c>
      <c r="G234" s="8" t="str">
        <f t="shared" si="6"/>
        <v>ANDERS STEVEN</v>
      </c>
      <c r="H234" s="20" t="str">
        <f t="shared" si="7"/>
        <v>4002</v>
      </c>
    </row>
    <row r="235" spans="1:8" x14ac:dyDescent="0.3">
      <c r="A235" s="8">
        <v>43103.95349537037</v>
      </c>
      <c r="B235" t="s">
        <v>446</v>
      </c>
      <c r="C235" t="s">
        <v>875</v>
      </c>
      <c r="D235" s="137">
        <v>3320000</v>
      </c>
      <c r="E235" t="s">
        <v>363</v>
      </c>
      <c r="F235" s="20" t="s">
        <v>364</v>
      </c>
      <c r="G235" s="8" t="str">
        <f t="shared" si="6"/>
        <v>NICHOLSON WESLEY</v>
      </c>
      <c r="H235" s="20" t="str">
        <f t="shared" si="7"/>
        <v>4042</v>
      </c>
    </row>
    <row r="236" spans="1:8" x14ac:dyDescent="0.3">
      <c r="A236" s="8">
        <v>43103.954247685186</v>
      </c>
      <c r="B236" t="s">
        <v>501</v>
      </c>
      <c r="C236" t="s">
        <v>876</v>
      </c>
      <c r="D236" s="137">
        <v>890000</v>
      </c>
      <c r="E236" t="s">
        <v>344</v>
      </c>
      <c r="F236" s="20" t="s">
        <v>345</v>
      </c>
      <c r="G236" s="8" t="str">
        <f t="shared" si="6"/>
        <v>LOZA FIDEL</v>
      </c>
      <c r="H236" s="20" t="str">
        <f t="shared" si="7"/>
        <v>4019</v>
      </c>
    </row>
    <row r="237" spans="1:8" x14ac:dyDescent="0.3">
      <c r="A237" s="8">
        <v>43103.955659722225</v>
      </c>
      <c r="B237" t="s">
        <v>526</v>
      </c>
      <c r="C237" t="s">
        <v>877</v>
      </c>
      <c r="D237" s="137">
        <v>2000000</v>
      </c>
      <c r="E237" t="s">
        <v>394</v>
      </c>
      <c r="F237" s="20" t="s">
        <v>395</v>
      </c>
      <c r="G237" s="8" t="str">
        <f t="shared" si="6"/>
        <v>STAMBAUGH JAMES</v>
      </c>
      <c r="H237" s="20" t="str">
        <f t="shared" si="7"/>
        <v>4064</v>
      </c>
    </row>
    <row r="238" spans="1:8" x14ac:dyDescent="0.3">
      <c r="A238" s="8">
        <v>43103.97074074074</v>
      </c>
      <c r="B238" t="s">
        <v>648</v>
      </c>
      <c r="C238" t="s">
        <v>878</v>
      </c>
      <c r="D238" s="137">
        <v>3310000</v>
      </c>
      <c r="E238" t="s">
        <v>477</v>
      </c>
      <c r="F238" s="20" t="s">
        <v>478</v>
      </c>
      <c r="G238" s="8" t="str">
        <f t="shared" si="6"/>
        <v>ANDERS STEVEN</v>
      </c>
      <c r="H238" s="20" t="str">
        <f t="shared" si="7"/>
        <v>4001</v>
      </c>
    </row>
    <row r="239" spans="1:8" x14ac:dyDescent="0.3">
      <c r="A239" s="8">
        <v>43103.975185185183</v>
      </c>
      <c r="B239" t="s">
        <v>569</v>
      </c>
      <c r="C239" t="s">
        <v>879</v>
      </c>
      <c r="D239" s="137">
        <v>2000000</v>
      </c>
      <c r="E239" t="s">
        <v>394</v>
      </c>
      <c r="F239" s="20" t="s">
        <v>395</v>
      </c>
      <c r="G239" s="8" t="str">
        <f t="shared" si="6"/>
        <v>STAMBAUGH JAMES</v>
      </c>
      <c r="H239" s="20" t="str">
        <f t="shared" si="7"/>
        <v>4063</v>
      </c>
    </row>
    <row r="240" spans="1:8" x14ac:dyDescent="0.3">
      <c r="A240" s="8">
        <v>43103.975613425922</v>
      </c>
      <c r="B240" t="s">
        <v>444</v>
      </c>
      <c r="C240" t="s">
        <v>880</v>
      </c>
      <c r="D240" s="137">
        <v>3220000</v>
      </c>
      <c r="E240" t="s">
        <v>378</v>
      </c>
      <c r="F240" s="20" t="s">
        <v>379</v>
      </c>
      <c r="G240" s="8" t="str">
        <f t="shared" si="6"/>
        <v>RESPASS AARON</v>
      </c>
      <c r="H240" s="20" t="str">
        <f t="shared" si="7"/>
        <v>4050</v>
      </c>
    </row>
    <row r="241" spans="1:8" x14ac:dyDescent="0.3">
      <c r="A241" s="8">
        <v>43103.987581018519</v>
      </c>
      <c r="B241" t="s">
        <v>502</v>
      </c>
      <c r="C241" t="s">
        <v>881</v>
      </c>
      <c r="D241" s="137">
        <v>890000</v>
      </c>
      <c r="E241" t="s">
        <v>344</v>
      </c>
      <c r="F241" s="20" t="s">
        <v>345</v>
      </c>
      <c r="G241" s="8" t="str">
        <f t="shared" si="6"/>
        <v>LOZA FIDEL</v>
      </c>
      <c r="H241" s="20" t="str">
        <f t="shared" si="7"/>
        <v>4020</v>
      </c>
    </row>
    <row r="242" spans="1:8" x14ac:dyDescent="0.3">
      <c r="A242" s="8">
        <v>43103.995532407411</v>
      </c>
      <c r="B242" t="s">
        <v>524</v>
      </c>
      <c r="C242" t="s">
        <v>882</v>
      </c>
      <c r="D242" s="137">
        <v>3320000</v>
      </c>
      <c r="E242" t="s">
        <v>363</v>
      </c>
      <c r="F242" s="20" t="s">
        <v>364</v>
      </c>
      <c r="G242" s="8" t="str">
        <f t="shared" si="6"/>
        <v>NICHOLSON WESLEY</v>
      </c>
      <c r="H242" s="20" t="str">
        <f t="shared" si="7"/>
        <v>4041</v>
      </c>
    </row>
    <row r="243" spans="1:8" x14ac:dyDescent="0.3">
      <c r="A243" s="8">
        <v>43104.017280092594</v>
      </c>
      <c r="B243" t="s">
        <v>443</v>
      </c>
      <c r="C243" t="s">
        <v>662</v>
      </c>
      <c r="D243" s="137">
        <v>3220000</v>
      </c>
      <c r="E243" t="s">
        <v>378</v>
      </c>
      <c r="F243" s="20" t="s">
        <v>379</v>
      </c>
      <c r="G243" s="8" t="str">
        <f t="shared" si="6"/>
        <v>RESPASS AARON</v>
      </c>
      <c r="H243" s="20" t="str">
        <f t="shared" si="7"/>
        <v>4049</v>
      </c>
    </row>
    <row r="244" spans="1:8" x14ac:dyDescent="0.3">
      <c r="A244" s="8">
        <v>43104.019224537034</v>
      </c>
      <c r="B244" t="s">
        <v>634</v>
      </c>
      <c r="C244" t="s">
        <v>883</v>
      </c>
      <c r="D244" s="137">
        <v>3310000</v>
      </c>
      <c r="E244" t="s">
        <v>477</v>
      </c>
      <c r="F244" s="20" t="s">
        <v>478</v>
      </c>
      <c r="G244" s="8" t="str">
        <f t="shared" si="6"/>
        <v>ANDERS STEVEN</v>
      </c>
      <c r="H244" s="20" t="str">
        <f t="shared" si="7"/>
        <v>4002</v>
      </c>
    </row>
    <row r="245" spans="1:8" x14ac:dyDescent="0.3">
      <c r="A245" s="8">
        <v>43104.029606481483</v>
      </c>
      <c r="B245" t="s">
        <v>446</v>
      </c>
      <c r="C245" t="s">
        <v>884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4042</v>
      </c>
    </row>
    <row r="246" spans="1:8" x14ac:dyDescent="0.3">
      <c r="A246" s="8">
        <v>43104.03534722222</v>
      </c>
      <c r="B246" t="s">
        <v>501</v>
      </c>
      <c r="C246" t="s">
        <v>885</v>
      </c>
      <c r="D246" s="137">
        <v>890000</v>
      </c>
      <c r="E246" t="s">
        <v>344</v>
      </c>
      <c r="F246" s="20" t="s">
        <v>345</v>
      </c>
      <c r="G246" s="8" t="str">
        <f t="shared" si="6"/>
        <v>LOZA FIDEL</v>
      </c>
      <c r="H246" s="20" t="str">
        <f t="shared" si="7"/>
        <v>4019</v>
      </c>
    </row>
    <row r="247" spans="1:8" x14ac:dyDescent="0.3">
      <c r="A247" s="8">
        <v>43104.045995370368</v>
      </c>
      <c r="B247" t="s">
        <v>444</v>
      </c>
      <c r="C247" t="s">
        <v>886</v>
      </c>
      <c r="D247" s="137">
        <v>3220000</v>
      </c>
      <c r="E247" t="s">
        <v>378</v>
      </c>
      <c r="F247" s="20" t="s">
        <v>379</v>
      </c>
      <c r="G247" s="8" t="str">
        <f t="shared" si="6"/>
        <v>RESPASS AARON</v>
      </c>
      <c r="H247" s="20" t="str">
        <f t="shared" si="7"/>
        <v>4050</v>
      </c>
    </row>
    <row r="248" spans="1:8" x14ac:dyDescent="0.3">
      <c r="A248" s="8">
        <v>43104.05908564815</v>
      </c>
      <c r="B248" t="s">
        <v>648</v>
      </c>
      <c r="C248" t="s">
        <v>663</v>
      </c>
      <c r="D248" s="137">
        <v>3310000</v>
      </c>
      <c r="E248" t="s">
        <v>477</v>
      </c>
      <c r="F248" s="20" t="s">
        <v>478</v>
      </c>
      <c r="G248" s="8" t="str">
        <f t="shared" si="6"/>
        <v>ANDERS STEVEN</v>
      </c>
      <c r="H248" s="20" t="str">
        <f t="shared" si="7"/>
        <v>4001</v>
      </c>
    </row>
    <row r="249" spans="1:8" x14ac:dyDescent="0.3">
      <c r="A249" s="8">
        <v>43092.047118055554</v>
      </c>
      <c r="B249" t="s">
        <v>471</v>
      </c>
      <c r="C249" t="s">
        <v>474</v>
      </c>
      <c r="D249" s="137">
        <v>3340000</v>
      </c>
      <c r="E249" t="s">
        <v>461</v>
      </c>
      <c r="F249" s="20" t="s">
        <v>462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481</v>
      </c>
      <c r="C250" t="s">
        <v>473</v>
      </c>
      <c r="D250" s="137">
        <v>2600000</v>
      </c>
      <c r="E250" t="s">
        <v>503</v>
      </c>
      <c r="F250" s="20" t="s">
        <v>493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502</v>
      </c>
      <c r="C251" t="s">
        <v>475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479</v>
      </c>
      <c r="C252" t="s">
        <v>504</v>
      </c>
      <c r="D252" s="137">
        <v>3310000</v>
      </c>
      <c r="E252" t="s">
        <v>477</v>
      </c>
      <c r="F252" s="20" t="s">
        <v>478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470</v>
      </c>
      <c r="C253" t="s">
        <v>476</v>
      </c>
      <c r="D253" s="137">
        <v>3340000</v>
      </c>
      <c r="E253" t="s">
        <v>461</v>
      </c>
      <c r="F253" s="20" t="s">
        <v>462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442</v>
      </c>
      <c r="C254" t="s">
        <v>472</v>
      </c>
      <c r="D254" s="137">
        <v>3310000</v>
      </c>
      <c r="E254" t="s">
        <v>477</v>
      </c>
      <c r="F254" s="20" t="s">
        <v>478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446</v>
      </c>
      <c r="C255" t="s">
        <v>467</v>
      </c>
      <c r="D255" s="137">
        <v>3340000</v>
      </c>
      <c r="E255" t="s">
        <v>461</v>
      </c>
      <c r="F255" s="20" t="s">
        <v>462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442</v>
      </c>
      <c r="C256" t="s">
        <v>468</v>
      </c>
      <c r="D256" s="137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443</v>
      </c>
      <c r="C257" t="s">
        <v>454</v>
      </c>
      <c r="D257" s="137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448</v>
      </c>
      <c r="D258" s="137">
        <v>3700000</v>
      </c>
      <c r="E258" t="s">
        <v>445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442</v>
      </c>
      <c r="C259" t="s">
        <v>455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449</v>
      </c>
      <c r="C260" t="s">
        <v>456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444</v>
      </c>
      <c r="C261" t="s">
        <v>457</v>
      </c>
      <c r="D261" s="137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458</v>
      </c>
      <c r="D262" s="137">
        <v>3700000</v>
      </c>
      <c r="E262" t="s">
        <v>445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447</v>
      </c>
      <c r="C263" t="s">
        <v>459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460</v>
      </c>
      <c r="D264" s="137">
        <v>3700000</v>
      </c>
      <c r="E264" t="s">
        <v>445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887</v>
      </c>
      <c r="I1" s="217" t="s">
        <v>162</v>
      </c>
      <c r="J1" s="217" t="s">
        <v>163</v>
      </c>
      <c r="K1" s="217" t="s">
        <v>888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21.74</v>
      </c>
      <c r="B2" s="195">
        <v>0</v>
      </c>
      <c r="C2" s="195">
        <v>2.84</v>
      </c>
      <c r="D2" s="8">
        <v>43103</v>
      </c>
      <c r="E2" s="195">
        <v>0.43</v>
      </c>
      <c r="F2" s="195" t="s">
        <v>581</v>
      </c>
      <c r="G2" s="195">
        <v>338.57</v>
      </c>
      <c r="H2" s="195"/>
      <c r="I2" s="195">
        <v>0</v>
      </c>
      <c r="J2" s="195">
        <v>0</v>
      </c>
      <c r="K2" s="195"/>
      <c r="L2" s="195">
        <v>1029.69</v>
      </c>
      <c r="M2" s="195" t="s">
        <v>580</v>
      </c>
      <c r="N2" s="195">
        <v>21.74</v>
      </c>
      <c r="O2" s="195">
        <v>1514962800</v>
      </c>
      <c r="P2" s="195">
        <v>0</v>
      </c>
      <c r="Q2" s="195">
        <v>3.06</v>
      </c>
      <c r="R2" s="195">
        <v>189</v>
      </c>
      <c r="S2" s="195">
        <v>3.18</v>
      </c>
      <c r="T2" s="195">
        <v>1.27</v>
      </c>
    </row>
    <row r="3" spans="1:20" x14ac:dyDescent="0.3">
      <c r="A3" s="195">
        <v>21.06</v>
      </c>
      <c r="B3" s="195">
        <v>0</v>
      </c>
      <c r="C3" s="195">
        <v>2.5099999999999998</v>
      </c>
      <c r="D3" s="8">
        <v>43103.041666666664</v>
      </c>
      <c r="E3" s="195">
        <v>0.44</v>
      </c>
      <c r="F3" s="195" t="s">
        <v>581</v>
      </c>
      <c r="G3" s="195">
        <v>339.57</v>
      </c>
      <c r="H3" s="195"/>
      <c r="I3" s="195">
        <v>0</v>
      </c>
      <c r="J3" s="195">
        <v>0</v>
      </c>
      <c r="K3" s="195"/>
      <c r="L3" s="195">
        <v>1030</v>
      </c>
      <c r="M3" s="195" t="s">
        <v>580</v>
      </c>
      <c r="N3" s="195">
        <v>21.06</v>
      </c>
      <c r="O3" s="195">
        <v>1514966400</v>
      </c>
      <c r="P3" s="195">
        <v>0</v>
      </c>
      <c r="Q3" s="195">
        <v>2.83</v>
      </c>
      <c r="R3" s="195">
        <v>179</v>
      </c>
      <c r="S3" s="195">
        <v>3.18</v>
      </c>
      <c r="T3" s="195">
        <v>1.06</v>
      </c>
    </row>
    <row r="4" spans="1:20" x14ac:dyDescent="0.3">
      <c r="A4" s="195">
        <v>20.85</v>
      </c>
      <c r="B4" s="195">
        <v>0</v>
      </c>
      <c r="C4" s="195">
        <v>2.34</v>
      </c>
      <c r="D4" s="8">
        <v>43103.083333333336</v>
      </c>
      <c r="E4" s="195">
        <v>0.44</v>
      </c>
      <c r="F4" s="195" t="s">
        <v>581</v>
      </c>
      <c r="G4" s="195">
        <v>339.87</v>
      </c>
      <c r="H4" s="195"/>
      <c r="I4" s="195">
        <v>0</v>
      </c>
      <c r="J4" s="195">
        <v>0</v>
      </c>
      <c r="K4" s="195"/>
      <c r="L4" s="195">
        <v>1028.98</v>
      </c>
      <c r="M4" s="195" t="s">
        <v>580</v>
      </c>
      <c r="N4" s="195">
        <v>20.85</v>
      </c>
      <c r="O4" s="195">
        <v>1514970000</v>
      </c>
      <c r="P4" s="195">
        <v>0</v>
      </c>
      <c r="Q4" s="195">
        <v>3.79</v>
      </c>
      <c r="R4" s="195">
        <v>190</v>
      </c>
      <c r="S4" s="195">
        <v>3.09</v>
      </c>
      <c r="T4" s="195">
        <v>1.2</v>
      </c>
    </row>
    <row r="5" spans="1:20" x14ac:dyDescent="0.3">
      <c r="A5" s="195">
        <v>21.26</v>
      </c>
      <c r="B5" s="195">
        <v>0</v>
      </c>
      <c r="C5" s="195">
        <v>2.2599999999999998</v>
      </c>
      <c r="D5" s="8">
        <v>43103.125</v>
      </c>
      <c r="E5" s="195">
        <v>0.43</v>
      </c>
      <c r="F5" s="195" t="s">
        <v>581</v>
      </c>
      <c r="G5" s="195">
        <v>338.96</v>
      </c>
      <c r="H5" s="195"/>
      <c r="I5" s="195">
        <v>0</v>
      </c>
      <c r="J5" s="195">
        <v>0</v>
      </c>
      <c r="K5" s="195"/>
      <c r="L5" s="195">
        <v>1029.33</v>
      </c>
      <c r="M5" s="195" t="s">
        <v>580</v>
      </c>
      <c r="N5" s="195">
        <v>21.26</v>
      </c>
      <c r="O5" s="195">
        <v>1514973600</v>
      </c>
      <c r="P5" s="195">
        <v>0</v>
      </c>
      <c r="Q5" s="195">
        <v>3.24</v>
      </c>
      <c r="R5" s="195">
        <v>189</v>
      </c>
      <c r="S5" s="195">
        <v>3.41</v>
      </c>
      <c r="T5" s="195">
        <v>1.36</v>
      </c>
    </row>
    <row r="6" spans="1:20" x14ac:dyDescent="0.3">
      <c r="A6" s="195">
        <v>21.07</v>
      </c>
      <c r="B6" s="195">
        <v>0</v>
      </c>
      <c r="C6" s="195">
        <v>1.65</v>
      </c>
      <c r="D6" s="8">
        <v>43103.166666666664</v>
      </c>
      <c r="E6" s="195">
        <v>0.42</v>
      </c>
      <c r="F6" s="195" t="s">
        <v>581</v>
      </c>
      <c r="G6" s="195">
        <v>337.45</v>
      </c>
      <c r="H6" s="195">
        <v>0</v>
      </c>
      <c r="I6" s="195">
        <v>1E-4</v>
      </c>
      <c r="J6" s="195">
        <v>0.01</v>
      </c>
      <c r="K6" s="195" t="s">
        <v>889</v>
      </c>
      <c r="L6" s="195">
        <v>1031.03</v>
      </c>
      <c r="M6" s="195" t="s">
        <v>580</v>
      </c>
      <c r="N6" s="195">
        <v>21.07</v>
      </c>
      <c r="O6" s="195">
        <v>1514977200</v>
      </c>
      <c r="P6" s="195">
        <v>0</v>
      </c>
      <c r="Q6" s="195">
        <v>10</v>
      </c>
      <c r="R6" s="195">
        <v>192</v>
      </c>
      <c r="S6" s="195">
        <v>6.11</v>
      </c>
      <c r="T6" s="195">
        <v>1.3</v>
      </c>
    </row>
    <row r="7" spans="1:20" x14ac:dyDescent="0.3">
      <c r="A7" s="195">
        <v>21.34</v>
      </c>
      <c r="B7" s="195">
        <v>0</v>
      </c>
      <c r="C7" s="195">
        <v>1.17</v>
      </c>
      <c r="D7" s="8">
        <v>43103.208333333336</v>
      </c>
      <c r="E7" s="195">
        <v>0.41</v>
      </c>
      <c r="F7" s="195" t="s">
        <v>581</v>
      </c>
      <c r="G7" s="195">
        <v>334.12</v>
      </c>
      <c r="H7" s="195"/>
      <c r="I7" s="195">
        <v>0</v>
      </c>
      <c r="J7" s="195">
        <v>0</v>
      </c>
      <c r="K7" s="195"/>
      <c r="L7" s="195">
        <v>1030.9000000000001</v>
      </c>
      <c r="M7" s="195" t="s">
        <v>580</v>
      </c>
      <c r="N7" s="195">
        <v>21.34</v>
      </c>
      <c r="O7" s="195">
        <v>1514980800</v>
      </c>
      <c r="P7" s="195">
        <v>0</v>
      </c>
      <c r="Q7" s="195">
        <v>2.9</v>
      </c>
      <c r="R7" s="195">
        <v>190</v>
      </c>
      <c r="S7" s="195">
        <v>3.3</v>
      </c>
      <c r="T7" s="195">
        <v>1.21</v>
      </c>
    </row>
    <row r="8" spans="1:20" x14ac:dyDescent="0.3">
      <c r="A8" s="195">
        <v>21.51</v>
      </c>
      <c r="B8" s="195">
        <v>0</v>
      </c>
      <c r="C8" s="195">
        <v>1.1100000000000001</v>
      </c>
      <c r="D8" s="8">
        <v>43103.25</v>
      </c>
      <c r="E8" s="195">
        <v>0.4</v>
      </c>
      <c r="F8" s="195" t="s">
        <v>581</v>
      </c>
      <c r="G8" s="195">
        <v>331.49</v>
      </c>
      <c r="H8" s="195"/>
      <c r="I8" s="195">
        <v>0</v>
      </c>
      <c r="J8" s="195">
        <v>0</v>
      </c>
      <c r="K8" s="195"/>
      <c r="L8" s="195">
        <v>1029.9000000000001</v>
      </c>
      <c r="M8" s="195" t="s">
        <v>580</v>
      </c>
      <c r="N8" s="195">
        <v>21.51</v>
      </c>
      <c r="O8" s="195">
        <v>1514984400</v>
      </c>
      <c r="P8" s="195">
        <v>0</v>
      </c>
      <c r="Q8" s="195">
        <v>2.93</v>
      </c>
      <c r="R8" s="195">
        <v>206</v>
      </c>
      <c r="S8" s="195">
        <v>3.09</v>
      </c>
      <c r="T8" s="195">
        <v>2.13</v>
      </c>
    </row>
    <row r="9" spans="1:20" x14ac:dyDescent="0.3">
      <c r="A9" s="195">
        <v>22.34</v>
      </c>
      <c r="B9" s="195">
        <v>0.03</v>
      </c>
      <c r="C9" s="195">
        <v>0.51</v>
      </c>
      <c r="D9" s="8">
        <v>43103.291666666664</v>
      </c>
      <c r="E9" s="195">
        <v>0.38</v>
      </c>
      <c r="F9" s="195" t="s">
        <v>581</v>
      </c>
      <c r="G9" s="195">
        <v>328.55</v>
      </c>
      <c r="H9" s="195"/>
      <c r="I9" s="195">
        <v>0</v>
      </c>
      <c r="J9" s="195">
        <v>0</v>
      </c>
      <c r="K9" s="195"/>
      <c r="L9" s="195">
        <v>1030.1099999999999</v>
      </c>
      <c r="M9" s="195" t="s">
        <v>580</v>
      </c>
      <c r="N9" s="195">
        <v>22.34</v>
      </c>
      <c r="O9" s="195">
        <v>1514988000</v>
      </c>
      <c r="P9" s="195">
        <v>0</v>
      </c>
      <c r="Q9" s="195">
        <v>5.04</v>
      </c>
      <c r="R9" s="195">
        <v>188</v>
      </c>
      <c r="S9" s="195">
        <v>4.41</v>
      </c>
      <c r="T9" s="195">
        <v>1.73</v>
      </c>
    </row>
    <row r="10" spans="1:20" x14ac:dyDescent="0.3">
      <c r="A10" s="195">
        <v>24.16</v>
      </c>
      <c r="B10" s="195">
        <v>0.11</v>
      </c>
      <c r="C10" s="195">
        <v>-0.01</v>
      </c>
      <c r="D10" s="8">
        <v>43103.333333333336</v>
      </c>
      <c r="E10" s="195">
        <v>0.34</v>
      </c>
      <c r="F10" s="195" t="s">
        <v>579</v>
      </c>
      <c r="G10" s="195">
        <v>325.58999999999997</v>
      </c>
      <c r="H10" s="195"/>
      <c r="I10" s="195">
        <v>0</v>
      </c>
      <c r="J10" s="195">
        <v>0</v>
      </c>
      <c r="K10" s="195"/>
      <c r="L10" s="195">
        <v>1030.1600000000001</v>
      </c>
      <c r="M10" s="195" t="s">
        <v>580</v>
      </c>
      <c r="N10" s="195">
        <v>24.16</v>
      </c>
      <c r="O10" s="195">
        <v>1514991600</v>
      </c>
      <c r="P10" s="195">
        <v>0</v>
      </c>
      <c r="Q10" s="195">
        <v>4.01</v>
      </c>
      <c r="R10" s="195">
        <v>191</v>
      </c>
      <c r="S10" s="195">
        <v>4.13</v>
      </c>
      <c r="T10" s="195">
        <v>2.4300000000000002</v>
      </c>
    </row>
    <row r="11" spans="1:20" x14ac:dyDescent="0.3">
      <c r="A11" s="195">
        <v>27.65</v>
      </c>
      <c r="B11" s="195">
        <v>0.08</v>
      </c>
      <c r="C11" s="195">
        <v>2.0499999999999998</v>
      </c>
      <c r="D11" s="8">
        <v>43103.375</v>
      </c>
      <c r="E11" s="195">
        <v>0.28999999999999998</v>
      </c>
      <c r="F11" s="195" t="s">
        <v>579</v>
      </c>
      <c r="G11" s="195">
        <v>322.70999999999998</v>
      </c>
      <c r="H11" s="195"/>
      <c r="I11" s="195">
        <v>0</v>
      </c>
      <c r="J11" s="195">
        <v>0</v>
      </c>
      <c r="K11" s="195"/>
      <c r="L11" s="195">
        <v>1028.48</v>
      </c>
      <c r="M11" s="195" t="s">
        <v>580</v>
      </c>
      <c r="N11" s="195">
        <v>30.77</v>
      </c>
      <c r="O11" s="195">
        <v>1514995200</v>
      </c>
      <c r="P11" s="195">
        <v>1</v>
      </c>
      <c r="Q11" s="195">
        <v>5.72</v>
      </c>
      <c r="R11" s="195">
        <v>178</v>
      </c>
      <c r="S11" s="195">
        <v>6.75</v>
      </c>
      <c r="T11" s="195">
        <v>3.19</v>
      </c>
    </row>
    <row r="12" spans="1:20" x14ac:dyDescent="0.3">
      <c r="A12" s="195">
        <v>35.94</v>
      </c>
      <c r="B12" s="195">
        <v>0.04</v>
      </c>
      <c r="C12" s="195">
        <v>3.11</v>
      </c>
      <c r="D12" s="8">
        <v>43103.416666666664</v>
      </c>
      <c r="E12" s="195">
        <v>0.22</v>
      </c>
      <c r="F12" s="195" t="s">
        <v>579</v>
      </c>
      <c r="G12" s="195">
        <v>319.70999999999998</v>
      </c>
      <c r="H12" s="195"/>
      <c r="I12" s="195">
        <v>0</v>
      </c>
      <c r="J12" s="195">
        <v>0</v>
      </c>
      <c r="K12" s="195"/>
      <c r="L12" s="195">
        <v>1027.1199999999999</v>
      </c>
      <c r="M12" s="195" t="s">
        <v>580</v>
      </c>
      <c r="N12" s="195">
        <v>38.25</v>
      </c>
      <c r="O12" s="195">
        <v>1514998800</v>
      </c>
      <c r="P12" s="195">
        <v>1</v>
      </c>
      <c r="Q12" s="195">
        <v>5.13</v>
      </c>
      <c r="R12" s="195">
        <v>167</v>
      </c>
      <c r="S12" s="195">
        <v>8.23</v>
      </c>
      <c r="T12" s="195">
        <v>3.38</v>
      </c>
    </row>
    <row r="13" spans="1:20" x14ac:dyDescent="0.3">
      <c r="A13" s="195">
        <v>43.28</v>
      </c>
      <c r="B13" s="195">
        <v>0.11</v>
      </c>
      <c r="C13" s="195">
        <v>3.35</v>
      </c>
      <c r="D13" s="8">
        <v>43103.458333333336</v>
      </c>
      <c r="E13" s="195">
        <v>0.17</v>
      </c>
      <c r="F13" s="195" t="s">
        <v>579</v>
      </c>
      <c r="G13" s="195">
        <v>323.63</v>
      </c>
      <c r="H13" s="195"/>
      <c r="I13" s="195">
        <v>0</v>
      </c>
      <c r="J13" s="195">
        <v>0</v>
      </c>
      <c r="K13" s="195"/>
      <c r="L13" s="195">
        <v>1025.0999999999999</v>
      </c>
      <c r="M13" s="195" t="s">
        <v>580</v>
      </c>
      <c r="N13" s="195">
        <v>45.25</v>
      </c>
      <c r="O13" s="195">
        <v>1515002400</v>
      </c>
      <c r="P13" s="195">
        <v>2</v>
      </c>
      <c r="Q13" s="195">
        <v>5.86</v>
      </c>
      <c r="R13" s="195">
        <v>155</v>
      </c>
      <c r="S13" s="195">
        <v>10.4</v>
      </c>
      <c r="T13" s="195">
        <v>4.13</v>
      </c>
    </row>
    <row r="14" spans="1:20" x14ac:dyDescent="0.3">
      <c r="A14" s="195">
        <v>50.13</v>
      </c>
      <c r="B14" s="195">
        <v>0.13</v>
      </c>
      <c r="C14" s="195">
        <v>3.83</v>
      </c>
      <c r="D14" s="8">
        <v>43103.5</v>
      </c>
      <c r="E14" s="195">
        <v>0.15</v>
      </c>
      <c r="F14" s="195" t="s">
        <v>579</v>
      </c>
      <c r="G14" s="195">
        <v>322.7</v>
      </c>
      <c r="H14" s="195"/>
      <c r="I14" s="195">
        <v>0</v>
      </c>
      <c r="J14" s="195">
        <v>0</v>
      </c>
      <c r="K14" s="195"/>
      <c r="L14" s="195">
        <v>1022.65</v>
      </c>
      <c r="M14" s="195" t="s">
        <v>580</v>
      </c>
      <c r="N14" s="195">
        <v>50.13</v>
      </c>
      <c r="O14" s="195">
        <v>1515006000</v>
      </c>
      <c r="P14" s="195">
        <v>2</v>
      </c>
      <c r="Q14" s="195">
        <v>5.67</v>
      </c>
      <c r="R14" s="195">
        <v>142</v>
      </c>
      <c r="S14" s="195">
        <v>8.42</v>
      </c>
      <c r="T14" s="195">
        <v>2.85</v>
      </c>
    </row>
    <row r="15" spans="1:20" x14ac:dyDescent="0.3">
      <c r="A15" s="195">
        <v>52.36</v>
      </c>
      <c r="B15" s="195">
        <v>0.14000000000000001</v>
      </c>
      <c r="C15" s="195">
        <v>5.3</v>
      </c>
      <c r="D15" s="8">
        <v>43103.541666666664</v>
      </c>
      <c r="E15" s="195">
        <v>0.14000000000000001</v>
      </c>
      <c r="F15" s="195" t="s">
        <v>579</v>
      </c>
      <c r="G15" s="195">
        <v>321.55</v>
      </c>
      <c r="H15" s="195"/>
      <c r="I15" s="195">
        <v>0</v>
      </c>
      <c r="J15" s="195">
        <v>0</v>
      </c>
      <c r="K15" s="195"/>
      <c r="L15" s="195">
        <v>1021.07</v>
      </c>
      <c r="M15" s="195" t="s">
        <v>580</v>
      </c>
      <c r="N15" s="195">
        <v>52.36</v>
      </c>
      <c r="O15" s="195">
        <v>1515009600</v>
      </c>
      <c r="P15" s="195">
        <v>2</v>
      </c>
      <c r="Q15" s="195">
        <v>5.41</v>
      </c>
      <c r="R15" s="195">
        <v>128</v>
      </c>
      <c r="S15" s="195">
        <v>6.82</v>
      </c>
      <c r="T15" s="195">
        <v>2.0699999999999998</v>
      </c>
    </row>
    <row r="16" spans="1:20" x14ac:dyDescent="0.3">
      <c r="A16" s="195">
        <v>51.33</v>
      </c>
      <c r="B16" s="195">
        <v>0.24</v>
      </c>
      <c r="C16" s="195">
        <v>6.22</v>
      </c>
      <c r="D16" s="8">
        <v>43103.583333333336</v>
      </c>
      <c r="E16" s="195">
        <v>0.16</v>
      </c>
      <c r="F16" s="195" t="s">
        <v>579</v>
      </c>
      <c r="G16" s="195">
        <v>320</v>
      </c>
      <c r="H16" s="195"/>
      <c r="I16" s="195">
        <v>0</v>
      </c>
      <c r="J16" s="195">
        <v>0</v>
      </c>
      <c r="K16" s="195"/>
      <c r="L16" s="195">
        <v>1019.72</v>
      </c>
      <c r="M16" s="195" t="s">
        <v>580</v>
      </c>
      <c r="N16" s="195">
        <v>51.33</v>
      </c>
      <c r="O16" s="195">
        <v>1515013200</v>
      </c>
      <c r="P16" s="195">
        <v>1</v>
      </c>
      <c r="Q16" s="195">
        <v>5.71</v>
      </c>
      <c r="R16" s="195">
        <v>342</v>
      </c>
      <c r="S16" s="195">
        <v>5.7</v>
      </c>
      <c r="T16" s="195">
        <v>0.74</v>
      </c>
    </row>
    <row r="17" spans="1:20" x14ac:dyDescent="0.3">
      <c r="A17" s="195">
        <v>51.1</v>
      </c>
      <c r="B17" s="195">
        <v>0.23</v>
      </c>
      <c r="C17" s="195">
        <v>7.69</v>
      </c>
      <c r="D17" s="8">
        <v>43103.625</v>
      </c>
      <c r="E17" s="195">
        <v>0.17</v>
      </c>
      <c r="F17" s="195" t="s">
        <v>579</v>
      </c>
      <c r="G17" s="195">
        <v>317.72000000000003</v>
      </c>
      <c r="H17" s="195"/>
      <c r="I17" s="195">
        <v>0</v>
      </c>
      <c r="J17" s="195">
        <v>0</v>
      </c>
      <c r="K17" s="195"/>
      <c r="L17" s="195">
        <v>1019.8</v>
      </c>
      <c r="M17" s="195" t="s">
        <v>580</v>
      </c>
      <c r="N17" s="195">
        <v>51.1</v>
      </c>
      <c r="O17" s="195">
        <v>1515016800</v>
      </c>
      <c r="P17" s="195">
        <v>1</v>
      </c>
      <c r="Q17" s="195">
        <v>5.65</v>
      </c>
      <c r="R17" s="195">
        <v>340</v>
      </c>
      <c r="S17" s="195">
        <v>7.29</v>
      </c>
      <c r="T17" s="195">
        <v>1.27</v>
      </c>
    </row>
    <row r="18" spans="1:20" x14ac:dyDescent="0.3">
      <c r="A18" s="195">
        <v>49.09</v>
      </c>
      <c r="B18" s="195">
        <v>0.14000000000000001</v>
      </c>
      <c r="C18" s="195">
        <v>11.32</v>
      </c>
      <c r="D18" s="8">
        <v>43103.666666666664</v>
      </c>
      <c r="E18" s="195">
        <v>0.21</v>
      </c>
      <c r="F18" s="195" t="s">
        <v>579</v>
      </c>
      <c r="G18" s="195">
        <v>315.01</v>
      </c>
      <c r="H18" s="195"/>
      <c r="I18" s="195">
        <v>0</v>
      </c>
      <c r="J18" s="195">
        <v>0</v>
      </c>
      <c r="K18" s="195"/>
      <c r="L18" s="195">
        <v>1020.01</v>
      </c>
      <c r="M18" s="195" t="s">
        <v>580</v>
      </c>
      <c r="N18" s="195">
        <v>49.09</v>
      </c>
      <c r="O18" s="195">
        <v>1515020400</v>
      </c>
      <c r="P18" s="195">
        <v>0</v>
      </c>
      <c r="Q18" s="195">
        <v>5.65</v>
      </c>
      <c r="R18" s="195">
        <v>346</v>
      </c>
      <c r="S18" s="195">
        <v>5.62</v>
      </c>
      <c r="T18" s="195">
        <v>1.63</v>
      </c>
    </row>
    <row r="19" spans="1:20" x14ac:dyDescent="0.3">
      <c r="A19" s="195">
        <v>43.92</v>
      </c>
      <c r="B19" s="195">
        <v>0.21</v>
      </c>
      <c r="C19" s="195">
        <v>11.76</v>
      </c>
      <c r="D19" s="8">
        <v>43103.708333333336</v>
      </c>
      <c r="E19" s="195">
        <v>0.27</v>
      </c>
      <c r="F19" s="195" t="s">
        <v>581</v>
      </c>
      <c r="G19" s="195">
        <v>312.17</v>
      </c>
      <c r="H19" s="195"/>
      <c r="I19" s="195">
        <v>0</v>
      </c>
      <c r="J19" s="195">
        <v>0</v>
      </c>
      <c r="K19" s="195"/>
      <c r="L19" s="195">
        <v>1020.75</v>
      </c>
      <c r="M19" s="195" t="s">
        <v>580</v>
      </c>
      <c r="N19" s="195">
        <v>43.92</v>
      </c>
      <c r="O19" s="195">
        <v>1515024000</v>
      </c>
      <c r="P19" s="195">
        <v>0</v>
      </c>
      <c r="Q19" s="195">
        <v>4</v>
      </c>
      <c r="R19" s="195">
        <v>318</v>
      </c>
      <c r="S19" s="195">
        <v>3.8</v>
      </c>
      <c r="T19" s="195">
        <v>1.18</v>
      </c>
    </row>
    <row r="20" spans="1:20" x14ac:dyDescent="0.3">
      <c r="A20" s="195">
        <v>38.9</v>
      </c>
      <c r="B20" s="195">
        <v>0.27</v>
      </c>
      <c r="C20" s="195">
        <v>11.73</v>
      </c>
      <c r="D20" s="8">
        <v>43103.75</v>
      </c>
      <c r="E20" s="195">
        <v>0.32</v>
      </c>
      <c r="F20" s="195" t="s">
        <v>488</v>
      </c>
      <c r="G20" s="195">
        <v>309.73</v>
      </c>
      <c r="H20" s="195"/>
      <c r="I20" s="195">
        <v>0</v>
      </c>
      <c r="J20" s="195">
        <v>0</v>
      </c>
      <c r="K20" s="195"/>
      <c r="L20" s="195">
        <v>1021.61</v>
      </c>
      <c r="M20" s="195" t="s">
        <v>489</v>
      </c>
      <c r="N20" s="195">
        <v>38.9</v>
      </c>
      <c r="O20" s="195">
        <v>1515027600</v>
      </c>
      <c r="P20" s="195">
        <v>0</v>
      </c>
      <c r="Q20" s="195">
        <v>3.58</v>
      </c>
      <c r="R20" s="195">
        <v>309</v>
      </c>
      <c r="S20" s="195">
        <v>3.14</v>
      </c>
      <c r="T20" s="195">
        <v>0.83</v>
      </c>
    </row>
    <row r="21" spans="1:20" x14ac:dyDescent="0.3">
      <c r="A21" s="195">
        <v>35.630000000000003</v>
      </c>
      <c r="B21" s="195">
        <v>0.33</v>
      </c>
      <c r="C21" s="195">
        <v>11.7</v>
      </c>
      <c r="D21" s="8">
        <v>43103.791666666664</v>
      </c>
      <c r="E21" s="195">
        <v>0.37</v>
      </c>
      <c r="F21" s="195" t="s">
        <v>488</v>
      </c>
      <c r="G21" s="195">
        <v>307.37</v>
      </c>
      <c r="H21" s="195"/>
      <c r="I21" s="195">
        <v>0</v>
      </c>
      <c r="J21" s="195">
        <v>0</v>
      </c>
      <c r="K21" s="195"/>
      <c r="L21" s="195">
        <v>1021.74</v>
      </c>
      <c r="M21" s="195" t="s">
        <v>489</v>
      </c>
      <c r="N21" s="195">
        <v>35.630000000000003</v>
      </c>
      <c r="O21" s="195">
        <v>1515031200</v>
      </c>
      <c r="P21" s="195">
        <v>0</v>
      </c>
      <c r="Q21" s="195">
        <v>4.2699999999999996</v>
      </c>
      <c r="R21" s="195">
        <v>296</v>
      </c>
      <c r="S21" s="195">
        <v>2.78</v>
      </c>
      <c r="T21" s="195">
        <v>0.76</v>
      </c>
    </row>
    <row r="22" spans="1:20" x14ac:dyDescent="0.3">
      <c r="A22" s="195">
        <v>30.74</v>
      </c>
      <c r="B22" s="195">
        <v>0.31</v>
      </c>
      <c r="C22" s="195">
        <v>11.45</v>
      </c>
      <c r="D22" s="8">
        <v>43103.833333333336</v>
      </c>
      <c r="E22" s="195">
        <v>0.39</v>
      </c>
      <c r="F22" s="195" t="s">
        <v>488</v>
      </c>
      <c r="G22" s="195">
        <v>305.22000000000003</v>
      </c>
      <c r="H22" s="195">
        <v>0</v>
      </c>
      <c r="I22" s="195">
        <v>1E-4</v>
      </c>
      <c r="J22" s="195">
        <v>0.01</v>
      </c>
      <c r="K22" s="195" t="s">
        <v>889</v>
      </c>
      <c r="L22" s="195">
        <v>1022.77</v>
      </c>
      <c r="M22" s="195" t="s">
        <v>489</v>
      </c>
      <c r="N22" s="195">
        <v>33.450000000000003</v>
      </c>
      <c r="O22" s="195">
        <v>1515034800</v>
      </c>
      <c r="P22" s="195">
        <v>0</v>
      </c>
      <c r="Q22" s="195">
        <v>10</v>
      </c>
      <c r="R22" s="195">
        <v>261</v>
      </c>
      <c r="S22" s="195">
        <v>4.93</v>
      </c>
      <c r="T22" s="195">
        <v>3.16</v>
      </c>
    </row>
    <row r="23" spans="1:20" x14ac:dyDescent="0.3">
      <c r="A23" s="195">
        <v>32.07</v>
      </c>
      <c r="B23" s="195">
        <v>0.22</v>
      </c>
      <c r="C23" s="195">
        <v>11.95</v>
      </c>
      <c r="D23" s="8">
        <v>43103.875</v>
      </c>
      <c r="E23" s="195">
        <v>0.43</v>
      </c>
      <c r="F23" s="195" t="s">
        <v>581</v>
      </c>
      <c r="G23" s="195">
        <v>303.26</v>
      </c>
      <c r="H23" s="195"/>
      <c r="I23" s="195">
        <v>0</v>
      </c>
      <c r="J23" s="195">
        <v>0</v>
      </c>
      <c r="K23" s="195"/>
      <c r="L23" s="195">
        <v>1022.28</v>
      </c>
      <c r="M23" s="195" t="s">
        <v>580</v>
      </c>
      <c r="N23" s="195">
        <v>32.07</v>
      </c>
      <c r="O23" s="195">
        <v>1515038400</v>
      </c>
      <c r="P23" s="195">
        <v>0</v>
      </c>
      <c r="Q23" s="195">
        <v>4.6399999999999997</v>
      </c>
      <c r="R23" s="195">
        <v>250</v>
      </c>
      <c r="S23" s="195">
        <v>2.2599999999999998</v>
      </c>
      <c r="T23" s="195">
        <v>0.94</v>
      </c>
    </row>
    <row r="24" spans="1:20" x14ac:dyDescent="0.3">
      <c r="A24" s="195">
        <v>31.35</v>
      </c>
      <c r="B24" s="195">
        <v>0.24</v>
      </c>
      <c r="C24" s="195">
        <v>12.34</v>
      </c>
      <c r="D24" s="8">
        <v>43103.916666666664</v>
      </c>
      <c r="E24" s="195">
        <v>0.45</v>
      </c>
      <c r="F24" s="195" t="s">
        <v>581</v>
      </c>
      <c r="G24" s="195">
        <v>301.62</v>
      </c>
      <c r="H24" s="195">
        <v>0</v>
      </c>
      <c r="I24" s="195">
        <v>1E-4</v>
      </c>
      <c r="J24" s="195">
        <v>0.01</v>
      </c>
      <c r="K24" s="195" t="s">
        <v>889</v>
      </c>
      <c r="L24" s="195">
        <v>1021.65</v>
      </c>
      <c r="M24" s="195" t="s">
        <v>580</v>
      </c>
      <c r="N24" s="195">
        <v>31.35</v>
      </c>
      <c r="O24" s="195">
        <v>1515042000</v>
      </c>
      <c r="P24" s="195">
        <v>0</v>
      </c>
      <c r="Q24" s="195">
        <v>4.82</v>
      </c>
      <c r="R24" s="195">
        <v>237</v>
      </c>
      <c r="S24" s="195">
        <v>3.96</v>
      </c>
      <c r="T24" s="195">
        <v>0.51</v>
      </c>
    </row>
    <row r="25" spans="1:20" x14ac:dyDescent="0.3">
      <c r="A25" s="195">
        <v>30.62</v>
      </c>
      <c r="B25" s="195">
        <v>0.11</v>
      </c>
      <c r="C25" s="195">
        <v>12.47</v>
      </c>
      <c r="D25" s="8">
        <v>43103.958333333336</v>
      </c>
      <c r="E25" s="195">
        <v>0.46</v>
      </c>
      <c r="F25" s="195" t="s">
        <v>581</v>
      </c>
      <c r="G25" s="195">
        <v>299.75</v>
      </c>
      <c r="H25" s="195"/>
      <c r="I25" s="195">
        <v>0</v>
      </c>
      <c r="J25" s="195">
        <v>0</v>
      </c>
      <c r="K25" s="195"/>
      <c r="L25" s="195">
        <v>1022.03</v>
      </c>
      <c r="M25" s="195" t="s">
        <v>580</v>
      </c>
      <c r="N25" s="195">
        <v>30.62</v>
      </c>
      <c r="O25" s="195">
        <v>1515045600</v>
      </c>
      <c r="P25" s="195">
        <v>0</v>
      </c>
      <c r="Q25" s="195">
        <v>4.07</v>
      </c>
      <c r="R25" s="195">
        <v>246</v>
      </c>
      <c r="S25" s="195">
        <v>1.84</v>
      </c>
      <c r="T25" s="195">
        <v>0.42</v>
      </c>
    </row>
    <row r="26" spans="1:20" x14ac:dyDescent="0.3">
      <c r="A26" s="195">
        <v>29.73</v>
      </c>
      <c r="B26" s="195">
        <v>0.11</v>
      </c>
      <c r="C26" s="195">
        <v>12.61</v>
      </c>
      <c r="D26" s="8">
        <v>43104</v>
      </c>
      <c r="E26" s="195">
        <v>0.48</v>
      </c>
      <c r="F26" s="195" t="s">
        <v>581</v>
      </c>
      <c r="G26" s="195">
        <v>297.66000000000003</v>
      </c>
      <c r="H26" s="195"/>
      <c r="I26" s="195">
        <v>0</v>
      </c>
      <c r="J26" s="195">
        <v>0</v>
      </c>
      <c r="K26" s="195"/>
      <c r="L26" s="195">
        <v>1022.02</v>
      </c>
      <c r="M26" s="195" t="s">
        <v>580</v>
      </c>
      <c r="N26" s="195">
        <v>29.73</v>
      </c>
      <c r="O26" s="195">
        <v>1515049200</v>
      </c>
      <c r="P26" s="195">
        <v>0</v>
      </c>
      <c r="Q26" s="195">
        <v>4.04</v>
      </c>
      <c r="R26" s="195">
        <v>244</v>
      </c>
      <c r="S26" s="195">
        <v>1.51</v>
      </c>
      <c r="T26" s="195">
        <v>0.45</v>
      </c>
    </row>
    <row r="27" spans="1:20" x14ac:dyDescent="0.3">
      <c r="A27" s="195">
        <v>29.51</v>
      </c>
      <c r="B27" s="195">
        <v>0.12</v>
      </c>
      <c r="C27" s="195">
        <v>12.64</v>
      </c>
      <c r="D27" s="8">
        <v>43104.041666666664</v>
      </c>
      <c r="E27" s="195">
        <v>0.49</v>
      </c>
      <c r="F27" s="195" t="s">
        <v>581</v>
      </c>
      <c r="G27" s="195">
        <v>295.44</v>
      </c>
      <c r="H27" s="195"/>
      <c r="I27" s="195">
        <v>0</v>
      </c>
      <c r="J27" s="195">
        <v>0</v>
      </c>
      <c r="K27" s="195"/>
      <c r="L27" s="195">
        <v>1021.84</v>
      </c>
      <c r="M27" s="195" t="s">
        <v>580</v>
      </c>
      <c r="N27" s="195">
        <v>29.51</v>
      </c>
      <c r="O27" s="195">
        <v>1515052800</v>
      </c>
      <c r="P27" s="195">
        <v>0</v>
      </c>
      <c r="Q27" s="195">
        <v>3.79</v>
      </c>
      <c r="R27" s="195">
        <v>203</v>
      </c>
      <c r="S27" s="195">
        <v>1.45</v>
      </c>
      <c r="T27" s="195">
        <v>0.3</v>
      </c>
    </row>
    <row r="28" spans="1:20" x14ac:dyDescent="0.3">
      <c r="A28" s="195">
        <v>29.06</v>
      </c>
      <c r="B28" s="195">
        <v>7.0000000000000007E-2</v>
      </c>
      <c r="C28" s="195">
        <v>12.42</v>
      </c>
      <c r="D28" s="8">
        <v>43104.083333333336</v>
      </c>
      <c r="E28" s="195">
        <v>0.49</v>
      </c>
      <c r="F28" s="195" t="s">
        <v>581</v>
      </c>
      <c r="G28" s="195">
        <v>293.64999999999998</v>
      </c>
      <c r="H28" s="195"/>
      <c r="I28" s="195">
        <v>0</v>
      </c>
      <c r="J28" s="195">
        <v>0</v>
      </c>
      <c r="K28" s="195"/>
      <c r="L28" s="195">
        <v>1022.35</v>
      </c>
      <c r="M28" s="195" t="s">
        <v>580</v>
      </c>
      <c r="N28" s="195">
        <v>29.06</v>
      </c>
      <c r="O28" s="195">
        <v>1515056400</v>
      </c>
      <c r="P28" s="195">
        <v>0</v>
      </c>
      <c r="Q28" s="195">
        <v>3.8</v>
      </c>
      <c r="R28" s="195">
        <v>203</v>
      </c>
      <c r="S28" s="195">
        <v>1.98</v>
      </c>
      <c r="T28" s="195">
        <v>0.62</v>
      </c>
    </row>
    <row r="29" spans="1:20" x14ac:dyDescent="0.3">
      <c r="A29" s="195">
        <v>27.65</v>
      </c>
      <c r="B29" s="195">
        <v>0.05</v>
      </c>
      <c r="C29" s="195">
        <v>10.57</v>
      </c>
      <c r="D29" s="8">
        <v>43104.125</v>
      </c>
      <c r="E29" s="195">
        <v>0.48</v>
      </c>
      <c r="F29" s="195" t="s">
        <v>581</v>
      </c>
      <c r="G29" s="195">
        <v>292.64999999999998</v>
      </c>
      <c r="H29" s="195"/>
      <c r="I29" s="195">
        <v>0</v>
      </c>
      <c r="J29" s="195">
        <v>0</v>
      </c>
      <c r="K29" s="195"/>
      <c r="L29" s="195">
        <v>1023.37</v>
      </c>
      <c r="M29" s="195" t="s">
        <v>580</v>
      </c>
      <c r="N29" s="195">
        <v>27.65</v>
      </c>
      <c r="O29" s="195">
        <v>1515060000</v>
      </c>
      <c r="P29" s="195">
        <v>0</v>
      </c>
      <c r="Q29" s="195">
        <v>5.56</v>
      </c>
      <c r="R29" s="195">
        <v>187</v>
      </c>
      <c r="S29" s="195">
        <v>2.46</v>
      </c>
      <c r="T29" s="195">
        <v>1.22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43103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1105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1106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1107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1108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1109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1110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1111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1112</v>
      </c>
      <c r="J25" s="139" t="s">
        <v>144</v>
      </c>
      <c r="M25" s="153" t="b">
        <v>1</v>
      </c>
    </row>
    <row r="26" spans="3:24" x14ac:dyDescent="0.3">
      <c r="C26" t="s">
        <v>1113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%USERPROFILE%\Documents\GitHub\eaglep3-reporting\EC\2018-01-03-refined-times.txt</v>
      </c>
    </row>
    <row r="27" spans="3:24" x14ac:dyDescent="0.3">
      <c r="C27" t="s">
        <v>1114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%USERPROFILE%\Documents\GitHub\eaglep3-reporting\EC\2018-01-03-Enforcements.txt</v>
      </c>
    </row>
    <row r="28" spans="3:24" x14ac:dyDescent="0.3">
      <c r="C28" t="s">
        <v>1115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%USERPROFILE%\Documents\GitHub\eaglep3-reporting\EC\2018-01-03-Runs-refined.txt</v>
      </c>
    </row>
    <row r="29" spans="3:24" x14ac:dyDescent="0.3">
      <c r="C29" t="s">
        <v>1116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%USERPROFILE%\Documents\GitHub\eaglep3-reporting\EC\2018-01-03-Trips.txt</v>
      </c>
    </row>
    <row r="30" spans="3:24" x14ac:dyDescent="0.3">
      <c r="C30" t="s">
        <v>1117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%USERPROFILE%\Documents\GitHub\eaglep3-reporting\EC\2018-01-03-Weather.txt</v>
      </c>
    </row>
    <row r="31" spans="3:24" x14ac:dyDescent="0.3">
      <c r="C31" t="s">
        <v>1118</v>
      </c>
      <c r="J31" s="139" t="s">
        <v>188</v>
      </c>
      <c r="M31" s="153" t="s">
        <v>189</v>
      </c>
    </row>
    <row r="32" spans="3:24" x14ac:dyDescent="0.3">
      <c r="C32" t="s">
        <v>1119</v>
      </c>
    </row>
    <row r="33" spans="3:3" x14ac:dyDescent="0.3">
      <c r="C33" t="s">
        <v>1120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2018-01-04T16:41:44Z</dcterms:modified>
</cp:coreProperties>
</file>